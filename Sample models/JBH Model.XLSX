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cr\AppData\Local\Research\ModelPublishing\SubmittedModels\"/>
    </mc:Choice>
  </mc:AlternateContent>
  <xr:revisionPtr revIDLastSave="0" documentId="8_{B5628003-197F-4426-BB1F-FE1342C885D6}" xr6:coauthVersionLast="47" xr6:coauthVersionMax="47" xr10:uidLastSave="{00000000-0000-0000-0000-000000000000}"/>
  <bookViews>
    <workbookView xWindow="30612" yWindow="-108" windowWidth="30936" windowHeight="16776" tabRatio="944" xr2:uid="{00000000-000D-0000-FFFF-FFFF00000000}"/>
  </bookViews>
  <sheets>
    <sheet name="CircularReferenceAlert" sheetId="83" r:id="rId1"/>
    <sheet name="ImportantDisclosures" sheetId="80" r:id="rId2"/>
    <sheet name="Content" sheetId="19" r:id="rId3"/>
    <sheet name="Summary" sheetId="46" r:id="rId4"/>
    <sheet name="P&amp;L" sheetId="8" r:id="rId5"/>
    <sheet name="CFS" sheetId="2" r:id="rId6"/>
    <sheet name="BS" sheetId="1" r:id="rId7"/>
    <sheet name="Drivers" sheetId="43" r:id="rId8"/>
    <sheet name="IndexInformation" sheetId="81" r:id="rId9"/>
    <sheet name="ModPubIndex" sheetId="82" r:id="rId10"/>
  </sheets>
  <externalReferences>
    <externalReference r:id="rId11"/>
  </externalReferences>
  <definedNames>
    <definedName name="africa">0</definedName>
    <definedName name="africaCountries">#REF!</definedName>
    <definedName name="allRegions">#REF!</definedName>
    <definedName name="americaRegion">#REF!</definedName>
    <definedName name="americas">0</definedName>
    <definedName name="americasStates">#REF!</definedName>
    <definedName name="AppVersion">"GEG-1.0"</definedName>
    <definedName name="asiaPacific">1</definedName>
    <definedName name="asiaPacificExJapan">1</definedName>
    <definedName name="asiaPacificExJapanCountries">#REF!</definedName>
    <definedName name="asiaPacificRegion">#REF!</definedName>
    <definedName name="asiaPacificStates">#REF!</definedName>
    <definedName name="ASSNet" localSheetId="5">CFS!ASSNet</definedName>
    <definedName name="ASSNet" localSheetId="2">Content!ASSNet</definedName>
    <definedName name="ASSNet" localSheetId="7">Drivers!ASSNet</definedName>
    <definedName name="ASSNet" localSheetId="4">'P&amp;L'!ASSNet</definedName>
    <definedName name="ASSNet" localSheetId="3">Summary!ASSNet</definedName>
    <definedName name="ASSNet">CFS!ASSNet</definedName>
    <definedName name="ASSOPS" localSheetId="5">CFS!ASSOPS</definedName>
    <definedName name="ASSOPS" localSheetId="2">Content!ASSOPS</definedName>
    <definedName name="ASSOPS" localSheetId="7">Drivers!ASSOPS</definedName>
    <definedName name="ASSOPS" localSheetId="4">'P&amp;L'!ASSOPS</definedName>
    <definedName name="ASSOPS" localSheetId="3">Summary!ASSOPS</definedName>
    <definedName name="ASSOPS">CFS!ASSOPS</definedName>
    <definedName name="ASX" localSheetId="5">CFS!ASX</definedName>
    <definedName name="ASX" localSheetId="2">Content!ASX</definedName>
    <definedName name="ASX" localSheetId="7">Drivers!ASX</definedName>
    <definedName name="ASX" localSheetId="4">'P&amp;L'!ASX</definedName>
    <definedName name="ASX" localSheetId="3">Summary!ASX</definedName>
    <definedName name="ASX">CFS!ASX</definedName>
    <definedName name="australasia">1</definedName>
    <definedName name="BaseYear">"2005"</definedName>
    <definedName name="BRICS">0</definedName>
    <definedName name="CapTO" localSheetId="5">OFFSET('P&amp;L'!_1088__FDSAUDITLINK__,6,0)</definedName>
    <definedName name="CapTO" localSheetId="7">OFFSET(Drivers!XRange2,6,0)</definedName>
    <definedName name="CapTO" localSheetId="4">OFFSET([0]!_1089__FDSAUDITLINK__,6,0)</definedName>
    <definedName name="CapTO" localSheetId="3">OFFSET([0]!XRange2,6,0)</definedName>
    <definedName name="CapTO">OFFSET(CFS!_109__FDSAUDITLINK__,6,0)</definedName>
    <definedName name="CashTax" localSheetId="5">OFFSET('P&amp;L'!_1088__FDSAUDITLINK__,7,0)</definedName>
    <definedName name="CashTax" localSheetId="7">OFFSET(Drivers!XRange2,7,0)</definedName>
    <definedName name="CashTax" localSheetId="4">OFFSET([0]!_1089__FDSAUDITLINK__,7,0)</definedName>
    <definedName name="CashTax" localSheetId="3">OFFSET([0]!XRange2,7,0)</definedName>
    <definedName name="CashTax">OFFSET(CFS!_109__FDSAUDITLINK__,7,0)</definedName>
    <definedName name="centralEasternEurope">0</definedName>
    <definedName name="centralEasternEuropeCountries">#REF!</definedName>
    <definedName name="china">0</definedName>
    <definedName name="Consol" localSheetId="5">CFS!Consol</definedName>
    <definedName name="Consol" localSheetId="2">Content!Consol</definedName>
    <definedName name="Consol" localSheetId="7">Drivers!Consol</definedName>
    <definedName name="Consol" localSheetId="4">'P&amp;L'!Consol</definedName>
    <definedName name="Consol" localSheetId="3">Summary!Consol</definedName>
    <definedName name="Consol">CFS!Consol</definedName>
    <definedName name="consumerDemandExposure">#REF!</definedName>
    <definedName name="consumersExposure">0.95</definedName>
    <definedName name="countryList">"Country Mapping"</definedName>
    <definedName name="DB">"WIREAUPROD"</definedName>
    <definedName name="developedEuropeExUK">0</definedName>
    <definedName name="developedEuropeExUKCountries">#REF!</definedName>
    <definedName name="DocType" localSheetId="5">Word</definedName>
    <definedName name="DocType" localSheetId="2">Word</definedName>
    <definedName name="DocType" localSheetId="7">Word</definedName>
    <definedName name="DocType" localSheetId="4">Word</definedName>
    <definedName name="DocType" localSheetId="3">Word</definedName>
    <definedName name="DocType">Word</definedName>
    <definedName name="domesticAndForeignExposure">#REF!</definedName>
    <definedName name="domesticCostExposure">#REF!</definedName>
    <definedName name="Downer_EDI_Divisional_summary">"divisionals"</definedName>
    <definedName name="Downer_EDI_Limited">"summary"</definedName>
    <definedName name="Download_series">[1]!Download_series</definedName>
    <definedName name="EBITA">"$C$28"</definedName>
    <definedName name="EEMEA">0</definedName>
    <definedName name="endDemandExposure">#REF!</definedName>
    <definedName name="europe">0</definedName>
    <definedName name="europeRegion">#REF!</definedName>
    <definedName name="europeStates">#REF!</definedName>
    <definedName name="Globe" localSheetId="5">CFS!Globe</definedName>
    <definedName name="Globe" localSheetId="2">Content!Globe</definedName>
    <definedName name="Globe" localSheetId="7">Drivers!Globe</definedName>
    <definedName name="Globe" localSheetId="4">'P&amp;L'!Globe</definedName>
    <definedName name="Globe" localSheetId="3">Summary!Globe</definedName>
    <definedName name="Globe">CFS!Globe</definedName>
    <definedName name="Growth_ROIC" localSheetId="3">OFFSET([0]!XRange,10,0)</definedName>
    <definedName name="hejej" localSheetId="5">Word</definedName>
    <definedName name="hejej" localSheetId="2">Word</definedName>
    <definedName name="hejej" localSheetId="7">Word</definedName>
    <definedName name="hejej" localSheetId="4">Word</definedName>
    <definedName name="hejej" localSheetId="3">Word</definedName>
    <definedName name="hejej">Word</definedName>
    <definedName name="india">0</definedName>
    <definedName name="InvestCapGrowth" localSheetId="5">OFFSET('P&amp;L'!_1088__FDSAUDITLINK__,4,0)</definedName>
    <definedName name="InvestCapGrowth" localSheetId="7">OFFSET(Drivers!XRange2,4,0)</definedName>
    <definedName name="InvestCapGrowth" localSheetId="4">OFFSET([0]!_1089__FDSAUDITLINK__,4,0)</definedName>
    <definedName name="InvestCapGrowth" localSheetId="3">OFFSET([0]!XRange2,4,0)</definedName>
    <definedName name="InvestCapGrowth">OFFSET(CFS!_109__FDSAUDITLINK__,4,0)</definedName>
    <definedName name="IsUKcompany" localSheetId="7">[0]!CompanyCountry = "GB"</definedName>
    <definedName name="IsUKcompany" localSheetId="3">[0]!CompanyCountry = "GB"</definedName>
    <definedName name="IsUKcompany">[0]!CompanyCountry = "GB"</definedName>
    <definedName name="italy">0</definedName>
    <definedName name="japan">0</definedName>
    <definedName name="latinAmerica">0</definedName>
    <definedName name="latinAmericaCountries">#REF!</definedName>
    <definedName name="LBO" localSheetId="5">Word</definedName>
    <definedName name="LBO" localSheetId="2">Word</definedName>
    <definedName name="LBO" localSheetId="7">Word</definedName>
    <definedName name="LBO" localSheetId="4">Word</definedName>
    <definedName name="LBO" localSheetId="3">Word</definedName>
    <definedName name="LBO">Word</definedName>
    <definedName name="Linking_1">#REF!</definedName>
    <definedName name="Linking_10">#REF!</definedName>
    <definedName name="Linking_11">#REF!</definedName>
    <definedName name="Linking_12">#REF!</definedName>
    <definedName name="Linking_13">Summary!$B$4:$AD$55</definedName>
    <definedName name="Linking_14">#REF!</definedName>
    <definedName name="Linking_15">Summary!$B$4:$AE$57</definedName>
    <definedName name="Linking_16">#REF!</definedName>
    <definedName name="Linking_17">#REF!</definedName>
    <definedName name="Linking_18">#REF!</definedName>
    <definedName name="Linking_19">#REF!</definedName>
    <definedName name="Linking_2">#REF!</definedName>
    <definedName name="Linking_20">#REF!</definedName>
    <definedName name="Linking_21">Summary!$B$4:$AF$56</definedName>
    <definedName name="Linking_22">#REF!</definedName>
    <definedName name="Linking_23">#REF!</definedName>
    <definedName name="Linking_24">Summary!$B$4:$AG$56</definedName>
    <definedName name="Linking_25">#REF!</definedName>
    <definedName name="Linking_26">#REF!</definedName>
    <definedName name="Linking_27">#REF!</definedName>
    <definedName name="Linking_28">#REF!</definedName>
    <definedName name="Linking_29">Summary!$B$7:$AI$56</definedName>
    <definedName name="Linking_3">#REF!</definedName>
    <definedName name="Linking_30">#REF!</definedName>
    <definedName name="Linking_31">#REF!</definedName>
    <definedName name="Linking_32">#REF!</definedName>
    <definedName name="Linking_33">#REF!</definedName>
    <definedName name="Linking_34">#REF!</definedName>
    <definedName name="Linking_35">#REF!</definedName>
    <definedName name="Linking_36">#REF!</definedName>
    <definedName name="Linking_37">#REF!</definedName>
    <definedName name="Linking_38">Summary!$B$7:$AI$55</definedName>
    <definedName name="Linking_39">Summary!$B$7:$AJ$56</definedName>
    <definedName name="Linking_4">Summary!$B$6:$AC$56</definedName>
    <definedName name="Linking_40">#REF!</definedName>
    <definedName name="Linking_41">#REF!</definedName>
    <definedName name="Linking_42">#REF!</definedName>
    <definedName name="Linking_43">#REF!</definedName>
    <definedName name="Linking_44">#REF!</definedName>
    <definedName name="Linking_45">#REF!</definedName>
    <definedName name="Linking_46">Summary!$B$7:$AJ$54</definedName>
    <definedName name="Linking_47">#REF!</definedName>
    <definedName name="Linking_48">#REF!</definedName>
    <definedName name="Linking_49">#REF!</definedName>
    <definedName name="Linking_5">#REF!</definedName>
    <definedName name="Linking_50">#REF!</definedName>
    <definedName name="Linking_51">Summary!$B$7:$AK$55</definedName>
    <definedName name="Linking_52">Drivers!$CR$10</definedName>
    <definedName name="Linking_53">#REF!</definedName>
    <definedName name="Linking_54">#REF!</definedName>
    <definedName name="Linking_55">Summary!$B$7:$AL$55</definedName>
    <definedName name="Linking_56">#REF!</definedName>
    <definedName name="Linking_57">Summary!$B$7:$AL$54</definedName>
    <definedName name="Linking_58">#REF!</definedName>
    <definedName name="Linking_59">#REF!</definedName>
    <definedName name="Linking_6">#REF!</definedName>
    <definedName name="Linking_7">Summary!$B$4:$AC$56</definedName>
    <definedName name="Linking_8">#REF!</definedName>
    <definedName name="Linking_9">Summary!$B$4:$AC$55</definedName>
    <definedName name="Linking_Range_1" localSheetId="3">Summary!$B$6:$AC$58</definedName>
    <definedName name="Linking_Range_1">#REF!</definedName>
    <definedName name="Linking_Range_10" localSheetId="7">Drivers!$M$501:$S$506</definedName>
    <definedName name="Linking_Range_10" localSheetId="3">Summary!$B$6:$AC$59</definedName>
    <definedName name="Linking_Range_10">#REF!</definedName>
    <definedName name="Linking_Range_13">#REF!</definedName>
    <definedName name="Linking_Range_14" localSheetId="3">Summary!$B$6:$AC$60</definedName>
    <definedName name="Linking_Range_14">#REF!</definedName>
    <definedName name="Linking_Range_15">#REF!</definedName>
    <definedName name="Linking_Range_16">#REF!</definedName>
    <definedName name="Linking_Range_17">#REF!</definedName>
    <definedName name="Linking_Range_18">Summary!$B$6:$AC$54</definedName>
    <definedName name="Linking_Range_19">#REF!</definedName>
    <definedName name="Linking_Range_2">#REF!</definedName>
    <definedName name="Linking_Range_20">#REF!</definedName>
    <definedName name="Linking_Range_21">#REF!</definedName>
    <definedName name="Linking_Range_22">#REF!</definedName>
    <definedName name="Linking_Range_23">#REF!</definedName>
    <definedName name="Linking_Range_24">#REF!</definedName>
    <definedName name="Linking_Range_25">#REF!</definedName>
    <definedName name="Linking_Range_3">#REF!</definedName>
    <definedName name="Linking_Range_4">#REF!</definedName>
    <definedName name="Linking_Range_5">#REF!</definedName>
    <definedName name="Linking_Range_6">#REF!</definedName>
    <definedName name="Linking_Range_7" localSheetId="7">Drivers!$N$500:$S$506</definedName>
    <definedName name="Linking_Range_7">#REF!</definedName>
    <definedName name="Linking_Range_8" localSheetId="7">Drivers!$N$509:$S$515</definedName>
    <definedName name="Linking_Range_8">#REF!</definedName>
    <definedName name="Linking_Range_9" localSheetId="7">Drivers!$M$501:$U$506</definedName>
    <definedName name="Linking_Range_9">#REF!</definedName>
    <definedName name="middleEast">0</definedName>
    <definedName name="middleEastAfrica">0</definedName>
    <definedName name="middleEastAfricaRegion">#REF!</definedName>
    <definedName name="middleEastAfricaStates">#REF!</definedName>
    <definedName name="MonthNames" localSheetId="5">{"Jan","Feb","Mar","Apr","May","Jun","Jul","Aug","Sep","Oct","Nov","Dec";"January","February","March","April","May","June","July","August","September","October","November","December"}</definedName>
    <definedName name="MonthNames" localSheetId="2">{"Jan","Feb","Mar","Apr","May","Jun","Jul","Aug","Sep","Oct","Nov","Dec";"January","February","March","April","May","June","July","August","September","October","November","December"}</definedName>
    <definedName name="MonthNames" localSheetId="7">{"Jan","Feb","Mar","Apr","May","Jun","Jul","Aug","Sep","Oct","Nov","Dec";"January","February","March","April","May","June","July","August","September","October","November","December"}</definedName>
    <definedName name="MonthNames" localSheetId="4">{"Jan","Feb","Mar","Apr","May","Jun","Jul","Aug","Sep","Oct","Nov","Dec";"January","February","March","April","May","June","July","August","September","October","November","December"}</definedName>
    <definedName name="MonthNames" localSheetId="3">{"Jan","Feb","Mar","Apr","May","Jun","Jul","Aug","Sep","Oct","Nov","Dec";"January","February","March","April","May","June","July","August","September","October","November","December"}</definedName>
    <definedName name="MonthNames">{"Jan","Feb","Mar","Apr","May","Jun","Jul","Aug","Sep","Oct","Nov","Dec";"January","February","March","April","May","June","July","August","September","October","November","December"}</definedName>
    <definedName name="NETDepn" localSheetId="5">CFS!NETDepn</definedName>
    <definedName name="NETDepn" localSheetId="2">Content!NETDepn</definedName>
    <definedName name="NETDepn" localSheetId="7">Drivers!NETDepn</definedName>
    <definedName name="NETDepn" localSheetId="4">'P&amp;L'!NETDepn</definedName>
    <definedName name="NETDepn" localSheetId="3">Summary!NETDepn</definedName>
    <definedName name="NETDepn">CFS!NETDepn</definedName>
    <definedName name="NetFin" localSheetId="5">CFS!NetFin</definedName>
    <definedName name="NetFin" localSheetId="2">Content!NetFin</definedName>
    <definedName name="NetFin" localSheetId="7">Drivers!NetFin</definedName>
    <definedName name="NetFin" localSheetId="4">'P&amp;L'!NetFin</definedName>
    <definedName name="NetFin" localSheetId="3">Summary!NetFin</definedName>
    <definedName name="NetFin">CFS!NetFin</definedName>
    <definedName name="NetTaxDepn" localSheetId="5">CFS!NetTaxDepn</definedName>
    <definedName name="NetTaxDepn" localSheetId="2">Content!NetTaxDepn</definedName>
    <definedName name="NetTaxDepn" localSheetId="7">Drivers!NetTaxDepn</definedName>
    <definedName name="NetTaxDepn" localSheetId="4">'P&amp;L'!NetTaxDepn</definedName>
    <definedName name="NetTaxDepn" localSheetId="3">Summary!NetTaxDepn</definedName>
    <definedName name="NetTaxDepn">CFS!NetTaxDepn</definedName>
    <definedName name="northAmerica">0</definedName>
    <definedName name="northAmericaCountries">#REF!</definedName>
    <definedName name="ODVsch" localSheetId="5">CFS!ODVsch</definedName>
    <definedName name="ODVsch" localSheetId="2">Content!ODVsch</definedName>
    <definedName name="ODVsch" localSheetId="7">Drivers!ODVsch</definedName>
    <definedName name="ODVsch" localSheetId="4">'P&amp;L'!ODVsch</definedName>
    <definedName name="ODVsch" localSheetId="3">Summary!ODVsch</definedName>
    <definedName name="ODVsch">CFS!ODVsch</definedName>
    <definedName name="ODVSum" localSheetId="5">CFS!ODVSum</definedName>
    <definedName name="ODVSum" localSheetId="2">Content!ODVSum</definedName>
    <definedName name="ODVSum" localSheetId="7">Drivers!ODVSum</definedName>
    <definedName name="ODVSum" localSheetId="4">'P&amp;L'!ODVSum</definedName>
    <definedName name="ODVSum" localSheetId="3">Summary!ODVSum</definedName>
    <definedName name="ODVSum">CFS!ODVSum</definedName>
    <definedName name="ODVtax" localSheetId="5">CFS!ODVtax</definedName>
    <definedName name="ODVtax" localSheetId="2">Content!ODVtax</definedName>
    <definedName name="ODVtax" localSheetId="7">Drivers!ODVtax</definedName>
    <definedName name="ODVtax" localSheetId="4">'P&amp;L'!ODVtax</definedName>
    <definedName name="ODVtax" localSheetId="3">Summary!ODVtax</definedName>
    <definedName name="ODVtax">CFS!ODVtax</definedName>
    <definedName name="OpMargin" localSheetId="5">OFFSET('P&amp;L'!_1088__FDSAUDITLINK__,5,0)</definedName>
    <definedName name="OpMargin" localSheetId="7">OFFSET(Drivers!XRange2,5,0)</definedName>
    <definedName name="OpMargin" localSheetId="4">OFFSET([0]!_1089__FDSAUDITLINK__,5,0)</definedName>
    <definedName name="OpMargin" localSheetId="3">OFFSET([0]!XRange2,5,0)</definedName>
    <definedName name="OpMargin">OFFSET(CFS!_109__FDSAUDITLINK__,5,0)</definedName>
    <definedName name="OPSDepn" localSheetId="5">CFS!OPSDepn</definedName>
    <definedName name="OPSDepn" localSheetId="2">Content!OPSDepn</definedName>
    <definedName name="OPSDepn" localSheetId="7">Drivers!OPSDepn</definedName>
    <definedName name="OPSDepn" localSheetId="4">'P&amp;L'!OPSDepn</definedName>
    <definedName name="OPSDepn" localSheetId="3">Summary!OPSDepn</definedName>
    <definedName name="OPSDepn">CFS!OPSDepn</definedName>
    <definedName name="OpsFin" localSheetId="5">CFS!OpsFin</definedName>
    <definedName name="OpsFin" localSheetId="2">Content!OpsFin</definedName>
    <definedName name="OpsFin" localSheetId="7">Drivers!OpsFin</definedName>
    <definedName name="OpsFin" localSheetId="4">'P&amp;L'!OpsFin</definedName>
    <definedName name="OpsFin" localSheetId="3">Summary!OpsFin</definedName>
    <definedName name="OpsFin">CFS!OpsFin</definedName>
    <definedName name="OPsTaxDepn" localSheetId="5">CFS!OPsTaxDepn</definedName>
    <definedName name="OPsTaxDepn" localSheetId="2">Content!OPsTaxDepn</definedName>
    <definedName name="OPsTaxDepn" localSheetId="7">Drivers!OPsTaxDepn</definedName>
    <definedName name="OPsTaxDepn" localSheetId="4">'P&amp;L'!OPsTaxDepn</definedName>
    <definedName name="OPsTaxDepn" localSheetId="3">Summary!OPsTaxDepn</definedName>
    <definedName name="OPsTaxDepn">CFS!OPsTaxDepn</definedName>
    <definedName name="otherAfrica">0</definedName>
    <definedName name="otherAsiaPacific">0</definedName>
    <definedName name="otherCentralEasternEurope">0</definedName>
    <definedName name="otherDevelopedEurope">0</definedName>
    <definedName name="otherLATAM">0</definedName>
    <definedName name="P_C_eta">364555.662947771</definedName>
    <definedName name="P_C_lambda">0</definedName>
    <definedName name="P_C_ol">245918.445065017</definedName>
    <definedName name="P_C_pi">30841.2775368761</definedName>
    <definedName name="P_C_sigma">0</definedName>
    <definedName name="P_C_TotAssets">937433.834135586</definedName>
    <definedName name="pbPrinterFormat">"\\SGB24831\P0047496 on Ne05:"</definedName>
    <definedName name="pbStartPageNumber">1</definedName>
    <definedName name="pbUpdatePageNumbering">TRUE</definedName>
    <definedName name="Phase1NPVFCF" localSheetId="5">OFFSET(CFS!_1087__FDSAUDITLINK__,39,0)</definedName>
    <definedName name="Phase1NPVFCF" localSheetId="2">OFFSET(Content!_1087__FDSAUDITLINK__,39,0)</definedName>
    <definedName name="Phase1NPVFCF" localSheetId="7">OFFSET(Drivers!XRange,39,0)</definedName>
    <definedName name="Phase1NPVFCF" localSheetId="3">OFFSET([0]!XRange,39,0)</definedName>
    <definedName name="Phase1NPVFCF">OFFSET([0]!_1088__FDSAUDITLINK__,39,0)</definedName>
    <definedName name="Phase2NPVFCF" localSheetId="5">OFFSET(CFS!_1087__FDSAUDITLINK__,40,0)</definedName>
    <definedName name="Phase2NPVFCF" localSheetId="2">OFFSET(Content!_1087__FDSAUDITLINK__,40,0)</definedName>
    <definedName name="Phase2NPVFCF" localSheetId="7">OFFSET(Drivers!XRange,40,0)</definedName>
    <definedName name="Phase2NPVFCF" localSheetId="3">OFFSET([0]!XRange,40,0)</definedName>
    <definedName name="Phase2NPVFCF">OFFSET([0]!_1088__FDSAUDITLINK__,40,0)</definedName>
    <definedName name="Phase3NPVFCF" localSheetId="5">OFFSET(CFS!_1087__FDSAUDITLINK__,41,0)</definedName>
    <definedName name="Phase3NPVFCF" localSheetId="2">OFFSET(Content!_1087__FDSAUDITLINK__,41,0)</definedName>
    <definedName name="Phase3NPVFCF" localSheetId="7">OFFSET(Drivers!XRange,41,0)</definedName>
    <definedName name="Phase3NPVFCF" localSheetId="3">OFFSET([0]!XRange,41,0)</definedName>
    <definedName name="Phase3NPVFCF">OFFSET([0]!_1088__FDSAUDITLINK__,41,0)</definedName>
    <definedName name="_xlnm.Print_Area" localSheetId="7">Drivers!$B$2:$U$63</definedName>
    <definedName name="_xlnm.Print_Area" localSheetId="3">Summary!$B$6:$AA$57</definedName>
    <definedName name="_xlnm.Print_Area">#REF!</definedName>
    <definedName name="_xlnm.Print_Titles">#REF!</definedName>
    <definedName name="quarterlycorrect" localSheetId="7">[0]!CompanyCountry = "GB"</definedName>
    <definedName name="quarterlycorrect" localSheetId="3">[0]!CompanyCountry = "GB"</definedName>
    <definedName name="quarterlycorrect">[0]!CompanyCountry = "GB"</definedName>
    <definedName name="regionalCostExposure">#REF!</definedName>
    <definedName name="Rem_Bus_ROIC" localSheetId="5">OFFSET(CFS!_1087__FDSAUDITLINK__,11,0)</definedName>
    <definedName name="Rem_Bus_ROIC" localSheetId="2">OFFSET(Content!_1087__FDSAUDITLINK__,11,0)</definedName>
    <definedName name="Rem_Bus_ROIC" localSheetId="7">OFFSET(Drivers!XRange,11,0)</definedName>
    <definedName name="Rem_Bus_ROIC" localSheetId="3">OFFSET([0]!XRange,11,0)</definedName>
    <definedName name="Rem_Bus_ROIC">OFFSET([0]!_1088__FDSAUDITLINK__,11,0)</definedName>
    <definedName name="rngBRICS">#REF!,#REF!,#REF!,#REF!</definedName>
    <definedName name="rngContinentWiseValue">#REF!</definedName>
    <definedName name="rngCountryWiseValue">#REF!</definedName>
    <definedName name="rngEEMEA">#REF!,#REF!,#REF!,#REF!</definedName>
    <definedName name="rngStateWiseValue">#REF!</definedName>
    <definedName name="rngTotalRegionExposure">1</definedName>
    <definedName name="SBLogo">"Picture 1"</definedName>
    <definedName name="showVersionCheckMessage">1</definedName>
    <definedName name="socioEconomicRegion">#REF!</definedName>
    <definedName name="socioEconomicRegions">#REF!</definedName>
    <definedName name="spain">0</definedName>
    <definedName name="Template.WIRE">"DBACCESS"</definedName>
    <definedName name="Total_Bus_ROIC" localSheetId="5">OFFSET(CFS!_1087__FDSAUDITLINK__,12,0)</definedName>
    <definedName name="Total_Bus_ROIC" localSheetId="2">OFFSET(Content!_1087__FDSAUDITLINK__,12,0)</definedName>
    <definedName name="Total_Bus_ROIC" localSheetId="7">OFFSET(Drivers!XRange,12,0)</definedName>
    <definedName name="Total_Bus_ROIC" localSheetId="3">OFFSET([0]!XRange,12,0)</definedName>
    <definedName name="Total_Bus_ROIC">OFFSET([0]!_1088__FDSAUDITLINK__,12,0)</definedName>
    <definedName name="totalConsumerDemandExposure">1</definedName>
    <definedName name="totalDomesticCostExposure">#REF!</definedName>
    <definedName name="totalDomesticRevenueExposure">#REF!</definedName>
    <definedName name="totalEndDemandRevenueExposure">#REF!</definedName>
    <definedName name="totalRegionCostExposure">#REF!</definedName>
    <definedName name="totalRegionRevenueExposure">#REF!</definedName>
    <definedName name="Trace">FALSE</definedName>
    <definedName name="uk">0</definedName>
    <definedName name="Update_This">[1]!Update_This</definedName>
    <definedName name="UpgradeVersion">"v2.35"</definedName>
    <definedName name="ValidDateTable">#REF!</definedName>
    <definedName name="Verify_Data" localSheetId="5">CFS!Verify_Data</definedName>
    <definedName name="Verify_Data" localSheetId="2">Content!Verify_Data</definedName>
    <definedName name="Verify_Data" localSheetId="7">Drivers!Verify_Data</definedName>
    <definedName name="Verify_Data" localSheetId="4">'P&amp;L'!Verify_Data</definedName>
    <definedName name="Verify_Data" localSheetId="3">Summary!Verify_Data</definedName>
    <definedName name="Verify_Data">CFS!Verify_Data</definedName>
    <definedName name="Version">"June 29, 2004"</definedName>
    <definedName name="Version.WIRE">1</definedName>
    <definedName name="WACC" localSheetId="3">OFFSET([0]!XRange,13,0)</definedName>
    <definedName name="Year2_FY" localSheetId="6">BS!$D$10</definedName>
    <definedName name="Year3_FY" localSheetId="6">BS!$G$10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1" i="1" l="1"/>
  <c r="AG41" i="1" s="1"/>
  <c r="AY413" i="43"/>
  <c r="BB413" i="43" s="1"/>
  <c r="BT69" i="8"/>
  <c r="AH188" i="1"/>
  <c r="AF181" i="1"/>
  <c r="AF184" i="1" s="1"/>
  <c r="AG100" i="1"/>
  <c r="AG101" i="1" s="1"/>
  <c r="AF101" i="1"/>
  <c r="AQ412" i="43"/>
  <c r="AF125" i="1" s="1"/>
  <c r="AW281" i="43"/>
  <c r="AT281" i="43"/>
  <c r="CQ88" i="43"/>
  <c r="AQ381" i="43"/>
  <c r="AQ382" i="43" s="1"/>
  <c r="BR196" i="8"/>
  <c r="CQ293" i="43"/>
  <c r="AQ31" i="43"/>
  <c r="AF230" i="1"/>
  <c r="AF228" i="1"/>
  <c r="AF208" i="1"/>
  <c r="AF207" i="1"/>
  <c r="AF202" i="1"/>
  <c r="AF195" i="1"/>
  <c r="AF191" i="1"/>
  <c r="AF186" i="1"/>
  <c r="AF147" i="1"/>
  <c r="AF132" i="1"/>
  <c r="AF117" i="1"/>
  <c r="AF92" i="1"/>
  <c r="AF89" i="1"/>
  <c r="AF108" i="1" s="1"/>
  <c r="AF43" i="1"/>
  <c r="AF47" i="1" s="1"/>
  <c r="AF80" i="1"/>
  <c r="AF75" i="1"/>
  <c r="AF21" i="1"/>
  <c r="AF17" i="1"/>
  <c r="AF60" i="1"/>
  <c r="AF61" i="1" s="1"/>
  <c r="AF53" i="1"/>
  <c r="AF54" i="1" s="1"/>
  <c r="AF51" i="1"/>
  <c r="AG92" i="1" l="1"/>
  <c r="AH92" i="1" s="1"/>
  <c r="AK92" i="1" s="1"/>
  <c r="AI92" i="1" l="1"/>
  <c r="AJ92" i="1" s="1"/>
  <c r="AN92" i="1"/>
  <c r="AL92" i="1" l="1"/>
  <c r="AQ92" i="1"/>
  <c r="AM92" i="1"/>
  <c r="AF19" i="2"/>
  <c r="AQ196" i="43"/>
  <c r="AQ397" i="43"/>
  <c r="AQ394" i="43"/>
  <c r="AQ389" i="43"/>
  <c r="AQ390" i="43" s="1"/>
  <c r="AQ387" i="43"/>
  <c r="AQ370" i="43"/>
  <c r="AQ366" i="43"/>
  <c r="AQ367" i="43" s="1"/>
  <c r="AQ364" i="43"/>
  <c r="AQ353" i="43"/>
  <c r="AQ351" i="43"/>
  <c r="AQ347" i="43"/>
  <c r="AQ348" i="43" s="1"/>
  <c r="AQ345" i="43"/>
  <c r="AQ343" i="43"/>
  <c r="AQ334" i="43"/>
  <c r="AQ330" i="43"/>
  <c r="AQ331" i="43" s="1"/>
  <c r="AQ312" i="43"/>
  <c r="AQ307" i="43"/>
  <c r="AQ296" i="43"/>
  <c r="AQ285" i="43"/>
  <c r="AQ283" i="43"/>
  <c r="AQ280" i="43"/>
  <c r="AQ278" i="43"/>
  <c r="AQ302" i="43"/>
  <c r="AQ273" i="43"/>
  <c r="AQ271" i="43"/>
  <c r="AQ266" i="43"/>
  <c r="AQ267" i="43" s="1"/>
  <c r="AQ263" i="43"/>
  <c r="AQ256" i="43"/>
  <c r="AQ253" i="43"/>
  <c r="AQ229" i="43"/>
  <c r="AQ210" i="43"/>
  <c r="AQ197" i="43"/>
  <c r="AQ143" i="43"/>
  <c r="AQ90" i="43"/>
  <c r="AQ82" i="43"/>
  <c r="AQ76" i="43"/>
  <c r="AQ37" i="43"/>
  <c r="AQ36" i="43"/>
  <c r="AQ15" i="43"/>
  <c r="AQ14" i="43"/>
  <c r="AQ13" i="43"/>
  <c r="AQ6" i="43"/>
  <c r="AQ4" i="43"/>
  <c r="AF37" i="2"/>
  <c r="AH37" i="2" s="1"/>
  <c r="AQ145" i="43" l="1"/>
  <c r="AQ42" i="43"/>
  <c r="AQ258" i="43"/>
  <c r="AQ226" i="43"/>
  <c r="AO92" i="1"/>
  <c r="AP92" i="1" s="1"/>
  <c r="AQ41" i="43"/>
  <c r="AQ230" i="43"/>
  <c r="P43" i="46" l="1"/>
  <c r="AL22" i="46" l="1"/>
  <c r="AL49" i="46" s="1"/>
  <c r="S27" i="46"/>
  <c r="S43" i="46" s="1"/>
  <c r="S49" i="46" s="1"/>
  <c r="AR309" i="43" l="1"/>
  <c r="AU79" i="43"/>
  <c r="AS363" i="43" l="1"/>
  <c r="BQ192" i="8"/>
  <c r="BQ196" i="8"/>
  <c r="BO196" i="8"/>
  <c r="AV296" i="43"/>
  <c r="AY296" i="43" s="1"/>
  <c r="BB296" i="43" s="1"/>
  <c r="AZ296" i="43" s="1"/>
  <c r="AT296" i="43"/>
  <c r="AP381" i="43"/>
  <c r="AP382" i="43" s="1"/>
  <c r="AO363" i="43"/>
  <c r="AS360" i="43"/>
  <c r="AS359" i="43" s="1"/>
  <c r="AT360" i="43" s="1"/>
  <c r="AE186" i="1"/>
  <c r="AF173" i="1" s="1"/>
  <c r="AB147" i="1"/>
  <c r="AE147" i="1"/>
  <c r="AC147" i="1"/>
  <c r="AE132" i="1"/>
  <c r="AF116" i="1" s="1"/>
  <c r="AD129" i="1"/>
  <c r="AD16" i="1"/>
  <c r="AD15" i="1"/>
  <c r="AD12" i="1"/>
  <c r="AE230" i="1"/>
  <c r="AE228" i="1"/>
  <c r="AE208" i="1"/>
  <c r="AE207" i="1"/>
  <c r="AE189" i="1"/>
  <c r="AE190" i="1"/>
  <c r="AE188" i="1"/>
  <c r="AC181" i="1"/>
  <c r="AE181" i="1" s="1"/>
  <c r="AE117" i="1"/>
  <c r="AE101" i="1"/>
  <c r="AE92" i="1"/>
  <c r="AE75" i="1"/>
  <c r="AE67" i="1"/>
  <c r="AE60" i="1"/>
  <c r="AE61" i="1" s="1"/>
  <c r="AE53" i="1"/>
  <c r="AE51" i="1"/>
  <c r="AD45" i="1"/>
  <c r="AE43" i="1"/>
  <c r="AE47" i="1" s="1"/>
  <c r="AD42" i="1"/>
  <c r="AD41" i="1"/>
  <c r="AD40" i="1"/>
  <c r="AD33" i="1"/>
  <c r="AD32" i="1"/>
  <c r="AD31" i="1"/>
  <c r="AD30" i="1"/>
  <c r="AD26" i="1"/>
  <c r="AD25" i="1"/>
  <c r="AD24" i="1"/>
  <c r="AD23" i="1"/>
  <c r="AE21" i="1"/>
  <c r="AE17" i="1"/>
  <c r="AE8" i="1"/>
  <c r="AE7" i="1"/>
  <c r="AD45" i="2"/>
  <c r="AD36" i="2"/>
  <c r="AD29" i="2"/>
  <c r="AD27" i="2"/>
  <c r="AE19" i="2"/>
  <c r="AD12" i="2"/>
  <c r="AD11" i="2"/>
  <c r="AD10" i="2"/>
  <c r="AD9" i="2"/>
  <c r="AD8" i="2"/>
  <c r="AD7" i="2"/>
  <c r="BP62" i="8"/>
  <c r="BQ105" i="8"/>
  <c r="BQ121" i="8"/>
  <c r="BQ116" i="8"/>
  <c r="BQ114" i="8"/>
  <c r="BQ137" i="8"/>
  <c r="BQ71" i="8"/>
  <c r="BQ68" i="8"/>
  <c r="AE18" i="2" s="1"/>
  <c r="BQ33" i="8"/>
  <c r="BQ28" i="8"/>
  <c r="BQ22" i="8"/>
  <c r="BQ19" i="8"/>
  <c r="BP36" i="8"/>
  <c r="BP27" i="8"/>
  <c r="BP21" i="8"/>
  <c r="BP17" i="8"/>
  <c r="AP350" i="43"/>
  <c r="AP353" i="43" s="1"/>
  <c r="AP302" i="43"/>
  <c r="AP300" i="43"/>
  <c r="AP31" i="43"/>
  <c r="AP410" i="43"/>
  <c r="AP389" i="43"/>
  <c r="AP390" i="43" s="1"/>
  <c r="AP370" i="43"/>
  <c r="AP342" i="43"/>
  <c r="AP343" i="43" s="1"/>
  <c r="AP334" i="43"/>
  <c r="AP330" i="43"/>
  <c r="AP331" i="43" s="1"/>
  <c r="AP312" i="43"/>
  <c r="AP291" i="43"/>
  <c r="AO290" i="43"/>
  <c r="AP280" i="43"/>
  <c r="AP229" i="43" s="1"/>
  <c r="AP210" i="43" s="1"/>
  <c r="AO277" i="43"/>
  <c r="AP278" i="43"/>
  <c r="AP273" i="43"/>
  <c r="AP271" i="43"/>
  <c r="AP266" i="43"/>
  <c r="AS266" i="43" s="1"/>
  <c r="AV266" i="43" s="1"/>
  <c r="AP264" i="43"/>
  <c r="AP263" i="43"/>
  <c r="AP253" i="43"/>
  <c r="AO174" i="43"/>
  <c r="AP143" i="43"/>
  <c r="AP197" i="43"/>
  <c r="AP196" i="43"/>
  <c r="AP181" i="43"/>
  <c r="AP161" i="43"/>
  <c r="AP82" i="43"/>
  <c r="AP76" i="43"/>
  <c r="AP44" i="43"/>
  <c r="AD147" i="1" l="1"/>
  <c r="AF139" i="1"/>
  <c r="AP351" i="43"/>
  <c r="AE191" i="1"/>
  <c r="AP283" i="43"/>
  <c r="AP345" i="43"/>
  <c r="AP409" i="43"/>
  <c r="AP267" i="43"/>
  <c r="AD43" i="1"/>
  <c r="AW296" i="43"/>
  <c r="AX296" i="43" s="1"/>
  <c r="BA296" i="43"/>
  <c r="AE68" i="1"/>
  <c r="AE54" i="1"/>
  <c r="AD13" i="2"/>
  <c r="AE73" i="1" l="1"/>
  <c r="AE20" i="2" s="1"/>
  <c r="AM372" i="43" l="1"/>
  <c r="AM210" i="43"/>
  <c r="AM143" i="43"/>
  <c r="AM369" i="43"/>
  <c r="AN370" i="43"/>
  <c r="AJ161" i="43"/>
  <c r="AB191" i="1"/>
  <c r="AC32" i="1"/>
  <c r="AN302" i="43"/>
  <c r="AN293" i="43"/>
  <c r="AN280" i="43"/>
  <c r="AN229" i="43"/>
  <c r="AQ232" i="43" s="1"/>
  <c r="AN90" i="43"/>
  <c r="AC24" i="1"/>
  <c r="AA6" i="1"/>
  <c r="AQ99" i="43" l="1"/>
  <c r="AQ96" i="43"/>
  <c r="AP144" i="43"/>
  <c r="AP147" i="43"/>
  <c r="AG33" i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C101" i="1" l="1"/>
  <c r="AC92" i="1"/>
  <c r="BW69" i="8"/>
  <c r="BZ69" i="8" s="1"/>
  <c r="AN381" i="43"/>
  <c r="AN382" i="43" s="1"/>
  <c r="AN266" i="43"/>
  <c r="AC186" i="1"/>
  <c r="AC184" i="1"/>
  <c r="AC208" i="1"/>
  <c r="AC207" i="1"/>
  <c r="AC195" i="1"/>
  <c r="AC191" i="1"/>
  <c r="AC43" i="1"/>
  <c r="Z168" i="1"/>
  <c r="AC132" i="1"/>
  <c r="AC89" i="1"/>
  <c r="AC108" i="1" s="1"/>
  <c r="AC85" i="1"/>
  <c r="AC86" i="1" s="1"/>
  <c r="AC17" i="1"/>
  <c r="AC75" i="1"/>
  <c r="AC67" i="1"/>
  <c r="AC60" i="1"/>
  <c r="AC61" i="1" s="1"/>
  <c r="AC53" i="1"/>
  <c r="AC54" i="1" s="1"/>
  <c r="AC51" i="1"/>
  <c r="AC34" i="2"/>
  <c r="AD34" i="2" s="1"/>
  <c r="AN412" i="43"/>
  <c r="AC125" i="1" s="1"/>
  <c r="AC19" i="2"/>
  <c r="AC13" i="2"/>
  <c r="BO192" i="8"/>
  <c r="BO185" i="8"/>
  <c r="BO137" i="8"/>
  <c r="BO121" i="8"/>
  <c r="BO116" i="8"/>
  <c r="BO115" i="8"/>
  <c r="BO114" i="8"/>
  <c r="BP105" i="8"/>
  <c r="BO105" i="8"/>
  <c r="BO106" i="8" s="1"/>
  <c r="BO71" i="8"/>
  <c r="BO68" i="8"/>
  <c r="AC18" i="2" s="1"/>
  <c r="BO33" i="8"/>
  <c r="BO19" i="8"/>
  <c r="AN389" i="43"/>
  <c r="AN390" i="43" s="1"/>
  <c r="AN353" i="43"/>
  <c r="AN351" i="43"/>
  <c r="AQ352" i="43" s="1"/>
  <c r="AN347" i="43"/>
  <c r="AN348" i="43" s="1"/>
  <c r="AN345" i="43"/>
  <c r="AN343" i="43"/>
  <c r="AQ344" i="43" s="1"/>
  <c r="AN334" i="43"/>
  <c r="AQ335" i="43" s="1"/>
  <c r="AN330" i="43"/>
  <c r="AN331" i="43" s="1"/>
  <c r="AN307" i="43"/>
  <c r="AN300" i="43"/>
  <c r="AN283" i="43"/>
  <c r="AN278" i="43"/>
  <c r="AN273" i="43"/>
  <c r="AN271" i="43"/>
  <c r="AQ272" i="43" s="1"/>
  <c r="AN263" i="43"/>
  <c r="AQ264" i="43" s="1"/>
  <c r="AN253" i="43"/>
  <c r="AQ254" i="43" s="1"/>
  <c r="AN197" i="43"/>
  <c r="AN196" i="43"/>
  <c r="BO28" i="8"/>
  <c r="AN82" i="43"/>
  <c r="AN76" i="43"/>
  <c r="AN13" i="43"/>
  <c r="AN15" i="43"/>
  <c r="AN14" i="43"/>
  <c r="AN6" i="43"/>
  <c r="AN4" i="43"/>
  <c r="CC69" i="8" l="1"/>
  <c r="BO22" i="8"/>
  <c r="BO205" i="8"/>
  <c r="BO18" i="8"/>
  <c r="AN210" i="43"/>
  <c r="AN226" i="43" s="1"/>
  <c r="AN84" i="43"/>
  <c r="AN230" i="43"/>
  <c r="AQ231" i="43" s="1"/>
  <c r="AC68" i="1"/>
  <c r="AC73" i="1" s="1"/>
  <c r="AN267" i="43"/>
  <c r="AN294" i="43" l="1"/>
  <c r="AN143" i="43"/>
  <c r="AN85" i="43"/>
  <c r="AN281" i="43"/>
  <c r="AN303" i="43"/>
  <c r="AQ147" i="43" l="1"/>
  <c r="AQ148" i="43" s="1"/>
  <c r="AQ144" i="43"/>
  <c r="AN145" i="43"/>
  <c r="AP364" i="43" l="1"/>
  <c r="AM378" i="43" l="1"/>
  <c r="AN379" i="43"/>
  <c r="AP379" i="43" s="1"/>
  <c r="AQ379" i="43" s="1"/>
  <c r="AN373" i="43"/>
  <c r="AP373" i="43" s="1"/>
  <c r="AM366" i="43"/>
  <c r="AM367" i="43" s="1"/>
  <c r="AC117" i="1"/>
  <c r="AS370" i="43" l="1"/>
  <c r="AR363" i="43"/>
  <c r="AR364" i="43" s="1"/>
  <c r="AM389" i="43"/>
  <c r="AM390" i="43" s="1"/>
  <c r="AM381" i="43"/>
  <c r="AM382" i="43" s="1"/>
  <c r="AM375" i="43"/>
  <c r="AQ373" i="43"/>
  <c r="AQ372" i="43" s="1"/>
  <c r="AP372" i="43"/>
  <c r="AS379" i="43"/>
  <c r="AP378" i="43"/>
  <c r="AS390" i="43" l="1"/>
  <c r="AQ43" i="43"/>
  <c r="AF164" i="1" s="1"/>
  <c r="AM386" i="43"/>
  <c r="AM376" i="43"/>
  <c r="AS378" i="43"/>
  <c r="AT379" i="43"/>
  <c r="AP366" i="43"/>
  <c r="AP375" i="43"/>
  <c r="AN378" i="43"/>
  <c r="AO378" i="43" s="1"/>
  <c r="AN372" i="43"/>
  <c r="AN375" i="43" s="1"/>
  <c r="AS373" i="43"/>
  <c r="AS369" i="43"/>
  <c r="AT370" i="43"/>
  <c r="AV364" i="43"/>
  <c r="AF16" i="2" l="1"/>
  <c r="AM393" i="43"/>
  <c r="AM394" i="43" s="1"/>
  <c r="AT390" i="43"/>
  <c r="AS389" i="43"/>
  <c r="AR389" i="43" s="1"/>
  <c r="AM387" i="43"/>
  <c r="AO381" i="43"/>
  <c r="AT363" i="43"/>
  <c r="AT369" i="43" s="1"/>
  <c r="AO372" i="43"/>
  <c r="AO373" i="43" s="1"/>
  <c r="AO379" i="43"/>
  <c r="AV370" i="43"/>
  <c r="AN366" i="43"/>
  <c r="AN367" i="43" s="1"/>
  <c r="AO375" i="43"/>
  <c r="AO376" i="43" s="1"/>
  <c r="AV379" i="43"/>
  <c r="AS372" i="43"/>
  <c r="AT373" i="43"/>
  <c r="AQ378" i="43"/>
  <c r="AR378" i="43" s="1"/>
  <c r="AP367" i="43"/>
  <c r="AP376" i="43"/>
  <c r="AS366" i="43"/>
  <c r="AO369" i="43"/>
  <c r="AV363" i="43"/>
  <c r="AW364" i="43"/>
  <c r="AS382" i="43" l="1"/>
  <c r="AS381" i="43" s="1"/>
  <c r="AS386" i="43" s="1"/>
  <c r="AT378" i="43"/>
  <c r="AR390" i="43"/>
  <c r="AV390" i="43"/>
  <c r="AT389" i="43"/>
  <c r="AO382" i="43"/>
  <c r="AO370" i="43"/>
  <c r="AN387" i="43"/>
  <c r="AR379" i="43"/>
  <c r="AS375" i="43"/>
  <c r="AP387" i="43"/>
  <c r="AO386" i="43"/>
  <c r="AR369" i="43"/>
  <c r="AO366" i="43"/>
  <c r="AO367" i="43" s="1"/>
  <c r="AR372" i="43"/>
  <c r="AR373" i="43" s="1"/>
  <c r="AN376" i="43"/>
  <c r="AV378" i="43"/>
  <c r="AW379" i="43"/>
  <c r="AT366" i="43"/>
  <c r="AT367" i="43" s="1"/>
  <c r="AT372" i="43"/>
  <c r="AV373" i="43"/>
  <c r="AS367" i="43"/>
  <c r="AQ375" i="43"/>
  <c r="AW370" i="43"/>
  <c r="AV369" i="43"/>
  <c r="AW363" i="43"/>
  <c r="AY364" i="43"/>
  <c r="AZ364" i="43" s="1"/>
  <c r="BB364" i="43" s="1"/>
  <c r="AU363" i="43"/>
  <c r="AT382" i="43" l="1"/>
  <c r="AT381" i="43" s="1"/>
  <c r="AT386" i="43" s="1"/>
  <c r="AU378" i="43"/>
  <c r="AU379" i="43" s="1"/>
  <c r="AW390" i="43"/>
  <c r="AV389" i="43"/>
  <c r="AU389" i="43" s="1"/>
  <c r="AU390" i="43" s="1"/>
  <c r="AO387" i="43"/>
  <c r="AR370" i="43"/>
  <c r="AU364" i="43"/>
  <c r="AS376" i="43"/>
  <c r="AR381" i="43"/>
  <c r="AS393" i="43"/>
  <c r="AS397" i="43" s="1"/>
  <c r="BT86" i="8" s="1"/>
  <c r="BS86" i="8" s="1"/>
  <c r="AT375" i="43"/>
  <c r="AT376" i="43" s="1"/>
  <c r="AY370" i="43"/>
  <c r="AW369" i="43"/>
  <c r="AR375" i="43"/>
  <c r="AR376" i="43" s="1"/>
  <c r="AQ376" i="43"/>
  <c r="AU369" i="43"/>
  <c r="AV366" i="43"/>
  <c r="AW373" i="43"/>
  <c r="AV372" i="43"/>
  <c r="AY379" i="43"/>
  <c r="AW378" i="43"/>
  <c r="AR366" i="43"/>
  <c r="AR367" i="43" s="1"/>
  <c r="AY363" i="43"/>
  <c r="AZ363" i="43"/>
  <c r="AV382" i="43" l="1"/>
  <c r="AV381" i="43" s="1"/>
  <c r="AU381" i="43" s="1"/>
  <c r="AR397" i="43"/>
  <c r="AY390" i="43"/>
  <c r="AW389" i="43"/>
  <c r="AX363" i="43"/>
  <c r="AX364" i="43" s="1"/>
  <c r="AR382" i="43"/>
  <c r="AT393" i="43"/>
  <c r="AT397" i="43" s="1"/>
  <c r="BU86" i="8" s="1"/>
  <c r="AU370" i="43"/>
  <c r="AU372" i="43"/>
  <c r="AU373" i="43" s="1"/>
  <c r="AS387" i="43"/>
  <c r="AR386" i="43"/>
  <c r="AW366" i="43"/>
  <c r="AY378" i="43"/>
  <c r="AX378" i="43" s="1"/>
  <c r="AZ379" i="43"/>
  <c r="AZ370" i="43"/>
  <c r="AY369" i="43"/>
  <c r="AU366" i="43"/>
  <c r="AU367" i="43" s="1"/>
  <c r="AV367" i="43"/>
  <c r="AW372" i="43"/>
  <c r="AY373" i="43"/>
  <c r="AV375" i="43"/>
  <c r="BB363" i="43"/>
  <c r="AW382" i="43" l="1"/>
  <c r="AW381" i="43" s="1"/>
  <c r="AW386" i="43" s="1"/>
  <c r="AV386" i="43"/>
  <c r="AU386" i="43" s="1"/>
  <c r="AT394" i="43"/>
  <c r="AX379" i="43"/>
  <c r="AZ390" i="43"/>
  <c r="AY389" i="43"/>
  <c r="AX389" i="43" s="1"/>
  <c r="AX390" i="43" s="1"/>
  <c r="AS394" i="43"/>
  <c r="AR393" i="43"/>
  <c r="AR394" i="43" s="1"/>
  <c r="AR387" i="43"/>
  <c r="AT387" i="43"/>
  <c r="BA363" i="43"/>
  <c r="BA364" i="43" s="1"/>
  <c r="AW375" i="43"/>
  <c r="AW376" i="43" s="1"/>
  <c r="AZ378" i="43"/>
  <c r="BB379" i="43"/>
  <c r="BB378" i="43" s="1"/>
  <c r="AV376" i="43"/>
  <c r="AU375" i="43"/>
  <c r="AU376" i="43" s="1"/>
  <c r="AY372" i="43"/>
  <c r="AZ373" i="43"/>
  <c r="AX369" i="43"/>
  <c r="AY366" i="43"/>
  <c r="AY367" i="43" s="1"/>
  <c r="AW367" i="43"/>
  <c r="BB370" i="43"/>
  <c r="BB369" i="43" s="1"/>
  <c r="AZ369" i="43"/>
  <c r="AY382" i="43" l="1"/>
  <c r="AY381" i="43" s="1"/>
  <c r="AY386" i="43" s="1"/>
  <c r="AX386" i="43" s="1"/>
  <c r="BB390" i="43"/>
  <c r="BB389" i="43" s="1"/>
  <c r="AZ389" i="43"/>
  <c r="AY375" i="43"/>
  <c r="AX375" i="43" s="1"/>
  <c r="AX376" i="43" s="1"/>
  <c r="AV393" i="43"/>
  <c r="AX370" i="43"/>
  <c r="AU382" i="43"/>
  <c r="AX372" i="43"/>
  <c r="AX373" i="43" s="1"/>
  <c r="AV387" i="43"/>
  <c r="BA378" i="43"/>
  <c r="BA379" i="43" s="1"/>
  <c r="AZ366" i="43"/>
  <c r="AZ367" i="43" s="1"/>
  <c r="BB366" i="43"/>
  <c r="BA369" i="43"/>
  <c r="AX366" i="43"/>
  <c r="AX367" i="43" s="1"/>
  <c r="BB373" i="43"/>
  <c r="BB372" i="43" s="1"/>
  <c r="AZ372" i="43"/>
  <c r="AZ382" i="43" l="1"/>
  <c r="AZ381" i="43" s="1"/>
  <c r="AZ386" i="43" s="1"/>
  <c r="AX381" i="43"/>
  <c r="AY376" i="43"/>
  <c r="AU393" i="43"/>
  <c r="AU394" i="43" s="1"/>
  <c r="AV397" i="43"/>
  <c r="BA389" i="43"/>
  <c r="BA390" i="43" s="1"/>
  <c r="AV394" i="43"/>
  <c r="AW393" i="43"/>
  <c r="AU387" i="43"/>
  <c r="AY393" i="43"/>
  <c r="BA370" i="43"/>
  <c r="AW387" i="43"/>
  <c r="AZ375" i="43"/>
  <c r="AZ376" i="43" s="1"/>
  <c r="BA372" i="43"/>
  <c r="BA373" i="43" s="1"/>
  <c r="BB375" i="43"/>
  <c r="BB367" i="43"/>
  <c r="BA366" i="43"/>
  <c r="BA367" i="43" s="1"/>
  <c r="BB382" i="43" l="1"/>
  <c r="BB381" i="43" s="1"/>
  <c r="BA381" i="43" s="1"/>
  <c r="BB386" i="43"/>
  <c r="BA386" i="43" s="1"/>
  <c r="BW86" i="8"/>
  <c r="BV86" i="8" s="1"/>
  <c r="AU397" i="43"/>
  <c r="AY394" i="43"/>
  <c r="AY397" i="43"/>
  <c r="AW394" i="43"/>
  <c r="AW397" i="43"/>
  <c r="BX86" i="8" s="1"/>
  <c r="AX393" i="43"/>
  <c r="AX394" i="43" s="1"/>
  <c r="AY387" i="43"/>
  <c r="AZ393" i="43"/>
  <c r="AX382" i="43"/>
  <c r="BB376" i="43"/>
  <c r="BA375" i="43"/>
  <c r="BA376" i="43" s="1"/>
  <c r="BZ86" i="8" l="1"/>
  <c r="BY86" i="8" s="1"/>
  <c r="AX397" i="43"/>
  <c r="AZ394" i="43"/>
  <c r="AZ397" i="43"/>
  <c r="CA86" i="8" s="1"/>
  <c r="BB393" i="43"/>
  <c r="AZ387" i="43"/>
  <c r="AX387" i="43"/>
  <c r="BA382" i="43"/>
  <c r="BB387" i="43"/>
  <c r="BA393" i="43" l="1"/>
  <c r="BA394" i="43" s="1"/>
  <c r="BB397" i="43"/>
  <c r="BB394" i="43"/>
  <c r="BA387" i="43"/>
  <c r="BA397" i="43" l="1"/>
  <c r="CC86" i="8"/>
  <c r="CB86" i="8" s="1"/>
  <c r="O41" i="46"/>
  <c r="L41" i="46"/>
  <c r="K41" i="46"/>
  <c r="M40" i="46"/>
  <c r="N40" i="46"/>
  <c r="O40" i="46"/>
  <c r="L40" i="46"/>
  <c r="AK22" i="46"/>
  <c r="AK49" i="46" s="1"/>
  <c r="R27" i="46"/>
  <c r="R43" i="46" s="1"/>
  <c r="R49" i="46" s="1"/>
  <c r="AA39" i="2" l="1"/>
  <c r="AA38" i="2"/>
  <c r="AK63" i="43"/>
  <c r="AN63" i="43" s="1"/>
  <c r="AU175" i="43"/>
  <c r="AX175" i="43"/>
  <c r="BA175" i="43"/>
  <c r="AA42" i="1"/>
  <c r="AA40" i="1"/>
  <c r="AA207" i="1" s="1"/>
  <c r="AB208" i="1"/>
  <c r="AB207" i="1"/>
  <c r="AB201" i="1"/>
  <c r="AB195" i="1"/>
  <c r="AA201" i="1"/>
  <c r="AB186" i="1"/>
  <c r="AC173" i="1" s="1"/>
  <c r="AA176" i="1"/>
  <c r="AA130" i="1"/>
  <c r="AA129" i="1"/>
  <c r="AB132" i="1"/>
  <c r="AE116" i="1" s="1"/>
  <c r="AA117" i="1"/>
  <c r="AB101" i="1"/>
  <c r="AB98" i="1"/>
  <c r="AB92" i="1"/>
  <c r="AA87" i="1"/>
  <c r="AA85" i="1"/>
  <c r="AB81" i="1"/>
  <c r="AB75" i="1"/>
  <c r="AB60" i="1"/>
  <c r="AB61" i="1" s="1"/>
  <c r="AB53" i="1"/>
  <c r="AB54" i="1" s="1"/>
  <c r="AB51" i="1"/>
  <c r="AA69" i="1"/>
  <c r="AA67" i="1"/>
  <c r="AA62" i="1"/>
  <c r="AA60" i="1"/>
  <c r="AA55" i="1"/>
  <c r="AA53" i="1"/>
  <c r="AB85" i="1"/>
  <c r="AB86" i="1" s="1"/>
  <c r="AB67" i="1"/>
  <c r="AB68" i="1" s="1"/>
  <c r="AB43" i="1"/>
  <c r="AB29" i="1"/>
  <c r="AB34" i="1" s="1"/>
  <c r="AB21" i="1"/>
  <c r="AB17" i="1"/>
  <c r="AB8" i="1"/>
  <c r="AB7" i="1"/>
  <c r="BN192" i="8"/>
  <c r="BM192" i="8"/>
  <c r="BN121" i="8"/>
  <c r="BN116" i="8"/>
  <c r="BN114" i="8"/>
  <c r="BN105" i="8"/>
  <c r="BM116" i="8"/>
  <c r="BM115" i="8"/>
  <c r="BM114" i="8"/>
  <c r="BM105" i="8"/>
  <c r="BM102" i="8"/>
  <c r="BN137" i="8"/>
  <c r="BM70" i="8"/>
  <c r="BM69" i="8"/>
  <c r="BN71" i="8"/>
  <c r="BN68" i="8"/>
  <c r="BM67" i="8"/>
  <c r="AA101" i="1" s="1"/>
  <c r="BN33" i="8"/>
  <c r="BM36" i="8"/>
  <c r="BM27" i="8"/>
  <c r="BP33" i="8" s="1"/>
  <c r="BM21" i="8"/>
  <c r="BN19" i="8"/>
  <c r="BM17" i="8"/>
  <c r="BP19" i="8" s="1"/>
  <c r="AB72" i="2"/>
  <c r="AB63" i="2"/>
  <c r="AB56" i="2"/>
  <c r="AB55" i="2"/>
  <c r="AB53" i="2"/>
  <c r="AB51" i="2"/>
  <c r="AA53" i="2"/>
  <c r="AA51" i="2"/>
  <c r="AB40" i="2"/>
  <c r="AA36" i="2"/>
  <c r="AA34" i="2"/>
  <c r="AB31" i="2"/>
  <c r="AA29" i="2"/>
  <c r="AA28" i="2"/>
  <c r="AA55" i="2" s="1"/>
  <c r="AA27" i="2"/>
  <c r="AB13" i="2"/>
  <c r="AA12" i="2"/>
  <c r="AA11" i="2"/>
  <c r="AA10" i="2"/>
  <c r="AA9" i="2"/>
  <c r="AA8" i="2"/>
  <c r="AA7" i="2"/>
  <c r="AM410" i="43"/>
  <c r="AM353" i="43"/>
  <c r="AM351" i="43"/>
  <c r="AM345" i="43"/>
  <c r="AM343" i="43"/>
  <c r="AP344" i="43" s="1"/>
  <c r="AM334" i="43"/>
  <c r="AM330" i="43"/>
  <c r="AM331" i="43" s="1"/>
  <c r="AM312" i="43"/>
  <c r="AM307" i="43"/>
  <c r="AM302" i="43"/>
  <c r="AM303" i="43" s="1"/>
  <c r="AM300" i="43"/>
  <c r="AM293" i="43"/>
  <c r="AM294" i="43" s="1"/>
  <c r="AM291" i="43"/>
  <c r="AL290" i="43"/>
  <c r="AM280" i="43"/>
  <c r="AM229" i="43" s="1"/>
  <c r="AL277" i="43"/>
  <c r="AM278" i="43"/>
  <c r="AM273" i="43"/>
  <c r="AM271" i="43"/>
  <c r="AM264" i="43"/>
  <c r="AM263" i="43"/>
  <c r="AM253" i="43"/>
  <c r="AJ210" i="43"/>
  <c r="AM197" i="43"/>
  <c r="AM196" i="43"/>
  <c r="AM181" i="43"/>
  <c r="AM161" i="43"/>
  <c r="AM90" i="43"/>
  <c r="AM87" i="43"/>
  <c r="AM85" i="43"/>
  <c r="AM82" i="43"/>
  <c r="AM76" i="43"/>
  <c r="AM59" i="43"/>
  <c r="BN58" i="8" s="1"/>
  <c r="AM15" i="43"/>
  <c r="AM14" i="43"/>
  <c r="AM13" i="43"/>
  <c r="AM6" i="43"/>
  <c r="AM4" i="43"/>
  <c r="AQ56" i="2"/>
  <c r="AQ55" i="2"/>
  <c r="AO55" i="2"/>
  <c r="AQ53" i="2"/>
  <c r="AP53" i="2"/>
  <c r="AO53" i="2"/>
  <c r="AQ51" i="2"/>
  <c r="AP51" i="2"/>
  <c r="AO51" i="2"/>
  <c r="AP45" i="2"/>
  <c r="AO35" i="2"/>
  <c r="AO56" i="2" s="1"/>
  <c r="AQ34" i="2"/>
  <c r="AP34" i="2"/>
  <c r="AO34" i="2"/>
  <c r="AP29" i="2"/>
  <c r="AP28" i="2"/>
  <c r="AP55" i="2" s="1"/>
  <c r="AP27" i="2"/>
  <c r="AQ25" i="2"/>
  <c r="AQ13" i="2"/>
  <c r="AP13" i="2"/>
  <c r="AO13" i="2"/>
  <c r="AN56" i="2"/>
  <c r="AN55" i="2"/>
  <c r="AL55" i="2"/>
  <c r="AN53" i="2"/>
  <c r="AM53" i="2"/>
  <c r="AL53" i="2"/>
  <c r="AN51" i="2"/>
  <c r="AM51" i="2"/>
  <c r="AL51" i="2"/>
  <c r="AM45" i="2"/>
  <c r="AL35" i="2"/>
  <c r="AL56" i="2" s="1"/>
  <c r="AN34" i="2"/>
  <c r="AM34" i="2"/>
  <c r="AL34" i="2"/>
  <c r="AM29" i="2"/>
  <c r="AM28" i="2"/>
  <c r="AM55" i="2" s="1"/>
  <c r="AM27" i="2"/>
  <c r="AN25" i="2"/>
  <c r="AN13" i="2"/>
  <c r="AM13" i="2"/>
  <c r="AL13" i="2"/>
  <c r="CC267" i="8"/>
  <c r="CA267" i="8"/>
  <c r="CC216" i="8"/>
  <c r="CC192" i="8"/>
  <c r="CB192" i="8"/>
  <c r="CA192" i="8"/>
  <c r="CC137" i="8"/>
  <c r="CC116" i="8"/>
  <c r="CB116" i="8"/>
  <c r="CA116" i="8"/>
  <c r="CB115" i="8"/>
  <c r="CA115" i="8"/>
  <c r="CC114" i="8"/>
  <c r="CB114" i="8"/>
  <c r="CA114" i="8"/>
  <c r="CA77" i="8"/>
  <c r="CC4" i="8"/>
  <c r="BZ267" i="8"/>
  <c r="BX267" i="8"/>
  <c r="BZ216" i="8"/>
  <c r="BZ192" i="8"/>
  <c r="BY192" i="8"/>
  <c r="BX192" i="8"/>
  <c r="BZ137" i="8"/>
  <c r="BZ116" i="8"/>
  <c r="BY116" i="8"/>
  <c r="BX116" i="8"/>
  <c r="BY115" i="8"/>
  <c r="BX115" i="8"/>
  <c r="BZ114" i="8"/>
  <c r="BY114" i="8"/>
  <c r="BX114" i="8"/>
  <c r="BX77" i="8"/>
  <c r="BZ4" i="8"/>
  <c r="AW196" i="43"/>
  <c r="AS154" i="43"/>
  <c r="BA319" i="43"/>
  <c r="BA318" i="43"/>
  <c r="AZ282" i="43"/>
  <c r="AZ197" i="43"/>
  <c r="AZ196" i="43"/>
  <c r="BA182" i="43"/>
  <c r="BB181" i="43"/>
  <c r="BA181" i="43" s="1"/>
  <c r="BA180" i="43"/>
  <c r="BA176" i="43"/>
  <c r="BB174" i="43"/>
  <c r="BA162" i="43"/>
  <c r="BA160" i="43"/>
  <c r="BA196" i="43" s="1"/>
  <c r="BB156" i="43"/>
  <c r="BB197" i="43" s="1"/>
  <c r="BB155" i="43"/>
  <c r="BB161" i="43" s="1"/>
  <c r="BB154" i="43"/>
  <c r="AZ86" i="43"/>
  <c r="AZ14" i="43"/>
  <c r="BA73" i="43"/>
  <c r="BA13" i="43" s="1"/>
  <c r="BB14" i="43"/>
  <c r="BB13" i="43"/>
  <c r="AZ13" i="43"/>
  <c r="AX319" i="43"/>
  <c r="AX318" i="43"/>
  <c r="AW282" i="43"/>
  <c r="AW197" i="43"/>
  <c r="AX182" i="43"/>
  <c r="AY181" i="43"/>
  <c r="AX181" i="43" s="1"/>
  <c r="AX180" i="43"/>
  <c r="AX176" i="43"/>
  <c r="AY174" i="43"/>
  <c r="AX162" i="43"/>
  <c r="AX160" i="43"/>
  <c r="AX196" i="43" s="1"/>
  <c r="AY156" i="43"/>
  <c r="AY197" i="43" s="1"/>
  <c r="AY155" i="43"/>
  <c r="AY161" i="43" s="1"/>
  <c r="AY154" i="43"/>
  <c r="AW86" i="43"/>
  <c r="AW14" i="43"/>
  <c r="AX73" i="43"/>
  <c r="BY267" i="8" s="1"/>
  <c r="AY14" i="43"/>
  <c r="AY13" i="43"/>
  <c r="S44" i="46" s="1"/>
  <c r="AW13" i="43"/>
  <c r="AQ201" i="1"/>
  <c r="AP201" i="1"/>
  <c r="AO201" i="1"/>
  <c r="AP177" i="1"/>
  <c r="AP176" i="1"/>
  <c r="AP131" i="1"/>
  <c r="AP130" i="1"/>
  <c r="AP129" i="1"/>
  <c r="AP117" i="1"/>
  <c r="AP100" i="1"/>
  <c r="AP101" i="1" s="1"/>
  <c r="AO100" i="1"/>
  <c r="AO101" i="1" s="1"/>
  <c r="AQ101" i="1" s="1"/>
  <c r="AQ86" i="1"/>
  <c r="AO70" i="1"/>
  <c r="AO56" i="1"/>
  <c r="AN201" i="1"/>
  <c r="AM201" i="1"/>
  <c r="AL201" i="1"/>
  <c r="AM177" i="1"/>
  <c r="AM176" i="1"/>
  <c r="AM131" i="1"/>
  <c r="AM130" i="1"/>
  <c r="AM129" i="1"/>
  <c r="AM117" i="1"/>
  <c r="AM100" i="1"/>
  <c r="AM101" i="1" s="1"/>
  <c r="AL100" i="1"/>
  <c r="AL101" i="1" s="1"/>
  <c r="AN101" i="1" s="1"/>
  <c r="AN86" i="1"/>
  <c r="AL70" i="1"/>
  <c r="AL56" i="1"/>
  <c r="O45" i="46" l="1"/>
  <c r="AP254" i="43"/>
  <c r="O51" i="46"/>
  <c r="AP335" i="43"/>
  <c r="AC97" i="1"/>
  <c r="AE97" i="1"/>
  <c r="O52" i="46"/>
  <c r="AP352" i="43"/>
  <c r="O46" i="46"/>
  <c r="AP272" i="43"/>
  <c r="BN64" i="8"/>
  <c r="BN136" i="8" s="1"/>
  <c r="BN139" i="8" s="1"/>
  <c r="AP148" i="43"/>
  <c r="O44" i="46"/>
  <c r="O50" i="46"/>
  <c r="AQ63" i="1"/>
  <c r="AO63" i="1" s="1"/>
  <c r="AM226" i="43"/>
  <c r="AL63" i="1"/>
  <c r="AA54" i="1"/>
  <c r="AY282" i="43"/>
  <c r="BB281" i="43"/>
  <c r="BB282" i="43" s="1"/>
  <c r="AM281" i="43"/>
  <c r="AA132" i="1"/>
  <c r="AB133" i="1" s="1"/>
  <c r="BM205" i="8"/>
  <c r="AA61" i="1"/>
  <c r="AB73" i="1"/>
  <c r="AA86" i="1"/>
  <c r="BM68" i="8"/>
  <c r="AA68" i="1"/>
  <c r="AB107" i="1"/>
  <c r="BN28" i="8"/>
  <c r="AM145" i="43"/>
  <c r="AM283" i="43"/>
  <c r="BN22" i="8"/>
  <c r="AM409" i="43"/>
  <c r="AA75" i="1"/>
  <c r="AA51" i="1"/>
  <c r="AB10" i="1"/>
  <c r="AB19" i="1" s="1"/>
  <c r="BM71" i="8"/>
  <c r="AA13" i="2"/>
  <c r="AM230" i="43"/>
  <c r="BX205" i="8"/>
  <c r="AX13" i="43"/>
  <c r="CA205" i="8"/>
  <c r="BB410" i="43"/>
  <c r="BA197" i="43"/>
  <c r="AO86" i="1"/>
  <c r="AP35" i="2"/>
  <c r="CB267" i="8"/>
  <c r="AM35" i="2"/>
  <c r="AM86" i="1" s="1"/>
  <c r="AX197" i="43"/>
  <c r="CB205" i="8"/>
  <c r="AL86" i="1"/>
  <c r="BY205" i="8"/>
  <c r="AQ4" i="1"/>
  <c r="AQ4" i="2" s="1"/>
  <c r="BA79" i="43"/>
  <c r="BA14" i="43" s="1"/>
  <c r="BB409" i="43"/>
  <c r="BA161" i="43"/>
  <c r="BB196" i="43"/>
  <c r="AN4" i="1"/>
  <c r="AN4" i="2" s="1"/>
  <c r="AY410" i="43"/>
  <c r="AY196" i="43"/>
  <c r="AX79" i="43"/>
  <c r="AX14" i="43" s="1"/>
  <c r="AY409" i="43"/>
  <c r="AX161" i="43"/>
  <c r="BN73" i="8" l="1"/>
  <c r="BN193" i="8" s="1"/>
  <c r="BN203" i="8" s="1"/>
  <c r="AA73" i="1"/>
  <c r="BN182" i="8"/>
  <c r="AP56" i="2"/>
  <c r="AP86" i="1"/>
  <c r="AM56" i="2"/>
  <c r="BN191" i="8" l="1"/>
  <c r="E127" i="8" l="1"/>
  <c r="D127" i="8"/>
  <c r="C127" i="8"/>
  <c r="Z181" i="1" l="1"/>
  <c r="AB181" i="1" s="1"/>
  <c r="AH25" i="2"/>
  <c r="AK25" i="2"/>
  <c r="BL68" i="8" l="1"/>
  <c r="AK293" i="43"/>
  <c r="AV286" i="43"/>
  <c r="AY286" i="43" s="1"/>
  <c r="AV174" i="43"/>
  <c r="AS174" i="43"/>
  <c r="AV156" i="43"/>
  <c r="AV155" i="43"/>
  <c r="AV154" i="43"/>
  <c r="AS156" i="43"/>
  <c r="AS155" i="43"/>
  <c r="BX69" i="8" l="1"/>
  <c r="BY69" i="8" s="1"/>
  <c r="AZ286" i="43"/>
  <c r="BB286" i="43" s="1"/>
  <c r="AV309" i="43"/>
  <c r="Z42" i="1"/>
  <c r="Z43" i="1" s="1"/>
  <c r="Y173" i="1"/>
  <c r="AK412" i="43"/>
  <c r="Z184" i="1"/>
  <c r="Z85" i="1"/>
  <c r="Z86" i="1" s="1"/>
  <c r="Z92" i="1"/>
  <c r="Z249" i="1"/>
  <c r="Z230" i="1"/>
  <c r="Z228" i="1"/>
  <c r="Z222" i="1"/>
  <c r="Z221" i="1"/>
  <c r="Z251" i="1" s="1"/>
  <c r="Z208" i="1"/>
  <c r="Z207" i="1"/>
  <c r="Z201" i="1"/>
  <c r="Z195" i="1"/>
  <c r="Z191" i="1"/>
  <c r="AA191" i="1" s="1"/>
  <c r="Z147" i="1"/>
  <c r="AA139" i="1" s="1"/>
  <c r="Z132" i="1"/>
  <c r="AA116" i="1" s="1"/>
  <c r="Z101" i="1"/>
  <c r="AB19" i="2" s="1"/>
  <c r="Z75" i="1"/>
  <c r="Z248" i="1" s="1"/>
  <c r="Z67" i="1"/>
  <c r="Z60" i="1"/>
  <c r="Z61" i="1" s="1"/>
  <c r="Z53" i="1"/>
  <c r="Z51" i="1"/>
  <c r="Z29" i="1"/>
  <c r="Z34" i="1" s="1"/>
  <c r="Z21" i="1"/>
  <c r="Z17" i="1"/>
  <c r="Z8" i="1"/>
  <c r="Z7" i="1"/>
  <c r="Y75" i="2"/>
  <c r="Y72" i="2"/>
  <c r="Y63" i="2"/>
  <c r="Z75" i="2"/>
  <c r="Z72" i="2"/>
  <c r="Z63" i="2"/>
  <c r="Z56" i="2"/>
  <c r="Z55" i="2"/>
  <c r="Z53" i="2"/>
  <c r="Z51" i="2"/>
  <c r="Z40" i="2"/>
  <c r="Z31" i="2"/>
  <c r="Z19" i="2"/>
  <c r="Z13" i="2"/>
  <c r="BL196" i="8"/>
  <c r="BI196" i="8"/>
  <c r="BL268" i="8"/>
  <c r="BL267" i="8"/>
  <c r="BL255" i="8"/>
  <c r="BL192" i="8"/>
  <c r="BL185" i="8"/>
  <c r="BL137" i="8"/>
  <c r="BL121" i="8"/>
  <c r="BL116" i="8"/>
  <c r="BL115" i="8"/>
  <c r="BL114" i="8"/>
  <c r="BL105" i="8"/>
  <c r="BL75" i="8"/>
  <c r="Z67" i="2" s="1"/>
  <c r="BL71" i="8"/>
  <c r="Z66" i="2" s="1"/>
  <c r="Z18" i="2"/>
  <c r="BL58" i="8"/>
  <c r="BL33" i="8"/>
  <c r="BL19" i="8"/>
  <c r="AK302" i="43"/>
  <c r="AK31" i="43"/>
  <c r="AK280" i="43"/>
  <c r="AK283" i="43" s="1"/>
  <c r="AK229" i="43"/>
  <c r="AN232" i="43" s="1"/>
  <c r="AH143" i="43"/>
  <c r="AK90" i="43"/>
  <c r="AK82" i="43"/>
  <c r="AK62" i="43"/>
  <c r="AK37" i="43"/>
  <c r="AK36" i="43"/>
  <c r="AK32" i="43"/>
  <c r="AK21" i="43"/>
  <c r="AK15" i="43"/>
  <c r="AK14" i="43"/>
  <c r="AK13" i="43"/>
  <c r="AK6" i="43"/>
  <c r="AK4" i="43"/>
  <c r="AK353" i="43"/>
  <c r="AK351" i="43"/>
  <c r="AN352" i="43" s="1"/>
  <c r="AK347" i="43"/>
  <c r="AK42" i="43" s="1"/>
  <c r="AK345" i="43"/>
  <c r="AK343" i="43"/>
  <c r="AN344" i="43" s="1"/>
  <c r="AK337" i="43"/>
  <c r="AK338" i="43" s="1"/>
  <c r="AK334" i="43"/>
  <c r="AK330" i="43"/>
  <c r="AK331" i="43" s="1"/>
  <c r="AK312" i="43"/>
  <c r="AK307" i="43"/>
  <c r="AK300" i="43"/>
  <c r="AK278" i="43"/>
  <c r="AK273" i="43"/>
  <c r="AK271" i="43"/>
  <c r="AK266" i="43"/>
  <c r="AK267" i="43" s="1"/>
  <c r="AK263" i="43"/>
  <c r="AN264" i="43" s="1"/>
  <c r="AK256" i="43"/>
  <c r="AK258" i="43" s="1"/>
  <c r="AK253" i="43"/>
  <c r="AK197" i="43"/>
  <c r="AK196" i="43"/>
  <c r="AK76" i="43"/>
  <c r="AN335" i="43" l="1"/>
  <c r="BO186" i="8"/>
  <c r="AN254" i="43"/>
  <c r="AN272" i="43"/>
  <c r="BL28" i="8"/>
  <c r="AN96" i="43"/>
  <c r="AN99" i="43"/>
  <c r="BL64" i="8"/>
  <c r="Z238" i="1" s="1"/>
  <c r="AK55" i="43"/>
  <c r="CA69" i="8"/>
  <c r="CB69" i="8" s="1"/>
  <c r="BX268" i="8"/>
  <c r="AA19" i="2"/>
  <c r="BL269" i="8"/>
  <c r="BL270" i="8"/>
  <c r="Z17" i="2"/>
  <c r="Z186" i="1"/>
  <c r="AA173" i="1" s="1"/>
  <c r="AK33" i="43"/>
  <c r="BL49" i="8" s="1"/>
  <c r="AK230" i="43"/>
  <c r="AN231" i="43" s="1"/>
  <c r="BL18" i="8"/>
  <c r="AA168" i="1"/>
  <c r="AK84" i="43"/>
  <c r="BL22" i="8"/>
  <c r="Z223" i="1"/>
  <c r="BL205" i="8"/>
  <c r="Z250" i="1"/>
  <c r="Z54" i="1"/>
  <c r="Z68" i="1"/>
  <c r="AK296" i="43"/>
  <c r="AK210" i="43"/>
  <c r="AK226" i="43" s="1"/>
  <c r="AK20" i="43"/>
  <c r="AK22" i="43" s="1"/>
  <c r="AK285" i="43"/>
  <c r="AK348" i="43"/>
  <c r="AK85" i="43" l="1"/>
  <c r="AN86" i="43" s="1"/>
  <c r="AN87" i="43"/>
  <c r="BL73" i="8"/>
  <c r="BL193" i="8" s="1"/>
  <c r="BL203" i="8" s="1"/>
  <c r="BL76" i="8" s="1"/>
  <c r="BL136" i="8"/>
  <c r="BL139" i="8" s="1"/>
  <c r="Z60" i="2" s="1"/>
  <c r="BZ268" i="8"/>
  <c r="AW15" i="43"/>
  <c r="AK5" i="43"/>
  <c r="AK294" i="43"/>
  <c r="AK303" i="43"/>
  <c r="AK281" i="43"/>
  <c r="AK143" i="43"/>
  <c r="AK41" i="43"/>
  <c r="AK43" i="43" s="1"/>
  <c r="AK44" i="43"/>
  <c r="Z73" i="1"/>
  <c r="AK25" i="43"/>
  <c r="BL11" i="8"/>
  <c r="AK287" i="43"/>
  <c r="BL191" i="8" l="1"/>
  <c r="AK144" i="43"/>
  <c r="AN147" i="43"/>
  <c r="AN148" i="43" s="1"/>
  <c r="AN144" i="43"/>
  <c r="AN282" i="43"/>
  <c r="AN92" i="43"/>
  <c r="AN91" i="43"/>
  <c r="BL182" i="8"/>
  <c r="BL79" i="8"/>
  <c r="BL88" i="8" s="1"/>
  <c r="BL93" i="8" s="1"/>
  <c r="AK7" i="43"/>
  <c r="AK35" i="43" s="1"/>
  <c r="AY15" i="43"/>
  <c r="S50" i="46" s="1"/>
  <c r="AZ309" i="43"/>
  <c r="CA268" i="8" s="1"/>
  <c r="AX309" i="43"/>
  <c r="AK297" i="43"/>
  <c r="AK147" i="43"/>
  <c r="AK145" i="43"/>
  <c r="Z16" i="2"/>
  <c r="Z62" i="2" s="1"/>
  <c r="BL52" i="8"/>
  <c r="BL134" i="8" s="1"/>
  <c r="BL132" i="8" s="1"/>
  <c r="BL46" i="8"/>
  <c r="BL55" i="8"/>
  <c r="AK45" i="43" l="1"/>
  <c r="AK17" i="43"/>
  <c r="AK18" i="43" s="1"/>
  <c r="AK27" i="43"/>
  <c r="AN93" i="43"/>
  <c r="AN149" i="43"/>
  <c r="AK60" i="43"/>
  <c r="AK23" i="43"/>
  <c r="BL91" i="8"/>
  <c r="BL84" i="8"/>
  <c r="Z236" i="1"/>
  <c r="Z237" i="1" s="1"/>
  <c r="BL38" i="8"/>
  <c r="BL40" i="8" s="1"/>
  <c r="BL41" i="8" s="1"/>
  <c r="BL6" i="8"/>
  <c r="AX15" i="43"/>
  <c r="BY268" i="8"/>
  <c r="BB309" i="43"/>
  <c r="CC268" i="8" s="1"/>
  <c r="AZ15" i="43"/>
  <c r="Z239" i="1"/>
  <c r="Z229" i="1"/>
  <c r="Z231" i="1" s="1"/>
  <c r="Z175" i="1"/>
  <c r="BL111" i="8"/>
  <c r="BL118" i="8" s="1"/>
  <c r="BL53" i="8" l="1"/>
  <c r="BL59" i="8"/>
  <c r="BL37" i="8"/>
  <c r="BL12" i="8"/>
  <c r="BL8" i="8"/>
  <c r="Z57" i="1"/>
  <c r="BL10" i="8"/>
  <c r="BL147" i="8"/>
  <c r="BL148" i="8" s="1"/>
  <c r="Z56" i="1"/>
  <c r="BL65" i="8"/>
  <c r="Z74" i="1"/>
  <c r="BL50" i="8"/>
  <c r="BL56" i="8"/>
  <c r="BL47" i="8"/>
  <c r="BB15" i="43"/>
  <c r="BA309" i="43"/>
  <c r="Z192" i="1"/>
  <c r="Z193" i="1" s="1"/>
  <c r="BL123" i="8"/>
  <c r="BL154" i="8"/>
  <c r="BL157" i="8" s="1"/>
  <c r="Z64" i="1" l="1"/>
  <c r="Z70" i="1"/>
  <c r="Z63" i="1"/>
  <c r="Z71" i="1"/>
  <c r="BL126" i="8"/>
  <c r="BA15" i="43"/>
  <c r="CB268" i="8"/>
  <c r="AI79" i="43"/>
  <c r="BJ67" i="8" l="1"/>
  <c r="X101" i="1" s="1"/>
  <c r="AI56" i="1"/>
  <c r="AJ347" i="43"/>
  <c r="X351" i="43"/>
  <c r="AJ351" i="43"/>
  <c r="N52" i="46" s="1"/>
  <c r="AM352" i="43" l="1"/>
  <c r="BK19" i="8"/>
  <c r="AI73" i="43"/>
  <c r="X6" i="1"/>
  <c r="X98" i="1" s="1"/>
  <c r="X87" i="1"/>
  <c r="X16" i="1"/>
  <c r="X41" i="1"/>
  <c r="X33" i="1"/>
  <c r="Y207" i="1"/>
  <c r="Y186" i="1"/>
  <c r="V132" i="1"/>
  <c r="Y132" i="1"/>
  <c r="AB116" i="1" s="1"/>
  <c r="Y101" i="1"/>
  <c r="V92" i="1"/>
  <c r="Y51" i="1"/>
  <c r="Y43" i="1"/>
  <c r="Z241" i="1" s="1"/>
  <c r="Y29" i="1"/>
  <c r="Y34" i="1" s="1"/>
  <c r="X45" i="2"/>
  <c r="X39" i="2"/>
  <c r="X38" i="2"/>
  <c r="X182" i="1" s="1"/>
  <c r="X36" i="2"/>
  <c r="X35" i="2"/>
  <c r="Y37" i="2"/>
  <c r="N41" i="46" s="1"/>
  <c r="X26" i="2"/>
  <c r="X25" i="2"/>
  <c r="Y19" i="2"/>
  <c r="X8" i="2"/>
  <c r="X9" i="2"/>
  <c r="X10" i="2"/>
  <c r="X11" i="2"/>
  <c r="X12" i="2"/>
  <c r="X7" i="2"/>
  <c r="BK196" i="8"/>
  <c r="BK192" i="8"/>
  <c r="BK137" i="8"/>
  <c r="BK121" i="8"/>
  <c r="BK70" i="8"/>
  <c r="Y92" i="1" s="1"/>
  <c r="BK116" i="8"/>
  <c r="BK114" i="8"/>
  <c r="BK105" i="8"/>
  <c r="BJ36" i="8"/>
  <c r="BK33" i="8"/>
  <c r="BJ29" i="8"/>
  <c r="BL29" i="8" s="1"/>
  <c r="BN29" i="8" s="1"/>
  <c r="BP29" i="8" s="1"/>
  <c r="BJ27" i="8"/>
  <c r="BM33" i="8" s="1"/>
  <c r="BJ21" i="8"/>
  <c r="BJ17" i="8"/>
  <c r="BM19" i="8" s="1"/>
  <c r="AJ345" i="43"/>
  <c r="AJ343" i="43"/>
  <c r="AM344" i="43" s="1"/>
  <c r="AJ334" i="43"/>
  <c r="N51" i="46" s="1"/>
  <c r="AJ330" i="43"/>
  <c r="AJ331" i="43" s="1"/>
  <c r="AJ312" i="43"/>
  <c r="AJ307" i="43"/>
  <c r="AJ300" i="43"/>
  <c r="AJ302" i="43"/>
  <c r="AJ303" i="43" s="1"/>
  <c r="AJ293" i="43"/>
  <c r="AJ294" i="43" s="1"/>
  <c r="AI290" i="43"/>
  <c r="AJ291" i="43"/>
  <c r="AJ280" i="43"/>
  <c r="AJ278" i="43"/>
  <c r="AI277" i="43"/>
  <c r="AJ271" i="43"/>
  <c r="AJ266" i="43"/>
  <c r="AJ264" i="43"/>
  <c r="AJ263" i="43"/>
  <c r="AJ253" i="43"/>
  <c r="AJ197" i="43"/>
  <c r="AJ196" i="43"/>
  <c r="AJ143" i="43"/>
  <c r="AJ90" i="43"/>
  <c r="AJ85" i="43"/>
  <c r="AM86" i="43" s="1"/>
  <c r="AJ82" i="43"/>
  <c r="AJ76" i="43"/>
  <c r="AJ59" i="43"/>
  <c r="AM62" i="43" s="1"/>
  <c r="AJ15" i="43"/>
  <c r="AJ14" i="43"/>
  <c r="AJ13" i="43"/>
  <c r="AJ6" i="43"/>
  <c r="AJ4" i="43"/>
  <c r="N46" i="46" l="1"/>
  <c r="BP30" i="8"/>
  <c r="N50" i="46"/>
  <c r="AM254" i="43"/>
  <c r="N45" i="46"/>
  <c r="N44" i="46"/>
  <c r="Z173" i="1"/>
  <c r="Z177" i="1" s="1"/>
  <c r="AB173" i="1"/>
  <c r="AM335" i="43"/>
  <c r="AM144" i="43"/>
  <c r="AM147" i="43"/>
  <c r="AM148" i="43" s="1"/>
  <c r="BK28" i="8"/>
  <c r="AM99" i="43"/>
  <c r="AM96" i="43"/>
  <c r="AM272" i="43"/>
  <c r="AM92" i="43"/>
  <c r="AM91" i="43"/>
  <c r="BN30" i="8"/>
  <c r="BN23" i="8"/>
  <c r="BN24" i="8" s="1"/>
  <c r="AJ267" i="43"/>
  <c r="BK58" i="8"/>
  <c r="BN60" i="8" s="1"/>
  <c r="X132" i="1"/>
  <c r="Z116" i="1"/>
  <c r="BL30" i="8"/>
  <c r="BL23" i="8"/>
  <c r="BL24" i="8" s="1"/>
  <c r="AJ229" i="43"/>
  <c r="AJ281" i="43"/>
  <c r="AM282" i="43" s="1"/>
  <c r="BJ70" i="8"/>
  <c r="AJ145" i="43"/>
  <c r="BK68" i="8"/>
  <c r="Y18" i="2" s="1"/>
  <c r="BK255" i="8"/>
  <c r="X92" i="1"/>
  <c r="BK71" i="8"/>
  <c r="BK22" i="8"/>
  <c r="AJ283" i="43"/>
  <c r="BJ30" i="8"/>
  <c r="AJ226" i="43"/>
  <c r="AM93" i="43" l="1"/>
  <c r="AM149" i="43"/>
  <c r="AJ230" i="43"/>
  <c r="AM231" i="43" s="1"/>
  <c r="AM232" i="43"/>
  <c r="Y66" i="2"/>
  <c r="Z179" i="1"/>
  <c r="AF73" i="43"/>
  <c r="X85" i="1" l="1"/>
  <c r="X86" i="1" s="1"/>
  <c r="W181" i="1" l="1"/>
  <c r="V168" i="1"/>
  <c r="W186" i="1"/>
  <c r="V251" i="43" l="1"/>
  <c r="BG70" i="8"/>
  <c r="BG69" i="8"/>
  <c r="BH71" i="8"/>
  <c r="BF71" i="8"/>
  <c r="BG68" i="8" l="1"/>
  <c r="Y67" i="1"/>
  <c r="W25" i="1"/>
  <c r="X129" i="1"/>
  <c r="W191" i="1" l="1"/>
  <c r="T189" i="1"/>
  <c r="W230" i="1"/>
  <c r="W228" i="1"/>
  <c r="W147" i="1"/>
  <c r="W132" i="1"/>
  <c r="AH412" i="43"/>
  <c r="W125" i="1" s="1"/>
  <c r="AG412" i="43"/>
  <c r="W101" i="1"/>
  <c r="W75" i="2"/>
  <c r="W72" i="2"/>
  <c r="W63" i="2"/>
  <c r="W37" i="2"/>
  <c r="X37" i="2" s="1"/>
  <c r="W31" i="2"/>
  <c r="W19" i="2"/>
  <c r="AK13" i="2"/>
  <c r="AJ13" i="2"/>
  <c r="AI13" i="2"/>
  <c r="AH13" i="2"/>
  <c r="AG13" i="2"/>
  <c r="AF13" i="2"/>
  <c r="AE13" i="2"/>
  <c r="Y13" i="2"/>
  <c r="X13" i="2"/>
  <c r="W13" i="2"/>
  <c r="BI185" i="8"/>
  <c r="BI192" i="8"/>
  <c r="BI164" i="8"/>
  <c r="BL164" i="8" s="1"/>
  <c r="BO164" i="8" s="1"/>
  <c r="BI137" i="8"/>
  <c r="BI121" i="8"/>
  <c r="BI116" i="8"/>
  <c r="BI115" i="8"/>
  <c r="BI114" i="8"/>
  <c r="BI71" i="8"/>
  <c r="W66" i="2" s="1"/>
  <c r="BI68" i="8"/>
  <c r="W18" i="2" s="1"/>
  <c r="BI58" i="8"/>
  <c r="BL60" i="8" s="1"/>
  <c r="BI33" i="8"/>
  <c r="BI19" i="8"/>
  <c r="AH353" i="43"/>
  <c r="AH351" i="43"/>
  <c r="AH345" i="43"/>
  <c r="AH343" i="43"/>
  <c r="AK344" i="43" s="1"/>
  <c r="AH334" i="43"/>
  <c r="AH330" i="43"/>
  <c r="AH331" i="43" s="1"/>
  <c r="AH312" i="43"/>
  <c r="AH307" i="43"/>
  <c r="AH302" i="43"/>
  <c r="AH300" i="43"/>
  <c r="AH293" i="43"/>
  <c r="AH280" i="43"/>
  <c r="AH283" i="43" s="1"/>
  <c r="AH278" i="43"/>
  <c r="AH273" i="43"/>
  <c r="AH271" i="43"/>
  <c r="AH263" i="43"/>
  <c r="AK264" i="43" s="1"/>
  <c r="AH253" i="43"/>
  <c r="AK254" i="43" s="1"/>
  <c r="AH229" i="43"/>
  <c r="AK232" i="43" s="1"/>
  <c r="AH197" i="43"/>
  <c r="AH196" i="43"/>
  <c r="AH188" i="43"/>
  <c r="AH145" i="43"/>
  <c r="AH90" i="43"/>
  <c r="AH82" i="43"/>
  <c r="AH76" i="43"/>
  <c r="AH62" i="43"/>
  <c r="AH37" i="43"/>
  <c r="AH36" i="43"/>
  <c r="AH15" i="43"/>
  <c r="AH14" i="43"/>
  <c r="AH13" i="43"/>
  <c r="AH6" i="43"/>
  <c r="AH4" i="43"/>
  <c r="AK335" i="43" l="1"/>
  <c r="AK272" i="43"/>
  <c r="AK96" i="43"/>
  <c r="AK99" i="43"/>
  <c r="AK148" i="43"/>
  <c r="AK352" i="43"/>
  <c r="BL186" i="8"/>
  <c r="BI18" i="8"/>
  <c r="AH210" i="43"/>
  <c r="AH226" i="43" s="1"/>
  <c r="AH147" i="43"/>
  <c r="AH144" i="43"/>
  <c r="AH230" i="43"/>
  <c r="AK231" i="43" s="1"/>
  <c r="BI22" i="8"/>
  <c r="BI28" i="8"/>
  <c r="BI64" i="8"/>
  <c r="W238" i="1" l="1"/>
  <c r="Z15" i="2"/>
  <c r="W15" i="2"/>
  <c r="BI136" i="8"/>
  <c r="BI73" i="8"/>
  <c r="BI193" i="8" s="1"/>
  <c r="BI191" i="8" l="1"/>
  <c r="BI203" i="8"/>
  <c r="BI139" i="8"/>
  <c r="BI182" i="8" l="1"/>
  <c r="W60" i="2"/>
  <c r="U92" i="1" l="1"/>
  <c r="AE280" i="43"/>
  <c r="AE90" i="43"/>
  <c r="AH99" i="43" l="1"/>
  <c r="AH96" i="43"/>
  <c r="AH148" i="43"/>
  <c r="AG59" i="43" l="1"/>
  <c r="AJ62" i="43" l="1"/>
  <c r="BG197" i="8" l="1"/>
  <c r="C24" i="46" l="1"/>
  <c r="BH255" i="8"/>
  <c r="BF255" i="8"/>
  <c r="AL73" i="43"/>
  <c r="AJ100" i="1" l="1"/>
  <c r="AJ101" i="1" s="1"/>
  <c r="AI100" i="1"/>
  <c r="AI101" i="1" s="1"/>
  <c r="AK101" i="1" s="1"/>
  <c r="AU309" i="43" l="1"/>
  <c r="AO309" i="43"/>
  <c r="AL309" i="43"/>
  <c r="AI309" i="43"/>
  <c r="AR79" i="43"/>
  <c r="AO79" i="43"/>
  <c r="AL79" i="43"/>
  <c r="AU73" i="43"/>
  <c r="AR73" i="43"/>
  <c r="AO73" i="43"/>
  <c r="AH56" i="2" l="1"/>
  <c r="AK56" i="2"/>
  <c r="W34" i="2"/>
  <c r="V189" i="1"/>
  <c r="W40" i="2" l="1"/>
  <c r="X34" i="2"/>
  <c r="X40" i="1" s="1"/>
  <c r="AG42" i="43"/>
  <c r="X90" i="43"/>
  <c r="AJ117" i="1"/>
  <c r="AG117" i="1"/>
  <c r="X117" i="1"/>
  <c r="BF192" i="8"/>
  <c r="BG192" i="8"/>
  <c r="BH192" i="8"/>
  <c r="BJ192" i="8"/>
  <c r="BP192" i="8"/>
  <c r="BR192" i="8"/>
  <c r="BS192" i="8"/>
  <c r="BT192" i="8"/>
  <c r="BU192" i="8"/>
  <c r="BV192" i="8"/>
  <c r="BW192" i="8"/>
  <c r="BC192" i="8"/>
  <c r="BD192" i="8"/>
  <c r="BH105" i="8"/>
  <c r="BF105" i="8"/>
  <c r="BE105" i="8"/>
  <c r="BC105" i="8"/>
  <c r="BB105" i="8"/>
  <c r="AZ105" i="8"/>
  <c r="AY105" i="8"/>
  <c r="AX105" i="8"/>
  <c r="AW105" i="8"/>
  <c r="BH115" i="8"/>
  <c r="AW121" i="8"/>
  <c r="AW114" i="8"/>
  <c r="AW115" i="8"/>
  <c r="AX115" i="8"/>
  <c r="AW116" i="8"/>
  <c r="AX116" i="8"/>
  <c r="BC114" i="8"/>
  <c r="BD114" i="8"/>
  <c r="BE114" i="8"/>
  <c r="BF114" i="8"/>
  <c r="BG114" i="8"/>
  <c r="BH114" i="8"/>
  <c r="BJ114" i="8"/>
  <c r="BP114" i="8"/>
  <c r="BR114" i="8"/>
  <c r="BS114" i="8"/>
  <c r="BT114" i="8"/>
  <c r="BU114" i="8"/>
  <c r="BV114" i="8"/>
  <c r="BW114" i="8"/>
  <c r="BC115" i="8"/>
  <c r="BD115" i="8"/>
  <c r="BE115" i="8"/>
  <c r="BF115" i="8"/>
  <c r="BG115" i="8"/>
  <c r="BJ115" i="8"/>
  <c r="BR115" i="8"/>
  <c r="BS115" i="8"/>
  <c r="BU115" i="8"/>
  <c r="BV115" i="8"/>
  <c r="BC116" i="8"/>
  <c r="BD116" i="8"/>
  <c r="BE116" i="8"/>
  <c r="BF116" i="8"/>
  <c r="BG116" i="8"/>
  <c r="BH116" i="8"/>
  <c r="BJ116" i="8"/>
  <c r="BP116" i="8"/>
  <c r="BR116" i="8"/>
  <c r="BS116" i="8"/>
  <c r="BT116" i="8"/>
  <c r="BU116" i="8"/>
  <c r="BV116" i="8"/>
  <c r="BW116" i="8"/>
  <c r="BI105" i="8"/>
  <c r="BB248" i="8"/>
  <c r="AV248" i="8"/>
  <c r="AY248" i="8" s="1"/>
  <c r="AY250" i="8" s="1"/>
  <c r="BG198" i="8"/>
  <c r="BD198" i="8"/>
  <c r="BJ69" i="8"/>
  <c r="BH205" i="8" l="1"/>
  <c r="BR205" i="8"/>
  <c r="BF205" i="8"/>
  <c r="AW205" i="8"/>
  <c r="BD205" i="8"/>
  <c r="BV205" i="8"/>
  <c r="BS205" i="8"/>
  <c r="BG205" i="8"/>
  <c r="BC205" i="8"/>
  <c r="BJ205" i="8"/>
  <c r="BU205" i="8"/>
  <c r="BI205" i="8"/>
  <c r="BE205" i="8"/>
  <c r="BI255" i="8"/>
  <c r="BJ68" i="8"/>
  <c r="AY252" i="8"/>
  <c r="BB250" i="8"/>
  <c r="BE248" i="8"/>
  <c r="BH248" i="8" s="1"/>
  <c r="BH250" i="8" s="1"/>
  <c r="BB252" i="8"/>
  <c r="BJ255" i="8" l="1"/>
  <c r="BP69" i="8"/>
  <c r="BH252" i="8"/>
  <c r="BE250" i="8"/>
  <c r="BE252" i="8"/>
  <c r="BI248" i="8"/>
  <c r="BJ248" i="8" s="1"/>
  <c r="BK248" i="8" s="1"/>
  <c r="BL248" i="8" s="1"/>
  <c r="BL252" i="8" l="1"/>
  <c r="BL250" i="8"/>
  <c r="BK252" i="8"/>
  <c r="BK250" i="8"/>
  <c r="BU69" i="8"/>
  <c r="BV69" i="8" s="1"/>
  <c r="BJ252" i="8"/>
  <c r="BJ250" i="8"/>
  <c r="BM248" i="8"/>
  <c r="BI250" i="8"/>
  <c r="BI252" i="8"/>
  <c r="BL106" i="8" l="1"/>
  <c r="BK106" i="8"/>
  <c r="BS69" i="8"/>
  <c r="BI106" i="8"/>
  <c r="BJ106" i="8"/>
  <c r="BN248" i="8"/>
  <c r="BO248" i="8" s="1"/>
  <c r="BP248" i="8" s="1"/>
  <c r="BM252" i="8"/>
  <c r="BM250" i="8"/>
  <c r="BM106" i="8" l="1"/>
  <c r="BM107" i="8" s="1"/>
  <c r="AA195" i="1" s="1"/>
  <c r="BN252" i="8"/>
  <c r="BN250" i="8"/>
  <c r="BJ105" i="8"/>
  <c r="BJ107" i="8" s="1"/>
  <c r="W195" i="1"/>
  <c r="BP250" i="8"/>
  <c r="BP252" i="8"/>
  <c r="BQ248" i="8"/>
  <c r="BR248" i="8" s="1"/>
  <c r="BS248" i="8" s="1"/>
  <c r="BO252" i="8"/>
  <c r="BO250" i="8"/>
  <c r="BN106" i="8" l="1"/>
  <c r="X184" i="1"/>
  <c r="BQ250" i="8"/>
  <c r="BT248" i="8"/>
  <c r="BU248" i="8" s="1"/>
  <c r="BV248" i="8" s="1"/>
  <c r="BS250" i="8"/>
  <c r="BS252" i="8"/>
  <c r="BQ252" i="8"/>
  <c r="BP106" i="8"/>
  <c r="BR250" i="8"/>
  <c r="BR252" i="8"/>
  <c r="BQ106" i="8" l="1"/>
  <c r="BT250" i="8"/>
  <c r="BT252" i="8"/>
  <c r="BW248" i="8"/>
  <c r="BV252" i="8"/>
  <c r="BV250" i="8"/>
  <c r="BS106" i="8"/>
  <c r="BR106" i="8"/>
  <c r="BU250" i="8"/>
  <c r="BU252" i="8"/>
  <c r="BW250" i="8" l="1"/>
  <c r="BX248" i="8"/>
  <c r="BT106" i="8"/>
  <c r="BW252" i="8"/>
  <c r="BU106" i="8"/>
  <c r="BV106" i="8"/>
  <c r="BW106" i="8" l="1"/>
  <c r="BX252" i="8"/>
  <c r="BY248" i="8"/>
  <c r="BX250" i="8"/>
  <c r="BF267" i="8"/>
  <c r="BH267" i="8"/>
  <c r="BI267" i="8"/>
  <c r="BK267" i="8"/>
  <c r="BN267" i="8"/>
  <c r="BO267" i="8"/>
  <c r="BQ267" i="8"/>
  <c r="BR267" i="8"/>
  <c r="BT267" i="8"/>
  <c r="BU267" i="8"/>
  <c r="BW267" i="8"/>
  <c r="BF268" i="8"/>
  <c r="BH268" i="8"/>
  <c r="BI268" i="8"/>
  <c r="BK268" i="8"/>
  <c r="BN268" i="8"/>
  <c r="BO268" i="8"/>
  <c r="BQ268" i="8"/>
  <c r="BR268" i="8"/>
  <c r="BT268" i="8"/>
  <c r="BU268" i="8"/>
  <c r="BW268" i="8"/>
  <c r="BF33" i="8"/>
  <c r="AS196" i="43"/>
  <c r="AT196" i="43"/>
  <c r="AV196" i="43"/>
  <c r="AS197" i="43"/>
  <c r="AT197" i="43"/>
  <c r="AV197" i="43"/>
  <c r="AK188" i="43"/>
  <c r="AI188" i="43"/>
  <c r="AU182" i="43"/>
  <c r="AR182" i="43"/>
  <c r="AO182" i="43"/>
  <c r="AV181" i="43"/>
  <c r="AU181" i="43" s="1"/>
  <c r="AS181" i="43"/>
  <c r="AR181" i="43" s="1"/>
  <c r="AO181" i="43"/>
  <c r="AU180" i="43"/>
  <c r="AR180" i="43"/>
  <c r="AO180" i="43"/>
  <c r="AL182" i="43"/>
  <c r="AL181" i="43"/>
  <c r="AL180" i="43"/>
  <c r="AI182" i="43"/>
  <c r="AI180" i="43"/>
  <c r="AL175" i="43"/>
  <c r="AO175" i="43"/>
  <c r="AR175" i="43"/>
  <c r="AL176" i="43"/>
  <c r="AO176" i="43"/>
  <c r="AR176" i="43"/>
  <c r="AU176" i="43"/>
  <c r="AF155" i="43"/>
  <c r="AC155" i="43"/>
  <c r="AI176" i="43"/>
  <c r="AI175" i="43"/>
  <c r="AI174" i="43"/>
  <c r="AU162" i="43"/>
  <c r="AR162" i="43"/>
  <c r="AO162" i="43"/>
  <c r="AL162" i="43"/>
  <c r="AV161" i="43"/>
  <c r="AU161" i="43" s="1"/>
  <c r="AS161" i="43"/>
  <c r="AR161" i="43" s="1"/>
  <c r="AO161" i="43"/>
  <c r="AU160" i="43"/>
  <c r="AR160" i="43"/>
  <c r="AO160" i="43"/>
  <c r="AI160" i="43"/>
  <c r="AI155" i="43"/>
  <c r="AI154" i="43"/>
  <c r="AV15" i="43"/>
  <c r="R50" i="46" s="1"/>
  <c r="AT15" i="43"/>
  <c r="AS15" i="43"/>
  <c r="AP15" i="43"/>
  <c r="AV14" i="43"/>
  <c r="AT14" i="43"/>
  <c r="AS14" i="43"/>
  <c r="AP14" i="43"/>
  <c r="AV13" i="43"/>
  <c r="R44" i="46" s="1"/>
  <c r="AT13" i="43"/>
  <c r="AS13" i="43"/>
  <c r="AP13" i="43"/>
  <c r="V125" i="1"/>
  <c r="AU319" i="43"/>
  <c r="AR319" i="43"/>
  <c r="AO319" i="43"/>
  <c r="AL319" i="43"/>
  <c r="AI319" i="43"/>
  <c r="AI320" i="43"/>
  <c r="AU318" i="43"/>
  <c r="AR318" i="43"/>
  <c r="AL318" i="43"/>
  <c r="AI318" i="43"/>
  <c r="AB300" i="43"/>
  <c r="AD300" i="43"/>
  <c r="AE300" i="43"/>
  <c r="AF277" i="43"/>
  <c r="AC277" i="43"/>
  <c r="AI162" i="43"/>
  <c r="AI156" i="43"/>
  <c r="AJ201" i="1"/>
  <c r="AI201" i="1"/>
  <c r="AG201" i="1"/>
  <c r="X201" i="1"/>
  <c r="W201" i="1"/>
  <c r="AJ177" i="1"/>
  <c r="AJ176" i="1"/>
  <c r="AJ131" i="1"/>
  <c r="AJ130" i="1"/>
  <c r="AJ129" i="1"/>
  <c r="AG176" i="1"/>
  <c r="AG130" i="1"/>
  <c r="AG129" i="1"/>
  <c r="AD176" i="1"/>
  <c r="AD130" i="1"/>
  <c r="AI55" i="2"/>
  <c r="AJ53" i="2"/>
  <c r="AI53" i="2"/>
  <c r="AJ51" i="2"/>
  <c r="AI51" i="2"/>
  <c r="AJ45" i="2"/>
  <c r="AI35" i="2"/>
  <c r="AI56" i="2" s="1"/>
  <c r="AJ34" i="2"/>
  <c r="AI34" i="2"/>
  <c r="AJ29" i="2"/>
  <c r="AJ28" i="2"/>
  <c r="AJ55" i="2" s="1"/>
  <c r="AJ27" i="2"/>
  <c r="AF55" i="2"/>
  <c r="AG53" i="2"/>
  <c r="AF53" i="2"/>
  <c r="AG51" i="2"/>
  <c r="AF51" i="2"/>
  <c r="AF35" i="2"/>
  <c r="AF56" i="2" s="1"/>
  <c r="AG34" i="2"/>
  <c r="AF34" i="2"/>
  <c r="AG29" i="2"/>
  <c r="AG28" i="2"/>
  <c r="AG55" i="2" s="1"/>
  <c r="AG27" i="2"/>
  <c r="AC55" i="2"/>
  <c r="AD53" i="2"/>
  <c r="AC53" i="2"/>
  <c r="AD51" i="2"/>
  <c r="AC51" i="2"/>
  <c r="W55" i="2"/>
  <c r="X53" i="2"/>
  <c r="W53" i="2"/>
  <c r="X51" i="2"/>
  <c r="W51" i="2"/>
  <c r="X28" i="2"/>
  <c r="X55" i="2" s="1"/>
  <c r="X29" i="2"/>
  <c r="X27" i="2"/>
  <c r="V19" i="2"/>
  <c r="W80" i="1"/>
  <c r="W82" i="1" s="1"/>
  <c r="W67" i="1"/>
  <c r="Q50" i="46" l="1"/>
  <c r="P44" i="46"/>
  <c r="P50" i="46"/>
  <c r="Q44" i="46"/>
  <c r="BX106" i="8"/>
  <c r="BY252" i="8"/>
  <c r="BZ248" i="8"/>
  <c r="BY250" i="8"/>
  <c r="AR196" i="43"/>
  <c r="AL197" i="43"/>
  <c r="AO197" i="43"/>
  <c r="AR197" i="43"/>
  <c r="AL188" i="43"/>
  <c r="AO196" i="43"/>
  <c r="AU196" i="43"/>
  <c r="AU197" i="43"/>
  <c r="W22" i="1"/>
  <c r="X80" i="1"/>
  <c r="X82" i="1" s="1"/>
  <c r="X22" i="1" s="1"/>
  <c r="AG35" i="2"/>
  <c r="AG56" i="2" s="1"/>
  <c r="AI86" i="1"/>
  <c r="AJ35" i="2"/>
  <c r="AJ56" i="2" s="1"/>
  <c r="AS188" i="43" l="1"/>
  <c r="AN188" i="43"/>
  <c r="BY106" i="8"/>
  <c r="CA248" i="8"/>
  <c r="BZ250" i="8"/>
  <c r="BZ252" i="8"/>
  <c r="AO188" i="43"/>
  <c r="AG86" i="1"/>
  <c r="AJ86" i="1"/>
  <c r="AR188" i="43" l="1"/>
  <c r="AQ188" i="43"/>
  <c r="AV188" i="43"/>
  <c r="AY188" i="43" s="1"/>
  <c r="AW188" i="43" s="1"/>
  <c r="BZ106" i="8"/>
  <c r="CA250" i="8"/>
  <c r="CB248" i="8"/>
  <c r="CA252" i="8"/>
  <c r="X176" i="1"/>
  <c r="W85" i="1"/>
  <c r="W86" i="1" s="1"/>
  <c r="X130" i="1"/>
  <c r="W208" i="1"/>
  <c r="W60" i="1"/>
  <c r="W53" i="1"/>
  <c r="AU188" i="43" l="1"/>
  <c r="BB188" i="43"/>
  <c r="AZ188" i="43" s="1"/>
  <c r="AX188" i="43"/>
  <c r="AT188" i="43"/>
  <c r="CA106" i="8"/>
  <c r="CB250" i="8"/>
  <c r="CC248" i="8"/>
  <c r="CB252" i="8"/>
  <c r="W56" i="2"/>
  <c r="W207" i="1"/>
  <c r="BA188" i="43" l="1"/>
  <c r="CB106" i="8"/>
  <c r="CC250" i="8"/>
  <c r="CC252" i="8"/>
  <c r="W29" i="1"/>
  <c r="W89" i="1"/>
  <c r="W108" i="1" s="1"/>
  <c r="X228" i="1"/>
  <c r="X207" i="1"/>
  <c r="CC106" i="8" l="1"/>
  <c r="AW68" i="8" l="1"/>
  <c r="AY68" i="8"/>
  <c r="BB68" i="8"/>
  <c r="BE68" i="8"/>
  <c r="BF68" i="8"/>
  <c r="BH68" i="8"/>
  <c r="V18" i="2" s="1"/>
  <c r="AV68" i="8"/>
  <c r="BG255" i="8"/>
  <c r="AV71" i="8"/>
  <c r="AW71" i="8"/>
  <c r="AY71" i="8"/>
  <c r="BB71" i="8"/>
  <c r="BC71" i="8"/>
  <c r="BE71" i="8"/>
  <c r="AD53" i="43"/>
  <c r="AG53" i="43"/>
  <c r="AG14" i="43"/>
  <c r="AD14" i="43"/>
  <c r="AA14" i="43"/>
  <c r="X14" i="43"/>
  <c r="U14" i="43"/>
  <c r="T14" i="43"/>
  <c r="BD102" i="8" l="1"/>
  <c r="BG102" i="8"/>
  <c r="AA102" i="43" l="1"/>
  <c r="AG102" i="43"/>
  <c r="AD102" i="43"/>
  <c r="AW311" i="43" l="1"/>
  <c r="AZ311" i="43" s="1"/>
  <c r="AH42" i="8" l="1"/>
  <c r="AH35" i="8"/>
  <c r="AH33" i="8"/>
  <c r="AH20" i="8"/>
  <c r="AH19" i="8"/>
  <c r="D58" i="8"/>
  <c r="D64" i="8" s="1"/>
  <c r="E67" i="8"/>
  <c r="E69" i="8"/>
  <c r="D71" i="8"/>
  <c r="D75" i="8"/>
  <c r="E102" i="8"/>
  <c r="E103" i="8"/>
  <c r="E121" i="8" s="1"/>
  <c r="D107" i="8"/>
  <c r="E107" i="8" s="1"/>
  <c r="D114" i="8"/>
  <c r="E114" i="8"/>
  <c r="D115" i="8"/>
  <c r="E115" i="8"/>
  <c r="D116" i="8"/>
  <c r="E116" i="8"/>
  <c r="D121" i="8"/>
  <c r="D185" i="8"/>
  <c r="D192" i="8"/>
  <c r="E192" i="8"/>
  <c r="D196" i="8"/>
  <c r="E198" i="8"/>
  <c r="E196" i="8" s="1"/>
  <c r="H17" i="8"/>
  <c r="G18" i="8"/>
  <c r="H21" i="8"/>
  <c r="G22" i="8"/>
  <c r="H27" i="8"/>
  <c r="G28" i="8"/>
  <c r="G58" i="8"/>
  <c r="H67" i="8"/>
  <c r="H69" i="8"/>
  <c r="G71" i="8"/>
  <c r="G75" i="8"/>
  <c r="G102" i="8"/>
  <c r="H102" i="8"/>
  <c r="G103" i="8"/>
  <c r="H121" i="8" s="1"/>
  <c r="H103" i="8"/>
  <c r="G107" i="8"/>
  <c r="H107" i="8" s="1"/>
  <c r="G185" i="8"/>
  <c r="G192" i="8"/>
  <c r="H192" i="8"/>
  <c r="G196" i="8"/>
  <c r="H198" i="8"/>
  <c r="H75" i="8" s="1"/>
  <c r="K17" i="8"/>
  <c r="J18" i="8"/>
  <c r="J19" i="8"/>
  <c r="K21" i="8"/>
  <c r="J22" i="8"/>
  <c r="K27" i="8"/>
  <c r="J28" i="8"/>
  <c r="J58" i="8"/>
  <c r="K67" i="8"/>
  <c r="K69" i="8"/>
  <c r="J71" i="8"/>
  <c r="J75" i="8"/>
  <c r="J102" i="8"/>
  <c r="K102" i="8"/>
  <c r="J103" i="8"/>
  <c r="J121" i="8" s="1"/>
  <c r="K103" i="8"/>
  <c r="K121" i="8" s="1"/>
  <c r="J107" i="8"/>
  <c r="K107" i="8" s="1"/>
  <c r="J114" i="8"/>
  <c r="K114" i="8"/>
  <c r="J115" i="8"/>
  <c r="K115" i="8"/>
  <c r="J116" i="8"/>
  <c r="K116" i="8"/>
  <c r="J185" i="8"/>
  <c r="J192" i="8"/>
  <c r="K192" i="8"/>
  <c r="J196" i="8"/>
  <c r="K198" i="8"/>
  <c r="K75" i="8" s="1"/>
  <c r="N17" i="8"/>
  <c r="M18" i="8"/>
  <c r="M19" i="8"/>
  <c r="N21" i="8"/>
  <c r="M22" i="8"/>
  <c r="N27" i="8"/>
  <c r="M28" i="8"/>
  <c r="M58" i="8"/>
  <c r="N67" i="8"/>
  <c r="N69" i="8"/>
  <c r="M71" i="8"/>
  <c r="M75" i="8"/>
  <c r="N102" i="8"/>
  <c r="N103" i="8"/>
  <c r="N121" i="8" s="1"/>
  <c r="M107" i="8"/>
  <c r="N107" i="8" s="1"/>
  <c r="M114" i="8"/>
  <c r="N114" i="8"/>
  <c r="M115" i="8"/>
  <c r="N115" i="8"/>
  <c r="M116" i="8"/>
  <c r="N116" i="8"/>
  <c r="M121" i="8"/>
  <c r="M192" i="8"/>
  <c r="N192" i="8"/>
  <c r="M196" i="8"/>
  <c r="N198" i="8"/>
  <c r="N75" i="8" s="1"/>
  <c r="Q17" i="8"/>
  <c r="P18" i="8"/>
  <c r="P19" i="8"/>
  <c r="Q21" i="8"/>
  <c r="P22" i="8"/>
  <c r="Q27" i="8"/>
  <c r="P28" i="8"/>
  <c r="P37" i="8"/>
  <c r="P58" i="8"/>
  <c r="Q67" i="8"/>
  <c r="Q69" i="8"/>
  <c r="P71" i="8"/>
  <c r="P75" i="8"/>
  <c r="Q102" i="8"/>
  <c r="Q103" i="8"/>
  <c r="Q121" i="8" s="1"/>
  <c r="P107" i="8"/>
  <c r="Q107" i="8" s="1"/>
  <c r="P114" i="8"/>
  <c r="Q114" i="8"/>
  <c r="P115" i="8"/>
  <c r="Q115" i="8"/>
  <c r="P116" i="8"/>
  <c r="Q116" i="8"/>
  <c r="P121" i="8"/>
  <c r="P185" i="8"/>
  <c r="P192" i="8"/>
  <c r="Q192" i="8"/>
  <c r="P196" i="8"/>
  <c r="Q198" i="8"/>
  <c r="Q196" i="8" s="1"/>
  <c r="AF29" i="8"/>
  <c r="AI29" i="8"/>
  <c r="AI27" i="8"/>
  <c r="AE121" i="8"/>
  <c r="AF116" i="8"/>
  <c r="AE116" i="8"/>
  <c r="AE115" i="8"/>
  <c r="AF114" i="8"/>
  <c r="AE114" i="8"/>
  <c r="AE107" i="8"/>
  <c r="AF107" i="8" s="1"/>
  <c r="AF103" i="8"/>
  <c r="AF121" i="8" s="1"/>
  <c r="AF102" i="8"/>
  <c r="AF86" i="8"/>
  <c r="AF198" i="8"/>
  <c r="AF75" i="8" s="1"/>
  <c r="AF197" i="8"/>
  <c r="AF115" i="8" s="1"/>
  <c r="AE185" i="8"/>
  <c r="AE196" i="8"/>
  <c r="AF192" i="8"/>
  <c r="AE192" i="8"/>
  <c r="AF69" i="8"/>
  <c r="AF67" i="8"/>
  <c r="AE75" i="8"/>
  <c r="AE71" i="8"/>
  <c r="AE58" i="8"/>
  <c r="AE64" i="8" s="1"/>
  <c r="AE42" i="8"/>
  <c r="AE37" i="8"/>
  <c r="AF36" i="8"/>
  <c r="AE35" i="8"/>
  <c r="AE33" i="8"/>
  <c r="AE28" i="8"/>
  <c r="AF27" i="8"/>
  <c r="AF26" i="8" s="1"/>
  <c r="AE22" i="8"/>
  <c r="AE30" i="8"/>
  <c r="AF21" i="8"/>
  <c r="AE20" i="8"/>
  <c r="AE19" i="8"/>
  <c r="AE18" i="8"/>
  <c r="AF17" i="8"/>
  <c r="AB107" i="8"/>
  <c r="AC107" i="8" s="1"/>
  <c r="AC103" i="8"/>
  <c r="AC121" i="8" s="1"/>
  <c r="AC102" i="8"/>
  <c r="AB121" i="8"/>
  <c r="AC116" i="8"/>
  <c r="AB116" i="8"/>
  <c r="AC115" i="8"/>
  <c r="AB115" i="8"/>
  <c r="AC114" i="8"/>
  <c r="AB114" i="8"/>
  <c r="AC198" i="8"/>
  <c r="AC75" i="8" s="1"/>
  <c r="AB185" i="8"/>
  <c r="AB196" i="8"/>
  <c r="AC192" i="8"/>
  <c r="AB192" i="8"/>
  <c r="AB75" i="8"/>
  <c r="AC69" i="8"/>
  <c r="AC67" i="8"/>
  <c r="AB71" i="8"/>
  <c r="AB58" i="8"/>
  <c r="AB42" i="8"/>
  <c r="AC36" i="8"/>
  <c r="AB33" i="8"/>
  <c r="AB28" i="8"/>
  <c r="AC27" i="8"/>
  <c r="AE26" i="8" s="1"/>
  <c r="AC29" i="8"/>
  <c r="AB22" i="8"/>
  <c r="AB30" i="8"/>
  <c r="AC21" i="8"/>
  <c r="AB19" i="8"/>
  <c r="AB18" i="8"/>
  <c r="AC17" i="8"/>
  <c r="Y185" i="8"/>
  <c r="Y107" i="8"/>
  <c r="Z107" i="8" s="1"/>
  <c r="Z103" i="8"/>
  <c r="Z121" i="8" s="1"/>
  <c r="Z102" i="8"/>
  <c r="Y121" i="8"/>
  <c r="Z116" i="8"/>
  <c r="Y116" i="8"/>
  <c r="Z115" i="8"/>
  <c r="Y115" i="8"/>
  <c r="Y114" i="8"/>
  <c r="Z198" i="8"/>
  <c r="Z196" i="8" s="1"/>
  <c r="Y196" i="8"/>
  <c r="Y192" i="8"/>
  <c r="Z69" i="8"/>
  <c r="Z67" i="8"/>
  <c r="Y75" i="8"/>
  <c r="Y71" i="8"/>
  <c r="Z62" i="8"/>
  <c r="Z114" i="8" s="1"/>
  <c r="Y58" i="8"/>
  <c r="Y64" i="8" s="1"/>
  <c r="Y42" i="8"/>
  <c r="Y37" i="8"/>
  <c r="Z36" i="8"/>
  <c r="Y33" i="8"/>
  <c r="Z29" i="8"/>
  <c r="Y28" i="8"/>
  <c r="Z27" i="8"/>
  <c r="Y29" i="8"/>
  <c r="Y22" i="8"/>
  <c r="Z21" i="8"/>
  <c r="Y19" i="8"/>
  <c r="Y18" i="8"/>
  <c r="Z17" i="8"/>
  <c r="V185" i="8"/>
  <c r="V107" i="8"/>
  <c r="W107" i="8" s="1"/>
  <c r="V121" i="8"/>
  <c r="W116" i="8"/>
  <c r="V116" i="8"/>
  <c r="W115" i="8"/>
  <c r="V115" i="8"/>
  <c r="W114" i="8"/>
  <c r="V114" i="8"/>
  <c r="W103" i="8"/>
  <c r="W121" i="8" s="1"/>
  <c r="W102" i="8"/>
  <c r="W198" i="8"/>
  <c r="W75" i="8" s="1"/>
  <c r="V196" i="8"/>
  <c r="W192" i="8"/>
  <c r="V192" i="8"/>
  <c r="W69" i="8"/>
  <c r="W67" i="8"/>
  <c r="V75" i="8"/>
  <c r="V71" i="8"/>
  <c r="V58" i="8"/>
  <c r="V64" i="8" s="1"/>
  <c r="V42" i="8"/>
  <c r="V37" i="8"/>
  <c r="W36" i="8"/>
  <c r="V33" i="8"/>
  <c r="V29" i="8"/>
  <c r="V30" i="8" s="1"/>
  <c r="V28" i="8"/>
  <c r="W27" i="8"/>
  <c r="V22" i="8"/>
  <c r="W21" i="8"/>
  <c r="V19" i="8"/>
  <c r="V18" i="8"/>
  <c r="W17" i="8"/>
  <c r="S107" i="8"/>
  <c r="T107" i="8" s="1"/>
  <c r="T103" i="8"/>
  <c r="T121" i="8" s="1"/>
  <c r="T102" i="8"/>
  <c r="S121" i="8"/>
  <c r="T116" i="8"/>
  <c r="S116" i="8"/>
  <c r="T115" i="8"/>
  <c r="S115" i="8"/>
  <c r="T114" i="8"/>
  <c r="S114" i="8"/>
  <c r="S185" i="8"/>
  <c r="T198" i="8"/>
  <c r="T75" i="8" s="1"/>
  <c r="S196" i="8"/>
  <c r="T192" i="8"/>
  <c r="S192" i="8"/>
  <c r="T69" i="8"/>
  <c r="T67" i="8"/>
  <c r="S75" i="8"/>
  <c r="S71" i="8"/>
  <c r="S58" i="8"/>
  <c r="S42" i="8"/>
  <c r="S37" i="8"/>
  <c r="T36" i="8"/>
  <c r="S28" i="8"/>
  <c r="T27" i="8"/>
  <c r="T21" i="8"/>
  <c r="S22" i="8"/>
  <c r="S19" i="8"/>
  <c r="S18" i="8"/>
  <c r="T17" i="8"/>
  <c r="E71" i="8" l="1"/>
  <c r="AI33" i="8"/>
  <c r="AI26" i="8"/>
  <c r="AH26" i="8"/>
  <c r="M60" i="8"/>
  <c r="D73" i="8"/>
  <c r="D193" i="8" s="1"/>
  <c r="D203" i="8" s="1"/>
  <c r="D76" i="8" s="1"/>
  <c r="G121" i="8"/>
  <c r="J60" i="8"/>
  <c r="G64" i="8"/>
  <c r="G60" i="8"/>
  <c r="H71" i="8"/>
  <c r="K19" i="8"/>
  <c r="H196" i="8"/>
  <c r="K71" i="8"/>
  <c r="N19" i="8"/>
  <c r="Q71" i="8"/>
  <c r="K196" i="8"/>
  <c r="J64" i="8"/>
  <c r="N71" i="8"/>
  <c r="N196" i="8"/>
  <c r="M64" i="8"/>
  <c r="P60" i="8"/>
  <c r="Q19" i="8"/>
  <c r="Q75" i="8"/>
  <c r="P64" i="8"/>
  <c r="AF20" i="8"/>
  <c r="AF71" i="8"/>
  <c r="AF42" i="8"/>
  <c r="Z71" i="8"/>
  <c r="AC33" i="8"/>
  <c r="AE16" i="8"/>
  <c r="AF16" i="8" s="1"/>
  <c r="AF30" i="8"/>
  <c r="AF33" i="8"/>
  <c r="AC19" i="8"/>
  <c r="AC30" i="8"/>
  <c r="AC71" i="8"/>
  <c r="AF19" i="8"/>
  <c r="AF28" i="8"/>
  <c r="AC20" i="8"/>
  <c r="AF35" i="8"/>
  <c r="AE73" i="8"/>
  <c r="AE193" i="8" s="1"/>
  <c r="AE60" i="8"/>
  <c r="AC42" i="8"/>
  <c r="Z30" i="8"/>
  <c r="AB60" i="8"/>
  <c r="AB64" i="8"/>
  <c r="AB16" i="8"/>
  <c r="AC16" i="8" s="1"/>
  <c r="Z19" i="8"/>
  <c r="Z42" i="8"/>
  <c r="W71" i="8"/>
  <c r="T71" i="8"/>
  <c r="Y30" i="8"/>
  <c r="Z192" i="8"/>
  <c r="Z202" i="8" s="1"/>
  <c r="W33" i="8"/>
  <c r="W19" i="8"/>
  <c r="W42" i="8"/>
  <c r="Z33" i="8"/>
  <c r="Z75" i="8"/>
  <c r="Y73" i="8"/>
  <c r="Y60" i="8"/>
  <c r="Y16" i="8"/>
  <c r="Z16" i="8" s="1"/>
  <c r="V60" i="8"/>
  <c r="V73" i="8"/>
  <c r="T19" i="8"/>
  <c r="S60" i="8"/>
  <c r="S64" i="8"/>
  <c r="D191" i="8" l="1"/>
  <c r="D201" i="8" s="1"/>
  <c r="D77" i="8" s="1"/>
  <c r="D79" i="8"/>
  <c r="G73" i="8"/>
  <c r="J73" i="8"/>
  <c r="M73" i="8"/>
  <c r="P73" i="8"/>
  <c r="AE203" i="8"/>
  <c r="AE76" i="8" s="1"/>
  <c r="AE191" i="8"/>
  <c r="AE201" i="8" s="1"/>
  <c r="AE77" i="8" s="1"/>
  <c r="AE79" i="8"/>
  <c r="AB73" i="8"/>
  <c r="Y79" i="8"/>
  <c r="Y193" i="8"/>
  <c r="V79" i="8"/>
  <c r="V84" i="8" s="1"/>
  <c r="V193" i="8"/>
  <c r="S73" i="8"/>
  <c r="D84" i="8" l="1"/>
  <c r="D88" i="8"/>
  <c r="G193" i="8"/>
  <c r="G79" i="8"/>
  <c r="J193" i="8"/>
  <c r="J79" i="8"/>
  <c r="M193" i="8"/>
  <c r="M79" i="8"/>
  <c r="P193" i="8"/>
  <c r="P79" i="8"/>
  <c r="AE84" i="8"/>
  <c r="AE88" i="8"/>
  <c r="Y84" i="8"/>
  <c r="Y88" i="8"/>
  <c r="AB79" i="8"/>
  <c r="AB88" i="8" s="1"/>
  <c r="AB193" i="8"/>
  <c r="Y203" i="8"/>
  <c r="Y76" i="8" s="1"/>
  <c r="Y191" i="8"/>
  <c r="Y201" i="8" s="1"/>
  <c r="Y77" i="8" s="1"/>
  <c r="V88" i="8"/>
  <c r="V191" i="8"/>
  <c r="V201" i="8" s="1"/>
  <c r="V77" i="8" s="1"/>
  <c r="V203" i="8"/>
  <c r="V76" i="8" s="1"/>
  <c r="S79" i="8"/>
  <c r="S88" i="8" s="1"/>
  <c r="S193" i="8"/>
  <c r="V89" i="8" l="1"/>
  <c r="Y89" i="8"/>
  <c r="D111" i="8"/>
  <c r="D118" i="8" s="1"/>
  <c r="D123" i="8" s="1"/>
  <c r="D126" i="8" s="1"/>
  <c r="D91" i="8"/>
  <c r="D93" i="8"/>
  <c r="G84" i="8"/>
  <c r="G88" i="8"/>
  <c r="G89" i="8" s="1"/>
  <c r="G191" i="8"/>
  <c r="G201" i="8" s="1"/>
  <c r="G77" i="8" s="1"/>
  <c r="G203" i="8"/>
  <c r="G76" i="8" s="1"/>
  <c r="J84" i="8"/>
  <c r="J88" i="8"/>
  <c r="J191" i="8"/>
  <c r="J201" i="8" s="1"/>
  <c r="J77" i="8" s="1"/>
  <c r="J203" i="8"/>
  <c r="J76" i="8" s="1"/>
  <c r="M88" i="8"/>
  <c r="M84" i="8"/>
  <c r="M191" i="8"/>
  <c r="M201" i="8" s="1"/>
  <c r="M77" i="8" s="1"/>
  <c r="M203" i="8"/>
  <c r="M76" i="8" s="1"/>
  <c r="P203" i="8"/>
  <c r="P76" i="8" s="1"/>
  <c r="P191" i="8"/>
  <c r="P201" i="8" s="1"/>
  <c r="P77" i="8" s="1"/>
  <c r="P88" i="8"/>
  <c r="S89" i="8" s="1"/>
  <c r="P84" i="8"/>
  <c r="AE89" i="8"/>
  <c r="AE111" i="8"/>
  <c r="AE118" i="8" s="1"/>
  <c r="AE91" i="8"/>
  <c r="AE93" i="8"/>
  <c r="Y91" i="8"/>
  <c r="Y93" i="8"/>
  <c r="Y111" i="8"/>
  <c r="Y118" i="8" s="1"/>
  <c r="Y123" i="8" s="1"/>
  <c r="Y126" i="8" s="1"/>
  <c r="AB111" i="8"/>
  <c r="AB118" i="8" s="1"/>
  <c r="AB89" i="8"/>
  <c r="AB84" i="8"/>
  <c r="AB191" i="8"/>
  <c r="AB201" i="8" s="1"/>
  <c r="AB77" i="8" s="1"/>
  <c r="AB203" i="8"/>
  <c r="AB76" i="8" s="1"/>
  <c r="AB91" i="8"/>
  <c r="AB93" i="8"/>
  <c r="V91" i="8"/>
  <c r="V111" i="8"/>
  <c r="V118" i="8" s="1"/>
  <c r="V93" i="8"/>
  <c r="S91" i="8"/>
  <c r="S111" i="8"/>
  <c r="S118" i="8" s="1"/>
  <c r="S93" i="8"/>
  <c r="S191" i="8"/>
  <c r="S201" i="8" s="1"/>
  <c r="S77" i="8" s="1"/>
  <c r="S203" i="8"/>
  <c r="S76" i="8" s="1"/>
  <c r="S84" i="8"/>
  <c r="J89" i="8" l="1"/>
  <c r="M89" i="8"/>
  <c r="P89" i="8"/>
  <c r="AE94" i="8"/>
  <c r="AB94" i="8"/>
  <c r="V94" i="8"/>
  <c r="Y94" i="8"/>
  <c r="G91" i="8"/>
  <c r="G111" i="8"/>
  <c r="G118" i="8" s="1"/>
  <c r="G123" i="8" s="1"/>
  <c r="G93" i="8"/>
  <c r="G94" i="8" s="1"/>
  <c r="J91" i="8"/>
  <c r="J111" i="8"/>
  <c r="J118" i="8" s="1"/>
  <c r="J123" i="8" s="1"/>
  <c r="J126" i="8" s="1"/>
  <c r="J93" i="8"/>
  <c r="M91" i="8"/>
  <c r="M93" i="8"/>
  <c r="M111" i="8"/>
  <c r="M118" i="8" s="1"/>
  <c r="M123" i="8" s="1"/>
  <c r="M126" i="8" s="1"/>
  <c r="P91" i="8"/>
  <c r="P93" i="8"/>
  <c r="P111" i="8"/>
  <c r="P118" i="8" s="1"/>
  <c r="AE119" i="8"/>
  <c r="AE123" i="8"/>
  <c r="AE126" i="8" s="1"/>
  <c r="AB119" i="8"/>
  <c r="Y119" i="8"/>
  <c r="AB123" i="8"/>
  <c r="V119" i="8"/>
  <c r="V123" i="8"/>
  <c r="S123" i="8"/>
  <c r="S126" i="8" s="1"/>
  <c r="AB124" i="8" l="1"/>
  <c r="AB127" i="8" s="1"/>
  <c r="AB126" i="8"/>
  <c r="G124" i="8"/>
  <c r="G127" i="8" s="1"/>
  <c r="G126" i="8"/>
  <c r="Y124" i="8"/>
  <c r="Y127" i="8" s="1"/>
  <c r="V126" i="8"/>
  <c r="J94" i="8"/>
  <c r="P94" i="8"/>
  <c r="S94" i="8"/>
  <c r="M94" i="8"/>
  <c r="J124" i="8"/>
  <c r="J127" i="8" s="1"/>
  <c r="M124" i="8"/>
  <c r="M127" i="8" s="1"/>
  <c r="P119" i="8"/>
  <c r="P123" i="8"/>
  <c r="S119" i="8"/>
  <c r="AE124" i="8"/>
  <c r="AE127" i="8" s="1"/>
  <c r="V124" i="8"/>
  <c r="V127" i="8" s="1"/>
  <c r="P124" i="8" l="1"/>
  <c r="P127" i="8" s="1"/>
  <c r="P126" i="8"/>
  <c r="S124" i="8"/>
  <c r="S127" i="8" s="1"/>
  <c r="F25" i="8" l="1"/>
  <c r="CM253" i="43" l="1"/>
  <c r="CK425" i="43" l="1"/>
  <c r="AH49" i="46" l="1"/>
  <c r="AI49" i="46"/>
  <c r="AH7" i="46"/>
  <c r="AH22" i="46" s="1"/>
  <c r="AI7" i="46"/>
  <c r="AI22" i="46" s="1"/>
  <c r="O43" i="46"/>
  <c r="O49" i="46" s="1"/>
  <c r="P49" i="46"/>
  <c r="BH196" i="8" l="1"/>
  <c r="BH185" i="8"/>
  <c r="BH137" i="8"/>
  <c r="BH121" i="8"/>
  <c r="BH25" i="8"/>
  <c r="BH23" i="8"/>
  <c r="BH24" i="8" s="1"/>
  <c r="BH19" i="8"/>
  <c r="BE19" i="8"/>
  <c r="AG56" i="43"/>
  <c r="AG41" i="43"/>
  <c r="AG43" i="43" s="1"/>
  <c r="V164" i="1" s="1"/>
  <c r="AG32" i="43"/>
  <c r="AG21" i="43"/>
  <c r="AG15" i="43"/>
  <c r="AG13" i="43"/>
  <c r="M44" i="46" s="1"/>
  <c r="AG6" i="43"/>
  <c r="AG4" i="43"/>
  <c r="AG47" i="43"/>
  <c r="AG410" i="43"/>
  <c r="AG353" i="43"/>
  <c r="AG351" i="43"/>
  <c r="M52" i="46" s="1"/>
  <c r="AG348" i="43"/>
  <c r="AG345" i="43"/>
  <c r="AG343" i="43"/>
  <c r="AJ344" i="43" s="1"/>
  <c r="AG334" i="43"/>
  <c r="M51" i="46" s="1"/>
  <c r="AG330" i="43"/>
  <c r="AG312" i="43"/>
  <c r="AG307" i="43"/>
  <c r="AD302" i="43"/>
  <c r="AG302" i="43"/>
  <c r="AG300" i="43"/>
  <c r="AG293" i="43"/>
  <c r="AG31" i="43" s="1"/>
  <c r="AG291" i="43"/>
  <c r="AG280" i="43"/>
  <c r="AG278" i="43"/>
  <c r="AG270" i="43"/>
  <c r="AJ273" i="43" s="1"/>
  <c r="AG267" i="43"/>
  <c r="AG264" i="43"/>
  <c r="AG263" i="43"/>
  <c r="AG253" i="43"/>
  <c r="AD210" i="43"/>
  <c r="AG210" i="43"/>
  <c r="AJ254" i="43" l="1"/>
  <c r="M45" i="46"/>
  <c r="M50" i="46"/>
  <c r="AJ335" i="43"/>
  <c r="BH270" i="8"/>
  <c r="AG283" i="43"/>
  <c r="AG229" i="43"/>
  <c r="AG33" i="43"/>
  <c r="BH49" i="8" s="1"/>
  <c r="BH52" i="8"/>
  <c r="V16" i="2"/>
  <c r="AG331" i="43"/>
  <c r="AG271" i="43"/>
  <c r="AG55" i="43"/>
  <c r="BH58" i="8"/>
  <c r="AG197" i="43"/>
  <c r="AG196" i="43"/>
  <c r="AG181" i="43"/>
  <c r="AG84" i="43"/>
  <c r="AJ87" i="43" s="1"/>
  <c r="AG82" i="43"/>
  <c r="AG76" i="43"/>
  <c r="V72" i="2"/>
  <c r="V63" i="2"/>
  <c r="V35" i="2"/>
  <c r="V56" i="2" s="1"/>
  <c r="V37" i="2"/>
  <c r="M41" i="46" s="1"/>
  <c r="V13" i="2"/>
  <c r="V230" i="1"/>
  <c r="V228" i="1"/>
  <c r="V208" i="1"/>
  <c r="V207" i="1"/>
  <c r="V147" i="1"/>
  <c r="W139" i="1" s="1"/>
  <c r="V89" i="1"/>
  <c r="V85" i="1"/>
  <c r="V86" i="1" s="1"/>
  <c r="V75" i="1"/>
  <c r="V67" i="1"/>
  <c r="V68" i="1" s="1"/>
  <c r="V60" i="1"/>
  <c r="V61" i="1" s="1"/>
  <c r="V53" i="1"/>
  <c r="V54" i="1" s="1"/>
  <c r="V51" i="1"/>
  <c r="V7" i="1"/>
  <c r="AJ272" i="43" l="1"/>
  <c r="M46" i="46"/>
  <c r="W91" i="1"/>
  <c r="BH64" i="8"/>
  <c r="BH136" i="8" s="1"/>
  <c r="BH139" i="8" s="1"/>
  <c r="V60" i="2" s="1"/>
  <c r="BK60" i="8"/>
  <c r="AG20" i="43"/>
  <c r="AG22" i="43" s="1"/>
  <c r="BH11" i="8" s="1"/>
  <c r="BH46" i="8" s="1"/>
  <c r="AJ232" i="43"/>
  <c r="BH134" i="8"/>
  <c r="AG25" i="43"/>
  <c r="W116" i="1"/>
  <c r="Y116" i="1"/>
  <c r="BH269" i="8"/>
  <c r="AG85" i="43"/>
  <c r="AJ86" i="43" s="1"/>
  <c r="AG143" i="43"/>
  <c r="AG294" i="43"/>
  <c r="W168" i="1"/>
  <c r="X168" i="1" s="1"/>
  <c r="Z164" i="1"/>
  <c r="Z167" i="1" s="1"/>
  <c r="BH160" i="8"/>
  <c r="W90" i="1"/>
  <c r="AG90" i="43"/>
  <c r="V108" i="1"/>
  <c r="V73" i="1"/>
  <c r="AG5" i="43"/>
  <c r="AG7" i="43" s="1"/>
  <c r="AG303" i="43"/>
  <c r="AG281" i="43"/>
  <c r="AJ282" i="43" s="1"/>
  <c r="AK55" i="2"/>
  <c r="AK53" i="2"/>
  <c r="AK51" i="2"/>
  <c r="AK34" i="2"/>
  <c r="AH55" i="2"/>
  <c r="AH53" i="2"/>
  <c r="AH51" i="2"/>
  <c r="AH34" i="2"/>
  <c r="AK86" i="1"/>
  <c r="AH86" i="1"/>
  <c r="BW137" i="8"/>
  <c r="BT137" i="8"/>
  <c r="AV410" i="43"/>
  <c r="AV282" i="43"/>
  <c r="AS410" i="43"/>
  <c r="BW4" i="8"/>
  <c r="BT4" i="8"/>
  <c r="BF19" i="8"/>
  <c r="BF42" i="8"/>
  <c r="BG36" i="8"/>
  <c r="BG27" i="8"/>
  <c r="BG21" i="8"/>
  <c r="BG17" i="8"/>
  <c r="BJ19" i="8" s="1"/>
  <c r="BF29" i="8"/>
  <c r="BF30" i="8" s="1"/>
  <c r="BE25" i="8"/>
  <c r="BE23" i="8"/>
  <c r="BE24" i="8" s="1"/>
  <c r="AF309" i="43"/>
  <c r="AF188" i="43"/>
  <c r="AF79" i="43"/>
  <c r="AF14" i="43" s="1"/>
  <c r="AF80" i="43"/>
  <c r="BG103" i="8"/>
  <c r="BG121" i="8" s="1"/>
  <c r="BD107" i="8"/>
  <c r="BF107" i="8" s="1"/>
  <c r="BG105" i="8" s="1"/>
  <c r="AE62" i="43"/>
  <c r="AE37" i="43"/>
  <c r="AE36" i="43"/>
  <c r="AE32" i="43"/>
  <c r="AE21" i="43"/>
  <c r="AE15" i="43"/>
  <c r="AE14" i="43"/>
  <c r="AE13" i="43"/>
  <c r="AE6" i="43"/>
  <c r="AE4" i="43"/>
  <c r="BF196" i="8"/>
  <c r="BF121" i="8"/>
  <c r="BF75" i="8"/>
  <c r="BF58" i="8"/>
  <c r="BI60" i="8" s="1"/>
  <c r="AE353" i="43"/>
  <c r="AE351" i="43"/>
  <c r="AE347" i="43"/>
  <c r="AE345" i="43"/>
  <c r="AE343" i="43"/>
  <c r="AH344" i="43" s="1"/>
  <c r="AE337" i="43"/>
  <c r="AE334" i="43"/>
  <c r="AE320" i="43"/>
  <c r="AF320" i="43" s="1"/>
  <c r="AL320" i="43" s="1"/>
  <c r="AO320" i="43" s="1"/>
  <c r="AQ320" i="43" s="1"/>
  <c r="AR320" i="43" s="1"/>
  <c r="AT320" i="43" s="1"/>
  <c r="AU320" i="43" s="1"/>
  <c r="AW320" i="43" s="1"/>
  <c r="AX320" i="43" s="1"/>
  <c r="AZ320" i="43" s="1"/>
  <c r="BA320" i="43" s="1"/>
  <c r="AE318" i="43"/>
  <c r="AF318" i="43" s="1"/>
  <c r="AE330" i="43"/>
  <c r="AE331" i="43" s="1"/>
  <c r="AE312" i="43"/>
  <c r="AE307" i="43"/>
  <c r="AE302" i="43"/>
  <c r="AE293" i="43"/>
  <c r="AE283" i="43"/>
  <c r="AE278" i="43"/>
  <c r="AE273" i="43"/>
  <c r="AE271" i="43"/>
  <c r="AE266" i="43"/>
  <c r="AE263" i="43"/>
  <c r="AH264" i="43" s="1"/>
  <c r="AE256" i="43"/>
  <c r="AE253" i="43"/>
  <c r="AH254" i="43" s="1"/>
  <c r="AE229" i="43"/>
  <c r="AH232" i="43" s="1"/>
  <c r="AE188" i="43"/>
  <c r="AE182" i="43"/>
  <c r="AF182" i="43" s="1"/>
  <c r="AE180" i="43"/>
  <c r="AF180" i="43" s="1"/>
  <c r="AE176" i="43"/>
  <c r="AF176" i="43" s="1"/>
  <c r="AE174" i="43"/>
  <c r="AF174" i="43" s="1"/>
  <c r="AE162" i="43"/>
  <c r="AF162" i="43" s="1"/>
  <c r="AE160" i="43"/>
  <c r="AF160" i="43" s="1"/>
  <c r="AE156" i="43"/>
  <c r="AF156" i="43" s="1"/>
  <c r="AE154" i="43"/>
  <c r="AF154" i="43" s="1"/>
  <c r="AE147" i="43"/>
  <c r="AE145" i="43"/>
  <c r="AE144" i="43"/>
  <c r="AE82" i="43"/>
  <c r="AE76" i="43"/>
  <c r="BE192" i="8"/>
  <c r="BE137" i="8"/>
  <c r="BE121" i="8"/>
  <c r="AD59" i="43"/>
  <c r="AD56" i="43"/>
  <c r="AD42" i="43"/>
  <c r="AD32" i="43"/>
  <c r="AD21" i="43"/>
  <c r="AD15" i="43"/>
  <c r="L50" i="46" s="1"/>
  <c r="AD13" i="43"/>
  <c r="L44" i="46" s="1"/>
  <c r="AD412" i="43"/>
  <c r="AD47" i="43" s="1"/>
  <c r="AD410" i="43"/>
  <c r="AD351" i="43"/>
  <c r="L52" i="46" s="1"/>
  <c r="AD348" i="43"/>
  <c r="AD343" i="43"/>
  <c r="AG344" i="43" s="1"/>
  <c r="AD334" i="43"/>
  <c r="AD330" i="43"/>
  <c r="AD312" i="43"/>
  <c r="AD293" i="43"/>
  <c r="AD31" i="43" s="1"/>
  <c r="AH272" i="43" l="1"/>
  <c r="L51" i="46"/>
  <c r="V15" i="2"/>
  <c r="BG19" i="8"/>
  <c r="AJ96" i="43"/>
  <c r="AJ99" i="43"/>
  <c r="AJ144" i="43"/>
  <c r="AJ147" i="43"/>
  <c r="AJ148" i="43" s="1"/>
  <c r="AJ92" i="43"/>
  <c r="AJ91" i="43"/>
  <c r="BG33" i="8"/>
  <c r="BJ33" i="8"/>
  <c r="BF270" i="8"/>
  <c r="AH352" i="43"/>
  <c r="AH335" i="43"/>
  <c r="BF269" i="8"/>
  <c r="AK4" i="1"/>
  <c r="AK4" i="2" s="1"/>
  <c r="BH182" i="8"/>
  <c r="BH132" i="8"/>
  <c r="AF13" i="43"/>
  <c r="BG267" i="8"/>
  <c r="AF15" i="43"/>
  <c r="BG268" i="8"/>
  <c r="AG230" i="43"/>
  <c r="AJ231" i="43" s="1"/>
  <c r="AG226" i="43"/>
  <c r="V20" i="2"/>
  <c r="V64" i="2" s="1"/>
  <c r="AE348" i="43"/>
  <c r="AE258" i="43"/>
  <c r="BF22" i="8"/>
  <c r="AE267" i="43"/>
  <c r="BF64" i="8"/>
  <c r="BF136" i="8" s="1"/>
  <c r="BH55" i="8"/>
  <c r="AG335" i="43"/>
  <c r="AG62" i="43"/>
  <c r="AD331" i="43"/>
  <c r="AG352" i="43"/>
  <c r="AE296" i="43"/>
  <c r="AE44" i="43" s="1"/>
  <c r="AG145" i="43"/>
  <c r="BH37" i="8"/>
  <c r="AG35" i="43"/>
  <c r="BH6" i="8"/>
  <c r="BH18" i="8"/>
  <c r="BH38" i="8"/>
  <c r="BH40" i="8" s="1"/>
  <c r="BH41" i="8" s="1"/>
  <c r="BH22" i="8"/>
  <c r="AG45" i="43"/>
  <c r="AG60" i="43"/>
  <c r="AG17" i="43"/>
  <c r="AG23" i="43"/>
  <c r="AS409" i="43"/>
  <c r="AV409" i="43"/>
  <c r="AH4" i="1"/>
  <c r="AF196" i="43"/>
  <c r="BG29" i="8"/>
  <c r="AF197" i="43"/>
  <c r="AE230" i="43"/>
  <c r="AH231" i="43" s="1"/>
  <c r="AE31" i="43"/>
  <c r="AE33" i="43" s="1"/>
  <c r="BF49" i="8" s="1"/>
  <c r="AE42" i="43"/>
  <c r="AE55" i="43"/>
  <c r="BF18" i="8"/>
  <c r="AE84" i="43"/>
  <c r="AD33" i="43"/>
  <c r="AE197" i="43"/>
  <c r="AE285" i="43"/>
  <c r="AE20" i="43"/>
  <c r="AE22" i="43" s="1"/>
  <c r="BF11" i="8" s="1"/>
  <c r="BF55" i="8" s="1"/>
  <c r="AE210" i="43"/>
  <c r="AE226" i="43" s="1"/>
  <c r="BF28" i="8"/>
  <c r="AE196" i="43"/>
  <c r="AE338" i="43"/>
  <c r="AD291" i="43"/>
  <c r="AD280" i="43"/>
  <c r="AD283" i="43" s="1"/>
  <c r="AD278" i="43"/>
  <c r="AD270" i="43"/>
  <c r="AD267" i="43"/>
  <c r="AD263" i="43"/>
  <c r="AD253" i="43"/>
  <c r="L45" i="46" s="1"/>
  <c r="AD196" i="43"/>
  <c r="X102" i="43"/>
  <c r="AD84" i="43"/>
  <c r="AG87" i="43" s="1"/>
  <c r="AD82" i="43"/>
  <c r="AD76" i="43"/>
  <c r="U72" i="2"/>
  <c r="U63" i="2"/>
  <c r="U56" i="2"/>
  <c r="U55" i="2"/>
  <c r="U53" i="2"/>
  <c r="U51" i="2"/>
  <c r="U40" i="2"/>
  <c r="U13" i="2"/>
  <c r="U249" i="1"/>
  <c r="U168" i="1"/>
  <c r="U147" i="1"/>
  <c r="V139" i="1" s="1"/>
  <c r="U132" i="1"/>
  <c r="V116" i="1" s="1"/>
  <c r="U98" i="1"/>
  <c r="V97" i="1" s="1"/>
  <c r="U7" i="1"/>
  <c r="AJ93" i="43" l="1"/>
  <c r="AJ149" i="43"/>
  <c r="AH4" i="2"/>
  <c r="BG30" i="8"/>
  <c r="V56" i="1"/>
  <c r="AD303" i="43"/>
  <c r="AE303" i="43"/>
  <c r="AD168" i="1"/>
  <c r="AH168" i="1"/>
  <c r="AE41" i="43"/>
  <c r="AE43" i="43" s="1"/>
  <c r="BF52" i="8" s="1"/>
  <c r="BF134" i="8" s="1"/>
  <c r="BF132" i="8" s="1"/>
  <c r="AI196" i="43"/>
  <c r="AI197" i="43"/>
  <c r="AG254" i="43"/>
  <c r="AG273" i="43"/>
  <c r="AG18" i="43"/>
  <c r="BH147" i="8"/>
  <c r="BH148" i="8" s="1"/>
  <c r="BH53" i="8"/>
  <c r="BH50" i="8"/>
  <c r="BH59" i="8"/>
  <c r="BH26" i="8"/>
  <c r="BH56" i="8"/>
  <c r="BH10" i="8"/>
  <c r="BH12" i="8"/>
  <c r="AF32" i="46" s="1"/>
  <c r="BH65" i="8"/>
  <c r="AG37" i="43"/>
  <c r="AG36" i="43"/>
  <c r="AE25" i="43"/>
  <c r="AE287" i="43"/>
  <c r="AD229" i="43"/>
  <c r="AE281" i="43"/>
  <c r="AE85" i="43"/>
  <c r="AE5" i="43"/>
  <c r="AE294" i="43"/>
  <c r="AD85" i="43"/>
  <c r="AG86" i="43" s="1"/>
  <c r="AE47" i="43"/>
  <c r="BF23" i="8"/>
  <c r="BF24" i="8" s="1"/>
  <c r="AD281" i="43"/>
  <c r="AG282" i="43" s="1"/>
  <c r="AD143" i="43"/>
  <c r="AD55" i="43"/>
  <c r="BF46" i="8"/>
  <c r="AD271" i="43"/>
  <c r="L46" i="46" s="1"/>
  <c r="S42" i="46" l="1"/>
  <c r="S40" i="46"/>
  <c r="Q40" i="46"/>
  <c r="R40" i="46"/>
  <c r="R42" i="46"/>
  <c r="Q42" i="46"/>
  <c r="BF43" i="8"/>
  <c r="AK168" i="1"/>
  <c r="AG168" i="1"/>
  <c r="AG272" i="43"/>
  <c r="AD20" i="43"/>
  <c r="AD22" i="43" s="1"/>
  <c r="AG232" i="43"/>
  <c r="AG147" i="43"/>
  <c r="AG144" i="43"/>
  <c r="AG92" i="43"/>
  <c r="AG91" i="43"/>
  <c r="AE297" i="43"/>
  <c r="AE7" i="43"/>
  <c r="AI168" i="1" l="1"/>
  <c r="AJ168" i="1" s="1"/>
  <c r="AN168" i="1"/>
  <c r="AT334" i="43"/>
  <c r="AW334" i="43" s="1"/>
  <c r="AT253" i="43"/>
  <c r="AW253" i="43" s="1"/>
  <c r="BE11" i="8"/>
  <c r="AG93" i="43"/>
  <c r="AE23" i="43"/>
  <c r="BF6" i="8"/>
  <c r="AE17" i="43"/>
  <c r="AE18" i="43" s="1"/>
  <c r="AE45" i="43"/>
  <c r="AE60" i="43"/>
  <c r="AE27" i="43"/>
  <c r="AE35" i="43"/>
  <c r="S51" i="1"/>
  <c r="R51" i="1"/>
  <c r="Q51" i="1"/>
  <c r="P51" i="1"/>
  <c r="O51" i="1"/>
  <c r="N51" i="1"/>
  <c r="T51" i="1"/>
  <c r="BC121" i="8"/>
  <c r="BC196" i="8"/>
  <c r="AB293" i="43"/>
  <c r="AB266" i="43"/>
  <c r="AB267" i="43" s="1"/>
  <c r="AB256" i="43"/>
  <c r="AE257" i="43" s="1"/>
  <c r="AB263" i="43"/>
  <c r="AB353" i="43"/>
  <c r="AB351" i="43"/>
  <c r="AE352" i="43" s="1"/>
  <c r="AB347" i="43"/>
  <c r="AC347" i="43" s="1"/>
  <c r="AC42" i="43" s="1"/>
  <c r="AB345" i="43"/>
  <c r="AB343" i="43"/>
  <c r="AE344" i="43" s="1"/>
  <c r="AB337" i="43"/>
  <c r="AB334" i="43"/>
  <c r="AB312" i="43"/>
  <c r="AB302" i="43"/>
  <c r="AB55" i="43" s="1"/>
  <c r="AB280" i="43"/>
  <c r="AB283" i="43" s="1"/>
  <c r="AB278" i="43"/>
  <c r="Z277" i="43"/>
  <c r="AB273" i="43"/>
  <c r="AB271" i="43"/>
  <c r="AB253" i="43"/>
  <c r="AB229" i="43"/>
  <c r="AE232" i="43" s="1"/>
  <c r="AB147" i="43"/>
  <c r="AB145" i="43"/>
  <c r="AB144" i="43"/>
  <c r="AB90" i="43"/>
  <c r="AB82" i="43"/>
  <c r="AB76" i="43"/>
  <c r="AB62" i="43"/>
  <c r="AB56" i="43"/>
  <c r="AB37" i="43"/>
  <c r="AB36" i="43"/>
  <c r="AB32" i="43"/>
  <c r="AB21" i="43"/>
  <c r="AB15" i="43"/>
  <c r="AB14" i="43"/>
  <c r="AB13" i="43"/>
  <c r="AB6" i="43"/>
  <c r="AB4" i="43"/>
  <c r="BA116" i="8"/>
  <c r="AZ116" i="8"/>
  <c r="BA115" i="8"/>
  <c r="AZ115" i="8"/>
  <c r="AA293" i="43"/>
  <c r="Y293" i="43"/>
  <c r="Y31" i="43" s="1"/>
  <c r="W262" i="43"/>
  <c r="Y347" i="43"/>
  <c r="Y348" i="43" s="1"/>
  <c r="Y302" i="43"/>
  <c r="Y55" i="43" s="1"/>
  <c r="T168" i="1"/>
  <c r="AA302" i="43"/>
  <c r="K15" i="46" s="1"/>
  <c r="AA299" i="43"/>
  <c r="AA300" i="43" s="1"/>
  <c r="AA290" i="43"/>
  <c r="BB196" i="8"/>
  <c r="BB25" i="8"/>
  <c r="BA29" i="8"/>
  <c r="BA36" i="8"/>
  <c r="BA27" i="8"/>
  <c r="BA21" i="8"/>
  <c r="BA17" i="8"/>
  <c r="BB19" i="8"/>
  <c r="T40" i="2"/>
  <c r="T13" i="2"/>
  <c r="T29" i="1"/>
  <c r="S24" i="1"/>
  <c r="S140" i="1"/>
  <c r="T140" i="1"/>
  <c r="S147" i="1"/>
  <c r="T139" i="1" s="1"/>
  <c r="T147" i="1"/>
  <c r="U139" i="1" s="1"/>
  <c r="T132" i="1"/>
  <c r="U116" i="1" s="1"/>
  <c r="T98" i="1"/>
  <c r="T107" i="1" s="1"/>
  <c r="T85" i="1"/>
  <c r="T86" i="1" s="1"/>
  <c r="T75" i="1"/>
  <c r="T248" i="1" s="1"/>
  <c r="T67" i="1"/>
  <c r="T68" i="1" s="1"/>
  <c r="T60" i="1"/>
  <c r="T61" i="1" s="1"/>
  <c r="T17" i="1"/>
  <c r="AA350" i="43"/>
  <c r="AA347" i="43"/>
  <c r="AA348" i="43" s="1"/>
  <c r="AA342" i="43"/>
  <c r="AA32" i="43" s="1"/>
  <c r="AA266" i="43"/>
  <c r="AA267" i="43" s="1"/>
  <c r="AA262" i="43"/>
  <c r="AA256" i="43" s="1"/>
  <c r="AA44" i="43"/>
  <c r="BB23" i="8" s="1"/>
  <c r="BB24" i="8" s="1"/>
  <c r="AA34" i="43"/>
  <c r="X353" i="43"/>
  <c r="AA278" i="43"/>
  <c r="AA312" i="43"/>
  <c r="AA280" i="43"/>
  <c r="AA253" i="43"/>
  <c r="K45" i="46" s="1"/>
  <c r="AA210" i="43"/>
  <c r="AA84" i="43"/>
  <c r="AD87" i="43" s="1"/>
  <c r="AA76" i="43"/>
  <c r="AA15" i="43"/>
  <c r="K50" i="46" s="1"/>
  <c r="AA13" i="43"/>
  <c r="K44" i="46" s="1"/>
  <c r="AA6" i="43"/>
  <c r="AA4" i="43"/>
  <c r="CC145" i="43"/>
  <c r="CE145" i="43"/>
  <c r="CG145" i="43"/>
  <c r="CI145" i="43"/>
  <c r="CK145" i="43"/>
  <c r="CM145" i="43"/>
  <c r="V145" i="43"/>
  <c r="Y145" i="43"/>
  <c r="AG7" i="46"/>
  <c r="AG22" i="46" s="1"/>
  <c r="N27" i="46"/>
  <c r="AG49" i="46" s="1"/>
  <c r="Y55" i="2"/>
  <c r="AE53" i="2"/>
  <c r="Y53" i="2"/>
  <c r="AE51" i="2"/>
  <c r="Y51" i="2"/>
  <c r="P40" i="46"/>
  <c r="AJ410" i="43"/>
  <c r="AJ181" i="43"/>
  <c r="AI181" i="43" s="1"/>
  <c r="AI161" i="43"/>
  <c r="AC73" i="43"/>
  <c r="AC309" i="43"/>
  <c r="AB320" i="43"/>
  <c r="AC320" i="43" s="1"/>
  <c r="AB318" i="43"/>
  <c r="AC318" i="43" s="1"/>
  <c r="AC80" i="43"/>
  <c r="AC79" i="43"/>
  <c r="AC14" i="43" s="1"/>
  <c r="AC188" i="43"/>
  <c r="AB188" i="43"/>
  <c r="AB182" i="43"/>
  <c r="AC182" i="43" s="1"/>
  <c r="AB180" i="43"/>
  <c r="AC180" i="43" s="1"/>
  <c r="AB176" i="43"/>
  <c r="AC176" i="43" s="1"/>
  <c r="AB174" i="43"/>
  <c r="AC174" i="43" s="1"/>
  <c r="AB162" i="43"/>
  <c r="AC162" i="43" s="1"/>
  <c r="AB160" i="43"/>
  <c r="AC160" i="43" s="1"/>
  <c r="AB156" i="43"/>
  <c r="AB154" i="43"/>
  <c r="AC154" i="43" s="1"/>
  <c r="K13" i="43"/>
  <c r="L13" i="43"/>
  <c r="M13" i="43"/>
  <c r="N13" i="43"/>
  <c r="O13" i="43"/>
  <c r="P13" i="43"/>
  <c r="Q13" i="43"/>
  <c r="R13" i="43"/>
  <c r="S13" i="43"/>
  <c r="AZ75" i="8"/>
  <c r="AZ121" i="8"/>
  <c r="AZ185" i="8"/>
  <c r="AZ196" i="8"/>
  <c r="AZ58" i="8"/>
  <c r="AZ42" i="8"/>
  <c r="AZ33" i="8"/>
  <c r="AZ30" i="8"/>
  <c r="AZ19" i="8"/>
  <c r="Y90" i="43"/>
  <c r="Y353" i="43"/>
  <c r="Y351" i="43"/>
  <c r="Y345" i="43"/>
  <c r="Y343" i="43"/>
  <c r="Y334" i="43"/>
  <c r="Y330" i="43"/>
  <c r="Y331" i="43" s="1"/>
  <c r="Y312" i="43"/>
  <c r="Y280" i="43"/>
  <c r="Y283" i="43" s="1"/>
  <c r="V280" i="43"/>
  <c r="Y278" i="43"/>
  <c r="Y273" i="43"/>
  <c r="Y271" i="43"/>
  <c r="Y263" i="43"/>
  <c r="Y253" i="43"/>
  <c r="Y229" i="43"/>
  <c r="Y20" i="43" s="1"/>
  <c r="Y197" i="43"/>
  <c r="Y196" i="43"/>
  <c r="Y181" i="43"/>
  <c r="Y161" i="43"/>
  <c r="Y147" i="43"/>
  <c r="Y144" i="43"/>
  <c r="Y82" i="43"/>
  <c r="Y76" i="43"/>
  <c r="Y62" i="43"/>
  <c r="Y37" i="43"/>
  <c r="Y36" i="43"/>
  <c r="Y15" i="43"/>
  <c r="Y14" i="43"/>
  <c r="Y13" i="43"/>
  <c r="Y6" i="43"/>
  <c r="Y4" i="43"/>
  <c r="BE268" i="8"/>
  <c r="BB268" i="8"/>
  <c r="AY268" i="8"/>
  <c r="AV268" i="8"/>
  <c r="AS268" i="8"/>
  <c r="BE267" i="8"/>
  <c r="BB267" i="8"/>
  <c r="AY267" i="8"/>
  <c r="AV267" i="8"/>
  <c r="AS267" i="8"/>
  <c r="I44" i="46"/>
  <c r="AA410" i="43"/>
  <c r="X278" i="43"/>
  <c r="X280" i="43"/>
  <c r="X283" i="43" s="1"/>
  <c r="U280" i="43"/>
  <c r="T82" i="43"/>
  <c r="U82" i="43"/>
  <c r="X82" i="43"/>
  <c r="S18" i="2"/>
  <c r="S19" i="2"/>
  <c r="S32" i="1"/>
  <c r="S132" i="1"/>
  <c r="T116" i="1" s="1"/>
  <c r="R101" i="1"/>
  <c r="S101" i="1"/>
  <c r="S92" i="1"/>
  <c r="S75" i="1"/>
  <c r="S248" i="1" s="1"/>
  <c r="S8" i="1"/>
  <c r="S7" i="1"/>
  <c r="AT196" i="8"/>
  <c r="AW196" i="8"/>
  <c r="AW19" i="8"/>
  <c r="AX17" i="8"/>
  <c r="AX21" i="8"/>
  <c r="AX27" i="8"/>
  <c r="AX36" i="8"/>
  <c r="AY32" i="8"/>
  <c r="AY25" i="8"/>
  <c r="AY19" i="8"/>
  <c r="AY137" i="8"/>
  <c r="CM280" i="43"/>
  <c r="CN277" i="43"/>
  <c r="W277" i="43"/>
  <c r="X302" i="43"/>
  <c r="X210" i="43"/>
  <c r="U210" i="43"/>
  <c r="AY196" i="8"/>
  <c r="X410" i="43"/>
  <c r="X348" i="43"/>
  <c r="X345" i="43"/>
  <c r="X343" i="43"/>
  <c r="X334" i="43"/>
  <c r="X330" i="43"/>
  <c r="S312" i="43"/>
  <c r="X312" i="43"/>
  <c r="X300" i="43"/>
  <c r="X291" i="43"/>
  <c r="X270" i="43"/>
  <c r="X267" i="43"/>
  <c r="X264" i="43"/>
  <c r="X263" i="43"/>
  <c r="X253" i="43"/>
  <c r="J45" i="46" s="1"/>
  <c r="X197" i="43"/>
  <c r="X196" i="43"/>
  <c r="X128" i="43"/>
  <c r="X115" i="43"/>
  <c r="X235" i="43"/>
  <c r="X84" i="43"/>
  <c r="J10" i="46" s="1"/>
  <c r="X116" i="43"/>
  <c r="T76" i="43"/>
  <c r="U76" i="43"/>
  <c r="X76" i="43"/>
  <c r="X59" i="43"/>
  <c r="X15" i="43"/>
  <c r="X13" i="43"/>
  <c r="X6" i="43"/>
  <c r="X4" i="43"/>
  <c r="F10" i="2"/>
  <c r="F13" i="2" s="1"/>
  <c r="F22" i="2" s="1"/>
  <c r="F84" i="2" s="1"/>
  <c r="C13" i="2"/>
  <c r="C22" i="2" s="1"/>
  <c r="D13" i="2"/>
  <c r="D22" i="2" s="1"/>
  <c r="D84" i="2" s="1"/>
  <c r="E13" i="2"/>
  <c r="E22" i="2" s="1"/>
  <c r="E84" i="2" s="1"/>
  <c r="G13" i="2"/>
  <c r="G22" i="2" s="1"/>
  <c r="G84" i="2" s="1"/>
  <c r="H13" i="2"/>
  <c r="H22" i="2" s="1"/>
  <c r="H84" i="2" s="1"/>
  <c r="I13" i="2"/>
  <c r="I22" i="2" s="1"/>
  <c r="I84" i="2" s="1"/>
  <c r="J13" i="2"/>
  <c r="J22" i="2" s="1"/>
  <c r="J84" i="2" s="1"/>
  <c r="K13" i="2"/>
  <c r="K22" i="2" s="1"/>
  <c r="K84" i="2" s="1"/>
  <c r="L13" i="2"/>
  <c r="L22" i="2" s="1"/>
  <c r="L84" i="2" s="1"/>
  <c r="M13" i="2"/>
  <c r="M22" i="2" s="1"/>
  <c r="N13" i="2"/>
  <c r="N22" i="2" s="1"/>
  <c r="O13" i="2"/>
  <c r="O22" i="2" s="1"/>
  <c r="P13" i="2"/>
  <c r="P22" i="2" s="1"/>
  <c r="Q13" i="2"/>
  <c r="R13" i="2"/>
  <c r="S13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R19" i="2"/>
  <c r="E28" i="2"/>
  <c r="C31" i="2"/>
  <c r="D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K34" i="2"/>
  <c r="K40" i="2" s="1"/>
  <c r="M34" i="2"/>
  <c r="M40" i="2" s="1"/>
  <c r="N34" i="2"/>
  <c r="N40" i="2" s="1"/>
  <c r="O34" i="2"/>
  <c r="O40" i="2" s="1"/>
  <c r="P34" i="2"/>
  <c r="P40" i="2" s="1"/>
  <c r="K40" i="46"/>
  <c r="C35" i="2"/>
  <c r="C40" i="2" s="1"/>
  <c r="D35" i="2"/>
  <c r="D40" i="2" s="1"/>
  <c r="E35" i="2"/>
  <c r="E40" i="2" s="1"/>
  <c r="F35" i="2"/>
  <c r="F40" i="2" s="1"/>
  <c r="G40" i="2"/>
  <c r="H40" i="2"/>
  <c r="I40" i="2"/>
  <c r="J40" i="2"/>
  <c r="L40" i="2"/>
  <c r="Q40" i="2"/>
  <c r="R4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V51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V53" i="2"/>
  <c r="C55" i="2"/>
  <c r="D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V55" i="2"/>
  <c r="G56" i="2"/>
  <c r="H56" i="2"/>
  <c r="I56" i="2"/>
  <c r="J56" i="2"/>
  <c r="K56" i="2"/>
  <c r="L56" i="2"/>
  <c r="M56" i="2"/>
  <c r="D42" i="46" s="1"/>
  <c r="N56" i="2"/>
  <c r="E42" i="46" s="1"/>
  <c r="O56" i="2"/>
  <c r="F42" i="46" s="1"/>
  <c r="P56" i="2"/>
  <c r="G42" i="46" s="1"/>
  <c r="Q56" i="2"/>
  <c r="H42" i="46" s="1"/>
  <c r="R56" i="2"/>
  <c r="I42" i="46" s="1"/>
  <c r="S56" i="2"/>
  <c r="J42" i="46" s="1"/>
  <c r="T56" i="2"/>
  <c r="K42" i="46" s="1"/>
  <c r="L42" i="46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C82" i="2"/>
  <c r="D82" i="2"/>
  <c r="E82" i="2"/>
  <c r="F82" i="2"/>
  <c r="G82" i="2"/>
  <c r="H82" i="2"/>
  <c r="I82" i="2"/>
  <c r="J82" i="2"/>
  <c r="K82" i="2"/>
  <c r="L82" i="2"/>
  <c r="M82" i="2"/>
  <c r="N82" i="2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C12" i="1"/>
  <c r="C17" i="1" s="1"/>
  <c r="D12" i="1"/>
  <c r="E12" i="1"/>
  <c r="F12" i="1"/>
  <c r="G12" i="1"/>
  <c r="D14" i="1"/>
  <c r="D147" i="1" s="1"/>
  <c r="E139" i="1" s="1"/>
  <c r="E145" i="1" s="1"/>
  <c r="E14" i="1"/>
  <c r="E147" i="1" s="1"/>
  <c r="F139" i="1" s="1"/>
  <c r="F145" i="1" s="1"/>
  <c r="F14" i="1"/>
  <c r="F147" i="1" s="1"/>
  <c r="G14" i="1"/>
  <c r="G147" i="1" s="1"/>
  <c r="H139" i="1" s="1"/>
  <c r="H145" i="1" s="1"/>
  <c r="H14" i="1"/>
  <c r="H17" i="1" s="1"/>
  <c r="R15" i="1"/>
  <c r="R249" i="1" s="1"/>
  <c r="I17" i="1"/>
  <c r="J17" i="1"/>
  <c r="K17" i="1"/>
  <c r="L17" i="1"/>
  <c r="M17" i="1"/>
  <c r="N17" i="1"/>
  <c r="O17" i="1"/>
  <c r="P17" i="1"/>
  <c r="Q17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I24" i="1"/>
  <c r="J24" i="1"/>
  <c r="K24" i="1"/>
  <c r="L24" i="1"/>
  <c r="M24" i="1"/>
  <c r="N24" i="1"/>
  <c r="O24" i="1"/>
  <c r="Q24" i="1"/>
  <c r="R24" i="1"/>
  <c r="J25" i="1"/>
  <c r="C29" i="1"/>
  <c r="C34" i="1" s="1"/>
  <c r="D29" i="1"/>
  <c r="D34" i="1" s="1"/>
  <c r="E29" i="1"/>
  <c r="F29" i="1"/>
  <c r="G29" i="1"/>
  <c r="G34" i="1" s="1"/>
  <c r="H29" i="1"/>
  <c r="H34" i="1" s="1"/>
  <c r="I29" i="1"/>
  <c r="I34" i="1" s="1"/>
  <c r="J29" i="1"/>
  <c r="J34" i="1" s="1"/>
  <c r="K29" i="1"/>
  <c r="K34" i="1" s="1"/>
  <c r="L29" i="1"/>
  <c r="M29" i="1"/>
  <c r="M34" i="1" s="1"/>
  <c r="N29" i="1"/>
  <c r="N34" i="1" s="1"/>
  <c r="O29" i="1"/>
  <c r="O34" i="1" s="1"/>
  <c r="P29" i="1"/>
  <c r="P34" i="1" s="1"/>
  <c r="Q29" i="1"/>
  <c r="R29" i="1"/>
  <c r="R30" i="1"/>
  <c r="S30" i="1" s="1"/>
  <c r="T30" i="1" s="1"/>
  <c r="E32" i="1"/>
  <c r="F32" i="1"/>
  <c r="L32" i="1"/>
  <c r="Q32" i="1"/>
  <c r="R32" i="1"/>
  <c r="T208" i="1"/>
  <c r="C43" i="1"/>
  <c r="C47" i="1" s="1"/>
  <c r="D43" i="1"/>
  <c r="D47" i="1" s="1"/>
  <c r="E43" i="1"/>
  <c r="E47" i="1" s="1"/>
  <c r="F43" i="1"/>
  <c r="F47" i="1" s="1"/>
  <c r="G43" i="1"/>
  <c r="G47" i="1" s="1"/>
  <c r="H43" i="1"/>
  <c r="H47" i="1" s="1"/>
  <c r="I43" i="1"/>
  <c r="I47" i="1" s="1"/>
  <c r="J43" i="1"/>
  <c r="J47" i="1" s="1"/>
  <c r="K43" i="1"/>
  <c r="K47" i="1" s="1"/>
  <c r="L43" i="1"/>
  <c r="L47" i="1" s="1"/>
  <c r="M43" i="1"/>
  <c r="M47" i="1" s="1"/>
  <c r="N43" i="1"/>
  <c r="N47" i="1" s="1"/>
  <c r="O43" i="1"/>
  <c r="O47" i="1" s="1"/>
  <c r="P43" i="1"/>
  <c r="P47" i="1" s="1"/>
  <c r="Q43" i="1"/>
  <c r="R43" i="1"/>
  <c r="D53" i="1"/>
  <c r="D54" i="1" s="1"/>
  <c r="E53" i="1"/>
  <c r="E54" i="1" s="1"/>
  <c r="F53" i="1"/>
  <c r="F54" i="1" s="1"/>
  <c r="G53" i="1"/>
  <c r="G54" i="1" s="1"/>
  <c r="H53" i="1"/>
  <c r="H54" i="1" s="1"/>
  <c r="I53" i="1"/>
  <c r="I54" i="1" s="1"/>
  <c r="J53" i="1"/>
  <c r="J54" i="1" s="1"/>
  <c r="K53" i="1"/>
  <c r="K54" i="1" s="1"/>
  <c r="L53" i="1"/>
  <c r="L54" i="1" s="1"/>
  <c r="M53" i="1"/>
  <c r="M54" i="1" s="1"/>
  <c r="N53" i="1"/>
  <c r="N54" i="1" s="1"/>
  <c r="O53" i="1"/>
  <c r="O54" i="1" s="1"/>
  <c r="P53" i="1"/>
  <c r="P54" i="1" s="1"/>
  <c r="Q53" i="1"/>
  <c r="Q54" i="1" s="1"/>
  <c r="R53" i="1"/>
  <c r="R54" i="1" s="1"/>
  <c r="S53" i="1"/>
  <c r="S54" i="1" s="1"/>
  <c r="D60" i="1"/>
  <c r="D61" i="1" s="1"/>
  <c r="E60" i="1"/>
  <c r="E61" i="1" s="1"/>
  <c r="F60" i="1"/>
  <c r="F61" i="1" s="1"/>
  <c r="G60" i="1"/>
  <c r="G61" i="1" s="1"/>
  <c r="H60" i="1"/>
  <c r="H61" i="1" s="1"/>
  <c r="I60" i="1"/>
  <c r="I61" i="1" s="1"/>
  <c r="J60" i="1"/>
  <c r="J61" i="1" s="1"/>
  <c r="K60" i="1"/>
  <c r="K61" i="1" s="1"/>
  <c r="L60" i="1"/>
  <c r="L61" i="1" s="1"/>
  <c r="M60" i="1"/>
  <c r="M61" i="1" s="1"/>
  <c r="N60" i="1"/>
  <c r="N61" i="1" s="1"/>
  <c r="O60" i="1"/>
  <c r="O61" i="1" s="1"/>
  <c r="P60" i="1"/>
  <c r="P61" i="1" s="1"/>
  <c r="Q60" i="1"/>
  <c r="Q61" i="1" s="1"/>
  <c r="R60" i="1"/>
  <c r="R61" i="1" s="1"/>
  <c r="S60" i="1"/>
  <c r="S61" i="1" s="1"/>
  <c r="D67" i="1"/>
  <c r="D68" i="1" s="1"/>
  <c r="E67" i="1"/>
  <c r="E68" i="1" s="1"/>
  <c r="F67" i="1"/>
  <c r="F68" i="1" s="1"/>
  <c r="G67" i="1"/>
  <c r="G68" i="1" s="1"/>
  <c r="H67" i="1"/>
  <c r="H68" i="1" s="1"/>
  <c r="I67" i="1"/>
  <c r="I68" i="1" s="1"/>
  <c r="J67" i="1"/>
  <c r="J68" i="1" s="1"/>
  <c r="K67" i="1"/>
  <c r="K68" i="1" s="1"/>
  <c r="L67" i="1"/>
  <c r="L68" i="1" s="1"/>
  <c r="M67" i="1"/>
  <c r="M68" i="1" s="1"/>
  <c r="N67" i="1"/>
  <c r="N68" i="1" s="1"/>
  <c r="O67" i="1"/>
  <c r="O68" i="1" s="1"/>
  <c r="P67" i="1"/>
  <c r="P68" i="1" s="1"/>
  <c r="Q67" i="1"/>
  <c r="Q68" i="1" s="1"/>
  <c r="R67" i="1"/>
  <c r="R68" i="1" s="1"/>
  <c r="S67" i="1"/>
  <c r="S68" i="1" s="1"/>
  <c r="C73" i="1"/>
  <c r="C20" i="2" s="1"/>
  <c r="C64" i="2" s="1"/>
  <c r="C75" i="1"/>
  <c r="D75" i="1"/>
  <c r="E75" i="1"/>
  <c r="F75" i="1"/>
  <c r="G75" i="1"/>
  <c r="H75" i="1"/>
  <c r="H248" i="1" s="1"/>
  <c r="I75" i="1"/>
  <c r="I248" i="1" s="1"/>
  <c r="J75" i="1"/>
  <c r="J248" i="1" s="1"/>
  <c r="K75" i="1"/>
  <c r="K248" i="1" s="1"/>
  <c r="L75" i="1"/>
  <c r="L248" i="1" s="1"/>
  <c r="M75" i="1"/>
  <c r="M248" i="1" s="1"/>
  <c r="N75" i="1"/>
  <c r="N248" i="1" s="1"/>
  <c r="O75" i="1"/>
  <c r="O248" i="1" s="1"/>
  <c r="P75" i="1"/>
  <c r="P248" i="1" s="1"/>
  <c r="Q75" i="1"/>
  <c r="Q248" i="1" s="1"/>
  <c r="R75" i="1"/>
  <c r="R248" i="1" s="1"/>
  <c r="D80" i="1"/>
  <c r="D81" i="1" s="1"/>
  <c r="E80" i="1"/>
  <c r="E81" i="1" s="1"/>
  <c r="F80" i="1"/>
  <c r="F81" i="1" s="1"/>
  <c r="G80" i="1"/>
  <c r="G81" i="1" s="1"/>
  <c r="H80" i="1"/>
  <c r="H81" i="1" s="1"/>
  <c r="I80" i="1"/>
  <c r="I81" i="1" s="1"/>
  <c r="J80" i="1"/>
  <c r="J81" i="1" s="1"/>
  <c r="K80" i="1"/>
  <c r="K81" i="1" s="1"/>
  <c r="L80" i="1"/>
  <c r="L81" i="1" s="1"/>
  <c r="M80" i="1"/>
  <c r="M81" i="1" s="1"/>
  <c r="N80" i="1"/>
  <c r="N81" i="1" s="1"/>
  <c r="O80" i="1"/>
  <c r="P80" i="1"/>
  <c r="Q80" i="1"/>
  <c r="Q82" i="1" s="1"/>
  <c r="R80" i="1" s="1"/>
  <c r="R82" i="1" s="1"/>
  <c r="R89" i="1" s="1"/>
  <c r="D85" i="1"/>
  <c r="D86" i="1" s="1"/>
  <c r="E85" i="1"/>
  <c r="E86" i="1" s="1"/>
  <c r="F85" i="1"/>
  <c r="F86" i="1" s="1"/>
  <c r="G85" i="1"/>
  <c r="G86" i="1" s="1"/>
  <c r="H85" i="1"/>
  <c r="H86" i="1" s="1"/>
  <c r="I85" i="1"/>
  <c r="I86" i="1" s="1"/>
  <c r="J85" i="1"/>
  <c r="J86" i="1" s="1"/>
  <c r="K85" i="1"/>
  <c r="K86" i="1" s="1"/>
  <c r="L85" i="1"/>
  <c r="L86" i="1" s="1"/>
  <c r="M85" i="1"/>
  <c r="M86" i="1" s="1"/>
  <c r="N85" i="1"/>
  <c r="N86" i="1" s="1"/>
  <c r="O85" i="1"/>
  <c r="O86" i="1" s="1"/>
  <c r="P85" i="1"/>
  <c r="P86" i="1" s="1"/>
  <c r="Q85" i="1"/>
  <c r="Q86" i="1" s="1"/>
  <c r="R85" i="1"/>
  <c r="R86" i="1" s="1"/>
  <c r="S85" i="1"/>
  <c r="S86" i="1" s="1"/>
  <c r="C89" i="1"/>
  <c r="C108" i="1" s="1"/>
  <c r="D89" i="1"/>
  <c r="D108" i="1" s="1"/>
  <c r="E89" i="1"/>
  <c r="E108" i="1" s="1"/>
  <c r="F89" i="1"/>
  <c r="F108" i="1" s="1"/>
  <c r="G89" i="1"/>
  <c r="G108" i="1" s="1"/>
  <c r="H89" i="1"/>
  <c r="H108" i="1" s="1"/>
  <c r="I89" i="1"/>
  <c r="I108" i="1" s="1"/>
  <c r="J89" i="1"/>
  <c r="J108" i="1" s="1"/>
  <c r="K89" i="1"/>
  <c r="K108" i="1" s="1"/>
  <c r="L89" i="1"/>
  <c r="M89" i="1"/>
  <c r="AG160" i="8" s="1"/>
  <c r="N89" i="1"/>
  <c r="N108" i="1" s="1"/>
  <c r="O89" i="1"/>
  <c r="AM160" i="8" s="1"/>
  <c r="P89" i="1"/>
  <c r="Z14" i="46" s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C98" i="1"/>
  <c r="C107" i="1" s="1"/>
  <c r="D98" i="1"/>
  <c r="E97" i="1" s="1"/>
  <c r="E98" i="1"/>
  <c r="F97" i="1" s="1"/>
  <c r="F98" i="1"/>
  <c r="G97" i="1" s="1"/>
  <c r="G98" i="1"/>
  <c r="G107" i="1" s="1"/>
  <c r="H98" i="1"/>
  <c r="I97" i="1" s="1"/>
  <c r="I98" i="1"/>
  <c r="J97" i="1" s="1"/>
  <c r="J98" i="1"/>
  <c r="J107" i="1" s="1"/>
  <c r="K98" i="1"/>
  <c r="K107" i="1" s="1"/>
  <c r="L98" i="1"/>
  <c r="M97" i="1" s="1"/>
  <c r="M98" i="1"/>
  <c r="N97" i="1" s="1"/>
  <c r="N98" i="1"/>
  <c r="N107" i="1" s="1"/>
  <c r="O98" i="1"/>
  <c r="O107" i="1" s="1"/>
  <c r="P98" i="1"/>
  <c r="Q97" i="1" s="1"/>
  <c r="Q98" i="1"/>
  <c r="Q107" i="1" s="1"/>
  <c r="R98" i="1"/>
  <c r="S97" i="1" s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E128" i="1"/>
  <c r="C132" i="1"/>
  <c r="D116" i="1" s="1"/>
  <c r="D128" i="1" s="1"/>
  <c r="D132" i="1"/>
  <c r="E132" i="1"/>
  <c r="F132" i="1"/>
  <c r="G116" i="1" s="1"/>
  <c r="G132" i="1"/>
  <c r="H116" i="1" s="1"/>
  <c r="H128" i="1" s="1"/>
  <c r="H132" i="1"/>
  <c r="I116" i="1" s="1"/>
  <c r="I132" i="1"/>
  <c r="J116" i="1" s="1"/>
  <c r="J132" i="1"/>
  <c r="K116" i="1" s="1"/>
  <c r="K128" i="1" s="1"/>
  <c r="K132" i="1"/>
  <c r="L116" i="1" s="1"/>
  <c r="L128" i="1" s="1"/>
  <c r="L132" i="1"/>
  <c r="M116" i="1" s="1"/>
  <c r="M132" i="1"/>
  <c r="N116" i="1" s="1"/>
  <c r="N128" i="1" s="1"/>
  <c r="N132" i="1"/>
  <c r="O116" i="1" s="1"/>
  <c r="O128" i="1" s="1"/>
  <c r="O132" i="1"/>
  <c r="P116" i="1" s="1"/>
  <c r="P128" i="1" s="1"/>
  <c r="P132" i="1"/>
  <c r="Q116" i="1" s="1"/>
  <c r="Q128" i="1" s="1"/>
  <c r="Q132" i="1"/>
  <c r="R116" i="1" s="1"/>
  <c r="R128" i="1" s="1"/>
  <c r="R132" i="1"/>
  <c r="S116" i="1" s="1"/>
  <c r="S128" i="1" s="1"/>
  <c r="Q140" i="1"/>
  <c r="R140" i="1"/>
  <c r="C147" i="1"/>
  <c r="D139" i="1" s="1"/>
  <c r="I147" i="1"/>
  <c r="J139" i="1" s="1"/>
  <c r="J145" i="1" s="1"/>
  <c r="J147" i="1"/>
  <c r="K139" i="1" s="1"/>
  <c r="K145" i="1" s="1"/>
  <c r="K147" i="1"/>
  <c r="L139" i="1" s="1"/>
  <c r="L145" i="1" s="1"/>
  <c r="L147" i="1"/>
  <c r="M139" i="1" s="1"/>
  <c r="M147" i="1"/>
  <c r="N139" i="1" s="1"/>
  <c r="N145" i="1" s="1"/>
  <c r="N147" i="1"/>
  <c r="O139" i="1" s="1"/>
  <c r="O147" i="1"/>
  <c r="P139" i="1" s="1"/>
  <c r="P147" i="1"/>
  <c r="Q139" i="1" s="1"/>
  <c r="Q147" i="1"/>
  <c r="R139" i="1" s="1"/>
  <c r="R147" i="1"/>
  <c r="S139" i="1" s="1"/>
  <c r="C165" i="1"/>
  <c r="D165" i="1"/>
  <c r="E165" i="1"/>
  <c r="F165" i="1"/>
  <c r="G165" i="1"/>
  <c r="H165" i="1"/>
  <c r="I165" i="1"/>
  <c r="J165" i="1"/>
  <c r="K165" i="1"/>
  <c r="L165" i="1"/>
  <c r="M165" i="1"/>
  <c r="N165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73" i="1"/>
  <c r="C186" i="1"/>
  <c r="D173" i="1" s="1"/>
  <c r="D186" i="1"/>
  <c r="E173" i="1" s="1"/>
  <c r="E186" i="1"/>
  <c r="F173" i="1" s="1"/>
  <c r="F186" i="1"/>
  <c r="G173" i="1" s="1"/>
  <c r="G186" i="1"/>
  <c r="H173" i="1" s="1"/>
  <c r="H186" i="1"/>
  <c r="I173" i="1" s="1"/>
  <c r="I186" i="1"/>
  <c r="J173" i="1" s="1"/>
  <c r="J186" i="1"/>
  <c r="K173" i="1" s="1"/>
  <c r="K186" i="1"/>
  <c r="L173" i="1" s="1"/>
  <c r="L186" i="1"/>
  <c r="M173" i="1" s="1"/>
  <c r="M186" i="1"/>
  <c r="N173" i="1" s="1"/>
  <c r="N186" i="1"/>
  <c r="O173" i="1" s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AR185" i="8" s="1"/>
  <c r="R189" i="1"/>
  <c r="AU185" i="8" s="1"/>
  <c r="C195" i="1"/>
  <c r="C181" i="1" s="1"/>
  <c r="C184" i="1" s="1"/>
  <c r="D195" i="1"/>
  <c r="D181" i="1" s="1"/>
  <c r="E195" i="1"/>
  <c r="E181" i="1" s="1"/>
  <c r="F195" i="1"/>
  <c r="F181" i="1" s="1"/>
  <c r="G195" i="1"/>
  <c r="G181" i="1" s="1"/>
  <c r="H195" i="1"/>
  <c r="H181" i="1" s="1"/>
  <c r="I195" i="1"/>
  <c r="I181" i="1" s="1"/>
  <c r="J195" i="1"/>
  <c r="J181" i="1" s="1"/>
  <c r="K195" i="1"/>
  <c r="L195" i="1"/>
  <c r="L181" i="1" s="1"/>
  <c r="M195" i="1"/>
  <c r="N195" i="1"/>
  <c r="N181" i="1" s="1"/>
  <c r="O195" i="1"/>
  <c r="O181" i="1" s="1"/>
  <c r="P195" i="1"/>
  <c r="P181" i="1" s="1"/>
  <c r="R195" i="1"/>
  <c r="R181" i="1" s="1"/>
  <c r="O201" i="1"/>
  <c r="C202" i="1"/>
  <c r="D200" i="1" s="1"/>
  <c r="D202" i="1"/>
  <c r="E200" i="1" s="1"/>
  <c r="E202" i="1"/>
  <c r="F200" i="1" s="1"/>
  <c r="F202" i="1"/>
  <c r="G200" i="1" s="1"/>
  <c r="G202" i="1"/>
  <c r="H200" i="1" s="1"/>
  <c r="H202" i="1"/>
  <c r="I200" i="1" s="1"/>
  <c r="I202" i="1"/>
  <c r="J200" i="1" s="1"/>
  <c r="K200" i="1" s="1"/>
  <c r="J202" i="1"/>
  <c r="K202" i="1"/>
  <c r="L200" i="1" s="1"/>
  <c r="L202" i="1"/>
  <c r="M200" i="1" s="1"/>
  <c r="M202" i="1"/>
  <c r="N200" i="1" s="1"/>
  <c r="N202" i="1"/>
  <c r="O200" i="1" s="1"/>
  <c r="O202" i="1"/>
  <c r="P200" i="1" s="1"/>
  <c r="P202" i="1"/>
  <c r="Q200" i="1" s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L214" i="1"/>
  <c r="M214" i="1"/>
  <c r="N214" i="1"/>
  <c r="O214" i="1"/>
  <c r="P214" i="1"/>
  <c r="T219" i="1"/>
  <c r="U219" i="1" s="1"/>
  <c r="V219" i="1" s="1"/>
  <c r="W219" i="1" s="1"/>
  <c r="X219" i="1" s="1"/>
  <c r="Y219" i="1" s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I249" i="1"/>
  <c r="J249" i="1"/>
  <c r="K249" i="1"/>
  <c r="L249" i="1"/>
  <c r="M249" i="1"/>
  <c r="N249" i="1"/>
  <c r="O249" i="1"/>
  <c r="P249" i="1"/>
  <c r="Q249" i="1"/>
  <c r="CC249" i="43"/>
  <c r="CD249" i="43"/>
  <c r="AI17" i="8"/>
  <c r="AL17" i="8"/>
  <c r="CH249" i="43" s="1"/>
  <c r="AO17" i="8"/>
  <c r="AR17" i="8"/>
  <c r="AU17" i="8"/>
  <c r="C18" i="8"/>
  <c r="F18" i="8"/>
  <c r="I18" i="8"/>
  <c r="L18" i="8"/>
  <c r="O18" i="8"/>
  <c r="R18" i="8"/>
  <c r="U18" i="8"/>
  <c r="X18" i="8"/>
  <c r="AA18" i="8"/>
  <c r="AD18" i="8"/>
  <c r="AG18" i="8"/>
  <c r="AJ18" i="8"/>
  <c r="AM18" i="8"/>
  <c r="AP18" i="8"/>
  <c r="AH18" i="8"/>
  <c r="AK18" i="8"/>
  <c r="AN18" i="8"/>
  <c r="F19" i="8"/>
  <c r="I19" i="8"/>
  <c r="L19" i="8"/>
  <c r="O19" i="8"/>
  <c r="R19" i="8"/>
  <c r="U19" i="8"/>
  <c r="X19" i="8"/>
  <c r="AA19" i="8"/>
  <c r="AD19" i="8"/>
  <c r="AG19" i="8"/>
  <c r="AJ19" i="8"/>
  <c r="AM19" i="8"/>
  <c r="AP19" i="8"/>
  <c r="AS19" i="8"/>
  <c r="AV19" i="8"/>
  <c r="AK19" i="8"/>
  <c r="AN19" i="8"/>
  <c r="AQ19" i="8"/>
  <c r="AT19" i="8"/>
  <c r="AI21" i="8"/>
  <c r="AI20" i="8" s="1"/>
  <c r="AL21" i="8"/>
  <c r="AO21" i="8"/>
  <c r="AR21" i="8"/>
  <c r="AU21" i="8"/>
  <c r="AH22" i="8"/>
  <c r="AK22" i="8"/>
  <c r="AN22" i="8"/>
  <c r="AA23" i="8"/>
  <c r="AA24" i="8" s="1"/>
  <c r="AD23" i="8"/>
  <c r="AD24" i="8" s="1"/>
  <c r="AG23" i="8"/>
  <c r="AG24" i="8" s="1"/>
  <c r="AJ23" i="8"/>
  <c r="AJ24" i="8" s="1"/>
  <c r="AM23" i="8"/>
  <c r="AM24" i="8" s="1"/>
  <c r="AP23" i="8"/>
  <c r="AP24" i="8" s="1"/>
  <c r="C25" i="8"/>
  <c r="I25" i="8"/>
  <c r="L25" i="8"/>
  <c r="O25" i="8"/>
  <c r="R25" i="8"/>
  <c r="U25" i="8"/>
  <c r="X25" i="8"/>
  <c r="AA25" i="8"/>
  <c r="AD25" i="8"/>
  <c r="AG25" i="8"/>
  <c r="AJ25" i="8"/>
  <c r="AM25" i="8"/>
  <c r="AP25" i="8"/>
  <c r="AS25" i="8"/>
  <c r="AV25" i="8"/>
  <c r="AL27" i="8"/>
  <c r="AO27" i="8"/>
  <c r="AR27" i="8"/>
  <c r="AU27" i="8"/>
  <c r="C28" i="8"/>
  <c r="F28" i="8"/>
  <c r="I28" i="8"/>
  <c r="AH28" i="8"/>
  <c r="AK28" i="8"/>
  <c r="AN28" i="8"/>
  <c r="C29" i="8"/>
  <c r="C23" i="8" s="1"/>
  <c r="C24" i="8" s="1"/>
  <c r="F29" i="8"/>
  <c r="I29" i="8"/>
  <c r="I30" i="8" s="1"/>
  <c r="L29" i="8"/>
  <c r="L23" i="8" s="1"/>
  <c r="L24" i="8" s="1"/>
  <c r="O29" i="8"/>
  <c r="O23" i="8" s="1"/>
  <c r="O24" i="8" s="1"/>
  <c r="U29" i="8"/>
  <c r="U30" i="8" s="1"/>
  <c r="X29" i="8"/>
  <c r="AS29" i="8"/>
  <c r="AK29" i="8"/>
  <c r="AK30" i="8" s="1"/>
  <c r="AA30" i="8"/>
  <c r="AA33" i="8" s="1"/>
  <c r="AD30" i="8"/>
  <c r="AG30" i="8"/>
  <c r="AG33" i="8" s="1"/>
  <c r="AJ30" i="8"/>
  <c r="AJ33" i="8" s="1"/>
  <c r="AM30" i="8"/>
  <c r="AP30" i="8"/>
  <c r="AP33" i="8" s="1"/>
  <c r="AH30" i="8"/>
  <c r="AQ30" i="8"/>
  <c r="AT30" i="8"/>
  <c r="AW30" i="8"/>
  <c r="F31" i="8"/>
  <c r="I31" i="8"/>
  <c r="I35" i="8" s="1"/>
  <c r="L31" i="8"/>
  <c r="O32" i="8" s="1"/>
  <c r="R32" i="8"/>
  <c r="U32" i="8"/>
  <c r="X32" i="8"/>
  <c r="AA32" i="8"/>
  <c r="AD32" i="8"/>
  <c r="AG32" i="8"/>
  <c r="AJ32" i="8"/>
  <c r="AM32" i="8"/>
  <c r="AP32" i="8"/>
  <c r="AS32" i="8"/>
  <c r="AV32" i="8"/>
  <c r="AK33" i="8"/>
  <c r="AN33" i="8"/>
  <c r="AQ33" i="8"/>
  <c r="AT33" i="8"/>
  <c r="AW33" i="8"/>
  <c r="O35" i="8"/>
  <c r="R35" i="8"/>
  <c r="U35" i="8"/>
  <c r="X35" i="8"/>
  <c r="AA35" i="8"/>
  <c r="AD35" i="8"/>
  <c r="AG35" i="8"/>
  <c r="AJ35" i="8"/>
  <c r="AM35" i="8"/>
  <c r="AP35" i="8"/>
  <c r="O36" i="8"/>
  <c r="R36" i="8"/>
  <c r="Q36" i="8" s="1"/>
  <c r="AP36" i="8"/>
  <c r="AO36" i="8" s="1"/>
  <c r="AS36" i="8"/>
  <c r="AR36" i="8" s="1"/>
  <c r="AI36" i="8"/>
  <c r="AL36" i="8"/>
  <c r="AU36" i="8"/>
  <c r="AH37" i="8"/>
  <c r="AK37" i="8"/>
  <c r="AN37" i="8"/>
  <c r="U38" i="8"/>
  <c r="U40" i="8" s="1"/>
  <c r="X38" i="8"/>
  <c r="X40" i="8" s="1"/>
  <c r="AA38" i="8"/>
  <c r="AA39" i="8" s="1"/>
  <c r="AD38" i="8"/>
  <c r="AD39" i="8" s="1"/>
  <c r="AG38" i="8"/>
  <c r="AG39" i="8" s="1"/>
  <c r="AJ38" i="8"/>
  <c r="AJ40" i="8" s="1"/>
  <c r="AM38" i="8"/>
  <c r="AM39" i="8" s="1"/>
  <c r="AK42" i="8"/>
  <c r="AN42" i="8"/>
  <c r="AQ42" i="8"/>
  <c r="AT42" i="8"/>
  <c r="AW42" i="8"/>
  <c r="AH58" i="8"/>
  <c r="AH60" i="8" s="1"/>
  <c r="AK58" i="8"/>
  <c r="AK64" i="8" s="1"/>
  <c r="AN58" i="8"/>
  <c r="AT58" i="8"/>
  <c r="AT64" i="8" s="1"/>
  <c r="AW58" i="8"/>
  <c r="AR62" i="8"/>
  <c r="AR192" i="8" s="1"/>
  <c r="AU62" i="8"/>
  <c r="AU192" i="8" s="1"/>
  <c r="AX62" i="8"/>
  <c r="AP67" i="8"/>
  <c r="AO67" i="8" s="1"/>
  <c r="AS67" i="8"/>
  <c r="AR67" i="8" s="1"/>
  <c r="AI67" i="8"/>
  <c r="AL67" i="8"/>
  <c r="AU67" i="8"/>
  <c r="AI69" i="8"/>
  <c r="AL69" i="8"/>
  <c r="AO69" i="8"/>
  <c r="AR69" i="8"/>
  <c r="AU69" i="8"/>
  <c r="C71" i="8"/>
  <c r="C66" i="2" s="1"/>
  <c r="F71" i="8"/>
  <c r="D66" i="2" s="1"/>
  <c r="I71" i="8"/>
  <c r="E66" i="2" s="1"/>
  <c r="L71" i="8"/>
  <c r="F66" i="2" s="1"/>
  <c r="O71" i="8"/>
  <c r="G66" i="2" s="1"/>
  <c r="R71" i="8"/>
  <c r="H66" i="2" s="1"/>
  <c r="U71" i="8"/>
  <c r="I66" i="2" s="1"/>
  <c r="X71" i="8"/>
  <c r="J66" i="2" s="1"/>
  <c r="AA71" i="8"/>
  <c r="K66" i="2" s="1"/>
  <c r="AD71" i="8"/>
  <c r="L66" i="2" s="1"/>
  <c r="AG71" i="8"/>
  <c r="D18" i="46" s="1"/>
  <c r="AJ71" i="8"/>
  <c r="N66" i="2" s="1"/>
  <c r="AM71" i="8"/>
  <c r="F18" i="46" s="1"/>
  <c r="R66" i="2"/>
  <c r="AH71" i="8"/>
  <c r="AK71" i="8"/>
  <c r="AN71" i="8"/>
  <c r="AQ71" i="8"/>
  <c r="AT71" i="8"/>
  <c r="C75" i="8"/>
  <c r="C17" i="2" s="1"/>
  <c r="F75" i="8"/>
  <c r="E75" i="8" s="1"/>
  <c r="I75" i="8"/>
  <c r="E67" i="2" s="1"/>
  <c r="L75" i="8"/>
  <c r="F17" i="2" s="1"/>
  <c r="O75" i="8"/>
  <c r="G17" i="2" s="1"/>
  <c r="R75" i="8"/>
  <c r="H17" i="2" s="1"/>
  <c r="U75" i="8"/>
  <c r="I17" i="2" s="1"/>
  <c r="X75" i="8"/>
  <c r="J67" i="2" s="1"/>
  <c r="AA75" i="8"/>
  <c r="K17" i="2" s="1"/>
  <c r="AD75" i="8"/>
  <c r="L17" i="2" s="1"/>
  <c r="AG75" i="8"/>
  <c r="M67" i="2" s="1"/>
  <c r="AJ75" i="8"/>
  <c r="N67" i="2" s="1"/>
  <c r="AM75" i="8"/>
  <c r="O17" i="2" s="1"/>
  <c r="AP75" i="8"/>
  <c r="G20" i="46" s="1"/>
  <c r="AS75" i="8"/>
  <c r="Q17" i="2" s="1"/>
  <c r="AV75" i="8"/>
  <c r="AH75" i="8"/>
  <c r="AK75" i="8"/>
  <c r="AN75" i="8"/>
  <c r="AQ75" i="8"/>
  <c r="AT75" i="8"/>
  <c r="AW75" i="8"/>
  <c r="AO77" i="8"/>
  <c r="AP86" i="8"/>
  <c r="AS86" i="8" s="1"/>
  <c r="Q45" i="1" s="1"/>
  <c r="AI86" i="8"/>
  <c r="AL86" i="8"/>
  <c r="AT100" i="8"/>
  <c r="AT101" i="8" s="1"/>
  <c r="AI102" i="8"/>
  <c r="AL102" i="8"/>
  <c r="AO102" i="8"/>
  <c r="AU102" i="8"/>
  <c r="AI103" i="8"/>
  <c r="AI121" i="8" s="1"/>
  <c r="AL103" i="8"/>
  <c r="AL121" i="8" s="1"/>
  <c r="AO103" i="8"/>
  <c r="AO121" i="8" s="1"/>
  <c r="AU103" i="8"/>
  <c r="AU121" i="8" s="1"/>
  <c r="F105" i="8"/>
  <c r="F106" i="8" s="1"/>
  <c r="I105" i="8"/>
  <c r="I106" i="8" s="1"/>
  <c r="L105" i="8"/>
  <c r="L106" i="8" s="1"/>
  <c r="O105" i="8"/>
  <c r="O106" i="8" s="1"/>
  <c r="R105" i="8"/>
  <c r="R106" i="8" s="1"/>
  <c r="U105" i="8"/>
  <c r="U106" i="8" s="1"/>
  <c r="X105" i="8"/>
  <c r="X106" i="8" s="1"/>
  <c r="AA105" i="8"/>
  <c r="AA106" i="8" s="1"/>
  <c r="AD105" i="8"/>
  <c r="AD106" i="8" s="1"/>
  <c r="AG105" i="8"/>
  <c r="AG106" i="8" s="1"/>
  <c r="AJ105" i="8"/>
  <c r="AJ106" i="8" s="1"/>
  <c r="AM105" i="8"/>
  <c r="AP105" i="8"/>
  <c r="AS105" i="8"/>
  <c r="C106" i="8"/>
  <c r="AM106" i="8"/>
  <c r="AP106" i="8"/>
  <c r="AS107" i="8"/>
  <c r="AS234" i="8" s="1"/>
  <c r="AS235" i="8" s="1"/>
  <c r="AH107" i="8"/>
  <c r="AI107" i="8" s="1"/>
  <c r="AK107" i="8"/>
  <c r="AL107" i="8" s="1"/>
  <c r="AN107" i="8"/>
  <c r="AO107" i="8" s="1"/>
  <c r="AU107" i="8"/>
  <c r="C114" i="8"/>
  <c r="F114" i="8"/>
  <c r="I114" i="8"/>
  <c r="L114" i="8"/>
  <c r="O114" i="8"/>
  <c r="R114" i="8"/>
  <c r="U114" i="8"/>
  <c r="X114" i="8"/>
  <c r="AA114" i="8"/>
  <c r="AD114" i="8"/>
  <c r="AG114" i="8"/>
  <c r="AJ114" i="8"/>
  <c r="AM114" i="8"/>
  <c r="AP114" i="8"/>
  <c r="AS114" i="8"/>
  <c r="AS116" i="8" s="1"/>
  <c r="AV114" i="8"/>
  <c r="AV116" i="8" s="1"/>
  <c r="AY114" i="8"/>
  <c r="BB114" i="8"/>
  <c r="AH114" i="8"/>
  <c r="AI114" i="8"/>
  <c r="AK114" i="8"/>
  <c r="AL114" i="8"/>
  <c r="AN114" i="8"/>
  <c r="AQ114" i="8"/>
  <c r="C115" i="8"/>
  <c r="F115" i="8"/>
  <c r="I115" i="8"/>
  <c r="L115" i="8"/>
  <c r="O115" i="8"/>
  <c r="R115" i="8"/>
  <c r="U115" i="8"/>
  <c r="X115" i="8"/>
  <c r="AD115" i="8"/>
  <c r="AG115" i="8"/>
  <c r="AJ115" i="8"/>
  <c r="AM115" i="8"/>
  <c r="AP115" i="8"/>
  <c r="AV115" i="8"/>
  <c r="AH115" i="8"/>
  <c r="AI115" i="8"/>
  <c r="AL115" i="8"/>
  <c r="AN115" i="8"/>
  <c r="AQ115" i="8"/>
  <c r="C116" i="8"/>
  <c r="F116" i="8"/>
  <c r="I116" i="8"/>
  <c r="L116" i="8"/>
  <c r="O116" i="8"/>
  <c r="R116" i="8"/>
  <c r="U116" i="8"/>
  <c r="X116" i="8"/>
  <c r="AA116" i="8"/>
  <c r="AD116" i="8"/>
  <c r="AG116" i="8"/>
  <c r="AJ116" i="8"/>
  <c r="AM116" i="8"/>
  <c r="AP116" i="8"/>
  <c r="AY116" i="8"/>
  <c r="BB116" i="8"/>
  <c r="AH116" i="8"/>
  <c r="AI116" i="8"/>
  <c r="AK116" i="8"/>
  <c r="AL116" i="8"/>
  <c r="AN116" i="8"/>
  <c r="AQ116" i="8"/>
  <c r="C121" i="8"/>
  <c r="F121" i="8"/>
  <c r="I121" i="8"/>
  <c r="L121" i="8"/>
  <c r="O121" i="8"/>
  <c r="R121" i="8"/>
  <c r="U121" i="8"/>
  <c r="X121" i="8"/>
  <c r="AA121" i="8"/>
  <c r="AD121" i="8"/>
  <c r="AG121" i="8"/>
  <c r="AJ121" i="8"/>
  <c r="AM121" i="8"/>
  <c r="AP121" i="8"/>
  <c r="AS121" i="8"/>
  <c r="AV121" i="8"/>
  <c r="AH121" i="8"/>
  <c r="AK121" i="8"/>
  <c r="AN121" i="8"/>
  <c r="AQ121" i="8"/>
  <c r="AT121" i="8"/>
  <c r="C137" i="8"/>
  <c r="F137" i="8"/>
  <c r="I137" i="8"/>
  <c r="L137" i="8"/>
  <c r="O137" i="8"/>
  <c r="R137" i="8"/>
  <c r="U137" i="8"/>
  <c r="X137" i="8"/>
  <c r="AA137" i="8"/>
  <c r="AD137" i="8"/>
  <c r="AG137" i="8"/>
  <c r="AJ137" i="8"/>
  <c r="AM137" i="8"/>
  <c r="AP137" i="8"/>
  <c r="AS137" i="8"/>
  <c r="AV137" i="8"/>
  <c r="BB137" i="8"/>
  <c r="AD164" i="8"/>
  <c r="AG164" i="8" s="1"/>
  <c r="AJ164" i="8" s="1"/>
  <c r="AM164" i="8" s="1"/>
  <c r="AP164" i="8" s="1"/>
  <c r="AS164" i="8" s="1"/>
  <c r="AV164" i="8" s="1"/>
  <c r="AY164" i="8" s="1"/>
  <c r="BB164" i="8" s="1"/>
  <c r="AM170" i="8"/>
  <c r="AJ170" i="8" s="1"/>
  <c r="AG170" i="8" s="1"/>
  <c r="AD170" i="8" s="1"/>
  <c r="C185" i="8"/>
  <c r="F185" i="8"/>
  <c r="E185" i="8" s="1"/>
  <c r="I185" i="8"/>
  <c r="H185" i="8" s="1"/>
  <c r="L185" i="8"/>
  <c r="K185" i="8" s="1"/>
  <c r="O185" i="8"/>
  <c r="R185" i="8"/>
  <c r="Q185" i="8" s="1"/>
  <c r="U185" i="8"/>
  <c r="T185" i="8" s="1"/>
  <c r="X185" i="8"/>
  <c r="W185" i="8" s="1"/>
  <c r="AA185" i="8"/>
  <c r="AD185" i="8"/>
  <c r="AC185" i="8" s="1"/>
  <c r="AG185" i="8"/>
  <c r="AJ185" i="8"/>
  <c r="E24" i="46" s="1"/>
  <c r="X54" i="46" s="1"/>
  <c r="AM185" i="8"/>
  <c r="F24" i="46" s="1"/>
  <c r="Y54" i="46" s="1"/>
  <c r="AP185" i="8"/>
  <c r="G24" i="46" s="1"/>
  <c r="Z54" i="46" s="1"/>
  <c r="AS185" i="8"/>
  <c r="H24" i="46" s="1"/>
  <c r="AA54" i="46" s="1"/>
  <c r="AV185" i="8"/>
  <c r="I24" i="46" s="1"/>
  <c r="AB54" i="46" s="1"/>
  <c r="AH185" i="8"/>
  <c r="AK185" i="8"/>
  <c r="AN185" i="8"/>
  <c r="AQ185" i="8"/>
  <c r="AT185" i="8"/>
  <c r="C192" i="8"/>
  <c r="F192" i="8"/>
  <c r="I192" i="8"/>
  <c r="L192" i="8"/>
  <c r="O192" i="8"/>
  <c r="R192" i="8"/>
  <c r="U192" i="8"/>
  <c r="X192" i="8"/>
  <c r="AA192" i="8"/>
  <c r="AD192" i="8"/>
  <c r="AG192" i="8"/>
  <c r="AJ192" i="8"/>
  <c r="AM192" i="8"/>
  <c r="AP192" i="8"/>
  <c r="AS192" i="8"/>
  <c r="AV192" i="8"/>
  <c r="AY192" i="8"/>
  <c r="BB192" i="8"/>
  <c r="BA192" i="8" s="1"/>
  <c r="AH192" i="8"/>
  <c r="AI192" i="8"/>
  <c r="AK192" i="8"/>
  <c r="AK197" i="8" s="1"/>
  <c r="AK196" i="8" s="1"/>
  <c r="AL192" i="8"/>
  <c r="AN192" i="8"/>
  <c r="AO192" i="8"/>
  <c r="AQ192" i="8"/>
  <c r="AT192" i="8"/>
  <c r="AW192" i="8"/>
  <c r="C196" i="8"/>
  <c r="F196" i="8"/>
  <c r="I196" i="8"/>
  <c r="L196" i="8"/>
  <c r="O196" i="8"/>
  <c r="R196" i="8"/>
  <c r="U196" i="8"/>
  <c r="T196" i="8" s="1"/>
  <c r="X196" i="8"/>
  <c r="W196" i="8" s="1"/>
  <c r="AD196" i="8"/>
  <c r="AC196" i="8" s="1"/>
  <c r="AG196" i="8"/>
  <c r="AF196" i="8" s="1"/>
  <c r="AJ196" i="8"/>
  <c r="AM196" i="8"/>
  <c r="AP196" i="8"/>
  <c r="AV196" i="8"/>
  <c r="AH196" i="8"/>
  <c r="AN196" i="8"/>
  <c r="AQ196" i="8"/>
  <c r="AA197" i="8"/>
  <c r="AS197" i="8"/>
  <c r="AS196" i="8" s="1"/>
  <c r="AI198" i="8"/>
  <c r="AI196" i="8" s="1"/>
  <c r="AO202" i="8"/>
  <c r="C216" i="8"/>
  <c r="F216" i="8"/>
  <c r="I216" i="8"/>
  <c r="L216" i="8"/>
  <c r="O216" i="8"/>
  <c r="R216" i="8"/>
  <c r="U216" i="8"/>
  <c r="X216" i="8"/>
  <c r="AA216" i="8"/>
  <c r="AD216" i="8"/>
  <c r="AG216" i="8"/>
  <c r="AJ216" i="8"/>
  <c r="AM216" i="8"/>
  <c r="AV252" i="8"/>
  <c r="AS250" i="8"/>
  <c r="AS252" i="8"/>
  <c r="AP260" i="8"/>
  <c r="AP259" i="8" s="1"/>
  <c r="AV259" i="8" s="1"/>
  <c r="AP262" i="8"/>
  <c r="AP261" i="8" s="1"/>
  <c r="J4" i="43"/>
  <c r="K4" i="43"/>
  <c r="L4" i="43"/>
  <c r="M4" i="43"/>
  <c r="N4" i="43"/>
  <c r="O4" i="43"/>
  <c r="P4" i="43"/>
  <c r="Q4" i="43"/>
  <c r="R4" i="43"/>
  <c r="S4" i="43"/>
  <c r="T4" i="43"/>
  <c r="U4" i="43"/>
  <c r="BK4" i="43"/>
  <c r="BL4" i="43"/>
  <c r="BM4" i="43"/>
  <c r="BN4" i="43"/>
  <c r="BO4" i="43"/>
  <c r="BP4" i="43"/>
  <c r="BQ4" i="43"/>
  <c r="BR4" i="43"/>
  <c r="BS4" i="43"/>
  <c r="BW4" i="43"/>
  <c r="BY4" i="43"/>
  <c r="CA4" i="43"/>
  <c r="CC4" i="43"/>
  <c r="CE4" i="43"/>
  <c r="CG4" i="43"/>
  <c r="CI4" i="43"/>
  <c r="CK4" i="43"/>
  <c r="CM4" i="43"/>
  <c r="V4" i="43"/>
  <c r="F5" i="43"/>
  <c r="G5" i="43"/>
  <c r="H5" i="43"/>
  <c r="I5" i="43"/>
  <c r="J5" i="43"/>
  <c r="T5" i="43"/>
  <c r="BK5" i="43"/>
  <c r="BL5" i="43"/>
  <c r="BM5" i="43"/>
  <c r="BN5" i="43"/>
  <c r="BO5" i="43"/>
  <c r="BP5" i="43"/>
  <c r="BQ5" i="43"/>
  <c r="BR5" i="43"/>
  <c r="BU5" i="43"/>
  <c r="BW5" i="43"/>
  <c r="BY5" i="43"/>
  <c r="CA5" i="43"/>
  <c r="CC5" i="43"/>
  <c r="CE5" i="43"/>
  <c r="CG5" i="43"/>
  <c r="CI5" i="43"/>
  <c r="T6" i="43"/>
  <c r="U6" i="43"/>
  <c r="CK6" i="43"/>
  <c r="CM6" i="43"/>
  <c r="V6" i="43"/>
  <c r="F7" i="43"/>
  <c r="C37" i="8" s="1"/>
  <c r="G7" i="43"/>
  <c r="F37" i="8" s="1"/>
  <c r="H7" i="43"/>
  <c r="I22" i="8" s="1"/>
  <c r="I7" i="43"/>
  <c r="J7" i="43"/>
  <c r="BK7" i="43"/>
  <c r="D6" i="8" s="1"/>
  <c r="BM7" i="43"/>
  <c r="G6" i="8" s="1"/>
  <c r="BO7" i="43"/>
  <c r="BQ7" i="43"/>
  <c r="M6" i="8" s="1"/>
  <c r="BS7" i="43"/>
  <c r="P6" i="8" s="1"/>
  <c r="BU7" i="43"/>
  <c r="BW7" i="43"/>
  <c r="BY7" i="43"/>
  <c r="Y6" i="8" s="1"/>
  <c r="CA7" i="43"/>
  <c r="AB6" i="8" s="1"/>
  <c r="CC7" i="43"/>
  <c r="T13" i="43"/>
  <c r="U13" i="43"/>
  <c r="CI13" i="43"/>
  <c r="CK13" i="43"/>
  <c r="CM13" i="43"/>
  <c r="V13" i="43"/>
  <c r="CI14" i="43"/>
  <c r="CK14" i="43"/>
  <c r="CM14" i="43"/>
  <c r="V14" i="43"/>
  <c r="T15" i="43"/>
  <c r="U15" i="43"/>
  <c r="CI15" i="43"/>
  <c r="CJ15" i="43"/>
  <c r="CK15" i="43"/>
  <c r="CL15" i="43"/>
  <c r="CM15" i="43"/>
  <c r="V15" i="43"/>
  <c r="BK17" i="43"/>
  <c r="BM17" i="43"/>
  <c r="BO17" i="43"/>
  <c r="BQ17" i="43"/>
  <c r="BS17" i="43"/>
  <c r="BU17" i="43"/>
  <c r="BW17" i="43"/>
  <c r="BY17" i="43"/>
  <c r="BW20" i="43"/>
  <c r="BW22" i="43" s="1"/>
  <c r="V11" i="8" s="1"/>
  <c r="BY20" i="43"/>
  <c r="BY22" i="43" s="1"/>
  <c r="Y11" i="8" s="1"/>
  <c r="CA20" i="43"/>
  <c r="CA22" i="43" s="1"/>
  <c r="AB11" i="8" s="1"/>
  <c r="CC20" i="43"/>
  <c r="CC22" i="43" s="1"/>
  <c r="AE11" i="8" s="1"/>
  <c r="CE20" i="43"/>
  <c r="CE22" i="43" s="1"/>
  <c r="CG20" i="43"/>
  <c r="CG22" i="43" s="1"/>
  <c r="AK11" i="8" s="1"/>
  <c r="CI20" i="43"/>
  <c r="CI22" i="43" s="1"/>
  <c r="AN11" i="8" s="1"/>
  <c r="T21" i="43"/>
  <c r="U21" i="43"/>
  <c r="CK21" i="43"/>
  <c r="CM21" i="43"/>
  <c r="V21" i="43"/>
  <c r="BK25" i="43"/>
  <c r="BK27" i="43" s="1"/>
  <c r="BL25" i="43"/>
  <c r="BM27" i="43"/>
  <c r="BQ27" i="43"/>
  <c r="BS27" i="43"/>
  <c r="F31" i="43"/>
  <c r="G31" i="43"/>
  <c r="H31" i="43"/>
  <c r="I31" i="43"/>
  <c r="J31" i="43"/>
  <c r="T31" i="43"/>
  <c r="BK31" i="43"/>
  <c r="BM31" i="43"/>
  <c r="BM33" i="43" s="1"/>
  <c r="G49" i="8" s="1"/>
  <c r="BO31" i="43"/>
  <c r="BO33" i="43" s="1"/>
  <c r="J49" i="8" s="1"/>
  <c r="BQ31" i="43"/>
  <c r="BS31" i="43"/>
  <c r="BU31" i="43"/>
  <c r="BU33" i="43" s="1"/>
  <c r="S49" i="8" s="1"/>
  <c r="BW31" i="43"/>
  <c r="BW33" i="43" s="1"/>
  <c r="V49" i="8" s="1"/>
  <c r="BY31" i="43"/>
  <c r="CA31" i="43"/>
  <c r="CA33" i="43" s="1"/>
  <c r="AB49" i="8" s="1"/>
  <c r="CC31" i="43"/>
  <c r="CC33" i="43" s="1"/>
  <c r="AE49" i="8" s="1"/>
  <c r="CE31" i="43"/>
  <c r="CE33" i="43" s="1"/>
  <c r="AH49" i="8" s="1"/>
  <c r="CG31" i="43"/>
  <c r="CI31" i="43"/>
  <c r="CI33" i="43" s="1"/>
  <c r="AN49" i="8" s="1"/>
  <c r="CK31" i="43"/>
  <c r="T32" i="43"/>
  <c r="U32" i="43"/>
  <c r="CK32" i="43"/>
  <c r="CM32" i="43"/>
  <c r="V32" i="43"/>
  <c r="D33" i="43"/>
  <c r="E33" i="43"/>
  <c r="F33" i="43"/>
  <c r="G33" i="43"/>
  <c r="F49" i="8" s="1"/>
  <c r="H33" i="43"/>
  <c r="I33" i="43"/>
  <c r="J33" i="43"/>
  <c r="O49" i="8" s="1"/>
  <c r="BL34" i="43"/>
  <c r="BN34" i="43"/>
  <c r="BN31" i="43" s="1"/>
  <c r="BN33" i="43" s="1"/>
  <c r="H49" i="8" s="1"/>
  <c r="BP34" i="43"/>
  <c r="BR34" i="43"/>
  <c r="BR31" i="43" s="1"/>
  <c r="BR33" i="43" s="1"/>
  <c r="N49" i="8" s="1"/>
  <c r="BT34" i="43"/>
  <c r="BT31" i="43" s="1"/>
  <c r="BT33" i="43" s="1"/>
  <c r="Q49" i="8" s="1"/>
  <c r="BV34" i="43"/>
  <c r="BX34" i="43"/>
  <c r="BZ34" i="43"/>
  <c r="CB34" i="43"/>
  <c r="CB31" i="43" s="1"/>
  <c r="CD34" i="43"/>
  <c r="CF34" i="43"/>
  <c r="CH34" i="43"/>
  <c r="CJ34" i="43"/>
  <c r="CL34" i="43"/>
  <c r="CN34" i="43"/>
  <c r="CM36" i="43"/>
  <c r="V36" i="43"/>
  <c r="BM37" i="43"/>
  <c r="BO37" i="43"/>
  <c r="BQ37" i="43"/>
  <c r="BS37" i="43"/>
  <c r="BU37" i="43"/>
  <c r="BW37" i="43"/>
  <c r="BY37" i="43"/>
  <c r="CA37" i="43"/>
  <c r="CC37" i="43"/>
  <c r="CE37" i="43"/>
  <c r="CG37" i="43"/>
  <c r="CI37" i="43"/>
  <c r="CK37" i="43"/>
  <c r="CM37" i="43"/>
  <c r="V37" i="43"/>
  <c r="F41" i="43"/>
  <c r="F43" i="43" s="1"/>
  <c r="G41" i="43"/>
  <c r="G43" i="43" s="1"/>
  <c r="F52" i="8" s="1"/>
  <c r="F134" i="8" s="1"/>
  <c r="H41" i="43"/>
  <c r="H43" i="43" s="1"/>
  <c r="I41" i="43"/>
  <c r="J41" i="43"/>
  <c r="J43" i="43" s="1"/>
  <c r="O52" i="8" s="1"/>
  <c r="O134" i="8" s="1"/>
  <c r="L41" i="43"/>
  <c r="L43" i="43" s="1"/>
  <c r="M41" i="43"/>
  <c r="M43" i="43" s="1"/>
  <c r="N41" i="43"/>
  <c r="N43" i="43" s="1"/>
  <c r="O41" i="43"/>
  <c r="O43" i="43" s="1"/>
  <c r="L16" i="2" s="1"/>
  <c r="L62" i="2" s="1"/>
  <c r="P41" i="43"/>
  <c r="P43" i="43" s="1"/>
  <c r="D29" i="46" s="1"/>
  <c r="Q41" i="43"/>
  <c r="Q43" i="43" s="1"/>
  <c r="N164" i="1" s="1"/>
  <c r="R41" i="43"/>
  <c r="R43" i="43" s="1"/>
  <c r="O164" i="1" s="1"/>
  <c r="S41" i="43"/>
  <c r="S43" i="43" s="1"/>
  <c r="U42" i="43"/>
  <c r="U41" i="43" s="1"/>
  <c r="U43" i="43" s="1"/>
  <c r="CM42" i="43"/>
  <c r="V42" i="43"/>
  <c r="D44" i="43"/>
  <c r="E44" i="43"/>
  <c r="K44" i="43"/>
  <c r="K59" i="43" s="1"/>
  <c r="BT59" i="43" s="1"/>
  <c r="Q58" i="8" s="1"/>
  <c r="T44" i="43"/>
  <c r="T59" i="43" s="1"/>
  <c r="BK44" i="43"/>
  <c r="BK41" i="43" s="1"/>
  <c r="BK43" i="43" s="1"/>
  <c r="D52" i="8" s="1"/>
  <c r="BM44" i="43"/>
  <c r="BO44" i="43"/>
  <c r="BO41" i="43" s="1"/>
  <c r="BO43" i="43" s="1"/>
  <c r="J52" i="8" s="1"/>
  <c r="BQ44" i="43"/>
  <c r="BS44" i="43"/>
  <c r="BS41" i="43" s="1"/>
  <c r="BS43" i="43" s="1"/>
  <c r="P52" i="8" s="1"/>
  <c r="BU44" i="43"/>
  <c r="BW44" i="43"/>
  <c r="BY44" i="43"/>
  <c r="CA44" i="43"/>
  <c r="CC44" i="43"/>
  <c r="CE44" i="43"/>
  <c r="CE41" i="43" s="1"/>
  <c r="CE43" i="43" s="1"/>
  <c r="CG44" i="43"/>
  <c r="CI44" i="43"/>
  <c r="CJ44" i="43" s="1"/>
  <c r="CJ57" i="43" s="1"/>
  <c r="BK55" i="43"/>
  <c r="BM55" i="43"/>
  <c r="BO55" i="43"/>
  <c r="BQ55" i="43"/>
  <c r="BS55" i="43"/>
  <c r="BU55" i="43"/>
  <c r="BW55" i="43"/>
  <c r="BY55" i="43"/>
  <c r="CA55" i="43"/>
  <c r="CC55" i="43"/>
  <c r="CE55" i="43"/>
  <c r="CG55" i="43"/>
  <c r="CK55" i="43"/>
  <c r="T56" i="43"/>
  <c r="U56" i="43"/>
  <c r="CK56" i="43"/>
  <c r="CM56" i="43"/>
  <c r="V56" i="43"/>
  <c r="F59" i="43"/>
  <c r="G59" i="43"/>
  <c r="G60" i="43" s="1"/>
  <c r="H59" i="43"/>
  <c r="I58" i="8" s="1"/>
  <c r="I59" i="43"/>
  <c r="I55" i="43" s="1"/>
  <c r="J59" i="43"/>
  <c r="L59" i="43"/>
  <c r="I222" i="1" s="1"/>
  <c r="M59" i="43"/>
  <c r="J222" i="1" s="1"/>
  <c r="N59" i="43"/>
  <c r="O59" i="43"/>
  <c r="P59" i="43"/>
  <c r="AG58" i="8" s="1"/>
  <c r="Q59" i="43"/>
  <c r="R59" i="43"/>
  <c r="S59" i="43"/>
  <c r="U59" i="43"/>
  <c r="CK59" i="43"/>
  <c r="CK62" i="43" s="1"/>
  <c r="D60" i="43"/>
  <c r="E60" i="43"/>
  <c r="E62" i="43"/>
  <c r="BM62" i="43"/>
  <c r="BO62" i="43"/>
  <c r="BQ62" i="43"/>
  <c r="BS62" i="43"/>
  <c r="BU62" i="43"/>
  <c r="BW62" i="43"/>
  <c r="BY62" i="43"/>
  <c r="CA62" i="43"/>
  <c r="CC62" i="43"/>
  <c r="CE62" i="43"/>
  <c r="CG62" i="43"/>
  <c r="CI62" i="43"/>
  <c r="V62" i="43"/>
  <c r="D72" i="43"/>
  <c r="E72" i="43"/>
  <c r="F72" i="43"/>
  <c r="F4" i="43" s="1"/>
  <c r="G72" i="43"/>
  <c r="G4" i="43" s="1"/>
  <c r="H72" i="43"/>
  <c r="H4" i="43" s="1"/>
  <c r="I72" i="43"/>
  <c r="I4" i="43" s="1"/>
  <c r="BT72" i="43"/>
  <c r="BU72" i="43"/>
  <c r="BU76" i="43" s="1"/>
  <c r="BX72" i="43"/>
  <c r="BZ72" i="43"/>
  <c r="BZ4" i="43" s="1"/>
  <c r="CB72" i="43"/>
  <c r="CD72" i="43"/>
  <c r="CF72" i="43"/>
  <c r="CH72" i="43"/>
  <c r="CH4" i="43" s="1"/>
  <c r="CJ72" i="43"/>
  <c r="CL72" i="43"/>
  <c r="CL4" i="43" s="1"/>
  <c r="CN72" i="43"/>
  <c r="BT73" i="43"/>
  <c r="BV73" i="43"/>
  <c r="BX73" i="43"/>
  <c r="BS74" i="43"/>
  <c r="BS75" i="43" s="1"/>
  <c r="BT74" i="43"/>
  <c r="BU74" i="43"/>
  <c r="BV74" i="43"/>
  <c r="K76" i="43"/>
  <c r="L76" i="43"/>
  <c r="M76" i="43"/>
  <c r="N76" i="43"/>
  <c r="O76" i="43"/>
  <c r="P76" i="43"/>
  <c r="Q76" i="43"/>
  <c r="R76" i="43"/>
  <c r="S76" i="43"/>
  <c r="BY76" i="43"/>
  <c r="CC76" i="43"/>
  <c r="CE76" i="43"/>
  <c r="CG76" i="43"/>
  <c r="CI76" i="43"/>
  <c r="CK76" i="43"/>
  <c r="CM76" i="43"/>
  <c r="V76" i="43"/>
  <c r="BT78" i="43"/>
  <c r="BV78" i="43"/>
  <c r="BX78" i="43"/>
  <c r="BZ78" i="43"/>
  <c r="CB78" i="43"/>
  <c r="CD78" i="43"/>
  <c r="CF78" i="43"/>
  <c r="CH78" i="43"/>
  <c r="CH79" i="43" s="1"/>
  <c r="CJ78" i="43"/>
  <c r="CJ79" i="43" s="1"/>
  <c r="CJ14" i="43" s="1"/>
  <c r="CL78" i="43"/>
  <c r="CN78" i="43"/>
  <c r="BT79" i="43"/>
  <c r="BV79" i="43"/>
  <c r="BX79" i="43"/>
  <c r="CN79" i="43"/>
  <c r="CN14" i="43" s="1"/>
  <c r="Z79" i="43"/>
  <c r="L82" i="43"/>
  <c r="M82" i="43"/>
  <c r="N82" i="43"/>
  <c r="O82" i="43"/>
  <c r="P82" i="43"/>
  <c r="Q82" i="43"/>
  <c r="R82" i="43"/>
  <c r="S82" i="43"/>
  <c r="BU82" i="43"/>
  <c r="BW82" i="43"/>
  <c r="BY82" i="43"/>
  <c r="CA82" i="43"/>
  <c r="CC82" i="43"/>
  <c r="CE82" i="43"/>
  <c r="CG82" i="43"/>
  <c r="CI82" i="43"/>
  <c r="CK82" i="43"/>
  <c r="CM82" i="43"/>
  <c r="V82" i="43"/>
  <c r="K84" i="43"/>
  <c r="K303" i="43" s="1"/>
  <c r="L84" i="43"/>
  <c r="M84" i="43"/>
  <c r="N84" i="43"/>
  <c r="O84" i="43"/>
  <c r="P84" i="43"/>
  <c r="Q84" i="43"/>
  <c r="R84" i="43"/>
  <c r="S84" i="43"/>
  <c r="U84" i="43"/>
  <c r="BS84" i="43"/>
  <c r="BS5" i="43" s="1"/>
  <c r="T85" i="43"/>
  <c r="BU85" i="43"/>
  <c r="BW85" i="43"/>
  <c r="BY85" i="43"/>
  <c r="CA85" i="43"/>
  <c r="CC85" i="43"/>
  <c r="CE85" i="43"/>
  <c r="CG85" i="43"/>
  <c r="CI85" i="43"/>
  <c r="T90" i="43"/>
  <c r="T96" i="43" s="1"/>
  <c r="BL90" i="43"/>
  <c r="BL7" i="43" s="1"/>
  <c r="E6" i="8" s="1"/>
  <c r="BN90" i="43"/>
  <c r="BP90" i="43"/>
  <c r="BR90" i="43"/>
  <c r="BT90" i="43"/>
  <c r="BV90" i="43"/>
  <c r="BX90" i="43"/>
  <c r="BZ90" i="43"/>
  <c r="CB90" i="43"/>
  <c r="CD90" i="43"/>
  <c r="CF90" i="43"/>
  <c r="CH90" i="43"/>
  <c r="CJ90" i="43"/>
  <c r="CK90" i="43"/>
  <c r="CK96" i="43" s="1"/>
  <c r="CM90" i="43"/>
  <c r="V90" i="43"/>
  <c r="BL91" i="43"/>
  <c r="BN91" i="43"/>
  <c r="BP91" i="43"/>
  <c r="BR91" i="43"/>
  <c r="BT91" i="43"/>
  <c r="BV91" i="43"/>
  <c r="BX91" i="43"/>
  <c r="F92" i="43"/>
  <c r="F93" i="43" s="1"/>
  <c r="G92" i="43"/>
  <c r="G93" i="43" s="1"/>
  <c r="H92" i="43"/>
  <c r="H93" i="43" s="1"/>
  <c r="I92" i="43"/>
  <c r="I93" i="43" s="1"/>
  <c r="J92" i="43"/>
  <c r="J93" i="43" s="1"/>
  <c r="CG93" i="43"/>
  <c r="CI93" i="43"/>
  <c r="F94" i="43"/>
  <c r="BU94" i="43"/>
  <c r="BV94" i="43"/>
  <c r="BW94" i="43"/>
  <c r="E96" i="43"/>
  <c r="F96" i="43"/>
  <c r="G96" i="43"/>
  <c r="H96" i="43"/>
  <c r="I96" i="43"/>
  <c r="J96" i="43"/>
  <c r="K96" i="43"/>
  <c r="L96" i="43"/>
  <c r="M96" i="43"/>
  <c r="N96" i="43"/>
  <c r="O96" i="43"/>
  <c r="P96" i="43"/>
  <c r="Q96" i="43"/>
  <c r="R96" i="43"/>
  <c r="S96" i="43"/>
  <c r="BM96" i="43"/>
  <c r="BO96" i="43"/>
  <c r="BQ96" i="43"/>
  <c r="BS96" i="43"/>
  <c r="BU96" i="43"/>
  <c r="BW96" i="43"/>
  <c r="BY96" i="43"/>
  <c r="CA96" i="43"/>
  <c r="CC96" i="43"/>
  <c r="CE96" i="43"/>
  <c r="CG96" i="43"/>
  <c r="CI96" i="43"/>
  <c r="E99" i="43"/>
  <c r="F99" i="43"/>
  <c r="G99" i="43"/>
  <c r="H99" i="43"/>
  <c r="I99" i="43"/>
  <c r="J99" i="43"/>
  <c r="K99" i="43"/>
  <c r="L99" i="43"/>
  <c r="M99" i="43"/>
  <c r="N99" i="43"/>
  <c r="O99" i="43"/>
  <c r="P99" i="43"/>
  <c r="Q99" i="43"/>
  <c r="R99" i="43"/>
  <c r="S99" i="43"/>
  <c r="F102" i="43"/>
  <c r="F116" i="43" s="1"/>
  <c r="G102" i="43"/>
  <c r="G116" i="43" s="1"/>
  <c r="H102" i="43"/>
  <c r="I102" i="43"/>
  <c r="I116" i="43" s="1"/>
  <c r="J102" i="43"/>
  <c r="J116" i="43" s="1"/>
  <c r="T102" i="43"/>
  <c r="U102" i="43"/>
  <c r="CC102" i="43"/>
  <c r="CC116" i="43" s="1"/>
  <c r="CE102" i="43"/>
  <c r="CE116" i="43" s="1"/>
  <c r="CG102" i="43"/>
  <c r="CG116" i="43" s="1"/>
  <c r="CI102" i="43"/>
  <c r="CI116" i="43" s="1"/>
  <c r="CK102" i="43"/>
  <c r="K107" i="43"/>
  <c r="K102" i="43" s="1"/>
  <c r="F109" i="43"/>
  <c r="G109" i="43"/>
  <c r="G520" i="43" s="1"/>
  <c r="G519" i="43" s="1"/>
  <c r="H109" i="43"/>
  <c r="I109" i="43"/>
  <c r="I520" i="43" s="1"/>
  <c r="I519" i="43" s="1"/>
  <c r="J109" i="43"/>
  <c r="K109" i="43"/>
  <c r="L109" i="43"/>
  <c r="M109" i="43"/>
  <c r="M123" i="43" s="1"/>
  <c r="N109" i="43"/>
  <c r="N242" i="43" s="1"/>
  <c r="N220" i="43" s="1"/>
  <c r="O112" i="43"/>
  <c r="P112" i="43"/>
  <c r="P242" i="43" s="1"/>
  <c r="P220" i="43" s="1"/>
  <c r="Q112" i="43"/>
  <c r="Q223" i="43" s="1"/>
  <c r="R112" i="43"/>
  <c r="S112" i="43"/>
  <c r="S242" i="43" s="1"/>
  <c r="S220" i="43" s="1"/>
  <c r="O113" i="43"/>
  <c r="P113" i="43"/>
  <c r="P127" i="43" s="1"/>
  <c r="Q113" i="43"/>
  <c r="R113" i="43"/>
  <c r="R128" i="43" s="1"/>
  <c r="S113" i="43"/>
  <c r="S128" i="43" s="1"/>
  <c r="BI114" i="43"/>
  <c r="F115" i="43"/>
  <c r="G115" i="43"/>
  <c r="H115" i="43"/>
  <c r="I115" i="43"/>
  <c r="J115" i="43"/>
  <c r="K115" i="43"/>
  <c r="L115" i="43"/>
  <c r="M115" i="43"/>
  <c r="N115" i="43"/>
  <c r="O115" i="43"/>
  <c r="P115" i="43"/>
  <c r="Q115" i="43"/>
  <c r="R115" i="43"/>
  <c r="S115" i="43"/>
  <c r="T115" i="43"/>
  <c r="U115" i="43"/>
  <c r="O116" i="43"/>
  <c r="P116" i="43"/>
  <c r="Q116" i="43"/>
  <c r="R116" i="43"/>
  <c r="S116" i="43"/>
  <c r="CA116" i="43"/>
  <c r="F117" i="43"/>
  <c r="G117" i="43"/>
  <c r="H117" i="43"/>
  <c r="I117" i="43"/>
  <c r="J117" i="43"/>
  <c r="K117" i="43"/>
  <c r="L117" i="43"/>
  <c r="M117" i="43"/>
  <c r="N117" i="43"/>
  <c r="O117" i="43"/>
  <c r="P117" i="43"/>
  <c r="F118" i="43"/>
  <c r="G118" i="43"/>
  <c r="H118" i="43"/>
  <c r="I118" i="43"/>
  <c r="J118" i="43"/>
  <c r="K118" i="43"/>
  <c r="L118" i="43"/>
  <c r="M118" i="43"/>
  <c r="N118" i="43"/>
  <c r="O118" i="43"/>
  <c r="P118" i="43"/>
  <c r="Q118" i="43" s="1"/>
  <c r="R118" i="43" s="1"/>
  <c r="F119" i="43"/>
  <c r="G119" i="43"/>
  <c r="H119" i="43"/>
  <c r="I119" i="43"/>
  <c r="J119" i="43"/>
  <c r="K119" i="43"/>
  <c r="L119" i="43"/>
  <c r="M119" i="43"/>
  <c r="N119" i="43"/>
  <c r="O119" i="43"/>
  <c r="P119" i="43"/>
  <c r="Q119" i="43" s="1"/>
  <c r="R119" i="43" s="1"/>
  <c r="S119" i="43" s="1"/>
  <c r="T119" i="43" s="1"/>
  <c r="F120" i="43"/>
  <c r="G120" i="43"/>
  <c r="H120" i="43"/>
  <c r="I120" i="43"/>
  <c r="J120" i="43"/>
  <c r="K120" i="43"/>
  <c r="L120" i="43"/>
  <c r="M120" i="43"/>
  <c r="N120" i="43"/>
  <c r="O120" i="43"/>
  <c r="P120" i="43"/>
  <c r="Q120" i="43" s="1"/>
  <c r="R120" i="43" s="1"/>
  <c r="S120" i="43" s="1"/>
  <c r="F121" i="43"/>
  <c r="G121" i="43"/>
  <c r="H121" i="43"/>
  <c r="I121" i="43"/>
  <c r="J121" i="43"/>
  <c r="F122" i="43"/>
  <c r="G122" i="43"/>
  <c r="H122" i="43"/>
  <c r="I122" i="43"/>
  <c r="J122" i="43"/>
  <c r="K122" i="43"/>
  <c r="L122" i="43"/>
  <c r="M122" i="43"/>
  <c r="N122" i="43"/>
  <c r="O122" i="43"/>
  <c r="P122" i="43"/>
  <c r="Q122" i="43" s="1"/>
  <c r="R122" i="43" s="1"/>
  <c r="S122" i="43" s="1"/>
  <c r="O123" i="43"/>
  <c r="P123" i="43"/>
  <c r="Q123" i="43"/>
  <c r="R123" i="43"/>
  <c r="S123" i="43"/>
  <c r="CA123" i="43"/>
  <c r="CC123" i="43"/>
  <c r="CE123" i="43"/>
  <c r="CG123" i="43"/>
  <c r="CI123" i="43"/>
  <c r="F124" i="43"/>
  <c r="G124" i="43"/>
  <c r="H124" i="43"/>
  <c r="I124" i="43"/>
  <c r="J124" i="43"/>
  <c r="K124" i="43"/>
  <c r="L124" i="43"/>
  <c r="M124" i="43"/>
  <c r="N124" i="43"/>
  <c r="O124" i="43"/>
  <c r="P124" i="43"/>
  <c r="F125" i="43"/>
  <c r="G125" i="43"/>
  <c r="H125" i="43"/>
  <c r="I125" i="43"/>
  <c r="J125" i="43"/>
  <c r="K125" i="43"/>
  <c r="L125" i="43"/>
  <c r="M125" i="43"/>
  <c r="N125" i="43"/>
  <c r="O125" i="43"/>
  <c r="P125" i="43"/>
  <c r="F126" i="43"/>
  <c r="G126" i="43"/>
  <c r="H126" i="43"/>
  <c r="I126" i="43"/>
  <c r="J126" i="43"/>
  <c r="K126" i="43"/>
  <c r="L126" i="43"/>
  <c r="M126" i="43"/>
  <c r="N126" i="43"/>
  <c r="B130" i="43"/>
  <c r="B213" i="43" s="1"/>
  <c r="P130" i="43"/>
  <c r="Q130" i="43"/>
  <c r="R130" i="43"/>
  <c r="S130" i="43"/>
  <c r="B131" i="43"/>
  <c r="B214" i="43" s="1"/>
  <c r="G131" i="43"/>
  <c r="H131" i="43"/>
  <c r="I131" i="43"/>
  <c r="J131" i="43"/>
  <c r="K131" i="43"/>
  <c r="L131" i="43"/>
  <c r="M131" i="43"/>
  <c r="N131" i="43"/>
  <c r="O131" i="43"/>
  <c r="P131" i="43"/>
  <c r="B132" i="43"/>
  <c r="B215" i="43" s="1"/>
  <c r="J132" i="43"/>
  <c r="K132" i="43"/>
  <c r="L132" i="43"/>
  <c r="M132" i="43"/>
  <c r="N132" i="43"/>
  <c r="O132" i="43"/>
  <c r="P132" i="43"/>
  <c r="B133" i="43"/>
  <c r="B216" i="43" s="1"/>
  <c r="I133" i="43"/>
  <c r="J133" i="43"/>
  <c r="K133" i="43"/>
  <c r="L133" i="43"/>
  <c r="M133" i="43"/>
  <c r="N133" i="43"/>
  <c r="O133" i="43"/>
  <c r="P133" i="43"/>
  <c r="B134" i="43"/>
  <c r="B217" i="43" s="1"/>
  <c r="I134" i="43"/>
  <c r="J134" i="43"/>
  <c r="K134" i="43"/>
  <c r="L134" i="43"/>
  <c r="M134" i="43"/>
  <c r="N134" i="43"/>
  <c r="O134" i="43"/>
  <c r="P134" i="43"/>
  <c r="B135" i="43"/>
  <c r="B218" i="43" s="1"/>
  <c r="G135" i="43"/>
  <c r="H135" i="43"/>
  <c r="I135" i="43"/>
  <c r="J135" i="43"/>
  <c r="K136" i="43"/>
  <c r="L136" i="43"/>
  <c r="M136" i="43"/>
  <c r="N136" i="43"/>
  <c r="O136" i="43"/>
  <c r="P136" i="43"/>
  <c r="B137" i="43"/>
  <c r="B220" i="43" s="1"/>
  <c r="P137" i="43"/>
  <c r="B138" i="43"/>
  <c r="B221" i="43" s="1"/>
  <c r="G138" i="43"/>
  <c r="H138" i="43"/>
  <c r="I138" i="43"/>
  <c r="J138" i="43"/>
  <c r="K138" i="43"/>
  <c r="L138" i="43"/>
  <c r="M138" i="43"/>
  <c r="N138" i="43"/>
  <c r="O138" i="43"/>
  <c r="P138" i="43"/>
  <c r="Q138" i="43"/>
  <c r="R138" i="43"/>
  <c r="S138" i="43"/>
  <c r="B139" i="43"/>
  <c r="B222" i="43" s="1"/>
  <c r="J139" i="43"/>
  <c r="K139" i="43"/>
  <c r="L139" i="43"/>
  <c r="M139" i="43"/>
  <c r="N139" i="43"/>
  <c r="O139" i="43"/>
  <c r="P139" i="43"/>
  <c r="Q139" i="43"/>
  <c r="R139" i="43"/>
  <c r="S139" i="43"/>
  <c r="BQ139" i="43"/>
  <c r="B140" i="43"/>
  <c r="B223" i="43" s="1"/>
  <c r="J140" i="43"/>
  <c r="K140" i="43"/>
  <c r="L140" i="43"/>
  <c r="M140" i="43"/>
  <c r="N140" i="43"/>
  <c r="B141" i="43"/>
  <c r="I143" i="43"/>
  <c r="J143" i="43"/>
  <c r="K147" i="43" s="1"/>
  <c r="K148" i="43" s="1"/>
  <c r="K149" i="43" s="1"/>
  <c r="N143" i="43"/>
  <c r="O147" i="43" s="1"/>
  <c r="O148" i="43" s="1"/>
  <c r="O149" i="43" s="1"/>
  <c r="CA143" i="43"/>
  <c r="CD143" i="43"/>
  <c r="CF143" i="43"/>
  <c r="CH143" i="43"/>
  <c r="CJ143" i="43"/>
  <c r="Q144" i="43"/>
  <c r="R144" i="43"/>
  <c r="S144" i="43"/>
  <c r="CE144" i="43"/>
  <c r="CG144" i="43"/>
  <c r="CI144" i="43"/>
  <c r="CK144" i="43"/>
  <c r="CM144" i="43"/>
  <c r="V144" i="43"/>
  <c r="K145" i="43"/>
  <c r="L145" i="43"/>
  <c r="P145" i="43"/>
  <c r="Q145" i="43"/>
  <c r="R145" i="43"/>
  <c r="S145" i="43"/>
  <c r="L147" i="43"/>
  <c r="L148" i="43" s="1"/>
  <c r="L149" i="43" s="1"/>
  <c r="P147" i="43"/>
  <c r="P148" i="43" s="1"/>
  <c r="P149" i="43" s="1"/>
  <c r="Q147" i="43"/>
  <c r="Q148" i="43" s="1"/>
  <c r="Q149" i="43" s="1"/>
  <c r="R147" i="43"/>
  <c r="R148" i="43" s="1"/>
  <c r="R149" i="43" s="1"/>
  <c r="S147" i="43"/>
  <c r="S148" i="43" s="1"/>
  <c r="S149" i="43" s="1"/>
  <c r="V147" i="43"/>
  <c r="D153" i="43"/>
  <c r="D157" i="43" s="1"/>
  <c r="E153" i="43" s="1"/>
  <c r="E157" i="43" s="1"/>
  <c r="F153" i="43" s="1"/>
  <c r="F157" i="43" s="1"/>
  <c r="G153" i="43" s="1"/>
  <c r="G157" i="43" s="1"/>
  <c r="H153" i="43" s="1"/>
  <c r="H157" i="43" s="1"/>
  <c r="I153" i="43" s="1"/>
  <c r="I157" i="43" s="1"/>
  <c r="J153" i="43" s="1"/>
  <c r="J157" i="43" s="1"/>
  <c r="K153" i="43" s="1"/>
  <c r="K157" i="43" s="1"/>
  <c r="L153" i="43" s="1"/>
  <c r="L157" i="43" s="1"/>
  <c r="M153" i="43" s="1"/>
  <c r="M157" i="43" s="1"/>
  <c r="N153" i="43" s="1"/>
  <c r="N157" i="43" s="1"/>
  <c r="O153" i="43" s="1"/>
  <c r="O157" i="43" s="1"/>
  <c r="P153" i="43" s="1"/>
  <c r="P157" i="43" s="1"/>
  <c r="Q153" i="43" s="1"/>
  <c r="Q157" i="43" s="1"/>
  <c r="R153" i="43" s="1"/>
  <c r="R157" i="43" s="1"/>
  <c r="BL153" i="43"/>
  <c r="BL157" i="43" s="1"/>
  <c r="CD154" i="43"/>
  <c r="CD196" i="43" s="1"/>
  <c r="CF154" i="43"/>
  <c r="CH154" i="43"/>
  <c r="CJ154" i="43"/>
  <c r="CN154" i="43"/>
  <c r="W154" i="43"/>
  <c r="Z154" i="43"/>
  <c r="CD155" i="43"/>
  <c r="CF155" i="43"/>
  <c r="CH155" i="43"/>
  <c r="CJ155" i="43"/>
  <c r="CL155" i="43"/>
  <c r="CN155" i="43"/>
  <c r="W155" i="43"/>
  <c r="Z155" i="43"/>
  <c r="CD156" i="43"/>
  <c r="CD197" i="43" s="1"/>
  <c r="CF156" i="43"/>
  <c r="CF197" i="43" s="1"/>
  <c r="CJ156" i="43"/>
  <c r="CJ197" i="43" s="1"/>
  <c r="CL156" i="43"/>
  <c r="CL197" i="43" s="1"/>
  <c r="CN156" i="43"/>
  <c r="CN197" i="43" s="1"/>
  <c r="W156" i="43"/>
  <c r="W197" i="43" s="1"/>
  <c r="Z156" i="43"/>
  <c r="Z197" i="43" s="1"/>
  <c r="CF160" i="43"/>
  <c r="CH160" i="43"/>
  <c r="CN160" i="43"/>
  <c r="W160" i="43"/>
  <c r="Z160" i="43"/>
  <c r="S161" i="43"/>
  <c r="U161" i="43"/>
  <c r="U409" i="43" s="1"/>
  <c r="X161" i="43"/>
  <c r="AA161" i="43"/>
  <c r="AG161" i="43"/>
  <c r="AG409" i="43" s="1"/>
  <c r="CH161" i="43"/>
  <c r="CI161" i="43"/>
  <c r="CL161" i="43"/>
  <c r="V161" i="43"/>
  <c r="P163" i="43"/>
  <c r="CA163" i="43"/>
  <c r="CB159" i="43" s="1"/>
  <c r="CB163" i="43" s="1"/>
  <c r="CC159" i="43" s="1"/>
  <c r="CC163" i="43" s="1"/>
  <c r="CD159" i="43" s="1"/>
  <c r="CD163" i="43" s="1"/>
  <c r="CE159" i="43" s="1"/>
  <c r="CE163" i="43" s="1"/>
  <c r="CE192" i="43" s="1"/>
  <c r="BK165" i="43"/>
  <c r="D166" i="43"/>
  <c r="E166" i="43"/>
  <c r="F166" i="43"/>
  <c r="G166" i="43"/>
  <c r="H166" i="43"/>
  <c r="I166" i="43"/>
  <c r="J166" i="43"/>
  <c r="K166" i="43"/>
  <c r="L166" i="43"/>
  <c r="M166" i="43"/>
  <c r="N166" i="43"/>
  <c r="O166" i="43"/>
  <c r="E168" i="43"/>
  <c r="F168" i="43"/>
  <c r="G168" i="43"/>
  <c r="H168" i="43"/>
  <c r="I168" i="43"/>
  <c r="J168" i="43"/>
  <c r="K168" i="43"/>
  <c r="L168" i="43"/>
  <c r="M168" i="43"/>
  <c r="N168" i="43"/>
  <c r="O168" i="43"/>
  <c r="CB168" i="43" s="1"/>
  <c r="BS173" i="43"/>
  <c r="BS177" i="43" s="1"/>
  <c r="BT173" i="43" s="1"/>
  <c r="BT177" i="43" s="1"/>
  <c r="BU173" i="43" s="1"/>
  <c r="BU177" i="43" s="1"/>
  <c r="BU185" i="43" s="1"/>
  <c r="CH174" i="43"/>
  <c r="CJ174" i="43"/>
  <c r="CL174" i="43"/>
  <c r="CL196" i="43" s="1"/>
  <c r="CN174" i="43"/>
  <c r="W174" i="43"/>
  <c r="Z174" i="43"/>
  <c r="CJ175" i="43"/>
  <c r="CL175" i="43"/>
  <c r="CN175" i="43"/>
  <c r="W175" i="43"/>
  <c r="Z175" i="43"/>
  <c r="J177" i="43"/>
  <c r="J185" i="43" s="1"/>
  <c r="R179" i="43"/>
  <c r="CH180" i="43"/>
  <c r="CJ180" i="43"/>
  <c r="CL180" i="43"/>
  <c r="CN180" i="43"/>
  <c r="W180" i="43"/>
  <c r="Z180" i="43"/>
  <c r="R181" i="43"/>
  <c r="CH181" i="43" s="1"/>
  <c r="S181" i="43"/>
  <c r="CJ181" i="43" s="1"/>
  <c r="T181" i="43"/>
  <c r="X181" i="43"/>
  <c r="AA181" i="43"/>
  <c r="AD181" i="43"/>
  <c r="AD409" i="43" s="1"/>
  <c r="CN181" i="43"/>
  <c r="V181" i="43"/>
  <c r="CG183" i="43"/>
  <c r="CH179" i="43" s="1"/>
  <c r="BR185" i="43"/>
  <c r="BV188" i="43"/>
  <c r="BX188" i="43"/>
  <c r="BZ188" i="43"/>
  <c r="CB188" i="43"/>
  <c r="CD188" i="43"/>
  <c r="CF188" i="43"/>
  <c r="CH188" i="43"/>
  <c r="CJ188" i="43"/>
  <c r="CI188" i="43" s="1"/>
  <c r="CL188" i="43"/>
  <c r="CK188" i="43" s="1"/>
  <c r="CN188" i="43"/>
  <c r="CM188" i="43" s="1"/>
  <c r="W188" i="43"/>
  <c r="V188" i="43" s="1"/>
  <c r="Z188" i="43"/>
  <c r="Y188" i="43" s="1"/>
  <c r="I189" i="43"/>
  <c r="O192" i="43"/>
  <c r="D195" i="43"/>
  <c r="BL195" i="43"/>
  <c r="D196" i="43"/>
  <c r="E196" i="43"/>
  <c r="F196" i="43"/>
  <c r="G196" i="43"/>
  <c r="H196" i="43"/>
  <c r="I196" i="43"/>
  <c r="J196" i="43"/>
  <c r="K196" i="43"/>
  <c r="L196" i="43"/>
  <c r="M196" i="43"/>
  <c r="N196" i="43"/>
  <c r="O196" i="43"/>
  <c r="P196" i="43"/>
  <c r="Q196" i="43"/>
  <c r="R196" i="43"/>
  <c r="S196" i="43"/>
  <c r="T196" i="43"/>
  <c r="U196" i="43"/>
  <c r="AA196" i="43"/>
  <c r="BL196" i="43"/>
  <c r="BM196" i="43"/>
  <c r="BN196" i="43"/>
  <c r="BO196" i="43"/>
  <c r="BP196" i="43"/>
  <c r="BQ196" i="43"/>
  <c r="BR196" i="43"/>
  <c r="BS196" i="43"/>
  <c r="BT196" i="43"/>
  <c r="BU196" i="43"/>
  <c r="BV196" i="43"/>
  <c r="BW196" i="43"/>
  <c r="BX196" i="43"/>
  <c r="BY196" i="43"/>
  <c r="BZ196" i="43"/>
  <c r="CA196" i="43"/>
  <c r="CB196" i="43"/>
  <c r="CC196" i="43"/>
  <c r="CE196" i="43"/>
  <c r="CG196" i="43"/>
  <c r="CI196" i="43"/>
  <c r="CK196" i="43"/>
  <c r="CM196" i="43"/>
  <c r="V196" i="43"/>
  <c r="D197" i="43"/>
  <c r="E197" i="43"/>
  <c r="F197" i="43"/>
  <c r="G197" i="43"/>
  <c r="H197" i="43"/>
  <c r="I197" i="43"/>
  <c r="J197" i="43"/>
  <c r="K197" i="43"/>
  <c r="L197" i="43"/>
  <c r="M197" i="43"/>
  <c r="N197" i="43"/>
  <c r="O197" i="43"/>
  <c r="P197" i="43"/>
  <c r="Q197" i="43"/>
  <c r="R197" i="43"/>
  <c r="S197" i="43"/>
  <c r="T197" i="43"/>
  <c r="U197" i="43"/>
  <c r="AA197" i="43"/>
  <c r="AD197" i="43"/>
  <c r="BL197" i="43"/>
  <c r="BM197" i="43"/>
  <c r="BN197" i="43"/>
  <c r="BO197" i="43"/>
  <c r="BP197" i="43"/>
  <c r="BQ197" i="43"/>
  <c r="BR197" i="43"/>
  <c r="BS197" i="43"/>
  <c r="BT197" i="43"/>
  <c r="BU197" i="43"/>
  <c r="BV197" i="43"/>
  <c r="BW197" i="43"/>
  <c r="BX197" i="43"/>
  <c r="BY197" i="43"/>
  <c r="BZ197" i="43"/>
  <c r="CA197" i="43"/>
  <c r="CB197" i="43"/>
  <c r="CC197" i="43"/>
  <c r="CE197" i="43"/>
  <c r="CG197" i="43"/>
  <c r="CH197" i="43"/>
  <c r="CI197" i="43"/>
  <c r="CK197" i="43"/>
  <c r="CM197" i="43"/>
  <c r="V197" i="43"/>
  <c r="C199" i="43"/>
  <c r="T210" i="43"/>
  <c r="BL210" i="43"/>
  <c r="BN210" i="43"/>
  <c r="BP210" i="43"/>
  <c r="BP17" i="43" s="1"/>
  <c r="BR210" i="43"/>
  <c r="BR17" i="43" s="1"/>
  <c r="BT210" i="43"/>
  <c r="BV210" i="43"/>
  <c r="BX210" i="43"/>
  <c r="BX17" i="43" s="1"/>
  <c r="CA210" i="43"/>
  <c r="CB210" i="43" s="1"/>
  <c r="CB17" i="43" s="1"/>
  <c r="CC210" i="43"/>
  <c r="CE210" i="43"/>
  <c r="CG210" i="43"/>
  <c r="CI210" i="43"/>
  <c r="CI17" i="43" s="1"/>
  <c r="F214" i="43"/>
  <c r="G214" i="43"/>
  <c r="H214" i="43"/>
  <c r="I214" i="43"/>
  <c r="J214" i="43"/>
  <c r="K214" i="43"/>
  <c r="L214" i="43"/>
  <c r="M214" i="43"/>
  <c r="N214" i="43"/>
  <c r="O214" i="43"/>
  <c r="P214" i="43"/>
  <c r="F215" i="43"/>
  <c r="G215" i="43"/>
  <c r="H215" i="43"/>
  <c r="I215" i="43"/>
  <c r="J215" i="43"/>
  <c r="K215" i="43"/>
  <c r="L215" i="43"/>
  <c r="M215" i="43"/>
  <c r="N215" i="43"/>
  <c r="O215" i="43"/>
  <c r="P215" i="43"/>
  <c r="F216" i="43"/>
  <c r="O216" i="43"/>
  <c r="P216" i="43"/>
  <c r="F217" i="43"/>
  <c r="F218" i="43"/>
  <c r="F219" i="43"/>
  <c r="O219" i="43"/>
  <c r="P219" i="43"/>
  <c r="F221" i="43"/>
  <c r="H221" i="43"/>
  <c r="I221" i="43"/>
  <c r="J221" i="43"/>
  <c r="K221" i="43"/>
  <c r="L221" i="43"/>
  <c r="M221" i="43"/>
  <c r="N221" i="43"/>
  <c r="O221" i="43"/>
  <c r="P221" i="43"/>
  <c r="Q221" i="43"/>
  <c r="R221" i="43"/>
  <c r="S221" i="43"/>
  <c r="F222" i="43"/>
  <c r="M222" i="43"/>
  <c r="N222" i="43"/>
  <c r="O222" i="43"/>
  <c r="P222" i="43"/>
  <c r="Q222" i="43"/>
  <c r="R222" i="43"/>
  <c r="S222" i="43"/>
  <c r="F223" i="43"/>
  <c r="G223" i="43"/>
  <c r="H223" i="43"/>
  <c r="M223" i="43"/>
  <c r="N223" i="43"/>
  <c r="BK226" i="43"/>
  <c r="BM226" i="43"/>
  <c r="BO226" i="43"/>
  <c r="BQ226" i="43"/>
  <c r="BS226" i="43"/>
  <c r="BU226" i="43"/>
  <c r="BU252" i="43" s="1"/>
  <c r="BW226" i="43"/>
  <c r="BY226" i="43"/>
  <c r="D229" i="43"/>
  <c r="D230" i="43" s="1"/>
  <c r="E229" i="43"/>
  <c r="E230" i="43" s="1"/>
  <c r="F229" i="43"/>
  <c r="G229" i="43"/>
  <c r="G20" i="43" s="1"/>
  <c r="G22" i="43" s="1"/>
  <c r="F11" i="8" s="1"/>
  <c r="H229" i="43"/>
  <c r="I229" i="43"/>
  <c r="I230" i="43" s="1"/>
  <c r="J229" i="43"/>
  <c r="K229" i="43"/>
  <c r="K20" i="43" s="1"/>
  <c r="K22" i="43" s="1"/>
  <c r="R11" i="8" s="1"/>
  <c r="L229" i="43"/>
  <c r="M229" i="43"/>
  <c r="M230" i="43" s="1"/>
  <c r="N229" i="43"/>
  <c r="N280" i="43" s="1"/>
  <c r="BZ280" i="43" s="1"/>
  <c r="O229" i="43"/>
  <c r="O280" i="43" s="1"/>
  <c r="O285" i="43" s="1"/>
  <c r="P229" i="43"/>
  <c r="P280" i="43" s="1"/>
  <c r="P283" i="43" s="1"/>
  <c r="Q229" i="43"/>
  <c r="Q230" i="43" s="1"/>
  <c r="R229" i="43"/>
  <c r="S229" i="43"/>
  <c r="S20" i="43" s="1"/>
  <c r="S22" i="43" s="1"/>
  <c r="BK229" i="43"/>
  <c r="BK20" i="43" s="1"/>
  <c r="BK22" i="43" s="1"/>
  <c r="D11" i="8" s="1"/>
  <c r="BM229" i="43"/>
  <c r="BO229" i="43"/>
  <c r="BO20" i="43" s="1"/>
  <c r="BO22" i="43" s="1"/>
  <c r="J11" i="8" s="1"/>
  <c r="BQ229" i="43"/>
  <c r="BQ20" i="43" s="1"/>
  <c r="BQ22" i="43" s="1"/>
  <c r="M11" i="8" s="1"/>
  <c r="BS229" i="43"/>
  <c r="BU229" i="43"/>
  <c r="BU20" i="43" s="1"/>
  <c r="BU22" i="43" s="1"/>
  <c r="S11" i="8" s="1"/>
  <c r="CK229" i="43"/>
  <c r="CK25" i="43" s="1"/>
  <c r="CM229" i="43"/>
  <c r="CM20" i="43" s="1"/>
  <c r="V229" i="43"/>
  <c r="V20" i="43" s="1"/>
  <c r="BW230" i="43"/>
  <c r="BY230" i="43"/>
  <c r="CA230" i="43"/>
  <c r="CC230" i="43"/>
  <c r="CE230" i="43"/>
  <c r="CG230" i="43"/>
  <c r="CI230" i="43"/>
  <c r="BY232" i="43"/>
  <c r="CA232" i="43"/>
  <c r="CC232" i="43"/>
  <c r="CE232" i="43"/>
  <c r="CG232" i="43"/>
  <c r="CI232" i="43"/>
  <c r="B235" i="43"/>
  <c r="B236" i="43"/>
  <c r="U236" i="43"/>
  <c r="B237" i="43"/>
  <c r="U237" i="43"/>
  <c r="B238" i="43"/>
  <c r="G238" i="43"/>
  <c r="H238" i="43" s="1"/>
  <c r="U238" i="43"/>
  <c r="B239" i="43"/>
  <c r="G239" i="43"/>
  <c r="G217" i="43" s="1"/>
  <c r="U239" i="43"/>
  <c r="B240" i="43"/>
  <c r="G240" i="43"/>
  <c r="G218" i="43" s="1"/>
  <c r="U240" i="43"/>
  <c r="G241" i="43"/>
  <c r="G219" i="43" s="1"/>
  <c r="U241" i="43"/>
  <c r="B242" i="43"/>
  <c r="B243" i="43"/>
  <c r="G243" i="43"/>
  <c r="G221" i="43" s="1"/>
  <c r="U243" i="43"/>
  <c r="B244" i="43"/>
  <c r="G244" i="43"/>
  <c r="H244" i="43" s="1"/>
  <c r="U244" i="43"/>
  <c r="B245" i="43"/>
  <c r="I245" i="43"/>
  <c r="U245" i="43"/>
  <c r="F246" i="43"/>
  <c r="F226" i="43" s="1"/>
  <c r="BT252" i="43"/>
  <c r="BX252" i="43"/>
  <c r="BZ252" i="43"/>
  <c r="CB252" i="43"/>
  <c r="CD252" i="43"/>
  <c r="CF252" i="43"/>
  <c r="CH252" i="43"/>
  <c r="CJ252" i="43"/>
  <c r="CL252" i="43"/>
  <c r="CN252" i="43"/>
  <c r="J253" i="43"/>
  <c r="K253" i="43"/>
  <c r="L253" i="43"/>
  <c r="M253" i="43"/>
  <c r="N253" i="43"/>
  <c r="O253" i="43"/>
  <c r="P253" i="43"/>
  <c r="Q253" i="43"/>
  <c r="E45" i="46" s="1"/>
  <c r="R253" i="43"/>
  <c r="S253" i="43"/>
  <c r="T253" i="43"/>
  <c r="U253" i="43"/>
  <c r="BS253" i="43"/>
  <c r="BW253" i="43"/>
  <c r="BY253" i="43"/>
  <c r="CA253" i="43"/>
  <c r="CC253" i="43"/>
  <c r="CE253" i="43"/>
  <c r="CG253" i="43"/>
  <c r="CI253" i="43"/>
  <c r="CK253" i="43"/>
  <c r="V253" i="43"/>
  <c r="T256" i="43"/>
  <c r="U256" i="43"/>
  <c r="BS256" i="43"/>
  <c r="BS258" i="43" s="1"/>
  <c r="BW256" i="43"/>
  <c r="BW258" i="43" s="1"/>
  <c r="BY256" i="43"/>
  <c r="BY258" i="43" s="1"/>
  <c r="CA256" i="43"/>
  <c r="CC256" i="43"/>
  <c r="CC258" i="43" s="1"/>
  <c r="CE256" i="43"/>
  <c r="CE258" i="43" s="1"/>
  <c r="CG256" i="43"/>
  <c r="CG258" i="43" s="1"/>
  <c r="CI256" i="43"/>
  <c r="CI258" i="43" s="1"/>
  <c r="CK256" i="43"/>
  <c r="CK258" i="43" s="1"/>
  <c r="CM256" i="43"/>
  <c r="V256" i="43"/>
  <c r="K262" i="43"/>
  <c r="K263" i="43" s="1"/>
  <c r="L262" i="43"/>
  <c r="L256" i="43" s="1"/>
  <c r="M262" i="43"/>
  <c r="N262" i="43"/>
  <c r="BZ262" i="43" s="1"/>
  <c r="O262" i="43"/>
  <c r="P262" i="43"/>
  <c r="Q262" i="43"/>
  <c r="Q31" i="43" s="1"/>
  <c r="R262" i="43"/>
  <c r="S262" i="43"/>
  <c r="CL262" i="43"/>
  <c r="CN262" i="43"/>
  <c r="T263" i="43"/>
  <c r="U263" i="43"/>
  <c r="BS263" i="43"/>
  <c r="BW263" i="43"/>
  <c r="BY263" i="43"/>
  <c r="CA263" i="43"/>
  <c r="CC263" i="43"/>
  <c r="CE263" i="43"/>
  <c r="CG263" i="43"/>
  <c r="CI263" i="43"/>
  <c r="CK263" i="43"/>
  <c r="CM263" i="43"/>
  <c r="V263" i="43"/>
  <c r="U264" i="43"/>
  <c r="L266" i="43"/>
  <c r="L267" i="43" s="1"/>
  <c r="M266" i="43"/>
  <c r="N266" i="43"/>
  <c r="N267" i="43" s="1"/>
  <c r="O266" i="43"/>
  <c r="O267" i="43" s="1"/>
  <c r="P266" i="43"/>
  <c r="P267" i="43" s="1"/>
  <c r="Q266" i="43"/>
  <c r="Q267" i="43" s="1"/>
  <c r="R266" i="43"/>
  <c r="R267" i="43" s="1"/>
  <c r="T266" i="43"/>
  <c r="T270" i="43" s="1"/>
  <c r="BY266" i="43"/>
  <c r="BY267" i="43" s="1"/>
  <c r="CA266" i="43"/>
  <c r="CC266" i="43"/>
  <c r="CC267" i="43" s="1"/>
  <c r="CE266" i="43"/>
  <c r="CE267" i="43" s="1"/>
  <c r="CG266" i="43"/>
  <c r="CG267" i="43" s="1"/>
  <c r="CI266" i="43"/>
  <c r="CK266" i="43"/>
  <c r="CK267" i="43" s="1"/>
  <c r="CM266" i="43"/>
  <c r="CN266" i="43" s="1"/>
  <c r="V266" i="43"/>
  <c r="W266" i="43" s="1"/>
  <c r="U267" i="43"/>
  <c r="U270" i="43"/>
  <c r="BS271" i="43"/>
  <c r="BW271" i="43"/>
  <c r="BY271" i="43"/>
  <c r="CA271" i="43"/>
  <c r="CC271" i="43"/>
  <c r="CE271" i="43"/>
  <c r="CG271" i="43"/>
  <c r="CI271" i="43"/>
  <c r="CK271" i="43"/>
  <c r="CM271" i="43"/>
  <c r="V271" i="43"/>
  <c r="BU273" i="43"/>
  <c r="BW273" i="43"/>
  <c r="BY273" i="43"/>
  <c r="CA273" i="43"/>
  <c r="CC273" i="43"/>
  <c r="CE273" i="43"/>
  <c r="CG273" i="43"/>
  <c r="CI273" i="43"/>
  <c r="CK273" i="43"/>
  <c r="CM273" i="43"/>
  <c r="V273" i="43"/>
  <c r="BZ277" i="43"/>
  <c r="CB277" i="43"/>
  <c r="CD277" i="43"/>
  <c r="CF277" i="43"/>
  <c r="CH277" i="43"/>
  <c r="CJ277" i="43"/>
  <c r="CL277" i="43"/>
  <c r="P278" i="43"/>
  <c r="Q278" i="43"/>
  <c r="R278" i="43"/>
  <c r="S278" i="43"/>
  <c r="T278" i="43"/>
  <c r="U278" i="43"/>
  <c r="BY278" i="43"/>
  <c r="CA278" i="43"/>
  <c r="CC278" i="43"/>
  <c r="CE278" i="43"/>
  <c r="CG278" i="43"/>
  <c r="CI278" i="43"/>
  <c r="CK278" i="43"/>
  <c r="CM278" i="43"/>
  <c r="V278" i="43"/>
  <c r="CL279" i="43"/>
  <c r="CG280" i="43"/>
  <c r="CG281" i="43" s="1"/>
  <c r="CI280" i="43"/>
  <c r="BU281" i="43"/>
  <c r="BW281" i="43"/>
  <c r="BY281" i="43"/>
  <c r="CA281" i="43"/>
  <c r="CC281" i="43"/>
  <c r="CE281" i="43"/>
  <c r="BY283" i="43"/>
  <c r="CA283" i="43"/>
  <c r="CC283" i="43"/>
  <c r="CE283" i="43"/>
  <c r="BU285" i="43"/>
  <c r="BW285" i="43"/>
  <c r="BW287" i="43" s="1"/>
  <c r="BY285" i="43"/>
  <c r="BY287" i="43" s="1"/>
  <c r="CA285" i="43"/>
  <c r="CC285" i="43"/>
  <c r="CE285" i="43"/>
  <c r="CE287" i="43" s="1"/>
  <c r="BZ290" i="43"/>
  <c r="CB290" i="43"/>
  <c r="CH290" i="43"/>
  <c r="N291" i="43"/>
  <c r="O291" i="43"/>
  <c r="P291" i="43"/>
  <c r="Q291" i="43"/>
  <c r="R291" i="43"/>
  <c r="S291" i="43"/>
  <c r="T291" i="43"/>
  <c r="U291" i="43"/>
  <c r="BS293" i="43"/>
  <c r="BT293" i="43" s="1"/>
  <c r="BV293" i="43"/>
  <c r="BX293" i="43"/>
  <c r="BZ293" i="43"/>
  <c r="CB293" i="43"/>
  <c r="CD293" i="43"/>
  <c r="CF293" i="43"/>
  <c r="CH293" i="43"/>
  <c r="CJ293" i="43"/>
  <c r="CL293" i="43"/>
  <c r="CM293" i="43"/>
  <c r="CM31" i="43" s="1"/>
  <c r="V293" i="43"/>
  <c r="T294" i="43"/>
  <c r="BU294" i="43"/>
  <c r="BW294" i="43"/>
  <c r="BY294" i="43"/>
  <c r="CA294" i="43"/>
  <c r="CC294" i="43"/>
  <c r="CE294" i="43"/>
  <c r="CG294" i="43"/>
  <c r="CI294" i="43"/>
  <c r="S296" i="43"/>
  <c r="S266" i="43" s="1"/>
  <c r="S267" i="43" s="1"/>
  <c r="T296" i="43"/>
  <c r="CK296" i="43"/>
  <c r="BZ299" i="43"/>
  <c r="CB299" i="43"/>
  <c r="CD299" i="43"/>
  <c r="CF299" i="43"/>
  <c r="CH299" i="43"/>
  <c r="CJ299" i="43"/>
  <c r="CL299" i="43"/>
  <c r="CN299" i="43"/>
  <c r="N300" i="43"/>
  <c r="O300" i="43"/>
  <c r="P300" i="43"/>
  <c r="Q300" i="43"/>
  <c r="R300" i="43"/>
  <c r="S300" i="43"/>
  <c r="T300" i="43"/>
  <c r="U300" i="43"/>
  <c r="S302" i="43"/>
  <c r="G15" i="46" s="1"/>
  <c r="T302" i="43"/>
  <c r="H15" i="46" s="1"/>
  <c r="BS302" i="43"/>
  <c r="BT302" i="43" s="1"/>
  <c r="BU302" i="43"/>
  <c r="BU303" i="43" s="1"/>
  <c r="BW302" i="43"/>
  <c r="BW303" i="43" s="1"/>
  <c r="BY302" i="43"/>
  <c r="BY303" i="43" s="1"/>
  <c r="CA302" i="43"/>
  <c r="CC302" i="43"/>
  <c r="CE302" i="43"/>
  <c r="CE303" i="43" s="1"/>
  <c r="CH302" i="43"/>
  <c r="CI302" i="43"/>
  <c r="CM302" i="43"/>
  <c r="CM55" i="43" s="1"/>
  <c r="V302" i="43"/>
  <c r="V55" i="43" s="1"/>
  <c r="CG303" i="43"/>
  <c r="T307" i="43"/>
  <c r="U307" i="43"/>
  <c r="CM307" i="43"/>
  <c r="V307" i="43"/>
  <c r="CI308" i="43"/>
  <c r="CI333" i="43" s="1"/>
  <c r="CL308" i="43"/>
  <c r="CL6" i="43" s="1"/>
  <c r="CN308" i="43"/>
  <c r="CN309" i="43"/>
  <c r="CN15" i="43" s="1"/>
  <c r="Z309" i="43"/>
  <c r="R312" i="43"/>
  <c r="V312" i="43"/>
  <c r="CM313" i="43"/>
  <c r="CN313" i="43" s="1"/>
  <c r="T317" i="43"/>
  <c r="T321" i="43" s="1"/>
  <c r="H54" i="46" s="1"/>
  <c r="CL318" i="43"/>
  <c r="CN318" i="43"/>
  <c r="W318" i="43"/>
  <c r="Z318" i="43"/>
  <c r="CL319" i="43"/>
  <c r="CN319" i="43"/>
  <c r="W319" i="43"/>
  <c r="Z319" i="43"/>
  <c r="CL320" i="43"/>
  <c r="CN320" i="43"/>
  <c r="W320" i="43"/>
  <c r="Z320" i="43"/>
  <c r="CJ321" i="43"/>
  <c r="CK317" i="43" s="1"/>
  <c r="CK321" i="43" s="1"/>
  <c r="CL317" i="43" s="1"/>
  <c r="S322" i="43"/>
  <c r="S324" i="43" s="1"/>
  <c r="S328" i="43" s="1"/>
  <c r="T323" i="43"/>
  <c r="CK323" i="43" s="1"/>
  <c r="S327" i="43"/>
  <c r="T330" i="43"/>
  <c r="U330" i="43"/>
  <c r="CK330" i="43"/>
  <c r="CK331" i="43" s="1"/>
  <c r="CM330" i="43"/>
  <c r="CM331" i="43" s="1"/>
  <c r="V330" i="43"/>
  <c r="V331" i="43" s="1"/>
  <c r="Q333" i="43"/>
  <c r="Q330" i="43" s="1"/>
  <c r="Q331" i="43" s="1"/>
  <c r="R333" i="43"/>
  <c r="CL333" i="43"/>
  <c r="CN333" i="43"/>
  <c r="CN21" i="43" s="1"/>
  <c r="S334" i="43"/>
  <c r="T334" i="43"/>
  <c r="U334" i="43"/>
  <c r="CK334" i="43"/>
  <c r="CM334" i="43"/>
  <c r="V334" i="43"/>
  <c r="R335" i="43"/>
  <c r="T337" i="43"/>
  <c r="U337" i="43"/>
  <c r="CK337" i="43"/>
  <c r="CK338" i="43" s="1"/>
  <c r="CM337" i="43"/>
  <c r="CM338" i="43" s="1"/>
  <c r="V337" i="43"/>
  <c r="V338" i="43" s="1"/>
  <c r="S342" i="43"/>
  <c r="CL342" i="43"/>
  <c r="CL32" i="43" s="1"/>
  <c r="T343" i="43"/>
  <c r="U343" i="43"/>
  <c r="CK343" i="43"/>
  <c r="CM343" i="43"/>
  <c r="V343" i="43"/>
  <c r="U345" i="43"/>
  <c r="CM345" i="43"/>
  <c r="V345" i="43"/>
  <c r="T347" i="43"/>
  <c r="T348" i="43" s="1"/>
  <c r="CI347" i="43"/>
  <c r="CJ347" i="43" s="1"/>
  <c r="CK347" i="43"/>
  <c r="CN347" i="43"/>
  <c r="CN42" i="43" s="1"/>
  <c r="S348" i="43"/>
  <c r="U348" i="43"/>
  <c r="CM348" i="43"/>
  <c r="V348" i="43"/>
  <c r="CL350" i="43"/>
  <c r="CL56" i="43" s="1"/>
  <c r="Q351" i="43"/>
  <c r="R351" i="43"/>
  <c r="S351" i="43"/>
  <c r="T351" i="43"/>
  <c r="U351" i="43"/>
  <c r="CK351" i="43"/>
  <c r="CM351" i="43"/>
  <c r="V351" i="43"/>
  <c r="R353" i="43"/>
  <c r="S353" i="43"/>
  <c r="T353" i="43"/>
  <c r="U353" i="43"/>
  <c r="CM353" i="43"/>
  <c r="V353" i="43"/>
  <c r="CM354" i="43"/>
  <c r="CN354" i="43" s="1"/>
  <c r="CK357" i="43"/>
  <c r="CM359" i="43"/>
  <c r="R408" i="43"/>
  <c r="S408" i="43" s="1"/>
  <c r="T408" i="43" s="1"/>
  <c r="U408" i="43" s="1"/>
  <c r="X408" i="43" s="1"/>
  <c r="O410" i="43"/>
  <c r="P410" i="43"/>
  <c r="R410" i="43"/>
  <c r="S410" i="43"/>
  <c r="T410" i="43"/>
  <c r="U410" i="43"/>
  <c r="D412" i="43"/>
  <c r="E412" i="43"/>
  <c r="F412" i="43"/>
  <c r="F47" i="43" s="1"/>
  <c r="G412" i="43"/>
  <c r="G47" i="43" s="1"/>
  <c r="H412" i="43"/>
  <c r="H47" i="43" s="1"/>
  <c r="I412" i="43"/>
  <c r="I47" i="43" s="1"/>
  <c r="J412" i="43"/>
  <c r="J411" i="43" s="1"/>
  <c r="K412" i="43"/>
  <c r="K411" i="43" s="1"/>
  <c r="L412" i="43"/>
  <c r="L47" i="43" s="1"/>
  <c r="M412" i="43"/>
  <c r="M411" i="43" s="1"/>
  <c r="N412" i="43"/>
  <c r="N47" i="43" s="1"/>
  <c r="O412" i="43"/>
  <c r="O47" i="43" s="1"/>
  <c r="P412" i="43"/>
  <c r="P47" i="43" s="1"/>
  <c r="Q412" i="43"/>
  <c r="Q47" i="43" s="1"/>
  <c r="R412" i="43"/>
  <c r="R47" i="43" s="1"/>
  <c r="S412" i="43"/>
  <c r="T412" i="43"/>
  <c r="Q125" i="1" s="1"/>
  <c r="U412" i="43"/>
  <c r="R125" i="1" s="1"/>
  <c r="O417" i="43"/>
  <c r="P417" i="43"/>
  <c r="Q417" i="43"/>
  <c r="F422" i="43"/>
  <c r="G422" i="43"/>
  <c r="H422" i="43"/>
  <c r="I422" i="43"/>
  <c r="J422" i="43"/>
  <c r="K422" i="43"/>
  <c r="L422" i="43"/>
  <c r="M422" i="43"/>
  <c r="N422" i="43"/>
  <c r="O422" i="43"/>
  <c r="P422" i="43"/>
  <c r="Q422" i="43"/>
  <c r="R422" i="43"/>
  <c r="S422" i="43"/>
  <c r="S423" i="43"/>
  <c r="N429" i="43"/>
  <c r="O434" i="43"/>
  <c r="N434" i="43" s="1"/>
  <c r="N449" i="43" s="1"/>
  <c r="CC434" i="43"/>
  <c r="CC449" i="43" s="1"/>
  <c r="Q439" i="43"/>
  <c r="R439" i="43" s="1"/>
  <c r="P442" i="43"/>
  <c r="Q442" i="43" s="1"/>
  <c r="R442" i="43" s="1"/>
  <c r="S442" i="43" s="1"/>
  <c r="CD446" i="43"/>
  <c r="CD447" i="43"/>
  <c r="CA449" i="43"/>
  <c r="S450" i="43"/>
  <c r="CD461" i="43"/>
  <c r="CD475" i="43" s="1"/>
  <c r="CF461" i="43"/>
  <c r="CF475" i="43" s="1"/>
  <c r="P463" i="43"/>
  <c r="CF467" i="43"/>
  <c r="P468" i="43"/>
  <c r="Q468" i="43" s="1"/>
  <c r="Q470" i="43" s="1"/>
  <c r="P475" i="43"/>
  <c r="Q475" i="43"/>
  <c r="S477" i="43" s="1"/>
  <c r="R475" i="43"/>
  <c r="T477" i="43" s="1"/>
  <c r="S475" i="43"/>
  <c r="U477" i="43" s="1"/>
  <c r="T475" i="43"/>
  <c r="T476" i="43" s="1"/>
  <c r="U475" i="43"/>
  <c r="U467" i="43" s="1"/>
  <c r="CC475" i="43"/>
  <c r="Q478" i="43"/>
  <c r="P483" i="43"/>
  <c r="P484" i="43"/>
  <c r="Q487" i="43"/>
  <c r="R487" i="43" s="1"/>
  <c r="Q488" i="43"/>
  <c r="R488" i="43" s="1"/>
  <c r="S488" i="43" s="1"/>
  <c r="T488" i="43" s="1"/>
  <c r="U488" i="43" s="1"/>
  <c r="Q489" i="43"/>
  <c r="R489" i="43" s="1"/>
  <c r="S489" i="43" s="1"/>
  <c r="T489" i="43" s="1"/>
  <c r="U489" i="43" s="1"/>
  <c r="N501" i="43"/>
  <c r="O501" i="43"/>
  <c r="P501" i="43"/>
  <c r="Q501" i="43"/>
  <c r="R501" i="43"/>
  <c r="S501" i="43"/>
  <c r="T501" i="43"/>
  <c r="U501" i="43"/>
  <c r="N502" i="43"/>
  <c r="O502" i="43"/>
  <c r="P502" i="43"/>
  <c r="Q502" i="43"/>
  <c r="R502" i="43"/>
  <c r="S502" i="43"/>
  <c r="T502" i="43"/>
  <c r="U502" i="43"/>
  <c r="N503" i="43"/>
  <c r="O503" i="43"/>
  <c r="O504" i="43"/>
  <c r="P504" i="43"/>
  <c r="Q504" i="43"/>
  <c r="R504" i="43"/>
  <c r="S504" i="43"/>
  <c r="S519" i="43"/>
  <c r="O520" i="43"/>
  <c r="O519" i="43" s="1"/>
  <c r="P520" i="43"/>
  <c r="P519" i="43" s="1"/>
  <c r="Q520" i="43"/>
  <c r="Q519" i="43" s="1"/>
  <c r="R520" i="43"/>
  <c r="R519" i="43" s="1"/>
  <c r="W7" i="46"/>
  <c r="W22" i="46" s="1"/>
  <c r="X7" i="46"/>
  <c r="X22" i="46" s="1"/>
  <c r="Y7" i="46"/>
  <c r="Y22" i="46" s="1"/>
  <c r="Z7" i="46"/>
  <c r="Z22" i="46" s="1"/>
  <c r="AA7" i="46"/>
  <c r="AA22" i="46" s="1"/>
  <c r="AB7" i="46"/>
  <c r="AB22" i="46" s="1"/>
  <c r="AC7" i="46"/>
  <c r="AC22" i="46" s="1"/>
  <c r="AD7" i="46"/>
  <c r="AD22" i="46" s="1"/>
  <c r="AE7" i="46"/>
  <c r="AE22" i="46" s="1"/>
  <c r="AF7" i="46"/>
  <c r="AF22" i="46" s="1"/>
  <c r="D9" i="46"/>
  <c r="E9" i="46"/>
  <c r="F9" i="46"/>
  <c r="G9" i="46"/>
  <c r="H9" i="46"/>
  <c r="I9" i="46"/>
  <c r="W9" i="46"/>
  <c r="X9" i="46"/>
  <c r="Y9" i="46"/>
  <c r="Z9" i="46"/>
  <c r="AA9" i="46"/>
  <c r="AB9" i="46"/>
  <c r="H10" i="46"/>
  <c r="W10" i="46"/>
  <c r="X10" i="46"/>
  <c r="Y10" i="46"/>
  <c r="Z10" i="46"/>
  <c r="AA10" i="46"/>
  <c r="AB10" i="46"/>
  <c r="H11" i="46"/>
  <c r="I11" i="46"/>
  <c r="D15" i="46"/>
  <c r="E15" i="46"/>
  <c r="F15" i="46"/>
  <c r="H16" i="46"/>
  <c r="I16" i="46"/>
  <c r="W17" i="46"/>
  <c r="X17" i="46"/>
  <c r="Y17" i="46"/>
  <c r="Z17" i="46"/>
  <c r="D27" i="46"/>
  <c r="W49" i="46" s="1"/>
  <c r="D43" i="46" s="1"/>
  <c r="E27" i="46"/>
  <c r="X49" i="46" s="1"/>
  <c r="E43" i="46" s="1"/>
  <c r="E49" i="46" s="1"/>
  <c r="F27" i="46"/>
  <c r="Y49" i="46" s="1"/>
  <c r="F43" i="46" s="1"/>
  <c r="F49" i="46" s="1"/>
  <c r="G27" i="46"/>
  <c r="Z49" i="46" s="1"/>
  <c r="H27" i="46"/>
  <c r="H43" i="46" s="1"/>
  <c r="H49" i="46" s="1"/>
  <c r="I27" i="46"/>
  <c r="I43" i="46" s="1"/>
  <c r="I49" i="46" s="1"/>
  <c r="J27" i="46"/>
  <c r="J43" i="46" s="1"/>
  <c r="J49" i="46" s="1"/>
  <c r="K27" i="46"/>
  <c r="AD49" i="46" s="1"/>
  <c r="L27" i="46"/>
  <c r="L43" i="46" s="1"/>
  <c r="L49" i="46" s="1"/>
  <c r="M27" i="46"/>
  <c r="AF49" i="46" s="1"/>
  <c r="D36" i="46"/>
  <c r="E36" i="46"/>
  <c r="F36" i="46"/>
  <c r="G36" i="46"/>
  <c r="H36" i="46"/>
  <c r="I36" i="46"/>
  <c r="D38" i="46"/>
  <c r="E38" i="46"/>
  <c r="F38" i="46"/>
  <c r="G38" i="46"/>
  <c r="H38" i="46"/>
  <c r="I38" i="46"/>
  <c r="H40" i="46"/>
  <c r="I40" i="46"/>
  <c r="J40" i="46"/>
  <c r="D41" i="46"/>
  <c r="E41" i="46"/>
  <c r="F41" i="46"/>
  <c r="G41" i="46"/>
  <c r="H41" i="46"/>
  <c r="I41" i="46"/>
  <c r="J41" i="46"/>
  <c r="M42" i="46"/>
  <c r="H50" i="46"/>
  <c r="I50" i="46"/>
  <c r="J50" i="46"/>
  <c r="W51" i="46"/>
  <c r="H70" i="46"/>
  <c r="U208" i="1"/>
  <c r="S29" i="1"/>
  <c r="AX67" i="8"/>
  <c r="AX69" i="8"/>
  <c r="X217" i="43"/>
  <c r="AX107" i="8"/>
  <c r="AZ107" i="8" s="1"/>
  <c r="BA105" i="8" s="1"/>
  <c r="S195" i="1"/>
  <c r="S181" i="1" s="1"/>
  <c r="W308" i="43"/>
  <c r="X21" i="43"/>
  <c r="X307" i="43"/>
  <c r="V313" i="43"/>
  <c r="W313" i="43" s="1"/>
  <c r="X42" i="43"/>
  <c r="X41" i="43" s="1"/>
  <c r="X43" i="43" s="1"/>
  <c r="S16" i="2" s="1"/>
  <c r="S62" i="2" s="1"/>
  <c r="AX102" i="8"/>
  <c r="J11" i="46"/>
  <c r="W333" i="43"/>
  <c r="W347" i="43"/>
  <c r="AX103" i="8"/>
  <c r="AX121" i="8" s="1"/>
  <c r="AY121" i="8"/>
  <c r="S75" i="2"/>
  <c r="J9" i="46"/>
  <c r="W72" i="43"/>
  <c r="W78" i="43"/>
  <c r="W252" i="43"/>
  <c r="J16" i="46"/>
  <c r="AY115" i="8"/>
  <c r="T53" i="1"/>
  <c r="T54" i="1" s="1"/>
  <c r="S21" i="1"/>
  <c r="W34" i="43"/>
  <c r="AY75" i="8"/>
  <c r="AY185" i="8"/>
  <c r="S189" i="1"/>
  <c r="AW185" i="8"/>
  <c r="J38" i="46"/>
  <c r="S230" i="1"/>
  <c r="S72" i="2"/>
  <c r="S40" i="2"/>
  <c r="S43" i="1"/>
  <c r="X256" i="43"/>
  <c r="X32" i="43"/>
  <c r="X337" i="43"/>
  <c r="X56" i="43"/>
  <c r="V354" i="43"/>
  <c r="W354" i="43" s="1"/>
  <c r="X31" i="43"/>
  <c r="U31" i="43"/>
  <c r="U302" i="43"/>
  <c r="I15" i="46" s="1"/>
  <c r="AC9" i="46"/>
  <c r="AC10" i="46"/>
  <c r="S98" i="1"/>
  <c r="T97" i="1" s="1"/>
  <c r="S17" i="1"/>
  <c r="S249" i="1"/>
  <c r="J36" i="46"/>
  <c r="S31" i="2"/>
  <c r="S63" i="2"/>
  <c r="X412" i="43"/>
  <c r="S125" i="1" s="1"/>
  <c r="S126" i="1" s="1"/>
  <c r="Y21" i="43"/>
  <c r="Y307" i="43"/>
  <c r="Y256" i="43"/>
  <c r="Y258" i="43" s="1"/>
  <c r="Y266" i="43"/>
  <c r="Y300" i="43"/>
  <c r="Y32" i="43"/>
  <c r="Y337" i="43"/>
  <c r="Y56" i="43"/>
  <c r="T207" i="1"/>
  <c r="X216" i="43"/>
  <c r="X221" i="43"/>
  <c r="U228" i="1"/>
  <c r="T228" i="1"/>
  <c r="AY270" i="8"/>
  <c r="J52" i="46"/>
  <c r="T195" i="1"/>
  <c r="T181" i="1" s="1"/>
  <c r="BA107" i="8"/>
  <c r="BC107" i="8" s="1"/>
  <c r="BD105" i="8" s="1"/>
  <c r="U85" i="1"/>
  <c r="U86" i="1" s="1"/>
  <c r="U207" i="1"/>
  <c r="Z72" i="43"/>
  <c r="K9" i="46"/>
  <c r="BA102" i="8"/>
  <c r="K38" i="46"/>
  <c r="T230" i="1"/>
  <c r="T72" i="2"/>
  <c r="Y313" i="43"/>
  <c r="Z313" i="43" s="1"/>
  <c r="AA307" i="43"/>
  <c r="Z308" i="43"/>
  <c r="K11" i="46"/>
  <c r="Z252" i="43"/>
  <c r="BA103" i="8"/>
  <c r="BA121" i="8" s="1"/>
  <c r="BD103" i="8"/>
  <c r="BD121" i="8" s="1"/>
  <c r="BB121" i="8"/>
  <c r="T75" i="2"/>
  <c r="BB115" i="8"/>
  <c r="Z78" i="43"/>
  <c r="AA82" i="43"/>
  <c r="U53" i="1"/>
  <c r="T7" i="1"/>
  <c r="AA21" i="43"/>
  <c r="AA330" i="43"/>
  <c r="Z333" i="43"/>
  <c r="AA334" i="43"/>
  <c r="T8" i="1"/>
  <c r="T21" i="1"/>
  <c r="U67" i="1"/>
  <c r="U60" i="1"/>
  <c r="AD9" i="46"/>
  <c r="T249" i="1"/>
  <c r="AD10" i="46"/>
  <c r="BA185" i="8"/>
  <c r="BB185" i="8"/>
  <c r="T31" i="2"/>
  <c r="T63" i="2"/>
  <c r="AA412" i="43"/>
  <c r="K36" i="46"/>
  <c r="T92" i="1"/>
  <c r="T18" i="2"/>
  <c r="T101" i="1"/>
  <c r="T19" i="2"/>
  <c r="AZ67" i="8"/>
  <c r="K31" i="46"/>
  <c r="BB75" i="8"/>
  <c r="K20" i="46" s="1"/>
  <c r="BA122" i="8"/>
  <c r="AB307" i="43"/>
  <c r="AB330" i="43"/>
  <c r="AB331" i="43" s="1"/>
  <c r="BC58" i="8"/>
  <c r="L31" i="46"/>
  <c r="L18" i="46"/>
  <c r="BC75" i="8"/>
  <c r="BC185" i="8"/>
  <c r="CD253" i="43" l="1"/>
  <c r="CB253" i="43"/>
  <c r="CH253" i="43"/>
  <c r="CF253" i="43"/>
  <c r="CL253" i="43"/>
  <c r="BZ253" i="43"/>
  <c r="CJ253" i="43"/>
  <c r="AB210" i="43"/>
  <c r="AB226" i="43" s="1"/>
  <c r="W270" i="43"/>
  <c r="AB20" i="43"/>
  <c r="AB22" i="43" s="1"/>
  <c r="AA47" i="43"/>
  <c r="AX19" i="8"/>
  <c r="K51" i="46"/>
  <c r="J44" i="46"/>
  <c r="AA42" i="43"/>
  <c r="AA41" i="43" s="1"/>
  <c r="AA43" i="43" s="1"/>
  <c r="BB52" i="8" s="1"/>
  <c r="V67" i="43"/>
  <c r="W67" i="43" s="1"/>
  <c r="Y352" i="43"/>
  <c r="AA90" i="43"/>
  <c r="AA99" i="43" s="1"/>
  <c r="K10" i="46"/>
  <c r="AA5" i="43"/>
  <c r="AA7" i="43" s="1"/>
  <c r="AL168" i="1"/>
  <c r="AM168" i="1" s="1"/>
  <c r="AQ168" i="1"/>
  <c r="AZ253" i="43"/>
  <c r="AZ334" i="43"/>
  <c r="Z266" i="43"/>
  <c r="Z267" i="43" s="1"/>
  <c r="N43" i="46"/>
  <c r="N49" i="46" s="1"/>
  <c r="S10" i="1"/>
  <c r="AC8" i="46" s="1"/>
  <c r="AB84" i="43"/>
  <c r="AE87" i="43" s="1"/>
  <c r="AE335" i="43"/>
  <c r="T99" i="1"/>
  <c r="T100" i="1" s="1"/>
  <c r="U97" i="1"/>
  <c r="V285" i="43"/>
  <c r="X335" i="43"/>
  <c r="J51" i="46"/>
  <c r="Z219" i="1"/>
  <c r="AA219" i="1" s="1"/>
  <c r="AB219" i="1" s="1"/>
  <c r="AC219" i="1" s="1"/>
  <c r="AD219" i="1" s="1"/>
  <c r="AC15" i="43"/>
  <c r="AA294" i="43"/>
  <c r="Z293" i="43"/>
  <c r="Y42" i="43"/>
  <c r="J14" i="46"/>
  <c r="Z161" i="43"/>
  <c r="AX33" i="8"/>
  <c r="X271" i="43"/>
  <c r="Y22" i="43"/>
  <c r="AZ11" i="8" s="1"/>
  <c r="X285" i="43"/>
  <c r="X287" i="43" s="1"/>
  <c r="X344" i="43"/>
  <c r="AC13" i="43"/>
  <c r="X5" i="43"/>
  <c r="X297" i="43" s="1"/>
  <c r="BC186" i="8"/>
  <c r="Z347" i="43"/>
  <c r="Z42" i="43" s="1"/>
  <c r="AB148" i="43"/>
  <c r="AB196" i="43"/>
  <c r="AZ22" i="8"/>
  <c r="Y84" i="43"/>
  <c r="AA56" i="43"/>
  <c r="AB296" i="43"/>
  <c r="AB44" i="43" s="1"/>
  <c r="AB47" i="43" s="1"/>
  <c r="AB31" i="43"/>
  <c r="AB33" i="43" s="1"/>
  <c r="BC49" i="8" s="1"/>
  <c r="W278" i="43"/>
  <c r="AX185" i="8"/>
  <c r="AX186" i="8" s="1"/>
  <c r="T182" i="1"/>
  <c r="T184" i="1" s="1"/>
  <c r="AE264" i="43"/>
  <c r="AA254" i="43"/>
  <c r="AE254" i="43"/>
  <c r="AE272" i="43"/>
  <c r="J28" i="46"/>
  <c r="V3" i="43"/>
  <c r="CM3" i="43"/>
  <c r="AA281" i="43"/>
  <c r="AD282" i="43" s="1"/>
  <c r="P16" i="2"/>
  <c r="P62" i="2" s="1"/>
  <c r="P164" i="1"/>
  <c r="X303" i="43"/>
  <c r="X143" i="43"/>
  <c r="AA283" i="43"/>
  <c r="AA229" i="43"/>
  <c r="Z229" i="43" s="1"/>
  <c r="Z20" i="43" s="1"/>
  <c r="J15" i="46"/>
  <c r="X281" i="43"/>
  <c r="X85" i="43"/>
  <c r="AA85" i="43" s="1"/>
  <c r="AD86" i="43" s="1"/>
  <c r="X55" i="43"/>
  <c r="X294" i="43"/>
  <c r="X254" i="43"/>
  <c r="L28" i="8"/>
  <c r="P27" i="1"/>
  <c r="Z13" i="46" s="1"/>
  <c r="L182" i="1"/>
  <c r="L184" i="1" s="1"/>
  <c r="K130" i="43"/>
  <c r="D146" i="1"/>
  <c r="U483" i="43"/>
  <c r="N182" i="1"/>
  <c r="N184" i="1" s="1"/>
  <c r="X33" i="43"/>
  <c r="AY49" i="8" s="1"/>
  <c r="J12" i="46" s="1"/>
  <c r="BU253" i="43"/>
  <c r="BU254" i="43" s="1"/>
  <c r="AX196" i="8"/>
  <c r="AX198" i="8" s="1"/>
  <c r="AX75" i="8" s="1"/>
  <c r="O87" i="43"/>
  <c r="W280" i="43"/>
  <c r="V283" i="43"/>
  <c r="AA337" i="43"/>
  <c r="AA340" i="43" s="1"/>
  <c r="E55" i="2"/>
  <c r="E31" i="2"/>
  <c r="E42" i="2" s="1"/>
  <c r="U283" i="43"/>
  <c r="U285" i="43"/>
  <c r="AC156" i="43"/>
  <c r="AC197" i="43" s="1"/>
  <c r="AB197" i="43"/>
  <c r="AB285" i="43"/>
  <c r="AE286" i="43" s="1"/>
  <c r="AA303" i="43"/>
  <c r="Z34" i="43"/>
  <c r="Z36" i="43" s="1"/>
  <c r="S250" i="1"/>
  <c r="Y335" i="43"/>
  <c r="Y264" i="43"/>
  <c r="X87" i="43"/>
  <c r="U90" i="43"/>
  <c r="X99" i="43" s="1"/>
  <c r="U87" i="43"/>
  <c r="T87" i="43"/>
  <c r="S87" i="43"/>
  <c r="F10" i="46"/>
  <c r="R87" i="43"/>
  <c r="Q5" i="43"/>
  <c r="Q7" i="43" s="1"/>
  <c r="Q87" i="43"/>
  <c r="P5" i="43"/>
  <c r="P297" i="43" s="1"/>
  <c r="P87" i="43"/>
  <c r="N294" i="43"/>
  <c r="N87" i="43"/>
  <c r="M85" i="43"/>
  <c r="M87" i="43"/>
  <c r="L303" i="43"/>
  <c r="L87" i="43"/>
  <c r="AA143" i="43"/>
  <c r="AA87" i="43"/>
  <c r="G40" i="46"/>
  <c r="D56" i="2"/>
  <c r="BB186" i="8"/>
  <c r="AZ186" i="8"/>
  <c r="J24" i="46"/>
  <c r="AC54" i="46" s="1"/>
  <c r="AY186" i="8"/>
  <c r="BF8" i="8"/>
  <c r="BB205" i="8"/>
  <c r="AZ62" i="8"/>
  <c r="AZ192" i="8" s="1"/>
  <c r="AX114" i="8"/>
  <c r="AX205" i="8" s="1"/>
  <c r="K42" i="2"/>
  <c r="K73" i="1"/>
  <c r="K20" i="2" s="1"/>
  <c r="K64" i="2" s="1"/>
  <c r="H42" i="2"/>
  <c r="D40" i="46"/>
  <c r="E56" i="2"/>
  <c r="CM22" i="43"/>
  <c r="CM25" i="43" s="1"/>
  <c r="CM26" i="43" s="1"/>
  <c r="V96" i="43"/>
  <c r="V22" i="43"/>
  <c r="V25" i="43" s="1"/>
  <c r="AZ18" i="8"/>
  <c r="X32" i="1"/>
  <c r="X9" i="1"/>
  <c r="X31" i="1"/>
  <c r="X30" i="1"/>
  <c r="X23" i="1"/>
  <c r="X15" i="1"/>
  <c r="X24" i="1"/>
  <c r="X26" i="1"/>
  <c r="X25" i="1"/>
  <c r="C56" i="2"/>
  <c r="F56" i="2"/>
  <c r="P42" i="2"/>
  <c r="M42" i="2"/>
  <c r="H27" i="1"/>
  <c r="H36" i="1" s="1"/>
  <c r="L164" i="1"/>
  <c r="D17" i="1"/>
  <c r="N10" i="1"/>
  <c r="N19" i="1" s="1"/>
  <c r="X12" i="46" s="1"/>
  <c r="C10" i="1"/>
  <c r="C19" i="1" s="1"/>
  <c r="I107" i="1"/>
  <c r="I109" i="1" s="1"/>
  <c r="I113" i="1" s="1"/>
  <c r="I240" i="1" s="1"/>
  <c r="Q89" i="1"/>
  <c r="O108" i="1"/>
  <c r="O109" i="1" s="1"/>
  <c r="K164" i="1"/>
  <c r="G164" i="1"/>
  <c r="N109" i="1"/>
  <c r="N113" i="1" s="1"/>
  <c r="N240" i="1" s="1"/>
  <c r="P73" i="1"/>
  <c r="L73" i="1"/>
  <c r="L20" i="2" s="1"/>
  <c r="L64" i="2" s="1"/>
  <c r="D10" i="1"/>
  <c r="K97" i="1"/>
  <c r="K99" i="1" s="1"/>
  <c r="K100" i="1" s="1"/>
  <c r="I201" i="1"/>
  <c r="Q73" i="1"/>
  <c r="N27" i="1"/>
  <c r="N36" i="1" s="1"/>
  <c r="X16" i="46" s="1"/>
  <c r="O27" i="1"/>
  <c r="O36" i="1" s="1"/>
  <c r="Y16" i="46" s="1"/>
  <c r="E146" i="1"/>
  <c r="I10" i="1"/>
  <c r="I19" i="1" s="1"/>
  <c r="C146" i="1"/>
  <c r="AP160" i="8"/>
  <c r="R107" i="1"/>
  <c r="H249" i="1"/>
  <c r="H250" i="1" s="1"/>
  <c r="M108" i="1"/>
  <c r="J164" i="1"/>
  <c r="F164" i="1"/>
  <c r="L27" i="1"/>
  <c r="I27" i="1"/>
  <c r="I36" i="1" s="1"/>
  <c r="O10" i="1"/>
  <c r="Y8" i="46" s="1"/>
  <c r="N131" i="1"/>
  <c r="H97" i="1"/>
  <c r="H99" i="1" s="1"/>
  <c r="H100" i="1" s="1"/>
  <c r="P108" i="1"/>
  <c r="C232" i="1"/>
  <c r="C233" i="1" s="1"/>
  <c r="R97" i="1"/>
  <c r="R99" i="1" s="1"/>
  <c r="R100" i="1" s="1"/>
  <c r="Y14" i="46"/>
  <c r="S34" i="1"/>
  <c r="L201" i="1"/>
  <c r="C164" i="1"/>
  <c r="I131" i="1"/>
  <c r="D131" i="1"/>
  <c r="N250" i="1"/>
  <c r="J250" i="1"/>
  <c r="H73" i="1"/>
  <c r="H20" i="2" s="1"/>
  <c r="H64" i="2" s="1"/>
  <c r="D73" i="1"/>
  <c r="D20" i="2" s="1"/>
  <c r="D64" i="2" s="1"/>
  <c r="L34" i="1"/>
  <c r="M27" i="1"/>
  <c r="M36" i="1" s="1"/>
  <c r="W16" i="46" s="1"/>
  <c r="P10" i="1"/>
  <c r="P19" i="1" s="1"/>
  <c r="Z12" i="46" s="1"/>
  <c r="L10" i="1"/>
  <c r="L19" i="1" s="1"/>
  <c r="H10" i="1"/>
  <c r="H19" i="1" s="1"/>
  <c r="G109" i="1"/>
  <c r="G113" i="1" s="1"/>
  <c r="G240" i="1" s="1"/>
  <c r="L131" i="1"/>
  <c r="M107" i="1"/>
  <c r="F201" i="1"/>
  <c r="R34" i="1"/>
  <c r="F17" i="1"/>
  <c r="K131" i="1"/>
  <c r="C109" i="1"/>
  <c r="C113" i="1" s="1"/>
  <c r="C240" i="1" s="1"/>
  <c r="H131" i="1"/>
  <c r="O97" i="1"/>
  <c r="O99" i="1" s="1"/>
  <c r="O100" i="1" s="1"/>
  <c r="I164" i="1"/>
  <c r="F107" i="1"/>
  <c r="F109" i="1" s="1"/>
  <c r="F113" i="1" s="1"/>
  <c r="F240" i="1" s="1"/>
  <c r="E17" i="1"/>
  <c r="G17" i="1"/>
  <c r="D164" i="1"/>
  <c r="I73" i="1"/>
  <c r="I20" i="2" s="1"/>
  <c r="I64" i="2" s="1"/>
  <c r="M201" i="1"/>
  <c r="AB344" i="43"/>
  <c r="K201" i="1"/>
  <c r="L42" i="2"/>
  <c r="E131" i="1"/>
  <c r="Q34" i="1"/>
  <c r="L97" i="1"/>
  <c r="L99" i="1" s="1"/>
  <c r="L100" i="1" s="1"/>
  <c r="N201" i="1"/>
  <c r="E164" i="1"/>
  <c r="M99" i="1"/>
  <c r="M100" i="1" s="1"/>
  <c r="P250" i="1"/>
  <c r="R73" i="1"/>
  <c r="F34" i="1"/>
  <c r="R10" i="1"/>
  <c r="AB8" i="46" s="1"/>
  <c r="F10" i="1"/>
  <c r="N42" i="2"/>
  <c r="H164" i="1"/>
  <c r="O250" i="1"/>
  <c r="M73" i="1"/>
  <c r="M20" i="2" s="1"/>
  <c r="D33" i="46" s="1"/>
  <c r="E73" i="1"/>
  <c r="E20" i="2" s="1"/>
  <c r="E64" i="2" s="1"/>
  <c r="E34" i="1"/>
  <c r="J27" i="1"/>
  <c r="J36" i="1" s="1"/>
  <c r="I42" i="2"/>
  <c r="L146" i="1"/>
  <c r="D201" i="1"/>
  <c r="F40" i="46"/>
  <c r="R17" i="1"/>
  <c r="H107" i="1"/>
  <c r="H109" i="1" s="1"/>
  <c r="W14" i="46"/>
  <c r="F116" i="1"/>
  <c r="F131" i="1" s="1"/>
  <c r="H201" i="1"/>
  <c r="Q22" i="1"/>
  <c r="Q27" i="1" s="1"/>
  <c r="AA13" i="46" s="1"/>
  <c r="H147" i="1"/>
  <c r="I139" i="1" s="1"/>
  <c r="I146" i="1" s="1"/>
  <c r="J42" i="2"/>
  <c r="P107" i="1"/>
  <c r="AX71" i="8"/>
  <c r="AX68" i="8"/>
  <c r="X14" i="46"/>
  <c r="CN280" i="43"/>
  <c r="AC266" i="43"/>
  <c r="AB99" i="43"/>
  <c r="Y285" i="43"/>
  <c r="AA31" i="43"/>
  <c r="K16" i="46"/>
  <c r="Z302" i="43"/>
  <c r="Z262" i="43"/>
  <c r="Z280" i="43"/>
  <c r="AY35" i="8"/>
  <c r="X215" i="43"/>
  <c r="X226" i="43"/>
  <c r="W59" i="43"/>
  <c r="AX58" i="8" s="1"/>
  <c r="AX64" i="8" s="1"/>
  <c r="AX136" i="8" s="1"/>
  <c r="CM283" i="43"/>
  <c r="Y296" i="43"/>
  <c r="Y41" i="43" s="1"/>
  <c r="X219" i="43"/>
  <c r="X62" i="43"/>
  <c r="AB96" i="43"/>
  <c r="X223" i="43"/>
  <c r="X220" i="43"/>
  <c r="X218" i="43"/>
  <c r="S222" i="1"/>
  <c r="AZ28" i="8"/>
  <c r="X224" i="43"/>
  <c r="Y272" i="43"/>
  <c r="AA264" i="43"/>
  <c r="AA270" i="43"/>
  <c r="K14" i="46" s="1"/>
  <c r="Y354" i="43"/>
  <c r="Z354" i="43" s="1"/>
  <c r="X229" i="43"/>
  <c r="X20" i="43" s="1"/>
  <c r="X22" i="43" s="1"/>
  <c r="Y210" i="43"/>
  <c r="Y226" i="43" s="1"/>
  <c r="Y230" i="43"/>
  <c r="X214" i="43"/>
  <c r="X222" i="43"/>
  <c r="AY58" i="8"/>
  <c r="S221" i="1"/>
  <c r="S251" i="1" s="1"/>
  <c r="Y96" i="43"/>
  <c r="D107" i="1"/>
  <c r="D109" i="1" s="1"/>
  <c r="D113" i="1" s="1"/>
  <c r="D240" i="1" s="1"/>
  <c r="K146" i="1"/>
  <c r="F146" i="1"/>
  <c r="D42" i="2"/>
  <c r="P97" i="1"/>
  <c r="P99" i="1" s="1"/>
  <c r="E40" i="46"/>
  <c r="E201" i="1"/>
  <c r="P91" i="1"/>
  <c r="L91" i="1"/>
  <c r="H91" i="1"/>
  <c r="D91" i="1"/>
  <c r="K27" i="1"/>
  <c r="K36" i="1" s="1"/>
  <c r="R250" i="1"/>
  <c r="G42" i="2"/>
  <c r="F42" i="2"/>
  <c r="D97" i="1"/>
  <c r="D99" i="1" s="1"/>
  <c r="D100" i="1" s="1"/>
  <c r="M55" i="8"/>
  <c r="M56" i="8" s="1"/>
  <c r="M10" i="8"/>
  <c r="M12" i="8"/>
  <c r="AC28" i="8"/>
  <c r="AC18" i="8"/>
  <c r="AC22" i="8"/>
  <c r="BT7" i="43"/>
  <c r="Q6" i="8" s="1"/>
  <c r="Q59" i="8" s="1"/>
  <c r="Q22" i="8"/>
  <c r="Q28" i="8"/>
  <c r="Q18" i="8"/>
  <c r="CA41" i="43"/>
  <c r="CA43" i="43" s="1"/>
  <c r="AB52" i="8" s="1"/>
  <c r="AB53" i="8" s="1"/>
  <c r="AB23" i="8"/>
  <c r="AB24" i="8" s="1"/>
  <c r="P53" i="8"/>
  <c r="D53" i="8"/>
  <c r="V46" i="8"/>
  <c r="J46" i="8"/>
  <c r="AB12" i="8"/>
  <c r="AB10" i="8"/>
  <c r="AB55" i="8"/>
  <c r="AB56" i="8" s="1"/>
  <c r="BW60" i="43"/>
  <c r="V6" i="8"/>
  <c r="V50" i="8" s="1"/>
  <c r="BO60" i="43"/>
  <c r="J6" i="8"/>
  <c r="J10" i="8" s="1"/>
  <c r="Q37" i="8"/>
  <c r="N91" i="1"/>
  <c r="J91" i="1"/>
  <c r="F91" i="1"/>
  <c r="J55" i="8"/>
  <c r="Z37" i="8"/>
  <c r="Z22" i="8"/>
  <c r="Z18" i="8"/>
  <c r="Z28" i="8"/>
  <c r="N28" i="8"/>
  <c r="N18" i="8"/>
  <c r="N22" i="8"/>
  <c r="BZ44" i="43"/>
  <c r="Y23" i="8"/>
  <c r="Y24" i="8" s="1"/>
  <c r="S46" i="8"/>
  <c r="G50" i="8"/>
  <c r="Y55" i="8"/>
  <c r="Y56" i="8" s="1"/>
  <c r="Y10" i="8"/>
  <c r="Y12" i="8"/>
  <c r="CC60" i="43"/>
  <c r="AE6" i="8"/>
  <c r="BU60" i="43"/>
  <c r="S6" i="8"/>
  <c r="S50" i="8" s="1"/>
  <c r="G7" i="8"/>
  <c r="G59" i="8"/>
  <c r="G65" i="8"/>
  <c r="I91" i="1"/>
  <c r="E91" i="1"/>
  <c r="S55" i="8"/>
  <c r="W28" i="8"/>
  <c r="W37" i="8"/>
  <c r="W22" i="8"/>
  <c r="W18" i="8"/>
  <c r="BP7" i="43"/>
  <c r="K6" i="8" s="1"/>
  <c r="K28" i="8"/>
  <c r="K22" i="8"/>
  <c r="K18" i="8"/>
  <c r="BX44" i="43"/>
  <c r="BX41" i="43" s="1"/>
  <c r="BX43" i="43" s="1"/>
  <c r="W52" i="8" s="1"/>
  <c r="V23" i="8"/>
  <c r="V24" i="8" s="1"/>
  <c r="Q64" i="8"/>
  <c r="AB46" i="8"/>
  <c r="AB47" i="8" s="1"/>
  <c r="AB50" i="8"/>
  <c r="V55" i="8"/>
  <c r="AB59" i="8"/>
  <c r="AB7" i="8"/>
  <c r="AB65" i="8"/>
  <c r="P7" i="8"/>
  <c r="P59" i="8"/>
  <c r="P65" i="8"/>
  <c r="D59" i="8"/>
  <c r="D65" i="8"/>
  <c r="D12" i="8"/>
  <c r="D10" i="8"/>
  <c r="D55" i="8"/>
  <c r="D56" i="8" s="1"/>
  <c r="AF37" i="8"/>
  <c r="AF18" i="8"/>
  <c r="AF22" i="8"/>
  <c r="T18" i="8"/>
  <c r="T22" i="8"/>
  <c r="T28" i="8"/>
  <c r="T37" i="8"/>
  <c r="H22" i="8"/>
  <c r="H28" i="8"/>
  <c r="H18" i="8"/>
  <c r="CC41" i="43"/>
  <c r="CC43" i="43" s="1"/>
  <c r="AE52" i="8" s="1"/>
  <c r="AE23" i="8"/>
  <c r="AE24" i="8" s="1"/>
  <c r="AE55" i="8"/>
  <c r="Y65" i="8"/>
  <c r="Y59" i="8"/>
  <c r="M59" i="8"/>
  <c r="M65" i="8"/>
  <c r="K91" i="1"/>
  <c r="AV205" i="8"/>
  <c r="AI35" i="8"/>
  <c r="AI42" i="8"/>
  <c r="CF249" i="43"/>
  <c r="AI19" i="8"/>
  <c r="AA202" i="8"/>
  <c r="D24" i="46"/>
  <c r="W54" i="46" s="1"/>
  <c r="AF185" i="8"/>
  <c r="L35" i="8"/>
  <c r="Z185" i="8"/>
  <c r="K182" i="1"/>
  <c r="AK115" i="8"/>
  <c r="X30" i="8"/>
  <c r="X33" i="8" s="1"/>
  <c r="AA34" i="8" s="1"/>
  <c r="W29" i="8"/>
  <c r="U23" i="8"/>
  <c r="U24" i="8" s="1"/>
  <c r="L25" i="43" s="1"/>
  <c r="S29" i="8"/>
  <c r="O182" i="1"/>
  <c r="O184" i="1" s="1"/>
  <c r="X39" i="8"/>
  <c r="AP38" i="8"/>
  <c r="AP40" i="8" s="1"/>
  <c r="G182" i="1"/>
  <c r="G184" i="1" s="1"/>
  <c r="BN27" i="43"/>
  <c r="I23" i="8"/>
  <c r="I24" i="8" s="1"/>
  <c r="H25" i="43" s="1"/>
  <c r="H420" i="43" s="1"/>
  <c r="BA30" i="8"/>
  <c r="AX192" i="8"/>
  <c r="X23" i="8"/>
  <c r="X24" i="8" s="1"/>
  <c r="P182" i="1"/>
  <c r="P184" i="1" s="1"/>
  <c r="H182" i="1"/>
  <c r="H184" i="1" s="1"/>
  <c r="CG249" i="43"/>
  <c r="R17" i="2"/>
  <c r="D17" i="2"/>
  <c r="R67" i="2"/>
  <c r="K181" i="1"/>
  <c r="AH16" i="8"/>
  <c r="AI16" i="8" s="1"/>
  <c r="D182" i="1"/>
  <c r="D184" i="1" s="1"/>
  <c r="CE249" i="43"/>
  <c r="BA19" i="8"/>
  <c r="R38" i="8"/>
  <c r="R39" i="8" s="1"/>
  <c r="O39" i="8" s="1"/>
  <c r="O38" i="8" s="1"/>
  <c r="O40" i="8" s="1"/>
  <c r="O41" i="8" s="1"/>
  <c r="C205" i="8"/>
  <c r="C30" i="8"/>
  <c r="F25" i="43" s="1"/>
  <c r="F27" i="43" s="1"/>
  <c r="S182" i="1"/>
  <c r="S184" i="1" s="1"/>
  <c r="AG40" i="8"/>
  <c r="AO19" i="8"/>
  <c r="U39" i="8"/>
  <c r="O30" i="8"/>
  <c r="O33" i="8" s="1"/>
  <c r="I20" i="46"/>
  <c r="F30" i="8"/>
  <c r="F23" i="8"/>
  <c r="F24" i="8" s="1"/>
  <c r="L32" i="8"/>
  <c r="I32" i="8"/>
  <c r="AJ39" i="8"/>
  <c r="AO37" i="8"/>
  <c r="AK16" i="8"/>
  <c r="AL16" i="8" s="1"/>
  <c r="M181" i="1"/>
  <c r="L30" i="8"/>
  <c r="L33" i="8" s="1"/>
  <c r="F182" i="1"/>
  <c r="F184" i="1" s="1"/>
  <c r="N146" i="1"/>
  <c r="J146" i="1"/>
  <c r="G131" i="1"/>
  <c r="K116" i="43"/>
  <c r="M164" i="1"/>
  <c r="J10" i="1"/>
  <c r="J19" i="1" s="1"/>
  <c r="T267" i="43"/>
  <c r="CI7" i="43"/>
  <c r="CI60" i="43" s="1"/>
  <c r="S476" i="43"/>
  <c r="U478" i="43" s="1"/>
  <c r="U484" i="43" s="1"/>
  <c r="J201" i="1"/>
  <c r="J109" i="1"/>
  <c r="J113" i="1" s="1"/>
  <c r="J240" i="1" s="1"/>
  <c r="O91" i="1"/>
  <c r="AL19" i="8"/>
  <c r="Q294" i="43"/>
  <c r="G91" i="1"/>
  <c r="CE475" i="43"/>
  <c r="Q19" i="2"/>
  <c r="O205" i="8"/>
  <c r="M294" i="43"/>
  <c r="R409" i="43"/>
  <c r="R411" i="43" s="1"/>
  <c r="CB434" i="43"/>
  <c r="CB449" i="43" s="1"/>
  <c r="Q303" i="43"/>
  <c r="O449" i="43"/>
  <c r="O450" i="43" s="1"/>
  <c r="BN7" i="43"/>
  <c r="H6" i="8" s="1"/>
  <c r="H7" i="8" s="1"/>
  <c r="U5" i="43"/>
  <c r="U297" i="43" s="1"/>
  <c r="D221" i="1"/>
  <c r="D30" i="46"/>
  <c r="AO28" i="8"/>
  <c r="F6" i="8"/>
  <c r="F12" i="8" s="1"/>
  <c r="O66" i="2"/>
  <c r="N303" i="43"/>
  <c r="K270" i="43"/>
  <c r="AA49" i="46"/>
  <c r="BU4" i="43"/>
  <c r="R141" i="43"/>
  <c r="AL185" i="8"/>
  <c r="BS45" i="43"/>
  <c r="N31" i="43"/>
  <c r="N33" i="43" s="1"/>
  <c r="AA49" i="8" s="1"/>
  <c r="H8" i="43"/>
  <c r="H13" i="43" s="1"/>
  <c r="M17" i="2"/>
  <c r="F31" i="46"/>
  <c r="X205" i="8"/>
  <c r="CK123" i="43"/>
  <c r="CK137" i="43" s="1"/>
  <c r="AS71" i="8"/>
  <c r="H31" i="46" s="1"/>
  <c r="T483" i="43"/>
  <c r="G10" i="43"/>
  <c r="G216" i="43"/>
  <c r="BX84" i="43"/>
  <c r="BX294" i="43" s="1"/>
  <c r="CF262" i="43"/>
  <c r="BS185" i="43"/>
  <c r="BU187" i="43" s="1"/>
  <c r="AQ18" i="8"/>
  <c r="BL44" i="43"/>
  <c r="BL41" i="43" s="1"/>
  <c r="BL43" i="43" s="1"/>
  <c r="E52" i="8" s="1"/>
  <c r="E53" i="8" s="1"/>
  <c r="F58" i="8"/>
  <c r="G17" i="43"/>
  <c r="G18" i="43" s="1"/>
  <c r="AO18" i="8"/>
  <c r="K280" i="43"/>
  <c r="BT280" i="43" s="1"/>
  <c r="BT285" i="43" s="1"/>
  <c r="G29" i="46"/>
  <c r="N263" i="43"/>
  <c r="CK280" i="43"/>
  <c r="CK285" i="43" s="1"/>
  <c r="R263" i="43"/>
  <c r="J18" i="46"/>
  <c r="E17" i="2"/>
  <c r="I67" i="2"/>
  <c r="CM232" i="43"/>
  <c r="CJ229" i="43"/>
  <c r="CJ230" i="43" s="1"/>
  <c r="P434" i="43"/>
  <c r="P449" i="43" s="1"/>
  <c r="Q449" i="43" s="1"/>
  <c r="R449" i="43" s="1"/>
  <c r="S449" i="43" s="1"/>
  <c r="CF302" i="43"/>
  <c r="G16" i="2"/>
  <c r="G62" i="2" s="1"/>
  <c r="AQ58" i="8"/>
  <c r="AQ64" i="8" s="1"/>
  <c r="AQ73" i="8" s="1"/>
  <c r="AQ79" i="8" s="1"/>
  <c r="AS216" i="8"/>
  <c r="CD192" i="43"/>
  <c r="L37" i="8"/>
  <c r="K135" i="43"/>
  <c r="CM344" i="43"/>
  <c r="CG264" i="43"/>
  <c r="BW95" i="43"/>
  <c r="N62" i="43"/>
  <c r="N66" i="43" s="1"/>
  <c r="I37" i="43"/>
  <c r="K230" i="43"/>
  <c r="L270" i="43"/>
  <c r="L271" i="43" s="1"/>
  <c r="AP52" i="8"/>
  <c r="AP134" i="8" s="1"/>
  <c r="S280" i="43"/>
  <c r="CJ280" i="43" s="1"/>
  <c r="P128" i="43"/>
  <c r="Q67" i="2"/>
  <c r="U271" i="43"/>
  <c r="BZ256" i="43"/>
  <c r="BZ258" i="43" s="1"/>
  <c r="S409" i="43"/>
  <c r="S411" i="43" s="1"/>
  <c r="W79" i="43"/>
  <c r="W14" i="43" s="1"/>
  <c r="O283" i="43"/>
  <c r="AD52" i="8"/>
  <c r="AD134" i="8" s="1"/>
  <c r="CH73" i="43"/>
  <c r="G67" i="2"/>
  <c r="CG285" i="43"/>
  <c r="CG287" i="43" s="1"/>
  <c r="X258" i="43"/>
  <c r="CJ76" i="43"/>
  <c r="T10" i="1"/>
  <c r="T19" i="1" s="1"/>
  <c r="CA36" i="43"/>
  <c r="D20" i="46"/>
  <c r="CF44" i="43"/>
  <c r="CF41" i="43" s="1"/>
  <c r="CF43" i="43" s="1"/>
  <c r="AI52" i="8" s="1"/>
  <c r="I14" i="46"/>
  <c r="H239" i="43"/>
  <c r="H217" i="43" s="1"/>
  <c r="CN59" i="43"/>
  <c r="AU58" i="8" s="1"/>
  <c r="H30" i="46"/>
  <c r="H20" i="46"/>
  <c r="M264" i="43"/>
  <c r="P232" i="43"/>
  <c r="CF123" i="43"/>
  <c r="CF109" i="43" s="1"/>
  <c r="N256" i="43"/>
  <c r="N509" i="43" s="1"/>
  <c r="CI272" i="43"/>
  <c r="CG257" i="43"/>
  <c r="H221" i="1"/>
  <c r="H251" i="1" s="1"/>
  <c r="R85" i="43"/>
  <c r="CM352" i="43"/>
  <c r="V335" i="43"/>
  <c r="CA272" i="43"/>
  <c r="G43" i="46"/>
  <c r="G49" i="46" s="1"/>
  <c r="BP96" i="43"/>
  <c r="CL302" i="43"/>
  <c r="U323" i="43"/>
  <c r="CL323" i="43" s="1"/>
  <c r="N270" i="43"/>
  <c r="BZ270" i="43" s="1"/>
  <c r="BZ271" i="43" s="1"/>
  <c r="CL343" i="43"/>
  <c r="K55" i="43"/>
  <c r="AI185" i="8"/>
  <c r="K43" i="46"/>
  <c r="K49" i="46" s="1"/>
  <c r="G137" i="43"/>
  <c r="CH262" i="43"/>
  <c r="CH263" i="43" s="1"/>
  <c r="M143" i="43"/>
  <c r="M145" i="43" s="1"/>
  <c r="K41" i="43"/>
  <c r="K43" i="43" s="1"/>
  <c r="R52" i="8" s="1"/>
  <c r="X273" i="43"/>
  <c r="E221" i="1"/>
  <c r="P470" i="43"/>
  <c r="CE254" i="43"/>
  <c r="X409" i="43"/>
  <c r="X411" i="43" s="1"/>
  <c r="Q137" i="43"/>
  <c r="P46" i="43"/>
  <c r="BN37" i="43"/>
  <c r="Q484" i="43"/>
  <c r="S223" i="43"/>
  <c r="T303" i="43"/>
  <c r="S140" i="43"/>
  <c r="R303" i="43"/>
  <c r="BU256" i="43"/>
  <c r="BU257" i="43" s="1"/>
  <c r="R29" i="8"/>
  <c r="R30" i="8" s="1"/>
  <c r="R33" i="8" s="1"/>
  <c r="K266" i="43"/>
  <c r="K267" i="43" s="1"/>
  <c r="J47" i="43"/>
  <c r="D145" i="1"/>
  <c r="G222" i="43"/>
  <c r="V296" i="43"/>
  <c r="V44" i="43" s="1"/>
  <c r="AW23" i="8" s="1"/>
  <c r="AW24" i="8" s="1"/>
  <c r="BL31" i="43"/>
  <c r="BL33" i="43" s="1"/>
  <c r="E49" i="8" s="1"/>
  <c r="CJ278" i="43"/>
  <c r="U85" i="43"/>
  <c r="U86" i="43" s="1"/>
  <c r="P294" i="43"/>
  <c r="M221" i="1"/>
  <c r="M251" i="1" s="1"/>
  <c r="K121" i="43"/>
  <c r="L6" i="8"/>
  <c r="Q195" i="1"/>
  <c r="Q181" i="1" s="1"/>
  <c r="BV59" i="43"/>
  <c r="BV62" i="43" s="1"/>
  <c r="R222" i="1"/>
  <c r="O505" i="43"/>
  <c r="CN312" i="43"/>
  <c r="CI296" i="43"/>
  <c r="CI41" i="43" s="1"/>
  <c r="CI43" i="43" s="1"/>
  <c r="AN52" i="8" s="1"/>
  <c r="CE264" i="43"/>
  <c r="CF31" i="43"/>
  <c r="CF33" i="43" s="1"/>
  <c r="AI49" i="8" s="1"/>
  <c r="S254" i="43"/>
  <c r="O254" i="43"/>
  <c r="BS232" i="43"/>
  <c r="BT229" i="43"/>
  <c r="BT230" i="43" s="1"/>
  <c r="BL226" i="43"/>
  <c r="H169" i="43"/>
  <c r="CF144" i="43"/>
  <c r="CC137" i="43"/>
  <c r="J137" i="43"/>
  <c r="CG86" i="43"/>
  <c r="CG92" i="43" s="1"/>
  <c r="BY86" i="43"/>
  <c r="BY92" i="43" s="1"/>
  <c r="BY93" i="43" s="1"/>
  <c r="CD82" i="43"/>
  <c r="BV82" i="43"/>
  <c r="CB76" i="43"/>
  <c r="CL37" i="43"/>
  <c r="H37" i="43"/>
  <c r="BQ8" i="43"/>
  <c r="CE7" i="43"/>
  <c r="AH6" i="8" s="1"/>
  <c r="AD159" i="8"/>
  <c r="U58" i="8"/>
  <c r="G55" i="43"/>
  <c r="R441" i="43"/>
  <c r="U344" i="43"/>
  <c r="CM339" i="43"/>
  <c r="CK264" i="43"/>
  <c r="X257" i="43"/>
  <c r="CK254" i="43"/>
  <c r="CC254" i="43"/>
  <c r="N254" i="43"/>
  <c r="CJ123" i="43"/>
  <c r="CJ109" i="43" s="1"/>
  <c r="CJ102" i="43" s="1"/>
  <c r="CB123" i="43"/>
  <c r="CB109" i="43" s="1"/>
  <c r="CE130" i="43"/>
  <c r="CJ96" i="43"/>
  <c r="BR229" i="43"/>
  <c r="BR230" i="43" s="1"/>
  <c r="T229" i="43"/>
  <c r="T280" i="43" s="1"/>
  <c r="T281" i="43" s="1"/>
  <c r="BW86" i="43"/>
  <c r="BW92" i="43" s="1"/>
  <c r="BW93" i="43" s="1"/>
  <c r="S62" i="43"/>
  <c r="S66" i="43" s="1"/>
  <c r="CJ37" i="43"/>
  <c r="CK36" i="43"/>
  <c r="BL27" i="43"/>
  <c r="BW8" i="43"/>
  <c r="I10" i="46"/>
  <c r="Q242" i="43"/>
  <c r="Q220" i="43" s="1"/>
  <c r="F235" i="43"/>
  <c r="F213" i="43" s="1"/>
  <c r="M222" i="1"/>
  <c r="S230" i="43"/>
  <c r="CB280" i="43"/>
  <c r="CB285" i="43" s="1"/>
  <c r="R22" i="1"/>
  <c r="R27" i="1" s="1"/>
  <c r="AB13" i="46" s="1"/>
  <c r="BT96" i="43"/>
  <c r="AV105" i="8"/>
  <c r="CB226" i="43"/>
  <c r="U281" i="43"/>
  <c r="F45" i="46"/>
  <c r="L85" i="43"/>
  <c r="U143" i="43"/>
  <c r="P101" i="1"/>
  <c r="D10" i="46"/>
  <c r="M520" i="43"/>
  <c r="M519" i="43" s="1"/>
  <c r="L107" i="43"/>
  <c r="L135" i="43" s="1"/>
  <c r="L5" i="43"/>
  <c r="L7" i="43" s="1"/>
  <c r="W271" i="43"/>
  <c r="CD84" i="43"/>
  <c r="CD85" i="43" s="1"/>
  <c r="CN161" i="43"/>
  <c r="CH278" i="43"/>
  <c r="G246" i="43"/>
  <c r="G226" i="43" s="1"/>
  <c r="K294" i="43"/>
  <c r="I10" i="43"/>
  <c r="AR114" i="8"/>
  <c r="AU19" i="8"/>
  <c r="BM60" i="43"/>
  <c r="Q476" i="43"/>
  <c r="S478" i="43" s="1"/>
  <c r="S484" i="43" s="1"/>
  <c r="CC127" i="43"/>
  <c r="CD127" i="43" s="1"/>
  <c r="I8" i="43"/>
  <c r="I13" i="43" s="1"/>
  <c r="I37" i="8"/>
  <c r="W90" i="43"/>
  <c r="AX22" i="8" s="1"/>
  <c r="BU23" i="43"/>
  <c r="W161" i="43"/>
  <c r="BM9" i="43"/>
  <c r="BN9" i="43" s="1"/>
  <c r="I6" i="8"/>
  <c r="BO36" i="43"/>
  <c r="CM296" i="43"/>
  <c r="CN296" i="43" s="1"/>
  <c r="CN44" i="43" s="1"/>
  <c r="T116" i="43"/>
  <c r="CC23" i="43"/>
  <c r="T7" i="43"/>
  <c r="Y232" i="43"/>
  <c r="BU232" i="43"/>
  <c r="H222" i="1"/>
  <c r="R58" i="8"/>
  <c r="M46" i="43"/>
  <c r="CA267" i="43"/>
  <c r="CA296" i="43"/>
  <c r="CA297" i="43" s="1"/>
  <c r="Q141" i="43"/>
  <c r="Q128" i="43"/>
  <c r="AQ22" i="8"/>
  <c r="CK84" i="43"/>
  <c r="CK85" i="43" s="1"/>
  <c r="CK86" i="43" s="1"/>
  <c r="CK92" i="43" s="1"/>
  <c r="CA23" i="43"/>
  <c r="CK232" i="43"/>
  <c r="V352" i="43"/>
  <c r="CE296" i="43"/>
  <c r="CE297" i="43" s="1"/>
  <c r="CL73" i="43"/>
  <c r="CL13" i="43" s="1"/>
  <c r="BT44" i="43"/>
  <c r="BT41" i="43" s="1"/>
  <c r="BT43" i="43" s="1"/>
  <c r="Q52" i="8" s="1"/>
  <c r="AS23" i="8"/>
  <c r="AS24" i="8" s="1"/>
  <c r="BW36" i="43"/>
  <c r="AW28" i="8"/>
  <c r="BP44" i="43"/>
  <c r="BP41" i="43" s="1"/>
  <c r="BP43" i="43" s="1"/>
  <c r="K52" i="8" s="1"/>
  <c r="R270" i="43"/>
  <c r="CH270" i="43" s="1"/>
  <c r="CG269" i="43" s="1"/>
  <c r="CH269" i="43" s="1"/>
  <c r="K67" i="2"/>
  <c r="P19" i="2"/>
  <c r="E107" i="1"/>
  <c r="E109" i="1" s="1"/>
  <c r="E113" i="1" s="1"/>
  <c r="E240" i="1" s="1"/>
  <c r="J131" i="1"/>
  <c r="AA40" i="8"/>
  <c r="AM40" i="8"/>
  <c r="Q131" i="1"/>
  <c r="AN186" i="8"/>
  <c r="L205" i="8"/>
  <c r="Q250" i="1"/>
  <c r="I250" i="1"/>
  <c r="T352" i="43"/>
  <c r="V344" i="43"/>
  <c r="CE282" i="43"/>
  <c r="CC272" i="43"/>
  <c r="S264" i="43"/>
  <c r="J170" i="43"/>
  <c r="J171" i="43" s="1"/>
  <c r="CJ145" i="43"/>
  <c r="CK116" i="43"/>
  <c r="CK130" i="43" s="1"/>
  <c r="W76" i="43"/>
  <c r="CI130" i="43"/>
  <c r="CD76" i="43"/>
  <c r="AA353" i="43"/>
  <c r="AA291" i="43"/>
  <c r="CA264" i="43"/>
  <c r="CC264" i="43"/>
  <c r="O31" i="43"/>
  <c r="O33" i="43" s="1"/>
  <c r="AD49" i="8" s="1"/>
  <c r="P264" i="43"/>
  <c r="O263" i="43"/>
  <c r="CA258" i="43"/>
  <c r="CC259" i="43" s="1"/>
  <c r="CA257" i="43"/>
  <c r="J280" i="43"/>
  <c r="J230" i="43"/>
  <c r="J231" i="43" s="1"/>
  <c r="CL181" i="43"/>
  <c r="T409" i="43"/>
  <c r="T411" i="43" s="1"/>
  <c r="O5" i="43"/>
  <c r="CB84" i="43"/>
  <c r="CB85" i="43" s="1"/>
  <c r="O294" i="43"/>
  <c r="O303" i="43"/>
  <c r="O281" i="43"/>
  <c r="Z14" i="43"/>
  <c r="L221" i="1"/>
  <c r="L251" i="1" s="1"/>
  <c r="L222" i="1"/>
  <c r="AD58" i="8"/>
  <c r="BR44" i="43"/>
  <c r="BR41" i="43" s="1"/>
  <c r="BR43" i="43" s="1"/>
  <c r="N52" i="8" s="1"/>
  <c r="BQ41" i="43"/>
  <c r="BQ43" i="43" s="1"/>
  <c r="M52" i="8" s="1"/>
  <c r="M53" i="8" s="1"/>
  <c r="AM52" i="8"/>
  <c r="AM134" i="8" s="1"/>
  <c r="R46" i="43"/>
  <c r="F29" i="46"/>
  <c r="AA52" i="8"/>
  <c r="AA134" i="8" s="1"/>
  <c r="K16" i="2"/>
  <c r="K62" i="2" s="1"/>
  <c r="BZ31" i="43"/>
  <c r="BZ33" i="43" s="1"/>
  <c r="Z49" i="8" s="1"/>
  <c r="CB37" i="43"/>
  <c r="CH183" i="43"/>
  <c r="CI179" i="43" s="1"/>
  <c r="CI183" i="43" s="1"/>
  <c r="CJ179" i="43" s="1"/>
  <c r="CJ183" i="43" s="1"/>
  <c r="O85" i="43"/>
  <c r="O16" i="2"/>
  <c r="O62" i="2" s="1"/>
  <c r="Y344" i="43"/>
  <c r="K170" i="43"/>
  <c r="K171" i="43" s="1"/>
  <c r="W42" i="43"/>
  <c r="W348" i="43"/>
  <c r="CI303" i="43"/>
  <c r="CI55" i="43"/>
  <c r="CA303" i="43"/>
  <c r="CB302" i="43"/>
  <c r="CA287" i="43"/>
  <c r="CA286" i="43"/>
  <c r="N20" i="43"/>
  <c r="N22" i="43" s="1"/>
  <c r="AA11" i="8" s="1"/>
  <c r="BZ229" i="43"/>
  <c r="BZ230" i="43" s="1"/>
  <c r="CG226" i="43"/>
  <c r="CG17" i="43"/>
  <c r="CH210" i="43"/>
  <c r="CH17" i="43" s="1"/>
  <c r="N170" i="43"/>
  <c r="N171" i="43" s="1"/>
  <c r="O169" i="43"/>
  <c r="O74" i="43" s="1"/>
  <c r="O75" i="43" s="1"/>
  <c r="CA145" i="43"/>
  <c r="CB143" i="43"/>
  <c r="CD144" i="43" s="1"/>
  <c r="O127" i="43"/>
  <c r="O128" i="43"/>
  <c r="P141" i="43"/>
  <c r="L123" i="43"/>
  <c r="L520" i="43"/>
  <c r="L519" i="43" s="1"/>
  <c r="CF4" i="43"/>
  <c r="G222" i="1"/>
  <c r="G221" i="1"/>
  <c r="BR59" i="43"/>
  <c r="BR55" i="43" s="1"/>
  <c r="J55" i="43"/>
  <c r="CF145" i="43"/>
  <c r="O170" i="43"/>
  <c r="O171" i="43" s="1"/>
  <c r="AL22" i="8"/>
  <c r="K31" i="43"/>
  <c r="K33" i="43" s="1"/>
  <c r="K37" i="43" s="1"/>
  <c r="S46" i="43"/>
  <c r="CJ82" i="43"/>
  <c r="K92" i="43"/>
  <c r="K93" i="43" s="1"/>
  <c r="CD116" i="43"/>
  <c r="CD102" i="43" s="1"/>
  <c r="CL321" i="43"/>
  <c r="CM317" i="43" s="1"/>
  <c r="CM321" i="43" s="1"/>
  <c r="CN317" i="43" s="1"/>
  <c r="P223" i="43"/>
  <c r="CJ262" i="43"/>
  <c r="K85" i="43"/>
  <c r="BO230" i="43"/>
  <c r="O232" i="43"/>
  <c r="O46" i="43"/>
  <c r="J130" i="43"/>
  <c r="BY41" i="43"/>
  <c r="BY43" i="43" s="1"/>
  <c r="Y52" i="8" s="1"/>
  <c r="Y53" i="8" s="1"/>
  <c r="CL21" i="43"/>
  <c r="CL337" i="43"/>
  <c r="CL338" i="43" s="1"/>
  <c r="U317" i="43"/>
  <c r="U321" i="43" s="1"/>
  <c r="U327" i="43" s="1"/>
  <c r="T327" i="43"/>
  <c r="BT262" i="43"/>
  <c r="BT256" i="43" s="1"/>
  <c r="BT258" i="43" s="1"/>
  <c r="L264" i="43"/>
  <c r="CH229" i="43"/>
  <c r="CH230" i="43" s="1"/>
  <c r="R20" i="43"/>
  <c r="R22" i="43" s="1"/>
  <c r="R230" i="43"/>
  <c r="R280" i="43"/>
  <c r="R283" i="43" s="1"/>
  <c r="F20" i="43"/>
  <c r="F22" i="43" s="1"/>
  <c r="F17" i="43" s="1"/>
  <c r="F18" i="43" s="1"/>
  <c r="F230" i="43"/>
  <c r="F231" i="43" s="1"/>
  <c r="H520" i="43"/>
  <c r="H519" i="43" s="1"/>
  <c r="H123" i="43"/>
  <c r="CB96" i="43"/>
  <c r="S85" i="43"/>
  <c r="S5" i="43"/>
  <c r="S7" i="43" s="1"/>
  <c r="G10" i="46"/>
  <c r="S294" i="43"/>
  <c r="AP58" i="8"/>
  <c r="AP64" i="8" s="1"/>
  <c r="P15" i="2" s="1"/>
  <c r="P222" i="1"/>
  <c r="C222" i="1"/>
  <c r="G62" i="43"/>
  <c r="CG41" i="43"/>
  <c r="CG43" i="43" s="1"/>
  <c r="AK52" i="8" s="1"/>
  <c r="CH44" i="43"/>
  <c r="CH41" i="43" s="1"/>
  <c r="CH43" i="43" s="1"/>
  <c r="AL52" i="8" s="1"/>
  <c r="K256" i="43"/>
  <c r="K509" i="43" s="1"/>
  <c r="K232" i="43"/>
  <c r="BY143" i="43"/>
  <c r="BY145" i="43" s="1"/>
  <c r="J20" i="43"/>
  <c r="J22" i="43" s="1"/>
  <c r="O11" i="8" s="1"/>
  <c r="BZ7" i="43"/>
  <c r="Z6" i="8" s="1"/>
  <c r="I45" i="46"/>
  <c r="CH82" i="43"/>
  <c r="K5" i="43"/>
  <c r="K297" i="43" s="1"/>
  <c r="T322" i="43"/>
  <c r="T324" i="43" s="1"/>
  <c r="T328" i="43" s="1"/>
  <c r="K62" i="43"/>
  <c r="K66" i="43" s="1"/>
  <c r="CJ308" i="43"/>
  <c r="S232" i="43"/>
  <c r="CM267" i="43"/>
  <c r="U335" i="43"/>
  <c r="F62" i="43"/>
  <c r="CJ84" i="43"/>
  <c r="CJ5" i="43" s="1"/>
  <c r="CJ297" i="43" s="1"/>
  <c r="C58" i="8"/>
  <c r="H240" i="43"/>
  <c r="I240" i="43" s="1"/>
  <c r="I218" i="43" s="1"/>
  <c r="H52" i="46"/>
  <c r="CM33" i="43"/>
  <c r="AT49" i="8" s="1"/>
  <c r="M254" i="43"/>
  <c r="J169" i="43"/>
  <c r="CC130" i="43"/>
  <c r="CH96" i="43"/>
  <c r="BZ82" i="43"/>
  <c r="E65" i="43"/>
  <c r="W36" i="43"/>
  <c r="CH37" i="43"/>
  <c r="F37" i="43"/>
  <c r="F38" i="43" s="1"/>
  <c r="CK33" i="43"/>
  <c r="AQ49" i="8" s="1"/>
  <c r="CN196" i="43"/>
  <c r="P165" i="43"/>
  <c r="P166" i="43" s="1"/>
  <c r="BS303" i="43"/>
  <c r="Z82" i="43"/>
  <c r="Q441" i="43"/>
  <c r="G235" i="43"/>
  <c r="G213" i="43" s="1"/>
  <c r="CF229" i="43"/>
  <c r="CF210" i="43" s="1"/>
  <c r="CF17" i="43" s="1"/>
  <c r="S483" i="43"/>
  <c r="V339" i="43"/>
  <c r="CK41" i="43"/>
  <c r="CC286" i="43"/>
  <c r="BY282" i="43"/>
  <c r="CM272" i="43"/>
  <c r="CE272" i="43"/>
  <c r="CK259" i="43"/>
  <c r="CF116" i="43"/>
  <c r="CF102" i="43" s="1"/>
  <c r="CB278" i="43"/>
  <c r="S352" i="43"/>
  <c r="CK42" i="43"/>
  <c r="CK348" i="43"/>
  <c r="S333" i="43"/>
  <c r="CJ333" i="43" s="1"/>
  <c r="U331" i="43"/>
  <c r="M263" i="43"/>
  <c r="N264" i="43"/>
  <c r="U254" i="43"/>
  <c r="Q254" i="43"/>
  <c r="D45" i="46"/>
  <c r="I20" i="43"/>
  <c r="I22" i="43" s="1"/>
  <c r="J232" i="43"/>
  <c r="BX168" i="43"/>
  <c r="M169" i="43"/>
  <c r="M74" i="43" s="1"/>
  <c r="M75" i="43" s="1"/>
  <c r="F169" i="43"/>
  <c r="F170" i="43"/>
  <c r="F171" i="43" s="1"/>
  <c r="BM153" i="43"/>
  <c r="BM157" i="43" s="1"/>
  <c r="BL165" i="43"/>
  <c r="BL166" i="43" s="1"/>
  <c r="CG137" i="43"/>
  <c r="CE137" i="43"/>
  <c r="R127" i="43"/>
  <c r="R104" i="43" s="1"/>
  <c r="R215" i="43" s="1"/>
  <c r="S137" i="43"/>
  <c r="BX226" i="43"/>
  <c r="BR96" i="43"/>
  <c r="CC86" i="43"/>
  <c r="CC92" i="43" s="1"/>
  <c r="CC93" i="43" s="1"/>
  <c r="CA86" i="43"/>
  <c r="CA92" i="43" s="1"/>
  <c r="CA93" i="43" s="1"/>
  <c r="T143" i="43"/>
  <c r="CH84" i="43"/>
  <c r="CH5" i="43" s="1"/>
  <c r="CH297" i="43" s="1"/>
  <c r="R5" i="43"/>
  <c r="R7" i="43" s="1"/>
  <c r="CN278" i="43"/>
  <c r="W82" i="43"/>
  <c r="CN82" i="43"/>
  <c r="AM58" i="8"/>
  <c r="F17" i="46" s="1"/>
  <c r="Y39" i="46" s="1"/>
  <c r="O222" i="1"/>
  <c r="F221" i="1"/>
  <c r="BP59" i="43"/>
  <c r="AH52" i="8"/>
  <c r="AJ52" i="8"/>
  <c r="AJ134" i="8" s="1"/>
  <c r="N16" i="2"/>
  <c r="N62" i="2" s="1"/>
  <c r="E29" i="46"/>
  <c r="E16" i="2"/>
  <c r="E62" i="2" s="1"/>
  <c r="I52" i="8"/>
  <c r="I134" i="8" s="1"/>
  <c r="BX31" i="43"/>
  <c r="BZ37" i="43"/>
  <c r="BP31" i="43"/>
  <c r="BP33" i="43" s="1"/>
  <c r="K49" i="8" s="1"/>
  <c r="BP37" i="43"/>
  <c r="BR37" i="43"/>
  <c r="J37" i="43"/>
  <c r="L49" i="8"/>
  <c r="BS33" i="43"/>
  <c r="P49" i="8" s="1"/>
  <c r="BU36" i="43"/>
  <c r="BK33" i="43"/>
  <c r="D49" i="8" s="1"/>
  <c r="BM36" i="43"/>
  <c r="AH11" i="8"/>
  <c r="BW23" i="43"/>
  <c r="BK60" i="43"/>
  <c r="BM8" i="43"/>
  <c r="BK9" i="43"/>
  <c r="BL9" i="43" s="1"/>
  <c r="H10" i="43"/>
  <c r="F22" i="8"/>
  <c r="Q463" i="43"/>
  <c r="Q465" i="43" s="1"/>
  <c r="P465" i="43"/>
  <c r="T338" i="43"/>
  <c r="T331" i="43"/>
  <c r="W267" i="43"/>
  <c r="P270" i="43"/>
  <c r="D14" i="46" s="1"/>
  <c r="L31" i="43"/>
  <c r="L33" i="43" s="1"/>
  <c r="U49" i="8" s="1"/>
  <c r="L263" i="43"/>
  <c r="BY254" i="43"/>
  <c r="G45" i="46"/>
  <c r="P20" i="43"/>
  <c r="P22" i="43" s="1"/>
  <c r="AG11" i="8" s="1"/>
  <c r="CD229" i="43"/>
  <c r="P230" i="43"/>
  <c r="Q231" i="43" s="1"/>
  <c r="L20" i="43"/>
  <c r="L22" i="43" s="1"/>
  <c r="U11" i="8" s="1"/>
  <c r="L232" i="43"/>
  <c r="H230" i="43"/>
  <c r="I231" i="43" s="1"/>
  <c r="H232" i="43"/>
  <c r="E231" i="43"/>
  <c r="D198" i="43"/>
  <c r="D199" i="43" s="1"/>
  <c r="D63" i="43" s="1"/>
  <c r="L170" i="43"/>
  <c r="L171" i="43" s="1"/>
  <c r="M170" i="43"/>
  <c r="M171" i="43" s="1"/>
  <c r="Z196" i="43"/>
  <c r="CJ116" i="43"/>
  <c r="CB116" i="43"/>
  <c r="CB102" i="43" s="1"/>
  <c r="R242" i="43"/>
  <c r="R220" i="43" s="1"/>
  <c r="R140" i="43"/>
  <c r="R223" i="43"/>
  <c r="F520" i="43"/>
  <c r="F519" i="43" s="1"/>
  <c r="F242" i="43"/>
  <c r="F220" i="43" s="1"/>
  <c r="CG130" i="43"/>
  <c r="CH116" i="43"/>
  <c r="CD7" i="43"/>
  <c r="AF6" i="8" s="1"/>
  <c r="BV7" i="43"/>
  <c r="T6" i="8" s="1"/>
  <c r="CL278" i="43"/>
  <c r="CL79" i="43"/>
  <c r="CL14" i="43" s="1"/>
  <c r="CL82" i="43"/>
  <c r="CJ73" i="43"/>
  <c r="CJ13" i="43" s="1"/>
  <c r="CJ4" i="43"/>
  <c r="CC296" i="43"/>
  <c r="CC297" i="43" s="1"/>
  <c r="R16" i="2"/>
  <c r="R62" i="2" s="1"/>
  <c r="AV52" i="8"/>
  <c r="I13" i="46" s="1"/>
  <c r="AB40" i="46" s="1"/>
  <c r="I29" i="46"/>
  <c r="AG52" i="8"/>
  <c r="AG134" i="8" s="1"/>
  <c r="M16" i="2"/>
  <c r="M62" i="2" s="1"/>
  <c r="U52" i="8"/>
  <c r="U134" i="8" s="1"/>
  <c r="I16" i="2"/>
  <c r="I62" i="2" s="1"/>
  <c r="CD37" i="43"/>
  <c r="CD31" i="43"/>
  <c r="CD33" i="43" s="1"/>
  <c r="AF49" i="8" s="1"/>
  <c r="BV31" i="43"/>
  <c r="BV33" i="43" s="1"/>
  <c r="T49" i="8" s="1"/>
  <c r="BV37" i="43"/>
  <c r="BY33" i="43"/>
  <c r="Y49" i="8" s="1"/>
  <c r="BY36" i="43"/>
  <c r="BQ33" i="43"/>
  <c r="M49" i="8" s="1"/>
  <c r="BQ36" i="43"/>
  <c r="T499" i="43"/>
  <c r="T33" i="43"/>
  <c r="AS49" i="8" s="1"/>
  <c r="H12" i="46" s="1"/>
  <c r="CL31" i="43"/>
  <c r="CL33" i="43" s="1"/>
  <c r="AR49" i="8" s="1"/>
  <c r="BY23" i="43"/>
  <c r="O22" i="8"/>
  <c r="O37" i="8"/>
  <c r="G8" i="43"/>
  <c r="G13" i="43" s="1"/>
  <c r="CG7" i="43"/>
  <c r="AD335" i="43"/>
  <c r="Z73" i="43"/>
  <c r="Z4" i="43"/>
  <c r="S487" i="43"/>
  <c r="T487" i="43" s="1"/>
  <c r="T482" i="43" s="1"/>
  <c r="H28" i="46"/>
  <c r="X123" i="43"/>
  <c r="X127" i="43" s="1"/>
  <c r="CH123" i="43"/>
  <c r="CH109" i="43" s="1"/>
  <c r="CH102" i="43" s="1"/>
  <c r="CL76" i="43"/>
  <c r="CI127" i="43"/>
  <c r="BZ96" i="43"/>
  <c r="H222" i="43"/>
  <c r="I244" i="43"/>
  <c r="J244" i="43" s="1"/>
  <c r="J222" i="43" s="1"/>
  <c r="H242" i="43"/>
  <c r="H220" i="43" s="1"/>
  <c r="CE127" i="43"/>
  <c r="G23" i="43"/>
  <c r="BX37" i="43"/>
  <c r="BV72" i="43"/>
  <c r="BX76" i="43" s="1"/>
  <c r="AH23" i="8"/>
  <c r="AH24" i="8" s="1"/>
  <c r="CE25" i="43" s="1"/>
  <c r="CE27" i="43" s="1"/>
  <c r="AI22" i="8"/>
  <c r="R476" i="43"/>
  <c r="T478" i="43" s="1"/>
  <c r="T484" i="43" s="1"/>
  <c r="I62" i="43"/>
  <c r="I66" i="43" s="1"/>
  <c r="F28" i="46"/>
  <c r="W309" i="43"/>
  <c r="W307" i="43"/>
  <c r="W6" i="43"/>
  <c r="CB33" i="43"/>
  <c r="AC49" i="8" s="1"/>
  <c r="CD123" i="43"/>
  <c r="CD109" i="43" s="1"/>
  <c r="AD254" i="43"/>
  <c r="W330" i="43"/>
  <c r="W331" i="43" s="1"/>
  <c r="AS270" i="8"/>
  <c r="I51" i="46"/>
  <c r="S31" i="43"/>
  <c r="S33" i="43" s="1"/>
  <c r="AP49" i="8" s="1"/>
  <c r="G12" i="46" s="1"/>
  <c r="U258" i="43"/>
  <c r="R221" i="1"/>
  <c r="R251" i="1" s="1"/>
  <c r="X331" i="43"/>
  <c r="AA331" i="43"/>
  <c r="CF254" i="43"/>
  <c r="U411" i="43"/>
  <c r="O264" i="43"/>
  <c r="CL330" i="43"/>
  <c r="CL331" i="43" s="1"/>
  <c r="L62" i="43"/>
  <c r="L66" i="43" s="1"/>
  <c r="CI226" i="43"/>
  <c r="Z253" i="43"/>
  <c r="Z312" i="43"/>
  <c r="G232" i="43"/>
  <c r="CA27" i="43"/>
  <c r="AP11" i="8"/>
  <c r="CJ302" i="43"/>
  <c r="CM67" i="43"/>
  <c r="CN67" i="43" s="1"/>
  <c r="BO8" i="43"/>
  <c r="H14" i="46"/>
  <c r="CE36" i="43"/>
  <c r="R254" i="43"/>
  <c r="P62" i="43"/>
  <c r="P66" i="43" s="1"/>
  <c r="CB7" i="43"/>
  <c r="AC6" i="8" s="1"/>
  <c r="CH76" i="43"/>
  <c r="D222" i="1"/>
  <c r="P303" i="43"/>
  <c r="D28" i="46"/>
  <c r="M242" i="43"/>
  <c r="M220" i="43" s="1"/>
  <c r="L22" i="8"/>
  <c r="I28" i="46"/>
  <c r="H51" i="46"/>
  <c r="R330" i="43"/>
  <c r="CN270" i="43"/>
  <c r="CM269" i="43" s="1"/>
  <c r="CN269" i="43" s="1"/>
  <c r="CI67" i="43"/>
  <c r="CJ67" i="43" s="1"/>
  <c r="AP170" i="8"/>
  <c r="AS170" i="8" s="1"/>
  <c r="AS187" i="8" s="1"/>
  <c r="W253" i="43"/>
  <c r="CM62" i="43"/>
  <c r="T125" i="1"/>
  <c r="CL256" i="43"/>
  <c r="CL258" i="43" s="1"/>
  <c r="BY296" i="43"/>
  <c r="BY297" i="43" s="1"/>
  <c r="CF96" i="43"/>
  <c r="BU75" i="43"/>
  <c r="BS85" i="43"/>
  <c r="BU86" i="43" s="1"/>
  <c r="BU92" i="43" s="1"/>
  <c r="BU93" i="43" s="1"/>
  <c r="AQ28" i="8"/>
  <c r="N137" i="43"/>
  <c r="BS36" i="43"/>
  <c r="I49" i="8"/>
  <c r="CK44" i="43"/>
  <c r="AQ23" i="8" s="1"/>
  <c r="AQ24" i="8" s="1"/>
  <c r="V267" i="43"/>
  <c r="W312" i="43"/>
  <c r="CA282" i="43"/>
  <c r="Q270" i="43"/>
  <c r="CF270" i="43" s="1"/>
  <c r="BY259" i="43"/>
  <c r="P254" i="43"/>
  <c r="CD254" i="43"/>
  <c r="BT253" i="43"/>
  <c r="CE231" i="43"/>
  <c r="BV226" i="43"/>
  <c r="Q125" i="43"/>
  <c r="R125" i="43" s="1"/>
  <c r="S125" i="43" s="1"/>
  <c r="T125" i="43" s="1"/>
  <c r="U125" i="43" s="1"/>
  <c r="BP226" i="43"/>
  <c r="CI86" i="43"/>
  <c r="CI92" i="43" s="1"/>
  <c r="BX82" i="43"/>
  <c r="CF37" i="43"/>
  <c r="BK23" i="43"/>
  <c r="CG127" i="43"/>
  <c r="CD96" i="43"/>
  <c r="CK230" i="43"/>
  <c r="CK231" i="43" s="1"/>
  <c r="V340" i="43"/>
  <c r="G130" i="43"/>
  <c r="J123" i="43"/>
  <c r="F113" i="43"/>
  <c r="F127" i="43" s="1"/>
  <c r="Q232" i="43"/>
  <c r="J520" i="43"/>
  <c r="J519" i="43" s="1"/>
  <c r="O137" i="43"/>
  <c r="Z6" i="43"/>
  <c r="Z307" i="43"/>
  <c r="CL59" i="43"/>
  <c r="AR58" i="8" s="1"/>
  <c r="AR64" i="8" s="1"/>
  <c r="Q221" i="1"/>
  <c r="Q251" i="1" s="1"/>
  <c r="Y33" i="43"/>
  <c r="AZ49" i="8" s="1"/>
  <c r="BS57" i="43"/>
  <c r="BT55" i="43"/>
  <c r="BS63" i="43"/>
  <c r="Y267" i="43"/>
  <c r="S439" i="43"/>
  <c r="S441" i="43" s="1"/>
  <c r="CN337" i="43"/>
  <c r="X340" i="43"/>
  <c r="BS285" i="43"/>
  <c r="BS294" i="43"/>
  <c r="CM258" i="43"/>
  <c r="CN256" i="43"/>
  <c r="CN258" i="43" s="1"/>
  <c r="CE257" i="43"/>
  <c r="CG254" i="43"/>
  <c r="BM230" i="43"/>
  <c r="BM232" i="43"/>
  <c r="N145" i="43"/>
  <c r="N504" i="43"/>
  <c r="N505" i="43" s="1"/>
  <c r="K520" i="43"/>
  <c r="K519" i="43" s="1"/>
  <c r="K137" i="43"/>
  <c r="L137" i="43"/>
  <c r="G123" i="43"/>
  <c r="H137" i="43"/>
  <c r="AI28" i="8"/>
  <c r="AI18" i="8"/>
  <c r="BX7" i="43"/>
  <c r="CF82" i="43"/>
  <c r="CD4" i="43"/>
  <c r="BU271" i="43"/>
  <c r="BW272" i="43" s="1"/>
  <c r="BW76" i="43"/>
  <c r="K221" i="1"/>
  <c r="K251" i="1" s="1"/>
  <c r="O62" i="43"/>
  <c r="O66" i="43" s="1"/>
  <c r="N46" i="43"/>
  <c r="J16" i="2"/>
  <c r="J62" i="2" s="1"/>
  <c r="CN37" i="43"/>
  <c r="CN36" i="43"/>
  <c r="CD302" i="43"/>
  <c r="CC303" i="43"/>
  <c r="P263" i="43"/>
  <c r="P256" i="43"/>
  <c r="P258" i="43" s="1"/>
  <c r="BN229" i="43"/>
  <c r="BN230" i="43" s="1"/>
  <c r="BN96" i="43"/>
  <c r="E10" i="46"/>
  <c r="Q85" i="43"/>
  <c r="BT84" i="43"/>
  <c r="BT303" i="43" s="1"/>
  <c r="BT4" i="43"/>
  <c r="N222" i="1"/>
  <c r="E28" i="46"/>
  <c r="BV44" i="43"/>
  <c r="BV41" i="43" s="1"/>
  <c r="BV43" i="43" s="1"/>
  <c r="T52" i="8" s="1"/>
  <c r="BU41" i="43"/>
  <c r="BU43" i="43" s="1"/>
  <c r="S52" i="8" s="1"/>
  <c r="CG33" i="43"/>
  <c r="AK49" i="8" s="1"/>
  <c r="AK46" i="8" s="1"/>
  <c r="CG36" i="43"/>
  <c r="BQ9" i="43"/>
  <c r="BR9" i="43" s="1"/>
  <c r="BS8" i="43"/>
  <c r="BQ23" i="43"/>
  <c r="O6" i="8"/>
  <c r="J8" i="43"/>
  <c r="J13" i="43" s="1"/>
  <c r="CE259" i="43"/>
  <c r="CD262" i="43"/>
  <c r="J113" i="43"/>
  <c r="CK322" i="43"/>
  <c r="CK324" i="43" s="1"/>
  <c r="BY286" i="43"/>
  <c r="U476" i="43"/>
  <c r="CN348" i="43"/>
  <c r="H130" i="43"/>
  <c r="H170" i="43"/>
  <c r="H201" i="43" s="1"/>
  <c r="H203" i="43" s="1"/>
  <c r="CL263" i="43"/>
  <c r="BV302" i="43"/>
  <c r="T467" i="43"/>
  <c r="BZ283" i="43"/>
  <c r="Q264" i="43"/>
  <c r="BZ84" i="43"/>
  <c r="BZ5" i="43" s="1"/>
  <c r="N85" i="43"/>
  <c r="M5" i="43"/>
  <c r="M7" i="43" s="1"/>
  <c r="CC282" i="43"/>
  <c r="BP229" i="43"/>
  <c r="BP20" i="43" s="1"/>
  <c r="BP22" i="43" s="1"/>
  <c r="K11" i="8" s="1"/>
  <c r="CH266" i="43"/>
  <c r="CH267" i="43" s="1"/>
  <c r="H20" i="43"/>
  <c r="H22" i="43" s="1"/>
  <c r="H23" i="43" s="1"/>
  <c r="K113" i="43"/>
  <c r="BV96" i="43"/>
  <c r="BV95" i="43" s="1"/>
  <c r="R294" i="43"/>
  <c r="BW41" i="43"/>
  <c r="BW43" i="43" s="1"/>
  <c r="R164" i="1"/>
  <c r="X52" i="8"/>
  <c r="X134" i="8" s="1"/>
  <c r="Q46" i="43"/>
  <c r="BV252" i="43"/>
  <c r="D16" i="2"/>
  <c r="D62" i="2" s="1"/>
  <c r="F123" i="43"/>
  <c r="BM20" i="43"/>
  <c r="BM22" i="43" s="1"/>
  <c r="G11" i="8" s="1"/>
  <c r="CN307" i="43"/>
  <c r="U338" i="43"/>
  <c r="CC257" i="43"/>
  <c r="J10" i="43"/>
  <c r="CC36" i="43"/>
  <c r="P31" i="43"/>
  <c r="CM257" i="43"/>
  <c r="N123" i="43"/>
  <c r="O28" i="8"/>
  <c r="BU263" i="43"/>
  <c r="CF76" i="43"/>
  <c r="CF84" i="43"/>
  <c r="BS281" i="43"/>
  <c r="BU282" i="43" s="1"/>
  <c r="BX96" i="43"/>
  <c r="G113" i="43"/>
  <c r="N520" i="43"/>
  <c r="N519" i="43" s="1"/>
  <c r="F232" i="43"/>
  <c r="CH59" i="43"/>
  <c r="CG63" i="43" s="1"/>
  <c r="I137" i="43"/>
  <c r="BW282" i="43"/>
  <c r="CI264" i="43"/>
  <c r="T47" i="43"/>
  <c r="L411" i="43"/>
  <c r="P411" i="43"/>
  <c r="AU186" i="8"/>
  <c r="S99" i="1"/>
  <c r="S100" i="1" s="1"/>
  <c r="R108" i="1"/>
  <c r="T34" i="1"/>
  <c r="AM205" i="8"/>
  <c r="J182" i="1"/>
  <c r="J184" i="1" s="1"/>
  <c r="L108" i="1"/>
  <c r="AD160" i="8"/>
  <c r="S343" i="43"/>
  <c r="T344" i="43" s="1"/>
  <c r="T345" i="43"/>
  <c r="W302" i="43"/>
  <c r="O242" i="43"/>
  <c r="O220" i="43" s="1"/>
  <c r="O140" i="43"/>
  <c r="H116" i="43"/>
  <c r="H113" i="43"/>
  <c r="CM84" i="43"/>
  <c r="CN84" i="43" s="1"/>
  <c r="AT22" i="8"/>
  <c r="CM123" i="43"/>
  <c r="CM210" i="43"/>
  <c r="CM226" i="43" s="1"/>
  <c r="O221" i="1"/>
  <c r="O251" i="1" s="1"/>
  <c r="AA58" i="8"/>
  <c r="BZ59" i="43"/>
  <c r="Z58" i="8" s="1"/>
  <c r="I60" i="43"/>
  <c r="F222" i="1"/>
  <c r="BS230" i="43"/>
  <c r="BS20" i="43"/>
  <c r="BS22" i="43" s="1"/>
  <c r="P11" i="8" s="1"/>
  <c r="CB4" i="43"/>
  <c r="BX59" i="43"/>
  <c r="W58" i="8" s="1"/>
  <c r="X58" i="8"/>
  <c r="H60" i="43"/>
  <c r="H62" i="43"/>
  <c r="Z278" i="43"/>
  <c r="AD40" i="8"/>
  <c r="P17" i="2"/>
  <c r="L67" i="2"/>
  <c r="CN293" i="43"/>
  <c r="CM285" i="43"/>
  <c r="L294" i="43"/>
  <c r="U294" i="43"/>
  <c r="BL59" i="43"/>
  <c r="E58" i="8" s="1"/>
  <c r="P85" i="43"/>
  <c r="I123" i="43"/>
  <c r="L107" i="1"/>
  <c r="G201" i="1"/>
  <c r="Q124" i="43"/>
  <c r="R124" i="43" s="1"/>
  <c r="S124" i="43" s="1"/>
  <c r="T124" i="43" s="1"/>
  <c r="U124" i="43" s="1"/>
  <c r="CI137" i="43"/>
  <c r="S127" i="43"/>
  <c r="S108" i="43" s="1"/>
  <c r="S219" i="43" s="1"/>
  <c r="Q127" i="43"/>
  <c r="M137" i="43"/>
  <c r="I113" i="43"/>
  <c r="AL28" i="8"/>
  <c r="J62" i="43"/>
  <c r="J66" i="43" s="1"/>
  <c r="CG296" i="43"/>
  <c r="CG297" i="43" s="1"/>
  <c r="BT37" i="43"/>
  <c r="AP263" i="8"/>
  <c r="AG159" i="8"/>
  <c r="AG166" i="8" s="1"/>
  <c r="AJ205" i="8"/>
  <c r="AM187" i="8"/>
  <c r="AC49" i="46"/>
  <c r="AM159" i="8"/>
  <c r="AM166" i="8" s="1"/>
  <c r="AB49" i="46"/>
  <c r="M43" i="46"/>
  <c r="M49" i="46" s="1"/>
  <c r="O256" i="43"/>
  <c r="S256" i="43"/>
  <c r="G230" i="43"/>
  <c r="R137" i="43"/>
  <c r="O230" i="43"/>
  <c r="CM254" i="43"/>
  <c r="S270" i="43"/>
  <c r="T273" i="43" s="1"/>
  <c r="CA17" i="43"/>
  <c r="S303" i="43"/>
  <c r="CI259" i="43"/>
  <c r="AE49" i="46"/>
  <c r="O125" i="1"/>
  <c r="O411" i="43"/>
  <c r="N411" i="43"/>
  <c r="X47" i="43"/>
  <c r="Q126" i="1"/>
  <c r="K47" i="43"/>
  <c r="O42" i="2"/>
  <c r="M145" i="1"/>
  <c r="M146" i="1"/>
  <c r="K24" i="46"/>
  <c r="AD54" i="46" s="1"/>
  <c r="G128" i="1"/>
  <c r="S107" i="1"/>
  <c r="J128" i="1"/>
  <c r="G73" i="1"/>
  <c r="G20" i="2" s="1"/>
  <c r="G64" i="2" s="1"/>
  <c r="M250" i="1"/>
  <c r="S131" i="1"/>
  <c r="S73" i="1"/>
  <c r="I128" i="1"/>
  <c r="AV160" i="8"/>
  <c r="G139" i="1"/>
  <c r="G145" i="1" s="1"/>
  <c r="G99" i="1"/>
  <c r="G100" i="1" s="1"/>
  <c r="O73" i="1"/>
  <c r="S80" i="1"/>
  <c r="S82" i="1" s="1"/>
  <c r="T80" i="1" s="1"/>
  <c r="T82" i="1" s="1"/>
  <c r="U80" i="1" s="1"/>
  <c r="U182" i="1"/>
  <c r="AJ160" i="8"/>
  <c r="J99" i="1"/>
  <c r="J100" i="1" s="1"/>
  <c r="J73" i="1"/>
  <c r="J20" i="2" s="1"/>
  <c r="J64" i="2" s="1"/>
  <c r="K250" i="1"/>
  <c r="F73" i="1"/>
  <c r="F20" i="2" s="1"/>
  <c r="F64" i="2" s="1"/>
  <c r="AB14" i="46"/>
  <c r="AS106" i="8"/>
  <c r="AQ186" i="8"/>
  <c r="AI71" i="8"/>
  <c r="AR71" i="8"/>
  <c r="AT73" i="8"/>
  <c r="AT193" i="8" s="1"/>
  <c r="AT191" i="8" s="1"/>
  <c r="AT201" i="8" s="1"/>
  <c r="AT77" i="8" s="1"/>
  <c r="Q202" i="1"/>
  <c r="R200" i="1" s="1"/>
  <c r="Q47" i="1"/>
  <c r="E18" i="46"/>
  <c r="AV86" i="8"/>
  <c r="AU86" i="8" s="1"/>
  <c r="Q101" i="1"/>
  <c r="F205" i="8"/>
  <c r="E31" i="46"/>
  <c r="Q201" i="1"/>
  <c r="AU101" i="8"/>
  <c r="P201" i="1"/>
  <c r="AR107" i="8"/>
  <c r="AR102" i="8" s="1"/>
  <c r="AR103" i="8" s="1"/>
  <c r="AR121" i="8" s="1"/>
  <c r="G30" i="46"/>
  <c r="D31" i="46"/>
  <c r="O67" i="2"/>
  <c r="AP71" i="8"/>
  <c r="AO71" i="8" s="1"/>
  <c r="C67" i="2"/>
  <c r="D67" i="2"/>
  <c r="AW186" i="8"/>
  <c r="BE164" i="8"/>
  <c r="AR116" i="8"/>
  <c r="AL71" i="8"/>
  <c r="AU71" i="8"/>
  <c r="H67" i="2"/>
  <c r="R205" i="8"/>
  <c r="AR197" i="8"/>
  <c r="M66" i="2"/>
  <c r="P67" i="2"/>
  <c r="AI75" i="8"/>
  <c r="F20" i="46"/>
  <c r="AA196" i="8"/>
  <c r="S66" i="2"/>
  <c r="AV261" i="8"/>
  <c r="AV263" i="8" s="1"/>
  <c r="AP216" i="8"/>
  <c r="AY205" i="8"/>
  <c r="AR19" i="8"/>
  <c r="T122" i="43"/>
  <c r="U122" i="43" s="1"/>
  <c r="X122" i="43" s="1"/>
  <c r="AS58" i="8"/>
  <c r="H17" i="46" s="1"/>
  <c r="V269" i="43"/>
  <c r="W269" i="43" s="1"/>
  <c r="V84" i="43"/>
  <c r="W84" i="43" s="1"/>
  <c r="AW18" i="8"/>
  <c r="V210" i="43"/>
  <c r="V226" i="43" s="1"/>
  <c r="BR7" i="43"/>
  <c r="N6" i="8" s="1"/>
  <c r="BR226" i="43"/>
  <c r="T123" i="43"/>
  <c r="AS35" i="8"/>
  <c r="BZ76" i="43"/>
  <c r="F55" i="43"/>
  <c r="F60" i="43"/>
  <c r="C221" i="1"/>
  <c r="BY60" i="43"/>
  <c r="BY8" i="43"/>
  <c r="CA8" i="43"/>
  <c r="C6" i="8"/>
  <c r="C147" i="8" s="1"/>
  <c r="C148" i="8" s="1"/>
  <c r="C22" i="8"/>
  <c r="T62" i="43"/>
  <c r="P125" i="1"/>
  <c r="S47" i="43"/>
  <c r="S335" i="43"/>
  <c r="T335" i="43"/>
  <c r="R31" i="43"/>
  <c r="R33" i="43" s="1"/>
  <c r="R264" i="43"/>
  <c r="R256" i="43"/>
  <c r="J245" i="43"/>
  <c r="I223" i="43"/>
  <c r="CK20" i="43"/>
  <c r="CK22" i="43" s="1"/>
  <c r="AQ11" i="8" s="1"/>
  <c r="CK210" i="43"/>
  <c r="CK226" i="43" s="1"/>
  <c r="N230" i="43"/>
  <c r="N232" i="43"/>
  <c r="CF159" i="43"/>
  <c r="CF163" i="43" s="1"/>
  <c r="CF192" i="43" s="1"/>
  <c r="Q222" i="1"/>
  <c r="BX4" i="43"/>
  <c r="W73" i="43"/>
  <c r="W4" i="43"/>
  <c r="R352" i="43"/>
  <c r="L254" i="43"/>
  <c r="BY231" i="43"/>
  <c r="BO232" i="43"/>
  <c r="I232" i="43"/>
  <c r="W181" i="43"/>
  <c r="R183" i="43"/>
  <c r="S179" i="43" s="1"/>
  <c r="S183" i="43" s="1"/>
  <c r="T179" i="43" s="1"/>
  <c r="T183" i="43" s="1"/>
  <c r="U179" i="43" s="1"/>
  <c r="U183" i="43" s="1"/>
  <c r="X179" i="43" s="1"/>
  <c r="X183" i="43" s="1"/>
  <c r="AA179" i="43" s="1"/>
  <c r="AA183" i="43" s="1"/>
  <c r="BV168" i="43"/>
  <c r="I170" i="43"/>
  <c r="I171" i="43" s="1"/>
  <c r="AB254" i="43"/>
  <c r="CK257" i="43"/>
  <c r="G242" i="43"/>
  <c r="G220" i="43" s="1"/>
  <c r="T42" i="43"/>
  <c r="T41" i="43" s="1"/>
  <c r="T43" i="43" s="1"/>
  <c r="AS52" i="8" s="1"/>
  <c r="H13" i="46" s="1"/>
  <c r="BK230" i="43"/>
  <c r="Q62" i="43"/>
  <c r="Q66" i="43" s="1"/>
  <c r="BN59" i="43"/>
  <c r="H55" i="43"/>
  <c r="H241" i="43"/>
  <c r="H219" i="43" s="1"/>
  <c r="I169" i="43"/>
  <c r="E222" i="1"/>
  <c r="K222" i="1"/>
  <c r="R62" i="43"/>
  <c r="AJ58" i="8"/>
  <c r="AJ64" i="8" s="1"/>
  <c r="AJ73" i="8" s="1"/>
  <c r="AJ193" i="8" s="1"/>
  <c r="AJ203" i="8" s="1"/>
  <c r="AJ76" i="8" s="1"/>
  <c r="L58" i="8"/>
  <c r="N5" i="43"/>
  <c r="K123" i="43"/>
  <c r="O223" i="43"/>
  <c r="CM96" i="43"/>
  <c r="CK272" i="43"/>
  <c r="AB264" i="43"/>
  <c r="BF65" i="8"/>
  <c r="BF53" i="8"/>
  <c r="BF37" i="8"/>
  <c r="BF56" i="8"/>
  <c r="BF59" i="8"/>
  <c r="BF12" i="8"/>
  <c r="BF10" i="8"/>
  <c r="BF50" i="8"/>
  <c r="BF47" i="8"/>
  <c r="CK67" i="43"/>
  <c r="CL67" i="43" s="1"/>
  <c r="U62" i="43"/>
  <c r="CA60" i="43"/>
  <c r="CC8" i="43"/>
  <c r="BS60" i="43"/>
  <c r="BU8" i="43"/>
  <c r="Y99" i="43"/>
  <c r="Y148" i="43"/>
  <c r="AW22" i="8"/>
  <c r="AL18" i="8"/>
  <c r="AL37" i="8"/>
  <c r="T99" i="43"/>
  <c r="T130" i="43"/>
  <c r="CL90" i="43"/>
  <c r="CN76" i="43"/>
  <c r="CN73" i="43"/>
  <c r="CN13" i="43" s="1"/>
  <c r="CN4" i="43"/>
  <c r="CJ59" i="43"/>
  <c r="P221" i="1"/>
  <c r="P251" i="1" s="1"/>
  <c r="G28" i="46"/>
  <c r="J60" i="43"/>
  <c r="O58" i="8"/>
  <c r="I43" i="43"/>
  <c r="J46" i="43" s="1"/>
  <c r="I45" i="43"/>
  <c r="C49" i="8"/>
  <c r="G37" i="43"/>
  <c r="W293" i="43"/>
  <c r="V31" i="43"/>
  <c r="V33" i="43" s="1"/>
  <c r="AW49" i="8" s="1"/>
  <c r="Y254" i="43"/>
  <c r="V254" i="43"/>
  <c r="H45" i="46"/>
  <c r="T254" i="43"/>
  <c r="BW232" i="43"/>
  <c r="BU230" i="43"/>
  <c r="Q20" i="43"/>
  <c r="Q22" i="43" s="1"/>
  <c r="AJ11" i="8" s="1"/>
  <c r="R232" i="43"/>
  <c r="Q280" i="43"/>
  <c r="CE226" i="43"/>
  <c r="CE17" i="43"/>
  <c r="BV17" i="43"/>
  <c r="BV229" i="43"/>
  <c r="BN17" i="43"/>
  <c r="BN226" i="43"/>
  <c r="AA343" i="43"/>
  <c r="AD344" i="43" s="1"/>
  <c r="AD345" i="43"/>
  <c r="AB258" i="43"/>
  <c r="V230" i="43"/>
  <c r="AA263" i="43"/>
  <c r="AD264" i="43"/>
  <c r="AF347" i="43"/>
  <c r="AB338" i="43"/>
  <c r="AE339" i="43" s="1"/>
  <c r="AE340" i="43"/>
  <c r="O287" i="43"/>
  <c r="AA59" i="43"/>
  <c r="AF266" i="43"/>
  <c r="AB230" i="43"/>
  <c r="AE231" i="43" s="1"/>
  <c r="AE96" i="43"/>
  <c r="AE99" i="43"/>
  <c r="AE148" i="43"/>
  <c r="V232" i="43"/>
  <c r="W263" i="43"/>
  <c r="BV262" i="43"/>
  <c r="S263" i="43"/>
  <c r="J221" i="1"/>
  <c r="J251" i="1" s="1"/>
  <c r="Q411" i="43"/>
  <c r="N221" i="1"/>
  <c r="N251" i="1" s="1"/>
  <c r="L280" i="43"/>
  <c r="BV280" i="43" s="1"/>
  <c r="BV285" i="43" s="1"/>
  <c r="BO9" i="43"/>
  <c r="BP9" i="43" s="1"/>
  <c r="U33" i="43"/>
  <c r="W37" i="43"/>
  <c r="CD44" i="43"/>
  <c r="AF23" i="8" s="1"/>
  <c r="AF24" i="8" s="1"/>
  <c r="AT28" i="8"/>
  <c r="BY257" i="43"/>
  <c r="CI254" i="43"/>
  <c r="V148" i="43"/>
  <c r="J45" i="43"/>
  <c r="X213" i="43"/>
  <c r="AA351" i="43"/>
  <c r="K52" i="46" s="1"/>
  <c r="AD353" i="43"/>
  <c r="BC60" i="8"/>
  <c r="BF60" i="8"/>
  <c r="F30" i="46"/>
  <c r="BM28" i="43"/>
  <c r="AL75" i="8"/>
  <c r="BA67" i="8"/>
  <c r="AS115" i="8"/>
  <c r="I205" i="8"/>
  <c r="E20" i="46"/>
  <c r="I30" i="46"/>
  <c r="AJ159" i="8"/>
  <c r="I31" i="46"/>
  <c r="I18" i="46"/>
  <c r="N17" i="2"/>
  <c r="AL196" i="8"/>
  <c r="AL198" i="8" s="1"/>
  <c r="E30" i="46"/>
  <c r="J31" i="46"/>
  <c r="AA115" i="8"/>
  <c r="AA205" i="8" s="1"/>
  <c r="BS28" i="43"/>
  <c r="AT186" i="8"/>
  <c r="AV250" i="8"/>
  <c r="AV106" i="8" s="1"/>
  <c r="J17" i="2"/>
  <c r="F67" i="2"/>
  <c r="AK73" i="8"/>
  <c r="AK193" i="8" s="1"/>
  <c r="AK191" i="8" s="1"/>
  <c r="AK201" i="8" s="1"/>
  <c r="AK77" i="8" s="1"/>
  <c r="M91" i="1"/>
  <c r="CI257" i="43"/>
  <c r="CN253" i="43"/>
  <c r="BX253" i="43"/>
  <c r="BZ254" i="43" s="1"/>
  <c r="CA231" i="43"/>
  <c r="S141" i="43"/>
  <c r="AB272" i="43"/>
  <c r="P281" i="43"/>
  <c r="AA335" i="43"/>
  <c r="CN302" i="43"/>
  <c r="BQ230" i="43"/>
  <c r="BZ302" i="43"/>
  <c r="U352" i="43"/>
  <c r="CL296" i="43"/>
  <c r="BZ278" i="43"/>
  <c r="CG272" i="43"/>
  <c r="BY272" i="43"/>
  <c r="BY264" i="43"/>
  <c r="AB352" i="43"/>
  <c r="BT36" i="43"/>
  <c r="CB254" i="43"/>
  <c r="U303" i="43"/>
  <c r="BZ263" i="43"/>
  <c r="CM230" i="43"/>
  <c r="L169" i="43"/>
  <c r="L74" i="43" s="1"/>
  <c r="L75" i="43" s="1"/>
  <c r="CG259" i="43"/>
  <c r="U55" i="43"/>
  <c r="M47" i="43"/>
  <c r="T264" i="43"/>
  <c r="U47" i="43"/>
  <c r="W337" i="43"/>
  <c r="W256" i="43"/>
  <c r="W258" i="43" s="1"/>
  <c r="CB44" i="43"/>
  <c r="AC23" i="8" s="1"/>
  <c r="AC24" i="8" s="1"/>
  <c r="V99" i="43"/>
  <c r="AV58" i="8"/>
  <c r="I17" i="46" s="1"/>
  <c r="K169" i="43"/>
  <c r="K74" i="43" s="1"/>
  <c r="K75" i="43" s="1"/>
  <c r="W196" i="43"/>
  <c r="CH196" i="43"/>
  <c r="AZ60" i="8"/>
  <c r="AJ409" i="43"/>
  <c r="Z334" i="43"/>
  <c r="Z330" i="43"/>
  <c r="Z331" i="43" s="1"/>
  <c r="Z256" i="43"/>
  <c r="Z258" i="43" s="1"/>
  <c r="AA258" i="43"/>
  <c r="AA257" i="43"/>
  <c r="Z21" i="43"/>
  <c r="P285" i="43"/>
  <c r="CD280" i="43"/>
  <c r="N285" i="43"/>
  <c r="N283" i="43"/>
  <c r="BO23" i="43"/>
  <c r="T55" i="43"/>
  <c r="CC17" i="43"/>
  <c r="CC226" i="43"/>
  <c r="BT17" i="43"/>
  <c r="BT226" i="43"/>
  <c r="BL17" i="43"/>
  <c r="BL229" i="43"/>
  <c r="Z181" i="43"/>
  <c r="AA409" i="43"/>
  <c r="K173" i="43"/>
  <c r="K177" i="43" s="1"/>
  <c r="K185" i="43" s="1"/>
  <c r="J186" i="43"/>
  <c r="J189" i="43" s="1"/>
  <c r="C52" i="8"/>
  <c r="C16" i="2"/>
  <c r="C62" i="2" s="1"/>
  <c r="AB340" i="43"/>
  <c r="Y340" i="43"/>
  <c r="BT185" i="43"/>
  <c r="S118" i="43"/>
  <c r="CK27" i="43"/>
  <c r="AQ43" i="8"/>
  <c r="R131" i="1"/>
  <c r="CK335" i="43"/>
  <c r="CM335" i="43"/>
  <c r="CN334" i="43"/>
  <c r="CN330" i="43"/>
  <c r="CN331" i="43" s="1"/>
  <c r="CC287" i="43"/>
  <c r="CE286" i="43"/>
  <c r="BU287" i="43"/>
  <c r="BW286" i="43"/>
  <c r="CI283" i="43"/>
  <c r="CI281" i="43"/>
  <c r="CI285" i="43"/>
  <c r="CI267" i="43"/>
  <c r="CJ266" i="43"/>
  <c r="M267" i="43"/>
  <c r="M270" i="43"/>
  <c r="V264" i="43"/>
  <c r="CM264" i="43"/>
  <c r="CN263" i="43"/>
  <c r="Q263" i="43"/>
  <c r="Q256" i="43"/>
  <c r="V258" i="43"/>
  <c r="V257" i="43"/>
  <c r="T258" i="43"/>
  <c r="U257" i="43"/>
  <c r="CI231" i="43"/>
  <c r="CG231" i="43"/>
  <c r="CH145" i="43"/>
  <c r="CJ144" i="43"/>
  <c r="CH144" i="43"/>
  <c r="T120" i="43"/>
  <c r="U120" i="43" s="1"/>
  <c r="W21" i="43"/>
  <c r="W334" i="43"/>
  <c r="BX229" i="43"/>
  <c r="M280" i="43"/>
  <c r="M20" i="43"/>
  <c r="M22" i="43" s="1"/>
  <c r="X11" i="8" s="1"/>
  <c r="M232" i="43"/>
  <c r="G170" i="43"/>
  <c r="G169" i="43"/>
  <c r="P192" i="43"/>
  <c r="Q159" i="43"/>
  <c r="Q163" i="43" s="1"/>
  <c r="F95" i="43"/>
  <c r="O20" i="43"/>
  <c r="O22" i="43" s="1"/>
  <c r="L230" i="43"/>
  <c r="Z15" i="43"/>
  <c r="O126" i="43"/>
  <c r="CD278" i="43"/>
  <c r="CD145" i="43"/>
  <c r="CB229" i="43"/>
  <c r="CB20" i="43" s="1"/>
  <c r="CB22" i="43" s="1"/>
  <c r="AC11" i="8" s="1"/>
  <c r="I130" i="43"/>
  <c r="CA226" i="43"/>
  <c r="AI37" i="8"/>
  <c r="E61" i="43"/>
  <c r="G27" i="1"/>
  <c r="G36" i="1" s="1"/>
  <c r="C27" i="1"/>
  <c r="C36" i="1" s="1"/>
  <c r="Q10" i="1"/>
  <c r="M10" i="1"/>
  <c r="AK55" i="8"/>
  <c r="I99" i="1"/>
  <c r="I100" i="1" s="1"/>
  <c r="F99" i="1"/>
  <c r="F100" i="1" s="1"/>
  <c r="AA17" i="46"/>
  <c r="K10" i="1"/>
  <c r="K19" i="1" s="1"/>
  <c r="G10" i="1"/>
  <c r="AW64" i="8"/>
  <c r="AW60" i="8"/>
  <c r="AN46" i="8"/>
  <c r="I64" i="8"/>
  <c r="E15" i="2" s="1"/>
  <c r="AG64" i="8"/>
  <c r="AF64" i="8" s="1"/>
  <c r="D17" i="46"/>
  <c r="BC64" i="8"/>
  <c r="BC136" i="8" s="1"/>
  <c r="F46" i="8"/>
  <c r="AN55" i="8"/>
  <c r="CG282" i="43"/>
  <c r="BV173" i="43"/>
  <c r="BV177" i="43" s="1"/>
  <c r="BW173" i="43" s="1"/>
  <c r="BW177" i="43" s="1"/>
  <c r="S164" i="1"/>
  <c r="AY52" i="8"/>
  <c r="X46" i="43"/>
  <c r="J29" i="46"/>
  <c r="CJ196" i="43"/>
  <c r="AT18" i="8"/>
  <c r="CM116" i="43"/>
  <c r="M62" i="43"/>
  <c r="M66" i="43" s="1"/>
  <c r="I221" i="1"/>
  <c r="J499" i="43"/>
  <c r="R468" i="43"/>
  <c r="CN6" i="43"/>
  <c r="CB262" i="43"/>
  <c r="O270" i="43"/>
  <c r="CA127" i="43"/>
  <c r="CA254" i="43"/>
  <c r="T297" i="43"/>
  <c r="CF278" i="43"/>
  <c r="CF196" i="43"/>
  <c r="CE86" i="43"/>
  <c r="CE92" i="43" s="1"/>
  <c r="CE93" i="43" s="1"/>
  <c r="AP205" i="8"/>
  <c r="R25" i="43"/>
  <c r="E27" i="1"/>
  <c r="E10" i="1"/>
  <c r="AU42" i="8"/>
  <c r="AA345" i="43"/>
  <c r="E182" i="1"/>
  <c r="E184" i="1" s="1"/>
  <c r="Q99" i="1"/>
  <c r="D27" i="1"/>
  <c r="D36" i="1" s="1"/>
  <c r="AA285" i="43"/>
  <c r="O25" i="43"/>
  <c r="BZ285" i="43"/>
  <c r="K18" i="46"/>
  <c r="T73" i="1"/>
  <c r="M131" i="1"/>
  <c r="M128" i="1"/>
  <c r="T250" i="1"/>
  <c r="BQ232" i="43"/>
  <c r="AG205" i="8"/>
  <c r="V272" i="43"/>
  <c r="CB82" i="43"/>
  <c r="BQ60" i="43"/>
  <c r="BU95" i="43"/>
  <c r="AM33" i="8"/>
  <c r="AM34" i="8" s="1"/>
  <c r="E99" i="1"/>
  <c r="E100" i="1" s="1"/>
  <c r="K109" i="1"/>
  <c r="CN267" i="43"/>
  <c r="CC231" i="43"/>
  <c r="E37" i="43"/>
  <c r="E38" i="43" s="1"/>
  <c r="CI36" i="43"/>
  <c r="U205" i="8"/>
  <c r="BR27" i="43"/>
  <c r="M182" i="1"/>
  <c r="I182" i="1"/>
  <c r="I184" i="1" s="1"/>
  <c r="AL42" i="8"/>
  <c r="N99" i="1"/>
  <c r="N100" i="1" s="1"/>
  <c r="AB232" i="43"/>
  <c r="BA196" i="8"/>
  <c r="BA198" i="8" s="1"/>
  <c r="N73" i="1"/>
  <c r="F27" i="1"/>
  <c r="AC196" i="43"/>
  <c r="AA296" i="43"/>
  <c r="AN29" i="8"/>
  <c r="AN30" i="8" s="1"/>
  <c r="AS30" i="8"/>
  <c r="AS33" i="8" s="1"/>
  <c r="AS34" i="8" s="1"/>
  <c r="AR29" i="8"/>
  <c r="AR30" i="8" s="1"/>
  <c r="AV29" i="8"/>
  <c r="AU33" i="8"/>
  <c r="AI30" i="8"/>
  <c r="AL33" i="8"/>
  <c r="S25" i="43"/>
  <c r="AO22" i="8"/>
  <c r="AO25" i="8"/>
  <c r="AK23" i="8"/>
  <c r="AL29" i="8"/>
  <c r="AL30" i="8" s="1"/>
  <c r="I33" i="8"/>
  <c r="AH64" i="8"/>
  <c r="AK60" i="8"/>
  <c r="AJ34" i="8"/>
  <c r="BO27" i="43"/>
  <c r="N25" i="43"/>
  <c r="U33" i="8"/>
  <c r="AN64" i="8"/>
  <c r="AN60" i="8"/>
  <c r="AO42" i="8"/>
  <c r="AR42" i="8"/>
  <c r="AR33" i="8"/>
  <c r="AO33" i="8"/>
  <c r="AD33" i="8"/>
  <c r="P25" i="43"/>
  <c r="BK45" i="43"/>
  <c r="S153" i="43"/>
  <c r="S157" i="43" s="1"/>
  <c r="I238" i="43"/>
  <c r="H216" i="43"/>
  <c r="L509" i="43"/>
  <c r="L258" i="43"/>
  <c r="AB25" i="43"/>
  <c r="AE26" i="43" s="1"/>
  <c r="BC11" i="8"/>
  <c r="C84" i="2"/>
  <c r="C42" i="2"/>
  <c r="C47" i="2" s="1"/>
  <c r="D44" i="2" s="1"/>
  <c r="U119" i="43"/>
  <c r="N281" i="43"/>
  <c r="T17" i="2"/>
  <c r="T67" i="2"/>
  <c r="K30" i="46"/>
  <c r="Z76" i="43"/>
  <c r="U29" i="1"/>
  <c r="U34" i="1" s="1"/>
  <c r="AA408" i="43"/>
  <c r="AD408" i="43" s="1"/>
  <c r="AG408" i="43" s="1"/>
  <c r="Q33" i="43"/>
  <c r="BO45" i="43"/>
  <c r="T271" i="43"/>
  <c r="CL270" i="43"/>
  <c r="U273" i="43"/>
  <c r="T66" i="2"/>
  <c r="AB257" i="43"/>
  <c r="Y257" i="43"/>
  <c r="P126" i="43"/>
  <c r="P140" i="43"/>
  <c r="Q140" i="43"/>
  <c r="BN44" i="43"/>
  <c r="BN41" i="43" s="1"/>
  <c r="BN43" i="43" s="1"/>
  <c r="H52" i="8" s="1"/>
  <c r="BM41" i="43"/>
  <c r="BM43" i="43" s="1"/>
  <c r="G52" i="8" s="1"/>
  <c r="G53" i="8" s="1"/>
  <c r="P476" i="43"/>
  <c r="R477" i="43"/>
  <c r="R483" i="43" s="1"/>
  <c r="N169" i="43"/>
  <c r="N74" i="43" s="1"/>
  <c r="N75" i="43" s="1"/>
  <c r="BZ168" i="43"/>
  <c r="AO185" i="8"/>
  <c r="Q182" i="1"/>
  <c r="BT75" i="43"/>
  <c r="J30" i="46"/>
  <c r="S67" i="2"/>
  <c r="J20" i="46"/>
  <c r="S17" i="2"/>
  <c r="X352" i="43"/>
  <c r="I52" i="46"/>
  <c r="AV270" i="8"/>
  <c r="M256" i="43"/>
  <c r="M31" i="43"/>
  <c r="BX262" i="43"/>
  <c r="Y338" i="43"/>
  <c r="X338" i="43"/>
  <c r="CL266" i="43"/>
  <c r="K254" i="43"/>
  <c r="J147" i="43"/>
  <c r="J148" i="43" s="1"/>
  <c r="J149" i="43" s="1"/>
  <c r="AD205" i="8"/>
  <c r="F35" i="8"/>
  <c r="Q25" i="43"/>
  <c r="L250" i="1"/>
  <c r="AX42" i="8"/>
  <c r="BA33" i="8"/>
  <c r="AB348" i="43"/>
  <c r="AB42" i="43"/>
  <c r="AB335" i="43"/>
  <c r="CL254" i="43" l="1"/>
  <c r="AE219" i="1"/>
  <c r="CJ254" i="43"/>
  <c r="CH254" i="43"/>
  <c r="J46" i="46"/>
  <c r="AA499" i="43"/>
  <c r="AA96" i="43"/>
  <c r="Z90" i="43"/>
  <c r="BA22" i="8" s="1"/>
  <c r="AO168" i="1"/>
  <c r="AP168" i="1" s="1"/>
  <c r="AB5" i="43"/>
  <c r="AB85" i="43"/>
  <c r="AE86" i="43" s="1"/>
  <c r="AB294" i="43"/>
  <c r="AB303" i="43"/>
  <c r="AB281" i="43"/>
  <c r="AE282" i="43" s="1"/>
  <c r="S19" i="1"/>
  <c r="AC12" i="46" s="1"/>
  <c r="AC11" i="46" s="1"/>
  <c r="AB87" i="43"/>
  <c r="CN335" i="43"/>
  <c r="Y43" i="43"/>
  <c r="AZ52" i="8" s="1"/>
  <c r="AZ134" i="8" s="1"/>
  <c r="AZ132" i="8" s="1"/>
  <c r="X286" i="43"/>
  <c r="AY269" i="8"/>
  <c r="Y25" i="43"/>
  <c r="Y26" i="43" s="1"/>
  <c r="Z285" i="43"/>
  <c r="X499" i="43"/>
  <c r="X7" i="43"/>
  <c r="Z348" i="43"/>
  <c r="BB134" i="8"/>
  <c r="BA186" i="8"/>
  <c r="AB41" i="43"/>
  <c r="AB43" i="43" s="1"/>
  <c r="AE46" i="43" s="1"/>
  <c r="Y85" i="43"/>
  <c r="Y303" i="43"/>
  <c r="Z84" i="43"/>
  <c r="Z87" i="43" s="1"/>
  <c r="Y294" i="43"/>
  <c r="Y5" i="43"/>
  <c r="Y281" i="43"/>
  <c r="Y287" i="43"/>
  <c r="W143" i="43"/>
  <c r="W145" i="43" s="1"/>
  <c r="AA352" i="43"/>
  <c r="CN3" i="43"/>
  <c r="CM259" i="43"/>
  <c r="CN254" i="43"/>
  <c r="W3" i="43"/>
  <c r="AA282" i="43"/>
  <c r="AE259" i="43"/>
  <c r="X145" i="43"/>
  <c r="AA86" i="43"/>
  <c r="AA92" i="43" s="1"/>
  <c r="X282" i="43"/>
  <c r="AA46" i="43"/>
  <c r="K29" i="46"/>
  <c r="AA25" i="43"/>
  <c r="K13" i="46"/>
  <c r="AD40" i="46" s="1"/>
  <c r="AA20" i="43"/>
  <c r="AA22" i="43" s="1"/>
  <c r="BB11" i="8" s="1"/>
  <c r="AD232" i="43"/>
  <c r="T164" i="1"/>
  <c r="T16" i="2"/>
  <c r="T62" i="2" s="1"/>
  <c r="AA230" i="43"/>
  <c r="I46" i="46"/>
  <c r="Q297" i="43"/>
  <c r="X96" i="43"/>
  <c r="X66" i="43" s="1"/>
  <c r="AS38" i="8"/>
  <c r="AS40" i="8" s="1"/>
  <c r="AS41" i="8" s="1"/>
  <c r="M60" i="43"/>
  <c r="Q60" i="43"/>
  <c r="X36" i="43"/>
  <c r="M86" i="43"/>
  <c r="M92" i="43" s="1"/>
  <c r="M93" i="43" s="1"/>
  <c r="U91" i="43"/>
  <c r="R126" i="1"/>
  <c r="Q499" i="43"/>
  <c r="D227" i="1"/>
  <c r="CN90" i="43"/>
  <c r="AU22" i="8" s="1"/>
  <c r="P36" i="1"/>
  <c r="Z16" i="46" s="1"/>
  <c r="Z15" i="46" s="1"/>
  <c r="Z337" i="43"/>
  <c r="Z342" i="43" s="1"/>
  <c r="Z343" i="43" s="1"/>
  <c r="AB287" i="43"/>
  <c r="AE288" i="43" s="1"/>
  <c r="AA144" i="43"/>
  <c r="AT11" i="8"/>
  <c r="AT55" i="8" s="1"/>
  <c r="P109" i="1"/>
  <c r="P113" i="1" s="1"/>
  <c r="P240" i="1" s="1"/>
  <c r="D47" i="2"/>
  <c r="E44" i="2" s="1"/>
  <c r="E47" i="2" s="1"/>
  <c r="F44" i="2" s="1"/>
  <c r="F47" i="2" s="1"/>
  <c r="G44" i="2" s="1"/>
  <c r="G47" i="2" s="1"/>
  <c r="H44" i="2" s="1"/>
  <c r="H47" i="2" s="1"/>
  <c r="I44" i="2" s="1"/>
  <c r="I47" i="2" s="1"/>
  <c r="J44" i="2" s="1"/>
  <c r="J47" i="2" s="1"/>
  <c r="K44" i="2" s="1"/>
  <c r="K47" i="2" s="1"/>
  <c r="L44" i="2" s="1"/>
  <c r="L47" i="2" s="1"/>
  <c r="M44" i="2" s="1"/>
  <c r="M47" i="2" s="1"/>
  <c r="N44" i="2" s="1"/>
  <c r="N47" i="2" s="1"/>
  <c r="O44" i="2" s="1"/>
  <c r="O47" i="2" s="1"/>
  <c r="P44" i="2" s="1"/>
  <c r="P47" i="2" s="1"/>
  <c r="Q44" i="2" s="1"/>
  <c r="U287" i="43"/>
  <c r="X288" i="43" s="1"/>
  <c r="J247" i="1"/>
  <c r="BW254" i="43"/>
  <c r="AZ64" i="8"/>
  <c r="AZ136" i="8" s="1"/>
  <c r="Z37" i="43"/>
  <c r="AA338" i="43"/>
  <c r="X86" i="43"/>
  <c r="X91" i="43" s="1"/>
  <c r="U130" i="43"/>
  <c r="AV35" i="8"/>
  <c r="AD144" i="43"/>
  <c r="P7" i="43"/>
  <c r="P60" i="43" s="1"/>
  <c r="AA147" i="43"/>
  <c r="AA148" i="43" s="1"/>
  <c r="AD8" i="46"/>
  <c r="U116" i="43"/>
  <c r="U123" i="43" s="1"/>
  <c r="U127" i="43" s="1"/>
  <c r="U229" i="43"/>
  <c r="X232" i="43" s="1"/>
  <c r="U99" i="43"/>
  <c r="AD147" i="43"/>
  <c r="AD148" i="43" s="1"/>
  <c r="U96" i="43"/>
  <c r="U66" i="43" s="1"/>
  <c r="Z143" i="43"/>
  <c r="N86" i="43"/>
  <c r="N92" i="43" s="1"/>
  <c r="N93" i="43" s="1"/>
  <c r="U145" i="43"/>
  <c r="Y87" i="43"/>
  <c r="X8" i="46"/>
  <c r="X11" i="46" s="1"/>
  <c r="F36" i="1"/>
  <c r="Y13" i="46"/>
  <c r="Y15" i="46" s="1"/>
  <c r="P20" i="2"/>
  <c r="P64" i="2" s="1"/>
  <c r="AW11" i="8"/>
  <c r="AW55" i="8" s="1"/>
  <c r="CA45" i="43"/>
  <c r="R49" i="8"/>
  <c r="R46" i="8" s="1"/>
  <c r="BN8" i="43"/>
  <c r="R19" i="1"/>
  <c r="AB12" i="46" s="1"/>
  <c r="E36" i="1"/>
  <c r="C38" i="1"/>
  <c r="C48" i="1" s="1"/>
  <c r="C2" i="1" s="1"/>
  <c r="C54" i="2" s="1"/>
  <c r="F128" i="1"/>
  <c r="O19" i="1"/>
  <c r="Y12" i="46" s="1"/>
  <c r="Y18" i="46" s="1"/>
  <c r="CH20" i="43"/>
  <c r="CH22" i="43" s="1"/>
  <c r="AL11" i="8" s="1"/>
  <c r="N38" i="1"/>
  <c r="N48" i="1" s="1"/>
  <c r="N2" i="1" s="1"/>
  <c r="N54" i="2" s="1"/>
  <c r="CC61" i="43"/>
  <c r="CN285" i="43"/>
  <c r="CN287" i="43" s="1"/>
  <c r="BA62" i="8"/>
  <c r="BA114" i="8" s="1"/>
  <c r="BA205" i="8" s="1"/>
  <c r="AZ114" i="8"/>
  <c r="AZ205" i="8" s="1"/>
  <c r="E19" i="1"/>
  <c r="I247" i="1"/>
  <c r="R109" i="1"/>
  <c r="AB19" i="46" s="1"/>
  <c r="Q36" i="1"/>
  <c r="AA16" i="46" s="1"/>
  <c r="Q20" i="2"/>
  <c r="H33" i="46" s="1"/>
  <c r="I145" i="1"/>
  <c r="W13" i="46"/>
  <c r="W15" i="46" s="1"/>
  <c r="H146" i="1"/>
  <c r="J38" i="1"/>
  <c r="J48" i="1" s="1"/>
  <c r="J2" i="1" s="1"/>
  <c r="J54" i="2" s="1"/>
  <c r="F19" i="1"/>
  <c r="L36" i="1"/>
  <c r="L38" i="1" s="1"/>
  <c r="L48" i="1" s="1"/>
  <c r="L2" i="1" s="1"/>
  <c r="L54" i="2" s="1"/>
  <c r="M109" i="1"/>
  <c r="M113" i="1" s="1"/>
  <c r="M240" i="1" s="1"/>
  <c r="D19" i="1"/>
  <c r="D38" i="1" s="1"/>
  <c r="D48" i="1" s="1"/>
  <c r="D2" i="1" s="1"/>
  <c r="D54" i="2" s="1"/>
  <c r="AW73" i="8"/>
  <c r="AW193" i="8" s="1"/>
  <c r="AW203" i="8" s="1"/>
  <c r="AW76" i="8" s="1"/>
  <c r="AW136" i="8"/>
  <c r="R91" i="1"/>
  <c r="N247" i="1"/>
  <c r="AS160" i="8"/>
  <c r="AA14" i="46"/>
  <c r="G19" i="1"/>
  <c r="G38" i="1" s="1"/>
  <c r="G48" i="1" s="1"/>
  <c r="G2" i="1" s="1"/>
  <c r="G54" i="2" s="1"/>
  <c r="X13" i="46"/>
  <c r="X15" i="46" s="1"/>
  <c r="Z8" i="46"/>
  <c r="Z11" i="46" s="1"/>
  <c r="Q108" i="1"/>
  <c r="Q109" i="1" s="1"/>
  <c r="AA19" i="46" s="1"/>
  <c r="X19" i="46"/>
  <c r="R20" i="2"/>
  <c r="R64" i="2" s="1"/>
  <c r="Q91" i="1"/>
  <c r="CD5" i="43"/>
  <c r="L46" i="43"/>
  <c r="K46" i="43"/>
  <c r="BL45" i="43"/>
  <c r="I38" i="1"/>
  <c r="I48" i="1" s="1"/>
  <c r="I2" i="1" s="1"/>
  <c r="I54" i="2" s="1"/>
  <c r="X208" i="1"/>
  <c r="X45" i="46"/>
  <c r="X46" i="46" s="1"/>
  <c r="Y19" i="46"/>
  <c r="O247" i="1"/>
  <c r="O113" i="1"/>
  <c r="O240" i="1" s="1"/>
  <c r="H38" i="1"/>
  <c r="H48" i="1" s="1"/>
  <c r="H2" i="1" s="1"/>
  <c r="H54" i="2" s="1"/>
  <c r="H247" i="1"/>
  <c r="H113" i="1"/>
  <c r="H240" i="1" s="1"/>
  <c r="U7" i="43"/>
  <c r="H16" i="2"/>
  <c r="H62" i="2" s="1"/>
  <c r="T230" i="43"/>
  <c r="T231" i="43" s="1"/>
  <c r="CN41" i="43"/>
  <c r="CN43" i="43" s="1"/>
  <c r="AU52" i="8" s="1"/>
  <c r="L121" i="43"/>
  <c r="CM327" i="43"/>
  <c r="G38" i="43"/>
  <c r="X323" i="43"/>
  <c r="AA323" i="43" s="1"/>
  <c r="AD323" i="43" s="1"/>
  <c r="AB323" i="43" s="1"/>
  <c r="BU61" i="43"/>
  <c r="BV55" i="43"/>
  <c r="BT186" i="43"/>
  <c r="BW257" i="43"/>
  <c r="X144" i="43"/>
  <c r="M64" i="2"/>
  <c r="AA271" i="43"/>
  <c r="K46" i="46" s="1"/>
  <c r="R86" i="43"/>
  <c r="R92" i="43" s="1"/>
  <c r="R93" i="43" s="1"/>
  <c r="X147" i="43"/>
  <c r="X148" i="43" s="1"/>
  <c r="Z270" i="43"/>
  <c r="Z273" i="43" s="1"/>
  <c r="AA273" i="43"/>
  <c r="K7" i="43"/>
  <c r="AD273" i="43"/>
  <c r="U504" i="43"/>
  <c r="N55" i="43"/>
  <c r="O506" i="43"/>
  <c r="BP45" i="43"/>
  <c r="I54" i="46"/>
  <c r="X317" i="43"/>
  <c r="X321" i="43" s="1"/>
  <c r="X327" i="43" s="1"/>
  <c r="CM44" i="43"/>
  <c r="AT23" i="8" s="1"/>
  <c r="AT24" i="8" s="1"/>
  <c r="CM41" i="43"/>
  <c r="CM43" i="43" s="1"/>
  <c r="AT52" i="8" s="1"/>
  <c r="P100" i="1"/>
  <c r="K38" i="1"/>
  <c r="K48" i="1" s="1"/>
  <c r="K2" i="1" s="1"/>
  <c r="K54" i="2" s="1"/>
  <c r="AY106" i="8"/>
  <c r="J17" i="46"/>
  <c r="AC25" i="46" s="1"/>
  <c r="AY64" i="8"/>
  <c r="AY73" i="8" s="1"/>
  <c r="AX60" i="8"/>
  <c r="AN6" i="8"/>
  <c r="AN53" i="8" s="1"/>
  <c r="BO61" i="43"/>
  <c r="Y286" i="43"/>
  <c r="BT45" i="43"/>
  <c r="AB286" i="43"/>
  <c r="AA55" i="43"/>
  <c r="BZ210" i="43"/>
  <c r="BZ226" i="43" s="1"/>
  <c r="L273" i="43"/>
  <c r="S223" i="1"/>
  <c r="AJ22" i="8"/>
  <c r="R108" i="43"/>
  <c r="R219" i="43" s="1"/>
  <c r="CB230" i="43"/>
  <c r="CB231" i="43" s="1"/>
  <c r="K271" i="43"/>
  <c r="CI23" i="43"/>
  <c r="BV270" i="43"/>
  <c r="BV271" i="43" s="1"/>
  <c r="CF36" i="43"/>
  <c r="Z263" i="43"/>
  <c r="BX5" i="43"/>
  <c r="E195" i="43"/>
  <c r="E198" i="43" s="1"/>
  <c r="CH226" i="43"/>
  <c r="S337" i="43"/>
  <c r="S338" i="43" s="1"/>
  <c r="BT60" i="43"/>
  <c r="BV185" i="43"/>
  <c r="BV186" i="43" s="1"/>
  <c r="BV189" i="43" s="1"/>
  <c r="BU272" i="43"/>
  <c r="CM5" i="43"/>
  <c r="CL62" i="43"/>
  <c r="V231" i="43"/>
  <c r="CM303" i="43"/>
  <c r="BN20" i="43"/>
  <c r="BN22" i="43" s="1"/>
  <c r="H11" i="8" s="1"/>
  <c r="H46" i="8" s="1"/>
  <c r="H47" i="8" s="1"/>
  <c r="D200" i="43"/>
  <c r="R434" i="43"/>
  <c r="J17" i="43"/>
  <c r="J18" i="43" s="1"/>
  <c r="P436" i="43"/>
  <c r="M35" i="43"/>
  <c r="BT270" i="43"/>
  <c r="BT271" i="43" s="1"/>
  <c r="CM85" i="43"/>
  <c r="CN85" i="43" s="1"/>
  <c r="CJ263" i="43"/>
  <c r="CL264" i="43" s="1"/>
  <c r="CB5" i="43"/>
  <c r="J23" i="43"/>
  <c r="M147" i="43"/>
  <c r="M148" i="43" s="1"/>
  <c r="M149" i="43" s="1"/>
  <c r="CI8" i="43"/>
  <c r="CG23" i="43"/>
  <c r="CM281" i="43"/>
  <c r="S482" i="43"/>
  <c r="S480" i="43" s="1"/>
  <c r="S503" i="43" s="1"/>
  <c r="S505" i="43" s="1"/>
  <c r="AT43" i="8"/>
  <c r="CJ93" i="43"/>
  <c r="BX85" i="43"/>
  <c r="CM93" i="43"/>
  <c r="BW61" i="43"/>
  <c r="BM231" i="43"/>
  <c r="R106" i="43"/>
  <c r="R217" i="43" s="1"/>
  <c r="BZ36" i="43"/>
  <c r="I38" i="43"/>
  <c r="AA33" i="43"/>
  <c r="AA37" i="43" s="1"/>
  <c r="AL58" i="8"/>
  <c r="AL64" i="8" s="1"/>
  <c r="AA232" i="43"/>
  <c r="AJ41" i="8"/>
  <c r="CH85" i="43"/>
  <c r="U487" i="43"/>
  <c r="U482" i="43" s="1"/>
  <c r="U480" i="43" s="1"/>
  <c r="U491" i="43" s="1"/>
  <c r="CJ210" i="43"/>
  <c r="CJ226" i="43" s="1"/>
  <c r="CF59" i="43"/>
  <c r="AI58" i="8" s="1"/>
  <c r="CB303" i="43"/>
  <c r="CH232" i="43"/>
  <c r="CN62" i="43"/>
  <c r="CB294" i="43"/>
  <c r="T60" i="43"/>
  <c r="CM130" i="43"/>
  <c r="CJ20" i="43"/>
  <c r="CJ22" i="43" s="1"/>
  <c r="AO11" i="8" s="1"/>
  <c r="S23" i="43"/>
  <c r="X230" i="43"/>
  <c r="CG286" i="43"/>
  <c r="CD36" i="43"/>
  <c r="T325" i="43"/>
  <c r="T310" i="43" s="1"/>
  <c r="T312" i="43" s="1"/>
  <c r="P450" i="43"/>
  <c r="Z296" i="43"/>
  <c r="Z41" i="43" s="1"/>
  <c r="Z43" i="43" s="1"/>
  <c r="BP8" i="43"/>
  <c r="CB283" i="43"/>
  <c r="Z31" i="43"/>
  <c r="BV76" i="43"/>
  <c r="BV75" i="43" s="1"/>
  <c r="U499" i="43"/>
  <c r="F201" i="43"/>
  <c r="CM294" i="43"/>
  <c r="W229" i="43"/>
  <c r="W20" i="43" s="1"/>
  <c r="W22" i="43" s="1"/>
  <c r="Y231" i="43"/>
  <c r="BX169" i="43"/>
  <c r="BX74" i="43" s="1"/>
  <c r="BX75" i="43" s="1"/>
  <c r="CD294" i="43"/>
  <c r="BY61" i="43"/>
  <c r="CF263" i="43"/>
  <c r="CH264" i="43" s="1"/>
  <c r="CM286" i="43"/>
  <c r="BT263" i="43"/>
  <c r="Y44" i="43"/>
  <c r="Y47" i="43" s="1"/>
  <c r="S281" i="43"/>
  <c r="CC45" i="43"/>
  <c r="M107" i="43"/>
  <c r="CG8" i="43"/>
  <c r="CJ127" i="43"/>
  <c r="F23" i="43"/>
  <c r="L102" i="43"/>
  <c r="L130" i="43" s="1"/>
  <c r="Q86" i="43"/>
  <c r="Q92" i="43" s="1"/>
  <c r="Q93" i="43" s="1"/>
  <c r="Q50" i="8"/>
  <c r="O7" i="8"/>
  <c r="N7" i="8"/>
  <c r="AH7" i="8"/>
  <c r="K53" i="8"/>
  <c r="V56" i="8"/>
  <c r="Q53" i="8"/>
  <c r="S53" i="8"/>
  <c r="T7" i="8"/>
  <c r="Y7" i="8"/>
  <c r="V12" i="8"/>
  <c r="Y13" i="8" s="1"/>
  <c r="AE53" i="8"/>
  <c r="AF65" i="8"/>
  <c r="AF50" i="8"/>
  <c r="H53" i="8"/>
  <c r="M7" i="8"/>
  <c r="T53" i="8"/>
  <c r="AC7" i="8"/>
  <c r="J56" i="8"/>
  <c r="AB13" i="8"/>
  <c r="AE56" i="8"/>
  <c r="J53" i="8"/>
  <c r="S10" i="8"/>
  <c r="J47" i="8"/>
  <c r="V10" i="8"/>
  <c r="S12" i="8"/>
  <c r="S56" i="8"/>
  <c r="S47" i="8"/>
  <c r="BW45" i="43"/>
  <c r="V52" i="8"/>
  <c r="V53" i="8" s="1"/>
  <c r="K12" i="8"/>
  <c r="K10" i="8"/>
  <c r="Z50" i="8"/>
  <c r="BU57" i="43"/>
  <c r="T58" i="8"/>
  <c r="W60" i="8" s="1"/>
  <c r="E50" i="8"/>
  <c r="AE7" i="8"/>
  <c r="AE59" i="8"/>
  <c r="AE65" i="8"/>
  <c r="P55" i="8"/>
  <c r="P56" i="8" s="1"/>
  <c r="P12" i="8"/>
  <c r="P13" i="8" s="1"/>
  <c r="P10" i="8"/>
  <c r="G12" i="8"/>
  <c r="G13" i="8" s="1"/>
  <c r="G10" i="8"/>
  <c r="G55" i="8"/>
  <c r="G56" i="8" s="1"/>
  <c r="Y46" i="8"/>
  <c r="Y47" i="8" s="1"/>
  <c r="Y50" i="8"/>
  <c r="AF7" i="8"/>
  <c r="P50" i="8"/>
  <c r="P46" i="8"/>
  <c r="P47" i="8" s="1"/>
  <c r="H50" i="8"/>
  <c r="Q65" i="8"/>
  <c r="Q73" i="8"/>
  <c r="AE50" i="8"/>
  <c r="BZ41" i="43"/>
  <c r="BZ43" i="43" s="1"/>
  <c r="Z52" i="8" s="1"/>
  <c r="Z53" i="8" s="1"/>
  <c r="Z23" i="8"/>
  <c r="Z24" i="8" s="1"/>
  <c r="J7" i="8"/>
  <c r="J59" i="8"/>
  <c r="J65" i="8"/>
  <c r="J50" i="8"/>
  <c r="Q7" i="8"/>
  <c r="BN55" i="43"/>
  <c r="H58" i="8"/>
  <c r="E64" i="8"/>
  <c r="E59" i="8"/>
  <c r="W64" i="8"/>
  <c r="Z64" i="8"/>
  <c r="Z59" i="8"/>
  <c r="Z60" i="8"/>
  <c r="BX45" i="43"/>
  <c r="W6" i="8"/>
  <c r="Z7" i="8" s="1"/>
  <c r="K46" i="8"/>
  <c r="K47" i="8" s="1"/>
  <c r="K50" i="8"/>
  <c r="AE10" i="8"/>
  <c r="K7" i="8"/>
  <c r="S59" i="8"/>
  <c r="S7" i="8"/>
  <c r="S65" i="8"/>
  <c r="G46" i="8"/>
  <c r="G47" i="8" s="1"/>
  <c r="N50" i="8"/>
  <c r="J12" i="8"/>
  <c r="M13" i="8" s="1"/>
  <c r="AC10" i="8"/>
  <c r="AC12" i="8"/>
  <c r="AC50" i="8"/>
  <c r="AC46" i="8"/>
  <c r="AC47" i="8" s="1"/>
  <c r="M46" i="8"/>
  <c r="M47" i="8" s="1"/>
  <c r="M50" i="8"/>
  <c r="T50" i="8"/>
  <c r="D46" i="8"/>
  <c r="D47" i="8" s="1"/>
  <c r="D50" i="8"/>
  <c r="BO57" i="43"/>
  <c r="K58" i="8"/>
  <c r="BT62" i="43"/>
  <c r="N58" i="8"/>
  <c r="N53" i="8"/>
  <c r="AE12" i="8"/>
  <c r="AE13" i="8" s="1"/>
  <c r="V65" i="8"/>
  <c r="V7" i="8"/>
  <c r="V59" i="8"/>
  <c r="V47" i="8"/>
  <c r="S30" i="8"/>
  <c r="S23" i="8"/>
  <c r="S24" i="8" s="1"/>
  <c r="O60" i="8"/>
  <c r="AH50" i="8"/>
  <c r="F420" i="43"/>
  <c r="L7" i="8"/>
  <c r="K184" i="1"/>
  <c r="L39" i="8"/>
  <c r="L38" i="8" s="1"/>
  <c r="L40" i="8" s="1"/>
  <c r="L41" i="8" s="1"/>
  <c r="M25" i="43"/>
  <c r="N26" i="43" s="1"/>
  <c r="BY27" i="43"/>
  <c r="CA28" i="43" s="1"/>
  <c r="AD64" i="8"/>
  <c r="AD73" i="8" s="1"/>
  <c r="AD79" i="8" s="1"/>
  <c r="L236" i="1" s="1"/>
  <c r="L241" i="1" s="1"/>
  <c r="AA64" i="8"/>
  <c r="AA73" i="8" s="1"/>
  <c r="AA193" i="8" s="1"/>
  <c r="AA191" i="8" s="1"/>
  <c r="AA201" i="8" s="1"/>
  <c r="AA77" i="8" s="1"/>
  <c r="W30" i="8"/>
  <c r="W23" i="8"/>
  <c r="W24" i="8" s="1"/>
  <c r="T29" i="8"/>
  <c r="J25" i="43"/>
  <c r="J420" i="43" s="1"/>
  <c r="Q66" i="2"/>
  <c r="AP39" i="8"/>
  <c r="U64" i="8"/>
  <c r="I238" i="1" s="1"/>
  <c r="I239" i="1" s="1"/>
  <c r="T42" i="8"/>
  <c r="R64" i="8"/>
  <c r="H15" i="2" s="1"/>
  <c r="D167" i="1"/>
  <c r="G74" i="1"/>
  <c r="L64" i="8"/>
  <c r="L65" i="8" s="1"/>
  <c r="F74" i="1"/>
  <c r="F55" i="8"/>
  <c r="F56" i="8" s="1"/>
  <c r="R55" i="8"/>
  <c r="F167" i="1"/>
  <c r="I7" i="8"/>
  <c r="F56" i="1"/>
  <c r="E57" i="1"/>
  <c r="I60" i="8"/>
  <c r="D74" i="1"/>
  <c r="M184" i="1"/>
  <c r="R34" i="8"/>
  <c r="R40" i="8"/>
  <c r="D223" i="1"/>
  <c r="O34" i="8"/>
  <c r="G25" i="43"/>
  <c r="G420" i="43" s="1"/>
  <c r="AU64" i="8"/>
  <c r="F33" i="8"/>
  <c r="I34" i="8" s="1"/>
  <c r="Q184" i="1"/>
  <c r="L34" i="8"/>
  <c r="I25" i="43"/>
  <c r="I27" i="43" s="1"/>
  <c r="R23" i="8"/>
  <c r="R24" i="8" s="1"/>
  <c r="K25" i="43" s="1"/>
  <c r="F147" i="8"/>
  <c r="F148" i="8" s="1"/>
  <c r="AH59" i="8"/>
  <c r="L26" i="8"/>
  <c r="F26" i="8"/>
  <c r="F10" i="8"/>
  <c r="D64" i="1" s="1"/>
  <c r="D57" i="1"/>
  <c r="G17" i="46"/>
  <c r="Z25" i="46" s="1"/>
  <c r="F60" i="8"/>
  <c r="F64" i="8"/>
  <c r="F136" i="8" s="1"/>
  <c r="F139" i="8" s="1"/>
  <c r="F182" i="8" s="1"/>
  <c r="F50" i="8"/>
  <c r="D126" i="1"/>
  <c r="F59" i="8"/>
  <c r="I413" i="43"/>
  <c r="G13" i="46"/>
  <c r="Z40" i="46" s="1"/>
  <c r="AS159" i="8"/>
  <c r="F57" i="1"/>
  <c r="G413" i="43"/>
  <c r="D56" i="1"/>
  <c r="L147" i="8"/>
  <c r="L148" i="8" s="1"/>
  <c r="H18" i="46"/>
  <c r="AA39" i="46" s="1"/>
  <c r="AG60" i="8"/>
  <c r="F126" i="1"/>
  <c r="O20" i="2"/>
  <c r="F33" i="46" s="1"/>
  <c r="F53" i="8"/>
  <c r="F47" i="8"/>
  <c r="AP187" i="8"/>
  <c r="AH53" i="8"/>
  <c r="CN31" i="43"/>
  <c r="CE141" i="43"/>
  <c r="AS18" i="8"/>
  <c r="AS22" i="8"/>
  <c r="T35" i="43"/>
  <c r="BU258" i="43"/>
  <c r="BW259" i="43" s="1"/>
  <c r="CJ303" i="43"/>
  <c r="AS28" i="8"/>
  <c r="L50" i="8"/>
  <c r="H223" i="1"/>
  <c r="CI9" i="43"/>
  <c r="CJ9" i="43" s="1"/>
  <c r="CK9" i="43" s="1"/>
  <c r="CL9" i="43" s="1"/>
  <c r="BN28" i="43"/>
  <c r="N147" i="43"/>
  <c r="N148" i="43" s="1"/>
  <c r="N149" i="43" s="1"/>
  <c r="CD303" i="43"/>
  <c r="CD86" i="43"/>
  <c r="CD92" i="43" s="1"/>
  <c r="CD93" i="43" s="1"/>
  <c r="L223" i="1"/>
  <c r="T20" i="2"/>
  <c r="T64" i="2" s="1"/>
  <c r="BZ294" i="43"/>
  <c r="C64" i="8"/>
  <c r="C15" i="2" s="1"/>
  <c r="C21" i="2" s="1"/>
  <c r="C68" i="2" s="1"/>
  <c r="CH7" i="43"/>
  <c r="P257" i="43"/>
  <c r="CL324" i="43"/>
  <c r="L257" i="43"/>
  <c r="CJ270" i="43"/>
  <c r="CJ55" i="43" s="1"/>
  <c r="BX33" i="43"/>
  <c r="W49" i="8" s="1"/>
  <c r="R273" i="43"/>
  <c r="L510" i="43"/>
  <c r="CH294" i="43"/>
  <c r="BX60" i="43"/>
  <c r="BZ60" i="43"/>
  <c r="CL116" i="43"/>
  <c r="CL130" i="43" s="1"/>
  <c r="U60" i="8"/>
  <c r="K231" i="43"/>
  <c r="S434" i="43"/>
  <c r="BT187" i="43"/>
  <c r="BR20" i="43"/>
  <c r="BR22" i="43" s="1"/>
  <c r="N11" i="8" s="1"/>
  <c r="AP22" i="8"/>
  <c r="CJ130" i="43"/>
  <c r="Q35" i="43"/>
  <c r="G146" i="1"/>
  <c r="CI286" i="43"/>
  <c r="Q434" i="43"/>
  <c r="Q433" i="43" s="1"/>
  <c r="W296" i="43"/>
  <c r="W41" i="43" s="1"/>
  <c r="W43" i="43" s="1"/>
  <c r="AX52" i="8" s="1"/>
  <c r="AX134" i="8" s="1"/>
  <c r="AX132" i="8" s="1"/>
  <c r="CN257" i="43"/>
  <c r="CF226" i="43"/>
  <c r="AJ28" i="8"/>
  <c r="R36" i="1"/>
  <c r="AB16" i="46" s="1"/>
  <c r="AB15" i="46" s="1"/>
  <c r="S89" i="1"/>
  <c r="AY160" i="8" s="1"/>
  <c r="L36" i="43"/>
  <c r="H235" i="43"/>
  <c r="H213" i="43" s="1"/>
  <c r="Q100" i="1"/>
  <c r="R27" i="43"/>
  <c r="I201" i="43"/>
  <c r="I203" i="43" s="1"/>
  <c r="E167" i="1"/>
  <c r="CN264" i="43"/>
  <c r="CH55" i="43"/>
  <c r="BT294" i="43"/>
  <c r="BN232" i="43"/>
  <c r="H218" i="43"/>
  <c r="R105" i="43"/>
  <c r="R216" i="43" s="1"/>
  <c r="C11" i="8"/>
  <c r="C10" i="8" s="1"/>
  <c r="C71" i="1" s="1"/>
  <c r="BU63" i="43"/>
  <c r="CJ137" i="43"/>
  <c r="J240" i="43"/>
  <c r="CH127" i="43"/>
  <c r="AJ37" i="8"/>
  <c r="S22" i="1"/>
  <c r="S27" i="1" s="1"/>
  <c r="AC13" i="46" s="1"/>
  <c r="X37" i="8"/>
  <c r="T22" i="1"/>
  <c r="T27" i="1" s="1"/>
  <c r="T36" i="1" s="1"/>
  <c r="AD16" i="46" s="1"/>
  <c r="X28" i="8"/>
  <c r="CD434" i="43"/>
  <c r="CD435" i="43" s="1"/>
  <c r="BT232" i="43"/>
  <c r="CJ256" i="43"/>
  <c r="CJ258" i="43" s="1"/>
  <c r="CL259" i="43" s="1"/>
  <c r="X22" i="8"/>
  <c r="I147" i="8"/>
  <c r="I148" i="8" s="1"/>
  <c r="R223" i="1"/>
  <c r="L231" i="43"/>
  <c r="BP55" i="43"/>
  <c r="CN321" i="43"/>
  <c r="V317" i="43" s="1"/>
  <c r="CJ232" i="43"/>
  <c r="R297" i="43"/>
  <c r="CN55" i="43"/>
  <c r="V41" i="43"/>
  <c r="V43" i="43" s="1"/>
  <c r="AW52" i="8" s="1"/>
  <c r="AW134" i="8" s="1"/>
  <c r="AW132" i="8" s="1"/>
  <c r="W62" i="43"/>
  <c r="N499" i="43"/>
  <c r="U322" i="43"/>
  <c r="U324" i="43" s="1"/>
  <c r="CN324" i="43" s="1"/>
  <c r="CN328" i="43" s="1"/>
  <c r="M223" i="1"/>
  <c r="BZ303" i="43"/>
  <c r="Q164" i="1"/>
  <c r="CH280" i="43"/>
  <c r="CK287" i="43"/>
  <c r="BV286" i="43"/>
  <c r="R257" i="43"/>
  <c r="S55" i="43"/>
  <c r="Q16" i="2"/>
  <c r="Q62" i="2" s="1"/>
  <c r="AV170" i="8"/>
  <c r="R281" i="43"/>
  <c r="BV253" i="43"/>
  <c r="BV254" i="43" s="1"/>
  <c r="CL322" i="43"/>
  <c r="X41" i="8"/>
  <c r="F13" i="46"/>
  <c r="Y40" i="46" s="1"/>
  <c r="S106" i="43"/>
  <c r="S217" i="43" s="1"/>
  <c r="CB145" i="43"/>
  <c r="BZ8" i="43"/>
  <c r="CM322" i="43"/>
  <c r="CH303" i="43"/>
  <c r="CH93" i="43"/>
  <c r="S105" i="43"/>
  <c r="S216" i="43" s="1"/>
  <c r="I222" i="43"/>
  <c r="AJ166" i="8"/>
  <c r="L297" i="43"/>
  <c r="BR36" i="43"/>
  <c r="C223" i="1"/>
  <c r="BR60" i="43"/>
  <c r="CH130" i="43"/>
  <c r="O86" i="43"/>
  <c r="O92" i="43" s="1"/>
  <c r="O93" i="43" s="1"/>
  <c r="CJ294" i="43"/>
  <c r="CK303" i="43"/>
  <c r="CJ85" i="43"/>
  <c r="CJ7" i="43"/>
  <c r="AO6" i="8" s="1"/>
  <c r="U55" i="8"/>
  <c r="U46" i="8"/>
  <c r="AM41" i="8"/>
  <c r="L60" i="43"/>
  <c r="L35" i="43"/>
  <c r="U22" i="8"/>
  <c r="U28" i="8"/>
  <c r="M10" i="43"/>
  <c r="U6" i="8"/>
  <c r="BU9" i="43"/>
  <c r="BV9" i="43" s="1"/>
  <c r="L45" i="43"/>
  <c r="U37" i="8"/>
  <c r="M8" i="43"/>
  <c r="U41" i="8"/>
  <c r="CE9" i="43"/>
  <c r="CF9" i="43" s="1"/>
  <c r="CH256" i="43"/>
  <c r="CH258" i="43" s="1"/>
  <c r="CH137" i="43"/>
  <c r="E56" i="1"/>
  <c r="CE8" i="43"/>
  <c r="X37" i="43"/>
  <c r="X272" i="43"/>
  <c r="CI45" i="43"/>
  <c r="AT60" i="8"/>
  <c r="CF256" i="43"/>
  <c r="CF258" i="43" s="1"/>
  <c r="T20" i="43"/>
  <c r="T22" i="43" s="1"/>
  <c r="AQ55" i="8"/>
  <c r="CL44" i="43"/>
  <c r="CK127" i="43"/>
  <c r="CK141" i="43" s="1"/>
  <c r="N258" i="43"/>
  <c r="AP37" i="8"/>
  <c r="S283" i="43"/>
  <c r="I50" i="8"/>
  <c r="L86" i="43"/>
  <c r="L92" i="43" s="1"/>
  <c r="L93" i="43" s="1"/>
  <c r="CK294" i="43"/>
  <c r="CK5" i="43"/>
  <c r="K281" i="43"/>
  <c r="D13" i="46"/>
  <c r="W40" i="46" s="1"/>
  <c r="L55" i="43"/>
  <c r="E74" i="1"/>
  <c r="I59" i="8"/>
  <c r="AQ60" i="8"/>
  <c r="E126" i="1"/>
  <c r="N273" i="43"/>
  <c r="W273" i="43"/>
  <c r="CL229" i="43"/>
  <c r="CL232" i="43" s="1"/>
  <c r="U36" i="43"/>
  <c r="CK283" i="43"/>
  <c r="CL280" i="43"/>
  <c r="CL283" i="43" s="1"/>
  <c r="K223" i="1"/>
  <c r="CB8" i="43"/>
  <c r="BP36" i="43"/>
  <c r="CK93" i="43"/>
  <c r="CK91" i="43" s="1"/>
  <c r="CE60" i="43"/>
  <c r="CE61" i="43" s="1"/>
  <c r="CI141" i="43"/>
  <c r="CE23" i="43"/>
  <c r="R463" i="43"/>
  <c r="R465" i="43" s="1"/>
  <c r="CF137" i="43"/>
  <c r="L37" i="43"/>
  <c r="AR23" i="8"/>
  <c r="AR24" i="8" s="1"/>
  <c r="I26" i="8"/>
  <c r="E21" i="2"/>
  <c r="E68" i="2" s="1"/>
  <c r="H413" i="43"/>
  <c r="N271" i="43"/>
  <c r="T232" i="43"/>
  <c r="L499" i="43"/>
  <c r="T36" i="43"/>
  <c r="E223" i="1"/>
  <c r="T127" i="43"/>
  <c r="T111" i="43" s="1"/>
  <c r="T222" i="43" s="1"/>
  <c r="CI297" i="43"/>
  <c r="CK281" i="43"/>
  <c r="T283" i="43"/>
  <c r="AP6" i="8"/>
  <c r="P74" i="1" s="1"/>
  <c r="BM61" i="43"/>
  <c r="AH10" i="8"/>
  <c r="Z259" i="43"/>
  <c r="AP159" i="8"/>
  <c r="AP166" i="8" s="1"/>
  <c r="AP168" i="8" s="1"/>
  <c r="Z51" i="46" s="1"/>
  <c r="L17" i="43"/>
  <c r="L18" i="43" s="1"/>
  <c r="AD166" i="8"/>
  <c r="BQ45" i="43"/>
  <c r="S285" i="43"/>
  <c r="CL84" i="43"/>
  <c r="CL303" i="43" s="1"/>
  <c r="T285" i="43"/>
  <c r="U286" i="43" s="1"/>
  <c r="AX18" i="8"/>
  <c r="R285" i="43"/>
  <c r="R287" i="43" s="1"/>
  <c r="CE45" i="43"/>
  <c r="R23" i="43"/>
  <c r="BO231" i="43"/>
  <c r="CB287" i="43"/>
  <c r="BT231" i="43"/>
  <c r="T480" i="43"/>
  <c r="T503" i="43" s="1"/>
  <c r="AM64" i="8"/>
  <c r="AM136" i="8" s="1"/>
  <c r="AM139" i="8" s="1"/>
  <c r="BM57" i="43"/>
  <c r="R499" i="43"/>
  <c r="J201" i="43"/>
  <c r="J203" i="43" s="1"/>
  <c r="BL198" i="43"/>
  <c r="BM195" i="43" s="1"/>
  <c r="Z22" i="43"/>
  <c r="BA11" i="8" s="1"/>
  <c r="R17" i="43"/>
  <c r="R18" i="43" s="1"/>
  <c r="M297" i="43"/>
  <c r="U92" i="43"/>
  <c r="BS231" i="43"/>
  <c r="I11" i="8"/>
  <c r="I12" i="8" s="1"/>
  <c r="H29" i="46"/>
  <c r="H32" i="46" s="1"/>
  <c r="F32" i="46"/>
  <c r="P45" i="46"/>
  <c r="CN143" i="43"/>
  <c r="CN145" i="43" s="1"/>
  <c r="AI23" i="8"/>
  <c r="AI24" i="8" s="1"/>
  <c r="AX28" i="8"/>
  <c r="H38" i="43"/>
  <c r="S86" i="43"/>
  <c r="S92" i="43" s="1"/>
  <c r="S93" i="43" s="1"/>
  <c r="U282" i="43"/>
  <c r="AA259" i="43"/>
  <c r="CB281" i="43"/>
  <c r="Q482" i="43"/>
  <c r="U46" i="43"/>
  <c r="CD130" i="43"/>
  <c r="G231" i="43"/>
  <c r="CF130" i="43"/>
  <c r="T10" i="43"/>
  <c r="S297" i="43"/>
  <c r="BY45" i="43"/>
  <c r="T86" i="43"/>
  <c r="I239" i="43"/>
  <c r="AZ46" i="8"/>
  <c r="M45" i="43"/>
  <c r="X6" i="8"/>
  <c r="BU186" i="43"/>
  <c r="BU189" i="43" s="1"/>
  <c r="BW9" i="43"/>
  <c r="BX9" i="43" s="1"/>
  <c r="AD60" i="8"/>
  <c r="S17" i="43"/>
  <c r="S18" i="43" s="1"/>
  <c r="CG159" i="43"/>
  <c r="CG163" i="43" s="1"/>
  <c r="CH159" i="43" s="1"/>
  <c r="AM22" i="8"/>
  <c r="BT20" i="43"/>
  <c r="BT22" i="43" s="1"/>
  <c r="Q11" i="8" s="1"/>
  <c r="BN36" i="43"/>
  <c r="K499" i="43"/>
  <c r="AV49" i="8"/>
  <c r="H17" i="43"/>
  <c r="H18" i="43" s="1"/>
  <c r="T46" i="43"/>
  <c r="R182" i="1"/>
  <c r="R184" i="1" s="1"/>
  <c r="AS263" i="8"/>
  <c r="CN271" i="43"/>
  <c r="CG45" i="43"/>
  <c r="CJ31" i="43"/>
  <c r="CJ33" i="43" s="1"/>
  <c r="AO49" i="8" s="1"/>
  <c r="S45" i="43"/>
  <c r="BQ57" i="43"/>
  <c r="AP55" i="8"/>
  <c r="CB36" i="43"/>
  <c r="S231" i="43"/>
  <c r="Q17" i="43"/>
  <c r="Q18" i="43" s="1"/>
  <c r="BR8" i="43"/>
  <c r="Q23" i="43"/>
  <c r="L281" i="43"/>
  <c r="CD137" i="43"/>
  <c r="CJ285" i="43"/>
  <c r="CJ281" i="43"/>
  <c r="CJ283" i="43"/>
  <c r="AV269" i="8"/>
  <c r="S499" i="43"/>
  <c r="K141" i="43"/>
  <c r="Z254" i="43"/>
  <c r="CK43" i="43"/>
  <c r="AQ52" i="8" s="1"/>
  <c r="S20" i="2"/>
  <c r="S64" i="2" s="1"/>
  <c r="T37" i="43"/>
  <c r="AS6" i="8"/>
  <c r="AS26" i="8" s="1"/>
  <c r="AS37" i="8"/>
  <c r="BZ143" i="43"/>
  <c r="CF232" i="43"/>
  <c r="Z13" i="43"/>
  <c r="AA55" i="8"/>
  <c r="O257" i="43"/>
  <c r="V5" i="43"/>
  <c r="BV36" i="43"/>
  <c r="H171" i="43"/>
  <c r="CD8" i="43"/>
  <c r="CJ334" i="43"/>
  <c r="BZ266" i="43"/>
  <c r="BZ296" i="43" s="1"/>
  <c r="BZ297" i="43" s="1"/>
  <c r="CD210" i="43"/>
  <c r="CD17" i="43" s="1"/>
  <c r="CD20" i="43"/>
  <c r="CD22" i="43" s="1"/>
  <c r="AF11" i="8" s="1"/>
  <c r="T45" i="43"/>
  <c r="CH31" i="43"/>
  <c r="Q223" i="1"/>
  <c r="J242" i="43"/>
  <c r="J220" i="43" s="1"/>
  <c r="BN62" i="43"/>
  <c r="Q273" i="43"/>
  <c r="CA259" i="43"/>
  <c r="CL123" i="43"/>
  <c r="CB286" i="43"/>
  <c r="K244" i="43"/>
  <c r="K222" i="43" s="1"/>
  <c r="CD230" i="43"/>
  <c r="I242" i="43"/>
  <c r="I220" i="43" s="1"/>
  <c r="CA61" i="43"/>
  <c r="F224" i="43"/>
  <c r="F128" i="43"/>
  <c r="G223" i="1"/>
  <c r="R271" i="43"/>
  <c r="F14" i="46"/>
  <c r="R55" i="43"/>
  <c r="Q271" i="43"/>
  <c r="BZ281" i="43"/>
  <c r="O37" i="43"/>
  <c r="BT287" i="43"/>
  <c r="BZ85" i="43"/>
  <c r="CB86" i="43" s="1"/>
  <c r="CB92" i="43" s="1"/>
  <c r="CB93" i="43" s="1"/>
  <c r="CB232" i="43"/>
  <c r="BV4" i="43"/>
  <c r="AM6" i="8"/>
  <c r="F8" i="46" s="1"/>
  <c r="Y35" i="46" s="1"/>
  <c r="P271" i="43"/>
  <c r="S8" i="43"/>
  <c r="S10" i="43"/>
  <c r="I241" i="43"/>
  <c r="BP60" i="43"/>
  <c r="P231" i="43"/>
  <c r="T126" i="1"/>
  <c r="BZ20" i="43"/>
  <c r="BZ22" i="43" s="1"/>
  <c r="Z11" i="8" s="1"/>
  <c r="Z46" i="8" s="1"/>
  <c r="Z47" i="8" s="1"/>
  <c r="BV84" i="43"/>
  <c r="R231" i="43"/>
  <c r="CJ348" i="43"/>
  <c r="CL348" i="43" s="1"/>
  <c r="CL347" i="43" s="1"/>
  <c r="CL42" i="43" s="1"/>
  <c r="S35" i="43"/>
  <c r="AP28" i="8"/>
  <c r="T8" i="43"/>
  <c r="AM11" i="8"/>
  <c r="AM55" i="8" s="1"/>
  <c r="E14" i="46"/>
  <c r="R8" i="43"/>
  <c r="BP232" i="43"/>
  <c r="BP230" i="43"/>
  <c r="BR231" i="43" s="1"/>
  <c r="H246" i="43"/>
  <c r="H226" i="43" s="1"/>
  <c r="BT281" i="43"/>
  <c r="BP23" i="43"/>
  <c r="BR232" i="43"/>
  <c r="AP60" i="8"/>
  <c r="K127" i="43"/>
  <c r="R35" i="43"/>
  <c r="R45" i="43"/>
  <c r="CB270" i="43"/>
  <c r="CA269" i="43" s="1"/>
  <c r="CB269" i="43" s="1"/>
  <c r="CG9" i="43"/>
  <c r="CH9" i="43" s="1"/>
  <c r="R10" i="43"/>
  <c r="BQ231" i="43"/>
  <c r="BV263" i="43"/>
  <c r="L23" i="43"/>
  <c r="BR62" i="43"/>
  <c r="AP41" i="8"/>
  <c r="AA344" i="43"/>
  <c r="BX36" i="43"/>
  <c r="Q55" i="43"/>
  <c r="O36" i="43"/>
  <c r="P55" i="43"/>
  <c r="CD270" i="43"/>
  <c r="CD266" i="43" s="1"/>
  <c r="R60" i="43"/>
  <c r="AM28" i="8"/>
  <c r="K128" i="43"/>
  <c r="O499" i="43"/>
  <c r="O131" i="1"/>
  <c r="O126" i="1"/>
  <c r="R482" i="43"/>
  <c r="R480" i="43" s="1"/>
  <c r="CF20" i="43"/>
  <c r="CF22" i="43" s="1"/>
  <c r="AI11" i="8" s="1"/>
  <c r="AI46" i="8" s="1"/>
  <c r="CF230" i="43"/>
  <c r="CH231" i="43" s="1"/>
  <c r="O7" i="43"/>
  <c r="O297" i="43"/>
  <c r="S60" i="43"/>
  <c r="AH46" i="8"/>
  <c r="AH47" i="8" s="1"/>
  <c r="AH12" i="8"/>
  <c r="E13" i="46"/>
  <c r="X40" i="46" s="1"/>
  <c r="I53" i="8"/>
  <c r="U25" i="43"/>
  <c r="CN25" i="43" s="1"/>
  <c r="AU43" i="8" s="1"/>
  <c r="AU60" i="8"/>
  <c r="AV134" i="8"/>
  <c r="AH55" i="8"/>
  <c r="AH56" i="8" s="1"/>
  <c r="F223" i="1"/>
  <c r="S258" i="43"/>
  <c r="AY11" i="8"/>
  <c r="BV60" i="43"/>
  <c r="T147" i="43"/>
  <c r="T148" i="43" s="1"/>
  <c r="T504" i="43"/>
  <c r="T145" i="43"/>
  <c r="CL143" i="43"/>
  <c r="U147" i="43"/>
  <c r="U148" i="43" s="1"/>
  <c r="T137" i="43"/>
  <c r="S26" i="43"/>
  <c r="CH271" i="43"/>
  <c r="D32" i="46"/>
  <c r="U339" i="43"/>
  <c r="R331" i="43"/>
  <c r="BV8" i="43"/>
  <c r="W15" i="43"/>
  <c r="AM37" i="8"/>
  <c r="L11" i="8"/>
  <c r="L55" i="8" s="1"/>
  <c r="L56" i="8" s="1"/>
  <c r="I23" i="43"/>
  <c r="I17" i="43"/>
  <c r="I18" i="43" s="1"/>
  <c r="M17" i="43"/>
  <c r="M18" i="43" s="1"/>
  <c r="M23" i="43"/>
  <c r="V286" i="43"/>
  <c r="BU27" i="43"/>
  <c r="BU28" i="43" s="1"/>
  <c r="CG141" i="43"/>
  <c r="CG60" i="43"/>
  <c r="AK6" i="8"/>
  <c r="AK47" i="8" s="1"/>
  <c r="X259" i="43"/>
  <c r="R420" i="43"/>
  <c r="S420" i="43" s="1"/>
  <c r="T66" i="43"/>
  <c r="W257" i="43"/>
  <c r="BY269" i="43"/>
  <c r="BZ269" i="43" s="1"/>
  <c r="CM287" i="43"/>
  <c r="U37" i="43"/>
  <c r="R66" i="43"/>
  <c r="T257" i="43"/>
  <c r="H231" i="43"/>
  <c r="J38" i="43"/>
  <c r="T144" i="43"/>
  <c r="U144" i="43"/>
  <c r="BN153" i="43"/>
  <c r="BN157" i="43" s="1"/>
  <c r="BM165" i="43"/>
  <c r="S330" i="43"/>
  <c r="G167" i="1"/>
  <c r="O50" i="8"/>
  <c r="G56" i="1"/>
  <c r="G126" i="1"/>
  <c r="J413" i="43"/>
  <c r="O53" i="8"/>
  <c r="G57" i="1"/>
  <c r="O26" i="8"/>
  <c r="O147" i="8"/>
  <c r="O148" i="8" s="1"/>
  <c r="O59" i="8"/>
  <c r="CF294" i="43"/>
  <c r="CF85" i="43"/>
  <c r="CF5" i="43"/>
  <c r="CF7" i="43" s="1"/>
  <c r="CD263" i="43"/>
  <c r="CD256" i="43"/>
  <c r="BV45" i="43"/>
  <c r="BS287" i="43"/>
  <c r="BU286" i="43"/>
  <c r="AJ6" i="8"/>
  <c r="Q45" i="43"/>
  <c r="P509" i="43"/>
  <c r="G141" i="43"/>
  <c r="G128" i="43"/>
  <c r="G224" i="43"/>
  <c r="G127" i="43"/>
  <c r="P499" i="43"/>
  <c r="P33" i="43"/>
  <c r="Q37" i="43" s="1"/>
  <c r="BT85" i="43"/>
  <c r="BT5" i="43"/>
  <c r="CF303" i="43"/>
  <c r="BW264" i="43"/>
  <c r="BU264" i="43"/>
  <c r="CN338" i="43"/>
  <c r="CN339" i="43" s="1"/>
  <c r="CN342" i="43"/>
  <c r="CN303" i="43"/>
  <c r="BM23" i="43"/>
  <c r="J127" i="43"/>
  <c r="J128" i="43"/>
  <c r="BU45" i="43"/>
  <c r="BX8" i="43"/>
  <c r="AA60" i="8"/>
  <c r="X60" i="8"/>
  <c r="O223" i="1"/>
  <c r="X64" i="8"/>
  <c r="J238" i="1" s="1"/>
  <c r="J239" i="1" s="1"/>
  <c r="X55" i="8"/>
  <c r="L109" i="1"/>
  <c r="BH164" i="8"/>
  <c r="H61" i="43"/>
  <c r="H65" i="43"/>
  <c r="V123" i="43"/>
  <c r="CM137" i="43"/>
  <c r="AP34" i="8"/>
  <c r="I127" i="43"/>
  <c r="I128" i="43"/>
  <c r="J141" i="43"/>
  <c r="I141" i="43"/>
  <c r="P86" i="43"/>
  <c r="P92" i="43" s="1"/>
  <c r="P93" i="43" s="1"/>
  <c r="BS23" i="43"/>
  <c r="W254" i="43"/>
  <c r="I61" i="43"/>
  <c r="BL55" i="43"/>
  <c r="BL60" i="43"/>
  <c r="BX55" i="43"/>
  <c r="BW63" i="43"/>
  <c r="BX62" i="43"/>
  <c r="BW57" i="43"/>
  <c r="I65" i="43"/>
  <c r="AD411" i="43"/>
  <c r="AG411" i="43"/>
  <c r="Q108" i="43"/>
  <c r="Q219" i="43" s="1"/>
  <c r="CF127" i="43"/>
  <c r="Q104" i="43"/>
  <c r="Q215" i="43" s="1"/>
  <c r="Q105" i="43"/>
  <c r="Q216" i="43" s="1"/>
  <c r="Q106" i="43"/>
  <c r="Q217" i="43" s="1"/>
  <c r="BZ55" i="43"/>
  <c r="BZ62" i="43"/>
  <c r="BY63" i="43"/>
  <c r="BY57" i="43"/>
  <c r="H128" i="43"/>
  <c r="H141" i="43"/>
  <c r="H127" i="43"/>
  <c r="W55" i="43"/>
  <c r="L59" i="8"/>
  <c r="AS60" i="8"/>
  <c r="AS64" i="8"/>
  <c r="AS73" i="8" s="1"/>
  <c r="AR73" i="8" s="1"/>
  <c r="AR193" i="8" s="1"/>
  <c r="AR191" i="8" s="1"/>
  <c r="E32" i="46"/>
  <c r="L60" i="8"/>
  <c r="J223" i="1"/>
  <c r="AB25" i="46"/>
  <c r="S271" i="43"/>
  <c r="S273" i="43"/>
  <c r="G14" i="46"/>
  <c r="O509" i="43"/>
  <c r="O258" i="43"/>
  <c r="O64" i="8"/>
  <c r="G238" i="1" s="1"/>
  <c r="G239" i="1" s="1"/>
  <c r="O55" i="8"/>
  <c r="O56" i="8" s="1"/>
  <c r="R60" i="8"/>
  <c r="AM60" i="8"/>
  <c r="AJ136" i="8"/>
  <c r="AJ139" i="8" s="1"/>
  <c r="AJ182" i="8" s="1"/>
  <c r="C26" i="8"/>
  <c r="AP46" i="8"/>
  <c r="AJ60" i="8"/>
  <c r="C57" i="1"/>
  <c r="AT79" i="8"/>
  <c r="AT84" i="8" s="1"/>
  <c r="P223" i="1"/>
  <c r="E17" i="46"/>
  <c r="X39" i="46" s="1"/>
  <c r="C56" i="1"/>
  <c r="C50" i="8"/>
  <c r="N223" i="1"/>
  <c r="N15" i="2"/>
  <c r="AJ79" i="8"/>
  <c r="AJ88" i="8" s="1"/>
  <c r="AA26" i="46"/>
  <c r="E19" i="46"/>
  <c r="C53" i="8"/>
  <c r="F413" i="43"/>
  <c r="T89" i="1"/>
  <c r="U82" i="1"/>
  <c r="V80" i="1" s="1"/>
  <c r="AV216" i="8"/>
  <c r="R201" i="1"/>
  <c r="C167" i="1"/>
  <c r="AJ191" i="8"/>
  <c r="AJ201" i="8" s="1"/>
  <c r="AJ77" i="8" s="1"/>
  <c r="AJ55" i="8"/>
  <c r="C126" i="1"/>
  <c r="C59" i="8"/>
  <c r="AY86" i="8"/>
  <c r="S201" i="1" s="1"/>
  <c r="G31" i="46"/>
  <c r="G32" i="46" s="1"/>
  <c r="P66" i="2"/>
  <c r="G18" i="46"/>
  <c r="N238" i="1"/>
  <c r="N239" i="1" s="1"/>
  <c r="F7" i="8"/>
  <c r="C74" i="1"/>
  <c r="R45" i="1"/>
  <c r="R202" i="1" s="1"/>
  <c r="S200" i="1" s="1"/>
  <c r="O231" i="43"/>
  <c r="N231" i="43"/>
  <c r="J223" i="43"/>
  <c r="K245" i="43"/>
  <c r="N297" i="43"/>
  <c r="N7" i="43"/>
  <c r="R258" i="43"/>
  <c r="S257" i="43"/>
  <c r="BP62" i="43"/>
  <c r="BN60" i="43"/>
  <c r="W13" i="43"/>
  <c r="V85" i="43"/>
  <c r="V294" i="43"/>
  <c r="V303" i="43"/>
  <c r="V281" i="43"/>
  <c r="V287" i="43"/>
  <c r="AM49" i="8"/>
  <c r="S37" i="43"/>
  <c r="S36" i="43"/>
  <c r="P131" i="1"/>
  <c r="P126" i="1"/>
  <c r="G61" i="43"/>
  <c r="G65" i="43"/>
  <c r="F61" i="43"/>
  <c r="F65" i="43"/>
  <c r="BR45" i="43"/>
  <c r="BT8" i="43"/>
  <c r="CM231" i="43"/>
  <c r="AD62" i="43"/>
  <c r="K28" i="46"/>
  <c r="Z59" i="43"/>
  <c r="Y67" i="43"/>
  <c r="Z67" i="43" s="1"/>
  <c r="T222" i="1"/>
  <c r="AA62" i="43"/>
  <c r="T221" i="1"/>
  <c r="T251" i="1" s="1"/>
  <c r="BB58" i="8"/>
  <c r="AF42" i="43"/>
  <c r="BW231" i="43"/>
  <c r="BU231" i="43"/>
  <c r="L52" i="8"/>
  <c r="F16" i="2"/>
  <c r="F62" i="2" s="1"/>
  <c r="BV230" i="43"/>
  <c r="BV231" i="43" s="1"/>
  <c r="BV20" i="43"/>
  <c r="BV22" i="43" s="1"/>
  <c r="T11" i="8" s="1"/>
  <c r="BV232" i="43"/>
  <c r="Q283" i="43"/>
  <c r="Q285" i="43"/>
  <c r="CF280" i="43"/>
  <c r="Q281" i="43"/>
  <c r="AB231" i="43"/>
  <c r="AO58" i="8"/>
  <c r="CJ62" i="43"/>
  <c r="J65" i="43"/>
  <c r="J61" i="43"/>
  <c r="AR22" i="8"/>
  <c r="AR28" i="8"/>
  <c r="CL96" i="43"/>
  <c r="AR37" i="8"/>
  <c r="AR18" i="8"/>
  <c r="W5" i="43"/>
  <c r="W303" i="43"/>
  <c r="W281" i="43"/>
  <c r="BV256" i="43"/>
  <c r="AD352" i="43"/>
  <c r="BB270" i="8"/>
  <c r="CD59" i="43"/>
  <c r="AF58" i="8" s="1"/>
  <c r="CD41" i="43"/>
  <c r="CD43" i="43" s="1"/>
  <c r="AF52" i="8" s="1"/>
  <c r="AF53" i="8" s="1"/>
  <c r="W31" i="43"/>
  <c r="W285" i="43"/>
  <c r="W294" i="43"/>
  <c r="AB259" i="43"/>
  <c r="I32" i="46"/>
  <c r="P238" i="1"/>
  <c r="P239" i="1" s="1"/>
  <c r="AQ193" i="8"/>
  <c r="AQ191" i="8" s="1"/>
  <c r="AQ201" i="8" s="1"/>
  <c r="AK79" i="8"/>
  <c r="AK88" i="8" s="1"/>
  <c r="AT202" i="8"/>
  <c r="X18" i="46"/>
  <c r="X47" i="46" s="1"/>
  <c r="X48" i="46" s="1"/>
  <c r="AT203" i="8"/>
  <c r="AT76" i="8" s="1"/>
  <c r="AP136" i="8"/>
  <c r="AP73" i="8"/>
  <c r="G19" i="46" s="1"/>
  <c r="J32" i="46"/>
  <c r="AK203" i="8"/>
  <c r="AK76" i="8" s="1"/>
  <c r="AV64" i="8"/>
  <c r="R238" i="1" s="1"/>
  <c r="R239" i="1" s="1"/>
  <c r="AB39" i="46"/>
  <c r="C134" i="8"/>
  <c r="AR115" i="8"/>
  <c r="AS205" i="8"/>
  <c r="AA40" i="46"/>
  <c r="AY60" i="8"/>
  <c r="AQ46" i="8"/>
  <c r="AV60" i="8"/>
  <c r="U34" i="8"/>
  <c r="AS134" i="8"/>
  <c r="T25" i="43"/>
  <c r="M273" i="43"/>
  <c r="CN5" i="43"/>
  <c r="CN281" i="43"/>
  <c r="CN294" i="43"/>
  <c r="Z257" i="43"/>
  <c r="CB41" i="43"/>
  <c r="CB43" i="43" s="1"/>
  <c r="AC52" i="8" s="1"/>
  <c r="AC53" i="8" s="1"/>
  <c r="CB59" i="43"/>
  <c r="AC58" i="8" s="1"/>
  <c r="W335" i="43"/>
  <c r="W338" i="43"/>
  <c r="W340" i="43"/>
  <c r="W342" i="43"/>
  <c r="CJ231" i="43"/>
  <c r="AD11" i="8"/>
  <c r="BX280" i="43"/>
  <c r="M281" i="43"/>
  <c r="U259" i="43"/>
  <c r="T118" i="43"/>
  <c r="U118" i="43" s="1"/>
  <c r="S104" i="43"/>
  <c r="S215" i="43" s="1"/>
  <c r="CI282" i="43"/>
  <c r="W264" i="43"/>
  <c r="K186" i="43"/>
  <c r="K189" i="43" s="1"/>
  <c r="K187" i="43"/>
  <c r="L173" i="43"/>
  <c r="L177" i="43" s="1"/>
  <c r="L185" i="43" s="1"/>
  <c r="O286" i="43"/>
  <c r="N287" i="43"/>
  <c r="O288" i="43" s="1"/>
  <c r="G201" i="43"/>
  <c r="G171" i="43"/>
  <c r="BX20" i="43"/>
  <c r="BX22" i="43" s="1"/>
  <c r="W11" i="8" s="1"/>
  <c r="BX232" i="43"/>
  <c r="BX230" i="43"/>
  <c r="BZ232" i="43"/>
  <c r="X120" i="43"/>
  <c r="BX270" i="43"/>
  <c r="BX266" i="43" s="1"/>
  <c r="M271" i="43"/>
  <c r="M302" i="43"/>
  <c r="CI287" i="43"/>
  <c r="CK286" i="43"/>
  <c r="AW43" i="8"/>
  <c r="V26" i="43"/>
  <c r="CD281" i="43"/>
  <c r="CD283" i="43"/>
  <c r="CD285" i="43"/>
  <c r="Z335" i="43"/>
  <c r="CD232" i="43"/>
  <c r="X124" i="43"/>
  <c r="Q192" i="43"/>
  <c r="R159" i="43"/>
  <c r="R163" i="43" s="1"/>
  <c r="Q165" i="43"/>
  <c r="V259" i="43"/>
  <c r="Y259" i="43"/>
  <c r="P287" i="43"/>
  <c r="P288" i="43" s="1"/>
  <c r="P286" i="43"/>
  <c r="M231" i="43"/>
  <c r="Q257" i="43"/>
  <c r="Q258" i="43"/>
  <c r="CJ41" i="43"/>
  <c r="CJ43" i="43" s="1"/>
  <c r="CJ267" i="43"/>
  <c r="BL20" i="43"/>
  <c r="BL22" i="43" s="1"/>
  <c r="E11" i="8" s="1"/>
  <c r="E46" i="8" s="1"/>
  <c r="E47" i="8" s="1"/>
  <c r="BL230" i="43"/>
  <c r="BN231" i="43" s="1"/>
  <c r="M19" i="1"/>
  <c r="W8" i="46"/>
  <c r="Q19" i="1"/>
  <c r="AA12" i="46" s="1"/>
  <c r="AA8" i="46"/>
  <c r="W39" i="46"/>
  <c r="AG73" i="8"/>
  <c r="AF73" i="8" s="1"/>
  <c r="M15" i="2"/>
  <c r="M21" i="2" s="1"/>
  <c r="AG136" i="8"/>
  <c r="AG139" i="8" s="1"/>
  <c r="M238" i="1"/>
  <c r="M239" i="1" s="1"/>
  <c r="E238" i="1"/>
  <c r="E239" i="1" s="1"/>
  <c r="I136" i="8"/>
  <c r="I139" i="8" s="1"/>
  <c r="I73" i="8"/>
  <c r="I65" i="8"/>
  <c r="Y208" i="1"/>
  <c r="X34" i="8"/>
  <c r="AA287" i="43"/>
  <c r="AA288" i="43" s="1"/>
  <c r="AA286" i="43"/>
  <c r="I223" i="1"/>
  <c r="I251" i="1"/>
  <c r="Q126" i="43"/>
  <c r="R126" i="43" s="1"/>
  <c r="S126" i="43" s="1"/>
  <c r="T126" i="43" s="1"/>
  <c r="U126" i="43" s="1"/>
  <c r="CB127" i="43"/>
  <c r="CD141" i="43" s="1"/>
  <c r="CC141" i="43"/>
  <c r="V116" i="43"/>
  <c r="CM127" i="43"/>
  <c r="CB263" i="43"/>
  <c r="CB256" i="43"/>
  <c r="J13" i="46"/>
  <c r="X25" i="43"/>
  <c r="AY134" i="8"/>
  <c r="AO29" i="8"/>
  <c r="AO30" i="8" s="1"/>
  <c r="O420" i="43"/>
  <c r="CB420" i="43" s="1"/>
  <c r="CB27" i="43"/>
  <c r="O271" i="43"/>
  <c r="O55" i="43"/>
  <c r="O273" i="43"/>
  <c r="R470" i="43"/>
  <c r="S468" i="43"/>
  <c r="P273" i="43"/>
  <c r="BA75" i="8"/>
  <c r="BQ61" i="43"/>
  <c r="BS61" i="43"/>
  <c r="CB23" i="43"/>
  <c r="N20" i="2"/>
  <c r="K247" i="1"/>
  <c r="K113" i="1"/>
  <c r="K240" i="1" s="1"/>
  <c r="BB37" i="8"/>
  <c r="BB38" i="8"/>
  <c r="BB40" i="8" s="1"/>
  <c r="BB41" i="8" s="1"/>
  <c r="AA35" i="43"/>
  <c r="BB22" i="8"/>
  <c r="BB6" i="8"/>
  <c r="BB18" i="8"/>
  <c r="AA60" i="43"/>
  <c r="AA45" i="43"/>
  <c r="AA297" i="43"/>
  <c r="BZ287" i="43"/>
  <c r="O10" i="8"/>
  <c r="O12" i="8"/>
  <c r="O46" i="8"/>
  <c r="O47" i="8" s="1"/>
  <c r="AN23" i="8"/>
  <c r="S27" i="43"/>
  <c r="AL23" i="8"/>
  <c r="AL24" i="8" s="1"/>
  <c r="CH25" i="43" s="1"/>
  <c r="CH27" i="43" s="1"/>
  <c r="AK24" i="8"/>
  <c r="CG25" i="43" s="1"/>
  <c r="H27" i="43"/>
  <c r="AH73" i="8"/>
  <c r="AH65" i="8"/>
  <c r="AI64" i="8"/>
  <c r="AV23" i="8"/>
  <c r="AU29" i="8"/>
  <c r="AU30" i="8" s="1"/>
  <c r="AV30" i="8"/>
  <c r="AV33" i="8" s="1"/>
  <c r="AV34" i="8" s="1"/>
  <c r="AY29" i="8"/>
  <c r="BP27" i="43"/>
  <c r="AG34" i="8"/>
  <c r="AD34" i="8"/>
  <c r="BO28" i="43"/>
  <c r="BQ28" i="43"/>
  <c r="CC27" i="43"/>
  <c r="CC28" i="43" s="1"/>
  <c r="AN73" i="8"/>
  <c r="L27" i="43"/>
  <c r="L420" i="43"/>
  <c r="BT27" i="43"/>
  <c r="N420" i="43"/>
  <c r="BZ420" i="43" s="1"/>
  <c r="O26" i="43"/>
  <c r="P26" i="43"/>
  <c r="P420" i="43"/>
  <c r="CL267" i="43"/>
  <c r="CL41" i="43"/>
  <c r="M33" i="43"/>
  <c r="M499" i="43"/>
  <c r="AR186" i="8"/>
  <c r="AO186" i="8"/>
  <c r="BN45" i="43"/>
  <c r="AS408" i="43"/>
  <c r="AV408" i="43" s="1"/>
  <c r="AY408" i="43" s="1"/>
  <c r="BB408" i="43" s="1"/>
  <c r="AA411" i="43"/>
  <c r="AA46" i="8"/>
  <c r="BX256" i="43"/>
  <c r="BX263" i="43"/>
  <c r="CB169" i="43"/>
  <c r="CB74" i="43" s="1"/>
  <c r="CB75" i="43" s="1"/>
  <c r="BZ169" i="43"/>
  <c r="BZ74" i="43" s="1"/>
  <c r="BZ75" i="43" s="1"/>
  <c r="X339" i="43"/>
  <c r="M258" i="43"/>
  <c r="M509" i="43"/>
  <c r="N257" i="43"/>
  <c r="M257" i="43"/>
  <c r="CL271" i="43"/>
  <c r="CL55" i="43"/>
  <c r="CN273" i="43"/>
  <c r="CK269" i="43"/>
  <c r="CL269" i="43" s="1"/>
  <c r="R134" i="8"/>
  <c r="AD12" i="46"/>
  <c r="R37" i="43"/>
  <c r="AJ49" i="8"/>
  <c r="R36" i="43"/>
  <c r="V29" i="1"/>
  <c r="V34" i="1" s="1"/>
  <c r="Y85" i="1"/>
  <c r="Y86" i="1" s="1"/>
  <c r="BW185" i="43"/>
  <c r="BX173" i="43"/>
  <c r="BX177" i="43" s="1"/>
  <c r="X125" i="43"/>
  <c r="CK179" i="43"/>
  <c r="CK183" i="43" s="1"/>
  <c r="AQ88" i="8"/>
  <c r="AQ84" i="8"/>
  <c r="BM45" i="43"/>
  <c r="X119" i="43"/>
  <c r="AG55" i="8"/>
  <c r="Q420" i="43"/>
  <c r="Q27" i="43"/>
  <c r="CF25" i="43"/>
  <c r="R26" i="43"/>
  <c r="Q26" i="43"/>
  <c r="AB339" i="43"/>
  <c r="Y339" i="43"/>
  <c r="P482" i="43"/>
  <c r="P480" i="43" s="1"/>
  <c r="Q477" i="43"/>
  <c r="Q483" i="43" s="1"/>
  <c r="R478" i="43"/>
  <c r="R484" i="43" s="1"/>
  <c r="Y228" i="1"/>
  <c r="AS269" i="8"/>
  <c r="H46" i="46"/>
  <c r="U272" i="43"/>
  <c r="CN259" i="43"/>
  <c r="W259" i="43"/>
  <c r="AZ55" i="8"/>
  <c r="CF271" i="43"/>
  <c r="CF266" i="43"/>
  <c r="CE269" i="43"/>
  <c r="CF269" i="43" s="1"/>
  <c r="CH273" i="43"/>
  <c r="AD179" i="43"/>
  <c r="AD183" i="43" s="1"/>
  <c r="AG179" i="43" s="1"/>
  <c r="AG183" i="43" s="1"/>
  <c r="BC55" i="8"/>
  <c r="BC46" i="8"/>
  <c r="J238" i="43"/>
  <c r="I216" i="43"/>
  <c r="T153" i="43"/>
  <c r="T157" i="43" s="1"/>
  <c r="AF219" i="1" l="1"/>
  <c r="AG219" i="1" s="1"/>
  <c r="AH219" i="1" s="1"/>
  <c r="AI219" i="1" s="1"/>
  <c r="AJ219" i="1" s="1"/>
  <c r="AK219" i="1" s="1"/>
  <c r="AL219" i="1" s="1"/>
  <c r="AM219" i="1" s="1"/>
  <c r="AN219" i="1" s="1"/>
  <c r="AO219" i="1" s="1"/>
  <c r="AP219" i="1" s="1"/>
  <c r="AQ219" i="1" s="1"/>
  <c r="Z96" i="43"/>
  <c r="BA18" i="8"/>
  <c r="BA28" i="8"/>
  <c r="AZ43" i="8"/>
  <c r="Z210" i="43"/>
  <c r="Z226" i="43" s="1"/>
  <c r="Z230" i="43"/>
  <c r="AY22" i="8"/>
  <c r="AB86" i="43"/>
  <c r="AB91" i="43" s="1"/>
  <c r="AB149" i="43" s="1"/>
  <c r="AB297" i="43"/>
  <c r="AB7" i="43"/>
  <c r="AE10" i="43" s="1"/>
  <c r="AE38" i="43" s="1"/>
  <c r="X35" i="43"/>
  <c r="X23" i="43"/>
  <c r="AB282" i="43"/>
  <c r="AY37" i="8"/>
  <c r="X45" i="43"/>
  <c r="X17" i="43"/>
  <c r="X18" i="43" s="1"/>
  <c r="AY6" i="8"/>
  <c r="S167" i="1" s="1"/>
  <c r="X60" i="43"/>
  <c r="AA8" i="43"/>
  <c r="AY28" i="8"/>
  <c r="AA10" i="43"/>
  <c r="AA38" i="43" s="1"/>
  <c r="AY18" i="8"/>
  <c r="AY38" i="8"/>
  <c r="AY40" i="8" s="1"/>
  <c r="AY41" i="8" s="1"/>
  <c r="CL335" i="43"/>
  <c r="AB26" i="43"/>
  <c r="Y7" i="43"/>
  <c r="Y27" i="43" s="1"/>
  <c r="Z281" i="43"/>
  <c r="Z282" i="43" s="1"/>
  <c r="Z5" i="43"/>
  <c r="BK164" i="8"/>
  <c r="Y297" i="43"/>
  <c r="Y288" i="43"/>
  <c r="Y282" i="43"/>
  <c r="Z144" i="43"/>
  <c r="Z303" i="43"/>
  <c r="Z287" i="43"/>
  <c r="Z85" i="43"/>
  <c r="Z299" i="43" s="1"/>
  <c r="Z300" i="43" s="1"/>
  <c r="Z294" i="43"/>
  <c r="AA91" i="43"/>
  <c r="AA149" i="43" s="1"/>
  <c r="AA231" i="43"/>
  <c r="AD13" i="46"/>
  <c r="BV273" i="43"/>
  <c r="AA23" i="43"/>
  <c r="AU28" i="8"/>
  <c r="AA17" i="43"/>
  <c r="AA18" i="43" s="1"/>
  <c r="AA339" i="43"/>
  <c r="AS253" i="43"/>
  <c r="Q45" i="46" s="1"/>
  <c r="W96" i="43"/>
  <c r="V7" i="43"/>
  <c r="V60" i="43" s="1"/>
  <c r="CN297" i="43"/>
  <c r="W272" i="43"/>
  <c r="CM7" i="43"/>
  <c r="CM17" i="43" s="1"/>
  <c r="CM18" i="43" s="1"/>
  <c r="Z264" i="43"/>
  <c r="AA27" i="43"/>
  <c r="U93" i="43"/>
  <c r="AU18" i="8"/>
  <c r="CN96" i="43"/>
  <c r="AU37" i="8"/>
  <c r="CN93" i="43"/>
  <c r="Z25" i="43"/>
  <c r="K32" i="46"/>
  <c r="U149" i="43"/>
  <c r="L272" i="43"/>
  <c r="M272" i="43"/>
  <c r="D46" i="46"/>
  <c r="T272" i="43"/>
  <c r="P38" i="1"/>
  <c r="P48" i="1" s="1"/>
  <c r="P2" i="1" s="1"/>
  <c r="P54" i="2" s="1"/>
  <c r="R65" i="43"/>
  <c r="M61" i="43"/>
  <c r="Z340" i="43"/>
  <c r="Z350" i="43"/>
  <c r="Z56" i="43" s="1"/>
  <c r="Z32" i="43"/>
  <c r="Z33" i="43" s="1"/>
  <c r="BA49" i="8" s="1"/>
  <c r="Q61" i="43"/>
  <c r="N27" i="43"/>
  <c r="O17" i="43"/>
  <c r="O18" i="43" s="1"/>
  <c r="K23" i="43"/>
  <c r="AT46" i="8"/>
  <c r="Z18" i="46"/>
  <c r="Z47" i="46" s="1"/>
  <c r="Z48" i="46" s="1"/>
  <c r="Z45" i="46"/>
  <c r="Z46" i="46" s="1"/>
  <c r="P247" i="1"/>
  <c r="Z338" i="43"/>
  <c r="Z339" i="43" s="1"/>
  <c r="AB288" i="43"/>
  <c r="Z19" i="46"/>
  <c r="Z145" i="43"/>
  <c r="X92" i="43"/>
  <c r="X93" i="43" s="1"/>
  <c r="BV187" i="43"/>
  <c r="U230" i="43"/>
  <c r="U231" i="43" s="1"/>
  <c r="O38" i="1"/>
  <c r="O48" i="1" s="1"/>
  <c r="O2" i="1" s="1"/>
  <c r="O54" i="2" s="1"/>
  <c r="AG37" i="8"/>
  <c r="CC9" i="43"/>
  <c r="CD9" i="43" s="1"/>
  <c r="CN116" i="43"/>
  <c r="CN130" i="43" s="1"/>
  <c r="Q10" i="43"/>
  <c r="Q38" i="43" s="1"/>
  <c r="AG41" i="8"/>
  <c r="BC52" i="8"/>
  <c r="BC134" i="8" s="1"/>
  <c r="BC132" i="8" s="1"/>
  <c r="AG6" i="8"/>
  <c r="M126" i="1" s="1"/>
  <c r="Z147" i="43"/>
  <c r="Z148" i="43" s="1"/>
  <c r="U20" i="43"/>
  <c r="U22" i="43" s="1"/>
  <c r="P45" i="43"/>
  <c r="AG28" i="8"/>
  <c r="P35" i="43"/>
  <c r="P17" i="43"/>
  <c r="P18" i="43" s="1"/>
  <c r="R113" i="1"/>
  <c r="R240" i="1" s="1"/>
  <c r="R247" i="1"/>
  <c r="P23" i="43"/>
  <c r="E38" i="1"/>
  <c r="E48" i="1" s="1"/>
  <c r="E2" i="1" s="1"/>
  <c r="E54" i="2" s="1"/>
  <c r="W147" i="43"/>
  <c r="W148" i="43" s="1"/>
  <c r="U232" i="43"/>
  <c r="X8" i="43"/>
  <c r="W144" i="43"/>
  <c r="AG323" i="43"/>
  <c r="P27" i="43"/>
  <c r="Q28" i="43" s="1"/>
  <c r="AA272" i="43"/>
  <c r="CN229" i="43"/>
  <c r="CN210" i="43" s="1"/>
  <c r="CN226" i="43" s="1"/>
  <c r="Q8" i="43"/>
  <c r="M247" i="1"/>
  <c r="AG22" i="8"/>
  <c r="AC323" i="43"/>
  <c r="BB269" i="8"/>
  <c r="AD272" i="43"/>
  <c r="CN323" i="43"/>
  <c r="P21" i="2"/>
  <c r="G34" i="46" s="1"/>
  <c r="Y11" i="46"/>
  <c r="F38" i="1"/>
  <c r="F48" i="1" s="1"/>
  <c r="F2" i="1" s="1"/>
  <c r="F54" i="2" s="1"/>
  <c r="BZ17" i="43"/>
  <c r="BV61" i="43"/>
  <c r="F195" i="43"/>
  <c r="F198" i="43" s="1"/>
  <c r="F199" i="43" s="1"/>
  <c r="F97" i="43" s="1"/>
  <c r="G33" i="46"/>
  <c r="Y45" i="46"/>
  <c r="Y46" i="46" s="1"/>
  <c r="AW79" i="8"/>
  <c r="AW88" i="8" s="1"/>
  <c r="AW91" i="8" s="1"/>
  <c r="X10" i="43"/>
  <c r="X38" i="43" s="1"/>
  <c r="AW191" i="8"/>
  <c r="AW201" i="8" s="1"/>
  <c r="AW202" i="8" s="1"/>
  <c r="AV37" i="8"/>
  <c r="AC14" i="46"/>
  <c r="AW46" i="8"/>
  <c r="AV18" i="8"/>
  <c r="U45" i="43"/>
  <c r="U10" i="43"/>
  <c r="U38" i="43" s="1"/>
  <c r="R38" i="1"/>
  <c r="S463" i="43"/>
  <c r="T463" i="43" s="1"/>
  <c r="AB46" i="43"/>
  <c r="AS166" i="8"/>
  <c r="AS168" i="8" s="1"/>
  <c r="AA51" i="46" s="1"/>
  <c r="Q247" i="1"/>
  <c r="S108" i="1"/>
  <c r="S109" i="1" s="1"/>
  <c r="S247" i="1" s="1"/>
  <c r="S91" i="1"/>
  <c r="Q64" i="2"/>
  <c r="Q113" i="1"/>
  <c r="Q240" i="1" s="1"/>
  <c r="W19" i="46"/>
  <c r="I33" i="46"/>
  <c r="AV187" i="8"/>
  <c r="AW170" i="8"/>
  <c r="O60" i="2"/>
  <c r="AM182" i="8"/>
  <c r="AY193" i="8"/>
  <c r="AY203" i="8" s="1"/>
  <c r="AY76" i="8" s="1"/>
  <c r="AE92" i="43"/>
  <c r="AE91" i="43"/>
  <c r="V323" i="43"/>
  <c r="M420" i="43"/>
  <c r="CD231" i="43"/>
  <c r="AV22" i="8"/>
  <c r="U8" i="43"/>
  <c r="U60" i="43"/>
  <c r="BT61" i="43"/>
  <c r="U35" i="43"/>
  <c r="BZ45" i="43"/>
  <c r="CM323" i="43"/>
  <c r="CM324" i="43" s="1"/>
  <c r="CM328" i="43" s="1"/>
  <c r="AV38" i="8"/>
  <c r="AV40" i="8" s="1"/>
  <c r="AV41" i="8" s="1"/>
  <c r="BB49" i="8"/>
  <c r="BB50" i="8" s="1"/>
  <c r="L116" i="43"/>
  <c r="E199" i="43"/>
  <c r="E97" i="43" s="1"/>
  <c r="AV28" i="8"/>
  <c r="AV6" i="8"/>
  <c r="AV147" i="8" s="1"/>
  <c r="AV148" i="8" s="1"/>
  <c r="Y43" i="46"/>
  <c r="H21" i="2"/>
  <c r="H68" i="2" s="1"/>
  <c r="Z55" i="43"/>
  <c r="CD449" i="43"/>
  <c r="CD450" i="43" s="1"/>
  <c r="Z271" i="43"/>
  <c r="Q36" i="43"/>
  <c r="Y269" i="43"/>
  <c r="Z269" i="43" s="1"/>
  <c r="CM297" i="43"/>
  <c r="T110" i="43"/>
  <c r="T221" i="43" s="1"/>
  <c r="CL93" i="43"/>
  <c r="K45" i="43"/>
  <c r="CL43" i="43"/>
  <c r="AR52" i="8" s="1"/>
  <c r="CH62" i="43"/>
  <c r="CE63" i="43"/>
  <c r="L10" i="43"/>
  <c r="L38" i="43" s="1"/>
  <c r="L8" i="43"/>
  <c r="K60" i="43"/>
  <c r="R22" i="8"/>
  <c r="CM86" i="43"/>
  <c r="CM92" i="43" s="1"/>
  <c r="CM91" i="43" s="1"/>
  <c r="CD273" i="43"/>
  <c r="CB271" i="43"/>
  <c r="CB272" i="43" s="1"/>
  <c r="W210" i="43"/>
  <c r="W226" i="43" s="1"/>
  <c r="AD36" i="43"/>
  <c r="K17" i="43"/>
  <c r="K18" i="43" s="1"/>
  <c r="K10" i="43"/>
  <c r="K38" i="43" s="1"/>
  <c r="R41" i="8"/>
  <c r="W230" i="43"/>
  <c r="AD37" i="43"/>
  <c r="R28" i="8"/>
  <c r="BS9" i="43"/>
  <c r="BT9" i="43" s="1"/>
  <c r="CE57" i="43"/>
  <c r="Z232" i="43"/>
  <c r="AA36" i="43"/>
  <c r="L113" i="43"/>
  <c r="L128" i="43" s="1"/>
  <c r="R37" i="8"/>
  <c r="BV264" i="43"/>
  <c r="K8" i="43"/>
  <c r="R6" i="8"/>
  <c r="H57" i="1" s="1"/>
  <c r="CF55" i="43"/>
  <c r="H53" i="46"/>
  <c r="J27" i="43"/>
  <c r="J28" i="43" s="1"/>
  <c r="S491" i="43"/>
  <c r="CH141" i="43"/>
  <c r="J54" i="46"/>
  <c r="M27" i="43"/>
  <c r="CL257" i="43"/>
  <c r="AZ23" i="8"/>
  <c r="AZ24" i="8" s="1"/>
  <c r="AA317" i="43"/>
  <c r="AA321" i="43" s="1"/>
  <c r="BZ61" i="43"/>
  <c r="CH23" i="43"/>
  <c r="T17" i="43"/>
  <c r="T18" i="43" s="1"/>
  <c r="AN12" i="8"/>
  <c r="S238" i="1"/>
  <c r="S239" i="1" s="1"/>
  <c r="AN56" i="8"/>
  <c r="AY79" i="8"/>
  <c r="AN10" i="8"/>
  <c r="AN50" i="8"/>
  <c r="AO10" i="8"/>
  <c r="AN65" i="8"/>
  <c r="AN47" i="8"/>
  <c r="S15" i="2"/>
  <c r="S21" i="2" s="1"/>
  <c r="J34" i="46" s="1"/>
  <c r="J19" i="46"/>
  <c r="AX73" i="8"/>
  <c r="AX193" i="8" s="1"/>
  <c r="AX203" i="8" s="1"/>
  <c r="AX76" i="8" s="1"/>
  <c r="AN59" i="8"/>
  <c r="AI60" i="8"/>
  <c r="AO46" i="8"/>
  <c r="AO47" i="8" s="1"/>
  <c r="AY136" i="8"/>
  <c r="AY139" i="8" s="1"/>
  <c r="AY182" i="8" s="1"/>
  <c r="AC39" i="46"/>
  <c r="AO60" i="8"/>
  <c r="H12" i="8"/>
  <c r="K13" i="8" s="1"/>
  <c r="H10" i="8"/>
  <c r="H224" i="43"/>
  <c r="AL55" i="8"/>
  <c r="AL60" i="8"/>
  <c r="BU259" i="43"/>
  <c r="CF264" i="43"/>
  <c r="BN23" i="43"/>
  <c r="CH60" i="43"/>
  <c r="V86" i="43"/>
  <c r="CM282" i="43"/>
  <c r="CJ86" i="43"/>
  <c r="CJ92" i="43" s="1"/>
  <c r="CJ91" i="43" s="1"/>
  <c r="R272" i="43"/>
  <c r="BP231" i="43"/>
  <c r="CD226" i="43"/>
  <c r="CJ273" i="43"/>
  <c r="CJ141" i="43"/>
  <c r="BZ86" i="43"/>
  <c r="BZ92" i="43" s="1"/>
  <c r="BZ93" i="43" s="1"/>
  <c r="R38" i="43"/>
  <c r="T106" i="43"/>
  <c r="T217" i="43" s="1"/>
  <c r="E46" i="46"/>
  <c r="CJ264" i="43"/>
  <c r="T108" i="43"/>
  <c r="T219" i="43" s="1"/>
  <c r="U503" i="43"/>
  <c r="U505" i="43" s="1"/>
  <c r="M65" i="43"/>
  <c r="T105" i="43"/>
  <c r="T216" i="43" s="1"/>
  <c r="T113" i="43"/>
  <c r="T141" i="43" s="1"/>
  <c r="CL273" i="43"/>
  <c r="T65" i="43"/>
  <c r="Q435" i="43"/>
  <c r="I39" i="8"/>
  <c r="F39" i="8" s="1"/>
  <c r="T61" i="43"/>
  <c r="T112" i="43"/>
  <c r="T223" i="43" s="1"/>
  <c r="Z44" i="43"/>
  <c r="BA23" i="8" s="1"/>
  <c r="BA24" i="8" s="1"/>
  <c r="I420" i="43"/>
  <c r="CJ17" i="43"/>
  <c r="Q65" i="43"/>
  <c r="M135" i="43"/>
  <c r="M121" i="43"/>
  <c r="M102" i="43"/>
  <c r="N107" i="43"/>
  <c r="CN322" i="43"/>
  <c r="CI269" i="43"/>
  <c r="CJ269" i="43" s="1"/>
  <c r="S36" i="1"/>
  <c r="AC16" i="46" s="1"/>
  <c r="CN327" i="43"/>
  <c r="BX273" i="43"/>
  <c r="CJ271" i="43"/>
  <c r="CJ272" i="43" s="1"/>
  <c r="BZ267" i="43"/>
  <c r="T38" i="43"/>
  <c r="AH13" i="8"/>
  <c r="W53" i="8"/>
  <c r="S13" i="8"/>
  <c r="W59" i="8"/>
  <c r="V13" i="8"/>
  <c r="J13" i="8"/>
  <c r="AC64" i="8"/>
  <c r="AC60" i="8"/>
  <c r="AC55" i="8"/>
  <c r="AC56" i="8" s="1"/>
  <c r="AC59" i="8"/>
  <c r="AF10" i="8"/>
  <c r="AF12" i="8"/>
  <c r="AF13" i="8" s="1"/>
  <c r="Q10" i="8"/>
  <c r="Q12" i="8"/>
  <c r="Q55" i="8"/>
  <c r="Q56" i="8" s="1"/>
  <c r="Q46" i="8"/>
  <c r="Q47" i="8" s="1"/>
  <c r="N10" i="8"/>
  <c r="N12" i="8"/>
  <c r="N13" i="8" s="1"/>
  <c r="N46" i="8"/>
  <c r="N47" i="8" s="1"/>
  <c r="N55" i="8"/>
  <c r="N56" i="8" s="1"/>
  <c r="N59" i="8"/>
  <c r="N60" i="8"/>
  <c r="N64" i="8"/>
  <c r="Q60" i="8"/>
  <c r="Z65" i="8"/>
  <c r="Z73" i="8"/>
  <c r="E65" i="8"/>
  <c r="E73" i="8"/>
  <c r="W12" i="8"/>
  <c r="W10" i="8"/>
  <c r="T10" i="8"/>
  <c r="T12" i="8"/>
  <c r="Z12" i="8"/>
  <c r="AC13" i="8" s="1"/>
  <c r="Z10" i="8"/>
  <c r="Z55" i="8"/>
  <c r="Z56" i="8" s="1"/>
  <c r="W65" i="8"/>
  <c r="W73" i="8"/>
  <c r="H60" i="8"/>
  <c r="H55" i="8"/>
  <c r="H56" i="8" s="1"/>
  <c r="H59" i="8"/>
  <c r="H64" i="8"/>
  <c r="T60" i="8"/>
  <c r="T59" i="8"/>
  <c r="T64" i="8"/>
  <c r="T55" i="8"/>
  <c r="T56" i="8" s="1"/>
  <c r="K64" i="8"/>
  <c r="K60" i="8"/>
  <c r="K55" i="8"/>
  <c r="K56" i="8" s="1"/>
  <c r="K59" i="8"/>
  <c r="W55" i="8"/>
  <c r="W56" i="8" s="1"/>
  <c r="E12" i="8"/>
  <c r="E10" i="8"/>
  <c r="AF60" i="8"/>
  <c r="AF59" i="8"/>
  <c r="AF55" i="8"/>
  <c r="AF56" i="8" s="1"/>
  <c r="W46" i="8"/>
  <c r="W47" i="8" s="1"/>
  <c r="W50" i="8"/>
  <c r="T46" i="8"/>
  <c r="T47" i="8" s="1"/>
  <c r="E55" i="8"/>
  <c r="E56" i="8" s="1"/>
  <c r="Q193" i="8"/>
  <c r="Q79" i="8"/>
  <c r="T30" i="8"/>
  <c r="T23" i="8"/>
  <c r="T24" i="8" s="1"/>
  <c r="AV159" i="8"/>
  <c r="AV166" i="8" s="1"/>
  <c r="AV168" i="8" s="1"/>
  <c r="AB51" i="46" s="1"/>
  <c r="G27" i="43"/>
  <c r="G28" i="43" s="1"/>
  <c r="M26" i="43"/>
  <c r="BX27" i="43"/>
  <c r="H26" i="43"/>
  <c r="G26" i="43"/>
  <c r="AD136" i="8"/>
  <c r="AD139" i="8" s="1"/>
  <c r="L60" i="2" s="1"/>
  <c r="L238" i="1"/>
  <c r="L239" i="1" s="1"/>
  <c r="J26" i="43"/>
  <c r="I28" i="43"/>
  <c r="I26" i="43"/>
  <c r="L237" i="1"/>
  <c r="AD88" i="8"/>
  <c r="AD91" i="8" s="1"/>
  <c r="L15" i="2"/>
  <c r="L21" i="2" s="1"/>
  <c r="L68" i="2" s="1"/>
  <c r="AD193" i="8"/>
  <c r="AD191" i="8" s="1"/>
  <c r="AD201" i="8" s="1"/>
  <c r="AD84" i="8"/>
  <c r="AF79" i="8"/>
  <c r="AF193" i="8"/>
  <c r="AA136" i="8"/>
  <c r="AA139" i="8" s="1"/>
  <c r="K60" i="2" s="1"/>
  <c r="K238" i="1"/>
  <c r="K239" i="1" s="1"/>
  <c r="AA203" i="8"/>
  <c r="AA76" i="8" s="1"/>
  <c r="AA79" i="8"/>
  <c r="AA84" i="8" s="1"/>
  <c r="K15" i="2"/>
  <c r="K21" i="2" s="1"/>
  <c r="K68" i="2" s="1"/>
  <c r="U73" i="8"/>
  <c r="U79" i="8" s="1"/>
  <c r="I236" i="1" s="1"/>
  <c r="BB106" i="8"/>
  <c r="I15" i="2"/>
  <c r="I21" i="2" s="1"/>
  <c r="I68" i="2" s="1"/>
  <c r="U136" i="8"/>
  <c r="U139" i="8" s="1"/>
  <c r="U182" i="8" s="1"/>
  <c r="X12" i="8"/>
  <c r="F238" i="1"/>
  <c r="F239" i="1" s="1"/>
  <c r="F15" i="2"/>
  <c r="F21" i="2" s="1"/>
  <c r="F68" i="2" s="1"/>
  <c r="L73" i="8"/>
  <c r="L193" i="8" s="1"/>
  <c r="U26" i="8"/>
  <c r="W7" i="8"/>
  <c r="L136" i="8"/>
  <c r="L139" i="8" s="1"/>
  <c r="F60" i="2" s="1"/>
  <c r="R136" i="8"/>
  <c r="R139" i="8" s="1"/>
  <c r="H60" i="2" s="1"/>
  <c r="R73" i="8"/>
  <c r="R79" i="8" s="1"/>
  <c r="H236" i="1" s="1"/>
  <c r="H238" i="1"/>
  <c r="H239" i="1" s="1"/>
  <c r="AM167" i="8"/>
  <c r="Y52" i="46" s="1"/>
  <c r="O238" i="1"/>
  <c r="O239" i="1" s="1"/>
  <c r="C65" i="8"/>
  <c r="I13" i="8"/>
  <c r="C46" i="8"/>
  <c r="C47" i="8" s="1"/>
  <c r="C12" i="8"/>
  <c r="F13" i="8" s="1"/>
  <c r="AA25" i="46"/>
  <c r="AP65" i="8"/>
  <c r="AP50" i="8"/>
  <c r="D63" i="1"/>
  <c r="P57" i="1"/>
  <c r="C55" i="8"/>
  <c r="C56" i="8" s="1"/>
  <c r="AM12" i="8"/>
  <c r="Y32" i="46" s="1"/>
  <c r="Y41" i="46"/>
  <c r="X56" i="8"/>
  <c r="AK56" i="8"/>
  <c r="X10" i="8"/>
  <c r="F73" i="8"/>
  <c r="F79" i="8" s="1"/>
  <c r="D236" i="1" s="1"/>
  <c r="AM50" i="8"/>
  <c r="C136" i="8"/>
  <c r="C139" i="8" s="1"/>
  <c r="C182" i="8" s="1"/>
  <c r="AM147" i="8"/>
  <c r="AM148" i="8" s="1"/>
  <c r="M413" i="43"/>
  <c r="J167" i="1"/>
  <c r="AM59" i="8"/>
  <c r="L413" i="43"/>
  <c r="U27" i="43"/>
  <c r="C73" i="8"/>
  <c r="C193" i="8" s="1"/>
  <c r="C191" i="8" s="1"/>
  <c r="C201" i="8" s="1"/>
  <c r="K33" i="46"/>
  <c r="D71" i="1"/>
  <c r="U65" i="8"/>
  <c r="I126" i="1"/>
  <c r="D70" i="1"/>
  <c r="U59" i="8"/>
  <c r="AM73" i="8"/>
  <c r="AL73" i="8" s="1"/>
  <c r="AL79" i="8" s="1"/>
  <c r="O64" i="2"/>
  <c r="C238" i="1"/>
  <c r="C239" i="1" s="1"/>
  <c r="D238" i="1"/>
  <c r="D239" i="1" s="1"/>
  <c r="F65" i="8"/>
  <c r="D15" i="2"/>
  <c r="D21" i="2" s="1"/>
  <c r="D68" i="2" s="1"/>
  <c r="P56" i="1"/>
  <c r="CL127" i="43"/>
  <c r="CL141" i="43" s="1"/>
  <c r="T481" i="43"/>
  <c r="S413" i="43"/>
  <c r="W44" i="43"/>
  <c r="CG192" i="43"/>
  <c r="AP12" i="8"/>
  <c r="Z32" i="46" s="1"/>
  <c r="T104" i="43"/>
  <c r="T215" i="43" s="1"/>
  <c r="Q480" i="43"/>
  <c r="Q481" i="43" s="1"/>
  <c r="CL109" i="43"/>
  <c r="CL102" i="43" s="1"/>
  <c r="AL6" i="8"/>
  <c r="CH8" i="43"/>
  <c r="I56" i="1"/>
  <c r="I12" i="46"/>
  <c r="AB26" i="46" s="1"/>
  <c r="T23" i="43"/>
  <c r="CB282" i="43"/>
  <c r="CK288" i="43"/>
  <c r="CH45" i="43"/>
  <c r="I167" i="1"/>
  <c r="I57" i="1"/>
  <c r="U53" i="8"/>
  <c r="BX254" i="43"/>
  <c r="CL294" i="43"/>
  <c r="CC269" i="43"/>
  <c r="CD269" i="43" s="1"/>
  <c r="U12" i="8"/>
  <c r="U10" i="8"/>
  <c r="I64" i="1" s="1"/>
  <c r="U47" i="8"/>
  <c r="U147" i="8"/>
  <c r="U148" i="8" s="1"/>
  <c r="J33" i="46"/>
  <c r="CM288" i="43"/>
  <c r="AO50" i="8"/>
  <c r="J218" i="43"/>
  <c r="K240" i="43"/>
  <c r="J74" i="1"/>
  <c r="X147" i="8"/>
  <c r="X148" i="8" s="1"/>
  <c r="X53" i="8"/>
  <c r="X26" i="8"/>
  <c r="AO12" i="8"/>
  <c r="L244" i="43"/>
  <c r="L222" i="43" s="1"/>
  <c r="CH257" i="43"/>
  <c r="O57" i="1"/>
  <c r="AM26" i="8"/>
  <c r="AM53" i="8"/>
  <c r="AM10" i="8"/>
  <c r="O64" i="1" s="1"/>
  <c r="CJ60" i="43"/>
  <c r="T91" i="1"/>
  <c r="BR61" i="43"/>
  <c r="J126" i="1"/>
  <c r="X59" i="8"/>
  <c r="J56" i="1"/>
  <c r="I202" i="43"/>
  <c r="I94" i="43" s="1"/>
  <c r="I95" i="43" s="1"/>
  <c r="K242" i="43"/>
  <c r="K220" i="43" s="1"/>
  <c r="Y46" i="43"/>
  <c r="O56" i="1"/>
  <c r="AP7" i="8"/>
  <c r="O74" i="1"/>
  <c r="AP56" i="8"/>
  <c r="AP53" i="8"/>
  <c r="U481" i="43"/>
  <c r="V46" i="43"/>
  <c r="X7" i="8"/>
  <c r="J57" i="1"/>
  <c r="T259" i="43"/>
  <c r="CJ8" i="43"/>
  <c r="AM65" i="8"/>
  <c r="R413" i="43"/>
  <c r="CJ257" i="43"/>
  <c r="AP59" i="8"/>
  <c r="AP10" i="8"/>
  <c r="CJ23" i="43"/>
  <c r="BR23" i="43"/>
  <c r="T491" i="43"/>
  <c r="U328" i="43"/>
  <c r="U325" i="43"/>
  <c r="U310" i="43" s="1"/>
  <c r="I235" i="43"/>
  <c r="I213" i="43" s="1"/>
  <c r="Q272" i="43"/>
  <c r="CH259" i="43"/>
  <c r="CH285" i="43"/>
  <c r="CH287" i="43" s="1"/>
  <c r="CH281" i="43"/>
  <c r="CJ282" i="43" s="1"/>
  <c r="CL281" i="43"/>
  <c r="CL282" i="43" s="1"/>
  <c r="CD296" i="43"/>
  <c r="CD297" i="43" s="1"/>
  <c r="CD267" i="43"/>
  <c r="I246" i="43"/>
  <c r="I226" i="43" s="1"/>
  <c r="CL137" i="43"/>
  <c r="CB266" i="43"/>
  <c r="CB267" i="43" s="1"/>
  <c r="CD271" i="43"/>
  <c r="CF272" i="43" s="1"/>
  <c r="CB273" i="43"/>
  <c r="O23" i="43"/>
  <c r="CL230" i="43"/>
  <c r="CL231" i="43" s="1"/>
  <c r="BT23" i="43"/>
  <c r="AP167" i="8"/>
  <c r="Z52" i="46" s="1"/>
  <c r="AS59" i="8"/>
  <c r="CK282" i="43"/>
  <c r="CK297" i="43"/>
  <c r="CK7" i="43"/>
  <c r="T505" i="43"/>
  <c r="CJ259" i="43"/>
  <c r="CF273" i="43"/>
  <c r="BW27" i="43"/>
  <c r="BW28" i="43" s="1"/>
  <c r="O27" i="43"/>
  <c r="CL210" i="43"/>
  <c r="CL226" i="43" s="1"/>
  <c r="AY216" i="8"/>
  <c r="I10" i="8"/>
  <c r="E64" i="1" s="1"/>
  <c r="AS7" i="8"/>
  <c r="CL36" i="43"/>
  <c r="Y42" i="46"/>
  <c r="N60" i="2"/>
  <c r="R47" i="1"/>
  <c r="V282" i="43"/>
  <c r="CL20" i="43"/>
  <c r="CL22" i="43" s="1"/>
  <c r="AR11" i="8" s="1"/>
  <c r="AR55" i="8" s="1"/>
  <c r="AN7" i="8"/>
  <c r="O15" i="2"/>
  <c r="O21" i="2" s="1"/>
  <c r="F34" i="46" s="1"/>
  <c r="F35" i="46" s="1"/>
  <c r="F37" i="46" s="1"/>
  <c r="F39" i="46" s="1"/>
  <c r="I46" i="8"/>
  <c r="I47" i="8" s="1"/>
  <c r="U50" i="8"/>
  <c r="I55" i="8"/>
  <c r="I56" i="8" s="1"/>
  <c r="U56" i="8"/>
  <c r="I74" i="1"/>
  <c r="AS53" i="8"/>
  <c r="AS11" i="8"/>
  <c r="AS55" i="8" s="1"/>
  <c r="AS56" i="8" s="1"/>
  <c r="S38" i="43"/>
  <c r="AP47" i="8"/>
  <c r="Z33" i="46" s="1"/>
  <c r="G8" i="46"/>
  <c r="Z41" i="46" s="1"/>
  <c r="AP147" i="8"/>
  <c r="AP148" i="8" s="1"/>
  <c r="AP26" i="8"/>
  <c r="W46" i="43"/>
  <c r="CL285" i="43"/>
  <c r="CL287" i="43" s="1"/>
  <c r="BL199" i="43"/>
  <c r="CN325" i="43"/>
  <c r="CN310" i="43" s="1"/>
  <c r="CN311" i="43" s="1"/>
  <c r="S287" i="43"/>
  <c r="S288" i="43" s="1"/>
  <c r="S286" i="43"/>
  <c r="T286" i="43"/>
  <c r="T287" i="43"/>
  <c r="CL5" i="43"/>
  <c r="CL85" i="43"/>
  <c r="CL86" i="43" s="1"/>
  <c r="CL92" i="43" s="1"/>
  <c r="R61" i="43"/>
  <c r="T91" i="43"/>
  <c r="T92" i="43"/>
  <c r="J202" i="43"/>
  <c r="J94" i="43" s="1"/>
  <c r="J95" i="43" s="1"/>
  <c r="I217" i="43"/>
  <c r="J239" i="43"/>
  <c r="BX61" i="43"/>
  <c r="V297" i="43"/>
  <c r="AM56" i="8"/>
  <c r="CJ287" i="43"/>
  <c r="AX86" i="8"/>
  <c r="AK50" i="8"/>
  <c r="AA66" i="43"/>
  <c r="CB144" i="43"/>
  <c r="BZ145" i="43"/>
  <c r="AS147" i="8"/>
  <c r="AS148" i="8" s="1"/>
  <c r="Q57" i="1"/>
  <c r="Q74" i="1"/>
  <c r="T413" i="43"/>
  <c r="H8" i="46"/>
  <c r="Q56" i="1"/>
  <c r="AS50" i="8"/>
  <c r="Q167" i="1"/>
  <c r="F46" i="46"/>
  <c r="CD23" i="43"/>
  <c r="CH33" i="43"/>
  <c r="AL49" i="8" s="1"/>
  <c r="AL46" i="8" s="1"/>
  <c r="CJ36" i="43"/>
  <c r="CH36" i="43"/>
  <c r="R503" i="43"/>
  <c r="R505" i="43" s="1"/>
  <c r="S506" i="43" s="1"/>
  <c r="S481" i="43"/>
  <c r="R491" i="43"/>
  <c r="P8" i="43"/>
  <c r="AD6" i="8"/>
  <c r="O35" i="43"/>
  <c r="CA9" i="43"/>
  <c r="CB9" i="43" s="1"/>
  <c r="O60" i="43"/>
  <c r="AD28" i="8"/>
  <c r="O45" i="43"/>
  <c r="AD37" i="8"/>
  <c r="AD22" i="8"/>
  <c r="AD41" i="8"/>
  <c r="P10" i="43"/>
  <c r="CF231" i="43"/>
  <c r="BV294" i="43"/>
  <c r="BV85" i="43"/>
  <c r="BX86" i="43" s="1"/>
  <c r="BX92" i="43" s="1"/>
  <c r="BX93" i="43" s="1"/>
  <c r="BV281" i="43"/>
  <c r="BV282" i="43" s="1"/>
  <c r="BV5" i="43"/>
  <c r="BV287" i="43"/>
  <c r="BZ23" i="43"/>
  <c r="S65" i="43"/>
  <c r="S61" i="43"/>
  <c r="BV303" i="43"/>
  <c r="AI55" i="8"/>
  <c r="J241" i="43"/>
  <c r="I219" i="43"/>
  <c r="S259" i="43"/>
  <c r="AY55" i="8"/>
  <c r="AY46" i="8"/>
  <c r="S28" i="43"/>
  <c r="S331" i="43"/>
  <c r="AK12" i="8"/>
  <c r="AK13" i="8" s="1"/>
  <c r="AK53" i="8"/>
  <c r="AK59" i="8"/>
  <c r="AK65" i="8"/>
  <c r="AK7" i="8"/>
  <c r="AK10" i="8"/>
  <c r="BM166" i="43"/>
  <c r="BM198" i="43"/>
  <c r="CI61" i="43"/>
  <c r="CG61" i="43"/>
  <c r="CL145" i="43"/>
  <c r="CN144" i="43"/>
  <c r="CL144" i="43"/>
  <c r="BN165" i="43"/>
  <c r="BN166" i="43" s="1"/>
  <c r="BO153" i="43"/>
  <c r="BO157" i="43" s="1"/>
  <c r="T339" i="43"/>
  <c r="L12" i="8"/>
  <c r="L46" i="8"/>
  <c r="L47" i="8" s="1"/>
  <c r="L10" i="8"/>
  <c r="X73" i="8"/>
  <c r="X193" i="8" s="1"/>
  <c r="X203" i="8" s="1"/>
  <c r="X76" i="8" s="1"/>
  <c r="X136" i="8"/>
  <c r="X139" i="8" s="1"/>
  <c r="X132" i="8" s="1"/>
  <c r="X65" i="8"/>
  <c r="J15" i="2"/>
  <c r="J21" i="2" s="1"/>
  <c r="J68" i="2" s="1"/>
  <c r="T26" i="43"/>
  <c r="AJ12" i="8"/>
  <c r="X32" i="46" s="1"/>
  <c r="AJ10" i="8"/>
  <c r="N63" i="1" s="1"/>
  <c r="AM7" i="8"/>
  <c r="AJ56" i="8"/>
  <c r="AJ65" i="8"/>
  <c r="AJ59" i="8"/>
  <c r="CN350" i="43"/>
  <c r="CN343" i="43"/>
  <c r="CN344" i="43" s="1"/>
  <c r="CN32" i="43"/>
  <c r="CN33" i="43" s="1"/>
  <c r="AU49" i="8" s="1"/>
  <c r="CN345" i="43"/>
  <c r="CF23" i="43"/>
  <c r="CF45" i="43"/>
  <c r="AI6" i="8"/>
  <c r="CF8" i="43"/>
  <c r="CF60" i="43"/>
  <c r="P37" i="43"/>
  <c r="AG49" i="8"/>
  <c r="P36" i="43"/>
  <c r="CD258" i="43"/>
  <c r="CF259" i="43" s="1"/>
  <c r="CF257" i="43"/>
  <c r="CF86" i="43"/>
  <c r="CF92" i="43" s="1"/>
  <c r="CF93" i="43" s="1"/>
  <c r="CH86" i="43"/>
  <c r="CH92" i="43" s="1"/>
  <c r="N74" i="1"/>
  <c r="AJ53" i="8"/>
  <c r="N167" i="1"/>
  <c r="AJ147" i="8"/>
  <c r="AJ148" i="8" s="1"/>
  <c r="N126" i="1"/>
  <c r="E8" i="46"/>
  <c r="X35" i="46" s="1"/>
  <c r="N56" i="1"/>
  <c r="N57" i="1"/>
  <c r="AJ26" i="8"/>
  <c r="Q413" i="43"/>
  <c r="AJ84" i="8"/>
  <c r="AB17" i="46"/>
  <c r="AB18" i="46" s="1"/>
  <c r="L247" i="1"/>
  <c r="L113" i="1"/>
  <c r="L240" i="1" s="1"/>
  <c r="S45" i="1"/>
  <c r="S202" i="1" s="1"/>
  <c r="T200" i="1" s="1"/>
  <c r="CF141" i="43"/>
  <c r="Y123" i="43"/>
  <c r="Y109" i="43" s="1"/>
  <c r="Y102" i="43" s="1"/>
  <c r="W123" i="43"/>
  <c r="W109" i="43" s="1"/>
  <c r="W102" i="43" s="1"/>
  <c r="V109" i="43"/>
  <c r="V102" i="43" s="1"/>
  <c r="H19" i="46"/>
  <c r="AO55" i="8"/>
  <c r="AO56" i="8" s="1"/>
  <c r="Q238" i="1"/>
  <c r="Q239" i="1" s="1"/>
  <c r="AS79" i="8"/>
  <c r="AR79" i="8" s="1"/>
  <c r="AR84" i="8" s="1"/>
  <c r="Q15" i="2"/>
  <c r="Q21" i="2" s="1"/>
  <c r="H34" i="46" s="1"/>
  <c r="H35" i="46" s="1"/>
  <c r="H37" i="46" s="1"/>
  <c r="H39" i="46" s="1"/>
  <c r="AS65" i="8"/>
  <c r="AS193" i="8"/>
  <c r="AS191" i="8" s="1"/>
  <c r="AS201" i="8" s="1"/>
  <c r="AS136" i="8"/>
  <c r="AS139" i="8" s="1"/>
  <c r="AS182" i="8" s="1"/>
  <c r="D60" i="2"/>
  <c r="O136" i="8"/>
  <c r="O139" i="8" s="1"/>
  <c r="O132" i="8" s="1"/>
  <c r="O65" i="8"/>
  <c r="O73" i="8"/>
  <c r="O193" i="8" s="1"/>
  <c r="O191" i="8" s="1"/>
  <c r="O201" i="8" s="1"/>
  <c r="G15" i="2"/>
  <c r="G21" i="2" s="1"/>
  <c r="G68" i="2" s="1"/>
  <c r="AJ132" i="8"/>
  <c r="N236" i="1"/>
  <c r="N241" i="1" s="1"/>
  <c r="AJ141" i="8"/>
  <c r="AJ143" i="8" s="1"/>
  <c r="P259" i="43"/>
  <c r="O259" i="43"/>
  <c r="O510" i="43"/>
  <c r="P510" i="43"/>
  <c r="G46" i="46"/>
  <c r="S272" i="43"/>
  <c r="F132" i="8"/>
  <c r="X25" i="46"/>
  <c r="Y25" i="46"/>
  <c r="AT88" i="8"/>
  <c r="AT111" i="8" s="1"/>
  <c r="AT118" i="8" s="1"/>
  <c r="Q38" i="1"/>
  <c r="Q48" i="1" s="1"/>
  <c r="Q2" i="1" s="1"/>
  <c r="Q54" i="2" s="1"/>
  <c r="U89" i="1"/>
  <c r="AE14" i="46" s="1"/>
  <c r="U22" i="1"/>
  <c r="AD14" i="46"/>
  <c r="T108" i="1"/>
  <c r="T109" i="1" s="1"/>
  <c r="BB160" i="8"/>
  <c r="Z39" i="46"/>
  <c r="V288" i="43"/>
  <c r="L245" i="43"/>
  <c r="L223" i="43" s="1"/>
  <c r="K223" i="43"/>
  <c r="AA41" i="8"/>
  <c r="BY9" i="43"/>
  <c r="BZ9" i="43" s="1"/>
  <c r="AA22" i="8"/>
  <c r="N8" i="43"/>
  <c r="AA37" i="8"/>
  <c r="N17" i="43"/>
  <c r="N18" i="43" s="1"/>
  <c r="AA6" i="8"/>
  <c r="N60" i="43"/>
  <c r="AA28" i="8"/>
  <c r="O10" i="43"/>
  <c r="O38" i="43" s="1"/>
  <c r="N45" i="43"/>
  <c r="N35" i="43"/>
  <c r="O8" i="43"/>
  <c r="N23" i="43"/>
  <c r="N10" i="43"/>
  <c r="T223" i="1"/>
  <c r="AM168" i="8"/>
  <c r="Y51" i="46" s="1"/>
  <c r="F12" i="46"/>
  <c r="AM46" i="8"/>
  <c r="AM47" i="8" s="1"/>
  <c r="Y33" i="46" s="1"/>
  <c r="W85" i="43"/>
  <c r="Y86" i="43"/>
  <c r="BP61" i="43"/>
  <c r="BN61" i="43"/>
  <c r="CD55" i="43"/>
  <c r="CC57" i="43"/>
  <c r="CC63" i="43"/>
  <c r="CF62" i="43"/>
  <c r="CD60" i="43"/>
  <c r="AO64" i="8"/>
  <c r="AO65" i="8" s="1"/>
  <c r="AO59" i="8"/>
  <c r="AR60" i="8"/>
  <c r="R286" i="43"/>
  <c r="Q287" i="43"/>
  <c r="L134" i="8"/>
  <c r="L53" i="8"/>
  <c r="W287" i="43"/>
  <c r="W286" i="43"/>
  <c r="K17" i="46"/>
  <c r="BB60" i="8"/>
  <c r="BB64" i="8"/>
  <c r="BB73" i="8" s="1"/>
  <c r="BB55" i="8"/>
  <c r="BB56" i="8" s="1"/>
  <c r="Q286" i="43"/>
  <c r="Z286" i="43"/>
  <c r="BA58" i="8"/>
  <c r="Z62" i="43"/>
  <c r="CD45" i="43"/>
  <c r="BV258" i="43"/>
  <c r="BV259" i="43" s="1"/>
  <c r="BV257" i="43"/>
  <c r="W7" i="43"/>
  <c r="W23" i="43" s="1"/>
  <c r="W297" i="43"/>
  <c r="CF285" i="43"/>
  <c r="CF286" i="43" s="1"/>
  <c r="CF283" i="43"/>
  <c r="CF281" i="43"/>
  <c r="BV23" i="43"/>
  <c r="AK84" i="8"/>
  <c r="AP79" i="8"/>
  <c r="AP84" i="8" s="1"/>
  <c r="AP139" i="8"/>
  <c r="AP132" i="8" s="1"/>
  <c r="AQ203" i="8"/>
  <c r="AQ76" i="8" s="1"/>
  <c r="AV136" i="8"/>
  <c r="AV139" i="8" s="1"/>
  <c r="AM132" i="8"/>
  <c r="X43" i="46"/>
  <c r="X44" i="46"/>
  <c r="X20" i="46"/>
  <c r="AP193" i="8"/>
  <c r="AP191" i="8" s="1"/>
  <c r="AP201" i="8" s="1"/>
  <c r="AP77" i="8" s="1"/>
  <c r="AV73" i="8"/>
  <c r="AU73" i="8" s="1"/>
  <c r="AU193" i="8" s="1"/>
  <c r="AU191" i="8" s="1"/>
  <c r="AO73" i="8"/>
  <c r="AO193" i="8" s="1"/>
  <c r="AO191" i="8" s="1"/>
  <c r="AO196" i="8" s="1"/>
  <c r="AO198" i="8" s="1"/>
  <c r="AO203" i="8" s="1"/>
  <c r="AO76" i="8" s="1"/>
  <c r="C63" i="1"/>
  <c r="C64" i="1"/>
  <c r="C70" i="1"/>
  <c r="R15" i="2"/>
  <c r="R21" i="2" s="1"/>
  <c r="I34" i="46" s="1"/>
  <c r="K27" i="43"/>
  <c r="L28" i="43" s="1"/>
  <c r="K420" i="43"/>
  <c r="K26" i="43"/>
  <c r="L26" i="43"/>
  <c r="AA11" i="46"/>
  <c r="AX11" i="8"/>
  <c r="U105" i="43"/>
  <c r="U216" i="43" s="1"/>
  <c r="U110" i="43"/>
  <c r="U221" i="43" s="1"/>
  <c r="U111" i="43"/>
  <c r="U222" i="43" s="1"/>
  <c r="T27" i="43"/>
  <c r="U26" i="43"/>
  <c r="CL25" i="43"/>
  <c r="N272" i="43"/>
  <c r="U113" i="43"/>
  <c r="U128" i="43" s="1"/>
  <c r="U108" i="43"/>
  <c r="U219" i="43" s="1"/>
  <c r="W282" i="43"/>
  <c r="W339" i="43"/>
  <c r="CB55" i="43"/>
  <c r="CA63" i="43"/>
  <c r="CB62" i="43"/>
  <c r="CD62" i="43"/>
  <c r="CB60" i="43"/>
  <c r="CA57" i="43"/>
  <c r="W32" i="43"/>
  <c r="W33" i="43" s="1"/>
  <c r="AX49" i="8" s="1"/>
  <c r="W343" i="43"/>
  <c r="W345" i="43"/>
  <c r="W350" i="43"/>
  <c r="Z345" i="43"/>
  <c r="CB45" i="43"/>
  <c r="X149" i="43"/>
  <c r="U106" i="43"/>
  <c r="U217" i="43" s="1"/>
  <c r="CN123" i="43"/>
  <c r="U137" i="43"/>
  <c r="CN7" i="43"/>
  <c r="AO52" i="8"/>
  <c r="AO53" i="8" s="1"/>
  <c r="CJ45" i="43"/>
  <c r="M55" i="43"/>
  <c r="M303" i="43"/>
  <c r="BX302" i="43"/>
  <c r="BX303" i="43" s="1"/>
  <c r="BX231" i="43"/>
  <c r="BZ231" i="43"/>
  <c r="G202" i="43"/>
  <c r="G94" i="43" s="1"/>
  <c r="G95" i="43" s="1"/>
  <c r="H202" i="43"/>
  <c r="H94" i="43" s="1"/>
  <c r="H95" i="43" s="1"/>
  <c r="G203" i="43"/>
  <c r="H204" i="43" s="1"/>
  <c r="BL23" i="43"/>
  <c r="Q259" i="43"/>
  <c r="R259" i="43"/>
  <c r="Q166" i="43"/>
  <c r="Q509" i="43"/>
  <c r="Q510" i="43" s="1"/>
  <c r="CD287" i="43"/>
  <c r="CD286" i="43"/>
  <c r="V321" i="43"/>
  <c r="V322" i="43" s="1"/>
  <c r="K201" i="43"/>
  <c r="K190" i="43"/>
  <c r="K80" i="43" s="1"/>
  <c r="U104" i="43"/>
  <c r="U215" i="43" s="1"/>
  <c r="X118" i="43"/>
  <c r="BX285" i="43"/>
  <c r="BX281" i="43"/>
  <c r="CH163" i="43"/>
  <c r="S159" i="43"/>
  <c r="S163" i="43" s="1"/>
  <c r="R192" i="43"/>
  <c r="R165" i="43"/>
  <c r="BX271" i="43"/>
  <c r="BZ272" i="43" s="1"/>
  <c r="BZ273" i="43"/>
  <c r="BX23" i="43"/>
  <c r="AD46" i="8"/>
  <c r="AD55" i="8"/>
  <c r="CD282" i="43"/>
  <c r="M173" i="43"/>
  <c r="M177" i="43" s="1"/>
  <c r="M185" i="43" s="1"/>
  <c r="L187" i="43"/>
  <c r="L186" i="43"/>
  <c r="L189" i="43" s="1"/>
  <c r="M38" i="1"/>
  <c r="M48" i="1" s="1"/>
  <c r="M2" i="1" s="1"/>
  <c r="M54" i="2" s="1"/>
  <c r="W12" i="46"/>
  <c r="M60" i="2"/>
  <c r="AG182" i="8"/>
  <c r="AG132" i="8"/>
  <c r="I79" i="8"/>
  <c r="I193" i="8"/>
  <c r="M68" i="2"/>
  <c r="D34" i="46"/>
  <c r="D35" i="46" s="1"/>
  <c r="D37" i="46" s="1"/>
  <c r="D39" i="46" s="1"/>
  <c r="E60" i="2"/>
  <c r="E69" i="2" s="1"/>
  <c r="I132" i="8"/>
  <c r="I182" i="8"/>
  <c r="D19" i="46"/>
  <c r="AG79" i="8"/>
  <c r="AG193" i="8"/>
  <c r="AK111" i="8"/>
  <c r="AK118" i="8" s="1"/>
  <c r="AK93" i="8"/>
  <c r="AK91" i="8"/>
  <c r="E22" i="46"/>
  <c r="AJ111" i="8"/>
  <c r="AJ118" i="8" s="1"/>
  <c r="N229" i="1"/>
  <c r="N231" i="1" s="1"/>
  <c r="N175" i="1"/>
  <c r="N179" i="1" s="1"/>
  <c r="AJ93" i="8"/>
  <c r="AJ91" i="8"/>
  <c r="I204" i="43"/>
  <c r="J204" i="43"/>
  <c r="S470" i="43"/>
  <c r="T468" i="43"/>
  <c r="AC40" i="46"/>
  <c r="CD264" i="43"/>
  <c r="CB264" i="43"/>
  <c r="CN127" i="43"/>
  <c r="CM141" i="43"/>
  <c r="P272" i="43"/>
  <c r="O272" i="43"/>
  <c r="W25" i="43"/>
  <c r="X26" i="43"/>
  <c r="X27" i="43"/>
  <c r="AA26" i="43"/>
  <c r="CD257" i="43"/>
  <c r="CB258" i="43"/>
  <c r="CB257" i="43"/>
  <c r="Y116" i="43"/>
  <c r="V127" i="43"/>
  <c r="W116" i="43"/>
  <c r="T38" i="1"/>
  <c r="K8" i="46"/>
  <c r="T56" i="1"/>
  <c r="BB147" i="8"/>
  <c r="BB148" i="8" s="1"/>
  <c r="T167" i="1"/>
  <c r="BB53" i="8"/>
  <c r="T57" i="1"/>
  <c r="T74" i="1"/>
  <c r="AA413" i="43"/>
  <c r="BB10" i="8"/>
  <c r="BB59" i="8"/>
  <c r="BB12" i="8"/>
  <c r="BB26" i="8"/>
  <c r="G64" i="1"/>
  <c r="G70" i="1"/>
  <c r="G71" i="1"/>
  <c r="G63" i="1"/>
  <c r="E33" i="46"/>
  <c r="N64" i="2"/>
  <c r="N21" i="2"/>
  <c r="BA52" i="8"/>
  <c r="Z46" i="43"/>
  <c r="AX29" i="8"/>
  <c r="AY30" i="8"/>
  <c r="AY33" i="8" s="1"/>
  <c r="AY34" i="8" s="1"/>
  <c r="AY23" i="8"/>
  <c r="AY24" i="8" s="1"/>
  <c r="CG27" i="43"/>
  <c r="CG28" i="43" s="1"/>
  <c r="CG26" i="43"/>
  <c r="AH193" i="8"/>
  <c r="AI73" i="8"/>
  <c r="AI193" i="8" s="1"/>
  <c r="AH79" i="8"/>
  <c r="AN24" i="8"/>
  <c r="CI25" i="43" s="1"/>
  <c r="AO23" i="8"/>
  <c r="AO24" i="8" s="1"/>
  <c r="AV24" i="8"/>
  <c r="AU23" i="8"/>
  <c r="AU24" i="8" s="1"/>
  <c r="AN79" i="8"/>
  <c r="AN193" i="8"/>
  <c r="CD27" i="43"/>
  <c r="CD28" i="43" s="1"/>
  <c r="BR28" i="43"/>
  <c r="BP28" i="43"/>
  <c r="BT28" i="43"/>
  <c r="CE28" i="43"/>
  <c r="CH26" i="43"/>
  <c r="CF27" i="43"/>
  <c r="CL179" i="43"/>
  <c r="CL183" i="43" s="1"/>
  <c r="BW187" i="43"/>
  <c r="BW186" i="43"/>
  <c r="BW189" i="43" s="1"/>
  <c r="K238" i="43"/>
  <c r="J216" i="43"/>
  <c r="AB11" i="46"/>
  <c r="AB45" i="46"/>
  <c r="AB46" i="46" s="1"/>
  <c r="P503" i="43"/>
  <c r="P505" i="43" s="1"/>
  <c r="P506" i="43" s="1"/>
  <c r="CD480" i="43"/>
  <c r="R28" i="43"/>
  <c r="AQ111" i="8"/>
  <c r="AQ118" i="8" s="1"/>
  <c r="AQ91" i="8"/>
  <c r="AQ93" i="8"/>
  <c r="E12" i="46"/>
  <c r="AJ46" i="8"/>
  <c r="AJ47" i="8" s="1"/>
  <c r="X33" i="46" s="1"/>
  <c r="AJ50" i="8"/>
  <c r="BV272" i="43"/>
  <c r="AA15" i="46"/>
  <c r="AA45" i="46"/>
  <c r="AA46" i="46" s="1"/>
  <c r="AA18" i="46"/>
  <c r="U153" i="43"/>
  <c r="U157" i="43" s="1"/>
  <c r="CF267" i="43"/>
  <c r="CF296" i="43"/>
  <c r="CF297" i="43" s="1"/>
  <c r="AD11" i="46"/>
  <c r="AD45" i="46"/>
  <c r="AD46" i="46" s="1"/>
  <c r="CN272" i="43"/>
  <c r="M510" i="43"/>
  <c r="N510" i="43"/>
  <c r="CH272" i="43"/>
  <c r="BY173" i="43"/>
  <c r="BY177" i="43" s="1"/>
  <c r="BX185" i="43"/>
  <c r="M259" i="43"/>
  <c r="N259" i="43"/>
  <c r="BZ264" i="43"/>
  <c r="BX264" i="43"/>
  <c r="Y47" i="46"/>
  <c r="Y48" i="46" s="1"/>
  <c r="Y20" i="46"/>
  <c r="M36" i="43"/>
  <c r="X49" i="8"/>
  <c r="M37" i="43"/>
  <c r="M38" i="43" s="1"/>
  <c r="N36" i="43"/>
  <c r="N37" i="43"/>
  <c r="BX258" i="43"/>
  <c r="BX257" i="43"/>
  <c r="BZ257" i="43"/>
  <c r="AQ202" i="8"/>
  <c r="AQ77" i="8"/>
  <c r="Y44" i="46"/>
  <c r="V195" i="1"/>
  <c r="U75" i="2"/>
  <c r="U195" i="1"/>
  <c r="U181" i="1" s="1"/>
  <c r="U184" i="1" s="1"/>
  <c r="X126" i="43"/>
  <c r="U112" i="43"/>
  <c r="U223" i="43" s="1"/>
  <c r="BX267" i="43"/>
  <c r="BX296" i="43"/>
  <c r="BX297" i="43" s="1"/>
  <c r="AB35" i="43" l="1"/>
  <c r="AB45" i="43"/>
  <c r="AA61" i="43"/>
  <c r="Z231" i="43"/>
  <c r="AB92" i="43"/>
  <c r="AB93" i="43" s="1"/>
  <c r="AD317" i="43"/>
  <c r="AD321" i="43" s="1"/>
  <c r="L54" i="46" s="1"/>
  <c r="K54" i="46"/>
  <c r="P51" i="46"/>
  <c r="Y45" i="43"/>
  <c r="BN164" i="8"/>
  <c r="AG65" i="43"/>
  <c r="AB23" i="43"/>
  <c r="BC6" i="8"/>
  <c r="BC10" i="8" s="1"/>
  <c r="AB27" i="43"/>
  <c r="AB28" i="43" s="1"/>
  <c r="AB17" i="43"/>
  <c r="AB18" i="43" s="1"/>
  <c r="AE8" i="43"/>
  <c r="AB60" i="43"/>
  <c r="AE61" i="43" s="1"/>
  <c r="AY26" i="8"/>
  <c r="AY59" i="8"/>
  <c r="AY50" i="8"/>
  <c r="S74" i="1"/>
  <c r="AY56" i="8"/>
  <c r="BB7" i="8"/>
  <c r="AY10" i="8"/>
  <c r="S71" i="1" s="1"/>
  <c r="AY12" i="8"/>
  <c r="AC32" i="46" s="1"/>
  <c r="AY53" i="8"/>
  <c r="AY147" i="8"/>
  <c r="AY148" i="8" s="1"/>
  <c r="S57" i="1"/>
  <c r="J8" i="46"/>
  <c r="AD24" i="46" s="1"/>
  <c r="AY65" i="8"/>
  <c r="AB10" i="43"/>
  <c r="AB38" i="43" s="1"/>
  <c r="X413" i="43"/>
  <c r="S56" i="1"/>
  <c r="AB8" i="43"/>
  <c r="Y17" i="43"/>
  <c r="Y18" i="43" s="1"/>
  <c r="AZ6" i="8"/>
  <c r="AZ50" i="8" s="1"/>
  <c r="Y9" i="43"/>
  <c r="Z9" i="43" s="1"/>
  <c r="Y35" i="43"/>
  <c r="Y60" i="43"/>
  <c r="Y61" i="43" s="1"/>
  <c r="Y23" i="43"/>
  <c r="Z297" i="43"/>
  <c r="Z7" i="43"/>
  <c r="BA6" i="8" s="1"/>
  <c r="BA10" i="8" s="1"/>
  <c r="G35" i="46"/>
  <c r="G37" i="46" s="1"/>
  <c r="G39" i="46" s="1"/>
  <c r="AV253" i="43"/>
  <c r="R45" i="46" s="1"/>
  <c r="AA228" i="1"/>
  <c r="AY47" i="8"/>
  <c r="AC33" i="46" s="1"/>
  <c r="AJ323" i="43"/>
  <c r="Z288" i="43"/>
  <c r="AA93" i="43"/>
  <c r="AT6" i="8"/>
  <c r="AT53" i="8" s="1"/>
  <c r="CM60" i="43"/>
  <c r="V61" i="43" s="1"/>
  <c r="V35" i="43"/>
  <c r="V23" i="43"/>
  <c r="CM8" i="43"/>
  <c r="V17" i="43"/>
  <c r="V18" i="43" s="1"/>
  <c r="Y8" i="43"/>
  <c r="AD15" i="46"/>
  <c r="W184" i="1"/>
  <c r="V10" i="43"/>
  <c r="CM23" i="43"/>
  <c r="V9" i="43"/>
  <c r="W9" i="43" s="1"/>
  <c r="Y10" i="43"/>
  <c r="Y38" i="43" s="1"/>
  <c r="CM45" i="43"/>
  <c r="CM35" i="43"/>
  <c r="CM27" i="43"/>
  <c r="CM28" i="43" s="1"/>
  <c r="V27" i="43"/>
  <c r="Y28" i="43" s="1"/>
  <c r="V8" i="43"/>
  <c r="CM9" i="43"/>
  <c r="CN9" i="43" s="1"/>
  <c r="AW6" i="8"/>
  <c r="AW59" i="8" s="1"/>
  <c r="V45" i="43"/>
  <c r="AS334" i="43"/>
  <c r="Q51" i="46" s="1"/>
  <c r="Z26" i="43"/>
  <c r="W130" i="43"/>
  <c r="Z272" i="43"/>
  <c r="Z351" i="43"/>
  <c r="CN232" i="43"/>
  <c r="AV11" i="8"/>
  <c r="AV10" i="8" s="1"/>
  <c r="Z44" i="46"/>
  <c r="G195" i="43"/>
  <c r="G198" i="43" s="1"/>
  <c r="G199" i="43" s="1"/>
  <c r="G207" i="43" s="1"/>
  <c r="X231" i="43"/>
  <c r="N28" i="43"/>
  <c r="L65" i="43"/>
  <c r="Z20" i="46"/>
  <c r="Z38" i="46" s="1"/>
  <c r="F63" i="43"/>
  <c r="CN20" i="43"/>
  <c r="CN22" i="43" s="1"/>
  <c r="AU11" i="8" s="1"/>
  <c r="CN230" i="43"/>
  <c r="CN231" i="43" s="1"/>
  <c r="Z43" i="46"/>
  <c r="U506" i="43"/>
  <c r="W232" i="43"/>
  <c r="AC19" i="46"/>
  <c r="S38" i="1"/>
  <c r="P28" i="43"/>
  <c r="AG147" i="8"/>
  <c r="AG148" i="8" s="1"/>
  <c r="AG59" i="8"/>
  <c r="AG56" i="8"/>
  <c r="AG26" i="8"/>
  <c r="F98" i="43"/>
  <c r="M56" i="1"/>
  <c r="M57" i="1"/>
  <c r="M74" i="1"/>
  <c r="D8" i="46"/>
  <c r="W41" i="46" s="1"/>
  <c r="P413" i="43"/>
  <c r="M167" i="1"/>
  <c r="AG12" i="8"/>
  <c r="W32" i="46" s="1"/>
  <c r="AG10" i="8"/>
  <c r="M71" i="1" s="1"/>
  <c r="AJ7" i="8"/>
  <c r="AG53" i="8"/>
  <c r="AG65" i="8"/>
  <c r="AF323" i="43"/>
  <c r="W323" i="43"/>
  <c r="Y323" i="43" s="1"/>
  <c r="AW77" i="8"/>
  <c r="U17" i="43"/>
  <c r="U18" i="43" s="1"/>
  <c r="U23" i="43"/>
  <c r="AE323" i="43"/>
  <c r="R48" i="1"/>
  <c r="R2" i="1" s="1"/>
  <c r="R54" i="2" s="1"/>
  <c r="AW111" i="8"/>
  <c r="AW118" i="8" s="1"/>
  <c r="X61" i="43"/>
  <c r="AW93" i="8"/>
  <c r="AW84" i="8"/>
  <c r="S465" i="43"/>
  <c r="S113" i="1"/>
  <c r="S240" i="1" s="1"/>
  <c r="AE93" i="43"/>
  <c r="O69" i="2"/>
  <c r="O77" i="2" s="1"/>
  <c r="Y181" i="1"/>
  <c r="CL91" i="43"/>
  <c r="I35" i="46"/>
  <c r="I37" i="46" s="1"/>
  <c r="I39" i="46" s="1"/>
  <c r="AW187" i="8"/>
  <c r="AX170" i="8"/>
  <c r="BA134" i="8"/>
  <c r="BA132" i="8" s="1"/>
  <c r="BB65" i="8"/>
  <c r="BB136" i="8"/>
  <c r="AY88" i="8"/>
  <c r="AX88" i="8" s="1"/>
  <c r="AX111" i="8" s="1"/>
  <c r="AX118" i="8" s="1"/>
  <c r="AY191" i="8"/>
  <c r="CH282" i="43"/>
  <c r="AE149" i="43"/>
  <c r="V324" i="43"/>
  <c r="V325" i="43" s="1"/>
  <c r="V310" i="43" s="1"/>
  <c r="V311" i="43" s="1"/>
  <c r="T128" i="43"/>
  <c r="U65" i="43"/>
  <c r="U61" i="43"/>
  <c r="Y92" i="43"/>
  <c r="Y91" i="43"/>
  <c r="V92" i="43"/>
  <c r="V91" i="43"/>
  <c r="V149" i="43" s="1"/>
  <c r="AV26" i="8"/>
  <c r="R167" i="1"/>
  <c r="AY7" i="8"/>
  <c r="AV50" i="8"/>
  <c r="U413" i="43"/>
  <c r="I8" i="46"/>
  <c r="AB35" i="46" s="1"/>
  <c r="AV53" i="8"/>
  <c r="R74" i="1"/>
  <c r="AV59" i="8"/>
  <c r="AV65" i="8"/>
  <c r="AV7" i="8"/>
  <c r="R56" i="1"/>
  <c r="X28" i="43"/>
  <c r="R57" i="1"/>
  <c r="AA28" i="43"/>
  <c r="U28" i="43"/>
  <c r="T28" i="43"/>
  <c r="BB46" i="8"/>
  <c r="BB47" i="8" s="1"/>
  <c r="AD33" i="46" s="1"/>
  <c r="K12" i="46"/>
  <c r="AD34" i="46" s="1"/>
  <c r="AA327" i="43"/>
  <c r="Z321" i="43"/>
  <c r="Z327" i="43" s="1"/>
  <c r="E63" i="43"/>
  <c r="E64" i="43" s="1"/>
  <c r="M28" i="43"/>
  <c r="E200" i="43"/>
  <c r="F200" i="43"/>
  <c r="W34" i="1"/>
  <c r="J63" i="1"/>
  <c r="H69" i="2"/>
  <c r="H77" i="2" s="1"/>
  <c r="N38" i="43"/>
  <c r="CJ61" i="43"/>
  <c r="CH61" i="43"/>
  <c r="K61" i="43"/>
  <c r="H167" i="1"/>
  <c r="R10" i="8"/>
  <c r="H63" i="1" s="1"/>
  <c r="CN282" i="43"/>
  <c r="K65" i="43"/>
  <c r="L141" i="43"/>
  <c r="L61" i="43"/>
  <c r="H126" i="1"/>
  <c r="R26" i="8"/>
  <c r="H56" i="1"/>
  <c r="R12" i="8"/>
  <c r="U13" i="8" s="1"/>
  <c r="CN141" i="43"/>
  <c r="L127" i="43"/>
  <c r="R65" i="8"/>
  <c r="R7" i="8"/>
  <c r="H74" i="1"/>
  <c r="R59" i="8"/>
  <c r="R50" i="8"/>
  <c r="R56" i="8"/>
  <c r="R47" i="8"/>
  <c r="R53" i="8"/>
  <c r="BV86" i="43"/>
  <c r="BV92" i="43" s="1"/>
  <c r="BV93" i="43" s="1"/>
  <c r="T242" i="43"/>
  <c r="T220" i="43" s="1"/>
  <c r="U7" i="8"/>
  <c r="R147" i="8"/>
  <c r="R148" i="8" s="1"/>
  <c r="K413" i="43"/>
  <c r="CL286" i="43"/>
  <c r="R498" i="43"/>
  <c r="Q492" i="43"/>
  <c r="S236" i="1"/>
  <c r="S241" i="1" s="1"/>
  <c r="AX79" i="8"/>
  <c r="AX84" i="8" s="1"/>
  <c r="AY132" i="8"/>
  <c r="I38" i="8"/>
  <c r="I40" i="8" s="1"/>
  <c r="I41" i="8" s="1"/>
  <c r="AY84" i="8"/>
  <c r="AX191" i="8"/>
  <c r="AX201" i="8" s="1"/>
  <c r="AX202" i="8" s="1"/>
  <c r="S60" i="2"/>
  <c r="S69" i="2" s="1"/>
  <c r="S73" i="2" s="1"/>
  <c r="BA46" i="8"/>
  <c r="AL56" i="8"/>
  <c r="H13" i="8"/>
  <c r="P38" i="43"/>
  <c r="J235" i="43"/>
  <c r="J213" i="43" s="1"/>
  <c r="CN286" i="43"/>
  <c r="Q503" i="43"/>
  <c r="Q505" i="43" s="1"/>
  <c r="R506" i="43" s="1"/>
  <c r="R481" i="43"/>
  <c r="CB296" i="43"/>
  <c r="CB297" i="43" s="1"/>
  <c r="M116" i="43"/>
  <c r="M113" i="43"/>
  <c r="M130" i="43"/>
  <c r="N218" i="43"/>
  <c r="N121" i="43"/>
  <c r="O107" i="43"/>
  <c r="N135" i="43"/>
  <c r="N102" i="43"/>
  <c r="J246" i="43"/>
  <c r="J224" i="43" s="1"/>
  <c r="J35" i="46"/>
  <c r="J37" i="46" s="1"/>
  <c r="J39" i="46" s="1"/>
  <c r="CD272" i="43"/>
  <c r="O28" i="43"/>
  <c r="CL272" i="43"/>
  <c r="W13" i="8"/>
  <c r="T13" i="8"/>
  <c r="T65" i="8"/>
  <c r="T73" i="8"/>
  <c r="Z193" i="8"/>
  <c r="Z79" i="8"/>
  <c r="N65" i="8"/>
  <c r="N73" i="8"/>
  <c r="Q13" i="8"/>
  <c r="T506" i="43"/>
  <c r="Q88" i="8"/>
  <c r="Q84" i="8"/>
  <c r="H65" i="8"/>
  <c r="H73" i="8"/>
  <c r="W79" i="8"/>
  <c r="W193" i="8"/>
  <c r="Q191" i="8"/>
  <c r="Q201" i="8" s="1"/>
  <c r="Q77" i="8" s="1"/>
  <c r="Q203" i="8"/>
  <c r="Q76" i="8" s="1"/>
  <c r="K65" i="8"/>
  <c r="K73" i="8"/>
  <c r="E193" i="8"/>
  <c r="E79" i="8"/>
  <c r="E84" i="8" s="1"/>
  <c r="Z13" i="8"/>
  <c r="AC73" i="8"/>
  <c r="AC65" i="8"/>
  <c r="AD93" i="8"/>
  <c r="AD111" i="8"/>
  <c r="AD118" i="8" s="1"/>
  <c r="AD154" i="8" s="1"/>
  <c r="AD157" i="8" s="1"/>
  <c r="AI65" i="8"/>
  <c r="AI7" i="8"/>
  <c r="H28" i="43"/>
  <c r="BZ27" i="43"/>
  <c r="CB28" i="43" s="1"/>
  <c r="K236" i="1"/>
  <c r="K237" i="1" s="1"/>
  <c r="L229" i="1"/>
  <c r="L231" i="1" s="1"/>
  <c r="L175" i="1"/>
  <c r="L179" i="1" s="1"/>
  <c r="AD132" i="8"/>
  <c r="AD182" i="8"/>
  <c r="L69" i="2"/>
  <c r="L77" i="2" s="1"/>
  <c r="AD203" i="8"/>
  <c r="AD76" i="8" s="1"/>
  <c r="AA141" i="8"/>
  <c r="AA143" i="8" s="1"/>
  <c r="K69" i="2"/>
  <c r="K77" i="2" s="1"/>
  <c r="AF191" i="8"/>
  <c r="AF201" i="8" s="1"/>
  <c r="AF77" i="8" s="1"/>
  <c r="AF203" i="8"/>
  <c r="AF76" i="8" s="1"/>
  <c r="AA132" i="8"/>
  <c r="U84" i="8"/>
  <c r="AA88" i="8"/>
  <c r="AA182" i="8"/>
  <c r="U132" i="8"/>
  <c r="U88" i="8"/>
  <c r="U193" i="8"/>
  <c r="U203" i="8" s="1"/>
  <c r="U76" i="8" s="1"/>
  <c r="AD12" i="8"/>
  <c r="L79" i="8"/>
  <c r="L88" i="8" s="1"/>
  <c r="C60" i="2"/>
  <c r="C69" i="2" s="1"/>
  <c r="C77" i="2" s="1"/>
  <c r="R193" i="8"/>
  <c r="R191" i="8" s="1"/>
  <c r="R201" i="8" s="1"/>
  <c r="R141" i="8" s="1"/>
  <c r="R143" i="8" s="1"/>
  <c r="R84" i="8"/>
  <c r="I60" i="2"/>
  <c r="I69" i="2" s="1"/>
  <c r="I73" i="2" s="1"/>
  <c r="L132" i="8"/>
  <c r="L182" i="8"/>
  <c r="R88" i="8"/>
  <c r="X13" i="8"/>
  <c r="BV27" i="43"/>
  <c r="BV28" i="43" s="1"/>
  <c r="R182" i="8"/>
  <c r="R132" i="8"/>
  <c r="L13" i="8"/>
  <c r="J70" i="1"/>
  <c r="AL193" i="8"/>
  <c r="AL203" i="8" s="1"/>
  <c r="AL76" i="8" s="1"/>
  <c r="F193" i="8"/>
  <c r="F191" i="8" s="1"/>
  <c r="F201" i="8" s="1"/>
  <c r="F77" i="8" s="1"/>
  <c r="F84" i="8"/>
  <c r="X191" i="8"/>
  <c r="X201" i="8" s="1"/>
  <c r="X77" i="8" s="1"/>
  <c r="C132" i="8"/>
  <c r="F88" i="8"/>
  <c r="E88" i="8" s="1"/>
  <c r="J71" i="1"/>
  <c r="J64" i="1"/>
  <c r="C141" i="8"/>
  <c r="C143" i="8" s="1"/>
  <c r="C150" i="8" s="1"/>
  <c r="C152" i="8" s="1"/>
  <c r="AM193" i="8"/>
  <c r="AM191" i="8" s="1"/>
  <c r="AL191" i="8" s="1"/>
  <c r="AL201" i="8" s="1"/>
  <c r="AL77" i="8" s="1"/>
  <c r="AS10" i="8"/>
  <c r="Q64" i="1" s="1"/>
  <c r="AL53" i="8"/>
  <c r="F19" i="46"/>
  <c r="AL47" i="8"/>
  <c r="AM79" i="8"/>
  <c r="AM84" i="8" s="1"/>
  <c r="AS46" i="8"/>
  <c r="AS47" i="8" s="1"/>
  <c r="AA33" i="46" s="1"/>
  <c r="C77" i="8"/>
  <c r="I71" i="1"/>
  <c r="AL59" i="8"/>
  <c r="AP13" i="8"/>
  <c r="AS12" i="8"/>
  <c r="AS13" i="8" s="1"/>
  <c r="C79" i="8"/>
  <c r="C84" i="8" s="1"/>
  <c r="I70" i="1"/>
  <c r="E70" i="1"/>
  <c r="E71" i="1"/>
  <c r="O70" i="1"/>
  <c r="C203" i="8"/>
  <c r="C76" i="8" s="1"/>
  <c r="E63" i="1"/>
  <c r="I63" i="1"/>
  <c r="AM13" i="8"/>
  <c r="O63" i="1"/>
  <c r="D69" i="2"/>
  <c r="D73" i="2" s="1"/>
  <c r="O71" i="1"/>
  <c r="T201" i="1"/>
  <c r="Z24" i="46"/>
  <c r="Z34" i="46"/>
  <c r="Z42" i="46"/>
  <c r="Z35" i="46"/>
  <c r="AA24" i="46"/>
  <c r="CM325" i="43"/>
  <c r="CM310" i="43" s="1"/>
  <c r="CM311" i="43" s="1"/>
  <c r="S22" i="2"/>
  <c r="S42" i="2" s="1"/>
  <c r="AL12" i="8"/>
  <c r="AO13" i="8" s="1"/>
  <c r="AL10" i="8"/>
  <c r="AC26" i="46"/>
  <c r="I224" i="43"/>
  <c r="AO7" i="8"/>
  <c r="AL65" i="8"/>
  <c r="X182" i="8"/>
  <c r="AR46" i="8"/>
  <c r="L240" i="43"/>
  <c r="K218" i="43"/>
  <c r="BB216" i="8"/>
  <c r="CJ286" i="43"/>
  <c r="P70" i="1"/>
  <c r="P71" i="1"/>
  <c r="P64" i="1"/>
  <c r="P63" i="1"/>
  <c r="T45" i="1"/>
  <c r="AD10" i="8"/>
  <c r="L71" i="1" s="1"/>
  <c r="J60" i="2"/>
  <c r="J69" i="2" s="1"/>
  <c r="I53" i="46"/>
  <c r="U312" i="43"/>
  <c r="AD56" i="8"/>
  <c r="CK60" i="43"/>
  <c r="CK61" i="43" s="1"/>
  <c r="CK17" i="43"/>
  <c r="AQ6" i="8"/>
  <c r="CK45" i="43"/>
  <c r="CK23" i="43"/>
  <c r="CK8" i="43"/>
  <c r="AD47" i="8"/>
  <c r="BY28" i="43"/>
  <c r="AL50" i="8"/>
  <c r="CF61" i="43"/>
  <c r="CL7" i="43"/>
  <c r="CN8" i="43" s="1"/>
  <c r="CL297" i="43"/>
  <c r="CN86" i="43"/>
  <c r="CN92" i="43" s="1"/>
  <c r="CN91" i="43" s="1"/>
  <c r="U288" i="43"/>
  <c r="T288" i="43"/>
  <c r="J217" i="43"/>
  <c r="K239" i="43"/>
  <c r="T93" i="43"/>
  <c r="T149" i="43"/>
  <c r="AC17" i="46"/>
  <c r="AC18" i="46" s="1"/>
  <c r="S47" i="1"/>
  <c r="AA35" i="46"/>
  <c r="AA34" i="46"/>
  <c r="AA41" i="46"/>
  <c r="AA53" i="46"/>
  <c r="AA42" i="46"/>
  <c r="AD147" i="8"/>
  <c r="AD148" i="8" s="1"/>
  <c r="L56" i="1"/>
  <c r="AD59" i="8"/>
  <c r="L57" i="1"/>
  <c r="L74" i="1"/>
  <c r="AD53" i="8"/>
  <c r="AD26" i="8"/>
  <c r="O413" i="43"/>
  <c r="AD65" i="8"/>
  <c r="AD50" i="8"/>
  <c r="AG7" i="8"/>
  <c r="L126" i="1"/>
  <c r="L167" i="1"/>
  <c r="K241" i="43"/>
  <c r="J219" i="43"/>
  <c r="P61" i="43"/>
  <c r="P65" i="43"/>
  <c r="AN13" i="8"/>
  <c r="BN509" i="43"/>
  <c r="BN198" i="43"/>
  <c r="BN199" i="43" s="1"/>
  <c r="BN97" i="43" s="1"/>
  <c r="O13" i="8"/>
  <c r="CL288" i="43"/>
  <c r="CN288" i="43"/>
  <c r="BM199" i="43"/>
  <c r="BM97" i="43" s="1"/>
  <c r="BN195" i="43"/>
  <c r="BM200" i="43"/>
  <c r="BP153" i="43"/>
  <c r="BP157" i="43" s="1"/>
  <c r="BO165" i="43"/>
  <c r="BO166" i="43" s="1"/>
  <c r="F63" i="1"/>
  <c r="F70" i="1"/>
  <c r="F71" i="1"/>
  <c r="F64" i="1"/>
  <c r="X79" i="8"/>
  <c r="X84" i="8" s="1"/>
  <c r="N71" i="1"/>
  <c r="AJ150" i="8"/>
  <c r="AJ152" i="8" s="1"/>
  <c r="N70" i="1"/>
  <c r="N64" i="1"/>
  <c r="AS203" i="8"/>
  <c r="AS76" i="8" s="1"/>
  <c r="AL7" i="8"/>
  <c r="W17" i="43"/>
  <c r="W18" i="43" s="1"/>
  <c r="CN56" i="43"/>
  <c r="CN351" i="43"/>
  <c r="CN352" i="43" s="1"/>
  <c r="CN353" i="43"/>
  <c r="D12" i="46"/>
  <c r="AG46" i="8"/>
  <c r="AG47" i="8" s="1"/>
  <c r="W33" i="46" s="1"/>
  <c r="AG50" i="8"/>
  <c r="L242" i="43"/>
  <c r="L220" i="43" s="1"/>
  <c r="Q236" i="1"/>
  <c r="Q241" i="1" s="1"/>
  <c r="CF282" i="43"/>
  <c r="X42" i="46"/>
  <c r="X41" i="46"/>
  <c r="Y24" i="46"/>
  <c r="AI50" i="8"/>
  <c r="AI10" i="8"/>
  <c r="AI56" i="8"/>
  <c r="AI12" i="8"/>
  <c r="AI13" i="8" s="1"/>
  <c r="AI53" i="8"/>
  <c r="AI47" i="8"/>
  <c r="AI59" i="8"/>
  <c r="Y127" i="43"/>
  <c r="Y141" i="43" s="1"/>
  <c r="AS84" i="8"/>
  <c r="BH106" i="8"/>
  <c r="U141" i="43"/>
  <c r="K28" i="43"/>
  <c r="BH216" i="8"/>
  <c r="V201" i="1"/>
  <c r="BX272" i="43"/>
  <c r="O203" i="8"/>
  <c r="O76" i="8" s="1"/>
  <c r="O79" i="8"/>
  <c r="O88" i="8" s="1"/>
  <c r="Q22" i="2"/>
  <c r="Q42" i="2" s="1"/>
  <c r="Q47" i="2" s="1"/>
  <c r="R44" i="2" s="1"/>
  <c r="AS167" i="8"/>
  <c r="AA52" i="46" s="1"/>
  <c r="Q60" i="2"/>
  <c r="Q69" i="2" s="1"/>
  <c r="Q77" i="2" s="1"/>
  <c r="AS88" i="8"/>
  <c r="AS132" i="8"/>
  <c r="O182" i="8"/>
  <c r="G60" i="2"/>
  <c r="G69" i="2" s="1"/>
  <c r="N237" i="1"/>
  <c r="AT89" i="8"/>
  <c r="AT123" i="8"/>
  <c r="AT126" i="8" s="1"/>
  <c r="F69" i="2"/>
  <c r="F77" i="2" s="1"/>
  <c r="AT93" i="8"/>
  <c r="AW89" i="8"/>
  <c r="AT91" i="8"/>
  <c r="BE160" i="8"/>
  <c r="U108" i="1"/>
  <c r="T113" i="1"/>
  <c r="T240" i="1" s="1"/>
  <c r="AD19" i="46"/>
  <c r="T247" i="1"/>
  <c r="Y80" i="1"/>
  <c r="Y82" i="1" s="1"/>
  <c r="V22" i="1"/>
  <c r="BE106" i="8"/>
  <c r="BG107" i="8"/>
  <c r="O61" i="43"/>
  <c r="O65" i="43"/>
  <c r="N61" i="43"/>
  <c r="N65" i="43"/>
  <c r="Z86" i="43"/>
  <c r="W299" i="43"/>
  <c r="AA56" i="8"/>
  <c r="AA59" i="8"/>
  <c r="AA147" i="8"/>
  <c r="AA7" i="8"/>
  <c r="AD7" i="8"/>
  <c r="K74" i="1"/>
  <c r="K56" i="1"/>
  <c r="K126" i="1"/>
  <c r="AA53" i="8"/>
  <c r="K167" i="1"/>
  <c r="AA65" i="8"/>
  <c r="K57" i="1"/>
  <c r="AA50" i="8"/>
  <c r="AA10" i="8"/>
  <c r="AA12" i="8"/>
  <c r="N413" i="43"/>
  <c r="AA26" i="8"/>
  <c r="W86" i="43"/>
  <c r="W288" i="43"/>
  <c r="Y34" i="46"/>
  <c r="Z26" i="46"/>
  <c r="AA47" i="8"/>
  <c r="AX6" i="8"/>
  <c r="W60" i="43"/>
  <c r="W35" i="43"/>
  <c r="W45" i="43"/>
  <c r="T238" i="1"/>
  <c r="T239" i="1" s="1"/>
  <c r="T15" i="2"/>
  <c r="CF287" i="43"/>
  <c r="CH286" i="43"/>
  <c r="AD25" i="46"/>
  <c r="AD39" i="46"/>
  <c r="Q288" i="43"/>
  <c r="R288" i="43"/>
  <c r="BA60" i="8"/>
  <c r="BA55" i="8"/>
  <c r="BA64" i="8"/>
  <c r="AP88" i="8"/>
  <c r="P236" i="1"/>
  <c r="P241" i="1" s="1"/>
  <c r="AP203" i="8"/>
  <c r="AP76" i="8" s="1"/>
  <c r="AO79" i="8"/>
  <c r="AO84" i="8" s="1"/>
  <c r="P60" i="2"/>
  <c r="P69" i="2" s="1"/>
  <c r="AP182" i="8"/>
  <c r="AO75" i="8"/>
  <c r="I19" i="46"/>
  <c r="AV79" i="8"/>
  <c r="AU79" i="8" s="1"/>
  <c r="AU84" i="8" s="1"/>
  <c r="AV167" i="8"/>
  <c r="AB52" i="46" s="1"/>
  <c r="AV193" i="8"/>
  <c r="AV191" i="8" s="1"/>
  <c r="AV201" i="8" s="1"/>
  <c r="AP141" i="8"/>
  <c r="AP143" i="8" s="1"/>
  <c r="AP150" i="8" s="1"/>
  <c r="AP152" i="8" s="1"/>
  <c r="I241" i="1"/>
  <c r="I237" i="1"/>
  <c r="U201" i="1"/>
  <c r="BE216" i="8"/>
  <c r="AR43" i="8"/>
  <c r="CN26" i="43"/>
  <c r="AX55" i="8"/>
  <c r="CN35" i="43"/>
  <c r="CN45" i="43"/>
  <c r="W10" i="43"/>
  <c r="CN60" i="43"/>
  <c r="W8" i="43"/>
  <c r="AU6" i="8"/>
  <c r="CN27" i="43"/>
  <c r="AX46" i="8"/>
  <c r="W56" i="43"/>
  <c r="Z353" i="43"/>
  <c r="W351" i="43"/>
  <c r="W353" i="43"/>
  <c r="CN109" i="43"/>
  <c r="CN102" i="43" s="1"/>
  <c r="W137" i="43"/>
  <c r="CN137" i="43"/>
  <c r="CB61" i="43"/>
  <c r="CD61" i="43"/>
  <c r="Z344" i="43"/>
  <c r="W344" i="43"/>
  <c r="L190" i="43"/>
  <c r="L80" i="43" s="1"/>
  <c r="L81" i="43" s="1"/>
  <c r="L201" i="43"/>
  <c r="T159" i="43"/>
  <c r="T163" i="43" s="1"/>
  <c r="S192" i="43"/>
  <c r="S165" i="43"/>
  <c r="BX286" i="43"/>
  <c r="BX287" i="43"/>
  <c r="BZ286" i="43"/>
  <c r="K203" i="43"/>
  <c r="K204" i="43" s="1"/>
  <c r="K202" i="43"/>
  <c r="K94" i="43" s="1"/>
  <c r="K95" i="43" s="1"/>
  <c r="BZ282" i="43"/>
  <c r="BX282" i="43"/>
  <c r="CI159" i="43"/>
  <c r="CI163" i="43" s="1"/>
  <c r="CH192" i="43"/>
  <c r="N173" i="43"/>
  <c r="N177" i="43" s="1"/>
  <c r="N185" i="43" s="1"/>
  <c r="M186" i="43"/>
  <c r="M189" i="43" s="1"/>
  <c r="M187" i="43"/>
  <c r="R166" i="43"/>
  <c r="R509" i="43"/>
  <c r="R510" i="43" s="1"/>
  <c r="W317" i="43"/>
  <c r="W321" i="43" s="1"/>
  <c r="X322" i="43" s="1"/>
  <c r="X324" i="43" s="1"/>
  <c r="V327" i="43"/>
  <c r="W18" i="46"/>
  <c r="W11" i="46"/>
  <c r="W45" i="46"/>
  <c r="W46" i="46" s="1"/>
  <c r="AD77" i="8"/>
  <c r="AD141" i="8"/>
  <c r="AD143" i="8" s="1"/>
  <c r="AS77" i="8"/>
  <c r="AS141" i="8"/>
  <c r="AS143" i="8" s="1"/>
  <c r="AS150" i="8" s="1"/>
  <c r="AS152" i="8" s="1"/>
  <c r="AS202" i="8"/>
  <c r="AG191" i="8"/>
  <c r="AG201" i="8" s="1"/>
  <c r="AG203" i="8"/>
  <c r="AG76" i="8" s="1"/>
  <c r="I203" i="8"/>
  <c r="I76" i="8" s="1"/>
  <c r="I191" i="8"/>
  <c r="I201" i="8" s="1"/>
  <c r="AG88" i="8"/>
  <c r="AF88" i="8" s="1"/>
  <c r="AG84" i="8"/>
  <c r="M236" i="1"/>
  <c r="E73" i="2"/>
  <c r="E77" i="2"/>
  <c r="I84" i="8"/>
  <c r="E236" i="1"/>
  <c r="I88" i="8"/>
  <c r="M69" i="2"/>
  <c r="AV182" i="8"/>
  <c r="R60" i="2"/>
  <c r="R69" i="2" s="1"/>
  <c r="AV132" i="8"/>
  <c r="L203" i="8"/>
  <c r="L76" i="8" s="1"/>
  <c r="L191" i="8"/>
  <c r="L201" i="8" s="1"/>
  <c r="R22" i="2"/>
  <c r="R42" i="2" s="1"/>
  <c r="AK123" i="8"/>
  <c r="AK126" i="8" s="1"/>
  <c r="AL84" i="8"/>
  <c r="AL88" i="8"/>
  <c r="AJ154" i="8"/>
  <c r="AJ157" i="8" s="1"/>
  <c r="AJ123" i="8"/>
  <c r="AJ126" i="8" s="1"/>
  <c r="AJ128" i="8"/>
  <c r="N192" i="1"/>
  <c r="N193" i="1" s="1"/>
  <c r="E21" i="46"/>
  <c r="X36" i="46" s="1"/>
  <c r="CB259" i="43"/>
  <c r="CD259" i="43"/>
  <c r="V141" i="43"/>
  <c r="W127" i="43"/>
  <c r="W141" i="43" s="1"/>
  <c r="W27" i="43"/>
  <c r="W26" i="43"/>
  <c r="AX43" i="8"/>
  <c r="U468" i="43"/>
  <c r="U470" i="43" s="1"/>
  <c r="T470" i="43"/>
  <c r="AD42" i="46"/>
  <c r="AD35" i="46"/>
  <c r="AD41" i="46"/>
  <c r="E34" i="46"/>
  <c r="E35" i="46" s="1"/>
  <c r="E37" i="46" s="1"/>
  <c r="E39" i="46" s="1"/>
  <c r="N68" i="2"/>
  <c r="N69" i="2" s="1"/>
  <c r="AD32" i="46"/>
  <c r="T70" i="1"/>
  <c r="T64" i="1"/>
  <c r="T63" i="1"/>
  <c r="T71" i="1"/>
  <c r="AH88" i="8"/>
  <c r="AH89" i="8" s="1"/>
  <c r="AI79" i="8"/>
  <c r="AH84" i="8"/>
  <c r="AI84" i="8" s="1"/>
  <c r="CJ25" i="43"/>
  <c r="CI27" i="43"/>
  <c r="CI26" i="43"/>
  <c r="CK26" i="43"/>
  <c r="AI191" i="8"/>
  <c r="AI201" i="8" s="1"/>
  <c r="AI77" i="8" s="1"/>
  <c r="AI203" i="8"/>
  <c r="AI76" i="8" s="1"/>
  <c r="C39" i="8"/>
  <c r="C38" i="8" s="1"/>
  <c r="C40" i="8" s="1"/>
  <c r="C41" i="8" s="1"/>
  <c r="F38" i="8"/>
  <c r="F40" i="8" s="1"/>
  <c r="F41" i="8" s="1"/>
  <c r="AX30" i="8"/>
  <c r="AX23" i="8"/>
  <c r="AX24" i="8" s="1"/>
  <c r="AH203" i="8"/>
  <c r="AH76" i="8" s="1"/>
  <c r="AH191" i="8"/>
  <c r="AH201" i="8" s="1"/>
  <c r="AH77" i="8" s="1"/>
  <c r="H241" i="1"/>
  <c r="H237" i="1"/>
  <c r="AN203" i="8"/>
  <c r="AN76" i="8" s="1"/>
  <c r="AN191" i="8"/>
  <c r="AN201" i="8" s="1"/>
  <c r="AN84" i="8"/>
  <c r="AN88" i="8"/>
  <c r="O77" i="8"/>
  <c r="O141" i="8"/>
  <c r="O143" i="8" s="1"/>
  <c r="O150" i="8" s="1"/>
  <c r="O152" i="8" s="1"/>
  <c r="U242" i="43"/>
  <c r="U220" i="43" s="1"/>
  <c r="X34" i="46"/>
  <c r="Y26" i="46"/>
  <c r="AJ179" i="43"/>
  <c r="AJ183" i="43" s="1"/>
  <c r="AM179" i="43" s="1"/>
  <c r="AM183" i="43" s="1"/>
  <c r="AP179" i="43" s="1"/>
  <c r="AP183" i="43" s="1"/>
  <c r="D241" i="1"/>
  <c r="D237" i="1"/>
  <c r="L38" i="46"/>
  <c r="U230" i="1"/>
  <c r="BX187" i="43"/>
  <c r="AA44" i="46"/>
  <c r="AA47" i="46"/>
  <c r="AA48" i="46" s="1"/>
  <c r="AA20" i="46"/>
  <c r="AA43" i="46"/>
  <c r="BW190" i="43"/>
  <c r="BW80" i="43" s="1"/>
  <c r="BW81" i="43" s="1"/>
  <c r="V75" i="2"/>
  <c r="AC15" i="46"/>
  <c r="AC45" i="46"/>
  <c r="AC46" i="46" s="1"/>
  <c r="BZ173" i="43"/>
  <c r="BZ177" i="43" s="1"/>
  <c r="BY185" i="43"/>
  <c r="T465" i="43"/>
  <c r="U463" i="43"/>
  <c r="U465" i="43" s="1"/>
  <c r="BX186" i="43"/>
  <c r="BX189" i="43" s="1"/>
  <c r="CM179" i="43"/>
  <c r="CM183" i="43" s="1"/>
  <c r="CH28" i="43"/>
  <c r="CF28" i="43"/>
  <c r="BX259" i="43"/>
  <c r="BZ259" i="43"/>
  <c r="X50" i="8"/>
  <c r="X46" i="8"/>
  <c r="X47" i="8" s="1"/>
  <c r="Y38" i="46"/>
  <c r="X153" i="43"/>
  <c r="X157" i="43" s="1"/>
  <c r="AA153" i="43" s="1"/>
  <c r="AQ123" i="8"/>
  <c r="AQ126" i="8" s="1"/>
  <c r="AT119" i="8"/>
  <c r="AB43" i="46"/>
  <c r="AB44" i="46"/>
  <c r="AB47" i="46"/>
  <c r="AB48" i="46" s="1"/>
  <c r="AB20" i="46"/>
  <c r="K216" i="43"/>
  <c r="L238" i="43"/>
  <c r="BQ164" i="8" l="1"/>
  <c r="BT164" i="8" s="1"/>
  <c r="BW164" i="8" s="1"/>
  <c r="BZ164" i="8" s="1"/>
  <c r="CC164" i="8" s="1"/>
  <c r="AD327" i="43"/>
  <c r="AG317" i="43"/>
  <c r="AG321" i="43" s="1"/>
  <c r="AJ317" i="43" s="1"/>
  <c r="AJ321" i="43" s="1"/>
  <c r="AE28" i="43"/>
  <c r="Z80" i="1"/>
  <c r="Z82" i="1" s="1"/>
  <c r="AA80" i="1" s="1"/>
  <c r="AA82" i="1" s="1"/>
  <c r="AA89" i="1" s="1"/>
  <c r="AB80" i="1"/>
  <c r="AB82" i="1" s="1"/>
  <c r="AM323" i="43"/>
  <c r="AK323" i="43" s="1"/>
  <c r="BC50" i="8"/>
  <c r="BF7" i="8"/>
  <c r="BC65" i="8"/>
  <c r="BC47" i="8"/>
  <c r="BC53" i="8"/>
  <c r="BC12" i="8"/>
  <c r="BF13" i="8" s="1"/>
  <c r="BC59" i="8"/>
  <c r="BC56" i="8"/>
  <c r="AB61" i="43"/>
  <c r="S63" i="1"/>
  <c r="S70" i="1"/>
  <c r="S64" i="1"/>
  <c r="AY253" i="43"/>
  <c r="S45" i="46" s="1"/>
  <c r="BB13" i="8"/>
  <c r="AC42" i="46"/>
  <c r="AC34" i="46"/>
  <c r="AC41" i="46"/>
  <c r="AC35" i="46"/>
  <c r="BC7" i="8"/>
  <c r="AZ37" i="8"/>
  <c r="Z8" i="43"/>
  <c r="Z23" i="43"/>
  <c r="AZ47" i="8"/>
  <c r="AZ65" i="8"/>
  <c r="AZ10" i="8"/>
  <c r="AZ53" i="8"/>
  <c r="AZ12" i="8"/>
  <c r="AZ56" i="8"/>
  <c r="AZ59" i="8"/>
  <c r="BA59" i="8"/>
  <c r="Z60" i="43"/>
  <c r="Z61" i="43" s="1"/>
  <c r="Z27" i="43"/>
  <c r="Z28" i="43" s="1"/>
  <c r="AB228" i="1"/>
  <c r="BA47" i="8"/>
  <c r="BA53" i="8"/>
  <c r="BA50" i="8"/>
  <c r="BA12" i="8"/>
  <c r="BA37" i="8"/>
  <c r="Z17" i="43"/>
  <c r="Z18" i="43" s="1"/>
  <c r="BA56" i="8"/>
  <c r="Z10" i="43"/>
  <c r="Z38" i="43" s="1"/>
  <c r="Z35" i="43"/>
  <c r="Z45" i="43"/>
  <c r="AV334" i="43"/>
  <c r="R51" i="46" s="1"/>
  <c r="AT7" i="8"/>
  <c r="AC228" i="1"/>
  <c r="AH323" i="43"/>
  <c r="AT37" i="8"/>
  <c r="AT65" i="8"/>
  <c r="AT12" i="8"/>
  <c r="AT47" i="8"/>
  <c r="AT59" i="8"/>
  <c r="AT10" i="8"/>
  <c r="AT50" i="8"/>
  <c r="AT56" i="8"/>
  <c r="V28" i="43"/>
  <c r="AW7" i="8"/>
  <c r="AW50" i="8"/>
  <c r="AW10" i="8"/>
  <c r="AW56" i="8"/>
  <c r="AW12" i="8"/>
  <c r="AW53" i="8"/>
  <c r="AZ7" i="8"/>
  <c r="AW37" i="8"/>
  <c r="AW47" i="8"/>
  <c r="AW65" i="8"/>
  <c r="G200" i="43"/>
  <c r="G63" i="43"/>
  <c r="G64" i="43" s="1"/>
  <c r="AV55" i="8"/>
  <c r="AV56" i="8" s="1"/>
  <c r="H195" i="43"/>
  <c r="H198" i="43" s="1"/>
  <c r="H199" i="43" s="1"/>
  <c r="H97" i="43" s="1"/>
  <c r="AV12" i="8"/>
  <c r="AB32" i="46" s="1"/>
  <c r="AV46" i="8"/>
  <c r="AV47" i="8" s="1"/>
  <c r="AB33" i="46" s="1"/>
  <c r="G205" i="43"/>
  <c r="G97" i="43"/>
  <c r="G98" i="43" s="1"/>
  <c r="W231" i="43"/>
  <c r="S48" i="1"/>
  <c r="S2" i="1" s="1"/>
  <c r="S54" i="2" s="1"/>
  <c r="CN23" i="43"/>
  <c r="CN17" i="43"/>
  <c r="CN18" i="43" s="1"/>
  <c r="AC44" i="46"/>
  <c r="AJ13" i="8"/>
  <c r="AG13" i="8"/>
  <c r="W35" i="46"/>
  <c r="M70" i="1"/>
  <c r="M64" i="1"/>
  <c r="M63" i="1"/>
  <c r="X24" i="46"/>
  <c r="W42" i="46"/>
  <c r="AW123" i="8"/>
  <c r="AW126" i="8" s="1"/>
  <c r="V328" i="43"/>
  <c r="AW119" i="8"/>
  <c r="AW94" i="8"/>
  <c r="AB317" i="43"/>
  <c r="AB321" i="43" s="1"/>
  <c r="AB327" i="43" s="1"/>
  <c r="O73" i="2"/>
  <c r="S229" i="1"/>
  <c r="S231" i="1" s="1"/>
  <c r="AY111" i="8"/>
  <c r="AY118" i="8" s="1"/>
  <c r="AY91" i="8"/>
  <c r="AX91" i="8" s="1"/>
  <c r="AY93" i="8"/>
  <c r="AX93" i="8" s="1"/>
  <c r="J22" i="46"/>
  <c r="S175" i="1"/>
  <c r="AY170" i="8"/>
  <c r="AX187" i="8"/>
  <c r="AY201" i="8"/>
  <c r="BA65" i="8"/>
  <c r="BA136" i="8"/>
  <c r="Y93" i="43"/>
  <c r="J226" i="43"/>
  <c r="F64" i="43"/>
  <c r="Y149" i="43"/>
  <c r="W92" i="43"/>
  <c r="W91" i="43"/>
  <c r="W149" i="43" s="1"/>
  <c r="V93" i="43"/>
  <c r="Z92" i="43"/>
  <c r="Z91" i="43"/>
  <c r="Z149" i="43" s="1"/>
  <c r="AB41" i="46"/>
  <c r="AB34" i="46"/>
  <c r="AB53" i="46"/>
  <c r="AB24" i="46"/>
  <c r="AB42" i="46"/>
  <c r="AC24" i="46"/>
  <c r="AD26" i="46"/>
  <c r="AX77" i="8"/>
  <c r="Q506" i="43"/>
  <c r="H73" i="2"/>
  <c r="H70" i="2"/>
  <c r="H71" i="1"/>
  <c r="H64" i="1"/>
  <c r="H70" i="1"/>
  <c r="S237" i="1"/>
  <c r="R13" i="8"/>
  <c r="X328" i="43"/>
  <c r="X325" i="43"/>
  <c r="X310" i="43" s="1"/>
  <c r="J53" i="46" s="1"/>
  <c r="R150" i="8"/>
  <c r="R152" i="8" s="1"/>
  <c r="S77" i="2"/>
  <c r="CL27" i="43"/>
  <c r="CN28" i="43" s="1"/>
  <c r="BX28" i="43"/>
  <c r="K235" i="43"/>
  <c r="K213" i="43" s="1"/>
  <c r="O135" i="43"/>
  <c r="P107" i="43"/>
  <c r="O218" i="43"/>
  <c r="O121" i="43"/>
  <c r="M128" i="43"/>
  <c r="M127" i="43"/>
  <c r="M141" i="43"/>
  <c r="N130" i="43"/>
  <c r="N116" i="43"/>
  <c r="N113" i="43"/>
  <c r="O130" i="43"/>
  <c r="AD123" i="8"/>
  <c r="AD126" i="8" s="1"/>
  <c r="P229" i="1"/>
  <c r="P231" i="1" s="1"/>
  <c r="AR88" i="8"/>
  <c r="AR111" i="8" s="1"/>
  <c r="AR118" i="8" s="1"/>
  <c r="AR123" i="8" s="1"/>
  <c r="AR126" i="8" s="1"/>
  <c r="E203" i="8"/>
  <c r="E76" i="8" s="1"/>
  <c r="E191" i="8"/>
  <c r="E201" i="8" s="1"/>
  <c r="E77" i="8" s="1"/>
  <c r="W84" i="8"/>
  <c r="W88" i="8"/>
  <c r="Q91" i="8"/>
  <c r="Q111" i="8"/>
  <c r="Q118" i="8" s="1"/>
  <c r="Q93" i="8"/>
  <c r="N193" i="8"/>
  <c r="N79" i="8"/>
  <c r="K193" i="8"/>
  <c r="K79" i="8"/>
  <c r="H193" i="8"/>
  <c r="H79" i="8"/>
  <c r="AC193" i="8"/>
  <c r="AC79" i="8"/>
  <c r="Z84" i="8"/>
  <c r="Z88" i="8"/>
  <c r="T193" i="8"/>
  <c r="T79" i="8"/>
  <c r="W203" i="8"/>
  <c r="W76" i="8" s="1"/>
  <c r="W191" i="8"/>
  <c r="W201" i="8" s="1"/>
  <c r="W77" i="8" s="1"/>
  <c r="Z203" i="8"/>
  <c r="Z76" i="8" s="1"/>
  <c r="Z191" i="8"/>
  <c r="Z201" i="8" s="1"/>
  <c r="Z77" i="8" s="1"/>
  <c r="L192" i="1"/>
  <c r="L193" i="1" s="1"/>
  <c r="AD128" i="8"/>
  <c r="K241" i="1"/>
  <c r="F236" i="1"/>
  <c r="F237" i="1" s="1"/>
  <c r="AX10" i="8"/>
  <c r="BA7" i="8"/>
  <c r="AA91" i="8"/>
  <c r="U111" i="8"/>
  <c r="U118" i="8" s="1"/>
  <c r="U154" i="8" s="1"/>
  <c r="U157" i="8" s="1"/>
  <c r="U89" i="8"/>
  <c r="L89" i="8"/>
  <c r="L84" i="8"/>
  <c r="R91" i="8"/>
  <c r="R89" i="8"/>
  <c r="I89" i="8"/>
  <c r="O89" i="8"/>
  <c r="I175" i="1"/>
  <c r="I179" i="1" s="1"/>
  <c r="U91" i="8"/>
  <c r="T91" i="8" s="1"/>
  <c r="U93" i="8"/>
  <c r="I229" i="1"/>
  <c r="I231" i="1" s="1"/>
  <c r="AT94" i="8"/>
  <c r="E93" i="8"/>
  <c r="E111" i="8"/>
  <c r="E118" i="8" s="1"/>
  <c r="E123" i="8" s="1"/>
  <c r="E126" i="8" s="1"/>
  <c r="AA93" i="8"/>
  <c r="AD94" i="8" s="1"/>
  <c r="BZ28" i="43"/>
  <c r="T202" i="1"/>
  <c r="U200" i="1" s="1"/>
  <c r="AA111" i="8"/>
  <c r="AA118" i="8" s="1"/>
  <c r="AD119" i="8" s="1"/>
  <c r="K70" i="2"/>
  <c r="L78" i="2"/>
  <c r="L73" i="2"/>
  <c r="K175" i="1"/>
  <c r="K179" i="1" s="1"/>
  <c r="AD89" i="8"/>
  <c r="K229" i="1"/>
  <c r="K231" i="1" s="1"/>
  <c r="AF111" i="8"/>
  <c r="AF118" i="8" s="1"/>
  <c r="L70" i="2"/>
  <c r="K73" i="2"/>
  <c r="AF84" i="8"/>
  <c r="R77" i="8"/>
  <c r="H175" i="1"/>
  <c r="H179" i="1" s="1"/>
  <c r="U191" i="8"/>
  <c r="U201" i="8" s="1"/>
  <c r="U77" i="8" s="1"/>
  <c r="C73" i="2"/>
  <c r="AA13" i="8"/>
  <c r="R111" i="8"/>
  <c r="R118" i="8" s="1"/>
  <c r="R128" i="8" s="1"/>
  <c r="H229" i="1"/>
  <c r="H231" i="1" s="1"/>
  <c r="R93" i="8"/>
  <c r="F203" i="8"/>
  <c r="F76" i="8" s="1"/>
  <c r="R203" i="8"/>
  <c r="R76" i="8" s="1"/>
  <c r="I77" i="2"/>
  <c r="I78" i="2" s="1"/>
  <c r="I70" i="2"/>
  <c r="F141" i="8"/>
  <c r="F143" i="8" s="1"/>
  <c r="F150" i="8" s="1"/>
  <c r="F152" i="8" s="1"/>
  <c r="O91" i="8"/>
  <c r="X141" i="8"/>
  <c r="X143" i="8" s="1"/>
  <c r="X150" i="8" s="1"/>
  <c r="X152" i="8" s="1"/>
  <c r="C88" i="8"/>
  <c r="C175" i="1" s="1"/>
  <c r="C179" i="1" s="1"/>
  <c r="AM88" i="8"/>
  <c r="D175" i="1"/>
  <c r="D179" i="1" s="1"/>
  <c r="AA32" i="46"/>
  <c r="F93" i="8"/>
  <c r="Q70" i="1"/>
  <c r="L64" i="1"/>
  <c r="F91" i="8"/>
  <c r="E91" i="8" s="1"/>
  <c r="D229" i="1"/>
  <c r="D231" i="1" s="1"/>
  <c r="D232" i="1" s="1"/>
  <c r="F111" i="8"/>
  <c r="F118" i="8" s="1"/>
  <c r="F123" i="8" s="1"/>
  <c r="F126" i="8" s="1"/>
  <c r="AM201" i="8"/>
  <c r="AM77" i="8" s="1"/>
  <c r="AM203" i="8"/>
  <c r="AM76" i="8" s="1"/>
  <c r="C236" i="1"/>
  <c r="C237" i="1" s="1"/>
  <c r="O236" i="1"/>
  <c r="O237" i="1" s="1"/>
  <c r="E70" i="2"/>
  <c r="L63" i="1"/>
  <c r="Q63" i="1"/>
  <c r="Q71" i="1"/>
  <c r="L70" i="1"/>
  <c r="J236" i="1"/>
  <c r="J241" i="1" s="1"/>
  <c r="D77" i="2"/>
  <c r="D78" i="2" s="1"/>
  <c r="D70" i="2"/>
  <c r="AD17" i="46"/>
  <c r="AD18" i="46" s="1"/>
  <c r="AD47" i="46" s="1"/>
  <c r="AD48" i="46" s="1"/>
  <c r="U45" i="1"/>
  <c r="AE17" i="46" s="1"/>
  <c r="K246" i="43"/>
  <c r="K224" i="43" s="1"/>
  <c r="M240" i="43"/>
  <c r="M218" i="43" s="1"/>
  <c r="L218" i="43"/>
  <c r="CM61" i="43"/>
  <c r="AQ7" i="8"/>
  <c r="AQ59" i="8"/>
  <c r="AQ10" i="8"/>
  <c r="AQ37" i="8"/>
  <c r="AQ50" i="8"/>
  <c r="AQ65" i="8"/>
  <c r="AQ12" i="8"/>
  <c r="AQ13" i="8" s="1"/>
  <c r="AQ53" i="8"/>
  <c r="AQ47" i="8"/>
  <c r="AQ56" i="8"/>
  <c r="CK18" i="43"/>
  <c r="CL17" i="43"/>
  <c r="CL18" i="43" s="1"/>
  <c r="CL35" i="43"/>
  <c r="CL45" i="43"/>
  <c r="CL23" i="43"/>
  <c r="AR6" i="8"/>
  <c r="AU7" i="8" s="1"/>
  <c r="CL8" i="43"/>
  <c r="CL60" i="43"/>
  <c r="CL61" i="43" s="1"/>
  <c r="K217" i="43"/>
  <c r="L239" i="43"/>
  <c r="AD150" i="8"/>
  <c r="AD152" i="8" s="1"/>
  <c r="L241" i="43"/>
  <c r="K219" i="43"/>
  <c r="X88" i="8"/>
  <c r="X89" i="8" s="1"/>
  <c r="J77" i="2"/>
  <c r="K78" i="2" s="1"/>
  <c r="BO198" i="43"/>
  <c r="BO509" i="43"/>
  <c r="BO195" i="43"/>
  <c r="BN200" i="43"/>
  <c r="J73" i="2"/>
  <c r="J70" i="2"/>
  <c r="BP165" i="43"/>
  <c r="BQ153" i="43"/>
  <c r="BQ157" i="43" s="1"/>
  <c r="Q237" i="1"/>
  <c r="O84" i="8"/>
  <c r="W34" i="46"/>
  <c r="AL13" i="8"/>
  <c r="X26" i="46"/>
  <c r="O111" i="8"/>
  <c r="O118" i="8" s="1"/>
  <c r="G229" i="1"/>
  <c r="G231" i="1" s="1"/>
  <c r="G175" i="1"/>
  <c r="G179" i="1" s="1"/>
  <c r="O93" i="8"/>
  <c r="G236" i="1"/>
  <c r="G237" i="1" s="1"/>
  <c r="R47" i="2"/>
  <c r="S44" i="2" s="1"/>
  <c r="S47" i="2" s="1"/>
  <c r="T44" i="2" s="1"/>
  <c r="AX12" i="8"/>
  <c r="F70" i="2"/>
  <c r="Q73" i="2"/>
  <c r="Q175" i="1"/>
  <c r="Q179" i="1" s="1"/>
  <c r="AS91" i="8"/>
  <c r="AR91" i="8" s="1"/>
  <c r="G73" i="2"/>
  <c r="H22" i="46"/>
  <c r="AS111" i="8"/>
  <c r="AS118" i="8" s="1"/>
  <c r="AS128" i="8" s="1"/>
  <c r="G77" i="2"/>
  <c r="H78" i="2" s="1"/>
  <c r="Q229" i="1"/>
  <c r="Q231" i="1" s="1"/>
  <c r="AS93" i="8"/>
  <c r="Q70" i="2"/>
  <c r="G22" i="46"/>
  <c r="AX47" i="8"/>
  <c r="G70" i="2"/>
  <c r="AX56" i="8"/>
  <c r="F73" i="2"/>
  <c r="P73" i="2"/>
  <c r="P70" i="2"/>
  <c r="AX50" i="8"/>
  <c r="Y22" i="1"/>
  <c r="AF14" i="46"/>
  <c r="AD13" i="8"/>
  <c r="AA148" i="8"/>
  <c r="AA150" i="8"/>
  <c r="K71" i="1"/>
  <c r="K64" i="1"/>
  <c r="K63" i="1"/>
  <c r="K70" i="1"/>
  <c r="BB193" i="8"/>
  <c r="BB79" i="8"/>
  <c r="K19" i="46"/>
  <c r="T21" i="2"/>
  <c r="K34" i="46" s="1"/>
  <c r="K35" i="46" s="1"/>
  <c r="K37" i="46" s="1"/>
  <c r="K39" i="46" s="1"/>
  <c r="AX37" i="8"/>
  <c r="AX59" i="8"/>
  <c r="AX53" i="8"/>
  <c r="AX65" i="8"/>
  <c r="BB139" i="8"/>
  <c r="BB132" i="8" s="1"/>
  <c r="AS89" i="8"/>
  <c r="AP93" i="8"/>
  <c r="AP111" i="8"/>
  <c r="AP118" i="8" s="1"/>
  <c r="AP123" i="8" s="1"/>
  <c r="AP91" i="8"/>
  <c r="P77" i="2"/>
  <c r="P78" i="2" s="1"/>
  <c r="P175" i="1"/>
  <c r="AO88" i="8"/>
  <c r="P237" i="1"/>
  <c r="AV203" i="8"/>
  <c r="AV76" i="8" s="1"/>
  <c r="AV84" i="8"/>
  <c r="AV88" i="8"/>
  <c r="R236" i="1"/>
  <c r="R241" i="1" s="1"/>
  <c r="W28" i="43"/>
  <c r="R70" i="1"/>
  <c r="R64" i="1"/>
  <c r="R63" i="1"/>
  <c r="R71" i="1"/>
  <c r="W352" i="43"/>
  <c r="Z352" i="43"/>
  <c r="AU59" i="8"/>
  <c r="AX7" i="8"/>
  <c r="AU53" i="8"/>
  <c r="AU65" i="8"/>
  <c r="AU50" i="8"/>
  <c r="W61" i="43"/>
  <c r="AU46" i="8"/>
  <c r="AU47" i="8" s="1"/>
  <c r="AU55" i="8"/>
  <c r="AU56" i="8" s="1"/>
  <c r="AU12" i="8"/>
  <c r="AU10" i="8"/>
  <c r="W322" i="43"/>
  <c r="W324" i="43" s="1"/>
  <c r="W328" i="43" s="1"/>
  <c r="Y317" i="43"/>
  <c r="W327" i="43"/>
  <c r="M201" i="43"/>
  <c r="M190" i="43"/>
  <c r="M80" i="43" s="1"/>
  <c r="M81" i="43" s="1"/>
  <c r="S166" i="43"/>
  <c r="S509" i="43"/>
  <c r="S510" i="43" s="1"/>
  <c r="L202" i="43"/>
  <c r="L94" i="43" s="1"/>
  <c r="L95" i="43" s="1"/>
  <c r="L203" i="43"/>
  <c r="L204" i="43" s="1"/>
  <c r="N186" i="43"/>
  <c r="N189" i="43" s="1"/>
  <c r="N187" i="43"/>
  <c r="O173" i="43"/>
  <c r="O177" i="43" s="1"/>
  <c r="O185" i="43" s="1"/>
  <c r="CJ159" i="43"/>
  <c r="CJ163" i="43" s="1"/>
  <c r="CI192" i="43"/>
  <c r="U159" i="43"/>
  <c r="U163" i="43" s="1"/>
  <c r="T192" i="43"/>
  <c r="T165" i="43"/>
  <c r="W47" i="46"/>
  <c r="W48" i="46" s="1"/>
  <c r="W43" i="46"/>
  <c r="W20" i="46"/>
  <c r="W44" i="46"/>
  <c r="F78" i="2"/>
  <c r="M237" i="1"/>
  <c r="M241" i="1"/>
  <c r="AG141" i="8"/>
  <c r="AG143" i="8" s="1"/>
  <c r="AG150" i="8" s="1"/>
  <c r="AG152" i="8" s="1"/>
  <c r="AG77" i="8"/>
  <c r="M73" i="2"/>
  <c r="M77" i="2"/>
  <c r="M78" i="2" s="1"/>
  <c r="M70" i="2"/>
  <c r="I77" i="8"/>
  <c r="I141" i="8"/>
  <c r="I143" i="8" s="1"/>
  <c r="I150" i="8" s="1"/>
  <c r="I152" i="8" s="1"/>
  <c r="I111" i="8"/>
  <c r="I118" i="8" s="1"/>
  <c r="E229" i="1"/>
  <c r="E231" i="1" s="1"/>
  <c r="I91" i="8"/>
  <c r="H91" i="8" s="1"/>
  <c r="I93" i="8"/>
  <c r="E175" i="1"/>
  <c r="E179" i="1" s="1"/>
  <c r="AG89" i="8"/>
  <c r="AG91" i="8"/>
  <c r="AF91" i="8" s="1"/>
  <c r="AJ89" i="8"/>
  <c r="M229" i="1"/>
  <c r="M231" i="1" s="1"/>
  <c r="AG93" i="8"/>
  <c r="AJ94" i="8" s="1"/>
  <c r="AG111" i="8"/>
  <c r="AG118" i="8" s="1"/>
  <c r="D22" i="46"/>
  <c r="X28" i="46" s="1"/>
  <c r="M175" i="1"/>
  <c r="M179" i="1" s="1"/>
  <c r="E241" i="1"/>
  <c r="E237" i="1"/>
  <c r="AV77" i="8"/>
  <c r="AV202" i="8"/>
  <c r="R77" i="2"/>
  <c r="R73" i="2"/>
  <c r="R70" i="2"/>
  <c r="S70" i="2"/>
  <c r="E23" i="46"/>
  <c r="X55" i="46" s="1"/>
  <c r="L141" i="8"/>
  <c r="L143" i="8" s="1"/>
  <c r="L150" i="8" s="1"/>
  <c r="L152" i="8" s="1"/>
  <c r="L77" i="8"/>
  <c r="F175" i="1"/>
  <c r="F179" i="1" s="1"/>
  <c r="L91" i="8"/>
  <c r="L111" i="8"/>
  <c r="L118" i="8" s="1"/>
  <c r="F229" i="1"/>
  <c r="F231" i="1" s="1"/>
  <c r="L93" i="8"/>
  <c r="AL91" i="8"/>
  <c r="AL111" i="8"/>
  <c r="AL118" i="8" s="1"/>
  <c r="AV141" i="8"/>
  <c r="AV143" i="8" s="1"/>
  <c r="AV150" i="8" s="1"/>
  <c r="AV152" i="8" s="1"/>
  <c r="N70" i="2"/>
  <c r="N77" i="2"/>
  <c r="N73" i="2"/>
  <c r="O70" i="2"/>
  <c r="CJ26" i="43"/>
  <c r="CJ27" i="43"/>
  <c r="CL26" i="43"/>
  <c r="CI28" i="43"/>
  <c r="CK28" i="43"/>
  <c r="AH91" i="8"/>
  <c r="AH111" i="8"/>
  <c r="AH118" i="8" s="1"/>
  <c r="AH119" i="8" s="1"/>
  <c r="AK89" i="8"/>
  <c r="AI88" i="8"/>
  <c r="AI89" i="8" s="1"/>
  <c r="AH93" i="8"/>
  <c r="AK94" i="8" s="1"/>
  <c r="AN91" i="8"/>
  <c r="AN111" i="8"/>
  <c r="AN118" i="8" s="1"/>
  <c r="AN93" i="8"/>
  <c r="AN89" i="8"/>
  <c r="AQ89" i="8"/>
  <c r="AN202" i="8"/>
  <c r="AN77" i="8"/>
  <c r="CA173" i="43"/>
  <c r="CA177" i="43" s="1"/>
  <c r="BZ185" i="43"/>
  <c r="BZ186" i="43" s="1"/>
  <c r="BZ189" i="43" s="1"/>
  <c r="L216" i="43"/>
  <c r="M238" i="43"/>
  <c r="Y195" i="1"/>
  <c r="AC47" i="46"/>
  <c r="AC48" i="46" s="1"/>
  <c r="AC20" i="46"/>
  <c r="Z323" i="43"/>
  <c r="AT124" i="8"/>
  <c r="AT127" i="8" s="1"/>
  <c r="AD307" i="43"/>
  <c r="AB313" i="43"/>
  <c r="AC313" i="43" s="1"/>
  <c r="L11" i="46"/>
  <c r="AD6" i="43"/>
  <c r="AC308" i="43"/>
  <c r="AC6" i="43" s="1"/>
  <c r="AX123" i="8"/>
  <c r="AX126" i="8" s="1"/>
  <c r="BX190" i="43"/>
  <c r="BX80" i="43" s="1"/>
  <c r="BX81" i="43" s="1"/>
  <c r="AC43" i="46"/>
  <c r="BY187" i="43"/>
  <c r="AB38" i="46"/>
  <c r="AA38" i="46"/>
  <c r="BY186" i="43"/>
  <c r="BY189" i="43" s="1"/>
  <c r="CN179" i="43"/>
  <c r="CN183" i="43" s="1"/>
  <c r="V179" i="43"/>
  <c r="V183" i="43" s="1"/>
  <c r="AC80" i="1" l="1"/>
  <c r="AC81" i="1" s="1"/>
  <c r="AE80" i="1"/>
  <c r="AP323" i="43"/>
  <c r="AN323" i="43" s="1"/>
  <c r="Z22" i="1"/>
  <c r="Z27" i="1" s="1"/>
  <c r="Z36" i="1" s="1"/>
  <c r="Z89" i="1"/>
  <c r="Z108" i="1" s="1"/>
  <c r="AJ327" i="43"/>
  <c r="AJ322" i="43"/>
  <c r="AJ324" i="43" s="1"/>
  <c r="AJ328" i="43" s="1"/>
  <c r="M54" i="46"/>
  <c r="AG322" i="43"/>
  <c r="AG327" i="43"/>
  <c r="AM317" i="43"/>
  <c r="AM321" i="43" s="1"/>
  <c r="N54" i="46"/>
  <c r="AB22" i="1"/>
  <c r="AB89" i="1"/>
  <c r="AA108" i="1"/>
  <c r="BC13" i="8"/>
  <c r="BB253" i="43"/>
  <c r="AY334" i="43"/>
  <c r="S51" i="46" s="1"/>
  <c r="AP126" i="8"/>
  <c r="AZ13" i="8"/>
  <c r="H252" i="1"/>
  <c r="H253" i="1" s="1"/>
  <c r="Z252" i="1"/>
  <c r="Z253" i="1" s="1"/>
  <c r="BA13" i="8"/>
  <c r="AD228" i="1"/>
  <c r="AD207" i="1"/>
  <c r="AC317" i="43"/>
  <c r="AC321" i="43" s="1"/>
  <c r="AD322" i="43" s="1"/>
  <c r="AD324" i="43" s="1"/>
  <c r="AW13" i="8"/>
  <c r="R173" i="1"/>
  <c r="AV13" i="8"/>
  <c r="AY13" i="8"/>
  <c r="H205" i="43"/>
  <c r="H206" i="43" s="1"/>
  <c r="I195" i="43"/>
  <c r="I198" i="43" s="1"/>
  <c r="J195" i="43" s="1"/>
  <c r="J198" i="43" s="1"/>
  <c r="J199" i="43" s="1"/>
  <c r="J63" i="43" s="1"/>
  <c r="H63" i="43"/>
  <c r="H64" i="43" s="1"/>
  <c r="H200" i="43"/>
  <c r="H207" i="43"/>
  <c r="H98" i="43"/>
  <c r="AW124" i="8"/>
  <c r="AW127" i="8" s="1"/>
  <c r="AB322" i="43"/>
  <c r="AB324" i="43" s="1"/>
  <c r="AB328" i="43" s="1"/>
  <c r="L235" i="43"/>
  <c r="L213" i="43" s="1"/>
  <c r="AY154" i="8"/>
  <c r="AY157" i="8" s="1"/>
  <c r="AY123" i="8"/>
  <c r="I252" i="1"/>
  <c r="I253" i="1" s="1"/>
  <c r="J252" i="1"/>
  <c r="J253" i="1" s="1"/>
  <c r="N252" i="1"/>
  <c r="N253" i="1" s="1"/>
  <c r="AZ170" i="8"/>
  <c r="AY159" i="8"/>
  <c r="AY166" i="8" s="1"/>
  <c r="AY187" i="8"/>
  <c r="K252" i="1"/>
  <c r="K253" i="1" s="1"/>
  <c r="L252" i="1"/>
  <c r="L253" i="1" s="1"/>
  <c r="Q252" i="1"/>
  <c r="Q253" i="1" s="1"/>
  <c r="AY77" i="8"/>
  <c r="AY141" i="8"/>
  <c r="AY143" i="8" s="1"/>
  <c r="AY150" i="8" s="1"/>
  <c r="AY152" i="8" s="1"/>
  <c r="R252" i="1"/>
  <c r="R253" i="1" s="1"/>
  <c r="T252" i="1"/>
  <c r="T253" i="1" s="1"/>
  <c r="O252" i="1"/>
  <c r="O253" i="1" s="1"/>
  <c r="P252" i="1"/>
  <c r="P253" i="1" s="1"/>
  <c r="S252" i="1"/>
  <c r="S253" i="1" s="1"/>
  <c r="AY202" i="8"/>
  <c r="M252" i="1"/>
  <c r="M253" i="1" s="1"/>
  <c r="S192" i="1"/>
  <c r="S193" i="1" s="1"/>
  <c r="J21" i="46"/>
  <c r="AC36" i="46" s="1"/>
  <c r="K226" i="43"/>
  <c r="CN61" i="43"/>
  <c r="Z93" i="43"/>
  <c r="W93" i="43"/>
  <c r="AD80" i="1"/>
  <c r="AD82" i="1" s="1"/>
  <c r="AC22" i="1"/>
  <c r="O141" i="43"/>
  <c r="N127" i="43"/>
  <c r="N141" i="43"/>
  <c r="N128" i="43"/>
  <c r="P218" i="43"/>
  <c r="P121" i="43"/>
  <c r="Q121" i="43" s="1"/>
  <c r="P135" i="43"/>
  <c r="AM89" i="8"/>
  <c r="I22" i="46"/>
  <c r="AB28" i="46" s="1"/>
  <c r="AR89" i="8"/>
  <c r="Z93" i="8"/>
  <c r="Z111" i="8"/>
  <c r="Z118" i="8" s="1"/>
  <c r="Z91" i="8"/>
  <c r="Z89" i="8"/>
  <c r="AC84" i="8"/>
  <c r="AC88" i="8"/>
  <c r="K191" i="8"/>
  <c r="K201" i="8" s="1"/>
  <c r="K77" i="8" s="1"/>
  <c r="K203" i="8"/>
  <c r="K76" i="8" s="1"/>
  <c r="W91" i="8"/>
  <c r="W111" i="8"/>
  <c r="W118" i="8" s="1"/>
  <c r="W93" i="8"/>
  <c r="AC203" i="8"/>
  <c r="AC76" i="8" s="1"/>
  <c r="AC191" i="8"/>
  <c r="AC201" i="8" s="1"/>
  <c r="AC77" i="8" s="1"/>
  <c r="H84" i="8"/>
  <c r="H88" i="8"/>
  <c r="Q123" i="8"/>
  <c r="Q126" i="8" s="1"/>
  <c r="T88" i="8"/>
  <c r="W89" i="8" s="1"/>
  <c r="T84" i="8"/>
  <c r="H191" i="8"/>
  <c r="H201" i="8" s="1"/>
  <c r="H77" i="8" s="1"/>
  <c r="H203" i="8"/>
  <c r="H76" i="8" s="1"/>
  <c r="N84" i="8"/>
  <c r="N88" i="8"/>
  <c r="T203" i="8"/>
  <c r="T76" i="8" s="1"/>
  <c r="T191" i="8"/>
  <c r="T201" i="8" s="1"/>
  <c r="T77" i="8" s="1"/>
  <c r="K84" i="8"/>
  <c r="K88" i="8"/>
  <c r="N191" i="8"/>
  <c r="N201" i="8" s="1"/>
  <c r="N77" i="8" s="1"/>
  <c r="N203" i="8"/>
  <c r="N76" i="8" s="1"/>
  <c r="F241" i="1"/>
  <c r="X195" i="1"/>
  <c r="U123" i="8"/>
  <c r="U126" i="8" s="1"/>
  <c r="U128" i="8"/>
  <c r="I192" i="1"/>
  <c r="I193" i="1" s="1"/>
  <c r="E78" i="2"/>
  <c r="U94" i="8"/>
  <c r="AA89" i="8"/>
  <c r="AA123" i="8"/>
  <c r="AN94" i="8"/>
  <c r="AQ94" i="8"/>
  <c r="AR93" i="8"/>
  <c r="AS94" i="8"/>
  <c r="AH94" i="8"/>
  <c r="AF93" i="8"/>
  <c r="AG94" i="8"/>
  <c r="AD43" i="46"/>
  <c r="AA154" i="8"/>
  <c r="AA157" i="8" s="1"/>
  <c r="AA128" i="8"/>
  <c r="U141" i="8"/>
  <c r="U143" i="8" s="1"/>
  <c r="U150" i="8" s="1"/>
  <c r="U152" i="8" s="1"/>
  <c r="K192" i="1"/>
  <c r="K193" i="1" s="1"/>
  <c r="V45" i="1"/>
  <c r="AF123" i="8"/>
  <c r="AF126" i="8" s="1"/>
  <c r="R154" i="8"/>
  <c r="R157" i="8" s="1"/>
  <c r="R123" i="8"/>
  <c r="R126" i="8" s="1"/>
  <c r="H192" i="1"/>
  <c r="H193" i="1" s="1"/>
  <c r="U119" i="8"/>
  <c r="X91" i="8"/>
  <c r="O123" i="8"/>
  <c r="O126" i="8" s="1"/>
  <c r="D192" i="1"/>
  <c r="D193" i="1" s="1"/>
  <c r="R94" i="8"/>
  <c r="AM141" i="8"/>
  <c r="AM143" i="8" s="1"/>
  <c r="AM150" i="8" s="1"/>
  <c r="AM152" i="8" s="1"/>
  <c r="C111" i="8"/>
  <c r="C118" i="8" s="1"/>
  <c r="C128" i="8" s="1"/>
  <c r="O229" i="1"/>
  <c r="O231" i="1" s="1"/>
  <c r="AP89" i="8"/>
  <c r="AM93" i="8"/>
  <c r="AM94" i="8" s="1"/>
  <c r="J78" i="2"/>
  <c r="O175" i="1"/>
  <c r="O179" i="1" s="1"/>
  <c r="O186" i="1" s="1"/>
  <c r="P173" i="1" s="1"/>
  <c r="P179" i="1" s="1"/>
  <c r="AM111" i="8"/>
  <c r="AM118" i="8" s="1"/>
  <c r="AM154" i="8" s="1"/>
  <c r="AM157" i="8" s="1"/>
  <c r="AM91" i="8"/>
  <c r="F22" i="46"/>
  <c r="Y28" i="46" s="1"/>
  <c r="I94" i="8"/>
  <c r="C93" i="8"/>
  <c r="F94" i="8" s="1"/>
  <c r="C91" i="8"/>
  <c r="F154" i="8"/>
  <c r="F157" i="8" s="1"/>
  <c r="F128" i="8"/>
  <c r="O241" i="1"/>
  <c r="J237" i="1"/>
  <c r="U202" i="1"/>
  <c r="V200" i="1" s="1"/>
  <c r="AD20" i="46"/>
  <c r="AD38" i="46" s="1"/>
  <c r="AT13" i="8"/>
  <c r="AD44" i="46"/>
  <c r="L246" i="43"/>
  <c r="L226" i="43" s="1"/>
  <c r="G241" i="1"/>
  <c r="AR7" i="8"/>
  <c r="AR47" i="8"/>
  <c r="AR59" i="8"/>
  <c r="AR12" i="8"/>
  <c r="AR13" i="8" s="1"/>
  <c r="AR65" i="8"/>
  <c r="AR50" i="8"/>
  <c r="AR53" i="8"/>
  <c r="AR56" i="8"/>
  <c r="AR10" i="8"/>
  <c r="M239" i="43"/>
  <c r="L217" i="43"/>
  <c r="W325" i="43"/>
  <c r="W310" i="43" s="1"/>
  <c r="W311" i="43" s="1"/>
  <c r="O128" i="8"/>
  <c r="X111" i="8"/>
  <c r="X118" i="8" s="1"/>
  <c r="J175" i="1"/>
  <c r="J179" i="1" s="1"/>
  <c r="J229" i="1"/>
  <c r="J231" i="1" s="1"/>
  <c r="L219" i="43"/>
  <c r="M241" i="43"/>
  <c r="X93" i="8"/>
  <c r="AA94" i="8" s="1"/>
  <c r="BO199" i="43"/>
  <c r="BO97" i="43" s="1"/>
  <c r="BO98" i="43" s="1"/>
  <c r="BO200" i="43"/>
  <c r="BP195" i="43"/>
  <c r="BP166" i="43"/>
  <c r="BP509" i="43"/>
  <c r="BP198" i="43"/>
  <c r="BP199" i="43" s="1"/>
  <c r="BP97" i="43" s="1"/>
  <c r="BP98" i="43" s="1"/>
  <c r="BQ165" i="43"/>
  <c r="BR153" i="43"/>
  <c r="BR157" i="43" s="1"/>
  <c r="O154" i="8"/>
  <c r="O157" i="8" s="1"/>
  <c r="R119" i="8"/>
  <c r="G192" i="1"/>
  <c r="G193" i="1" s="1"/>
  <c r="Q192" i="1"/>
  <c r="Q193" i="1" s="1"/>
  <c r="H21" i="46"/>
  <c r="AA36" i="46" s="1"/>
  <c r="G78" i="2"/>
  <c r="AX13" i="8"/>
  <c r="AS154" i="8"/>
  <c r="AS157" i="8" s="1"/>
  <c r="AS123" i="8"/>
  <c r="AS126" i="8" s="1"/>
  <c r="AA28" i="46"/>
  <c r="R237" i="1"/>
  <c r="T22" i="2"/>
  <c r="T42" i="2" s="1"/>
  <c r="T47" i="2" s="1"/>
  <c r="U44" i="2" s="1"/>
  <c r="AA152" i="8"/>
  <c r="BB191" i="8"/>
  <c r="BB203" i="8"/>
  <c r="BB76" i="8" s="1"/>
  <c r="AE313" i="43"/>
  <c r="AF313" i="43" s="1"/>
  <c r="AF308" i="43"/>
  <c r="BB182" i="8"/>
  <c r="T60" i="2"/>
  <c r="T69" i="2" s="1"/>
  <c r="BB84" i="8"/>
  <c r="BB88" i="8"/>
  <c r="T175" i="1" s="1"/>
  <c r="T236" i="1"/>
  <c r="Q78" i="2"/>
  <c r="P192" i="1"/>
  <c r="P193" i="1" s="1"/>
  <c r="AO111" i="8"/>
  <c r="AO118" i="8" s="1"/>
  <c r="AR119" i="8" s="1"/>
  <c r="AP128" i="8"/>
  <c r="AO93" i="8"/>
  <c r="G21" i="46"/>
  <c r="Z36" i="46" s="1"/>
  <c r="AO91" i="8"/>
  <c r="AS119" i="8"/>
  <c r="AO89" i="8"/>
  <c r="AP154" i="8"/>
  <c r="AP157" i="8" s="1"/>
  <c r="AU88" i="8"/>
  <c r="AU89" i="8" s="1"/>
  <c r="AV111" i="8"/>
  <c r="AV118" i="8" s="1"/>
  <c r="AV154" i="8" s="1"/>
  <c r="AV157" i="8" s="1"/>
  <c r="AV89" i="8"/>
  <c r="R229" i="1"/>
  <c r="R231" i="1" s="1"/>
  <c r="AV93" i="8"/>
  <c r="AY94" i="8" s="1"/>
  <c r="AV91" i="8"/>
  <c r="AU91" i="8" s="1"/>
  <c r="AY89" i="8"/>
  <c r="R175" i="1"/>
  <c r="Y201" i="1"/>
  <c r="P173" i="43"/>
  <c r="P177" i="43" s="1"/>
  <c r="P185" i="43" s="1"/>
  <c r="P186" i="43" s="1"/>
  <c r="P189" i="43" s="1"/>
  <c r="O187" i="43"/>
  <c r="T166" i="43"/>
  <c r="T509" i="43"/>
  <c r="T510" i="43" s="1"/>
  <c r="CK159" i="43"/>
  <c r="CK163" i="43" s="1"/>
  <c r="CJ192" i="43"/>
  <c r="N201" i="43"/>
  <c r="N190" i="43"/>
  <c r="N80" i="43" s="1"/>
  <c r="N81" i="43" s="1"/>
  <c r="Y321" i="43"/>
  <c r="M203" i="43"/>
  <c r="M204" i="43" s="1"/>
  <c r="M202" i="43"/>
  <c r="M94" i="43" s="1"/>
  <c r="M95" i="43" s="1"/>
  <c r="X159" i="43"/>
  <c r="X163" i="43" s="1"/>
  <c r="U192" i="43"/>
  <c r="U165" i="43"/>
  <c r="O186" i="43"/>
  <c r="O189" i="43" s="1"/>
  <c r="W38" i="46"/>
  <c r="X38" i="46"/>
  <c r="E192" i="1"/>
  <c r="E193" i="1" s="1"/>
  <c r="I154" i="8"/>
  <c r="I157" i="8" s="1"/>
  <c r="I128" i="8"/>
  <c r="I123" i="8"/>
  <c r="I126" i="8" s="1"/>
  <c r="AJ119" i="8"/>
  <c r="AG119" i="8"/>
  <c r="AG154" i="8"/>
  <c r="AG157" i="8" s="1"/>
  <c r="D21" i="46"/>
  <c r="AG128" i="8"/>
  <c r="AG123" i="8"/>
  <c r="M192" i="1"/>
  <c r="M193" i="1" s="1"/>
  <c r="L94" i="8"/>
  <c r="O94" i="8"/>
  <c r="L154" i="8"/>
  <c r="L157" i="8" s="1"/>
  <c r="O119" i="8"/>
  <c r="L123" i="8"/>
  <c r="L126" i="8" s="1"/>
  <c r="F192" i="1"/>
  <c r="F193" i="1" s="1"/>
  <c r="L128" i="8"/>
  <c r="AL123" i="8"/>
  <c r="AL126" i="8" s="1"/>
  <c r="S78" i="2"/>
  <c r="R78" i="2"/>
  <c r="N78" i="2"/>
  <c r="O78" i="2"/>
  <c r="AH123" i="8"/>
  <c r="AK119" i="8"/>
  <c r="AC38" i="46"/>
  <c r="AI93" i="8"/>
  <c r="AI111" i="8"/>
  <c r="AI118" i="8" s="1"/>
  <c r="AI119" i="8" s="1"/>
  <c r="AI91" i="8"/>
  <c r="AL89" i="8"/>
  <c r="CL28" i="43"/>
  <c r="CJ28" i="43"/>
  <c r="AN123" i="8"/>
  <c r="AN126" i="8" s="1"/>
  <c r="AN128" i="8"/>
  <c r="AN119" i="8"/>
  <c r="AQ119" i="8"/>
  <c r="AC348" i="43"/>
  <c r="AC307" i="43"/>
  <c r="AC312" i="43"/>
  <c r="M11" i="46"/>
  <c r="AF333" i="43"/>
  <c r="BZ187" i="43"/>
  <c r="G23" i="46"/>
  <c r="AS179" i="43"/>
  <c r="AS183" i="43" s="1"/>
  <c r="Y179" i="43"/>
  <c r="Y183" i="43" s="1"/>
  <c r="W179" i="43"/>
  <c r="W183" i="43" s="1"/>
  <c r="BY190" i="43"/>
  <c r="BY80" i="43" s="1"/>
  <c r="BY81" i="43" s="1"/>
  <c r="BZ190" i="43"/>
  <c r="BZ80" i="43" s="1"/>
  <c r="BZ81" i="43" s="1"/>
  <c r="AD157" i="43"/>
  <c r="AE153" i="43" s="1"/>
  <c r="AC333" i="43"/>
  <c r="AC21" i="43" s="1"/>
  <c r="CB173" i="43"/>
  <c r="CB177" i="43" s="1"/>
  <c r="CA185" i="43"/>
  <c r="D233" i="1"/>
  <c r="E227" i="1"/>
  <c r="E232" i="1" s="1"/>
  <c r="M216" i="43"/>
  <c r="N238" i="43"/>
  <c r="AS323" i="43" l="1"/>
  <c r="AC91" i="1"/>
  <c r="AC90" i="1"/>
  <c r="AE22" i="1"/>
  <c r="AE81" i="1"/>
  <c r="AA90" i="1"/>
  <c r="O54" i="46"/>
  <c r="AM322" i="43"/>
  <c r="AM324" i="43" s="1"/>
  <c r="AM325" i="43" s="1"/>
  <c r="AM310" i="43" s="1"/>
  <c r="AM327" i="43"/>
  <c r="AB108" i="1"/>
  <c r="AB109" i="1" s="1"/>
  <c r="AA22" i="1"/>
  <c r="AB27" i="1"/>
  <c r="AB36" i="1" s="1"/>
  <c r="AB38" i="1" s="1"/>
  <c r="BB334" i="43"/>
  <c r="AD174" i="8"/>
  <c r="AA126" i="8"/>
  <c r="AH124" i="8"/>
  <c r="AH127" i="8" s="1"/>
  <c r="AH126" i="8"/>
  <c r="AJ124" i="8"/>
  <c r="AJ127" i="8" s="1"/>
  <c r="AG126" i="8"/>
  <c r="AY126" i="8"/>
  <c r="J207" i="43"/>
  <c r="J97" i="43"/>
  <c r="J205" i="43"/>
  <c r="R179" i="1"/>
  <c r="S173" i="1"/>
  <c r="S179" i="1" s="1"/>
  <c r="K195" i="43"/>
  <c r="K198" i="43" s="1"/>
  <c r="L195" i="43" s="1"/>
  <c r="L198" i="43" s="1"/>
  <c r="L199" i="43" s="1"/>
  <c r="I199" i="43"/>
  <c r="I207" i="43" s="1"/>
  <c r="I205" i="43"/>
  <c r="I206" i="43" s="1"/>
  <c r="L224" i="43"/>
  <c r="AP317" i="43"/>
  <c r="J23" i="46"/>
  <c r="AC55" i="46" s="1"/>
  <c r="BA170" i="8"/>
  <c r="AZ187" i="8"/>
  <c r="AC53" i="46"/>
  <c r="AY167" i="8"/>
  <c r="AC52" i="46" s="1"/>
  <c r="AY168" i="8"/>
  <c r="AC51" i="46" s="1"/>
  <c r="BB201" i="8"/>
  <c r="BB202" i="8" s="1"/>
  <c r="AV179" i="43"/>
  <c r="AV183" i="43" s="1"/>
  <c r="AY179" i="43" s="1"/>
  <c r="AY183" i="43" s="1"/>
  <c r="AH80" i="1"/>
  <c r="AH82" i="1" s="1"/>
  <c r="AI80" i="1" s="1"/>
  <c r="AI82" i="1" s="1"/>
  <c r="V202" i="1"/>
  <c r="W45" i="1"/>
  <c r="AD328" i="43"/>
  <c r="Y322" i="43"/>
  <c r="Y324" i="43" s="1"/>
  <c r="Y325" i="43" s="1"/>
  <c r="Y310" i="43" s="1"/>
  <c r="Y311" i="43" s="1"/>
  <c r="AA322" i="43"/>
  <c r="AA324" i="43" s="1"/>
  <c r="R121" i="43"/>
  <c r="Q107" i="43"/>
  <c r="Q218" i="43" s="1"/>
  <c r="Q117" i="43"/>
  <c r="Q103" i="43" s="1"/>
  <c r="AC28" i="46"/>
  <c r="AF17" i="46"/>
  <c r="AD124" i="8"/>
  <c r="AD127" i="8" s="1"/>
  <c r="H23" i="46"/>
  <c r="AA50" i="46" s="1"/>
  <c r="BI119" i="43" s="1"/>
  <c r="Z94" i="8"/>
  <c r="K93" i="8"/>
  <c r="K91" i="8"/>
  <c r="K89" i="8"/>
  <c r="K111" i="8"/>
  <c r="K118" i="8" s="1"/>
  <c r="K123" i="8" s="1"/>
  <c r="K126" i="8" s="1"/>
  <c r="W123" i="8"/>
  <c r="W126" i="8" s="1"/>
  <c r="N93" i="8"/>
  <c r="N111" i="8"/>
  <c r="N118" i="8" s="1"/>
  <c r="N89" i="8"/>
  <c r="N91" i="8"/>
  <c r="Q89" i="8"/>
  <c r="H111" i="8"/>
  <c r="H118" i="8" s="1"/>
  <c r="H123" i="8" s="1"/>
  <c r="H93" i="8"/>
  <c r="H94" i="8" s="1"/>
  <c r="H89" i="8"/>
  <c r="AC93" i="8"/>
  <c r="AC94" i="8" s="1"/>
  <c r="AC89" i="8"/>
  <c r="AC91" i="8"/>
  <c r="AC111" i="8"/>
  <c r="AC118" i="8" s="1"/>
  <c r="AF89" i="8"/>
  <c r="Z123" i="8"/>
  <c r="Z126" i="8" s="1"/>
  <c r="Z119" i="8"/>
  <c r="T111" i="8"/>
  <c r="T118" i="8" s="1"/>
  <c r="W119" i="8" s="1"/>
  <c r="T93" i="8"/>
  <c r="T94" i="8" s="1"/>
  <c r="T89" i="8"/>
  <c r="AE195" i="1"/>
  <c r="BP107" i="8"/>
  <c r="BJ102" i="8"/>
  <c r="U124" i="8"/>
  <c r="U127" i="8" s="1"/>
  <c r="AI94" i="8"/>
  <c r="AV94" i="8"/>
  <c r="AR94" i="8"/>
  <c r="AP94" i="8"/>
  <c r="R124" i="8"/>
  <c r="R127" i="8" s="1"/>
  <c r="F21" i="46"/>
  <c r="Y27" i="46" s="1"/>
  <c r="X94" i="8"/>
  <c r="X128" i="8"/>
  <c r="C154" i="8"/>
  <c r="C157" i="8" s="1"/>
  <c r="C123" i="8"/>
  <c r="C192" i="1"/>
  <c r="C193" i="1" s="1"/>
  <c r="AL93" i="8"/>
  <c r="AO94" i="8" s="1"/>
  <c r="AA119" i="8"/>
  <c r="Z28" i="46"/>
  <c r="AM123" i="8"/>
  <c r="AM126" i="8" s="1"/>
  <c r="AM128" i="8"/>
  <c r="O192" i="1"/>
  <c r="O193" i="1" s="1"/>
  <c r="AP119" i="8"/>
  <c r="AM119" i="8"/>
  <c r="I124" i="8"/>
  <c r="I127" i="8" s="1"/>
  <c r="J192" i="1"/>
  <c r="J193" i="1" s="1"/>
  <c r="X154" i="8"/>
  <c r="X157" i="8" s="1"/>
  <c r="X123" i="8"/>
  <c r="X126" i="8" s="1"/>
  <c r="M235" i="43"/>
  <c r="M213" i="43" s="1"/>
  <c r="X119" i="8"/>
  <c r="M246" i="43"/>
  <c r="M226" i="43" s="1"/>
  <c r="AU13" i="8"/>
  <c r="M217" i="43"/>
  <c r="N239" i="43"/>
  <c r="N241" i="43"/>
  <c r="N219" i="43" s="1"/>
  <c r="M219" i="43"/>
  <c r="BP200" i="43"/>
  <c r="BQ195" i="43"/>
  <c r="BS153" i="43"/>
  <c r="BS157" i="43" s="1"/>
  <c r="BR165" i="43"/>
  <c r="BR166" i="43" s="1"/>
  <c r="BQ166" i="43"/>
  <c r="BQ198" i="43"/>
  <c r="BQ509" i="43"/>
  <c r="AS124" i="8"/>
  <c r="AS127" i="8" s="1"/>
  <c r="AO128" i="8"/>
  <c r="AO119" i="8"/>
  <c r="AO123" i="8"/>
  <c r="AU93" i="8"/>
  <c r="AF6" i="43"/>
  <c r="AF307" i="43"/>
  <c r="AF312" i="43"/>
  <c r="AF348" i="43"/>
  <c r="AF334" i="43"/>
  <c r="AF21" i="43"/>
  <c r="AF330" i="43"/>
  <c r="AF331" i="43" s="1"/>
  <c r="T241" i="1"/>
  <c r="T237" i="1"/>
  <c r="T73" i="2"/>
  <c r="T70" i="2"/>
  <c r="T77" i="2"/>
  <c r="T78" i="2" s="1"/>
  <c r="BB93" i="8"/>
  <c r="T229" i="1"/>
  <c r="BB89" i="8"/>
  <c r="BB111" i="8"/>
  <c r="BB91" i="8"/>
  <c r="K22" i="46"/>
  <c r="AD28" i="46" s="1"/>
  <c r="AA27" i="46"/>
  <c r="AY119" i="8"/>
  <c r="AC327" i="43"/>
  <c r="AE317" i="43"/>
  <c r="AU111" i="8"/>
  <c r="AU118" i="8" s="1"/>
  <c r="AU119" i="8" s="1"/>
  <c r="R192" i="1"/>
  <c r="R193" i="1" s="1"/>
  <c r="I21" i="46"/>
  <c r="AB27" i="46" s="1"/>
  <c r="AV128" i="8"/>
  <c r="AV119" i="8"/>
  <c r="AV123" i="8"/>
  <c r="AV126" i="8" s="1"/>
  <c r="AX89" i="8"/>
  <c r="L124" i="8"/>
  <c r="L127" i="8" s="1"/>
  <c r="AH201" i="1"/>
  <c r="P190" i="43"/>
  <c r="P80" i="43" s="1"/>
  <c r="P81" i="43" s="1"/>
  <c r="N203" i="43"/>
  <c r="N204" i="43" s="1"/>
  <c r="N202" i="43"/>
  <c r="N94" i="43" s="1"/>
  <c r="N95" i="43" s="1"/>
  <c r="AA159" i="43"/>
  <c r="AA163" i="43" s="1"/>
  <c r="X192" i="43"/>
  <c r="X165" i="43"/>
  <c r="X166" i="43" s="1"/>
  <c r="O201" i="43"/>
  <c r="O190" i="43"/>
  <c r="O80" i="43" s="1"/>
  <c r="O81" i="43" s="1"/>
  <c r="Z317" i="43"/>
  <c r="Z322" i="43" s="1"/>
  <c r="Z324" i="43" s="1"/>
  <c r="Y327" i="43"/>
  <c r="CL159" i="43"/>
  <c r="CL163" i="43" s="1"/>
  <c r="CK192" i="43"/>
  <c r="U166" i="43"/>
  <c r="P187" i="43"/>
  <c r="Q173" i="43"/>
  <c r="Q177" i="43" s="1"/>
  <c r="Q185" i="43" s="1"/>
  <c r="W36" i="46"/>
  <c r="X27" i="46"/>
  <c r="AG124" i="8"/>
  <c r="AG127" i="8" s="1"/>
  <c r="D23" i="46"/>
  <c r="O124" i="8"/>
  <c r="O127" i="8" s="1"/>
  <c r="AL119" i="8"/>
  <c r="AI123" i="8"/>
  <c r="AK124" i="8"/>
  <c r="AK127" i="8" s="1"/>
  <c r="AN124" i="8"/>
  <c r="AN127" i="8" s="1"/>
  <c r="AQ124" i="8"/>
  <c r="AQ127" i="8" s="1"/>
  <c r="Z55" i="46"/>
  <c r="Z50" i="46"/>
  <c r="F227" i="1"/>
  <c r="F232" i="1" s="1"/>
  <c r="E233" i="1"/>
  <c r="CC173" i="43"/>
  <c r="CC177" i="43" s="1"/>
  <c r="CB185" i="43"/>
  <c r="CB186" i="43" s="1"/>
  <c r="CB189" i="43" s="1"/>
  <c r="AC334" i="43"/>
  <c r="AC330" i="43"/>
  <c r="AC331" i="43" s="1"/>
  <c r="N216" i="43"/>
  <c r="CA187" i="43"/>
  <c r="AC322" i="43"/>
  <c r="AC324" i="43" s="1"/>
  <c r="AG153" i="43"/>
  <c r="AG157" i="43" s="1"/>
  <c r="AJ153" i="43" s="1"/>
  <c r="AJ157" i="43" s="1"/>
  <c r="Z179" i="43"/>
  <c r="Z183" i="43" s="1"/>
  <c r="CA186" i="43"/>
  <c r="CA189" i="43" s="1"/>
  <c r="AV323" i="43" l="1"/>
  <c r="AY323" i="43" s="1"/>
  <c r="BB323" i="43" s="1"/>
  <c r="AQ323" i="43"/>
  <c r="AD22" i="1"/>
  <c r="AE27" i="1"/>
  <c r="AB113" i="1"/>
  <c r="AM328" i="43"/>
  <c r="AM311" i="43"/>
  <c r="O53" i="46"/>
  <c r="AK153" i="43"/>
  <c r="AK157" i="43" s="1"/>
  <c r="AM153" i="43"/>
  <c r="AM157" i="43" s="1"/>
  <c r="BB179" i="43"/>
  <c r="BB183" i="43" s="1"/>
  <c r="AI124" i="8"/>
  <c r="AI127" i="8" s="1"/>
  <c r="AI126" i="8"/>
  <c r="AR124" i="8"/>
  <c r="AR127" i="8" s="1"/>
  <c r="AO126" i="8"/>
  <c r="F124" i="8"/>
  <c r="F127" i="8" s="1"/>
  <c r="C126" i="8"/>
  <c r="H124" i="8"/>
  <c r="H127" i="8" s="1"/>
  <c r="H126" i="8"/>
  <c r="AC335" i="43"/>
  <c r="AG40" i="1"/>
  <c r="K205" i="43"/>
  <c r="K206" i="43" s="1"/>
  <c r="K199" i="43"/>
  <c r="K207" i="43" s="1"/>
  <c r="T173" i="1"/>
  <c r="T179" i="1" s="1"/>
  <c r="J206" i="43"/>
  <c r="I200" i="43"/>
  <c r="J200" i="43"/>
  <c r="I97" i="43"/>
  <c r="I98" i="43" s="1"/>
  <c r="I63" i="43"/>
  <c r="I64" i="43" s="1"/>
  <c r="AB325" i="43"/>
  <c r="AB310" i="43" s="1"/>
  <c r="AB311" i="43" s="1"/>
  <c r="Y328" i="43"/>
  <c r="AC50" i="46"/>
  <c r="AH22" i="1"/>
  <c r="AF157" i="43"/>
  <c r="AH153" i="43"/>
  <c r="BB141" i="8"/>
  <c r="BB143" i="8" s="1"/>
  <c r="BB150" i="8" s="1"/>
  <c r="BB152" i="8" s="1"/>
  <c r="BA201" i="8"/>
  <c r="BA202" i="8" s="1"/>
  <c r="BB77" i="8"/>
  <c r="BB170" i="8"/>
  <c r="BA187" i="8"/>
  <c r="BB118" i="8"/>
  <c r="BB94" i="8"/>
  <c r="AK80" i="1"/>
  <c r="AK82" i="1" s="1"/>
  <c r="W202" i="1"/>
  <c r="X200" i="1" s="1"/>
  <c r="X45" i="1"/>
  <c r="Y200" i="1"/>
  <c r="W200" i="1"/>
  <c r="AI22" i="1"/>
  <c r="AJ80" i="1"/>
  <c r="AJ82" i="1" s="1"/>
  <c r="AA328" i="43"/>
  <c r="AD325" i="43"/>
  <c r="AD310" i="43" s="1"/>
  <c r="L53" i="46" s="1"/>
  <c r="AA325" i="43"/>
  <c r="AA310" i="43" s="1"/>
  <c r="K53" i="46" s="1"/>
  <c r="M224" i="43"/>
  <c r="BT105" i="8"/>
  <c r="Q235" i="43"/>
  <c r="Q213" i="43" s="1"/>
  <c r="Q246" i="43"/>
  <c r="Q131" i="43"/>
  <c r="Q214" i="43"/>
  <c r="R107" i="43"/>
  <c r="R218" i="43" s="1"/>
  <c r="S121" i="43"/>
  <c r="R117" i="43"/>
  <c r="AA29" i="46"/>
  <c r="AA55" i="46"/>
  <c r="AY124" i="8"/>
  <c r="AY127" i="8" s="1"/>
  <c r="F23" i="46"/>
  <c r="Y29" i="46" s="1"/>
  <c r="W94" i="8"/>
  <c r="Z124" i="8"/>
  <c r="Z127" i="8" s="1"/>
  <c r="AC119" i="8"/>
  <c r="AC123" i="8"/>
  <c r="AC126" i="8" s="1"/>
  <c r="AF119" i="8"/>
  <c r="AF94" i="8"/>
  <c r="K94" i="8"/>
  <c r="T123" i="8"/>
  <c r="T119" i="8"/>
  <c r="N123" i="8"/>
  <c r="N126" i="8" s="1"/>
  <c r="Q119" i="8"/>
  <c r="K124" i="8"/>
  <c r="K127" i="8" s="1"/>
  <c r="N94" i="8"/>
  <c r="Q94" i="8"/>
  <c r="AD195" i="1"/>
  <c r="BJ103" i="8"/>
  <c r="BJ121" i="8" s="1"/>
  <c r="BM103" i="8"/>
  <c r="BM121" i="8" s="1"/>
  <c r="AU94" i="8"/>
  <c r="AX94" i="8"/>
  <c r="AL94" i="8"/>
  <c r="Z27" i="46"/>
  <c r="Y36" i="46"/>
  <c r="AA124" i="8"/>
  <c r="AA127" i="8" s="1"/>
  <c r="AG174" i="8"/>
  <c r="AG176" i="8" s="1"/>
  <c r="AP124" i="8"/>
  <c r="AP127" i="8" s="1"/>
  <c r="AM124" i="8"/>
  <c r="AM127" i="8" s="1"/>
  <c r="AA174" i="8"/>
  <c r="X124" i="8"/>
  <c r="X127" i="8" s="1"/>
  <c r="N235" i="43"/>
  <c r="N213" i="43" s="1"/>
  <c r="N246" i="43"/>
  <c r="N226" i="43" s="1"/>
  <c r="O239" i="43"/>
  <c r="N217" i="43"/>
  <c r="BR509" i="43"/>
  <c r="BR198" i="43"/>
  <c r="BT153" i="43"/>
  <c r="BT157" i="43" s="1"/>
  <c r="BS165" i="43"/>
  <c r="BS166" i="43" s="1"/>
  <c r="BQ199" i="43"/>
  <c r="BQ97" i="43" s="1"/>
  <c r="BQ98" i="43" s="1"/>
  <c r="BQ200" i="43"/>
  <c r="BR195" i="43"/>
  <c r="BT216" i="8"/>
  <c r="AO124" i="8"/>
  <c r="AO127" i="8" s="1"/>
  <c r="AU123" i="8"/>
  <c r="AF335" i="43"/>
  <c r="AE321" i="43"/>
  <c r="AX119" i="8"/>
  <c r="I23" i="46"/>
  <c r="AC29" i="46" s="1"/>
  <c r="AB36" i="46"/>
  <c r="AV124" i="8"/>
  <c r="AV127" i="8" s="1"/>
  <c r="AC27" i="46"/>
  <c r="Z328" i="43"/>
  <c r="Z325" i="43"/>
  <c r="Z310" i="43" s="1"/>
  <c r="Z311" i="43" s="1"/>
  <c r="AD159" i="43"/>
  <c r="AD163" i="43" s="1"/>
  <c r="AG159" i="43" s="1"/>
  <c r="AG163" i="43" s="1"/>
  <c r="AJ159" i="43" s="1"/>
  <c r="AJ163" i="43" s="1"/>
  <c r="AA192" i="43"/>
  <c r="AA165" i="43"/>
  <c r="CM159" i="43"/>
  <c r="CM163" i="43" s="1"/>
  <c r="CL192" i="43"/>
  <c r="O203" i="43"/>
  <c r="O204" i="43" s="1"/>
  <c r="O202" i="43"/>
  <c r="O94" i="43" s="1"/>
  <c r="O95" i="43" s="1"/>
  <c r="Q186" i="43"/>
  <c r="Q189" i="43" s="1"/>
  <c r="Q190" i="43" s="1"/>
  <c r="Q80" i="43" s="1"/>
  <c r="Q81" i="43" s="1"/>
  <c r="R173" i="43"/>
  <c r="R177" i="43" s="1"/>
  <c r="Q187" i="43"/>
  <c r="Q198" i="43"/>
  <c r="W55" i="46"/>
  <c r="W50" i="46"/>
  <c r="X29" i="46"/>
  <c r="AL124" i="8"/>
  <c r="AL127" i="8" s="1"/>
  <c r="L97" i="43"/>
  <c r="L63" i="43"/>
  <c r="L207" i="43"/>
  <c r="CB190" i="43"/>
  <c r="CB80" i="43" s="1"/>
  <c r="CB81" i="43" s="1"/>
  <c r="CA190" i="43"/>
  <c r="CA80" i="43" s="1"/>
  <c r="CA81" i="43" s="1"/>
  <c r="AB179" i="43"/>
  <c r="AB183" i="43" s="1"/>
  <c r="AC325" i="43"/>
  <c r="AC310" i="43" s="1"/>
  <c r="AC311" i="43" s="1"/>
  <c r="AC328" i="43"/>
  <c r="L16" i="46"/>
  <c r="CB187" i="43"/>
  <c r="F233" i="1"/>
  <c r="G227" i="1"/>
  <c r="G232" i="1" s="1"/>
  <c r="CC185" i="43"/>
  <c r="CC186" i="43" s="1"/>
  <c r="CC189" i="43" s="1"/>
  <c r="CD173" i="43"/>
  <c r="CD177" i="43" s="1"/>
  <c r="M195" i="43"/>
  <c r="M198" i="43" s="1"/>
  <c r="L205" i="43"/>
  <c r="AN153" i="43" l="1"/>
  <c r="AN157" i="43" s="1"/>
  <c r="AP153" i="43"/>
  <c r="AP157" i="43" s="1"/>
  <c r="BP102" i="8"/>
  <c r="AK159" i="43"/>
  <c r="AK163" i="43" s="1"/>
  <c r="AK165" i="43" s="1"/>
  <c r="AK168" i="43" s="1"/>
  <c r="AM159" i="43"/>
  <c r="AM163" i="43" s="1"/>
  <c r="AP159" i="43" s="1"/>
  <c r="AP163" i="43" s="1"/>
  <c r="AP192" i="43" s="1"/>
  <c r="AB75" i="2"/>
  <c r="AN80" i="1"/>
  <c r="AN82" i="1" s="1"/>
  <c r="AL80" i="1"/>
  <c r="AL82" i="1" s="1"/>
  <c r="AU124" i="8"/>
  <c r="AU127" i="8" s="1"/>
  <c r="AU126" i="8"/>
  <c r="T124" i="8"/>
  <c r="T127" i="8" s="1"/>
  <c r="T126" i="8"/>
  <c r="L206" i="43"/>
  <c r="X202" i="1"/>
  <c r="Y45" i="1"/>
  <c r="Z45" i="1" s="1"/>
  <c r="AA45" i="1" s="1"/>
  <c r="AH40" i="1"/>
  <c r="AG207" i="1"/>
  <c r="AG228" i="1"/>
  <c r="AJ165" i="43"/>
  <c r="AJ192" i="43"/>
  <c r="K200" i="43"/>
  <c r="K63" i="43"/>
  <c r="K64" i="43" s="1"/>
  <c r="L200" i="43"/>
  <c r="K97" i="43"/>
  <c r="K98" i="43" s="1"/>
  <c r="J98" i="43"/>
  <c r="J64" i="43"/>
  <c r="AG192" i="43"/>
  <c r="AH159" i="43"/>
  <c r="BA77" i="8"/>
  <c r="BC170" i="8"/>
  <c r="BB187" i="8"/>
  <c r="BB159" i="8"/>
  <c r="BB166" i="8" s="1"/>
  <c r="BB119" i="8"/>
  <c r="T192" i="1"/>
  <c r="T193" i="1" s="1"/>
  <c r="K21" i="46"/>
  <c r="AD27" i="46" s="1"/>
  <c r="BB123" i="8"/>
  <c r="BB126" i="8" s="1"/>
  <c r="BB154" i="8"/>
  <c r="BB157" i="8" s="1"/>
  <c r="BR105" i="8"/>
  <c r="BT107" i="8"/>
  <c r="AH195" i="1" s="1"/>
  <c r="AK22" i="1"/>
  <c r="AE322" i="43"/>
  <c r="AE324" i="43" s="1"/>
  <c r="AA166" i="43"/>
  <c r="AJ22" i="1"/>
  <c r="AA311" i="43"/>
  <c r="AD311" i="43"/>
  <c r="BS105" i="8"/>
  <c r="BS107" i="8" s="1"/>
  <c r="R103" i="43"/>
  <c r="R131" i="43"/>
  <c r="S107" i="43"/>
  <c r="S218" i="43" s="1"/>
  <c r="T121" i="43"/>
  <c r="S117" i="43"/>
  <c r="Q226" i="43"/>
  <c r="Q224" i="43"/>
  <c r="N224" i="43"/>
  <c r="Y50" i="46"/>
  <c r="Z29" i="46"/>
  <c r="Y55" i="46"/>
  <c r="N124" i="8"/>
  <c r="N127" i="8" s="1"/>
  <c r="Q124" i="8"/>
  <c r="Q127" i="8" s="1"/>
  <c r="W124" i="8"/>
  <c r="W127" i="8" s="1"/>
  <c r="AC124" i="8"/>
  <c r="AC127" i="8" s="1"/>
  <c r="AF124" i="8"/>
  <c r="AF127" i="8" s="1"/>
  <c r="P239" i="43"/>
  <c r="O246" i="43"/>
  <c r="O235" i="43"/>
  <c r="O213" i="43" s="1"/>
  <c r="O217" i="43"/>
  <c r="BR199" i="43"/>
  <c r="BR97" i="43" s="1"/>
  <c r="BR98" i="43" s="1"/>
  <c r="BR200" i="43"/>
  <c r="BS195" i="43"/>
  <c r="BU153" i="43"/>
  <c r="BU157" i="43" s="1"/>
  <c r="BT165" i="43"/>
  <c r="BS509" i="43"/>
  <c r="BS198" i="43"/>
  <c r="AG165" i="43"/>
  <c r="BW216" i="8"/>
  <c r="AK201" i="1"/>
  <c r="AX124" i="8"/>
  <c r="AX127" i="8" s="1"/>
  <c r="AE327" i="43"/>
  <c r="AF317" i="43"/>
  <c r="AB55" i="46"/>
  <c r="AB29" i="46"/>
  <c r="AB50" i="46"/>
  <c r="V159" i="43"/>
  <c r="V163" i="43" s="1"/>
  <c r="CN159" i="43"/>
  <c r="CN163" i="43" s="1"/>
  <c r="CN192" i="43" s="1"/>
  <c r="CM192" i="43"/>
  <c r="Q205" i="43"/>
  <c r="R195" i="43"/>
  <c r="R198" i="43" s="1"/>
  <c r="R199" i="43" s="1"/>
  <c r="Q452" i="43"/>
  <c r="E48" i="46"/>
  <c r="R185" i="43"/>
  <c r="S173" i="43"/>
  <c r="S177" i="43" s="1"/>
  <c r="AD192" i="43"/>
  <c r="AD165" i="43"/>
  <c r="CC190" i="43"/>
  <c r="CC80" i="43" s="1"/>
  <c r="CC81" i="43" s="1"/>
  <c r="CE173" i="43"/>
  <c r="CE177" i="43" s="1"/>
  <c r="CD185" i="43"/>
  <c r="AC179" i="43"/>
  <c r="AC183" i="43" s="1"/>
  <c r="AE179" i="43" s="1"/>
  <c r="AE183" i="43" s="1"/>
  <c r="AF179" i="43" s="1"/>
  <c r="AF183" i="43" s="1"/>
  <c r="AH179" i="43" s="1"/>
  <c r="AH183" i="43" s="1"/>
  <c r="N195" i="43"/>
  <c r="N198" i="43" s="1"/>
  <c r="M205" i="43"/>
  <c r="M206" i="43" s="1"/>
  <c r="M199" i="43"/>
  <c r="CC187" i="43"/>
  <c r="G233" i="1"/>
  <c r="H227" i="1"/>
  <c r="H232" i="1" s="1"/>
  <c r="AP165" i="43" l="1"/>
  <c r="AM192" i="43"/>
  <c r="AN159" i="43"/>
  <c r="AN163" i="43" s="1"/>
  <c r="AN165" i="43" s="1"/>
  <c r="AK166" i="43"/>
  <c r="AM165" i="43"/>
  <c r="AB45" i="1"/>
  <c r="AA202" i="1"/>
  <c r="AM80" i="1"/>
  <c r="AM82" i="1" s="1"/>
  <c r="AL22" i="1"/>
  <c r="AO80" i="1"/>
  <c r="AO82" i="1" s="1"/>
  <c r="AN22" i="1"/>
  <c r="AQ80" i="1"/>
  <c r="AQ82" i="1" s="1"/>
  <c r="Z47" i="1"/>
  <c r="Z202" i="1"/>
  <c r="AA200" i="1" s="1"/>
  <c r="AI40" i="1"/>
  <c r="AH228" i="1"/>
  <c r="AH207" i="1"/>
  <c r="Y47" i="1"/>
  <c r="Y202" i="1"/>
  <c r="AG17" i="46"/>
  <c r="AJ166" i="43"/>
  <c r="L64" i="43"/>
  <c r="L98" i="43"/>
  <c r="U173" i="1"/>
  <c r="T42" i="1"/>
  <c r="BB168" i="8"/>
  <c r="AD51" i="46" s="1"/>
  <c r="BB167" i="8"/>
  <c r="AD52" i="46" s="1"/>
  <c r="AD53" i="46"/>
  <c r="BD170" i="8"/>
  <c r="BC187" i="8"/>
  <c r="K23" i="46"/>
  <c r="AD50" i="46" s="1"/>
  <c r="BB124" i="8"/>
  <c r="BB127" i="8" s="1"/>
  <c r="AD36" i="46"/>
  <c r="BW105" i="8"/>
  <c r="BV105" i="8" s="1"/>
  <c r="BV107" i="8" s="1"/>
  <c r="AE328" i="43"/>
  <c r="AE325" i="43"/>
  <c r="AE310" i="43" s="1"/>
  <c r="AG166" i="43"/>
  <c r="AD166" i="43"/>
  <c r="AG195" i="1"/>
  <c r="BT102" i="8"/>
  <c r="BT103" i="8" s="1"/>
  <c r="U121" i="43"/>
  <c r="T107" i="43"/>
  <c r="T218" i="43" s="1"/>
  <c r="T117" i="43"/>
  <c r="S131" i="43"/>
  <c r="S103" i="43"/>
  <c r="R246" i="43"/>
  <c r="R235" i="43"/>
  <c r="R213" i="43" s="1"/>
  <c r="R214" i="43"/>
  <c r="AI179" i="43"/>
  <c r="AI183" i="43" s="1"/>
  <c r="AK179" i="43" s="1"/>
  <c r="AK183" i="43" s="1"/>
  <c r="AK192" i="43" s="1"/>
  <c r="BP103" i="8"/>
  <c r="BP121" i="8" s="1"/>
  <c r="O224" i="43"/>
  <c r="O226" i="43"/>
  <c r="P246" i="43"/>
  <c r="P235" i="43"/>
  <c r="P213" i="43" s="1"/>
  <c r="P217" i="43"/>
  <c r="BS200" i="43"/>
  <c r="BT195" i="43"/>
  <c r="BU165" i="43"/>
  <c r="BU166" i="43" s="1"/>
  <c r="BV153" i="43"/>
  <c r="BV157" i="43" s="1"/>
  <c r="BT166" i="43"/>
  <c r="BT509" i="43"/>
  <c r="BT510" i="43" s="1"/>
  <c r="BT198" i="43"/>
  <c r="BS199" i="43"/>
  <c r="BS97" i="43" s="1"/>
  <c r="BS98" i="43" s="1"/>
  <c r="AF321" i="43"/>
  <c r="R186" i="43"/>
  <c r="R189" i="43" s="1"/>
  <c r="R190" i="43" s="1"/>
  <c r="R80" i="43" s="1"/>
  <c r="R187" i="43"/>
  <c r="Q457" i="43"/>
  <c r="Q454" i="43"/>
  <c r="Q456" i="43" s="1"/>
  <c r="R97" i="43"/>
  <c r="R63" i="43"/>
  <c r="F48" i="46"/>
  <c r="R452" i="43"/>
  <c r="R205" i="43"/>
  <c r="R206" i="43" s="1"/>
  <c r="S195" i="43"/>
  <c r="S198" i="43" s="1"/>
  <c r="S185" i="43"/>
  <c r="T173" i="43"/>
  <c r="T177" i="43" s="1"/>
  <c r="W159" i="43"/>
  <c r="W163" i="43" s="1"/>
  <c r="V192" i="43"/>
  <c r="N205" i="43"/>
  <c r="N206" i="43" s="1"/>
  <c r="O195" i="43"/>
  <c r="O198" i="43" s="1"/>
  <c r="O199" i="43" s="1"/>
  <c r="CD187" i="43"/>
  <c r="CD186" i="43"/>
  <c r="CD189" i="43" s="1"/>
  <c r="CE185" i="43"/>
  <c r="CF173" i="43"/>
  <c r="CF177" i="43" s="1"/>
  <c r="M63" i="43"/>
  <c r="M64" i="43" s="1"/>
  <c r="M200" i="43"/>
  <c r="M97" i="43"/>
  <c r="M98" i="43" s="1"/>
  <c r="M207" i="43"/>
  <c r="I227" i="1"/>
  <c r="I232" i="1" s="1"/>
  <c r="H233" i="1"/>
  <c r="N199" i="43"/>
  <c r="AP166" i="43" l="1"/>
  <c r="AM166" i="43"/>
  <c r="AN166" i="43"/>
  <c r="AN168" i="43"/>
  <c r="AN169" i="43" s="1"/>
  <c r="Z200" i="1"/>
  <c r="AB200" i="1"/>
  <c r="AB47" i="1"/>
  <c r="AB48" i="1" s="1"/>
  <c r="AB202" i="1"/>
  <c r="AQ22" i="1"/>
  <c r="AP80" i="1"/>
  <c r="AP82" i="1" s="1"/>
  <c r="AO22" i="1"/>
  <c r="AM22" i="1"/>
  <c r="AH17" i="46"/>
  <c r="AJ40" i="1"/>
  <c r="AI207" i="1"/>
  <c r="AI228" i="1"/>
  <c r="T43" i="1"/>
  <c r="T47" i="1" s="1"/>
  <c r="T48" i="1" s="1"/>
  <c r="T2" i="1" s="1"/>
  <c r="T54" i="2" s="1"/>
  <c r="T231" i="1"/>
  <c r="BE170" i="8"/>
  <c r="AD55" i="46"/>
  <c r="AD29" i="46"/>
  <c r="BU105" i="8"/>
  <c r="BU107" i="8" s="1"/>
  <c r="AI195" i="1" s="1"/>
  <c r="BW107" i="8"/>
  <c r="AJ195" i="1"/>
  <c r="AE311" i="43"/>
  <c r="AG324" i="43"/>
  <c r="AF322" i="43"/>
  <c r="AF324" i="43" s="1"/>
  <c r="BS102" i="8"/>
  <c r="T131" i="43"/>
  <c r="T103" i="43"/>
  <c r="R226" i="43"/>
  <c r="R224" i="43"/>
  <c r="S214" i="43"/>
  <c r="S246" i="43"/>
  <c r="S235" i="43"/>
  <c r="S213" i="43" s="1"/>
  <c r="U117" i="43"/>
  <c r="X121" i="43"/>
  <c r="X117" i="43" s="1"/>
  <c r="U107" i="43"/>
  <c r="U218" i="43" s="1"/>
  <c r="AF327" i="43"/>
  <c r="AH317" i="43"/>
  <c r="AH321" i="43" s="1"/>
  <c r="AL179" i="43"/>
  <c r="AL183" i="43" s="1"/>
  <c r="AN179" i="43" s="1"/>
  <c r="AN183" i="43" s="1"/>
  <c r="AN192" i="43" s="1"/>
  <c r="BT121" i="8"/>
  <c r="BR121" i="8"/>
  <c r="BS103" i="8"/>
  <c r="BS121" i="8" s="1"/>
  <c r="P224" i="43"/>
  <c r="P226" i="43"/>
  <c r="R81" i="43"/>
  <c r="BT199" i="43"/>
  <c r="BT97" i="43" s="1"/>
  <c r="BT98" i="43" s="1"/>
  <c r="BT200" i="43"/>
  <c r="BU195" i="43"/>
  <c r="BU168" i="43"/>
  <c r="BV170" i="43" s="1"/>
  <c r="BV201" i="43" s="1"/>
  <c r="BU198" i="43"/>
  <c r="BU509" i="43"/>
  <c r="BU510" i="43" s="1"/>
  <c r="BW153" i="43"/>
  <c r="BW157" i="43" s="1"/>
  <c r="BV165" i="43"/>
  <c r="Q458" i="43"/>
  <c r="Q167" i="43" s="1"/>
  <c r="Q168" i="43" s="1"/>
  <c r="CF168" i="43" s="1"/>
  <c r="R457" i="43"/>
  <c r="R454" i="43"/>
  <c r="R456" i="43" s="1"/>
  <c r="Y159" i="43"/>
  <c r="Y163" i="43" s="1"/>
  <c r="W192" i="43"/>
  <c r="S199" i="43"/>
  <c r="S452" i="43"/>
  <c r="G48" i="46"/>
  <c r="S205" i="43"/>
  <c r="S206" i="43" s="1"/>
  <c r="T195" i="43"/>
  <c r="T198" i="43" s="1"/>
  <c r="T185" i="43"/>
  <c r="U173" i="43"/>
  <c r="U177" i="43" s="1"/>
  <c r="S186" i="43"/>
  <c r="S189" i="43" s="1"/>
  <c r="S190" i="43" s="1"/>
  <c r="S80" i="43" s="1"/>
  <c r="S187" i="43"/>
  <c r="O63" i="43"/>
  <c r="O200" i="43"/>
  <c r="O97" i="43"/>
  <c r="O207" i="43"/>
  <c r="CE187" i="43"/>
  <c r="J227" i="1"/>
  <c r="J232" i="1" s="1"/>
  <c r="I233" i="1"/>
  <c r="N200" i="43"/>
  <c r="N97" i="43"/>
  <c r="N98" i="43" s="1"/>
  <c r="N63" i="43"/>
  <c r="N64" i="43" s="1"/>
  <c r="N207" i="43"/>
  <c r="CD190" i="43"/>
  <c r="CD80" i="43" s="1"/>
  <c r="CD81" i="43" s="1"/>
  <c r="CE186" i="43"/>
  <c r="CE189" i="43" s="1"/>
  <c r="CF185" i="43"/>
  <c r="CG173" i="43"/>
  <c r="CG177" i="43" s="1"/>
  <c r="O205" i="43"/>
  <c r="O206" i="43" s="1"/>
  <c r="P195" i="43"/>
  <c r="P198" i="43" s="1"/>
  <c r="P199" i="43" s="1"/>
  <c r="BZ105" i="8" l="1"/>
  <c r="BZ107" i="8" s="1"/>
  <c r="BZ102" i="8" s="1"/>
  <c r="AP22" i="1"/>
  <c r="AK195" i="1"/>
  <c r="AE200" i="1"/>
  <c r="AC200" i="1"/>
  <c r="AK40" i="1"/>
  <c r="AL40" i="1" s="1"/>
  <c r="AJ207" i="1"/>
  <c r="AJ228" i="1"/>
  <c r="AG325" i="43"/>
  <c r="AG310" i="43" s="1"/>
  <c r="M53" i="46" s="1"/>
  <c r="AJ325" i="43"/>
  <c r="AH327" i="43"/>
  <c r="AH322" i="43"/>
  <c r="AH324" i="43" s="1"/>
  <c r="BF170" i="8"/>
  <c r="BE159" i="8"/>
  <c r="BE166" i="8" s="1"/>
  <c r="BW102" i="8"/>
  <c r="BV102" i="8" s="1"/>
  <c r="AF328" i="43"/>
  <c r="AF325" i="43"/>
  <c r="AF310" i="43" s="1"/>
  <c r="AF311" i="43" s="1"/>
  <c r="AG328" i="43"/>
  <c r="U131" i="43"/>
  <c r="U103" i="43"/>
  <c r="S224" i="43"/>
  <c r="S226" i="43"/>
  <c r="T214" i="43"/>
  <c r="T235" i="43"/>
  <c r="T213" i="43" s="1"/>
  <c r="T246" i="43"/>
  <c r="BU199" i="43"/>
  <c r="BU97" i="43" s="1"/>
  <c r="BU98" i="43" s="1"/>
  <c r="BU200" i="43"/>
  <c r="BV195" i="43"/>
  <c r="S81" i="43"/>
  <c r="BV166" i="43"/>
  <c r="BV198" i="43"/>
  <c r="BV509" i="43"/>
  <c r="BV510" i="43" s="1"/>
  <c r="BV167" i="43"/>
  <c r="BV203" i="43"/>
  <c r="BW165" i="43"/>
  <c r="BX153" i="43"/>
  <c r="BX157" i="43" s="1"/>
  <c r="R458" i="43"/>
  <c r="R167" i="43" s="1"/>
  <c r="R168" i="43" s="1"/>
  <c r="CH168" i="43" s="1"/>
  <c r="CH169" i="43" s="1"/>
  <c r="CH74" i="43" s="1"/>
  <c r="CH75" i="43" s="1"/>
  <c r="U185" i="43"/>
  <c r="X173" i="43"/>
  <c r="X177" i="43" s="1"/>
  <c r="Y173" i="43" s="1"/>
  <c r="T187" i="43"/>
  <c r="T186" i="43"/>
  <c r="T189" i="43" s="1"/>
  <c r="T190" i="43" s="1"/>
  <c r="T80" i="43" s="1"/>
  <c r="S454" i="43"/>
  <c r="S456" i="43" s="1"/>
  <c r="S457" i="43"/>
  <c r="Z159" i="43"/>
  <c r="Z163" i="43" s="1"/>
  <c r="Y192" i="43"/>
  <c r="S200" i="43"/>
  <c r="S63" i="43"/>
  <c r="S64" i="43" s="1"/>
  <c r="S97" i="43"/>
  <c r="S98" i="43" s="1"/>
  <c r="T452" i="43"/>
  <c r="U195" i="43"/>
  <c r="U198" i="43" s="1"/>
  <c r="BI113" i="43"/>
  <c r="BI115" i="43" s="1"/>
  <c r="BI116" i="43" s="1"/>
  <c r="BI117" i="43" s="1"/>
  <c r="BI118" i="43" s="1"/>
  <c r="BI120" i="43" s="1"/>
  <c r="T205" i="43"/>
  <c r="T206" i="43" s="1"/>
  <c r="H48" i="46"/>
  <c r="T199" i="43"/>
  <c r="CF187" i="43"/>
  <c r="O98" i="43"/>
  <c r="J233" i="1"/>
  <c r="K227" i="1"/>
  <c r="K232" i="1" s="1"/>
  <c r="P452" i="43"/>
  <c r="P205" i="43"/>
  <c r="Q195" i="43"/>
  <c r="D48" i="46"/>
  <c r="Q199" i="43"/>
  <c r="CE190" i="43"/>
  <c r="CE80" i="43" s="1"/>
  <c r="CE81" i="43" s="1"/>
  <c r="CF186" i="43"/>
  <c r="CF189" i="43" s="1"/>
  <c r="P200" i="43"/>
  <c r="P63" i="43"/>
  <c r="P64" i="43" s="1"/>
  <c r="P97" i="43"/>
  <c r="P98" i="43" s="1"/>
  <c r="CG185" i="43"/>
  <c r="CG186" i="43" s="1"/>
  <c r="CG189" i="43" s="1"/>
  <c r="CH173" i="43"/>
  <c r="CH177" i="43" s="1"/>
  <c r="O64" i="43"/>
  <c r="CC105" i="8" l="1"/>
  <c r="AN195" i="1"/>
  <c r="AL207" i="1"/>
  <c r="AL228" i="1"/>
  <c r="AM40" i="1"/>
  <c r="BX102" i="8"/>
  <c r="BY102" i="8"/>
  <c r="BY105" i="8"/>
  <c r="BY107" i="8" s="1"/>
  <c r="AM195" i="1" s="1"/>
  <c r="BX105" i="8"/>
  <c r="BX107" i="8" s="1"/>
  <c r="AL195" i="1" s="1"/>
  <c r="AG311" i="43"/>
  <c r="AK207" i="1"/>
  <c r="AK228" i="1"/>
  <c r="AH325" i="43"/>
  <c r="AH328" i="43"/>
  <c r="AQ159" i="43"/>
  <c r="AS159" i="43"/>
  <c r="AS163" i="43" s="1"/>
  <c r="BU102" i="8"/>
  <c r="BW103" i="8"/>
  <c r="BZ103" i="8" s="1"/>
  <c r="BG170" i="8"/>
  <c r="AI317" i="43"/>
  <c r="AI321" i="43" s="1"/>
  <c r="AK317" i="43" s="1"/>
  <c r="AK321" i="43" s="1"/>
  <c r="T226" i="43"/>
  <c r="T224" i="43"/>
  <c r="U235" i="43"/>
  <c r="U213" i="43" s="1"/>
  <c r="U246" i="43"/>
  <c r="U214" i="43"/>
  <c r="AO179" i="43"/>
  <c r="AO183" i="43" s="1"/>
  <c r="R170" i="43"/>
  <c r="BW166" i="43"/>
  <c r="BW509" i="43"/>
  <c r="BW510" i="43" s="1"/>
  <c r="BW198" i="43"/>
  <c r="BW199" i="43" s="1"/>
  <c r="BW97" i="43" s="1"/>
  <c r="BW98" i="43" s="1"/>
  <c r="BW168" i="43"/>
  <c r="T81" i="43"/>
  <c r="BV199" i="43"/>
  <c r="BV200" i="43"/>
  <c r="BW195" i="43"/>
  <c r="R169" i="43"/>
  <c r="R74" i="43" s="1"/>
  <c r="BX165" i="43"/>
  <c r="BY153" i="43"/>
  <c r="BY157" i="43" s="1"/>
  <c r="S458" i="43"/>
  <c r="S167" i="43" s="1"/>
  <c r="S168" i="43" s="1"/>
  <c r="S169" i="43" s="1"/>
  <c r="S74" i="43" s="1"/>
  <c r="U199" i="43"/>
  <c r="I48" i="46"/>
  <c r="U452" i="43"/>
  <c r="U205" i="43"/>
  <c r="U206" i="43" s="1"/>
  <c r="X195" i="43"/>
  <c r="X198" i="43" s="1"/>
  <c r="J48" i="46" s="1"/>
  <c r="X185" i="43"/>
  <c r="T457" i="43"/>
  <c r="T454" i="43"/>
  <c r="T456" i="43" s="1"/>
  <c r="U186" i="43"/>
  <c r="U189" i="43" s="1"/>
  <c r="U190" i="43" s="1"/>
  <c r="U80" i="43" s="1"/>
  <c r="U187" i="43"/>
  <c r="T63" i="43"/>
  <c r="T64" i="43" s="1"/>
  <c r="T97" i="43"/>
  <c r="T98" i="43" s="1"/>
  <c r="T200" i="43"/>
  <c r="AB159" i="43"/>
  <c r="AB163" i="43" s="1"/>
  <c r="Z192" i="43"/>
  <c r="CG190" i="43"/>
  <c r="CG80" i="43" s="1"/>
  <c r="CG81" i="43" s="1"/>
  <c r="P457" i="43"/>
  <c r="P454" i="43"/>
  <c r="P456" i="43" s="1"/>
  <c r="CI173" i="43"/>
  <c r="CI177" i="43" s="1"/>
  <c r="CH185" i="43"/>
  <c r="CG187" i="43"/>
  <c r="L227" i="1"/>
  <c r="L232" i="1" s="1"/>
  <c r="K233" i="1"/>
  <c r="CF190" i="43"/>
  <c r="CF80" i="43" s="1"/>
  <c r="CF81" i="43" s="1"/>
  <c r="Q200" i="43"/>
  <c r="Q63" i="43"/>
  <c r="Q97" i="43"/>
  <c r="R200" i="43"/>
  <c r="P206" i="43"/>
  <c r="Q206" i="43"/>
  <c r="CB105" i="8" l="1"/>
  <c r="CB107" i="8" s="1"/>
  <c r="AP195" i="1" s="1"/>
  <c r="CA105" i="8"/>
  <c r="CA107" i="8" s="1"/>
  <c r="AO195" i="1" s="1"/>
  <c r="CC107" i="8"/>
  <c r="BZ121" i="8"/>
  <c r="BY103" i="8"/>
  <c r="BY121" i="8" s="1"/>
  <c r="BX103" i="8"/>
  <c r="BX121" i="8" s="1"/>
  <c r="AM228" i="1"/>
  <c r="AM207" i="1"/>
  <c r="AN40" i="1"/>
  <c r="BW121" i="8"/>
  <c r="AK327" i="43"/>
  <c r="AK322" i="43"/>
  <c r="AK324" i="43" s="1"/>
  <c r="BV103" i="8"/>
  <c r="BV121" i="8" s="1"/>
  <c r="AH310" i="43"/>
  <c r="AH311" i="43" s="1"/>
  <c r="AV159" i="43"/>
  <c r="AV163" i="43" s="1"/>
  <c r="AT159" i="43"/>
  <c r="BU103" i="8"/>
  <c r="BU121" i="8" s="1"/>
  <c r="BH170" i="8"/>
  <c r="BH159" i="8" s="1"/>
  <c r="BH166" i="8" s="1"/>
  <c r="AI322" i="43"/>
  <c r="AI324" i="43" s="1"/>
  <c r="AS192" i="43"/>
  <c r="U224" i="43"/>
  <c r="U226" i="43"/>
  <c r="AQ179" i="43"/>
  <c r="AQ183" i="43" s="1"/>
  <c r="R201" i="43"/>
  <c r="R171" i="43"/>
  <c r="R75" i="43"/>
  <c r="U81" i="43"/>
  <c r="BX195" i="43"/>
  <c r="BW200" i="43"/>
  <c r="S75" i="43"/>
  <c r="BV97" i="43"/>
  <c r="BV98" i="43" s="1"/>
  <c r="BV207" i="43"/>
  <c r="BZ153" i="43"/>
  <c r="BZ157" i="43" s="1"/>
  <c r="BY165" i="43"/>
  <c r="BX170" i="43"/>
  <c r="BX201" i="43" s="1"/>
  <c r="BW170" i="43"/>
  <c r="BW201" i="43" s="1"/>
  <c r="BW169" i="43"/>
  <c r="BW74" i="43" s="1"/>
  <c r="BW75" i="43" s="1"/>
  <c r="BX167" i="43"/>
  <c r="BX198" i="43"/>
  <c r="BX509" i="43"/>
  <c r="BX510" i="43" s="1"/>
  <c r="BX166" i="43"/>
  <c r="S170" i="43"/>
  <c r="CJ168" i="43"/>
  <c r="CJ169" i="43" s="1"/>
  <c r="CJ74" i="43" s="1"/>
  <c r="CJ75" i="43" s="1"/>
  <c r="X187" i="43"/>
  <c r="T458" i="43"/>
  <c r="T167" i="43" s="1"/>
  <c r="T168" i="43" s="1"/>
  <c r="U454" i="43"/>
  <c r="U456" i="43" s="1"/>
  <c r="U457" i="43"/>
  <c r="AC159" i="43"/>
  <c r="AC163" i="43" s="1"/>
  <c r="AB192" i="43"/>
  <c r="X205" i="43"/>
  <c r="X206" i="43" s="1"/>
  <c r="AA195" i="43"/>
  <c r="AA198" i="43" s="1"/>
  <c r="K48" i="46" s="1"/>
  <c r="U63" i="43"/>
  <c r="U64" i="43" s="1"/>
  <c r="U200" i="43"/>
  <c r="U97" i="43"/>
  <c r="U98" i="43" s="1"/>
  <c r="L233" i="1"/>
  <c r="M227" i="1"/>
  <c r="M232" i="1" s="1"/>
  <c r="CH187" i="43"/>
  <c r="CJ173" i="43"/>
  <c r="CJ177" i="43" s="1"/>
  <c r="CI185" i="43"/>
  <c r="CI186" i="43" s="1"/>
  <c r="CI189" i="43" s="1"/>
  <c r="Q64" i="43"/>
  <c r="R64" i="43"/>
  <c r="CH186" i="43"/>
  <c r="CH189" i="43" s="1"/>
  <c r="P458" i="43"/>
  <c r="P167" i="43" s="1"/>
  <c r="P168" i="43" s="1"/>
  <c r="Q98" i="43"/>
  <c r="R98" i="43"/>
  <c r="AQ195" i="1" l="1"/>
  <c r="CC102" i="8"/>
  <c r="AO40" i="1"/>
  <c r="AN228" i="1"/>
  <c r="AN207" i="1"/>
  <c r="AW159" i="43"/>
  <c r="AY159" i="43"/>
  <c r="AY163" i="43" s="1"/>
  <c r="AK325" i="43"/>
  <c r="AK310" i="43" s="1"/>
  <c r="AK311" i="43" s="1"/>
  <c r="AK328" i="43"/>
  <c r="AJ310" i="43"/>
  <c r="AI325" i="43"/>
  <c r="AI310" i="43" s="1"/>
  <c r="BI170" i="8"/>
  <c r="BI187" i="8" s="1"/>
  <c r="BH187" i="8"/>
  <c r="AV192" i="43"/>
  <c r="AL317" i="43"/>
  <c r="AL321" i="43" s="1"/>
  <c r="AN317" i="43" s="1"/>
  <c r="AN321" i="43" s="1"/>
  <c r="AR179" i="43"/>
  <c r="AR183" i="43" s="1"/>
  <c r="R203" i="43"/>
  <c r="R207" i="43"/>
  <c r="BY198" i="43"/>
  <c r="BY199" i="43" s="1"/>
  <c r="BY97" i="43" s="1"/>
  <c r="BY98" i="43" s="1"/>
  <c r="BY168" i="43"/>
  <c r="BY509" i="43"/>
  <c r="BY510" i="43" s="1"/>
  <c r="BY166" i="43"/>
  <c r="CA153" i="43"/>
  <c r="CA157" i="43" s="1"/>
  <c r="BZ165" i="43"/>
  <c r="BZ166" i="43" s="1"/>
  <c r="BW207" i="43"/>
  <c r="BW203" i="43"/>
  <c r="BX199" i="43"/>
  <c r="BX97" i="43" s="1"/>
  <c r="BX98" i="43" s="1"/>
  <c r="BX200" i="43"/>
  <c r="BY195" i="43"/>
  <c r="BX202" i="43"/>
  <c r="BX94" i="43" s="1"/>
  <c r="BX95" i="43" s="1"/>
  <c r="BX203" i="43"/>
  <c r="BX204" i="43" s="1"/>
  <c r="AC192" i="43"/>
  <c r="AE159" i="43"/>
  <c r="AE163" i="43" s="1"/>
  <c r="S171" i="43"/>
  <c r="S201" i="43"/>
  <c r="AD195" i="43"/>
  <c r="AD198" i="43" s="1"/>
  <c r="L48" i="46" s="1"/>
  <c r="AA205" i="43"/>
  <c r="AA206" i="43" s="1"/>
  <c r="U458" i="43"/>
  <c r="U167" i="43" s="1"/>
  <c r="T170" i="43"/>
  <c r="CL168" i="43"/>
  <c r="CL169" i="43" s="1"/>
  <c r="CL74" i="43" s="1"/>
  <c r="CL75" i="43" s="1"/>
  <c r="T169" i="43"/>
  <c r="T74" i="43" s="1"/>
  <c r="CH190" i="43"/>
  <c r="CH80" i="43" s="1"/>
  <c r="CH81" i="43" s="1"/>
  <c r="CI187" i="43"/>
  <c r="P170" i="43"/>
  <c r="P169" i="43"/>
  <c r="CD168" i="43"/>
  <c r="Q170" i="43"/>
  <c r="Q169" i="43"/>
  <c r="Q74" i="43" s="1"/>
  <c r="Q75" i="43" s="1"/>
  <c r="CJ185" i="43"/>
  <c r="CJ186" i="43" s="1"/>
  <c r="CJ189" i="43" s="1"/>
  <c r="CK173" i="43"/>
  <c r="CK177" i="43" s="1"/>
  <c r="CI190" i="43"/>
  <c r="CI80" i="43" s="1"/>
  <c r="CI81" i="43" s="1"/>
  <c r="N227" i="1"/>
  <c r="N232" i="1" s="1"/>
  <c r="M233" i="1"/>
  <c r="AN327" i="43" l="1"/>
  <c r="AN322" i="43"/>
  <c r="AN324" i="43" s="1"/>
  <c r="AJ311" i="43"/>
  <c r="N53" i="46"/>
  <c r="CA102" i="8"/>
  <c r="CB102" i="8"/>
  <c r="CC103" i="8"/>
  <c r="AW163" i="43"/>
  <c r="AX159" i="43" s="1"/>
  <c r="AX163" i="43" s="1"/>
  <c r="AP40" i="1"/>
  <c r="AO207" i="1"/>
  <c r="AO228" i="1"/>
  <c r="BB159" i="43"/>
  <c r="BB163" i="43" s="1"/>
  <c r="BB192" i="43" s="1"/>
  <c r="AZ159" i="43"/>
  <c r="AZ163" i="43" s="1"/>
  <c r="BA159" i="43" s="1"/>
  <c r="BA163" i="43" s="1"/>
  <c r="AY192" i="43"/>
  <c r="AI308" i="43"/>
  <c r="BJ170" i="8"/>
  <c r="BK170" i="8" s="1"/>
  <c r="BI159" i="8"/>
  <c r="AH21" i="43"/>
  <c r="BH167" i="8"/>
  <c r="AF52" i="46" s="1"/>
  <c r="BH168" i="8"/>
  <c r="AF51" i="46" s="1"/>
  <c r="AL322" i="43"/>
  <c r="AL324" i="43" s="1"/>
  <c r="AL325" i="43" s="1"/>
  <c r="AL310" i="43" s="1"/>
  <c r="AT179" i="43"/>
  <c r="AT183" i="43" s="1"/>
  <c r="BZ509" i="43"/>
  <c r="BZ510" i="43" s="1"/>
  <c r="BZ167" i="43"/>
  <c r="BZ198" i="43"/>
  <c r="BZ199" i="43" s="1"/>
  <c r="BZ97" i="43" s="1"/>
  <c r="BZ98" i="43" s="1"/>
  <c r="BX207" i="43"/>
  <c r="BX209" i="43" s="1"/>
  <c r="CA165" i="43"/>
  <c r="CB153" i="43"/>
  <c r="CB157" i="43" s="1"/>
  <c r="BY169" i="43"/>
  <c r="BY74" i="43" s="1"/>
  <c r="BY75" i="43" s="1"/>
  <c r="BZ170" i="43"/>
  <c r="BZ201" i="43" s="1"/>
  <c r="BY170" i="43"/>
  <c r="BY201" i="43" s="1"/>
  <c r="T75" i="43"/>
  <c r="BY200" i="43"/>
  <c r="BZ195" i="43"/>
  <c r="AG195" i="43"/>
  <c r="AG198" i="43" s="1"/>
  <c r="AC78" i="43"/>
  <c r="AE192" i="43"/>
  <c r="AF159" i="43"/>
  <c r="AF163" i="43" s="1"/>
  <c r="S202" i="43"/>
  <c r="S203" i="43"/>
  <c r="S204" i="43" s="1"/>
  <c r="AD5" i="43"/>
  <c r="T201" i="43"/>
  <c r="T171" i="43"/>
  <c r="X167" i="43"/>
  <c r="U168" i="43"/>
  <c r="Q171" i="43"/>
  <c r="Q201" i="43"/>
  <c r="D47" i="46"/>
  <c r="P74" i="43"/>
  <c r="P75" i="43" s="1"/>
  <c r="P171" i="43"/>
  <c r="P201" i="43"/>
  <c r="CL173" i="43"/>
  <c r="CL177" i="43" s="1"/>
  <c r="CK185" i="43"/>
  <c r="L10" i="46"/>
  <c r="CJ190" i="43"/>
  <c r="CJ80" i="43" s="1"/>
  <c r="CJ81" i="43" s="1"/>
  <c r="N233" i="1"/>
  <c r="O227" i="1"/>
  <c r="O232" i="1" s="1"/>
  <c r="CJ187" i="43"/>
  <c r="CD169" i="43"/>
  <c r="CD74" i="43" s="1"/>
  <c r="CD75" i="43" s="1"/>
  <c r="CF169" i="43"/>
  <c r="CF74" i="43" s="1"/>
  <c r="CF75" i="43" s="1"/>
  <c r="AN328" i="43" l="1"/>
  <c r="AN325" i="43"/>
  <c r="AJ195" i="43"/>
  <c r="AJ198" i="43" s="1"/>
  <c r="N48" i="46" s="1"/>
  <c r="M48" i="46"/>
  <c r="CA103" i="8"/>
  <c r="CA121" i="8" s="1"/>
  <c r="CC121" i="8"/>
  <c r="CB103" i="8"/>
  <c r="CB121" i="8" s="1"/>
  <c r="AP228" i="1"/>
  <c r="AP207" i="1"/>
  <c r="AQ40" i="1"/>
  <c r="BK159" i="8"/>
  <c r="BL170" i="8"/>
  <c r="AI312" i="43"/>
  <c r="AI311" i="43" s="1"/>
  <c r="AH313" i="43"/>
  <c r="AI313" i="43" s="1"/>
  <c r="AG199" i="43"/>
  <c r="AC82" i="43"/>
  <c r="AC81" i="43" s="1"/>
  <c r="AC278" i="43"/>
  <c r="N11" i="46"/>
  <c r="AU179" i="43"/>
  <c r="AU183" i="43" s="1"/>
  <c r="AW179" i="43" s="1"/>
  <c r="AW183" i="43" s="1"/>
  <c r="AW192" i="43" s="1"/>
  <c r="AF192" i="43"/>
  <c r="AH163" i="43"/>
  <c r="AH192" i="43" s="1"/>
  <c r="BY207" i="43"/>
  <c r="BY209" i="43" s="1"/>
  <c r="BY203" i="43"/>
  <c r="BY204" i="43" s="1"/>
  <c r="BY202" i="43"/>
  <c r="BY94" i="43" s="1"/>
  <c r="BY95" i="43" s="1"/>
  <c r="CA166" i="43"/>
  <c r="CA198" i="43"/>
  <c r="CA199" i="43" s="1"/>
  <c r="CA97" i="43" s="1"/>
  <c r="CA98" i="43" s="1"/>
  <c r="CA168" i="43"/>
  <c r="CA509" i="43"/>
  <c r="CA510" i="43" s="1"/>
  <c r="CB165" i="43"/>
  <c r="CC153" i="43"/>
  <c r="CC157" i="43" s="1"/>
  <c r="BZ202" i="43"/>
  <c r="BZ94" i="43" s="1"/>
  <c r="BZ95" i="43" s="1"/>
  <c r="BZ203" i="43"/>
  <c r="BZ204" i="43" s="1"/>
  <c r="BZ207" i="43"/>
  <c r="BZ209" i="43" s="1"/>
  <c r="BZ200" i="43"/>
  <c r="CA195" i="43"/>
  <c r="AC84" i="43"/>
  <c r="S94" i="43"/>
  <c r="S95" i="43" s="1"/>
  <c r="G47" i="46"/>
  <c r="CN168" i="43"/>
  <c r="CN169" i="43" s="1"/>
  <c r="CN74" i="43" s="1"/>
  <c r="CN75" i="43" s="1"/>
  <c r="U169" i="43"/>
  <c r="U74" i="43" s="1"/>
  <c r="U170" i="43"/>
  <c r="V167" i="43"/>
  <c r="X168" i="43"/>
  <c r="X170" i="43" s="1"/>
  <c r="AA167" i="43"/>
  <c r="T203" i="43"/>
  <c r="T204" i="43" s="1"/>
  <c r="T202" i="43"/>
  <c r="P227" i="1"/>
  <c r="P232" i="1" s="1"/>
  <c r="O233" i="1"/>
  <c r="P202" i="43"/>
  <c r="P94" i="43" s="1"/>
  <c r="P95" i="43" s="1"/>
  <c r="P207" i="43"/>
  <c r="P203" i="43"/>
  <c r="P204" i="43" s="1"/>
  <c r="CL185" i="43"/>
  <c r="CL186" i="43" s="1"/>
  <c r="CL189" i="43" s="1"/>
  <c r="CM173" i="43"/>
  <c r="CM177" i="43" s="1"/>
  <c r="Q203" i="43"/>
  <c r="Q207" i="43"/>
  <c r="Q202" i="43"/>
  <c r="R202" i="43"/>
  <c r="CK187" i="43"/>
  <c r="CK186" i="43"/>
  <c r="CK189" i="43" s="1"/>
  <c r="AC280" i="43"/>
  <c r="AC283" i="43" s="1"/>
  <c r="AM195" i="43" l="1"/>
  <c r="AM198" i="43" s="1"/>
  <c r="AJ199" i="43"/>
  <c r="AJ200" i="43" s="1"/>
  <c r="BM170" i="8"/>
  <c r="BN170" i="8" s="1"/>
  <c r="AQ228" i="1"/>
  <c r="AQ207" i="1"/>
  <c r="AX179" i="43"/>
  <c r="AX183" i="43" s="1"/>
  <c r="AK313" i="43"/>
  <c r="AL313" i="43" s="1"/>
  <c r="BL187" i="8"/>
  <c r="BL159" i="8"/>
  <c r="AJ21" i="43"/>
  <c r="AC5" i="43"/>
  <c r="AC87" i="43"/>
  <c r="AI333" i="43"/>
  <c r="AL308" i="43"/>
  <c r="O11" i="46"/>
  <c r="AM21" i="43"/>
  <c r="AI307" i="43"/>
  <c r="AI6" i="43"/>
  <c r="AI327" i="43"/>
  <c r="AI328" i="43"/>
  <c r="AI159" i="43"/>
  <c r="AI163" i="43" s="1"/>
  <c r="AL159" i="43" s="1"/>
  <c r="AO317" i="43"/>
  <c r="CD153" i="43"/>
  <c r="CD157" i="43" s="1"/>
  <c r="CC165" i="43"/>
  <c r="CB195" i="43"/>
  <c r="CA205" i="43"/>
  <c r="CA200" i="43"/>
  <c r="CA169" i="43"/>
  <c r="CA74" i="43" s="1"/>
  <c r="CA75" i="43" s="1"/>
  <c r="CB170" i="43"/>
  <c r="CB201" i="43" s="1"/>
  <c r="CA170" i="43"/>
  <c r="CA201" i="43" s="1"/>
  <c r="CB166" i="43"/>
  <c r="CB509" i="43"/>
  <c r="CB510" i="43" s="1"/>
  <c r="CB167" i="43"/>
  <c r="CB198" i="43"/>
  <c r="U75" i="43"/>
  <c r="AC85" i="43"/>
  <c r="AC86" i="43" s="1"/>
  <c r="M10" i="46"/>
  <c r="AF78" i="43"/>
  <c r="H47" i="46"/>
  <c r="T94" i="43"/>
  <c r="T95" i="43" s="1"/>
  <c r="U171" i="43"/>
  <c r="U201" i="43"/>
  <c r="AD167" i="43"/>
  <c r="AA168" i="43"/>
  <c r="W168" i="43"/>
  <c r="W169" i="43" s="1"/>
  <c r="W74" i="43" s="1"/>
  <c r="W75" i="43" s="1"/>
  <c r="X169" i="43"/>
  <c r="X74" i="43" s="1"/>
  <c r="F47" i="46"/>
  <c r="R94" i="43"/>
  <c r="R95" i="43" s="1"/>
  <c r="CM185" i="43"/>
  <c r="CM186" i="43" s="1"/>
  <c r="CM189" i="43" s="1"/>
  <c r="V173" i="43"/>
  <c r="V177" i="43" s="1"/>
  <c r="CN173" i="43"/>
  <c r="CN177" i="43" s="1"/>
  <c r="CN185" i="43" s="1"/>
  <c r="P233" i="1"/>
  <c r="Q227" i="1"/>
  <c r="Q232" i="1" s="1"/>
  <c r="Q204" i="43"/>
  <c r="R204" i="43"/>
  <c r="CK190" i="43"/>
  <c r="CK80" i="43" s="1"/>
  <c r="CK81" i="43" s="1"/>
  <c r="E47" i="46"/>
  <c r="Q94" i="43"/>
  <c r="Q95" i="43" s="1"/>
  <c r="CL187" i="43"/>
  <c r="AC281" i="43"/>
  <c r="AC282" i="43" s="1"/>
  <c r="CL190" i="43"/>
  <c r="CL80" i="43" s="1"/>
  <c r="CL81" i="43" s="1"/>
  <c r="AP195" i="43" l="1"/>
  <c r="AP198" i="43" s="1"/>
  <c r="AN195" i="43"/>
  <c r="BN159" i="8"/>
  <c r="BO170" i="8"/>
  <c r="BP170" i="8" s="1"/>
  <c r="BQ170" i="8" s="1"/>
  <c r="BQ159" i="8" s="1"/>
  <c r="AM199" i="43"/>
  <c r="AM200" i="43" s="1"/>
  <c r="O48" i="46"/>
  <c r="AZ179" i="43"/>
  <c r="AZ183" i="43" s="1"/>
  <c r="AX192" i="43"/>
  <c r="AJ97" i="43"/>
  <c r="AJ63" i="43"/>
  <c r="AN310" i="43"/>
  <c r="AN312" i="43" s="1"/>
  <c r="AL6" i="43"/>
  <c r="AL312" i="43"/>
  <c r="AI15" i="43"/>
  <c r="BJ268" i="8"/>
  <c r="AA170" i="43"/>
  <c r="AF82" i="43"/>
  <c r="AF81" i="43" s="1"/>
  <c r="AF278" i="43"/>
  <c r="AL333" i="43"/>
  <c r="AL307" i="43"/>
  <c r="AL327" i="43"/>
  <c r="AL328" i="43"/>
  <c r="AI21" i="43"/>
  <c r="AI334" i="43"/>
  <c r="AI330" i="43"/>
  <c r="AI331" i="43" s="1"/>
  <c r="AL163" i="43"/>
  <c r="AI192" i="43"/>
  <c r="CB202" i="43"/>
  <c r="CB94" i="43" s="1"/>
  <c r="CB95" i="43" s="1"/>
  <c r="CB203" i="43"/>
  <c r="CB204" i="43" s="1"/>
  <c r="X75" i="43"/>
  <c r="CB205" i="43"/>
  <c r="CB200" i="43"/>
  <c r="CC195" i="43"/>
  <c r="CB199" i="43"/>
  <c r="CB97" i="43" s="1"/>
  <c r="CB98" i="43" s="1"/>
  <c r="CC166" i="43"/>
  <c r="CC198" i="43"/>
  <c r="CC199" i="43" s="1"/>
  <c r="CC97" i="43" s="1"/>
  <c r="CC98" i="43" s="1"/>
  <c r="CC509" i="43"/>
  <c r="CC510" i="43" s="1"/>
  <c r="CC168" i="43"/>
  <c r="CA202" i="43"/>
  <c r="CA94" i="43" s="1"/>
  <c r="CA95" i="43" s="1"/>
  <c r="CA203" i="43"/>
  <c r="CA204" i="43" s="1"/>
  <c r="CA207" i="43"/>
  <c r="CA209" i="43" s="1"/>
  <c r="CE153" i="43"/>
  <c r="CE157" i="43" s="1"/>
  <c r="CD165" i="43"/>
  <c r="AD168" i="43"/>
  <c r="AG167" i="43"/>
  <c r="AF84" i="43"/>
  <c r="AF87" i="43" s="1"/>
  <c r="AF280" i="43"/>
  <c r="AF283" i="43" s="1"/>
  <c r="U202" i="43"/>
  <c r="U203" i="43"/>
  <c r="U204" i="43" s="1"/>
  <c r="Z168" i="43"/>
  <c r="Z169" i="43" s="1"/>
  <c r="Z74" i="43" s="1"/>
  <c r="Z75" i="43" s="1"/>
  <c r="AA169" i="43"/>
  <c r="AA74" i="43" s="1"/>
  <c r="Y167" i="43"/>
  <c r="AC167" i="43"/>
  <c r="AB167" i="43"/>
  <c r="CM190" i="43"/>
  <c r="CM80" i="43" s="1"/>
  <c r="CM81" i="43" s="1"/>
  <c r="L9" i="46"/>
  <c r="Q233" i="1"/>
  <c r="R227" i="1"/>
  <c r="R232" i="1" s="1"/>
  <c r="CN186" i="43"/>
  <c r="CN189" i="43" s="1"/>
  <c r="CM187" i="43"/>
  <c r="CN187" i="43"/>
  <c r="L15" i="46"/>
  <c r="V185" i="43"/>
  <c r="W173" i="43"/>
  <c r="W177" i="43" s="1"/>
  <c r="AP199" i="43" l="1"/>
  <c r="AQ195" i="43"/>
  <c r="AP200" i="43"/>
  <c r="BO159" i="8"/>
  <c r="BO187" i="8"/>
  <c r="BR170" i="8"/>
  <c r="BS170" i="8" s="1"/>
  <c r="BT170" i="8" s="1"/>
  <c r="BA179" i="43"/>
  <c r="BA183" i="43" s="1"/>
  <c r="BA192" i="43" s="1"/>
  <c r="AZ192" i="43"/>
  <c r="AI335" i="43"/>
  <c r="AL21" i="43"/>
  <c r="AL311" i="43"/>
  <c r="AD170" i="43"/>
  <c r="BM268" i="8"/>
  <c r="AL334" i="43"/>
  <c r="AL330" i="43"/>
  <c r="AL331" i="43" s="1"/>
  <c r="AG168" i="43"/>
  <c r="AO159" i="43"/>
  <c r="CD170" i="43"/>
  <c r="CD201" i="43" s="1"/>
  <c r="CC169" i="43"/>
  <c r="CC74" i="43" s="1"/>
  <c r="CC75" i="43" s="1"/>
  <c r="CC170" i="43"/>
  <c r="CC201" i="43" s="1"/>
  <c r="CB207" i="43"/>
  <c r="CB209" i="43" s="1"/>
  <c r="AA75" i="43"/>
  <c r="CD167" i="43"/>
  <c r="CD509" i="43"/>
  <c r="CD510" i="43" s="1"/>
  <c r="CD198" i="43"/>
  <c r="CD195" i="43"/>
  <c r="CC205" i="43"/>
  <c r="CC206" i="43" s="1"/>
  <c r="CC200" i="43"/>
  <c r="CE165" i="43"/>
  <c r="CF153" i="43"/>
  <c r="CF157" i="43" s="1"/>
  <c r="CD166" i="43"/>
  <c r="AF85" i="43"/>
  <c r="AF86" i="43" s="1"/>
  <c r="AF5" i="43"/>
  <c r="AF167" i="43"/>
  <c r="AE167" i="43"/>
  <c r="AF281" i="43"/>
  <c r="AF282" i="43" s="1"/>
  <c r="AJ167" i="43"/>
  <c r="AD169" i="43"/>
  <c r="AD74" i="43" s="1"/>
  <c r="I47" i="46"/>
  <c r="U94" i="43"/>
  <c r="U95" i="43" s="1"/>
  <c r="Y177" i="43"/>
  <c r="Z173" i="43" s="1"/>
  <c r="W185" i="43"/>
  <c r="W186" i="43" s="1"/>
  <c r="W189" i="43" s="1"/>
  <c r="R233" i="1"/>
  <c r="S227" i="1"/>
  <c r="S232" i="1" s="1"/>
  <c r="V187" i="43"/>
  <c r="V186" i="43"/>
  <c r="V189" i="43" s="1"/>
  <c r="CN190" i="43"/>
  <c r="CN80" i="43" s="1"/>
  <c r="CN81" i="43" s="1"/>
  <c r="AJ168" i="43" l="1"/>
  <c r="AK170" i="43" s="1"/>
  <c r="AM167" i="43"/>
  <c r="BU170" i="8"/>
  <c r="BV170" i="8" s="1"/>
  <c r="BW170" i="8" s="1"/>
  <c r="BT159" i="8"/>
  <c r="AP6" i="43"/>
  <c r="AL335" i="43"/>
  <c r="AN21" i="43"/>
  <c r="AL15" i="43"/>
  <c r="AG169" i="43"/>
  <c r="AG170" i="43"/>
  <c r="AN313" i="43"/>
  <c r="AO313" i="43" s="1"/>
  <c r="AP307" i="43"/>
  <c r="AO308" i="43"/>
  <c r="P11" i="46"/>
  <c r="X186" i="43"/>
  <c r="X189" i="43" s="1"/>
  <c r="AO163" i="43"/>
  <c r="AL192" i="43"/>
  <c r="CD199" i="43"/>
  <c r="CD97" i="43" s="1"/>
  <c r="CD98" i="43" s="1"/>
  <c r="CD205" i="43"/>
  <c r="CD206" i="43" s="1"/>
  <c r="CD200" i="43"/>
  <c r="CE195" i="43"/>
  <c r="CC203" i="43"/>
  <c r="CC204" i="43" s="1"/>
  <c r="CC202" i="43"/>
  <c r="CC94" i="43" s="1"/>
  <c r="CC95" i="43" s="1"/>
  <c r="CC207" i="43"/>
  <c r="CC209" i="43" s="1"/>
  <c r="AD75" i="43"/>
  <c r="CF165" i="43"/>
  <c r="CF166" i="43" s="1"/>
  <c r="CG153" i="43"/>
  <c r="CG157" i="43" s="1"/>
  <c r="CE166" i="43"/>
  <c r="CE198" i="43"/>
  <c r="CE168" i="43"/>
  <c r="CE509" i="43"/>
  <c r="CE510" i="43" s="1"/>
  <c r="CD203" i="43"/>
  <c r="CD204" i="43" s="1"/>
  <c r="CD202" i="43"/>
  <c r="CD94" i="43" s="1"/>
  <c r="CD95" i="43" s="1"/>
  <c r="AD4" i="43"/>
  <c r="AC72" i="43"/>
  <c r="AD90" i="43"/>
  <c r="Y185" i="43"/>
  <c r="Z177" i="43"/>
  <c r="AA173" i="43" s="1"/>
  <c r="AA177" i="43" s="1"/>
  <c r="S233" i="1"/>
  <c r="T227" i="1"/>
  <c r="T232" i="1" s="1"/>
  <c r="V190" i="43"/>
  <c r="V80" i="43" s="1"/>
  <c r="V81" i="43" s="1"/>
  <c r="W190" i="43"/>
  <c r="W80" i="43" s="1"/>
  <c r="W81" i="43" s="1"/>
  <c r="W187" i="43"/>
  <c r="AM168" i="43" l="1"/>
  <c r="AN170" i="43" s="1"/>
  <c r="AP167" i="43"/>
  <c r="AP168" i="43" s="1"/>
  <c r="AJ169" i="43"/>
  <c r="AJ170" i="43"/>
  <c r="AM169" i="43"/>
  <c r="BW159" i="8"/>
  <c r="BX170" i="8"/>
  <c r="BY170" i="8" s="1"/>
  <c r="BZ170" i="8" s="1"/>
  <c r="AP21" i="43"/>
  <c r="AD7" i="43"/>
  <c r="BE18" i="8" s="1"/>
  <c r="AO6" i="43"/>
  <c r="AO312" i="43"/>
  <c r="AC4" i="43"/>
  <c r="AB173" i="43"/>
  <c r="AB177" i="43" s="1"/>
  <c r="AC173" i="43" s="1"/>
  <c r="AA185" i="43"/>
  <c r="AA187" i="43" s="1"/>
  <c r="AO307" i="43"/>
  <c r="AO333" i="43"/>
  <c r="Y186" i="43"/>
  <c r="Y189" i="43" s="1"/>
  <c r="Y190" i="43" s="1"/>
  <c r="Y80" i="43" s="1"/>
  <c r="Y81" i="43" s="1"/>
  <c r="X190" i="43"/>
  <c r="X80" i="43" s="1"/>
  <c r="X81" i="43" s="1"/>
  <c r="CD207" i="43"/>
  <c r="CD209" i="43" s="1"/>
  <c r="AQ163" i="43"/>
  <c r="CG165" i="43"/>
  <c r="CH153" i="43"/>
  <c r="CH157" i="43" s="1"/>
  <c r="CF170" i="43"/>
  <c r="CF201" i="43" s="1"/>
  <c r="CE170" i="43"/>
  <c r="CE201" i="43" s="1"/>
  <c r="CE169" i="43"/>
  <c r="CE74" i="43" s="1"/>
  <c r="CE75" i="43" s="1"/>
  <c r="CF167" i="43"/>
  <c r="CF198" i="43"/>
  <c r="CF509" i="43"/>
  <c r="CF510" i="43" s="1"/>
  <c r="CE199" i="43"/>
  <c r="CE97" i="43" s="1"/>
  <c r="CE98" i="43" s="1"/>
  <c r="CE200" i="43"/>
  <c r="CE205" i="43"/>
  <c r="CE206" i="43" s="1"/>
  <c r="CF195" i="43"/>
  <c r="AG96" i="43"/>
  <c r="AG66" i="43" s="1"/>
  <c r="AG99" i="43"/>
  <c r="AG148" i="43"/>
  <c r="AG149" i="43" s="1"/>
  <c r="AF72" i="43"/>
  <c r="AG74" i="43"/>
  <c r="AD91" i="43"/>
  <c r="AD99" i="43"/>
  <c r="AD96" i="43"/>
  <c r="AD230" i="43"/>
  <c r="AD145" i="43"/>
  <c r="AD92" i="43"/>
  <c r="AC252" i="43"/>
  <c r="M9" i="46"/>
  <c r="AF252" i="43"/>
  <c r="AF229" i="43" s="1"/>
  <c r="AC90" i="43"/>
  <c r="AC92" i="43" s="1"/>
  <c r="AC267" i="43"/>
  <c r="AC76" i="43"/>
  <c r="U31" i="2"/>
  <c r="L36" i="46"/>
  <c r="T233" i="1"/>
  <c r="U227" i="1"/>
  <c r="Z185" i="43"/>
  <c r="Z186" i="43" s="1"/>
  <c r="Z189" i="43" s="1"/>
  <c r="U54" i="1"/>
  <c r="L14" i="46"/>
  <c r="Y187" i="43"/>
  <c r="AR159" i="43" l="1"/>
  <c r="AQ192" i="43"/>
  <c r="AM170" i="43"/>
  <c r="AP170" i="43"/>
  <c r="AP169" i="43"/>
  <c r="AP74" i="43" s="1"/>
  <c r="AP75" i="43" s="1"/>
  <c r="BZ159" i="8"/>
  <c r="CA170" i="8"/>
  <c r="CB170" i="8" s="1"/>
  <c r="CC170" i="8" s="1"/>
  <c r="CC159" i="8" s="1"/>
  <c r="AJ74" i="43"/>
  <c r="AJ75" i="43" s="1"/>
  <c r="AO21" i="43"/>
  <c r="AD60" i="43"/>
  <c r="BE37" i="8"/>
  <c r="AD8" i="43"/>
  <c r="AD10" i="43"/>
  <c r="AD38" i="43" s="1"/>
  <c r="BE22" i="8"/>
  <c r="BE6" i="8"/>
  <c r="BH7" i="8" s="1"/>
  <c r="AG10" i="43"/>
  <c r="AG38" i="43" s="1"/>
  <c r="BE38" i="8"/>
  <c r="BE40" i="8" s="1"/>
  <c r="BE41" i="8" s="1"/>
  <c r="AG8" i="43"/>
  <c r="AD205" i="43"/>
  <c r="AD206" i="43" s="1"/>
  <c r="AD23" i="43"/>
  <c r="AD35" i="43"/>
  <c r="AC7" i="43"/>
  <c r="AC8" i="43" s="1"/>
  <c r="AF4" i="43"/>
  <c r="AC91" i="43"/>
  <c r="AC93" i="43" s="1"/>
  <c r="AO334" i="43"/>
  <c r="AO330" i="43"/>
  <c r="AO331" i="43" s="1"/>
  <c r="AA186" i="43"/>
  <c r="AA189" i="43" s="1"/>
  <c r="AR163" i="43"/>
  <c r="AO192" i="43"/>
  <c r="CG166" i="43"/>
  <c r="CG509" i="43"/>
  <c r="CG510" i="43" s="1"/>
  <c r="CG168" i="43"/>
  <c r="CG198" i="43"/>
  <c r="CG199" i="43" s="1"/>
  <c r="CG97" i="43" s="1"/>
  <c r="CG98" i="43" s="1"/>
  <c r="CE202" i="43"/>
  <c r="CE94" i="43" s="1"/>
  <c r="CE95" i="43" s="1"/>
  <c r="CE207" i="43"/>
  <c r="CE209" i="43" s="1"/>
  <c r="CE203" i="43"/>
  <c r="CE204" i="43" s="1"/>
  <c r="AG75" i="43"/>
  <c r="CF199" i="43"/>
  <c r="CF97" i="43" s="1"/>
  <c r="CF98" i="43" s="1"/>
  <c r="CF205" i="43"/>
  <c r="CF206" i="43" s="1"/>
  <c r="CG195" i="43"/>
  <c r="CF200" i="43"/>
  <c r="CF202" i="43"/>
  <c r="CF94" i="43" s="1"/>
  <c r="CF95" i="43" s="1"/>
  <c r="CF203" i="43"/>
  <c r="CF204" i="43" s="1"/>
  <c r="CI153" i="43"/>
  <c r="CI157" i="43" s="1"/>
  <c r="CH165" i="43"/>
  <c r="AF267" i="43"/>
  <c r="AF76" i="43"/>
  <c r="AF90" i="43"/>
  <c r="AF92" i="43" s="1"/>
  <c r="AD231" i="43"/>
  <c r="AG231" i="43"/>
  <c r="AE9" i="43"/>
  <c r="AF9" i="43" s="1"/>
  <c r="AG205" i="43"/>
  <c r="AS167" i="43"/>
  <c r="AF253" i="43"/>
  <c r="AD93" i="43"/>
  <c r="AD149" i="43"/>
  <c r="AD66" i="43"/>
  <c r="AC96" i="43"/>
  <c r="AF143" i="43"/>
  <c r="AC143" i="43"/>
  <c r="AB9" i="43"/>
  <c r="AC9" i="43" s="1"/>
  <c r="AG413" i="43"/>
  <c r="AC253" i="43"/>
  <c r="AC229" i="43"/>
  <c r="AC20" i="43" s="1"/>
  <c r="AC22" i="43" s="1"/>
  <c r="U125" i="1"/>
  <c r="AD17" i="43"/>
  <c r="AC177" i="43"/>
  <c r="AD173" i="43" s="1"/>
  <c r="AD177" i="43" s="1"/>
  <c r="AB185" i="43"/>
  <c r="Z190" i="43"/>
  <c r="Z80" i="43" s="1"/>
  <c r="Z81" i="43" s="1"/>
  <c r="Z187" i="43"/>
  <c r="AI252" i="43" l="1"/>
  <c r="AO335" i="43"/>
  <c r="AG61" i="43"/>
  <c r="AD61" i="43"/>
  <c r="U126" i="1"/>
  <c r="AD413" i="43"/>
  <c r="BE7" i="8"/>
  <c r="BE10" i="8"/>
  <c r="U57" i="1"/>
  <c r="BE12" i="8"/>
  <c r="BE13" i="8" s="1"/>
  <c r="L8" i="46"/>
  <c r="AE41" i="46" s="1"/>
  <c r="U56" i="1"/>
  <c r="BE147" i="8"/>
  <c r="BE148" i="8" s="1"/>
  <c r="BE26" i="8"/>
  <c r="AC254" i="43"/>
  <c r="AG206" i="43"/>
  <c r="AC10" i="43"/>
  <c r="BD6" i="8"/>
  <c r="BD7" i="8" s="1"/>
  <c r="AF7" i="43"/>
  <c r="AF8" i="43" s="1"/>
  <c r="AF91" i="43"/>
  <c r="AF93" i="43" s="1"/>
  <c r="AG173" i="43"/>
  <c r="AG177" i="43" s="1"/>
  <c r="AE173" i="43"/>
  <c r="AE177" i="43" s="1"/>
  <c r="AD185" i="43"/>
  <c r="AB186" i="43"/>
  <c r="AB189" i="43" s="1"/>
  <c r="AB190" i="43" s="1"/>
  <c r="AB80" i="43" s="1"/>
  <c r="AB81" i="43" s="1"/>
  <c r="AA190" i="43"/>
  <c r="AA80" i="43" s="1"/>
  <c r="AA81" i="43" s="1"/>
  <c r="AT163" i="43"/>
  <c r="AU159" i="43" s="1"/>
  <c r="AF210" i="43"/>
  <c r="AF226" i="43" s="1"/>
  <c r="BG28" i="8"/>
  <c r="AF96" i="43"/>
  <c r="BG22" i="8"/>
  <c r="N9" i="46"/>
  <c r="BG18" i="8"/>
  <c r="CF207" i="43"/>
  <c r="CF209" i="43" s="1"/>
  <c r="CG205" i="43"/>
  <c r="CG206" i="43" s="1"/>
  <c r="CH195" i="43"/>
  <c r="CG200" i="43"/>
  <c r="CH198" i="43"/>
  <c r="CH509" i="43"/>
  <c r="CH510" i="43" s="1"/>
  <c r="CH167" i="43"/>
  <c r="CH170" i="43"/>
  <c r="CH201" i="43" s="1"/>
  <c r="CG169" i="43"/>
  <c r="CG74" i="43" s="1"/>
  <c r="CG75" i="43" s="1"/>
  <c r="CG170" i="43"/>
  <c r="CG201" i="43" s="1"/>
  <c r="CI165" i="43"/>
  <c r="CJ153" i="43"/>
  <c r="CJ157" i="43" s="1"/>
  <c r="AD18" i="43"/>
  <c r="CH166" i="43"/>
  <c r="AV167" i="43"/>
  <c r="AY167" i="43" s="1"/>
  <c r="BB167" i="43" s="1"/>
  <c r="V74" i="1"/>
  <c r="V57" i="1"/>
  <c r="AC210" i="43"/>
  <c r="AC226" i="43" s="1"/>
  <c r="AF144" i="43"/>
  <c r="AF145" i="43"/>
  <c r="AF147" i="43"/>
  <c r="AF148" i="43" s="1"/>
  <c r="AF232" i="43"/>
  <c r="AF230" i="43"/>
  <c r="AF20" i="43"/>
  <c r="AF22" i="43" s="1"/>
  <c r="AF254" i="43"/>
  <c r="AC23" i="43"/>
  <c r="AC17" i="43"/>
  <c r="AC18" i="43" s="1"/>
  <c r="AC185" i="43"/>
  <c r="AC186" i="43" s="1"/>
  <c r="AC189" i="43" s="1"/>
  <c r="AC232" i="43"/>
  <c r="AC230" i="43"/>
  <c r="AC231" i="43" s="1"/>
  <c r="M8" i="46"/>
  <c r="AF53" i="46" s="1"/>
  <c r="AC147" i="43"/>
  <c r="AC148" i="43" s="1"/>
  <c r="AC149" i="43" s="1"/>
  <c r="AC144" i="43"/>
  <c r="AC145" i="43"/>
  <c r="AB187" i="43"/>
  <c r="L28" i="46"/>
  <c r="AH173" i="43" l="1"/>
  <c r="AJ173" i="43"/>
  <c r="AJ177" i="43" s="1"/>
  <c r="BG6" i="8"/>
  <c r="BH13" i="8"/>
  <c r="AE24" i="46"/>
  <c r="AE53" i="46"/>
  <c r="AF10" i="43"/>
  <c r="AF149" i="43"/>
  <c r="AR15" i="43"/>
  <c r="BS268" i="8"/>
  <c r="AD187" i="43"/>
  <c r="AG185" i="43"/>
  <c r="AD186" i="43"/>
  <c r="AD189" i="43" s="1"/>
  <c r="AU163" i="43"/>
  <c r="AR192" i="43"/>
  <c r="CK153" i="43"/>
  <c r="CK157" i="43" s="1"/>
  <c r="CJ165" i="43"/>
  <c r="CG203" i="43"/>
  <c r="CG204" i="43" s="1"/>
  <c r="CG207" i="43"/>
  <c r="CG209" i="43" s="1"/>
  <c r="CG202" i="43"/>
  <c r="CG94" i="43" s="1"/>
  <c r="CG95" i="43" s="1"/>
  <c r="CI509" i="43"/>
  <c r="CI510" i="43" s="1"/>
  <c r="CI198" i="43"/>
  <c r="CI199" i="43" s="1"/>
  <c r="CI168" i="43"/>
  <c r="CH203" i="43"/>
  <c r="CH204" i="43" s="1"/>
  <c r="CH202" i="43"/>
  <c r="CH94" i="43" s="1"/>
  <c r="CH95" i="43" s="1"/>
  <c r="CH199" i="43"/>
  <c r="CH97" i="43" s="1"/>
  <c r="CH98" i="43" s="1"/>
  <c r="CI195" i="43"/>
  <c r="CH205" i="43"/>
  <c r="CH206" i="43" s="1"/>
  <c r="CH200" i="43"/>
  <c r="CI166" i="43"/>
  <c r="V126" i="1"/>
  <c r="AE185" i="43"/>
  <c r="AE186" i="43" s="1"/>
  <c r="AF173" i="43"/>
  <c r="AF177" i="43" s="1"/>
  <c r="AF23" i="43"/>
  <c r="BG11" i="8"/>
  <c r="AF17" i="43"/>
  <c r="AF18" i="43" s="1"/>
  <c r="AF231" i="43"/>
  <c r="AC187" i="43"/>
  <c r="M36" i="46"/>
  <c r="Y53" i="1"/>
  <c r="U64" i="1"/>
  <c r="BD11" i="8"/>
  <c r="AF24" i="46"/>
  <c r="U68" i="1"/>
  <c r="U21" i="1"/>
  <c r="U27" i="1" s="1"/>
  <c r="U61" i="1"/>
  <c r="U8" i="1"/>
  <c r="U75" i="1"/>
  <c r="U248" i="1" s="1"/>
  <c r="U250" i="1" s="1"/>
  <c r="U51" i="1"/>
  <c r="AC190" i="43"/>
  <c r="AK173" i="43" l="1"/>
  <c r="AK177" i="43" s="1"/>
  <c r="AK185" i="43" s="1"/>
  <c r="AK198" i="43" s="1"/>
  <c r="AM173" i="43"/>
  <c r="AM177" i="43" s="1"/>
  <c r="AP173" i="43" s="1"/>
  <c r="AP177" i="43" s="1"/>
  <c r="AP185" i="43" s="1"/>
  <c r="AJ185" i="43"/>
  <c r="BG37" i="8"/>
  <c r="BG7" i="8"/>
  <c r="AG187" i="43"/>
  <c r="AG186" i="43"/>
  <c r="AE189" i="43"/>
  <c r="AE190" i="43" s="1"/>
  <c r="AE80" i="43" s="1"/>
  <c r="AD190" i="43"/>
  <c r="AD80" i="43" s="1"/>
  <c r="AD81" i="43" s="1"/>
  <c r="AF185" i="43"/>
  <c r="AF186" i="43" s="1"/>
  <c r="AF189" i="43" s="1"/>
  <c r="AH177" i="43"/>
  <c r="AU192" i="43"/>
  <c r="AT192" i="43"/>
  <c r="CH207" i="43"/>
  <c r="CH209" i="43" s="1"/>
  <c r="CI97" i="43"/>
  <c r="CI98" i="43" s="1"/>
  <c r="CI63" i="43"/>
  <c r="CJ166" i="43"/>
  <c r="CJ509" i="43"/>
  <c r="CJ510" i="43" s="1"/>
  <c r="CJ198" i="43"/>
  <c r="CJ167" i="43"/>
  <c r="CL153" i="43"/>
  <c r="CL157" i="43" s="1"/>
  <c r="CK165" i="43"/>
  <c r="CI170" i="43"/>
  <c r="CI201" i="43" s="1"/>
  <c r="CJ170" i="43"/>
  <c r="CJ201" i="43" s="1"/>
  <c r="CI169" i="43"/>
  <c r="CI74" i="43" s="1"/>
  <c r="CI75" i="43" s="1"/>
  <c r="CI205" i="43"/>
  <c r="CI206" i="43" s="1"/>
  <c r="CJ195" i="43"/>
  <c r="CI200" i="43"/>
  <c r="U73" i="1"/>
  <c r="U20" i="2" s="1"/>
  <c r="U64" i="2" s="1"/>
  <c r="BG10" i="8"/>
  <c r="BG12" i="8"/>
  <c r="AE187" i="43"/>
  <c r="V31" i="2"/>
  <c r="U71" i="1"/>
  <c r="U70" i="1"/>
  <c r="U63" i="1"/>
  <c r="AE32" i="46"/>
  <c r="BD10" i="8"/>
  <c r="BD12" i="8"/>
  <c r="AF41" i="46"/>
  <c r="U74" i="1"/>
  <c r="AE13" i="46"/>
  <c r="U36" i="1"/>
  <c r="AE16" i="46" s="1"/>
  <c r="AM185" i="43" l="1"/>
  <c r="AM187" i="43" s="1"/>
  <c r="AN173" i="43"/>
  <c r="AN177" i="43" s="1"/>
  <c r="AN185" i="43" s="1"/>
  <c r="AK186" i="43"/>
  <c r="AK189" i="43" s="1"/>
  <c r="AK201" i="43" s="1"/>
  <c r="AK199" i="43"/>
  <c r="AK205" i="43"/>
  <c r="AJ186" i="43"/>
  <c r="AJ189" i="43" s="1"/>
  <c r="AJ187" i="43"/>
  <c r="AO15" i="43"/>
  <c r="BP268" i="8"/>
  <c r="AG189" i="43"/>
  <c r="AF187" i="43"/>
  <c r="AE81" i="43"/>
  <c r="AI173" i="43"/>
  <c r="AI177" i="43" s="1"/>
  <c r="AH185" i="43"/>
  <c r="AK187" i="43" s="1"/>
  <c r="CI203" i="43"/>
  <c r="CI204" i="43" s="1"/>
  <c r="CI202" i="43"/>
  <c r="CI94" i="43" s="1"/>
  <c r="CI95" i="43" s="1"/>
  <c r="CI207" i="43"/>
  <c r="CI209" i="43" s="1"/>
  <c r="CK195" i="43"/>
  <c r="CJ205" i="43"/>
  <c r="CJ206" i="43" s="1"/>
  <c r="CJ200" i="43"/>
  <c r="CK166" i="43"/>
  <c r="CK198" i="43"/>
  <c r="CK199" i="43" s="1"/>
  <c r="CK509" i="43"/>
  <c r="CK510" i="43" s="1"/>
  <c r="CJ199" i="43"/>
  <c r="CJ207" i="43" s="1"/>
  <c r="CJ202" i="43"/>
  <c r="CJ94" i="43" s="1"/>
  <c r="CJ95" i="43" s="1"/>
  <c r="CJ203" i="43"/>
  <c r="CJ204" i="43" s="1"/>
  <c r="CM153" i="43"/>
  <c r="CM157" i="43" s="1"/>
  <c r="CL165" i="43"/>
  <c r="CL166" i="43" s="1"/>
  <c r="V64" i="1"/>
  <c r="V71" i="1"/>
  <c r="V63" i="1"/>
  <c r="V70" i="1"/>
  <c r="AF190" i="43"/>
  <c r="BD13" i="8"/>
  <c r="BG13" i="8"/>
  <c r="AE15" i="46"/>
  <c r="L33" i="46"/>
  <c r="AP186" i="43" l="1"/>
  <c r="AP189" i="43" s="1"/>
  <c r="AP187" i="43"/>
  <c r="AM186" i="43"/>
  <c r="AM189" i="43" s="1"/>
  <c r="AM190" i="43" s="1"/>
  <c r="AM80" i="43" s="1"/>
  <c r="AM81" i="43" s="1"/>
  <c r="AN186" i="43"/>
  <c r="AN189" i="43" s="1"/>
  <c r="AN187" i="43"/>
  <c r="AN198" i="43"/>
  <c r="AN199" i="43" s="1"/>
  <c r="AN200" i="43" s="1"/>
  <c r="AK207" i="43"/>
  <c r="AK203" i="43"/>
  <c r="AK97" i="43"/>
  <c r="AK200" i="43"/>
  <c r="AH187" i="43"/>
  <c r="AH186" i="43"/>
  <c r="AH189" i="43" s="1"/>
  <c r="AK190" i="43" s="1"/>
  <c r="AK80" i="43" s="1"/>
  <c r="AK81" i="43" s="1"/>
  <c r="AU15" i="43"/>
  <c r="AQ173" i="43"/>
  <c r="AS173" i="43"/>
  <c r="AS177" i="43" s="1"/>
  <c r="AG190" i="43"/>
  <c r="AG80" i="43" s="1"/>
  <c r="AG81" i="43" s="1"/>
  <c r="AI185" i="43"/>
  <c r="AL173" i="43"/>
  <c r="CK97" i="43"/>
  <c r="CK98" i="43" s="1"/>
  <c r="CK63" i="43"/>
  <c r="CL167" i="43"/>
  <c r="CL198" i="43"/>
  <c r="CL199" i="43" s="1"/>
  <c r="CL509" i="43"/>
  <c r="CL510" i="43" s="1"/>
  <c r="CJ97" i="43"/>
  <c r="CJ98" i="43" s="1"/>
  <c r="CJ63" i="43"/>
  <c r="CK205" i="43"/>
  <c r="CK206" i="43" s="1"/>
  <c r="CK200" i="43"/>
  <c r="CL195" i="43"/>
  <c r="CM165" i="43"/>
  <c r="CN153" i="43"/>
  <c r="CN157" i="43" s="1"/>
  <c r="V21" i="1"/>
  <c r="V27" i="1" s="1"/>
  <c r="Y60" i="1"/>
  <c r="V8" i="1"/>
  <c r="AP190" i="43" l="1"/>
  <c r="AP80" i="43" s="1"/>
  <c r="AP81" i="43" s="1"/>
  <c r="AP201" i="43"/>
  <c r="AM201" i="43"/>
  <c r="AN190" i="43"/>
  <c r="AN201" i="43"/>
  <c r="AH190" i="43"/>
  <c r="AH80" i="43" s="1"/>
  <c r="AH81" i="43" s="1"/>
  <c r="BV268" i="8"/>
  <c r="AS185" i="43"/>
  <c r="AS187" i="43" s="1"/>
  <c r="AV173" i="43"/>
  <c r="AV177" i="43" s="1"/>
  <c r="AW173" i="43" s="1"/>
  <c r="AT173" i="43"/>
  <c r="AI186" i="43"/>
  <c r="AI189" i="43" s="1"/>
  <c r="AI190" i="43" s="1"/>
  <c r="AI80" i="43" s="1"/>
  <c r="AJ201" i="43"/>
  <c r="AL177" i="43"/>
  <c r="AL185" i="43" s="1"/>
  <c r="AL187" i="43" s="1"/>
  <c r="AI187" i="43"/>
  <c r="CL97" i="43"/>
  <c r="CL98" i="43" s="1"/>
  <c r="CL63" i="43"/>
  <c r="CN165" i="43"/>
  <c r="CN166" i="43" s="1"/>
  <c r="V153" i="43"/>
  <c r="V157" i="43" s="1"/>
  <c r="CM166" i="43"/>
  <c r="CM198" i="43"/>
  <c r="CL205" i="43"/>
  <c r="CL206" i="43" s="1"/>
  <c r="CL200" i="43"/>
  <c r="CM195" i="43"/>
  <c r="CK167" i="43"/>
  <c r="CK168" i="43" s="1"/>
  <c r="CM167" i="43"/>
  <c r="CM168" i="43" s="1"/>
  <c r="V248" i="1"/>
  <c r="AF13" i="46"/>
  <c r="V36" i="1"/>
  <c r="AF16" i="46" s="1"/>
  <c r="AP202" i="43" l="1"/>
  <c r="AP94" i="43" s="1"/>
  <c r="AM202" i="43"/>
  <c r="O47" i="46" s="1"/>
  <c r="AN207" i="43"/>
  <c r="AN202" i="43"/>
  <c r="AV185" i="43"/>
  <c r="AV187" i="43" s="1"/>
  <c r="AY173" i="43"/>
  <c r="AY177" i="43" s="1"/>
  <c r="AW177" i="43"/>
  <c r="AS186" i="43"/>
  <c r="AL186" i="43"/>
  <c r="AL189" i="43" s="1"/>
  <c r="AL190" i="43" s="1"/>
  <c r="AJ190" i="43"/>
  <c r="AJ80" i="43" s="1"/>
  <c r="AJ81" i="43" s="1"/>
  <c r="AO173" i="43"/>
  <c r="CM169" i="43"/>
  <c r="CM74" i="43" s="1"/>
  <c r="CM75" i="43" s="1"/>
  <c r="CN170" i="43"/>
  <c r="CN201" i="43" s="1"/>
  <c r="CM170" i="43"/>
  <c r="CM201" i="43" s="1"/>
  <c r="CM199" i="43"/>
  <c r="CM205" i="43"/>
  <c r="CM206" i="43" s="1"/>
  <c r="CM200" i="43"/>
  <c r="CN195" i="43"/>
  <c r="CN198" i="43"/>
  <c r="CN167" i="43"/>
  <c r="CK169" i="43"/>
  <c r="CK74" i="43" s="1"/>
  <c r="CK75" i="43" s="1"/>
  <c r="CK170" i="43"/>
  <c r="CK201" i="43" s="1"/>
  <c r="CL170" i="43"/>
  <c r="CL201" i="43" s="1"/>
  <c r="W153" i="43"/>
  <c r="W157" i="43" s="1"/>
  <c r="Y153" i="43" s="1"/>
  <c r="V165" i="43"/>
  <c r="AF15" i="46"/>
  <c r="AV186" i="43" l="1"/>
  <c r="AW185" i="43"/>
  <c r="AX173" i="43"/>
  <c r="AX177" i="43" s="1"/>
  <c r="AX185" i="43" s="1"/>
  <c r="BB173" i="43"/>
  <c r="BB177" i="43" s="1"/>
  <c r="BB185" i="43" s="1"/>
  <c r="AZ173" i="43"/>
  <c r="AZ177" i="43" s="1"/>
  <c r="AY185" i="43"/>
  <c r="V166" i="43"/>
  <c r="V171" i="43" s="1"/>
  <c r="AO177" i="43"/>
  <c r="AO185" i="43" s="1"/>
  <c r="AL80" i="43"/>
  <c r="W165" i="43"/>
  <c r="Y157" i="43"/>
  <c r="Z153" i="43" s="1"/>
  <c r="V195" i="43"/>
  <c r="CN205" i="43"/>
  <c r="CN206" i="43" s="1"/>
  <c r="CN200" i="43"/>
  <c r="CL207" i="43"/>
  <c r="CL202" i="43"/>
  <c r="CL94" i="43" s="1"/>
  <c r="CL95" i="43" s="1"/>
  <c r="CL203" i="43"/>
  <c r="CL204" i="43" s="1"/>
  <c r="CN199" i="43"/>
  <c r="CM97" i="43"/>
  <c r="CM98" i="43" s="1"/>
  <c r="CM63" i="43"/>
  <c r="CM207" i="43"/>
  <c r="CM202" i="43"/>
  <c r="CM94" i="43" s="1"/>
  <c r="CM95" i="43" s="1"/>
  <c r="CM203" i="43"/>
  <c r="CK207" i="43"/>
  <c r="CK203" i="43"/>
  <c r="CK204" i="43" s="1"/>
  <c r="CK202" i="43"/>
  <c r="CK94" i="43" s="1"/>
  <c r="CK95" i="43" s="1"/>
  <c r="CN202" i="43"/>
  <c r="CN94" i="43" s="1"/>
  <c r="CN95" i="43" s="1"/>
  <c r="CN203" i="43"/>
  <c r="V198" i="43"/>
  <c r="V168" i="43"/>
  <c r="M33" i="46"/>
  <c r="U10" i="1"/>
  <c r="AE8" i="46" s="1"/>
  <c r="AW186" i="43" l="1"/>
  <c r="AW189" i="43" s="1"/>
  <c r="AZ185" i="43"/>
  <c r="AZ186" i="43" s="1"/>
  <c r="AZ189" i="43" s="1"/>
  <c r="BA173" i="43"/>
  <c r="BA177" i="43" s="1"/>
  <c r="BA185" i="43" s="1"/>
  <c r="BA187" i="43" s="1"/>
  <c r="BB187" i="43"/>
  <c r="BB186" i="43"/>
  <c r="BB189" i="43" s="1"/>
  <c r="AY187" i="43"/>
  <c r="AY186" i="43"/>
  <c r="AY189" i="43" s="1"/>
  <c r="AX186" i="43"/>
  <c r="AX189" i="43" s="1"/>
  <c r="AN80" i="43"/>
  <c r="AN81" i="43" s="1"/>
  <c r="AO186" i="43"/>
  <c r="CN204" i="43"/>
  <c r="AI78" i="43"/>
  <c r="AI278" i="43" s="1"/>
  <c r="X171" i="43"/>
  <c r="X201" i="43"/>
  <c r="AQ177" i="43"/>
  <c r="CM204" i="43"/>
  <c r="W170" i="43"/>
  <c r="W201" i="43" s="1"/>
  <c r="V169" i="43"/>
  <c r="V74" i="43" s="1"/>
  <c r="V75" i="43" s="1"/>
  <c r="V170" i="43"/>
  <c r="V201" i="43" s="1"/>
  <c r="CN207" i="43"/>
  <c r="CN63" i="43"/>
  <c r="CN97" i="43"/>
  <c r="CN98" i="43" s="1"/>
  <c r="AB153" i="43"/>
  <c r="Y165" i="43"/>
  <c r="V199" i="43"/>
  <c r="V200" i="43"/>
  <c r="V205" i="43"/>
  <c r="V206" i="43" s="1"/>
  <c r="W195" i="43"/>
  <c r="W166" i="43"/>
  <c r="W198" i="43"/>
  <c r="X199" i="43" s="1"/>
  <c r="W167" i="43"/>
  <c r="U99" i="1"/>
  <c r="U107" i="1"/>
  <c r="U109" i="1" s="1"/>
  <c r="U247" i="1" s="1"/>
  <c r="AR173" i="43" l="1"/>
  <c r="AQ185" i="43"/>
  <c r="AZ190" i="43"/>
  <c r="AZ80" i="43" s="1"/>
  <c r="AZ82" i="43" s="1"/>
  <c r="BB190" i="43"/>
  <c r="BB80" i="43" s="1"/>
  <c r="BB82" i="43" s="1"/>
  <c r="BA186" i="43"/>
  <c r="BA189" i="43" s="1"/>
  <c r="BA190" i="43" s="1"/>
  <c r="BA80" i="43" s="1"/>
  <c r="AZ187" i="43"/>
  <c r="AJ5" i="43"/>
  <c r="AJ7" i="43" s="1"/>
  <c r="AI14" i="43"/>
  <c r="AI82" i="43"/>
  <c r="AI81" i="43" s="1"/>
  <c r="AN5" i="43"/>
  <c r="Y166" i="43"/>
  <c r="Y171" i="43" s="1"/>
  <c r="AL78" i="43"/>
  <c r="N10" i="46"/>
  <c r="X97" i="43"/>
  <c r="X200" i="43"/>
  <c r="X63" i="43"/>
  <c r="X203" i="43"/>
  <c r="X202" i="43"/>
  <c r="J47" i="46" s="1"/>
  <c r="AR177" i="43"/>
  <c r="AR185" i="43" s="1"/>
  <c r="AO187" i="43"/>
  <c r="AO189" i="43"/>
  <c r="W199" i="43"/>
  <c r="W207" i="43" s="1"/>
  <c r="W200" i="43"/>
  <c r="Y195" i="43"/>
  <c r="W205" i="43"/>
  <c r="W206" i="43" s="1"/>
  <c r="W203" i="43"/>
  <c r="W204" i="43" s="1"/>
  <c r="W202" i="43"/>
  <c r="W94" i="43" s="1"/>
  <c r="W95" i="43" s="1"/>
  <c r="Y168" i="43"/>
  <c r="Y198" i="43"/>
  <c r="V63" i="43"/>
  <c r="V97" i="43"/>
  <c r="V98" i="43" s="1"/>
  <c r="AB157" i="43"/>
  <c r="AC153" i="43" s="1"/>
  <c r="Z165" i="43"/>
  <c r="Z166" i="43" s="1"/>
  <c r="V202" i="43"/>
  <c r="V94" i="43" s="1"/>
  <c r="V95" i="43" s="1"/>
  <c r="V207" i="43"/>
  <c r="V203" i="43"/>
  <c r="V204" i="43" s="1"/>
  <c r="AE19" i="46"/>
  <c r="U113" i="1"/>
  <c r="U240" i="1" s="1"/>
  <c r="U43" i="1"/>
  <c r="AQ187" i="43" l="1"/>
  <c r="AQ186" i="43"/>
  <c r="AQ189" i="43" s="1"/>
  <c r="AN7" i="43"/>
  <c r="AN8" i="43" s="1"/>
  <c r="AN203" i="43"/>
  <c r="AN204" i="43" s="1"/>
  <c r="AL82" i="43"/>
  <c r="AL81" i="43" s="1"/>
  <c r="AL278" i="43"/>
  <c r="BK37" i="8"/>
  <c r="BK38" i="8"/>
  <c r="BK40" i="8" s="1"/>
  <c r="BK41" i="8" s="1"/>
  <c r="BK18" i="8"/>
  <c r="BK6" i="8"/>
  <c r="AJ205" i="43"/>
  <c r="AJ206" i="43" s="1"/>
  <c r="AJ203" i="43"/>
  <c r="AJ8" i="43"/>
  <c r="AJ35" i="43"/>
  <c r="AJ10" i="43"/>
  <c r="AJ60" i="43"/>
  <c r="AR186" i="43"/>
  <c r="AA201" i="43"/>
  <c r="AA203" i="43" s="1"/>
  <c r="AA204" i="43" s="1"/>
  <c r="Z170" i="43"/>
  <c r="Z201" i="43" s="1"/>
  <c r="Y170" i="43"/>
  <c r="Y201" i="43" s="1"/>
  <c r="AL14" i="43"/>
  <c r="AO78" i="43"/>
  <c r="AO82" i="43" s="1"/>
  <c r="AJ66" i="43"/>
  <c r="X64" i="43"/>
  <c r="X94" i="43"/>
  <c r="X95" i="43" s="1"/>
  <c r="X204" i="43"/>
  <c r="X98" i="43"/>
  <c r="AO190" i="43"/>
  <c r="AO80" i="43" s="1"/>
  <c r="AT177" i="43"/>
  <c r="AU173" i="43" s="1"/>
  <c r="AS189" i="43"/>
  <c r="Z167" i="43"/>
  <c r="Z198" i="43"/>
  <c r="AA199" i="43" s="1"/>
  <c r="AB165" i="43"/>
  <c r="AK152" i="43" s="1"/>
  <c r="AC157" i="43"/>
  <c r="Y199" i="43"/>
  <c r="Z195" i="43"/>
  <c r="Y205" i="43"/>
  <c r="Y206" i="43" s="1"/>
  <c r="Y200" i="43"/>
  <c r="Y169" i="43"/>
  <c r="Y74" i="43" s="1"/>
  <c r="Y75" i="43" s="1"/>
  <c r="W63" i="43"/>
  <c r="W97" i="43"/>
  <c r="W98" i="43" s="1"/>
  <c r="U47" i="1"/>
  <c r="AN205" i="43" l="1"/>
  <c r="AN206" i="43" s="1"/>
  <c r="BO38" i="8"/>
  <c r="BO40" i="8" s="1"/>
  <c r="BO41" i="8" s="1"/>
  <c r="BO6" i="8"/>
  <c r="BO8" i="8" s="1"/>
  <c r="AN10" i="43"/>
  <c r="AQ190" i="43"/>
  <c r="AQ80" i="43" s="1"/>
  <c r="AQ81" i="43" s="1"/>
  <c r="AM5" i="43"/>
  <c r="AM7" i="43" s="1"/>
  <c r="BK147" i="8"/>
  <c r="BK148" i="8" s="1"/>
  <c r="Y56" i="1"/>
  <c r="BK59" i="8"/>
  <c r="BK8" i="8"/>
  <c r="BK7" i="8"/>
  <c r="AJ65" i="43"/>
  <c r="AJ61" i="43"/>
  <c r="AI229" i="43"/>
  <c r="AJ20" i="43"/>
  <c r="AJ22" i="43" s="1"/>
  <c r="BK11" i="8" s="1"/>
  <c r="AO81" i="43"/>
  <c r="AA202" i="43"/>
  <c r="O10" i="46"/>
  <c r="AT185" i="43"/>
  <c r="AW187" i="43" s="1"/>
  <c r="AB166" i="43"/>
  <c r="AO14" i="43"/>
  <c r="AL84" i="43"/>
  <c r="AS190" i="43"/>
  <c r="AS80" i="43" s="1"/>
  <c r="Y7" i="1"/>
  <c r="N8" i="46"/>
  <c r="AA63" i="43"/>
  <c r="AA97" i="43"/>
  <c r="AA200" i="43"/>
  <c r="AR189" i="43"/>
  <c r="AR190" i="43" s="1"/>
  <c r="AR80" i="43" s="1"/>
  <c r="AR187" i="43"/>
  <c r="AU177" i="43"/>
  <c r="AC165" i="43"/>
  <c r="AC166" i="43" s="1"/>
  <c r="AE157" i="43"/>
  <c r="Z199" i="43"/>
  <c r="Z207" i="43" s="1"/>
  <c r="Z200" i="43"/>
  <c r="Z205" i="43"/>
  <c r="Z206" i="43" s="1"/>
  <c r="AB195" i="43"/>
  <c r="Y97" i="43"/>
  <c r="Y98" i="43" s="1"/>
  <c r="Y63" i="43"/>
  <c r="Z202" i="43"/>
  <c r="Z94" i="43" s="1"/>
  <c r="Z95" i="43" s="1"/>
  <c r="Z203" i="43"/>
  <c r="Z204" i="43" s="1"/>
  <c r="Y202" i="43"/>
  <c r="Y94" i="43" s="1"/>
  <c r="Y95" i="43" s="1"/>
  <c r="Y203" i="43"/>
  <c r="Y204" i="43" s="1"/>
  <c r="Y207" i="43"/>
  <c r="AB168" i="43"/>
  <c r="AB198" i="43"/>
  <c r="AC74" i="1" l="1"/>
  <c r="BO7" i="8"/>
  <c r="AC126" i="1"/>
  <c r="AC57" i="1"/>
  <c r="BO37" i="8"/>
  <c r="AC56" i="1"/>
  <c r="BO147" i="8"/>
  <c r="BO148" i="8" s="1"/>
  <c r="AA94" i="43"/>
  <c r="AA95" i="43" s="1"/>
  <c r="K47" i="46"/>
  <c r="BN38" i="8"/>
  <c r="BN40" i="8" s="1"/>
  <c r="BN41" i="8" s="1"/>
  <c r="BN6" i="8"/>
  <c r="BN37" i="8"/>
  <c r="BN18" i="8"/>
  <c r="AM205" i="43"/>
  <c r="AM206" i="43" s="1"/>
  <c r="AM203" i="43"/>
  <c r="AM204" i="43" s="1"/>
  <c r="AM35" i="43"/>
  <c r="AM8" i="43"/>
  <c r="AM10" i="43"/>
  <c r="AM60" i="43"/>
  <c r="BK55" i="8"/>
  <c r="BK56" i="8" s="1"/>
  <c r="BK10" i="8"/>
  <c r="BK12" i="8"/>
  <c r="AG32" i="46" s="1"/>
  <c r="AJ23" i="43"/>
  <c r="AJ17" i="43"/>
  <c r="AJ18" i="43" s="1"/>
  <c r="AL280" i="43"/>
  <c r="AU185" i="43"/>
  <c r="AT186" i="43"/>
  <c r="AT189" i="43" s="1"/>
  <c r="AB170" i="43"/>
  <c r="AB201" i="43" s="1"/>
  <c r="AL5" i="43"/>
  <c r="AL85" i="43"/>
  <c r="X55" i="1"/>
  <c r="AV189" i="43"/>
  <c r="Y54" i="1"/>
  <c r="Y57" i="1"/>
  <c r="AG24" i="46"/>
  <c r="AB199" i="43"/>
  <c r="AB97" i="43" s="1"/>
  <c r="AB98" i="43" s="1"/>
  <c r="AA98" i="43"/>
  <c r="AA64" i="43"/>
  <c r="AT187" i="43"/>
  <c r="AE165" i="43"/>
  <c r="AF153" i="43"/>
  <c r="AB205" i="43"/>
  <c r="AB206" i="43" s="1"/>
  <c r="AB200" i="43"/>
  <c r="AC195" i="43"/>
  <c r="AC168" i="43"/>
  <c r="AC169" i="43" s="1"/>
  <c r="AC74" i="43" s="1"/>
  <c r="AC75" i="43" s="1"/>
  <c r="AC198" i="43"/>
  <c r="AC199" i="43" s="1"/>
  <c r="AC97" i="43" s="1"/>
  <c r="AB169" i="43"/>
  <c r="AB74" i="43" s="1"/>
  <c r="AB75" i="43" s="1"/>
  <c r="Z63" i="43"/>
  <c r="Z97" i="43"/>
  <c r="Z98" i="43" s="1"/>
  <c r="Y70" i="43" l="1"/>
  <c r="Y70" i="1"/>
  <c r="BN8" i="8"/>
  <c r="AB74" i="1"/>
  <c r="BN147" i="8"/>
  <c r="BN148" i="8" s="1"/>
  <c r="AB57" i="1"/>
  <c r="BN65" i="8"/>
  <c r="AB56" i="1"/>
  <c r="BN59" i="8"/>
  <c r="BN7" i="8"/>
  <c r="BK13" i="8"/>
  <c r="AM61" i="43"/>
  <c r="AM65" i="43"/>
  <c r="AW190" i="43"/>
  <c r="AW80" i="43" s="1"/>
  <c r="AW82" i="43" s="1"/>
  <c r="AV190" i="43"/>
  <c r="AV80" i="43" s="1"/>
  <c r="AV82" i="43" s="1"/>
  <c r="AY190" i="43"/>
  <c r="AY80" i="43" s="1"/>
  <c r="AY82" i="43" s="1"/>
  <c r="AU187" i="43"/>
  <c r="AX187" i="43"/>
  <c r="Y71" i="1"/>
  <c r="Y64" i="1"/>
  <c r="Y63" i="1"/>
  <c r="AL281" i="43"/>
  <c r="X7" i="1"/>
  <c r="AS82" i="43"/>
  <c r="AS78" i="43" s="1"/>
  <c r="AR78" i="43" s="1"/>
  <c r="AR82" i="43" s="1"/>
  <c r="AR81" i="43" s="1"/>
  <c r="AU186" i="43"/>
  <c r="AU189" i="43" s="1"/>
  <c r="AE166" i="43"/>
  <c r="AC170" i="43"/>
  <c r="AC201" i="43" s="1"/>
  <c r="AB63" i="43"/>
  <c r="AD201" i="43"/>
  <c r="AD202" i="43" s="1"/>
  <c r="L47" i="46" s="1"/>
  <c r="AD199" i="43"/>
  <c r="AF165" i="43"/>
  <c r="AF198" i="43" s="1"/>
  <c r="AH195" i="43" s="1"/>
  <c r="AH157" i="43"/>
  <c r="AH165" i="43" s="1"/>
  <c r="AT190" i="43"/>
  <c r="AC98" i="43"/>
  <c r="AB203" i="43"/>
  <c r="AB204" i="43" s="1"/>
  <c r="AB202" i="43"/>
  <c r="AB94" i="43" s="1"/>
  <c r="AB95" i="43" s="1"/>
  <c r="AB207" i="43"/>
  <c r="AC205" i="43"/>
  <c r="AC206" i="43" s="1"/>
  <c r="AC200" i="43"/>
  <c r="AE195" i="43"/>
  <c r="AE168" i="43"/>
  <c r="AE198" i="43"/>
  <c r="AU190" i="43" l="1"/>
  <c r="AU80" i="43" s="1"/>
  <c r="AX190" i="43"/>
  <c r="AX80" i="43" s="1"/>
  <c r="AH198" i="43"/>
  <c r="AH199" i="43" s="1"/>
  <c r="AH200" i="43" s="1"/>
  <c r="AH152" i="43"/>
  <c r="AV78" i="43"/>
  <c r="AT80" i="43"/>
  <c r="AT82" i="43" s="1"/>
  <c r="AT78" i="43" s="1"/>
  <c r="AW78" i="43" s="1"/>
  <c r="AE169" i="43"/>
  <c r="AE74" i="43" s="1"/>
  <c r="AR14" i="43"/>
  <c r="AF199" i="43"/>
  <c r="AF97" i="43" s="1"/>
  <c r="AF98" i="43" s="1"/>
  <c r="AE199" i="43"/>
  <c r="AE200" i="43" s="1"/>
  <c r="AE170" i="43"/>
  <c r="AE201" i="43" s="1"/>
  <c r="AF166" i="43"/>
  <c r="AU14" i="43"/>
  <c r="Y21" i="1"/>
  <c r="Y8" i="1"/>
  <c r="AD203" i="43"/>
  <c r="AD204" i="43" s="1"/>
  <c r="AD63" i="43"/>
  <c r="AD97" i="43"/>
  <c r="AD200" i="43"/>
  <c r="AD94" i="43"/>
  <c r="AD95" i="43" s="1"/>
  <c r="AF168" i="43"/>
  <c r="AI153" i="43"/>
  <c r="AI157" i="43" s="1"/>
  <c r="AL153" i="43" s="1"/>
  <c r="AC202" i="43"/>
  <c r="AC94" i="43" s="1"/>
  <c r="AC95" i="43" s="1"/>
  <c r="AC203" i="43"/>
  <c r="AC204" i="43" s="1"/>
  <c r="AC207" i="43"/>
  <c r="AF195" i="43"/>
  <c r="AE205" i="43"/>
  <c r="AE206" i="43" s="1"/>
  <c r="AF205" i="43"/>
  <c r="AF206" i="43" s="1"/>
  <c r="AW84" i="43" l="1"/>
  <c r="AZ78" i="43"/>
  <c r="AZ84" i="43" s="1"/>
  <c r="AY78" i="43"/>
  <c r="Y10" i="1"/>
  <c r="Y68" i="1"/>
  <c r="X69" i="1"/>
  <c r="AT84" i="43"/>
  <c r="AU78" i="43"/>
  <c r="AU82" i="43" s="1"/>
  <c r="AU81" i="43" s="1"/>
  <c r="AF169" i="43"/>
  <c r="AF74" i="43" s="1"/>
  <c r="AF75" i="43" s="1"/>
  <c r="AF200" i="43"/>
  <c r="AL195" i="43"/>
  <c r="AH166" i="43"/>
  <c r="AF170" i="43"/>
  <c r="AF201" i="43" s="1"/>
  <c r="AF203" i="43" s="1"/>
  <c r="AF204" i="43" s="1"/>
  <c r="X62" i="1"/>
  <c r="AE97" i="43"/>
  <c r="AE98" i="43" s="1"/>
  <c r="Y75" i="1"/>
  <c r="Y248" i="1" s="1"/>
  <c r="Y61" i="1"/>
  <c r="AG63" i="43"/>
  <c r="AG97" i="43"/>
  <c r="AJ98" i="43" s="1"/>
  <c r="AG201" i="43"/>
  <c r="AJ202" i="43" s="1"/>
  <c r="N47" i="46" s="1"/>
  <c r="AG200" i="43"/>
  <c r="AD64" i="43"/>
  <c r="AD98" i="43"/>
  <c r="AI165" i="43"/>
  <c r="AI166" i="43" s="1"/>
  <c r="AH168" i="43"/>
  <c r="AK169" i="43" s="1"/>
  <c r="AK74" i="43" s="1"/>
  <c r="AK75" i="43" s="1"/>
  <c r="AE75" i="43"/>
  <c r="AE202" i="43"/>
  <c r="AE94" i="43" s="1"/>
  <c r="AE95" i="43" s="1"/>
  <c r="AE203" i="43"/>
  <c r="AE204" i="43" s="1"/>
  <c r="AE207" i="43"/>
  <c r="AX78" i="43" l="1"/>
  <c r="AX82" i="43" s="1"/>
  <c r="AX81" i="43" s="1"/>
  <c r="BB78" i="43"/>
  <c r="AZ87" i="43"/>
  <c r="AZ280" i="43"/>
  <c r="AZ5" i="43"/>
  <c r="AZ297" i="43" s="1"/>
  <c r="AW87" i="43"/>
  <c r="AW5" i="43"/>
  <c r="AW297" i="43" s="1"/>
  <c r="AW280" i="43"/>
  <c r="AG64" i="43"/>
  <c r="AJ64" i="43"/>
  <c r="Y27" i="1"/>
  <c r="AT5" i="43"/>
  <c r="AT297" i="43" s="1"/>
  <c r="AT280" i="43"/>
  <c r="AH170" i="43"/>
  <c r="AH169" i="43"/>
  <c r="AH74" i="43" s="1"/>
  <c r="AH75" i="43" s="1"/>
  <c r="X75" i="1"/>
  <c r="X248" i="1" s="1"/>
  <c r="X51" i="1"/>
  <c r="X21" i="1"/>
  <c r="X8" i="1"/>
  <c r="Y74" i="1"/>
  <c r="Y73" i="1"/>
  <c r="Y20" i="2" s="1"/>
  <c r="Y64" i="2" s="1"/>
  <c r="AG203" i="43"/>
  <c r="AJ204" i="43" s="1"/>
  <c r="AG202" i="43"/>
  <c r="M47" i="46" s="1"/>
  <c r="AG98" i="43"/>
  <c r="AF202" i="43"/>
  <c r="AF94" i="43" s="1"/>
  <c r="AF95" i="43" s="1"/>
  <c r="AF207" i="43"/>
  <c r="AI195" i="43"/>
  <c r="AI168" i="43"/>
  <c r="AI169" i="43" s="1"/>
  <c r="AI74" i="43" s="1"/>
  <c r="AI198" i="43"/>
  <c r="AK195" i="43" s="1"/>
  <c r="BA78" i="43" l="1"/>
  <c r="BA82" i="43" s="1"/>
  <c r="BA81" i="43" s="1"/>
  <c r="AG13" i="46"/>
  <c r="Y36" i="1"/>
  <c r="X27" i="1"/>
  <c r="AH201" i="43"/>
  <c r="AK202" i="43" s="1"/>
  <c r="AK94" i="43" s="1"/>
  <c r="AH97" i="43"/>
  <c r="AI199" i="43"/>
  <c r="AI200" i="43" s="1"/>
  <c r="AI170" i="43"/>
  <c r="AI201" i="43" s="1"/>
  <c r="AG94" i="43"/>
  <c r="AG95" i="43" s="1"/>
  <c r="AG204" i="43"/>
  <c r="AH98" i="43" l="1"/>
  <c r="AK98" i="43"/>
  <c r="AJ94" i="43"/>
  <c r="AJ95" i="43" s="1"/>
  <c r="N33" i="46"/>
  <c r="AH207" i="43"/>
  <c r="AH202" i="43"/>
  <c r="AH94" i="43" s="1"/>
  <c r="AI72" i="43"/>
  <c r="AI202" i="43"/>
  <c r="AI94" i="43" s="1"/>
  <c r="AI207" i="43"/>
  <c r="AI76" i="43" l="1"/>
  <c r="AI75" i="43" s="1"/>
  <c r="AI4" i="43"/>
  <c r="AI13" i="43"/>
  <c r="BJ267" i="8"/>
  <c r="AI253" i="43"/>
  <c r="AI254" i="43" l="1"/>
  <c r="BM267" i="8" l="1"/>
  <c r="AL13" i="43" l="1"/>
  <c r="BP267" i="8" l="1"/>
  <c r="AO13" i="43" l="1"/>
  <c r="BS267" i="8" l="1"/>
  <c r="AR13" i="43" l="1"/>
  <c r="BV267" i="8" l="1"/>
  <c r="AU13" i="43" l="1"/>
  <c r="AE9" i="46" l="1"/>
  <c r="AE10" i="46"/>
  <c r="U17" i="1" l="1"/>
  <c r="U19" i="1" s="1"/>
  <c r="U38" i="1" l="1"/>
  <c r="U48" i="1" s="1"/>
  <c r="U2" i="1" s="1"/>
  <c r="U54" i="2" s="1"/>
  <c r="AE12" i="46"/>
  <c r="AE11" i="46" l="1"/>
  <c r="AE45" i="46"/>
  <c r="AE46" i="46" s="1"/>
  <c r="AE18" i="46"/>
  <c r="U189" i="1"/>
  <c r="V182" i="1" s="1"/>
  <c r="BE185" i="8"/>
  <c r="BE186" i="8" l="1"/>
  <c r="BH186" i="8"/>
  <c r="BE187" i="8"/>
  <c r="L24" i="46"/>
  <c r="AE54" i="46" s="1"/>
  <c r="AE20" i="46"/>
  <c r="AE43" i="46"/>
  <c r="AE44" i="46"/>
  <c r="AE47" i="46"/>
  <c r="AE48" i="46" s="1"/>
  <c r="BD185" i="8"/>
  <c r="AD256" i="43"/>
  <c r="BD186" i="8" l="1"/>
  <c r="BD187" i="8"/>
  <c r="AD258" i="43"/>
  <c r="BE269" i="8"/>
  <c r="AD257" i="43"/>
  <c r="AC256" i="43"/>
  <c r="AD259" i="43" l="1"/>
  <c r="AC257" i="43"/>
  <c r="AC258" i="43"/>
  <c r="AC262" i="43"/>
  <c r="AC259" i="43" l="1"/>
  <c r="AC263" i="43"/>
  <c r="AC270" i="43"/>
  <c r="M14" i="46"/>
  <c r="AC264" i="43" l="1"/>
  <c r="AB269" i="43"/>
  <c r="AC271" i="43"/>
  <c r="AC273" i="43"/>
  <c r="AC272" i="43" l="1"/>
  <c r="AD285" i="43"/>
  <c r="AD294" i="43"/>
  <c r="AD287" i="43" l="1"/>
  <c r="AD288" i="43" s="1"/>
  <c r="AD499" i="43"/>
  <c r="AC285" i="43"/>
  <c r="AD286" i="43"/>
  <c r="AC293" i="43" l="1"/>
  <c r="AC287" i="43"/>
  <c r="AC288" i="43" s="1"/>
  <c r="AC286" i="43"/>
  <c r="AC31" i="43" l="1"/>
  <c r="AC294" i="43"/>
  <c r="AD296" i="43" l="1"/>
  <c r="AC296" i="43" s="1"/>
  <c r="AC41" i="43" l="1"/>
  <c r="AC43" i="43" s="1"/>
  <c r="BD52" i="8" s="1"/>
  <c r="AC297" i="43"/>
  <c r="AD297" i="43"/>
  <c r="AC302" i="43"/>
  <c r="AC299" i="43" s="1"/>
  <c r="AC300" i="43" s="1"/>
  <c r="AC44" i="43"/>
  <c r="BD53" i="8" l="1"/>
  <c r="BD134" i="8"/>
  <c r="BD132" i="8" s="1"/>
  <c r="AC45" i="43"/>
  <c r="AC46" i="43"/>
  <c r="AC55" i="43"/>
  <c r="AC303" i="43"/>
  <c r="M15" i="46" l="1"/>
  <c r="M29" i="46"/>
  <c r="M13" i="46" l="1"/>
  <c r="AF40" i="46" l="1"/>
  <c r="AF42" i="46"/>
  <c r="AD337" i="43" l="1"/>
  <c r="AC337" i="43" s="1"/>
  <c r="AC342" i="43" s="1"/>
  <c r="AC350" i="43" s="1"/>
  <c r="BE49" i="8"/>
  <c r="L12" i="46" s="1"/>
  <c r="AC56" i="43" l="1"/>
  <c r="AE34" i="46"/>
  <c r="AE26" i="46"/>
  <c r="AC338" i="43"/>
  <c r="AC339" i="43" s="1"/>
  <c r="AC340" i="43"/>
  <c r="AD340" i="43"/>
  <c r="AD338" i="43"/>
  <c r="AC351" i="43"/>
  <c r="AC352" i="43" s="1"/>
  <c r="BE46" i="8"/>
  <c r="BE47" i="8" s="1"/>
  <c r="AE33" i="46" s="1"/>
  <c r="BE168" i="8"/>
  <c r="AE51" i="46" s="1"/>
  <c r="BE50" i="8"/>
  <c r="AC353" i="43"/>
  <c r="AC32" i="43"/>
  <c r="AC33" i="43" s="1"/>
  <c r="BD49" i="8" s="1"/>
  <c r="AC345" i="43"/>
  <c r="AB354" i="43"/>
  <c r="AC354" i="43" s="1"/>
  <c r="AC343" i="43"/>
  <c r="AC344" i="43" s="1"/>
  <c r="AC25" i="43"/>
  <c r="AD339" i="43" l="1"/>
  <c r="BE270" i="8"/>
  <c r="BD50" i="8"/>
  <c r="BD46" i="8"/>
  <c r="BD47" i="8" s="1"/>
  <c r="AC26" i="43"/>
  <c r="AC27" i="43"/>
  <c r="AC28" i="43" s="1"/>
  <c r="AC34" i="43"/>
  <c r="M16" i="46" l="1"/>
  <c r="AC35" i="43"/>
  <c r="AC37" i="43"/>
  <c r="AC38" i="43" s="1"/>
  <c r="AC59" i="43"/>
  <c r="AC36" i="43"/>
  <c r="M12" i="46" l="1"/>
  <c r="AC60" i="43"/>
  <c r="AC61" i="43" s="1"/>
  <c r="AC62" i="43"/>
  <c r="BD58" i="8"/>
  <c r="M28" i="46"/>
  <c r="AF26" i="46" l="1"/>
  <c r="AF34" i="46"/>
  <c r="BD59" i="8"/>
  <c r="BD64" i="8"/>
  <c r="BD55" i="8"/>
  <c r="BD56" i="8" s="1"/>
  <c r="BD60" i="8"/>
  <c r="M17" i="46"/>
  <c r="BD65" i="8" l="1"/>
  <c r="BD136" i="8"/>
  <c r="AF35" i="46"/>
  <c r="AD41" i="43" l="1"/>
  <c r="AD43" i="43" s="1"/>
  <c r="L29" i="46" l="1"/>
  <c r="AG46" i="43"/>
  <c r="AD45" i="43"/>
  <c r="AD46" i="43"/>
  <c r="U221" i="1"/>
  <c r="U251" i="1" s="1"/>
  <c r="AB67" i="43"/>
  <c r="AC67" i="43" s="1"/>
  <c r="U222" i="1"/>
  <c r="BE58" i="8"/>
  <c r="U164" i="1"/>
  <c r="U16" i="2"/>
  <c r="U62" i="2" s="1"/>
  <c r="BE52" i="8"/>
  <c r="BE134" i="8" s="1"/>
  <c r="L17" i="46" l="1"/>
  <c r="AE35" i="46" s="1"/>
  <c r="BH60" i="8"/>
  <c r="L13" i="46"/>
  <c r="U223" i="1"/>
  <c r="U167" i="1"/>
  <c r="BE64" i="8"/>
  <c r="BE136" i="8" s="1"/>
  <c r="BE55" i="8"/>
  <c r="BE56" i="8" s="1"/>
  <c r="BE59" i="8"/>
  <c r="BE60" i="8"/>
  <c r="AD25" i="43"/>
  <c r="BE53" i="8"/>
  <c r="AE25" i="46" l="1"/>
  <c r="AF25" i="46"/>
  <c r="AE38" i="46"/>
  <c r="AE39" i="46"/>
  <c r="AE42" i="46"/>
  <c r="AE40" i="46"/>
  <c r="BE139" i="8"/>
  <c r="BE132" i="8" s="1"/>
  <c r="BE167" i="8"/>
  <c r="BE73" i="8"/>
  <c r="U15" i="2"/>
  <c r="U238" i="1"/>
  <c r="U239" i="1" s="1"/>
  <c r="BE65" i="8"/>
  <c r="AD26" i="43"/>
  <c r="AD27" i="43"/>
  <c r="AD28" i="43" s="1"/>
  <c r="BE193" i="8" l="1"/>
  <c r="BE191" i="8" s="1"/>
  <c r="L19" i="46"/>
  <c r="AE52" i="46"/>
  <c r="BE203" i="8" l="1"/>
  <c r="U60" i="2"/>
  <c r="U91" i="1"/>
  <c r="U101" i="1"/>
  <c r="U100" i="1" s="1"/>
  <c r="U18" i="2"/>
  <c r="U19" i="2"/>
  <c r="BD67" i="8"/>
  <c r="U66" i="2"/>
  <c r="BE182" i="8" l="1"/>
  <c r="BE75" i="8" l="1"/>
  <c r="BE196" i="8"/>
  <c r="BE201" i="8" s="1"/>
  <c r="BE202" i="8" s="1"/>
  <c r="BE76" i="8"/>
  <c r="L20" i="46" l="1"/>
  <c r="L30" i="46"/>
  <c r="L32" i="46" s="1"/>
  <c r="BE77" i="8"/>
  <c r="U252" i="1"/>
  <c r="U253" i="1" s="1"/>
  <c r="BE141" i="8"/>
  <c r="BE143" i="8" s="1"/>
  <c r="BE150" i="8" s="1"/>
  <c r="BE152" i="8" s="1"/>
  <c r="BD201" i="8"/>
  <c r="BD202" i="8" s="1"/>
  <c r="U17" i="2"/>
  <c r="U67" i="2"/>
  <c r="U69" i="2" s="1"/>
  <c r="BE79" i="8"/>
  <c r="BD77" i="8" l="1"/>
  <c r="U236" i="1"/>
  <c r="BE84" i="8"/>
  <c r="BE88" i="8"/>
  <c r="BE95" i="8" s="1"/>
  <c r="U73" i="2"/>
  <c r="U70" i="2"/>
  <c r="U77" i="2"/>
  <c r="U21" i="2"/>
  <c r="L34" i="46" s="1"/>
  <c r="L35" i="46" s="1"/>
  <c r="L37" i="46" s="1"/>
  <c r="L39" i="46" s="1"/>
  <c r="L22" i="46" l="1"/>
  <c r="AE28" i="46" s="1"/>
  <c r="U22" i="2"/>
  <c r="U42" i="2" s="1"/>
  <c r="U47" i="2" s="1"/>
  <c r="V44" i="2" s="1"/>
  <c r="U78" i="2"/>
  <c r="U229" i="1"/>
  <c r="U175" i="1"/>
  <c r="U179" i="1" s="1"/>
  <c r="BE89" i="8"/>
  <c r="BE91" i="8"/>
  <c r="BE93" i="8"/>
  <c r="BE111" i="8"/>
  <c r="U237" i="1"/>
  <c r="U241" i="1"/>
  <c r="V173" i="1" l="1"/>
  <c r="BE118" i="8"/>
  <c r="U192" i="1" s="1"/>
  <c r="U193" i="1" s="1"/>
  <c r="BE94" i="8"/>
  <c r="U231" i="1"/>
  <c r="U232" i="1" s="1"/>
  <c r="V227" i="1" s="1"/>
  <c r="BE119" i="8" l="1"/>
  <c r="BE123" i="8"/>
  <c r="BE154" i="8"/>
  <c r="BE157" i="8" s="1"/>
  <c r="L21" i="46"/>
  <c r="AE36" i="46" s="1"/>
  <c r="U233" i="1"/>
  <c r="BE124" i="8" l="1"/>
  <c r="BE127" i="8" s="1"/>
  <c r="BE126" i="8"/>
  <c r="L23" i="46"/>
  <c r="AE27" i="46"/>
  <c r="AE29" i="46" l="1"/>
  <c r="AE50" i="46"/>
  <c r="AE55" i="46"/>
  <c r="V98" i="1" l="1"/>
  <c r="W97" i="1" s="1"/>
  <c r="V10" i="1"/>
  <c r="AF8" i="46" s="1"/>
  <c r="V107" i="1" l="1"/>
  <c r="V109" i="1" s="1"/>
  <c r="V113" i="1" s="1"/>
  <c r="V240" i="1" s="1"/>
  <c r="V99" i="1"/>
  <c r="Y97" i="1"/>
  <c r="V247" i="1" l="1"/>
  <c r="AF19" i="46"/>
  <c r="AF9" i="46" l="1"/>
  <c r="V17" i="1"/>
  <c r="V19" i="1" s="1"/>
  <c r="V249" i="1"/>
  <c r="V250" i="1" s="1"/>
  <c r="AF10" i="46"/>
  <c r="V38" i="1" l="1"/>
  <c r="AF12" i="46"/>
  <c r="AF45" i="46" s="1"/>
  <c r="AF18" i="46" l="1"/>
  <c r="AF47" i="46" s="1"/>
  <c r="AF11" i="46"/>
  <c r="AF46" i="46"/>
  <c r="AF20" i="46" l="1"/>
  <c r="AF48" i="46"/>
  <c r="AF44" i="46"/>
  <c r="AF43" i="46"/>
  <c r="AF38" i="46" l="1"/>
  <c r="Y139" i="1"/>
  <c r="V181" i="1"/>
  <c r="V184" i="1" s="1"/>
  <c r="BF185" i="8"/>
  <c r="M38" i="46"/>
  <c r="M24" i="46"/>
  <c r="AF54" i="46" l="1"/>
  <c r="BI186" i="8"/>
  <c r="BF186" i="8"/>
  <c r="BF187" i="8"/>
  <c r="BG185" i="8"/>
  <c r="V40" i="2"/>
  <c r="BG186" i="8" l="1"/>
  <c r="BG187" i="8"/>
  <c r="M18" i="46"/>
  <c r="AF39" i="46" s="1"/>
  <c r="M31" i="46"/>
  <c r="AG256" i="43" l="1"/>
  <c r="AG257" i="43" l="1"/>
  <c r="AF256" i="43"/>
  <c r="AG258" i="43"/>
  <c r="AG259" i="43" l="1"/>
  <c r="AF257" i="43"/>
  <c r="AF262" i="43"/>
  <c r="AF258" i="43"/>
  <c r="AF259" i="43" l="1"/>
  <c r="AF270" i="43"/>
  <c r="AF263" i="43"/>
  <c r="AF264" i="43" l="1"/>
  <c r="AF271" i="43"/>
  <c r="AE269" i="43"/>
  <c r="AF273" i="43"/>
  <c r="AF272" i="43" l="1"/>
  <c r="BG269" i="8"/>
  <c r="AG285" i="43" l="1"/>
  <c r="AG287" i="43" l="1"/>
  <c r="AG288" i="43" s="1"/>
  <c r="AG286" i="43"/>
  <c r="AF285" i="43"/>
  <c r="AF287" i="43" l="1"/>
  <c r="AF288" i="43" s="1"/>
  <c r="AF286" i="43"/>
  <c r="AF293" i="43"/>
  <c r="AF31" i="43" l="1"/>
  <c r="AF294" i="43"/>
  <c r="AG296" i="43" l="1"/>
  <c r="AF296" i="43" s="1"/>
  <c r="AF302" i="43" s="1"/>
  <c r="AF55" i="43" l="1"/>
  <c r="AG297" i="43"/>
  <c r="AF299" i="43"/>
  <c r="AF300" i="43" s="1"/>
  <c r="AF44" i="43"/>
  <c r="AF41" i="43"/>
  <c r="AF43" i="43" s="1"/>
  <c r="AF303" i="43"/>
  <c r="AF297" i="43"/>
  <c r="AF46" i="43" l="1"/>
  <c r="AF45" i="43"/>
  <c r="BG52" i="8"/>
  <c r="V62" i="2"/>
  <c r="BG23" i="8"/>
  <c r="BG24" i="8" s="1"/>
  <c r="BG53" i="8" l="1"/>
  <c r="BG134" i="8"/>
  <c r="BG132" i="8" s="1"/>
  <c r="AG27" i="43"/>
  <c r="AG26" i="43"/>
  <c r="V167" i="1"/>
  <c r="AG28" i="43" l="1"/>
  <c r="AR296" i="43"/>
  <c r="AU296" i="43" l="1"/>
  <c r="AG337" i="43" l="1"/>
  <c r="AE354" i="43"/>
  <c r="AF354" i="43" s="1"/>
  <c r="BH47" i="8" l="1"/>
  <c r="AF33" i="46" s="1"/>
  <c r="AG340" i="43"/>
  <c r="AG338" i="43"/>
  <c r="AF337" i="43"/>
  <c r="AF25" i="43" s="1"/>
  <c r="AG339" i="43" l="1"/>
  <c r="AF340" i="43"/>
  <c r="AF342" i="43"/>
  <c r="AF338" i="43"/>
  <c r="AF339" i="43" s="1"/>
  <c r="V222" i="1" l="1"/>
  <c r="V221" i="1"/>
  <c r="V251" i="1" s="1"/>
  <c r="V252" i="1" s="1"/>
  <c r="V253" i="1" s="1"/>
  <c r="AE67" i="43"/>
  <c r="AF67" i="43" s="1"/>
  <c r="AF32" i="43"/>
  <c r="AF33" i="43" s="1"/>
  <c r="BG49" i="8" s="1"/>
  <c r="AF343" i="43"/>
  <c r="AF344" i="43" s="1"/>
  <c r="AF350" i="43"/>
  <c r="AF345" i="43"/>
  <c r="AF27" i="43"/>
  <c r="AF28" i="43" s="1"/>
  <c r="AF26" i="43"/>
  <c r="AF34" i="43"/>
  <c r="AF351" i="43" l="1"/>
  <c r="V223" i="1"/>
  <c r="BG46" i="8"/>
  <c r="BG47" i="8" s="1"/>
  <c r="BG50" i="8"/>
  <c r="AF36" i="43"/>
  <c r="AF59" i="43"/>
  <c r="AF35" i="43"/>
  <c r="AF37" i="43"/>
  <c r="AF38" i="43" s="1"/>
  <c r="AF56" i="43"/>
  <c r="AF353" i="43"/>
  <c r="AF352" i="43" l="1"/>
  <c r="BG270" i="8"/>
  <c r="AF63" i="43"/>
  <c r="AF60" i="43"/>
  <c r="AF62" i="43"/>
  <c r="BG58" i="8"/>
  <c r="V238" i="1"/>
  <c r="V239" i="1" s="1"/>
  <c r="AF61" i="43" l="1"/>
  <c r="BG64" i="8"/>
  <c r="BG55" i="8"/>
  <c r="BG56" i="8" s="1"/>
  <c r="BG59" i="8"/>
  <c r="BG60" i="8"/>
  <c r="BG65" i="8" l="1"/>
  <c r="BG136" i="8"/>
  <c r="V91" i="1" l="1"/>
  <c r="V101" i="1" l="1"/>
  <c r="V100" i="1" s="1"/>
  <c r="BG67" i="8"/>
  <c r="BG71" i="8" s="1"/>
  <c r="V66" i="2"/>
  <c r="BH73" i="8" l="1"/>
  <c r="BH193" i="8" l="1"/>
  <c r="BH203" i="8" s="1"/>
  <c r="BH76" i="8" s="1"/>
  <c r="M19" i="46"/>
  <c r="BH75" i="8"/>
  <c r="V17" i="2" s="1"/>
  <c r="BH191" i="8" l="1"/>
  <c r="M30" i="46"/>
  <c r="M32" i="46" s="1"/>
  <c r="M20" i="46"/>
  <c r="V67" i="2"/>
  <c r="V69" i="2" s="1"/>
  <c r="BH79" i="8"/>
  <c r="BH84" i="8" s="1"/>
  <c r="BH201" i="8" l="1"/>
  <c r="BH202" i="8" s="1"/>
  <c r="V73" i="2"/>
  <c r="V77" i="2"/>
  <c r="V70" i="2"/>
  <c r="V21" i="2"/>
  <c r="V236" i="1"/>
  <c r="BH88" i="8"/>
  <c r="V78" i="2" l="1"/>
  <c r="BH95" i="8"/>
  <c r="BH141" i="8"/>
  <c r="BH143" i="8" s="1"/>
  <c r="BH150" i="8" s="1"/>
  <c r="BH152" i="8" s="1"/>
  <c r="BG201" i="8"/>
  <c r="BH77" i="8"/>
  <c r="V22" i="2"/>
  <c r="V42" i="2" s="1"/>
  <c r="V47" i="2" s="1"/>
  <c r="Y44" i="2" s="1"/>
  <c r="M34" i="46"/>
  <c r="M35" i="46" s="1"/>
  <c r="M37" i="46" s="1"/>
  <c r="M39" i="46" s="1"/>
  <c r="BH111" i="8"/>
  <c r="M22" i="46"/>
  <c r="AF28" i="46" s="1"/>
  <c r="V175" i="1"/>
  <c r="V179" i="1" s="1"/>
  <c r="V229" i="1"/>
  <c r="BH93" i="8"/>
  <c r="BH91" i="8"/>
  <c r="BH89" i="8"/>
  <c r="V241" i="1"/>
  <c r="V237" i="1"/>
  <c r="BG202" i="8" l="1"/>
  <c r="BG77" i="8"/>
  <c r="BH118" i="8"/>
  <c r="BH94" i="8"/>
  <c r="W44" i="2"/>
  <c r="W173" i="1" l="1"/>
  <c r="V42" i="1"/>
  <c r="BH119" i="8"/>
  <c r="V192" i="1"/>
  <c r="V193" i="1" s="1"/>
  <c r="BH123" i="8"/>
  <c r="BH126" i="8" s="1"/>
  <c r="BH154" i="8"/>
  <c r="BH157" i="8" s="1"/>
  <c r="M21" i="46"/>
  <c r="AF27" i="46" s="1"/>
  <c r="BH124" i="8" l="1"/>
  <c r="BH127" i="8" s="1"/>
  <c r="V43" i="1"/>
  <c r="V231" i="1"/>
  <c r="V232" i="1" s="1"/>
  <c r="M23" i="46"/>
  <c r="AF36" i="46"/>
  <c r="AF55" i="46" l="1"/>
  <c r="W227" i="1"/>
  <c r="Y227" i="1"/>
  <c r="V47" i="1"/>
  <c r="V48" i="1" s="1"/>
  <c r="V2" i="1" s="1"/>
  <c r="V54" i="2" s="1"/>
  <c r="V233" i="1"/>
  <c r="AF50" i="46"/>
  <c r="AF29" i="46"/>
  <c r="W222" i="1" l="1"/>
  <c r="W221" i="1"/>
  <c r="W251" i="1" s="1"/>
  <c r="W252" i="1" s="1"/>
  <c r="W223" i="1" l="1"/>
  <c r="X18" i="2" l="1"/>
  <c r="Y221" i="1" l="1"/>
  <c r="Y251" i="1" s="1"/>
  <c r="Y252" i="1" s="1"/>
  <c r="Y222" i="1"/>
  <c r="AI59" i="43"/>
  <c r="AH67" i="43"/>
  <c r="AI67" i="43" s="1"/>
  <c r="N28" i="46"/>
  <c r="X222" i="1" l="1"/>
  <c r="X221" i="1"/>
  <c r="X251" i="1" s="1"/>
  <c r="X252" i="1" s="1"/>
  <c r="Y223" i="1"/>
  <c r="BK64" i="8"/>
  <c r="Y15" i="2" s="1"/>
  <c r="N17" i="46"/>
  <c r="AI62" i="43"/>
  <c r="AI63" i="43"/>
  <c r="BJ58" i="8"/>
  <c r="BK73" i="8" l="1"/>
  <c r="BK193" i="8" s="1"/>
  <c r="BK136" i="8"/>
  <c r="AI64" i="43"/>
  <c r="X223" i="1"/>
  <c r="AG35" i="46"/>
  <c r="AG25" i="46"/>
  <c r="BJ64" i="8"/>
  <c r="BJ136" i="8" s="1"/>
  <c r="BJ60" i="8"/>
  <c r="Y238" i="1"/>
  <c r="BK65" i="8"/>
  <c r="BK191" i="8" l="1"/>
  <c r="BK201" i="8" s="1"/>
  <c r="BK202" i="8" s="1"/>
  <c r="BK203" i="8"/>
  <c r="BK139" i="8"/>
  <c r="X238" i="1"/>
  <c r="X15" i="2"/>
  <c r="BK182" i="8" l="1"/>
  <c r="Y60" i="2"/>
  <c r="BU77" i="8" l="1"/>
  <c r="AZ69" i="8" l="1"/>
  <c r="BC69" i="8"/>
  <c r="BC68" i="8" s="1"/>
  <c r="AZ73" i="8"/>
  <c r="BC73" i="8"/>
  <c r="BF73" i="8"/>
  <c r="BA73" i="8" l="1"/>
  <c r="BA193" i="8" s="1"/>
  <c r="BA191" i="8" s="1"/>
  <c r="BF193" i="8"/>
  <c r="BF191" i="8" s="1"/>
  <c r="BF201" i="8" s="1"/>
  <c r="BC79" i="8"/>
  <c r="BC84" i="8" s="1"/>
  <c r="BD84" i="8" s="1"/>
  <c r="BG73" i="8"/>
  <c r="BG193" i="8" s="1"/>
  <c r="BG191" i="8" s="1"/>
  <c r="BD69" i="8"/>
  <c r="BD68" i="8" s="1"/>
  <c r="BA69" i="8"/>
  <c r="AZ68" i="8"/>
  <c r="AZ193" i="8"/>
  <c r="BF79" i="8"/>
  <c r="BF84" i="8" s="1"/>
  <c r="BG84" i="8" s="1"/>
  <c r="AZ79" i="8"/>
  <c r="BC193" i="8"/>
  <c r="BC191" i="8" s="1"/>
  <c r="BC201" i="8" s="1"/>
  <c r="BC202" i="8" s="1"/>
  <c r="BF77" i="8" l="1"/>
  <c r="BF202" i="8"/>
  <c r="AZ191" i="8"/>
  <c r="AZ201" i="8" s="1"/>
  <c r="AZ202" i="8" s="1"/>
  <c r="BG196" i="8"/>
  <c r="BH195" i="8" s="1"/>
  <c r="BA203" i="8"/>
  <c r="BA76" i="8" s="1"/>
  <c r="BF88" i="8"/>
  <c r="BC88" i="8"/>
  <c r="BC93" i="8" s="1"/>
  <c r="BD93" i="8" s="1"/>
  <c r="BF203" i="8"/>
  <c r="BF76" i="8" s="1"/>
  <c r="BD71" i="8"/>
  <c r="BD73" i="8" s="1"/>
  <c r="BA71" i="8"/>
  <c r="BA68" i="8"/>
  <c r="BG75" i="8"/>
  <c r="BG203" i="8"/>
  <c r="BG76" i="8" s="1"/>
  <c r="BC203" i="8"/>
  <c r="BC76" i="8" s="1"/>
  <c r="AZ203" i="8"/>
  <c r="AZ76" i="8" s="1"/>
  <c r="BC77" i="8"/>
  <c r="BA79" i="8"/>
  <c r="AZ88" i="8"/>
  <c r="AZ84" i="8"/>
  <c r="BA84" i="8" s="1"/>
  <c r="BF111" i="8" l="1"/>
  <c r="BF118" i="8" s="1"/>
  <c r="BF123" i="8" s="1"/>
  <c r="BF126" i="8" s="1"/>
  <c r="AZ77" i="8"/>
  <c r="BF91" i="8"/>
  <c r="BG91" i="8" s="1"/>
  <c r="BF93" i="8"/>
  <c r="BG93" i="8" s="1"/>
  <c r="BG94" i="8" s="1"/>
  <c r="BC91" i="8"/>
  <c r="BD91" i="8" s="1"/>
  <c r="BF89" i="8"/>
  <c r="BC111" i="8"/>
  <c r="BC118" i="8" s="1"/>
  <c r="BG79" i="8"/>
  <c r="BD193" i="8"/>
  <c r="BD191" i="8" s="1"/>
  <c r="BA88" i="8"/>
  <c r="AZ91" i="8"/>
  <c r="BA91" i="8" s="1"/>
  <c r="AZ111" i="8"/>
  <c r="AZ118" i="8" s="1"/>
  <c r="AZ93" i="8"/>
  <c r="BC89" i="8"/>
  <c r="AZ89" i="8"/>
  <c r="BD196" i="8" l="1"/>
  <c r="BF94" i="8"/>
  <c r="BC123" i="8"/>
  <c r="BC126" i="8" s="1"/>
  <c r="BF119" i="8"/>
  <c r="BG88" i="8"/>
  <c r="BD75" i="8"/>
  <c r="BA111" i="8"/>
  <c r="BA118" i="8" s="1"/>
  <c r="BA123" i="8" s="1"/>
  <c r="BA126" i="8" s="1"/>
  <c r="BA89" i="8"/>
  <c r="BA93" i="8"/>
  <c r="BC94" i="8"/>
  <c r="AZ94" i="8"/>
  <c r="AZ119" i="8"/>
  <c r="AZ123" i="8"/>
  <c r="AZ126" i="8" s="1"/>
  <c r="BC119" i="8"/>
  <c r="BD203" i="8" l="1"/>
  <c r="BD76" i="8" s="1"/>
  <c r="BE195" i="8"/>
  <c r="BC124" i="8"/>
  <c r="BC127" i="8" s="1"/>
  <c r="BF124" i="8"/>
  <c r="BF127" i="8" s="1"/>
  <c r="BG111" i="8"/>
  <c r="BD79" i="8"/>
  <c r="AZ124" i="8"/>
  <c r="AZ127" i="8" s="1"/>
  <c r="BA94" i="8"/>
  <c r="BD94" i="8"/>
  <c r="BA119" i="8"/>
  <c r="BG118" i="8" l="1"/>
  <c r="BD88" i="8"/>
  <c r="BD111" i="8" s="1"/>
  <c r="BA124" i="8"/>
  <c r="BA127" i="8" s="1"/>
  <c r="BH120" i="8" l="1"/>
  <c r="BG123" i="8"/>
  <c r="BG126" i="8" s="1"/>
  <c r="BD89" i="8"/>
  <c r="BD118" i="8"/>
  <c r="BE120" i="8" s="1"/>
  <c r="BG89" i="8"/>
  <c r="BD123" i="8" l="1"/>
  <c r="BD126" i="8" s="1"/>
  <c r="BG119" i="8"/>
  <c r="BD119" i="8"/>
  <c r="BD124" i="8" l="1"/>
  <c r="BD127" i="8" s="1"/>
  <c r="BG124" i="8"/>
  <c r="BG127" i="8" s="1"/>
  <c r="Z20" i="2" l="1"/>
  <c r="Z21" i="2" s="1"/>
  <c r="AI63" i="1"/>
  <c r="Z64" i="2" l="1"/>
  <c r="Z69" i="2" s="1"/>
  <c r="Z22" i="2" l="1"/>
  <c r="Z42" i="2" s="1"/>
  <c r="Z77" i="2"/>
  <c r="Z73" i="2"/>
  <c r="AI70" i="1" l="1"/>
  <c r="BJ71" i="8" l="1"/>
  <c r="BJ73" i="8" s="1"/>
  <c r="BJ193" i="8" s="1"/>
  <c r="BJ191" i="8" s="1"/>
  <c r="N18" i="46" l="1"/>
  <c r="AG39" i="46" s="1"/>
  <c r="N31" i="46"/>
  <c r="X19" i="2"/>
  <c r="N19" i="46"/>
  <c r="BI76" i="8"/>
  <c r="BK76" i="8" l="1"/>
  <c r="P167" i="1" l="1"/>
  <c r="O167" i="1" l="1"/>
  <c r="O165" i="1"/>
  <c r="O144" i="1" s="1"/>
  <c r="O145" i="1" l="1"/>
  <c r="O146" i="1"/>
  <c r="P165" i="1"/>
  <c r="P144" i="1" l="1"/>
  <c r="Q165" i="1"/>
  <c r="Q144" i="1" l="1"/>
  <c r="Q166" i="1"/>
  <c r="R165" i="1"/>
  <c r="P145" i="1"/>
  <c r="P146" i="1"/>
  <c r="R144" i="1" l="1"/>
  <c r="R166" i="1"/>
  <c r="S165" i="1"/>
  <c r="Q146" i="1"/>
  <c r="Q145" i="1"/>
  <c r="S144" i="1" l="1"/>
  <c r="S166" i="1"/>
  <c r="T165" i="1"/>
  <c r="R146" i="1"/>
  <c r="R145" i="1"/>
  <c r="T144" i="1" l="1"/>
  <c r="T166" i="1"/>
  <c r="T127" i="1" s="1"/>
  <c r="U165" i="1"/>
  <c r="S146" i="1"/>
  <c r="S145" i="1"/>
  <c r="U144" i="1" l="1"/>
  <c r="V165" i="1"/>
  <c r="U166" i="1"/>
  <c r="U127" i="1" s="1"/>
  <c r="T128" i="1"/>
  <c r="T131" i="1"/>
  <c r="T145" i="1"/>
  <c r="T146" i="1"/>
  <c r="U128" i="1" l="1"/>
  <c r="U131" i="1"/>
  <c r="V166" i="1"/>
  <c r="V127" i="1" s="1"/>
  <c r="V144" i="1"/>
  <c r="U145" i="1"/>
  <c r="U146" i="1"/>
  <c r="V146" i="1" l="1"/>
  <c r="V145" i="1"/>
  <c r="V128" i="1"/>
  <c r="V131" i="1"/>
  <c r="X139" i="1" l="1"/>
  <c r="AU202" i="8" l="1"/>
  <c r="AU77" i="8"/>
  <c r="AU196" i="8"/>
  <c r="AU198" i="8" s="1"/>
  <c r="AU75" i="8" s="1"/>
  <c r="AU203" i="8" l="1"/>
  <c r="AU76" i="8" s="1"/>
  <c r="AR202" i="8"/>
  <c r="AR77" i="8"/>
  <c r="AR196" i="8"/>
  <c r="AR198" i="8" s="1"/>
  <c r="AR203" i="8" s="1"/>
  <c r="AR76" i="8" s="1"/>
  <c r="AR75" i="8" l="1"/>
  <c r="AH84" i="43" l="1"/>
  <c r="AK87" i="43" s="1"/>
  <c r="AI90" i="43"/>
  <c r="AI143" i="43"/>
  <c r="AI96" i="43" l="1"/>
  <c r="BJ28" i="8"/>
  <c r="BJ22" i="8"/>
  <c r="AH85" i="43"/>
  <c r="AI84" i="43"/>
  <c r="AI97" i="43"/>
  <c r="AI98" i="43" s="1"/>
  <c r="AH281" i="43"/>
  <c r="AK282" i="43" s="1"/>
  <c r="AH303" i="43"/>
  <c r="AH87" i="43"/>
  <c r="AI99" i="43"/>
  <c r="AH5" i="43"/>
  <c r="AI144" i="43"/>
  <c r="AI147" i="43"/>
  <c r="AI148" i="43" s="1"/>
  <c r="AI145" i="43"/>
  <c r="AH20" i="43"/>
  <c r="AH22" i="43" s="1"/>
  <c r="BI11" i="8" s="1"/>
  <c r="AI280" i="43"/>
  <c r="AH86" i="43" l="1"/>
  <c r="AH92" i="43" s="1"/>
  <c r="AK86" i="43"/>
  <c r="AI281" i="43"/>
  <c r="AH7" i="43"/>
  <c r="AI85" i="43"/>
  <c r="AL86" i="43" s="1"/>
  <c r="AL87" i="43"/>
  <c r="AI87" i="43"/>
  <c r="AI5" i="43"/>
  <c r="AH282" i="43"/>
  <c r="BI55" i="8"/>
  <c r="AI210" i="43"/>
  <c r="AI226" i="43" s="1"/>
  <c r="AI232" i="43"/>
  <c r="AI20" i="43"/>
  <c r="AI22" i="43" s="1"/>
  <c r="AI230" i="43"/>
  <c r="AH25" i="43"/>
  <c r="AK26" i="43" s="1"/>
  <c r="AH91" i="43" l="1"/>
  <c r="AH95" i="43" s="1"/>
  <c r="AH9" i="43"/>
  <c r="AI9" i="43" s="1"/>
  <c r="AK10" i="43"/>
  <c r="AK38" i="43" s="1"/>
  <c r="AK8" i="43"/>
  <c r="AK92" i="43"/>
  <c r="AK91" i="43"/>
  <c r="AK95" i="43" s="1"/>
  <c r="BI6" i="8"/>
  <c r="AH23" i="43"/>
  <c r="AH8" i="43"/>
  <c r="AH35" i="43"/>
  <c r="AH17" i="43"/>
  <c r="AH18" i="43" s="1"/>
  <c r="AH10" i="43"/>
  <c r="AH38" i="43" s="1"/>
  <c r="BI38" i="8"/>
  <c r="BI40" i="8" s="1"/>
  <c r="BI41" i="8" s="1"/>
  <c r="AH203" i="43"/>
  <c r="AH60" i="43"/>
  <c r="AH205" i="43"/>
  <c r="AI7" i="43"/>
  <c r="BJ38" i="8" s="1"/>
  <c r="BJ40" i="8" s="1"/>
  <c r="BJ41" i="8" s="1"/>
  <c r="CU7" i="43"/>
  <c r="AI86" i="43"/>
  <c r="AI92" i="43" s="1"/>
  <c r="AH27" i="43"/>
  <c r="AH26" i="43"/>
  <c r="AI231" i="43"/>
  <c r="BJ11" i="8"/>
  <c r="AL282" i="43"/>
  <c r="AI282" i="43"/>
  <c r="AH93" i="43" l="1"/>
  <c r="AH149" i="43"/>
  <c r="CU8" i="43"/>
  <c r="AH206" i="43"/>
  <c r="AK206" i="43"/>
  <c r="CU9" i="43"/>
  <c r="AK28" i="43"/>
  <c r="AK61" i="43"/>
  <c r="AK149" i="43"/>
  <c r="AK93" i="43"/>
  <c r="BL7" i="8"/>
  <c r="AH204" i="43"/>
  <c r="AK204" i="43"/>
  <c r="BI147" i="8"/>
  <c r="BI148" i="8" s="1"/>
  <c r="BI8" i="8"/>
  <c r="BG14" i="8"/>
  <c r="W56" i="1"/>
  <c r="BI7" i="8"/>
  <c r="AH413" i="43"/>
  <c r="BI56" i="8"/>
  <c r="W57" i="1"/>
  <c r="BI65" i="8"/>
  <c r="BI37" i="8"/>
  <c r="BI12" i="8"/>
  <c r="BI10" i="8"/>
  <c r="BI59" i="8"/>
  <c r="W126" i="1"/>
  <c r="AH61" i="43"/>
  <c r="AI10" i="43"/>
  <c r="CU10" i="43"/>
  <c r="AI60" i="43"/>
  <c r="BJ6" i="8"/>
  <c r="AI205" i="43"/>
  <c r="AI8" i="43"/>
  <c r="AI17" i="43"/>
  <c r="AI18" i="43" s="1"/>
  <c r="AI23" i="43"/>
  <c r="AI203" i="43"/>
  <c r="AI204" i="43" s="1"/>
  <c r="BJ18" i="8"/>
  <c r="AI91" i="43"/>
  <c r="AI149" i="43" s="1"/>
  <c r="BJ55" i="8"/>
  <c r="W54" i="1"/>
  <c r="W7" i="1"/>
  <c r="X53" i="1"/>
  <c r="AH28" i="43"/>
  <c r="BJ59" i="8" l="1"/>
  <c r="BI13" i="8"/>
  <c r="BL13" i="8"/>
  <c r="W64" i="1"/>
  <c r="W63" i="1"/>
  <c r="W70" i="1"/>
  <c r="AI61" i="43"/>
  <c r="AI206" i="43"/>
  <c r="BJ37" i="8"/>
  <c r="BJ8" i="8"/>
  <c r="X56" i="1"/>
  <c r="X74" i="1"/>
  <c r="BJ7" i="8"/>
  <c r="BJ10" i="8"/>
  <c r="X70" i="1" s="1"/>
  <c r="BJ12" i="8"/>
  <c r="BJ65" i="8"/>
  <c r="AI93" i="43"/>
  <c r="BJ56" i="8"/>
  <c r="AI95" i="43"/>
  <c r="W51" i="1"/>
  <c r="W75" i="1"/>
  <c r="W8" i="1"/>
  <c r="X60" i="1"/>
  <c r="X61" i="1" s="1"/>
  <c r="W61" i="1"/>
  <c r="X54" i="1"/>
  <c r="X57" i="1"/>
  <c r="X67" i="1"/>
  <c r="W68" i="1"/>
  <c r="W71" i="1"/>
  <c r="W21" i="1"/>
  <c r="BJ13" i="8" l="1"/>
  <c r="X63" i="1"/>
  <c r="W73" i="1"/>
  <c r="W20" i="2" s="1"/>
  <c r="W27" i="1"/>
  <c r="W36" i="1" s="1"/>
  <c r="X64" i="1"/>
  <c r="W248" i="1"/>
  <c r="W74" i="1"/>
  <c r="X68" i="1"/>
  <c r="X73" i="1" s="1"/>
  <c r="X20" i="2" s="1"/>
  <c r="X71" i="1"/>
  <c r="W64" i="2" l="1"/>
  <c r="AH256" i="43"/>
  <c r="AH257" i="43" l="1"/>
  <c r="AK257" i="43"/>
  <c r="AH258" i="43"/>
  <c r="AK259" i="43" s="1"/>
  <c r="AH259" i="43" l="1"/>
  <c r="AH266" i="43" l="1"/>
  <c r="AI266" i="43" s="1"/>
  <c r="AI267" i="43" s="1"/>
  <c r="BI269" i="8"/>
  <c r="AH267" i="43" l="1"/>
  <c r="AT266" i="43" l="1"/>
  <c r="AW266" i="43" l="1"/>
  <c r="AZ266" i="43" s="1"/>
  <c r="AT41" i="43"/>
  <c r="AW41" i="43" l="1"/>
  <c r="AZ41" i="43"/>
  <c r="AH31" i="43"/>
  <c r="AH285" i="43"/>
  <c r="AK286" i="43" s="1"/>
  <c r="AH294" i="43"/>
  <c r="AH287" i="43" l="1"/>
  <c r="AH286" i="43"/>
  <c r="AH288" i="43" l="1"/>
  <c r="AK288" i="43"/>
  <c r="AH55" i="43" l="1"/>
  <c r="AH296" i="43"/>
  <c r="AH41" i="43" l="1"/>
  <c r="AH297" i="43"/>
  <c r="AH32" i="43" l="1"/>
  <c r="AH33" i="43" s="1"/>
  <c r="AH337" i="43"/>
  <c r="AK340" i="43" s="1"/>
  <c r="AH340" i="43" l="1"/>
  <c r="BI49" i="8"/>
  <c r="BI50" i="8" s="1"/>
  <c r="AH338" i="43"/>
  <c r="AK339" i="43" l="1"/>
  <c r="BI46" i="8"/>
  <c r="BI47" i="8" s="1"/>
  <c r="AH339" i="43"/>
  <c r="AH347" i="43" l="1"/>
  <c r="BI270" i="8"/>
  <c r="AH42" i="43" l="1"/>
  <c r="AH43" i="43" s="1"/>
  <c r="AK46" i="43" s="1"/>
  <c r="AH44" i="43"/>
  <c r="AH348" i="43"/>
  <c r="W16" i="2" l="1"/>
  <c r="BI52" i="8"/>
  <c r="W164" i="1"/>
  <c r="AH47" i="43"/>
  <c r="AH46" i="43"/>
  <c r="AH45" i="43"/>
  <c r="BI134" i="8" l="1"/>
  <c r="BI132" i="8" s="1"/>
  <c r="BI53" i="8"/>
  <c r="W62" i="2"/>
  <c r="W239" i="1"/>
  <c r="W167" i="1"/>
  <c r="AN42" i="43"/>
  <c r="AT347" i="43" l="1"/>
  <c r="AW347" i="43" l="1"/>
  <c r="AW44" i="43" s="1"/>
  <c r="AT44" i="43"/>
  <c r="BR52" i="8"/>
  <c r="AT42" i="43"/>
  <c r="AT43" i="43" s="1"/>
  <c r="AZ347" i="43" l="1"/>
  <c r="AZ44" i="43" s="1"/>
  <c r="AW42" i="43"/>
  <c r="AW43" i="43" s="1"/>
  <c r="AL16" i="2" s="1"/>
  <c r="BR134" i="8"/>
  <c r="BR132" i="8" s="1"/>
  <c r="W17" i="1"/>
  <c r="W249" i="1"/>
  <c r="W250" i="1" s="1"/>
  <c r="W253" i="1" s="1"/>
  <c r="AI164" i="1"/>
  <c r="AI16" i="2"/>
  <c r="AT46" i="43"/>
  <c r="BU52" i="8"/>
  <c r="AL164" i="1" l="1"/>
  <c r="AZ42" i="43"/>
  <c r="AZ43" i="43" s="1"/>
  <c r="AO164" i="1" s="1"/>
  <c r="BX52" i="8"/>
  <c r="BX134" i="8" s="1"/>
  <c r="BX132" i="8" s="1"/>
  <c r="AW46" i="43"/>
  <c r="BU134" i="8"/>
  <c r="BU132" i="8" s="1"/>
  <c r="AZ46" i="43" l="1"/>
  <c r="CA52" i="8"/>
  <c r="CA134" i="8" s="1"/>
  <c r="CA132" i="8" s="1"/>
  <c r="AO16" i="2"/>
  <c r="W43" i="1"/>
  <c r="BI75" i="8"/>
  <c r="W17" i="2" l="1"/>
  <c r="W67" i="2"/>
  <c r="W69" i="2" s="1"/>
  <c r="W47" i="1"/>
  <c r="BI79" i="8"/>
  <c r="W236" i="1" s="1"/>
  <c r="W237" i="1" s="1"/>
  <c r="BI84" i="8" l="1"/>
  <c r="W241" i="1"/>
  <c r="BI88" i="8"/>
  <c r="BL89" i="8" s="1"/>
  <c r="W73" i="2"/>
  <c r="W70" i="2"/>
  <c r="W77" i="2"/>
  <c r="W78" i="2" s="1"/>
  <c r="W21" i="2"/>
  <c r="W22" i="2" s="1"/>
  <c r="W229" i="1" l="1"/>
  <c r="W231" i="1" s="1"/>
  <c r="W232" i="1" s="1"/>
  <c r="W233" i="1" s="1"/>
  <c r="BI111" i="8"/>
  <c r="BI118" i="8" s="1"/>
  <c r="BI91" i="8"/>
  <c r="BI89" i="8"/>
  <c r="BI93" i="8"/>
  <c r="BL94" i="8" s="1"/>
  <c r="W175" i="1"/>
  <c r="W177" i="1" s="1"/>
  <c r="BL119" i="8" l="1"/>
  <c r="X173" i="1"/>
  <c r="X227" i="1"/>
  <c r="W192" i="1"/>
  <c r="W193" i="1" s="1"/>
  <c r="BI154" i="8"/>
  <c r="BI157" i="8" s="1"/>
  <c r="BI123" i="8"/>
  <c r="BI126" i="8" s="1"/>
  <c r="BI119" i="8"/>
  <c r="W42" i="2"/>
  <c r="W47" i="2" s="1"/>
  <c r="BI94" i="8"/>
  <c r="BL124" i="8" l="1"/>
  <c r="BL127" i="8" s="1"/>
  <c r="W179" i="1"/>
  <c r="BI124" i="8"/>
  <c r="BI127" i="8" s="1"/>
  <c r="W6" i="1"/>
  <c r="X44" i="2"/>
  <c r="Y182" i="1"/>
  <c r="Y184" i="1" s="1"/>
  <c r="W10" i="1" l="1"/>
  <c r="W19" i="1" s="1"/>
  <c r="W38" i="1" s="1"/>
  <c r="W48" i="1" s="1"/>
  <c r="W2" i="1" s="1"/>
  <c r="W54" i="2" s="1"/>
  <c r="W98" i="1"/>
  <c r="W99" i="1" l="1"/>
  <c r="W100" i="1" s="1"/>
  <c r="X97" i="1"/>
  <c r="X99" i="1" s="1"/>
  <c r="X100" i="1" s="1"/>
  <c r="Y230" i="1"/>
  <c r="N38" i="46"/>
  <c r="W107" i="1"/>
  <c r="W109" i="1" s="1"/>
  <c r="W113" i="1" s="1"/>
  <c r="W240" i="1" s="1"/>
  <c r="X40" i="2"/>
  <c r="X230" i="1"/>
  <c r="W247" i="1" l="1"/>
  <c r="X12" i="1"/>
  <c r="X116" i="1" l="1"/>
  <c r="X29" i="1" l="1"/>
  <c r="X56" i="2"/>
  <c r="Y89" i="1" l="1"/>
  <c r="Y40" i="2"/>
  <c r="Y56" i="2"/>
  <c r="N42" i="46" s="1"/>
  <c r="X89" i="1"/>
  <c r="Z91" i="1" l="1"/>
  <c r="AB90" i="1"/>
  <c r="Z90" i="1"/>
  <c r="BK160" i="8"/>
  <c r="BK166" i="8" s="1"/>
  <c r="Y91" i="1"/>
  <c r="X91" i="1"/>
  <c r="AG16" i="46"/>
  <c r="X34" i="1"/>
  <c r="X36" i="1" s="1"/>
  <c r="X108" i="1"/>
  <c r="X90" i="1"/>
  <c r="Y90" i="1"/>
  <c r="AG14" i="46"/>
  <c r="Y108" i="1"/>
  <c r="BI160" i="8"/>
  <c r="BI166" i="8" s="1"/>
  <c r="BK167" i="8" l="1"/>
  <c r="AG52" i="46" s="1"/>
  <c r="AG53" i="46"/>
  <c r="AG15" i="46"/>
  <c r="BI167" i="8"/>
  <c r="BI168" i="8"/>
  <c r="AC56" i="2" l="1"/>
  <c r="BN255" i="8" l="1"/>
  <c r="AB18" i="2"/>
  <c r="AB66" i="2" l="1"/>
  <c r="O18" i="46"/>
  <c r="O31" i="46"/>
  <c r="BM255" i="8"/>
  <c r="AA18" i="2"/>
  <c r="AJ256" i="43" l="1"/>
  <c r="AJ257" i="43" s="1"/>
  <c r="BK269" i="8"/>
  <c r="N14" i="46"/>
  <c r="AI256" i="43" l="1"/>
  <c r="AI257" i="43" s="1"/>
  <c r="AJ258" i="43"/>
  <c r="AI270" i="43"/>
  <c r="AJ259" i="43" l="1"/>
  <c r="AI258" i="43"/>
  <c r="AI262" i="43"/>
  <c r="AH269" i="43"/>
  <c r="AI271" i="43"/>
  <c r="AI273" i="43"/>
  <c r="AI259" i="43" l="1"/>
  <c r="AI263" i="43"/>
  <c r="AI264" i="43"/>
  <c r="AI272" i="43"/>
  <c r="BJ269" i="8"/>
  <c r="AJ31" i="43" l="1"/>
  <c r="AJ285" i="43"/>
  <c r="AI293" i="43"/>
  <c r="AI31" i="43" s="1"/>
  <c r="AI294" i="43" l="1"/>
  <c r="AJ287" i="43"/>
  <c r="AJ288" i="43" s="1"/>
  <c r="AI285" i="43"/>
  <c r="AJ286" i="43"/>
  <c r="AI286" i="43" l="1"/>
  <c r="AI287" i="43"/>
  <c r="AI288" i="43" s="1"/>
  <c r="AI299" i="43" l="1"/>
  <c r="AI300" i="43" s="1"/>
  <c r="AJ55" i="43"/>
  <c r="AJ296" i="43"/>
  <c r="AJ297" i="43" s="1"/>
  <c r="AI302" i="43"/>
  <c r="N15" i="46"/>
  <c r="AI55" i="43" l="1"/>
  <c r="AI303" i="43"/>
  <c r="AI296" i="43"/>
  <c r="AI41" i="43" l="1"/>
  <c r="AI297" i="43"/>
  <c r="AJ32" i="43" l="1"/>
  <c r="AJ33" i="43" s="1"/>
  <c r="AJ37" i="43" s="1"/>
  <c r="AJ38" i="43" s="1"/>
  <c r="AJ337" i="43"/>
  <c r="AJ340" i="43" s="1"/>
  <c r="AI342" i="43"/>
  <c r="AI32" i="43" s="1"/>
  <c r="AI33" i="43" s="1"/>
  <c r="AI34" i="43" s="1"/>
  <c r="AI344" i="43"/>
  <c r="AI345" i="43"/>
  <c r="BJ49" i="8" l="1"/>
  <c r="AJ25" i="43"/>
  <c r="AJ36" i="43"/>
  <c r="BK49" i="8"/>
  <c r="AJ338" i="43"/>
  <c r="AI337" i="43"/>
  <c r="AI340" i="43" s="1"/>
  <c r="AI35" i="43"/>
  <c r="AI37" i="43"/>
  <c r="AI38" i="43" s="1"/>
  <c r="AI36" i="43"/>
  <c r="AI343" i="43"/>
  <c r="AJ26" i="43" l="1"/>
  <c r="AJ27" i="43"/>
  <c r="BJ46" i="8"/>
  <c r="BJ47" i="8" s="1"/>
  <c r="BJ50" i="8"/>
  <c r="BK50" i="8"/>
  <c r="BK46" i="8"/>
  <c r="BK47" i="8" s="1"/>
  <c r="AG33" i="46" s="1"/>
  <c r="BK168" i="8"/>
  <c r="AG51" i="46" s="1"/>
  <c r="N12" i="46"/>
  <c r="AI25" i="43"/>
  <c r="AI338" i="43"/>
  <c r="AJ339" i="43"/>
  <c r="AJ28" i="43" l="1"/>
  <c r="AG26" i="46"/>
  <c r="AG34" i="46"/>
  <c r="AI339" i="43"/>
  <c r="AI27" i="43"/>
  <c r="AI26" i="43"/>
  <c r="AI28" i="43" l="1"/>
  <c r="AJ56" i="43" l="1"/>
  <c r="AI347" i="43"/>
  <c r="AJ352" i="43"/>
  <c r="AJ353" i="43"/>
  <c r="AI353" i="43" s="1"/>
  <c r="AH354" i="43"/>
  <c r="AI354" i="43" s="1"/>
  <c r="N16" i="46"/>
  <c r="BK270" i="8" l="1"/>
  <c r="AJ348" i="43"/>
  <c r="AI350" i="43"/>
  <c r="AI42" i="43"/>
  <c r="AI43" i="43" s="1"/>
  <c r="AI44" i="43"/>
  <c r="BJ23" i="8" s="1"/>
  <c r="BJ24" i="8" s="1"/>
  <c r="AI348" i="43"/>
  <c r="AJ42" i="43"/>
  <c r="AJ41" i="43" s="1"/>
  <c r="AJ43" i="43" s="1"/>
  <c r="Y16" i="2" l="1"/>
  <c r="Y62" i="2" s="1"/>
  <c r="BK52" i="8"/>
  <c r="Y164" i="1"/>
  <c r="AJ46" i="43"/>
  <c r="AJ45" i="43"/>
  <c r="N29" i="46"/>
  <c r="AI351" i="43"/>
  <c r="AI56" i="43"/>
  <c r="X164" i="1"/>
  <c r="X16" i="2"/>
  <c r="AI46" i="43"/>
  <c r="AI45" i="43"/>
  <c r="BJ52" i="8"/>
  <c r="BK134" i="8" l="1"/>
  <c r="BK132" i="8" s="1"/>
  <c r="BK53" i="8"/>
  <c r="AI352" i="43"/>
  <c r="BJ270" i="8"/>
  <c r="Y239" i="1"/>
  <c r="N13" i="46"/>
  <c r="Y165" i="1"/>
  <c r="Y167" i="1"/>
  <c r="X239" i="1"/>
  <c r="BJ53" i="8"/>
  <c r="BJ134" i="8"/>
  <c r="BJ132" i="8" s="1"/>
  <c r="X167" i="1"/>
  <c r="AG42" i="46" l="1"/>
  <c r="Y144" i="1"/>
  <c r="W165" i="1"/>
  <c r="Y166" i="1"/>
  <c r="Y127" i="1" s="1"/>
  <c r="Y128" i="1" l="1"/>
  <c r="W144" i="1"/>
  <c r="W166" i="1"/>
  <c r="W127" i="1" s="1"/>
  <c r="Y145" i="1"/>
  <c r="Y147" i="1"/>
  <c r="X165" i="1"/>
  <c r="Z139" i="1" l="1"/>
  <c r="AB139" i="1"/>
  <c r="X144" i="1"/>
  <c r="X166" i="1"/>
  <c r="X127" i="1" s="1"/>
  <c r="W131" i="1"/>
  <c r="W128" i="1"/>
  <c r="W145" i="1"/>
  <c r="W146" i="1"/>
  <c r="AG10" i="46"/>
  <c r="X128" i="1" l="1"/>
  <c r="X147" i="1"/>
  <c r="X14" i="1" s="1"/>
  <c r="X145" i="1"/>
  <c r="BK75" i="8" l="1"/>
  <c r="Y67" i="2" s="1"/>
  <c r="Y69" i="2" s="1"/>
  <c r="Y73" i="2" l="1"/>
  <c r="Z70" i="2"/>
  <c r="Y77" i="2"/>
  <c r="Z78" i="2" s="1"/>
  <c r="Y17" i="2"/>
  <c r="Y21" i="2" s="1"/>
  <c r="N20" i="46"/>
  <c r="N30" i="46"/>
  <c r="N32" i="46" s="1"/>
  <c r="BJ75" i="8"/>
  <c r="BK79" i="8"/>
  <c r="BK88" i="8" s="1"/>
  <c r="Y175" i="1" s="1"/>
  <c r="Y179" i="1" s="1"/>
  <c r="N22" i="46" l="1"/>
  <c r="AG28" i="46" s="1"/>
  <c r="Y229" i="1"/>
  <c r="BK111" i="8"/>
  <c r="BK91" i="8"/>
  <c r="BJ91" i="8" s="1"/>
  <c r="BK93" i="8"/>
  <c r="BJ93" i="8" s="1"/>
  <c r="BJ94" i="8" s="1"/>
  <c r="BK84" i="8"/>
  <c r="BJ84" i="8" s="1"/>
  <c r="BK89" i="8"/>
  <c r="X17" i="2"/>
  <c r="BJ79" i="8"/>
  <c r="Y22" i="2"/>
  <c r="BK94" i="8" l="1"/>
  <c r="X236" i="1"/>
  <c r="X237" i="1" s="1"/>
  <c r="BJ88" i="8"/>
  <c r="N34" i="46"/>
  <c r="N35" i="46" s="1"/>
  <c r="X21" i="2"/>
  <c r="Y231" i="1"/>
  <c r="Y232" i="1" s="1"/>
  <c r="Z227" i="1" s="1"/>
  <c r="Z232" i="1" s="1"/>
  <c r="Z233" i="1" s="1"/>
  <c r="X22" i="2" l="1"/>
  <c r="X229" i="1"/>
  <c r="BJ111" i="8"/>
  <c r="BJ118" i="8" s="1"/>
  <c r="BJ89" i="8"/>
  <c r="X175" i="1"/>
  <c r="X179" i="1" s="1"/>
  <c r="X186" i="1" s="1"/>
  <c r="AB227" i="1"/>
  <c r="Y233" i="1"/>
  <c r="X42" i="1" l="1"/>
  <c r="BJ119" i="8"/>
  <c r="X192" i="1"/>
  <c r="BJ123" i="8"/>
  <c r="Y236" i="1"/>
  <c r="Y237" i="1" s="1"/>
  <c r="BK115" i="8"/>
  <c r="BJ126" i="8" l="1"/>
  <c r="BJ124" i="8"/>
  <c r="BJ127" i="8" s="1"/>
  <c r="BK118" i="8"/>
  <c r="BK205" i="8"/>
  <c r="X231" i="1"/>
  <c r="X232" i="1" s="1"/>
  <c r="X43" i="1"/>
  <c r="Y241" i="1"/>
  <c r="BK141" i="8"/>
  <c r="BK143" i="8" s="1"/>
  <c r="BK150" i="8" s="1"/>
  <c r="BK152" i="8" s="1"/>
  <c r="BK77" i="8"/>
  <c r="BK119" i="8" l="1"/>
  <c r="Y192" i="1"/>
  <c r="BK123" i="8"/>
  <c r="BK154" i="8"/>
  <c r="BK157" i="8" s="1"/>
  <c r="BK120" i="8"/>
  <c r="N21" i="46"/>
  <c r="AG27" i="46" s="1"/>
  <c r="X47" i="1"/>
  <c r="X233" i="1"/>
  <c r="BN115" i="8" l="1"/>
  <c r="BN205" i="8" s="1"/>
  <c r="BK126" i="8"/>
  <c r="BK124" i="8"/>
  <c r="BK127" i="8" s="1"/>
  <c r="N23" i="46"/>
  <c r="AG50" i="46" s="1"/>
  <c r="AG36" i="46"/>
  <c r="AG29" i="46" l="1"/>
  <c r="Y31" i="2" l="1"/>
  <c r="Y42" i="2" s="1"/>
  <c r="AJ412" i="43"/>
  <c r="N36" i="46"/>
  <c r="AG40" i="46" s="1"/>
  <c r="Y125" i="1" l="1"/>
  <c r="AJ413" i="43"/>
  <c r="AI412" i="43"/>
  <c r="AI47" i="43" s="1"/>
  <c r="N37" i="46"/>
  <c r="N39" i="46" s="1"/>
  <c r="AG41" i="46"/>
  <c r="X31" i="2"/>
  <c r="X42" i="2" s="1"/>
  <c r="X47" i="2" s="1"/>
  <c r="AJ411" i="43"/>
  <c r="AJ47" i="43"/>
  <c r="Y126" i="1" l="1"/>
  <c r="Y131" i="1"/>
  <c r="X125" i="1"/>
  <c r="X131" i="1" s="1"/>
  <c r="Y47" i="2"/>
  <c r="AB44" i="2" s="1"/>
  <c r="Z44" i="2" l="1"/>
  <c r="Z47" i="2" s="1"/>
  <c r="X126" i="1"/>
  <c r="X10" i="1"/>
  <c r="Y17" i="1"/>
  <c r="Y249" i="1"/>
  <c r="Y250" i="1" s="1"/>
  <c r="Y253" i="1" s="1"/>
  <c r="AG9" i="46"/>
  <c r="X107" i="1"/>
  <c r="X109" i="1" s="1"/>
  <c r="Z6" i="1" l="1"/>
  <c r="AA44" i="2"/>
  <c r="Y98" i="1"/>
  <c r="X247" i="1"/>
  <c r="X113" i="1"/>
  <c r="X240" i="1" s="1"/>
  <c r="Z97" i="1" l="1"/>
  <c r="AB97" i="1"/>
  <c r="AB99" i="1" s="1"/>
  <c r="AB100" i="1" s="1"/>
  <c r="Z98" i="1"/>
  <c r="Z10" i="1"/>
  <c r="Z19" i="1" s="1"/>
  <c r="Z38" i="1" s="1"/>
  <c r="Z48" i="1" s="1"/>
  <c r="Y99" i="1"/>
  <c r="Y100" i="1" s="1"/>
  <c r="Y107" i="1"/>
  <c r="Y109" i="1" s="1"/>
  <c r="Y19" i="1"/>
  <c r="Y38" i="1" s="1"/>
  <c r="AG8" i="46"/>
  <c r="Z107" i="1" l="1"/>
  <c r="Z109" i="1" s="1"/>
  <c r="Z113" i="1" s="1"/>
  <c r="Z240" i="1" s="1"/>
  <c r="AA97" i="1"/>
  <c r="Z99" i="1"/>
  <c r="Z100" i="1" s="1"/>
  <c r="Y48" i="1"/>
  <c r="Y2" i="1" s="1"/>
  <c r="Y54" i="2" s="1"/>
  <c r="AG12" i="46"/>
  <c r="AG45" i="46" s="1"/>
  <c r="Y247" i="1"/>
  <c r="AG19" i="46"/>
  <c r="Y113" i="1"/>
  <c r="Y240" i="1" s="1"/>
  <c r="Z247" i="1" l="1"/>
  <c r="AG46" i="46"/>
  <c r="AG11" i="46"/>
  <c r="AG18" i="46"/>
  <c r="AG44" i="46" l="1"/>
  <c r="AG47" i="46"/>
  <c r="AG48" i="46" s="1"/>
  <c r="AG43" i="46"/>
  <c r="AG20" i="46"/>
  <c r="AG38" i="46" s="1"/>
  <c r="X13" i="1" l="1"/>
  <c r="Y133" i="1"/>
  <c r="X17" i="1" l="1"/>
  <c r="X19" i="1" s="1"/>
  <c r="X38" i="1" s="1"/>
  <c r="X48" i="1" s="1"/>
  <c r="X2" i="1" s="1"/>
  <c r="X54" i="2" s="1"/>
  <c r="X249" i="1"/>
  <c r="X250" i="1" s="1"/>
  <c r="X253" i="1" s="1"/>
  <c r="X191" i="1" l="1"/>
  <c r="Y193" i="1"/>
  <c r="BK185" i="8"/>
  <c r="N24" i="46" l="1"/>
  <c r="AG54" i="46" s="1"/>
  <c r="BK187" i="8"/>
  <c r="BK186" i="8"/>
  <c r="X193" i="1"/>
  <c r="X189" i="1"/>
  <c r="BJ185" i="8"/>
  <c r="AG55" i="46" l="1"/>
  <c r="BJ186" i="8"/>
  <c r="BJ187" i="8"/>
  <c r="AA227" i="1" l="1"/>
  <c r="BJ196" i="8" l="1"/>
  <c r="BJ198" i="8" s="1"/>
  <c r="BJ203" i="8" s="1"/>
  <c r="BJ76" i="8" s="1"/>
  <c r="BI201" i="8"/>
  <c r="BI202" i="8" s="1"/>
  <c r="BI141" i="8" l="1"/>
  <c r="BI143" i="8" s="1"/>
  <c r="BI150" i="8" s="1"/>
  <c r="BI152" i="8" s="1"/>
  <c r="BK195" i="8"/>
  <c r="BJ201" i="8"/>
  <c r="BI77" i="8"/>
  <c r="BJ202" i="8" l="1"/>
  <c r="BJ77" i="8"/>
  <c r="BL201" i="8"/>
  <c r="BL77" i="8" s="1"/>
  <c r="BL202" i="8" l="1"/>
  <c r="BL141" i="8"/>
  <c r="BL143" i="8" s="1"/>
  <c r="BL150" i="8" s="1"/>
  <c r="BL152" i="8" s="1"/>
  <c r="AK47" i="43" l="1"/>
  <c r="Z125" i="1"/>
  <c r="AK413" i="43"/>
  <c r="Z126" i="1" l="1"/>
  <c r="Z2" i="1" l="1"/>
  <c r="Z54" i="2" s="1"/>
  <c r="AL157" i="43" l="1"/>
  <c r="AL165" i="43" s="1"/>
  <c r="AL196" i="43"/>
  <c r="AS153" i="43" l="1"/>
  <c r="AL166" i="43"/>
  <c r="AL198" i="43"/>
  <c r="AL168" i="43"/>
  <c r="AL199" i="43" l="1"/>
  <c r="AL200" i="43" s="1"/>
  <c r="P48" i="46"/>
  <c r="AL169" i="43"/>
  <c r="AL74" i="43" s="1"/>
  <c r="AL170" i="43"/>
  <c r="AL201" i="43" s="1"/>
  <c r="AQ153" i="43"/>
  <c r="AQ157" i="43" s="1"/>
  <c r="AS157" i="43"/>
  <c r="AT153" i="43" s="1"/>
  <c r="AO153" i="43"/>
  <c r="AO157" i="43" s="1"/>
  <c r="AO165" i="43" s="1"/>
  <c r="AM97" i="43" l="1"/>
  <c r="AM63" i="43"/>
  <c r="AM64" i="43" s="1"/>
  <c r="AS195" i="43"/>
  <c r="AS198" i="43" s="1"/>
  <c r="Q48" i="46" s="1"/>
  <c r="AL207" i="43"/>
  <c r="AL202" i="43"/>
  <c r="AL94" i="43" s="1"/>
  <c r="AT157" i="43"/>
  <c r="AV153" i="43"/>
  <c r="AV157" i="43" s="1"/>
  <c r="AW153" i="43" s="1"/>
  <c r="AS165" i="43"/>
  <c r="AO166" i="43"/>
  <c r="AO168" i="43"/>
  <c r="AO169" i="43" s="1"/>
  <c r="AO74" i="43" s="1"/>
  <c r="AO198" i="43"/>
  <c r="AM94" i="43"/>
  <c r="AM95" i="43" s="1"/>
  <c r="AM74" i="43"/>
  <c r="AM75" i="43" s="1"/>
  <c r="AQ165" i="43"/>
  <c r="AR153" i="43"/>
  <c r="AR157" i="43" s="1"/>
  <c r="AR165" i="43" s="1"/>
  <c r="AQ166" i="43" l="1"/>
  <c r="AQ168" i="43"/>
  <c r="AQ198" i="43"/>
  <c r="AQ199" i="43" s="1"/>
  <c r="AQ200" i="43" s="1"/>
  <c r="AM98" i="43"/>
  <c r="AV165" i="43"/>
  <c r="AV166" i="43" s="1"/>
  <c r="AY153" i="43"/>
  <c r="AY157" i="43" s="1"/>
  <c r="AW157" i="43"/>
  <c r="AW165" i="43" s="1"/>
  <c r="AW168" i="43" s="1"/>
  <c r="P47" i="46"/>
  <c r="AL72" i="43"/>
  <c r="O9" i="46"/>
  <c r="AO195" i="43"/>
  <c r="AO199" i="43"/>
  <c r="AR198" i="43"/>
  <c r="AR168" i="43"/>
  <c r="AR169" i="43" s="1"/>
  <c r="AR74" i="43" s="1"/>
  <c r="AN74" i="43"/>
  <c r="AN75" i="43" s="1"/>
  <c r="AO170" i="43"/>
  <c r="AO201" i="43" s="1"/>
  <c r="AU153" i="43"/>
  <c r="AU157" i="43" s="1"/>
  <c r="AU165" i="43" s="1"/>
  <c r="AT165" i="43"/>
  <c r="AR166" i="43"/>
  <c r="AS168" i="43"/>
  <c r="AS166" i="43"/>
  <c r="AV195" i="43"/>
  <c r="AV198" i="43" s="1"/>
  <c r="R48" i="46" s="1"/>
  <c r="AS199" i="43"/>
  <c r="AS200" i="43" s="1"/>
  <c r="AT195" i="43"/>
  <c r="AQ170" i="43" l="1"/>
  <c r="AQ201" i="43" s="1"/>
  <c r="AQ169" i="43"/>
  <c r="AN97" i="43"/>
  <c r="AN98" i="43" s="1"/>
  <c r="AV168" i="43"/>
  <c r="AW170" i="43" s="1"/>
  <c r="AW201" i="43" s="1"/>
  <c r="AW195" i="43"/>
  <c r="AW166" i="43"/>
  <c r="AX153" i="43"/>
  <c r="AX157" i="43" s="1"/>
  <c r="AX165" i="43" s="1"/>
  <c r="AY165" i="43"/>
  <c r="BB153" i="43"/>
  <c r="BB157" i="43" s="1"/>
  <c r="BB165" i="43" s="1"/>
  <c r="AZ153" i="43"/>
  <c r="AZ157" i="43" s="1"/>
  <c r="AV199" i="43"/>
  <c r="AV200" i="43" s="1"/>
  <c r="AY195" i="43"/>
  <c r="AY198" i="43" s="1"/>
  <c r="S48" i="46" s="1"/>
  <c r="AO200" i="43"/>
  <c r="AL90" i="43"/>
  <c r="AO72" i="43"/>
  <c r="AP4" i="43"/>
  <c r="P9" i="46"/>
  <c r="AR199" i="43"/>
  <c r="AR195" i="43"/>
  <c r="AO207" i="43"/>
  <c r="AO202" i="43"/>
  <c r="AO94" i="43" s="1"/>
  <c r="AU198" i="43"/>
  <c r="AU168" i="43"/>
  <c r="AU169" i="43" s="1"/>
  <c r="AU74" i="43" s="1"/>
  <c r="AR170" i="43"/>
  <c r="AR201" i="43" s="1"/>
  <c r="AQ74" i="43"/>
  <c r="AQ75" i="43" s="1"/>
  <c r="AL4" i="43"/>
  <c r="AL76" i="43"/>
  <c r="AL75" i="43" s="1"/>
  <c r="AT168" i="43"/>
  <c r="AW169" i="43" s="1"/>
  <c r="AU166" i="43"/>
  <c r="AT198" i="43"/>
  <c r="AS170" i="43"/>
  <c r="AS201" i="43" s="1"/>
  <c r="AS202" i="43" s="1"/>
  <c r="Q47" i="46" s="1"/>
  <c r="AS169" i="43"/>
  <c r="AS74" i="43" s="1"/>
  <c r="AT166" i="43"/>
  <c r="AN94" i="43"/>
  <c r="AN95" i="43" s="1"/>
  <c r="AL252" i="43"/>
  <c r="AM20" i="43"/>
  <c r="AM22" i="43" s="1"/>
  <c r="BN11" i="8" s="1"/>
  <c r="AQ207" i="43" l="1"/>
  <c r="AQ202" i="43"/>
  <c r="AQ97" i="43"/>
  <c r="AQ98" i="43" s="1"/>
  <c r="AS76" i="43"/>
  <c r="AS72" i="43" s="1"/>
  <c r="AV169" i="43"/>
  <c r="AV74" i="43" s="1"/>
  <c r="AV76" i="43" s="1"/>
  <c r="AV170" i="43"/>
  <c r="AV201" i="43" s="1"/>
  <c r="AV202" i="43" s="1"/>
  <c r="R47" i="46" s="1"/>
  <c r="AL7" i="43"/>
  <c r="BM18" i="8" s="1"/>
  <c r="AS94" i="43"/>
  <c r="AL91" i="43"/>
  <c r="BM28" i="8"/>
  <c r="BM22" i="8"/>
  <c r="BN10" i="8"/>
  <c r="BN12" i="8"/>
  <c r="BN55" i="8"/>
  <c r="BN56" i="8" s="1"/>
  <c r="AM23" i="43"/>
  <c r="AM17" i="43"/>
  <c r="AM18" i="43" s="1"/>
  <c r="AM66" i="43"/>
  <c r="AY199" i="43"/>
  <c r="AY200" i="43" s="1"/>
  <c r="BB195" i="43"/>
  <c r="BB198" i="43" s="1"/>
  <c r="BB199" i="43" s="1"/>
  <c r="AZ195" i="43"/>
  <c r="AY166" i="43"/>
  <c r="AY168" i="43"/>
  <c r="BB166" i="43"/>
  <c r="BB168" i="43"/>
  <c r="AW198" i="43"/>
  <c r="AX166" i="43"/>
  <c r="BA153" i="43"/>
  <c r="BA157" i="43" s="1"/>
  <c r="BA165" i="43" s="1"/>
  <c r="AZ165" i="43"/>
  <c r="AX198" i="43"/>
  <c r="AX168" i="43"/>
  <c r="AX169" i="43" s="1"/>
  <c r="AX74" i="43" s="1"/>
  <c r="AK9" i="43"/>
  <c r="AL9" i="43" s="1"/>
  <c r="CV7" i="43"/>
  <c r="CU15" i="43"/>
  <c r="AL229" i="43"/>
  <c r="AT169" i="43"/>
  <c r="AT74" i="43" s="1"/>
  <c r="AT76" i="43" s="1"/>
  <c r="AU170" i="43"/>
  <c r="AU201" i="43" s="1"/>
  <c r="AO76" i="43"/>
  <c r="AO75" i="43" s="1"/>
  <c r="AO4" i="43"/>
  <c r="AL253" i="43"/>
  <c r="AL96" i="43"/>
  <c r="AL97" i="43"/>
  <c r="AL98" i="43" s="1"/>
  <c r="AL92" i="43"/>
  <c r="AL99" i="43"/>
  <c r="AL143" i="43"/>
  <c r="AQ94" i="43"/>
  <c r="AT170" i="43"/>
  <c r="AT201" i="43" s="1"/>
  <c r="AW202" i="43" s="1"/>
  <c r="AU199" i="43"/>
  <c r="AU195" i="43"/>
  <c r="AT199" i="43"/>
  <c r="AT200" i="43" s="1"/>
  <c r="AR202" i="43"/>
  <c r="AR94" i="43" s="1"/>
  <c r="AR207" i="43"/>
  <c r="AR200" i="43"/>
  <c r="AO252" i="43"/>
  <c r="AL8" i="43" l="1"/>
  <c r="AR72" i="43"/>
  <c r="AR76" i="43" s="1"/>
  <c r="AR75" i="43" s="1"/>
  <c r="AS252" i="43"/>
  <c r="AS4" i="43"/>
  <c r="Q9" i="46"/>
  <c r="AV72" i="43"/>
  <c r="AV252" i="43" s="1"/>
  <c r="AT72" i="43"/>
  <c r="AT90" i="43" s="1"/>
  <c r="AL10" i="43"/>
  <c r="AL203" i="43"/>
  <c r="AL204" i="43" s="1"/>
  <c r="BM6" i="8"/>
  <c r="AA57" i="1" s="1"/>
  <c r="BM38" i="8"/>
  <c r="BM40" i="8" s="1"/>
  <c r="BM41" i="8" s="1"/>
  <c r="AL205" i="43"/>
  <c r="AL206" i="43" s="1"/>
  <c r="AL95" i="43"/>
  <c r="AL93" i="43"/>
  <c r="BN13" i="8"/>
  <c r="AH32" i="46"/>
  <c r="AV94" i="43"/>
  <c r="AB70" i="43"/>
  <c r="AB70" i="1"/>
  <c r="AB71" i="1"/>
  <c r="AB64" i="1"/>
  <c r="AB63" i="1"/>
  <c r="BB200" i="43"/>
  <c r="AW74" i="43"/>
  <c r="AW76" i="43" s="1"/>
  <c r="AX170" i="43"/>
  <c r="AX201" i="43" s="1"/>
  <c r="AY170" i="43"/>
  <c r="AY201" i="43" s="1"/>
  <c r="AY202" i="43" s="1"/>
  <c r="AY169" i="43"/>
  <c r="AY74" i="43" s="1"/>
  <c r="AY76" i="43" s="1"/>
  <c r="AZ198" i="43"/>
  <c r="BA166" i="43"/>
  <c r="AZ168" i="43"/>
  <c r="AX199" i="43"/>
  <c r="AX195" i="43"/>
  <c r="AW199" i="43"/>
  <c r="AZ166" i="43"/>
  <c r="BA168" i="43"/>
  <c r="BA169" i="43" s="1"/>
  <c r="BA74" i="43" s="1"/>
  <c r="BA198" i="43"/>
  <c r="BB170" i="43"/>
  <c r="BB201" i="43" s="1"/>
  <c r="BB169" i="43"/>
  <c r="BB74" i="43" s="1"/>
  <c r="BB76" i="43" s="1"/>
  <c r="O8" i="46"/>
  <c r="AU207" i="43"/>
  <c r="AU202" i="43"/>
  <c r="AU94" i="43" s="1"/>
  <c r="AN20" i="43"/>
  <c r="AN22" i="43" s="1"/>
  <c r="AL147" i="43"/>
  <c r="AL148" i="43" s="1"/>
  <c r="AL149" i="43" s="1"/>
  <c r="AL144" i="43"/>
  <c r="AL145" i="43"/>
  <c r="AL254" i="43"/>
  <c r="AO253" i="43"/>
  <c r="AU200" i="43"/>
  <c r="AO143" i="43"/>
  <c r="AL210" i="43"/>
  <c r="AL226" i="43" s="1"/>
  <c r="AL230" i="43"/>
  <c r="AL231" i="43" s="1"/>
  <c r="AL20" i="43"/>
  <c r="AL22" i="43" s="1"/>
  <c r="BM11" i="8" s="1"/>
  <c r="AL232" i="43"/>
  <c r="AT207" i="43"/>
  <c r="AT202" i="43"/>
  <c r="AT94" i="43" s="1"/>
  <c r="AR4" i="43" l="1"/>
  <c r="R9" i="46"/>
  <c r="AY72" i="43"/>
  <c r="S9" i="46" s="1"/>
  <c r="AR252" i="43"/>
  <c r="AR253" i="43" s="1"/>
  <c r="AY94" i="43"/>
  <c r="S47" i="46"/>
  <c r="AV4" i="43"/>
  <c r="AT4" i="43"/>
  <c r="AT252" i="43"/>
  <c r="AT229" i="43" s="1"/>
  <c r="AT210" i="43" s="1"/>
  <c r="AT226" i="43" s="1"/>
  <c r="BM8" i="8"/>
  <c r="AW72" i="43"/>
  <c r="AW4" i="43" s="1"/>
  <c r="AU72" i="43"/>
  <c r="AU76" i="43" s="1"/>
  <c r="AU75" i="43" s="1"/>
  <c r="BM7" i="8"/>
  <c r="AA56" i="1"/>
  <c r="AA74" i="1"/>
  <c r="BM37" i="8"/>
  <c r="AN25" i="43"/>
  <c r="BO11" i="8"/>
  <c r="BM12" i="8"/>
  <c r="BM13" i="8" s="1"/>
  <c r="BM10" i="8"/>
  <c r="AW200" i="43"/>
  <c r="AW207" i="43"/>
  <c r="BB202" i="43"/>
  <c r="BB94" i="43" s="1"/>
  <c r="BA199" i="43"/>
  <c r="BA195" i="43"/>
  <c r="AZ199" i="43"/>
  <c r="AZ200" i="43" s="1"/>
  <c r="AW94" i="43"/>
  <c r="AX200" i="43"/>
  <c r="AX207" i="43"/>
  <c r="AX202" i="43"/>
  <c r="AX94" i="43" s="1"/>
  <c r="AZ169" i="43"/>
  <c r="AZ74" i="43" s="1"/>
  <c r="AZ76" i="43" s="1"/>
  <c r="BA170" i="43"/>
  <c r="BA201" i="43" s="1"/>
  <c r="AZ170" i="43"/>
  <c r="AZ201" i="43" s="1"/>
  <c r="AN23" i="43"/>
  <c r="AN17" i="43"/>
  <c r="AN18" i="43" s="1"/>
  <c r="AH24" i="46"/>
  <c r="AL23" i="43"/>
  <c r="AL17" i="43"/>
  <c r="AL18" i="43" s="1"/>
  <c r="AO254" i="43"/>
  <c r="AD53" i="1"/>
  <c r="AC7" i="1"/>
  <c r="CV8" i="43"/>
  <c r="AT97" i="43"/>
  <c r="AO210" i="43"/>
  <c r="AO147" i="43"/>
  <c r="AO148" i="43" s="1"/>
  <c r="AO144" i="43"/>
  <c r="AY252" i="43" l="1"/>
  <c r="AN27" i="43"/>
  <c r="AN28" i="43" s="1"/>
  <c r="BB72" i="43"/>
  <c r="BB4" i="43" s="1"/>
  <c r="AY4" i="43"/>
  <c r="AU252" i="43"/>
  <c r="AU253" i="43" s="1"/>
  <c r="AU254" i="43" s="1"/>
  <c r="AW252" i="43"/>
  <c r="AX252" i="43" s="1"/>
  <c r="AW90" i="43"/>
  <c r="AW99" i="43" s="1"/>
  <c r="AX72" i="43"/>
  <c r="AX4" i="43" s="1"/>
  <c r="AU4" i="43"/>
  <c r="AZ72" i="43"/>
  <c r="AZ4" i="43" s="1"/>
  <c r="AN26" i="43"/>
  <c r="BO10" i="8"/>
  <c r="BO12" i="8"/>
  <c r="BO13" i="8" s="1"/>
  <c r="AC31" i="2"/>
  <c r="AA63" i="1"/>
  <c r="AA71" i="1"/>
  <c r="AA70" i="1"/>
  <c r="AA64" i="1"/>
  <c r="AA7" i="1"/>
  <c r="AZ207" i="43"/>
  <c r="AZ202" i="43"/>
  <c r="AZ94" i="43" s="1"/>
  <c r="BA202" i="43"/>
  <c r="BA94" i="43" s="1"/>
  <c r="BA207" i="43"/>
  <c r="BA200" i="43"/>
  <c r="AB221" i="1"/>
  <c r="AB251" i="1" s="1"/>
  <c r="AB252" i="1" s="1"/>
  <c r="O28" i="46"/>
  <c r="AL59" i="43"/>
  <c r="AK67" i="43"/>
  <c r="AL67" i="43" s="1"/>
  <c r="AB222" i="1"/>
  <c r="AT20" i="43"/>
  <c r="AT230" i="43"/>
  <c r="AR254" i="43"/>
  <c r="AN36" i="43"/>
  <c r="AN35" i="43"/>
  <c r="AN37" i="43"/>
  <c r="AN38" i="43" s="1"/>
  <c r="AW229" i="43" l="1"/>
  <c r="BB252" i="43"/>
  <c r="AW210" i="43"/>
  <c r="AW91" i="43"/>
  <c r="AW92" i="43"/>
  <c r="AX253" i="43"/>
  <c r="AX254" i="43" s="1"/>
  <c r="AW97" i="43"/>
  <c r="AW98" i="43" s="1"/>
  <c r="AW96" i="43"/>
  <c r="AZ90" i="43"/>
  <c r="AZ91" i="43" s="1"/>
  <c r="AX76" i="43"/>
  <c r="AX75" i="43" s="1"/>
  <c r="AZ252" i="43"/>
  <c r="AZ229" i="43" s="1"/>
  <c r="BA72" i="43"/>
  <c r="BA4" i="43" s="1"/>
  <c r="AC71" i="1"/>
  <c r="AC63" i="1"/>
  <c r="AC70" i="1"/>
  <c r="AC64" i="1"/>
  <c r="BM58" i="8"/>
  <c r="BM60" i="8" s="1"/>
  <c r="AW232" i="43"/>
  <c r="AW230" i="43"/>
  <c r="AW231" i="43" s="1"/>
  <c r="AW226" i="43"/>
  <c r="AW20" i="43"/>
  <c r="AB223" i="1"/>
  <c r="CV10" i="43"/>
  <c r="AN64" i="43"/>
  <c r="AA221" i="1"/>
  <c r="AA251" i="1" s="1"/>
  <c r="AA252" i="1" s="1"/>
  <c r="AL60" i="43"/>
  <c r="AL62" i="43"/>
  <c r="AA222" i="1"/>
  <c r="AL63" i="43"/>
  <c r="AL64" i="43" s="1"/>
  <c r="AB15" i="2"/>
  <c r="O17" i="46"/>
  <c r="AW95" i="43" l="1"/>
  <c r="AW93" i="43"/>
  <c r="AZ92" i="43"/>
  <c r="AZ93" i="43" s="1"/>
  <c r="AZ99" i="43"/>
  <c r="AZ97" i="43"/>
  <c r="AZ98" i="43" s="1"/>
  <c r="AZ96" i="43"/>
  <c r="AZ95" i="43" s="1"/>
  <c r="AZ210" i="43"/>
  <c r="AZ226" i="43" s="1"/>
  <c r="BA252" i="43"/>
  <c r="BA253" i="43" s="1"/>
  <c r="BA254" i="43" s="1"/>
  <c r="BA76" i="43"/>
  <c r="BA75" i="43" s="1"/>
  <c r="BM55" i="8"/>
  <c r="BM56" i="8" s="1"/>
  <c r="BM59" i="8"/>
  <c r="BM64" i="8"/>
  <c r="BM136" i="8" s="1"/>
  <c r="AA21" i="1"/>
  <c r="AA8" i="1"/>
  <c r="AZ20" i="43"/>
  <c r="AZ232" i="43"/>
  <c r="AZ230" i="43"/>
  <c r="AZ231" i="43" s="1"/>
  <c r="AA223" i="1"/>
  <c r="AB238" i="1"/>
  <c r="AL61" i="43"/>
  <c r="AB248" i="1"/>
  <c r="AC8" i="1"/>
  <c r="AD60" i="1"/>
  <c r="AH39" i="46"/>
  <c r="AH35" i="46"/>
  <c r="AH25" i="46"/>
  <c r="AC21" i="1"/>
  <c r="AC27" i="1" s="1"/>
  <c r="AD67" i="1"/>
  <c r="AA15" i="2" l="1"/>
  <c r="BM65" i="8"/>
  <c r="BM73" i="8"/>
  <c r="BM193" i="8" s="1"/>
  <c r="BM191" i="8" s="1"/>
  <c r="AB20" i="2"/>
  <c r="AB64" i="2" s="1"/>
  <c r="AB60" i="2"/>
  <c r="AC20" i="2"/>
  <c r="AA248" i="1"/>
  <c r="AA20" i="2"/>
  <c r="AA238" i="1"/>
  <c r="AC248" i="1"/>
  <c r="O19" i="46"/>
  <c r="O33" i="46" l="1"/>
  <c r="AA182" i="1" l="1"/>
  <c r="AA184" i="1" s="1"/>
  <c r="AB182" i="1" l="1"/>
  <c r="AB184" i="1" s="1"/>
  <c r="AA230" i="1"/>
  <c r="O38" i="46"/>
  <c r="AB230" i="1"/>
  <c r="AM256" i="43" l="1"/>
  <c r="AM258" i="43" s="1"/>
  <c r="AM257" i="43" l="1"/>
  <c r="AM259" i="43"/>
  <c r="AL256" i="43"/>
  <c r="AL262" i="43" l="1"/>
  <c r="AL257" i="43"/>
  <c r="AL258" i="43"/>
  <c r="AL259" i="43" l="1"/>
  <c r="AL264" i="43"/>
  <c r="AL263" i="43"/>
  <c r="AM266" i="43" l="1"/>
  <c r="AO266" i="43" s="1"/>
  <c r="AL270" i="43"/>
  <c r="BN269" i="8"/>
  <c r="O14" i="46"/>
  <c r="AL273" i="43" l="1"/>
  <c r="AM267" i="43"/>
  <c r="AL266" i="43"/>
  <c r="AL271" i="43"/>
  <c r="AK269" i="43"/>
  <c r="AO267" i="43"/>
  <c r="AL267" i="43" l="1"/>
  <c r="AV41" i="43"/>
  <c r="AR266" i="43"/>
  <c r="AR267" i="43" s="1"/>
  <c r="AS41" i="43"/>
  <c r="AL272" i="43"/>
  <c r="BM269" i="8"/>
  <c r="AY266" i="43" l="1"/>
  <c r="AX266" i="43" s="1"/>
  <c r="AU266" i="43"/>
  <c r="AU41" i="43" s="1"/>
  <c r="AR41" i="43"/>
  <c r="AU267" i="43" l="1"/>
  <c r="AY41" i="43"/>
  <c r="BB266" i="43"/>
  <c r="BB41" i="43" s="1"/>
  <c r="BA266" i="43"/>
  <c r="AX267" i="43"/>
  <c r="AX41" i="43"/>
  <c r="BA41" i="43" l="1"/>
  <c r="BA267" i="43"/>
  <c r="AM31" i="43" l="1"/>
  <c r="AM285" i="43"/>
  <c r="AL285" i="43" s="1"/>
  <c r="AL293" i="43"/>
  <c r="AL31" i="43" s="1"/>
  <c r="AL294" i="43" l="1"/>
  <c r="AM286" i="43"/>
  <c r="AM287" i="43"/>
  <c r="AM288" i="43" s="1"/>
  <c r="AL287" i="43"/>
  <c r="AL288" i="43" s="1"/>
  <c r="AL286" i="43"/>
  <c r="AL299" i="43" l="1"/>
  <c r="AL300" i="43" s="1"/>
  <c r="AM55" i="43"/>
  <c r="AM296" i="43"/>
  <c r="AM297" i="43" s="1"/>
  <c r="AL302" i="43"/>
  <c r="O15" i="46"/>
  <c r="AL55" i="43" l="1"/>
  <c r="AL303" i="43"/>
  <c r="AL296" i="43"/>
  <c r="AL297" i="43" l="1"/>
  <c r="AL41" i="43"/>
  <c r="AM32" i="43" l="1"/>
  <c r="AM33" i="43" s="1"/>
  <c r="BN49" i="8" s="1"/>
  <c r="AM337" i="43"/>
  <c r="AM25" i="43" s="1"/>
  <c r="AL342" i="43"/>
  <c r="AL32" i="43" s="1"/>
  <c r="AL33" i="43" s="1"/>
  <c r="AL343" i="43"/>
  <c r="AL344" i="43"/>
  <c r="AL345" i="43"/>
  <c r="AM340" i="43" l="1"/>
  <c r="AL34" i="43"/>
  <c r="AL35" i="43" s="1"/>
  <c r="BM49" i="8"/>
  <c r="AM338" i="43"/>
  <c r="AL337" i="43"/>
  <c r="BN50" i="8"/>
  <c r="BN46" i="8"/>
  <c r="BN47" i="8" s="1"/>
  <c r="AH33" i="46" s="1"/>
  <c r="AM37" i="43"/>
  <c r="AM38" i="43" s="1"/>
  <c r="AM36" i="43"/>
  <c r="AM26" i="43"/>
  <c r="AM27" i="43"/>
  <c r="AL37" i="43" l="1"/>
  <c r="AL38" i="43" s="1"/>
  <c r="AL36" i="43"/>
  <c r="AM339" i="43"/>
  <c r="BM46" i="8"/>
  <c r="BM47" i="8" s="1"/>
  <c r="BM50" i="8"/>
  <c r="AL25" i="43"/>
  <c r="AL338" i="43"/>
  <c r="AL340" i="43"/>
  <c r="O12" i="46"/>
  <c r="AM28" i="43"/>
  <c r="CV9" i="43"/>
  <c r="AL339" i="43" l="1"/>
  <c r="AL26" i="43"/>
  <c r="AL27" i="43"/>
  <c r="AH26" i="46"/>
  <c r="AH34" i="46"/>
  <c r="AL28" i="43" l="1"/>
  <c r="AM56" i="43" l="1"/>
  <c r="AM347" i="43"/>
  <c r="AL347" i="43" s="1"/>
  <c r="AL44" i="43" s="1"/>
  <c r="AL353" i="43"/>
  <c r="AK354" i="43"/>
  <c r="AL354" i="43" s="1"/>
  <c r="BN270" i="8"/>
  <c r="O16" i="46"/>
  <c r="AM348" i="43" l="1"/>
  <c r="AM42" i="43"/>
  <c r="AM41" i="43" s="1"/>
  <c r="AM43" i="43" s="1"/>
  <c r="O29" i="46" s="1"/>
  <c r="AL348" i="43"/>
  <c r="AL42" i="43"/>
  <c r="AL43" i="43" s="1"/>
  <c r="AL45" i="43" s="1"/>
  <c r="AL350" i="43"/>
  <c r="AB164" i="1" l="1"/>
  <c r="BN52" i="8"/>
  <c r="O13" i="46" s="1"/>
  <c r="AB16" i="2"/>
  <c r="AB62" i="2" s="1"/>
  <c r="AA164" i="1"/>
  <c r="AA167" i="1" s="1"/>
  <c r="BM52" i="8"/>
  <c r="AA16" i="2"/>
  <c r="AA239" i="1" s="1"/>
  <c r="AM46" i="43"/>
  <c r="AL46" i="43"/>
  <c r="AM45" i="43"/>
  <c r="AL56" i="43"/>
  <c r="AL351" i="43"/>
  <c r="AB239" i="1" l="1"/>
  <c r="BN134" i="8"/>
  <c r="BN132" i="8" s="1"/>
  <c r="BN53" i="8"/>
  <c r="BM134" i="8"/>
  <c r="BM132" i="8" s="1"/>
  <c r="BM53" i="8"/>
  <c r="AB167" i="1"/>
  <c r="AB165" i="1"/>
  <c r="BM270" i="8"/>
  <c r="AL352" i="43"/>
  <c r="AH42" i="46"/>
  <c r="AB166" i="1" l="1"/>
  <c r="AB127" i="1" s="1"/>
  <c r="AB128" i="1" s="1"/>
  <c r="Z165" i="1"/>
  <c r="Z144" i="1" s="1"/>
  <c r="AB144" i="1"/>
  <c r="AB145" i="1" s="1"/>
  <c r="AA165" i="1" l="1"/>
  <c r="AA166" i="1" s="1"/>
  <c r="AA127" i="1" s="1"/>
  <c r="AA128" i="1" s="1"/>
  <c r="Z166" i="1"/>
  <c r="Z127" i="1" s="1"/>
  <c r="Z128" i="1" s="1"/>
  <c r="AC139" i="1"/>
  <c r="Z145" i="1"/>
  <c r="Z146" i="1"/>
  <c r="AH10" i="46"/>
  <c r="Z131" i="1" l="1"/>
  <c r="AA144" i="1"/>
  <c r="AA145" i="1" s="1"/>
  <c r="AE139" i="1"/>
  <c r="AA147" i="1" l="1"/>
  <c r="AA14" i="1" s="1"/>
  <c r="AA25" i="2" l="1"/>
  <c r="AA26" i="2"/>
  <c r="AM412" i="43"/>
  <c r="AB125" i="1" s="1"/>
  <c r="O36" i="46"/>
  <c r="AH40" i="46" s="1"/>
  <c r="AA31" i="2" l="1"/>
  <c r="AB126" i="1"/>
  <c r="AB131" i="1"/>
  <c r="AL412" i="43"/>
  <c r="AA125" i="1" s="1"/>
  <c r="AM47" i="43"/>
  <c r="AM413" i="43"/>
  <c r="AH41" i="46"/>
  <c r="AM411" i="43"/>
  <c r="AA126" i="1" l="1"/>
  <c r="AA131" i="1"/>
  <c r="AL47" i="43"/>
  <c r="AH9" i="46" l="1"/>
  <c r="AA35" i="2" l="1"/>
  <c r="AA37" i="2"/>
  <c r="O42" i="46"/>
  <c r="AA29" i="1" l="1"/>
  <c r="AA56" i="2"/>
  <c r="AE85" i="1"/>
  <c r="BN160" i="8"/>
  <c r="BN166" i="8" s="1"/>
  <c r="AH53" i="46" s="1"/>
  <c r="AA40" i="2"/>
  <c r="BN168" i="8" l="1"/>
  <c r="AH51" i="46" s="1"/>
  <c r="BN167" i="8"/>
  <c r="AH52" i="46" s="1"/>
  <c r="AH14" i="46"/>
  <c r="BL160" i="8"/>
  <c r="BL166" i="8" s="1"/>
  <c r="AC29" i="1"/>
  <c r="AC34" i="1" s="1"/>
  <c r="AC36" i="1" s="1"/>
  <c r="AD85" i="1"/>
  <c r="BL168" i="8" l="1"/>
  <c r="BL167" i="8"/>
  <c r="AA45" i="2" l="1"/>
  <c r="BN75" i="8"/>
  <c r="AB17" i="2" s="1"/>
  <c r="BN76" i="8"/>
  <c r="BN196" i="8"/>
  <c r="BN201" i="8" s="1"/>
  <c r="O20" i="46" l="1"/>
  <c r="BN79" i="8"/>
  <c r="AB236" i="1" s="1"/>
  <c r="AB241" i="1" s="1"/>
  <c r="O30" i="46"/>
  <c r="O32" i="46" s="1"/>
  <c r="BM196" i="8"/>
  <c r="BM201" i="8" s="1"/>
  <c r="BM77" i="8" s="1"/>
  <c r="BM75" i="8"/>
  <c r="AA17" i="2" s="1"/>
  <c r="BN202" i="8"/>
  <c r="BN77" i="8"/>
  <c r="BN141" i="8"/>
  <c r="BN143" i="8" s="1"/>
  <c r="BN150" i="8" s="1"/>
  <c r="BN152" i="8" s="1"/>
  <c r="AB21" i="2"/>
  <c r="AB67" i="2"/>
  <c r="AB69" i="2" s="1"/>
  <c r="BN84" i="8" l="1"/>
  <c r="BM84" i="8" s="1"/>
  <c r="AB237" i="1"/>
  <c r="BN88" i="8"/>
  <c r="BM79" i="8"/>
  <c r="BM88" i="8" s="1"/>
  <c r="AA175" i="1" s="1"/>
  <c r="AA179" i="1" s="1"/>
  <c r="AA186" i="1" s="1"/>
  <c r="BN195" i="8"/>
  <c r="AB22" i="2"/>
  <c r="AB42" i="2" s="1"/>
  <c r="AB47" i="2" s="1"/>
  <c r="AE44" i="2" s="1"/>
  <c r="BM198" i="8"/>
  <c r="BM203" i="8" s="1"/>
  <c r="BM76" i="8" s="1"/>
  <c r="BM202" i="8"/>
  <c r="AA98" i="1"/>
  <c r="AA21" i="2"/>
  <c r="O34" i="46"/>
  <c r="O35" i="46" s="1"/>
  <c r="O37" i="46" s="1"/>
  <c r="O39" i="46" s="1"/>
  <c r="AB77" i="2"/>
  <c r="AB73" i="2"/>
  <c r="AB175" i="1" l="1"/>
  <c r="AB179" i="1" s="1"/>
  <c r="O22" i="46"/>
  <c r="AH28" i="46" s="1"/>
  <c r="BN111" i="8"/>
  <c r="BN118" i="8" s="1"/>
  <c r="BN100" i="8" s="1"/>
  <c r="BN89" i="8"/>
  <c r="AB229" i="1"/>
  <c r="BN93" i="8"/>
  <c r="BN94" i="8" s="1"/>
  <c r="BN91" i="8"/>
  <c r="BM91" i="8" s="1"/>
  <c r="AA236" i="1"/>
  <c r="AA237" i="1" s="1"/>
  <c r="AC44" i="2"/>
  <c r="AA107" i="1"/>
  <c r="AA109" i="1" s="1"/>
  <c r="AA113" i="1" s="1"/>
  <c r="AA99" i="1"/>
  <c r="AA100" i="1" s="1"/>
  <c r="AA22" i="2"/>
  <c r="AA42" i="2" s="1"/>
  <c r="AA47" i="2" s="1"/>
  <c r="AA229" i="1"/>
  <c r="BM89" i="8"/>
  <c r="BM111" i="8"/>
  <c r="BM118" i="8" s="1"/>
  <c r="AB192" i="1" l="1"/>
  <c r="AB193" i="1" s="1"/>
  <c r="AA192" i="1"/>
  <c r="AA193" i="1" s="1"/>
  <c r="O21" i="46"/>
  <c r="AH27" i="46" s="1"/>
  <c r="BN119" i="8"/>
  <c r="BN123" i="8"/>
  <c r="BN126" i="8" s="1"/>
  <c r="BN154" i="8"/>
  <c r="BN157" i="8" s="1"/>
  <c r="BM93" i="8"/>
  <c r="BM94" i="8" s="1"/>
  <c r="AA189" i="1"/>
  <c r="BN185" i="8"/>
  <c r="BM119" i="8"/>
  <c r="BM123" i="8"/>
  <c r="BN120" i="8"/>
  <c r="BN124" i="8" l="1"/>
  <c r="BN127" i="8" s="1"/>
  <c r="AH36" i="46"/>
  <c r="O23" i="46"/>
  <c r="AH29" i="46" s="1"/>
  <c r="AB240" i="1"/>
  <c r="AB247" i="1"/>
  <c r="AH19" i="46"/>
  <c r="BN186" i="8"/>
  <c r="BN187" i="8"/>
  <c r="O24" i="46"/>
  <c r="BM185" i="8"/>
  <c r="AA247" i="1"/>
  <c r="AA240" i="1"/>
  <c r="BM124" i="8"/>
  <c r="BM127" i="8" s="1"/>
  <c r="BM126" i="8"/>
  <c r="AH50" i="46" l="1"/>
  <c r="AH54" i="46"/>
  <c r="AH55" i="46"/>
  <c r="BM186" i="8"/>
  <c r="BM187" i="8"/>
  <c r="AE173" i="1" l="1"/>
  <c r="AA9" i="1" l="1"/>
  <c r="AA10" i="1" s="1"/>
  <c r="AH8" i="46"/>
  <c r="AA12" i="1" l="1"/>
  <c r="AA15" i="1"/>
  <c r="AG15" i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A16" i="1"/>
  <c r="AB249" i="1"/>
  <c r="AB250" i="1" s="1"/>
  <c r="AB253" i="1" s="1"/>
  <c r="AH12" i="46"/>
  <c r="AH11" i="46" l="1"/>
  <c r="AG12" i="1" l="1"/>
  <c r="AH12" i="1" l="1"/>
  <c r="AI12" i="1" l="1"/>
  <c r="AJ12" i="1" l="1"/>
  <c r="AK12" i="1" l="1"/>
  <c r="AL12" i="1" l="1"/>
  <c r="AM12" i="1" l="1"/>
  <c r="AN12" i="1" l="1"/>
  <c r="AO12" i="1" l="1"/>
  <c r="AP12" i="1" l="1"/>
  <c r="AQ12" i="1" l="1"/>
  <c r="AA23" i="1" l="1"/>
  <c r="AA24" i="1"/>
  <c r="AG24" i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A25" i="1"/>
  <c r="AG25" i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A26" i="1"/>
  <c r="AG26" i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H13" i="46"/>
  <c r="AA27" i="1" l="1"/>
  <c r="AG23" i="1" l="1"/>
  <c r="AH23" i="1" s="1"/>
  <c r="AI23" i="1" l="1"/>
  <c r="AJ23" i="1" l="1"/>
  <c r="AK23" i="1" l="1"/>
  <c r="AL23" i="1" l="1"/>
  <c r="AM23" i="1" l="1"/>
  <c r="AN23" i="1" l="1"/>
  <c r="AO23" i="1" l="1"/>
  <c r="AP23" i="1" l="1"/>
  <c r="AQ23" i="1" l="1"/>
  <c r="AA30" i="1"/>
  <c r="AA31" i="1"/>
  <c r="AA32" i="1"/>
  <c r="AG32" i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A33" i="1"/>
  <c r="AA34" i="1" l="1"/>
  <c r="AA36" i="1" s="1"/>
  <c r="AH16" i="46"/>
  <c r="AH45" i="46" s="1"/>
  <c r="AG31" i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H30" i="1"/>
  <c r="AG30" i="1" l="1"/>
  <c r="AK30" i="1"/>
  <c r="AI30" i="1"/>
  <c r="AH15" i="46"/>
  <c r="AH46" i="46"/>
  <c r="AH18" i="46"/>
  <c r="AH47" i="46" s="1"/>
  <c r="AH43" i="46" l="1"/>
  <c r="AH48" i="46"/>
  <c r="AH20" i="46"/>
  <c r="AH44" i="46"/>
  <c r="AL30" i="1"/>
  <c r="AJ30" i="1"/>
  <c r="AN30" i="1"/>
  <c r="AH38" i="46" l="1"/>
  <c r="AM30" i="1"/>
  <c r="AQ30" i="1"/>
  <c r="AO30" i="1"/>
  <c r="AP30" i="1" l="1"/>
  <c r="AA41" i="1"/>
  <c r="AA208" i="1" s="1"/>
  <c r="AB2" i="1"/>
  <c r="AB54" i="2" s="1"/>
  <c r="AB231" i="1"/>
  <c r="AB232" i="1" s="1"/>
  <c r="AE227" i="1" s="1"/>
  <c r="AA231" i="1" l="1"/>
  <c r="AA232" i="1" s="1"/>
  <c r="AA43" i="1"/>
  <c r="AA47" i="1" s="1"/>
  <c r="AD208" i="1"/>
  <c r="AB233" i="1"/>
  <c r="AC227" i="1"/>
  <c r="AA233" i="1" l="1"/>
  <c r="AG208" i="1" l="1"/>
  <c r="AH41" i="1"/>
  <c r="AH208" i="1" l="1"/>
  <c r="AI41" i="1"/>
  <c r="AJ41" i="1" l="1"/>
  <c r="AK41" i="1" s="1"/>
  <c r="AI208" i="1"/>
  <c r="AJ208" i="1" l="1"/>
  <c r="AK208" i="1" l="1"/>
  <c r="AL41" i="1"/>
  <c r="AL208" i="1" l="1"/>
  <c r="AM41" i="1"/>
  <c r="AN41" i="1" l="1"/>
  <c r="AM208" i="1"/>
  <c r="AO41" i="1" l="1"/>
  <c r="AN208" i="1"/>
  <c r="AO208" i="1" l="1"/>
  <c r="AP41" i="1"/>
  <c r="AP208" i="1" l="1"/>
  <c r="AQ41" i="1"/>
  <c r="AQ208" i="1" l="1"/>
  <c r="AB91" i="1"/>
  <c r="AA92" i="1"/>
  <c r="AA91" i="1" s="1"/>
  <c r="AG91" i="1" l="1"/>
  <c r="BO255" i="8"/>
  <c r="BP70" i="8"/>
  <c r="AJ91" i="1" l="1"/>
  <c r="BT70" i="8"/>
  <c r="BT68" i="8" s="1"/>
  <c r="BQ255" i="8"/>
  <c r="BS70" i="8" l="1"/>
  <c r="BS68" i="8" s="1"/>
  <c r="AL91" i="1"/>
  <c r="AI91" i="1"/>
  <c r="BU70" i="8" s="1"/>
  <c r="AH18" i="2"/>
  <c r="BT255" i="8"/>
  <c r="BP68" i="8"/>
  <c r="AD18" i="2" s="1"/>
  <c r="BP255" i="8"/>
  <c r="BR255" i="8" l="1"/>
  <c r="BR68" i="8"/>
  <c r="AF18" i="2" s="1"/>
  <c r="AO91" i="1"/>
  <c r="AM91" i="1"/>
  <c r="BZ70" i="8" s="1"/>
  <c r="BW70" i="8"/>
  <c r="BW255" i="8" s="1"/>
  <c r="BU68" i="8"/>
  <c r="AI18" i="2" s="1"/>
  <c r="BU255" i="8"/>
  <c r="BX70" i="8"/>
  <c r="BS255" i="8"/>
  <c r="AG18" i="2"/>
  <c r="AP91" i="1" l="1"/>
  <c r="CC70" i="8" s="1"/>
  <c r="BV70" i="8"/>
  <c r="BV68" i="8" s="1"/>
  <c r="AJ18" i="2" s="1"/>
  <c r="BW68" i="8"/>
  <c r="AK18" i="2" s="1"/>
  <c r="CA70" i="8"/>
  <c r="BX68" i="8"/>
  <c r="AL18" i="2" s="1"/>
  <c r="BX255" i="8"/>
  <c r="BZ68" i="8"/>
  <c r="AN18" i="2" s="1"/>
  <c r="BY70" i="8"/>
  <c r="BZ255" i="8"/>
  <c r="BV255" i="8" l="1"/>
  <c r="BY68" i="8"/>
  <c r="AM18" i="2" s="1"/>
  <c r="BY255" i="8"/>
  <c r="CA255" i="8"/>
  <c r="CA68" i="8"/>
  <c r="AO18" i="2" s="1"/>
  <c r="CC68" i="8"/>
  <c r="AQ18" i="2" s="1"/>
  <c r="CC255" i="8"/>
  <c r="CB70" i="8"/>
  <c r="CB68" i="8" l="1"/>
  <c r="AP18" i="2" s="1"/>
  <c r="CB255" i="8"/>
  <c r="AC230" i="1" l="1"/>
  <c r="AC40" i="2"/>
  <c r="AA13" i="1" l="1"/>
  <c r="AA17" i="1" l="1"/>
  <c r="AA19" i="1" s="1"/>
  <c r="AA38" i="1" s="1"/>
  <c r="AA48" i="1" s="1"/>
  <c r="AA2" i="1" s="1"/>
  <c r="AA54" i="2" s="1"/>
  <c r="AA249" i="1"/>
  <c r="AA250" i="1" s="1"/>
  <c r="AA253" i="1" s="1"/>
  <c r="AC116" i="1"/>
  <c r="P31" i="46" l="1"/>
  <c r="BP67" i="8"/>
  <c r="BP71" i="8" s="1"/>
  <c r="P18" i="46" l="1"/>
  <c r="AD19" i="2"/>
  <c r="AN394" i="43" l="1"/>
  <c r="AN397" i="43" l="1"/>
  <c r="AC202" i="1" s="1"/>
  <c r="AD200" i="1" l="1"/>
  <c r="AC201" i="1"/>
  <c r="AO389" i="43" l="1"/>
  <c r="AP397" i="43"/>
  <c r="AO397" i="43" l="1"/>
  <c r="AO390" i="43"/>
  <c r="AP394" i="43"/>
  <c r="AO393" i="43"/>
  <c r="AO394" i="43" l="1"/>
  <c r="BP86" i="8"/>
  <c r="BQ216" i="8"/>
  <c r="AE201" i="1"/>
  <c r="AD201" i="1" l="1"/>
  <c r="AD202" i="1"/>
  <c r="AI17" i="46"/>
  <c r="AH45" i="1"/>
  <c r="AE202" i="1"/>
  <c r="AF200" i="1" s="1"/>
  <c r="AF201" i="1" s="1"/>
  <c r="AG45" i="1" l="1"/>
  <c r="AG202" i="1" s="1"/>
  <c r="AG200" i="1"/>
  <c r="AH200" i="1"/>
  <c r="AJ17" i="46"/>
  <c r="AI45" i="1"/>
  <c r="AK45" i="1"/>
  <c r="AH202" i="1"/>
  <c r="AK200" i="1" l="1"/>
  <c r="AI200" i="1"/>
  <c r="AK17" i="46"/>
  <c r="AN45" i="1"/>
  <c r="AL17" i="46" s="1"/>
  <c r="AK202" i="1"/>
  <c r="AL45" i="1"/>
  <c r="AJ45" i="1"/>
  <c r="AJ202" i="1" s="1"/>
  <c r="AI202" i="1"/>
  <c r="AJ200" i="1" s="1"/>
  <c r="AN202" i="1" l="1"/>
  <c r="AQ45" i="1"/>
  <c r="AQ202" i="1" s="1"/>
  <c r="AO45" i="1"/>
  <c r="AM45" i="1"/>
  <c r="AM202" i="1" s="1"/>
  <c r="AL202" i="1"/>
  <c r="AM200" i="1" s="1"/>
  <c r="AL200" i="1"/>
  <c r="AN200" i="1"/>
  <c r="AD139" i="1"/>
  <c r="AO202" i="1" l="1"/>
  <c r="AP200" i="1" s="1"/>
  <c r="AP45" i="1"/>
  <c r="AP202" i="1" s="1"/>
  <c r="AQ200" i="1"/>
  <c r="AO200" i="1"/>
  <c r="AN256" i="43" l="1"/>
  <c r="AQ257" i="43" s="1"/>
  <c r="BO269" i="8"/>
  <c r="AN258" i="43" l="1"/>
  <c r="AQ259" i="43" s="1"/>
  <c r="AN257" i="43"/>
  <c r="AT256" i="43"/>
  <c r="AN259" i="43" l="1"/>
  <c r="AT258" i="43"/>
  <c r="AW256" i="43"/>
  <c r="AT262" i="43"/>
  <c r="AT259" i="43" l="1"/>
  <c r="AT263" i="43"/>
  <c r="AT264" i="43"/>
  <c r="AT270" i="43"/>
  <c r="AZ256" i="43"/>
  <c r="AW262" i="43"/>
  <c r="AW258" i="43"/>
  <c r="AW259" i="43" s="1"/>
  <c r="AZ258" i="43" l="1"/>
  <c r="AZ259" i="43" s="1"/>
  <c r="AZ262" i="43"/>
  <c r="AW270" i="43"/>
  <c r="AW263" i="43"/>
  <c r="AW264" i="43"/>
  <c r="AT273" i="43"/>
  <c r="AT271" i="43"/>
  <c r="BR269" i="8"/>
  <c r="AT272" i="43" l="1"/>
  <c r="BU269" i="8"/>
  <c r="AW271" i="43"/>
  <c r="AW273" i="43"/>
  <c r="AZ263" i="43"/>
  <c r="AZ264" i="43"/>
  <c r="AZ270" i="43"/>
  <c r="AW272" i="43" l="1"/>
  <c r="BX269" i="8"/>
  <c r="AZ273" i="43"/>
  <c r="AZ271" i="43"/>
  <c r="AZ272" i="43" l="1"/>
  <c r="CA269" i="8"/>
  <c r="AN31" i="43" l="1"/>
  <c r="AN285" i="43"/>
  <c r="AQ286" i="43" s="1"/>
  <c r="AN286" i="43" l="1"/>
  <c r="AN287" i="43"/>
  <c r="AN288" i="43" s="1"/>
  <c r="AT285" i="43" l="1"/>
  <c r="AW285" i="43" l="1"/>
  <c r="AT293" i="43"/>
  <c r="AT287" i="43"/>
  <c r="AT31" i="43" l="1"/>
  <c r="AT302" i="43"/>
  <c r="AT294" i="43"/>
  <c r="AW293" i="43"/>
  <c r="AW287" i="43"/>
  <c r="AW288" i="43" s="1"/>
  <c r="AZ285" i="43"/>
  <c r="AW31" i="43" l="1"/>
  <c r="AW294" i="43"/>
  <c r="AW302" i="43"/>
  <c r="AZ293" i="43"/>
  <c r="AZ287" i="43"/>
  <c r="AZ288" i="43" s="1"/>
  <c r="AT299" i="43"/>
  <c r="AT55" i="43"/>
  <c r="AT303" i="43"/>
  <c r="AW55" i="43" l="1"/>
  <c r="AW303" i="43"/>
  <c r="AW299" i="43"/>
  <c r="AT300" i="43"/>
  <c r="AZ31" i="43"/>
  <c r="AZ302" i="43"/>
  <c r="AZ294" i="43"/>
  <c r="AZ299" i="43" l="1"/>
  <c r="AZ55" i="43"/>
  <c r="AZ303" i="43"/>
  <c r="AW300" i="43"/>
  <c r="AZ300" i="43" l="1"/>
  <c r="AN55" i="43" l="1"/>
  <c r="AN296" i="43"/>
  <c r="AN44" i="43" l="1"/>
  <c r="AN41" i="43"/>
  <c r="AN43" i="43" s="1"/>
  <c r="AQ46" i="43" s="1"/>
  <c r="AN297" i="43"/>
  <c r="AN59" i="43" l="1"/>
  <c r="BO52" i="8"/>
  <c r="AC164" i="1"/>
  <c r="AC16" i="2"/>
  <c r="AN47" i="43"/>
  <c r="AN45" i="43"/>
  <c r="AN46" i="43"/>
  <c r="BO58" i="8" l="1"/>
  <c r="BO64" i="8" s="1"/>
  <c r="BO73" i="8" s="1"/>
  <c r="AC167" i="1"/>
  <c r="BO134" i="8"/>
  <c r="BO53" i="8"/>
  <c r="AC222" i="1"/>
  <c r="AC221" i="1"/>
  <c r="AC251" i="1" s="1"/>
  <c r="AC252" i="1" s="1"/>
  <c r="AN60" i="43"/>
  <c r="AN62" i="43"/>
  <c r="BO60" i="8" l="1"/>
  <c r="BO59" i="8"/>
  <c r="BO55" i="8"/>
  <c r="BO56" i="8" s="1"/>
  <c r="BO136" i="8"/>
  <c r="BO139" i="8" s="1"/>
  <c r="BO65" i="8"/>
  <c r="AC15" i="2"/>
  <c r="BO193" i="8"/>
  <c r="AC223" i="1"/>
  <c r="AN61" i="43"/>
  <c r="BO191" i="8" l="1"/>
  <c r="BO203" i="8"/>
  <c r="BO132" i="8"/>
  <c r="AD116" i="1"/>
  <c r="AC238" i="1"/>
  <c r="AC239" i="1" s="1"/>
  <c r="BO201" i="8" l="1"/>
  <c r="BO202" i="8" s="1"/>
  <c r="AC249" i="1"/>
  <c r="AC250" i="1" s="1"/>
  <c r="AC253" i="1" s="1"/>
  <c r="BO77" i="8" l="1"/>
  <c r="BO141" i="8"/>
  <c r="BO143" i="8" s="1"/>
  <c r="BO150" i="8" s="1"/>
  <c r="BO152" i="8" s="1"/>
  <c r="BO75" i="8"/>
  <c r="BO79" i="8" l="1"/>
  <c r="AC17" i="2"/>
  <c r="AC21" i="2" s="1"/>
  <c r="BO76" i="8"/>
  <c r="BO84" i="8" l="1"/>
  <c r="BO88" i="8"/>
  <c r="BO91" i="8" s="1"/>
  <c r="AC22" i="2"/>
  <c r="AC42" i="2" s="1"/>
  <c r="AC47" i="2" s="1"/>
  <c r="BO111" i="8" l="1"/>
  <c r="BO118" i="8" s="1"/>
  <c r="AC175" i="1"/>
  <c r="AC177" i="1" s="1"/>
  <c r="BO93" i="8"/>
  <c r="BO94" i="8" s="1"/>
  <c r="BO89" i="8"/>
  <c r="AC236" i="1"/>
  <c r="AC237" i="1" s="1"/>
  <c r="AC6" i="1"/>
  <c r="AD44" i="2"/>
  <c r="AC192" i="1" l="1"/>
  <c r="AC193" i="1" s="1"/>
  <c r="AC98" i="1"/>
  <c r="AC99" i="1" s="1"/>
  <c r="AC100" i="1" s="1"/>
  <c r="BO123" i="8"/>
  <c r="BO154" i="8"/>
  <c r="BO157" i="8" s="1"/>
  <c r="BO119" i="8"/>
  <c r="AC179" i="1"/>
  <c r="AC10" i="1"/>
  <c r="AC19" i="1" s="1"/>
  <c r="AC38" i="1" s="1"/>
  <c r="AC229" i="1"/>
  <c r="BO126" i="8" l="1"/>
  <c r="AC107" i="1"/>
  <c r="AC109" i="1" s="1"/>
  <c r="AC113" i="1" s="1"/>
  <c r="BO124" i="8"/>
  <c r="BO127" i="8" s="1"/>
  <c r="AD97" i="1"/>
  <c r="AC240" i="1" l="1"/>
  <c r="AC247" i="1"/>
  <c r="AN32" i="43" l="1"/>
  <c r="AN33" i="43" s="1"/>
  <c r="AN337" i="43"/>
  <c r="AN338" i="43" s="1"/>
  <c r="BO270" i="8"/>
  <c r="AN339" i="43" l="1"/>
  <c r="AN340" i="43"/>
  <c r="BO49" i="8"/>
  <c r="BO50" i="8" l="1"/>
  <c r="BO46" i="8"/>
  <c r="BO47" i="8" s="1"/>
  <c r="AC47" i="1" l="1"/>
  <c r="AC48" i="1" s="1"/>
  <c r="AC2" i="1" s="1"/>
  <c r="AC54" i="2" s="1"/>
  <c r="AD173" i="1"/>
  <c r="AC231" i="1"/>
  <c r="AC232" i="1" s="1"/>
  <c r="AD227" i="1" s="1"/>
  <c r="AC233" i="1" l="1"/>
  <c r="AP84" i="43" l="1"/>
  <c r="AP281" i="43" s="1"/>
  <c r="AP282" i="43" s="1"/>
  <c r="AO90" i="43"/>
  <c r="AP96" i="43"/>
  <c r="AP97" i="43"/>
  <c r="AP98" i="43" s="1"/>
  <c r="AP99" i="43"/>
  <c r="AP145" i="43"/>
  <c r="AS145" i="43" s="1"/>
  <c r="AP226" i="43"/>
  <c r="AP85" i="43" l="1"/>
  <c r="AO99" i="43"/>
  <c r="BP28" i="8"/>
  <c r="BP22" i="8"/>
  <c r="AP5" i="43"/>
  <c r="AP7" i="43" s="1"/>
  <c r="AP35" i="43" s="1"/>
  <c r="AP294" i="43"/>
  <c r="AP87" i="43"/>
  <c r="AO84" i="43"/>
  <c r="AO5" i="43" s="1"/>
  <c r="P10" i="46"/>
  <c r="AP20" i="43"/>
  <c r="AP22" i="43" s="1"/>
  <c r="BQ11" i="8" s="1"/>
  <c r="AP230" i="43"/>
  <c r="AP231" i="43" s="1"/>
  <c r="AO229" i="43"/>
  <c r="AP232" i="43"/>
  <c r="AO96" i="43"/>
  <c r="AO145" i="43"/>
  <c r="AO97" i="43"/>
  <c r="AO98" i="43" s="1"/>
  <c r="AO280" i="43"/>
  <c r="AO226" i="43"/>
  <c r="AV145" i="43"/>
  <c r="AP8" i="43" l="1"/>
  <c r="AP203" i="43"/>
  <c r="AP204" i="43" s="1"/>
  <c r="AP86" i="43"/>
  <c r="AS282" i="43"/>
  <c r="BQ37" i="8"/>
  <c r="BQ18" i="8"/>
  <c r="BQ6" i="8"/>
  <c r="P8" i="46" s="1"/>
  <c r="AI24" i="46" s="1"/>
  <c r="BQ38" i="8"/>
  <c r="BQ40" i="8" s="1"/>
  <c r="BQ41" i="8" s="1"/>
  <c r="AN9" i="43"/>
  <c r="AO9" i="43" s="1"/>
  <c r="CV15" i="43"/>
  <c r="AP10" i="43"/>
  <c r="AP205" i="43"/>
  <c r="AP206" i="43" s="1"/>
  <c r="AH53" i="1"/>
  <c r="AO87" i="43"/>
  <c r="AO85" i="43"/>
  <c r="AO86" i="43" s="1"/>
  <c r="AO92" i="43" s="1"/>
  <c r="AO281" i="43"/>
  <c r="AO20" i="43"/>
  <c r="AO22" i="43" s="1"/>
  <c r="AO230" i="43"/>
  <c r="AO231" i="43" s="1"/>
  <c r="AO232" i="43"/>
  <c r="AY145" i="43"/>
  <c r="AT145" i="43"/>
  <c r="AT143" i="43" s="1"/>
  <c r="AO7" i="43"/>
  <c r="AP23" i="43"/>
  <c r="AP17" i="43"/>
  <c r="AP18" i="43" s="1"/>
  <c r="AS84" i="43" l="1"/>
  <c r="AV85" i="43"/>
  <c r="AS86" i="43"/>
  <c r="AP91" i="43"/>
  <c r="AP92" i="43"/>
  <c r="BQ8" i="8"/>
  <c r="AE74" i="1"/>
  <c r="AE57" i="1"/>
  <c r="AE56" i="1"/>
  <c r="BQ147" i="8"/>
  <c r="BQ148" i="8" s="1"/>
  <c r="BQ7" i="8"/>
  <c r="BQ10" i="8"/>
  <c r="BQ12" i="8"/>
  <c r="BQ13" i="8" s="1"/>
  <c r="AO91" i="43"/>
  <c r="AO149" i="43" s="1"/>
  <c r="BP38" i="8"/>
  <c r="BP40" i="8" s="1"/>
  <c r="BP41" i="8" s="1"/>
  <c r="BP18" i="8"/>
  <c r="AD55" i="1"/>
  <c r="AD7" i="1" s="1"/>
  <c r="AO23" i="43"/>
  <c r="BP11" i="8"/>
  <c r="AO205" i="43"/>
  <c r="AO206" i="43" s="1"/>
  <c r="AO10" i="43"/>
  <c r="AO17" i="43"/>
  <c r="AO18" i="43" s="1"/>
  <c r="AO8" i="43"/>
  <c r="AO203" i="43"/>
  <c r="AO204" i="43" s="1"/>
  <c r="BP6" i="8"/>
  <c r="AW145" i="43"/>
  <c r="AW143" i="43" s="1"/>
  <c r="BB145" i="43"/>
  <c r="AO282" i="43"/>
  <c r="AP95" i="43" l="1"/>
  <c r="AP149" i="43"/>
  <c r="AP93" i="43"/>
  <c r="AO93" i="43"/>
  <c r="AY85" i="43"/>
  <c r="AV86" i="43"/>
  <c r="AV84" i="43"/>
  <c r="AO95" i="43"/>
  <c r="Q10" i="46"/>
  <c r="AS90" i="43"/>
  <c r="AS5" i="43"/>
  <c r="AS297" i="43" s="1"/>
  <c r="AS280" i="43"/>
  <c r="AS87" i="43"/>
  <c r="AD54" i="1"/>
  <c r="AE64" i="1"/>
  <c r="AE71" i="1"/>
  <c r="AE63" i="1"/>
  <c r="AE70" i="1"/>
  <c r="AD57" i="1"/>
  <c r="BP37" i="8"/>
  <c r="AD56" i="1"/>
  <c r="AW144" i="43"/>
  <c r="AW147" i="43"/>
  <c r="AW148" i="43" s="1"/>
  <c r="AW149" i="43" s="1"/>
  <c r="BP7" i="8"/>
  <c r="AZ145" i="43"/>
  <c r="AZ143" i="43" s="1"/>
  <c r="AI32" i="46"/>
  <c r="BP12" i="8"/>
  <c r="BP13" i="8" s="1"/>
  <c r="BP10" i="8"/>
  <c r="AS143" i="43" l="1"/>
  <c r="AS99" i="43"/>
  <c r="AS91" i="43"/>
  <c r="AS97" i="43"/>
  <c r="AS98" i="43" s="1"/>
  <c r="AS96" i="43"/>
  <c r="AS95" i="43" s="1"/>
  <c r="AS92" i="43"/>
  <c r="AV87" i="43"/>
  <c r="AV280" i="43"/>
  <c r="AV5" i="43"/>
  <c r="AV297" i="43" s="1"/>
  <c r="AU84" i="43"/>
  <c r="R10" i="46"/>
  <c r="AV90" i="43"/>
  <c r="AS229" i="43"/>
  <c r="AY86" i="43"/>
  <c r="AY84" i="43"/>
  <c r="S10" i="46" s="1"/>
  <c r="BB85" i="43"/>
  <c r="AH67" i="1"/>
  <c r="AD69" i="1"/>
  <c r="AD21" i="1" s="1"/>
  <c r="AD27" i="1" s="1"/>
  <c r="AF67" i="1"/>
  <c r="AD62" i="1"/>
  <c r="AH60" i="1"/>
  <c r="AZ144" i="43"/>
  <c r="AZ147" i="43"/>
  <c r="AZ148" i="43" s="1"/>
  <c r="AZ149" i="43" s="1"/>
  <c r="AV99" i="43" l="1"/>
  <c r="AV97" i="43"/>
  <c r="AV98" i="43" s="1"/>
  <c r="AV143" i="43"/>
  <c r="AU90" i="43"/>
  <c r="AV96" i="43"/>
  <c r="AV91" i="43"/>
  <c r="AS93" i="43"/>
  <c r="AU5" i="43"/>
  <c r="AU297" i="43" s="1"/>
  <c r="AU85" i="43"/>
  <c r="AV229" i="43"/>
  <c r="AV210" i="43" s="1"/>
  <c r="AU210" i="43" s="1"/>
  <c r="AU280" i="43"/>
  <c r="AU281" i="43" s="1"/>
  <c r="AS147" i="43"/>
  <c r="AS148" i="43" s="1"/>
  <c r="AS149" i="43" s="1"/>
  <c r="AS144" i="43"/>
  <c r="BB84" i="43"/>
  <c r="BB86" i="43"/>
  <c r="AS210" i="43"/>
  <c r="AS232" i="43"/>
  <c r="AS20" i="43"/>
  <c r="AS230" i="43"/>
  <c r="AS231" i="43" s="1"/>
  <c r="AY87" i="43"/>
  <c r="AY280" i="43"/>
  <c r="AY90" i="43"/>
  <c r="AX84" i="43"/>
  <c r="AY5" i="43"/>
  <c r="AY297" i="43" s="1"/>
  <c r="AV92" i="43"/>
  <c r="AD64" i="1"/>
  <c r="AD8" i="1"/>
  <c r="AE248" i="1"/>
  <c r="AD75" i="1"/>
  <c r="AD61" i="1"/>
  <c r="AD63" i="1"/>
  <c r="AD51" i="1"/>
  <c r="AD70" i="1"/>
  <c r="AD68" i="1"/>
  <c r="AD71" i="1"/>
  <c r="AI13" i="46"/>
  <c r="AV93" i="43" l="1"/>
  <c r="AV95" i="43"/>
  <c r="AS226" i="43"/>
  <c r="AX87" i="43"/>
  <c r="AX5" i="43"/>
  <c r="AX297" i="43" s="1"/>
  <c r="AX85" i="43"/>
  <c r="AX86" i="43" s="1"/>
  <c r="AY143" i="43"/>
  <c r="AY91" i="43"/>
  <c r="AX90" i="43"/>
  <c r="AY96" i="43"/>
  <c r="AY97" i="43"/>
  <c r="AY98" i="43" s="1"/>
  <c r="AY99" i="43"/>
  <c r="AV20" i="43"/>
  <c r="AV232" i="43"/>
  <c r="AV230" i="43"/>
  <c r="AV231" i="43" s="1"/>
  <c r="AU229" i="43"/>
  <c r="AV144" i="43"/>
  <c r="AU143" i="43"/>
  <c r="AV147" i="43"/>
  <c r="AV148" i="43" s="1"/>
  <c r="AV149" i="43" s="1"/>
  <c r="AU97" i="43"/>
  <c r="AY229" i="43"/>
  <c r="AY210" i="43" s="1"/>
  <c r="AX280" i="43"/>
  <c r="AX281" i="43" s="1"/>
  <c r="AX282" i="43" s="1"/>
  <c r="BB280" i="43"/>
  <c r="BB5" i="43"/>
  <c r="BB297" i="43" s="1"/>
  <c r="BB90" i="43"/>
  <c r="BB92" i="43" s="1"/>
  <c r="BB87" i="43"/>
  <c r="BA84" i="43"/>
  <c r="AV226" i="43"/>
  <c r="AU226" i="43"/>
  <c r="AY92" i="43"/>
  <c r="AD74" i="1"/>
  <c r="AD248" i="1"/>
  <c r="AD73" i="1"/>
  <c r="AD20" i="2" s="1"/>
  <c r="AY93" i="43" l="1"/>
  <c r="AX92" i="43"/>
  <c r="AX210" i="43"/>
  <c r="AX226" i="43" s="1"/>
  <c r="AY226" i="43"/>
  <c r="BA280" i="43"/>
  <c r="BA281" i="43" s="1"/>
  <c r="BA282" i="43" s="1"/>
  <c r="BB229" i="43"/>
  <c r="AY230" i="43"/>
  <c r="AY231" i="43" s="1"/>
  <c r="AY20" i="43"/>
  <c r="AX229" i="43"/>
  <c r="AY232" i="43"/>
  <c r="AU145" i="43"/>
  <c r="BA85" i="43"/>
  <c r="BA86" i="43" s="1"/>
  <c r="BA5" i="43"/>
  <c r="BA297" i="43" s="1"/>
  <c r="BA87" i="43"/>
  <c r="AY95" i="43"/>
  <c r="AU230" i="43"/>
  <c r="AU20" i="43"/>
  <c r="AX96" i="43"/>
  <c r="AX99" i="43"/>
  <c r="AX91" i="43"/>
  <c r="AX97" i="43"/>
  <c r="AX98" i="43" s="1"/>
  <c r="BB143" i="43"/>
  <c r="BB99" i="43"/>
  <c r="BB97" i="43"/>
  <c r="BB98" i="43" s="1"/>
  <c r="BA90" i="43"/>
  <c r="BB91" i="43"/>
  <c r="BB96" i="43"/>
  <c r="AX143" i="43"/>
  <c r="AY147" i="43"/>
  <c r="AY148" i="43" s="1"/>
  <c r="AY149" i="43" s="1"/>
  <c r="AY144" i="43"/>
  <c r="P33" i="46"/>
  <c r="AX95" i="43" l="1"/>
  <c r="AX93" i="43"/>
  <c r="BA92" i="43"/>
  <c r="BB95" i="43"/>
  <c r="AX145" i="43"/>
  <c r="AX144" i="43"/>
  <c r="AX147" i="43"/>
  <c r="AX148" i="43" s="1"/>
  <c r="AX149" i="43" s="1"/>
  <c r="AX20" i="43"/>
  <c r="AX230" i="43"/>
  <c r="AX231" i="43" s="1"/>
  <c r="AX232" i="43"/>
  <c r="BB93" i="43"/>
  <c r="BA91" i="43"/>
  <c r="BA96" i="43"/>
  <c r="BA97" i="43"/>
  <c r="BA98" i="43" s="1"/>
  <c r="BA99" i="43"/>
  <c r="BB210" i="43"/>
  <c r="BB230" i="43"/>
  <c r="BB231" i="43" s="1"/>
  <c r="BA229" i="43"/>
  <c r="BB20" i="43"/>
  <c r="BB232" i="43"/>
  <c r="BB144" i="43"/>
  <c r="BB147" i="43"/>
  <c r="BB148" i="43" s="1"/>
  <c r="BB149" i="43" s="1"/>
  <c r="BA143" i="43"/>
  <c r="BA95" i="43" l="1"/>
  <c r="BA20" i="43"/>
  <c r="BA230" i="43"/>
  <c r="BA231" i="43" s="1"/>
  <c r="BA232" i="43"/>
  <c r="BA210" i="43"/>
  <c r="BA226" i="43" s="1"/>
  <c r="BB226" i="43"/>
  <c r="BA145" i="43"/>
  <c r="BA144" i="43"/>
  <c r="BA147" i="43"/>
  <c r="BA148" i="43" s="1"/>
  <c r="BA149" i="43" s="1"/>
  <c r="BA93" i="43"/>
  <c r="AP256" i="43" l="1"/>
  <c r="AS256" i="43" s="1"/>
  <c r="AO270" i="43"/>
  <c r="BQ269" i="8"/>
  <c r="P14" i="46"/>
  <c r="P46" i="46"/>
  <c r="AN269" i="43" l="1"/>
  <c r="AP258" i="43"/>
  <c r="AP259" i="43" s="1"/>
  <c r="AO271" i="43"/>
  <c r="AO272" i="43" s="1"/>
  <c r="BP269" i="8"/>
  <c r="AO273" i="43"/>
  <c r="AO256" i="43"/>
  <c r="AP257" i="43"/>
  <c r="AO258" i="43" l="1"/>
  <c r="AO257" i="43"/>
  <c r="AO262" i="43"/>
  <c r="AR256" i="43"/>
  <c r="AS258" i="43"/>
  <c r="AV256" i="43"/>
  <c r="AS262" i="43"/>
  <c r="AR257" i="43" l="1"/>
  <c r="AR258" i="43"/>
  <c r="AR259" i="43" s="1"/>
  <c r="AY256" i="43"/>
  <c r="AV262" i="43"/>
  <c r="AV258" i="43"/>
  <c r="AV259" i="43" s="1"/>
  <c r="AU256" i="43"/>
  <c r="AU257" i="43" s="1"/>
  <c r="AS259" i="43"/>
  <c r="AR262" i="43"/>
  <c r="AO263" i="43"/>
  <c r="AO264" i="43"/>
  <c r="AS263" i="43"/>
  <c r="AS264" i="43"/>
  <c r="AS270" i="43"/>
  <c r="AO259" i="43"/>
  <c r="AY258" i="43" l="1"/>
  <c r="AY259" i="43" s="1"/>
  <c r="AY262" i="43"/>
  <c r="AX256" i="43"/>
  <c r="BB256" i="43"/>
  <c r="AV264" i="43"/>
  <c r="AV263" i="43"/>
  <c r="AV270" i="43"/>
  <c r="AU262" i="43"/>
  <c r="AU258" i="43"/>
  <c r="AU259" i="43" s="1"/>
  <c r="AR264" i="43"/>
  <c r="AR263" i="43"/>
  <c r="AS271" i="43"/>
  <c r="AR270" i="43"/>
  <c r="AQ269" i="43" s="1"/>
  <c r="AS273" i="43"/>
  <c r="Q14" i="46"/>
  <c r="BA256" i="43" l="1"/>
  <c r="BB262" i="43"/>
  <c r="BB258" i="43"/>
  <c r="BB259" i="43" s="1"/>
  <c r="AR271" i="43"/>
  <c r="AR273" i="43"/>
  <c r="AX258" i="43"/>
  <c r="AX259" i="43" s="1"/>
  <c r="AX257" i="43"/>
  <c r="AX262" i="43"/>
  <c r="AS272" i="43"/>
  <c r="BT269" i="8"/>
  <c r="Q46" i="46"/>
  <c r="AV273" i="43"/>
  <c r="AU270" i="43"/>
  <c r="AV271" i="43"/>
  <c r="R14" i="46"/>
  <c r="AY263" i="43"/>
  <c r="AY270" i="43"/>
  <c r="AY264" i="43"/>
  <c r="AU263" i="43"/>
  <c r="AU264" i="43"/>
  <c r="AY271" i="43" l="1"/>
  <c r="S46" i="46" s="1"/>
  <c r="S14" i="46"/>
  <c r="AR272" i="43"/>
  <c r="BS269" i="8"/>
  <c r="BA257" i="43"/>
  <c r="BA258" i="43"/>
  <c r="BA259" i="43" s="1"/>
  <c r="BA262" i="43"/>
  <c r="AX263" i="43"/>
  <c r="AX264" i="43"/>
  <c r="AX270" i="43"/>
  <c r="AY273" i="43"/>
  <c r="AU273" i="43"/>
  <c r="AU271" i="43"/>
  <c r="BW269" i="8"/>
  <c r="AV272" i="43"/>
  <c r="R46" i="46"/>
  <c r="BB270" i="43"/>
  <c r="BB263" i="43"/>
  <c r="BB264" i="43"/>
  <c r="BA270" i="43" l="1"/>
  <c r="BB273" i="43"/>
  <c r="BB271" i="43"/>
  <c r="AX273" i="43"/>
  <c r="AX271" i="43"/>
  <c r="BV269" i="8"/>
  <c r="AU272" i="43"/>
  <c r="BA264" i="43"/>
  <c r="BA263" i="43"/>
  <c r="AY272" i="43"/>
  <c r="BZ269" i="8"/>
  <c r="BA271" i="43" l="1"/>
  <c r="BA273" i="43"/>
  <c r="BB272" i="43"/>
  <c r="CC269" i="8"/>
  <c r="AX272" i="43"/>
  <c r="BY269" i="8"/>
  <c r="BA272" i="43" l="1"/>
  <c r="CB269" i="8"/>
  <c r="AP285" i="43"/>
  <c r="AS285" i="43" s="1"/>
  <c r="AS293" i="43" s="1"/>
  <c r="AP287" i="43"/>
  <c r="AP288" i="43" s="1"/>
  <c r="AO293" i="43"/>
  <c r="AP286" i="43" l="1"/>
  <c r="AS302" i="43"/>
  <c r="AS31" i="43"/>
  <c r="AS294" i="43"/>
  <c r="AO294" i="43"/>
  <c r="AO31" i="43"/>
  <c r="AV285" i="43"/>
  <c r="AS287" i="43"/>
  <c r="AS288" i="43" s="1"/>
  <c r="AR285" i="43"/>
  <c r="AO285" i="43"/>
  <c r="AO286" i="43" l="1"/>
  <c r="AO287" i="43"/>
  <c r="AO288" i="43" s="1"/>
  <c r="AR286" i="43"/>
  <c r="AS303" i="43"/>
  <c r="AS55" i="43"/>
  <c r="AS299" i="43"/>
  <c r="Q15" i="46"/>
  <c r="AV287" i="43"/>
  <c r="AV288" i="43" s="1"/>
  <c r="AY285" i="43"/>
  <c r="AV293" i="43"/>
  <c r="AU285" i="43"/>
  <c r="AU286" i="43" l="1"/>
  <c r="AU287" i="43"/>
  <c r="AU293" i="43"/>
  <c r="AV302" i="43"/>
  <c r="AV31" i="43"/>
  <c r="AV294" i="43"/>
  <c r="AS300" i="43"/>
  <c r="AY287" i="43"/>
  <c r="AY288" i="43" s="1"/>
  <c r="BB285" i="43"/>
  <c r="AY293" i="43"/>
  <c r="AX285" i="43"/>
  <c r="AX293" i="43" l="1"/>
  <c r="AY294" i="43"/>
  <c r="AY31" i="43"/>
  <c r="AY302" i="43"/>
  <c r="S15" i="46" s="1"/>
  <c r="AX287" i="43"/>
  <c r="AX288" i="43" s="1"/>
  <c r="AX286" i="43"/>
  <c r="AV55" i="43"/>
  <c r="AU302" i="43"/>
  <c r="AV299" i="43"/>
  <c r="AV303" i="43"/>
  <c r="R15" i="46"/>
  <c r="AU31" i="43"/>
  <c r="AU294" i="43"/>
  <c r="BA285" i="43"/>
  <c r="BB293" i="43"/>
  <c r="BB287" i="43"/>
  <c r="BB288" i="43" s="1"/>
  <c r="AX294" i="43" l="1"/>
  <c r="AX31" i="43"/>
  <c r="AV300" i="43"/>
  <c r="AU299" i="43"/>
  <c r="AU300" i="43" s="1"/>
  <c r="AY299" i="43"/>
  <c r="AY55" i="43"/>
  <c r="AX302" i="43"/>
  <c r="AY303" i="43"/>
  <c r="AU303" i="43"/>
  <c r="AU55" i="43"/>
  <c r="BB31" i="43"/>
  <c r="BB294" i="43"/>
  <c r="BB302" i="43"/>
  <c r="BA293" i="43"/>
  <c r="BA286" i="43"/>
  <c r="BA287" i="43"/>
  <c r="BA288" i="43" s="1"/>
  <c r="BB303" i="43" l="1"/>
  <c r="BB299" i="43"/>
  <c r="BB55" i="43"/>
  <c r="BA302" i="43"/>
  <c r="BA294" i="43"/>
  <c r="BA31" i="43"/>
  <c r="AX55" i="43"/>
  <c r="AX303" i="43"/>
  <c r="AY300" i="43"/>
  <c r="AX299" i="43"/>
  <c r="AX300" i="43" s="1"/>
  <c r="BA299" i="43" l="1"/>
  <c r="BA300" i="43" s="1"/>
  <c r="BB300" i="43"/>
  <c r="BA303" i="43"/>
  <c r="BA55" i="43"/>
  <c r="AP318" i="43" l="1"/>
  <c r="AP321" i="43" s="1"/>
  <c r="AO321" i="43"/>
  <c r="AO322" i="43" s="1"/>
  <c r="AO324" i="43" s="1"/>
  <c r="AO327" i="43" l="1"/>
  <c r="AS317" i="43"/>
  <c r="AS321" i="43" s="1"/>
  <c r="Q54" i="46" s="1"/>
  <c r="P54" i="46"/>
  <c r="AP327" i="43"/>
  <c r="AQ317" i="43"/>
  <c r="AQ321" i="43" s="1"/>
  <c r="AQ327" i="43" s="1"/>
  <c r="AO328" i="43"/>
  <c r="AO325" i="43"/>
  <c r="AO310" i="43" s="1"/>
  <c r="AO311" i="43" s="1"/>
  <c r="AP322" i="43"/>
  <c r="AP324" i="43" s="1"/>
  <c r="AQ322" i="43" l="1"/>
  <c r="AQ324" i="43" s="1"/>
  <c r="AS322" i="43"/>
  <c r="AS324" i="43" s="1"/>
  <c r="AV317" i="43"/>
  <c r="AV321" i="43" s="1"/>
  <c r="R54" i="46" s="1"/>
  <c r="AR317" i="43"/>
  <c r="AR321" i="43" s="1"/>
  <c r="AT317" i="43" s="1"/>
  <c r="AT321" i="43" s="1"/>
  <c r="AT322" i="43" s="1"/>
  <c r="AT324" i="43" s="1"/>
  <c r="AT325" i="43" s="1"/>
  <c r="AT310" i="43" s="1"/>
  <c r="AT312" i="43" s="1"/>
  <c r="AT308" i="43" s="1"/>
  <c r="AS325" i="43"/>
  <c r="AS310" i="43" s="1"/>
  <c r="AS312" i="43" s="1"/>
  <c r="AS308" i="43" s="1"/>
  <c r="Q53" i="46"/>
  <c r="AQ21" i="43"/>
  <c r="AP328" i="43"/>
  <c r="AP325" i="43"/>
  <c r="AP310" i="43" s="1"/>
  <c r="AY317" i="43" l="1"/>
  <c r="AY321" i="43" s="1"/>
  <c r="S54" i="46" s="1"/>
  <c r="AQ313" i="43"/>
  <c r="AR313" i="43" s="1"/>
  <c r="AV322" i="43"/>
  <c r="AV324" i="43" s="1"/>
  <c r="AV325" i="43" s="1"/>
  <c r="AV310" i="43" s="1"/>
  <c r="AV312" i="43" s="1"/>
  <c r="AV308" i="43" s="1"/>
  <c r="AQ328" i="43"/>
  <c r="AQ325" i="43"/>
  <c r="AQ310" i="43" s="1"/>
  <c r="AQ311" i="43" s="1"/>
  <c r="AR322" i="43"/>
  <c r="AR324" i="43" s="1"/>
  <c r="AR325" i="43" s="1"/>
  <c r="AR310" i="43" s="1"/>
  <c r="AU317" i="43"/>
  <c r="AU321" i="43" s="1"/>
  <c r="AW317" i="43" s="1"/>
  <c r="AW321" i="43" s="1"/>
  <c r="AW322" i="43" s="1"/>
  <c r="AW324" i="43" s="1"/>
  <c r="AW325" i="43" s="1"/>
  <c r="AW310" i="43" s="1"/>
  <c r="AW312" i="43" s="1"/>
  <c r="AW308" i="43" s="1"/>
  <c r="AT6" i="43"/>
  <c r="AT7" i="43" s="1"/>
  <c r="AT307" i="43"/>
  <c r="AT327" i="43"/>
  <c r="AT333" i="43"/>
  <c r="AT328" i="43"/>
  <c r="BB317" i="43"/>
  <c r="BB321" i="43" s="1"/>
  <c r="BB322" i="43" s="1"/>
  <c r="BB324" i="43" s="1"/>
  <c r="AY322" i="43"/>
  <c r="AY324" i="43" s="1"/>
  <c r="AP311" i="43"/>
  <c r="P53" i="46"/>
  <c r="AS307" i="43"/>
  <c r="AS327" i="43"/>
  <c r="AS6" i="43"/>
  <c r="AS333" i="43"/>
  <c r="AR308" i="43"/>
  <c r="AS328" i="43"/>
  <c r="Q11" i="46"/>
  <c r="R53" i="46" l="1"/>
  <c r="AU322" i="43"/>
  <c r="AU324" i="43" s="1"/>
  <c r="AU325" i="43" s="1"/>
  <c r="AU310" i="43" s="1"/>
  <c r="AX317" i="43"/>
  <c r="AX321" i="43" s="1"/>
  <c r="AZ317" i="43" s="1"/>
  <c r="AZ321" i="43" s="1"/>
  <c r="AY325" i="43"/>
  <c r="AY310" i="43" s="1"/>
  <c r="AY312" i="43"/>
  <c r="AY308" i="43" s="1"/>
  <c r="S11" i="46" s="1"/>
  <c r="S53" i="46"/>
  <c r="AV6" i="43"/>
  <c r="AV328" i="43"/>
  <c r="AV327" i="43"/>
  <c r="AV307" i="43"/>
  <c r="AV333" i="43"/>
  <c r="AU308" i="43"/>
  <c r="R11" i="46"/>
  <c r="AT313" i="43"/>
  <c r="AU313" i="43" s="1"/>
  <c r="BA317" i="43"/>
  <c r="BA321" i="43" s="1"/>
  <c r="BA322" i="43" s="1"/>
  <c r="BA324" i="43" s="1"/>
  <c r="AR6" i="43"/>
  <c r="AR307" i="43"/>
  <c r="AR312" i="43"/>
  <c r="AR311" i="43" s="1"/>
  <c r="AR328" i="43"/>
  <c r="AR327" i="43"/>
  <c r="AX322" i="43"/>
  <c r="AX324" i="43" s="1"/>
  <c r="AX325" i="43" s="1"/>
  <c r="AX310" i="43" s="1"/>
  <c r="AR333" i="43"/>
  <c r="AS330" i="43"/>
  <c r="AS331" i="43" s="1"/>
  <c r="AS21" i="43"/>
  <c r="AS22" i="43" s="1"/>
  <c r="AS7" i="43"/>
  <c r="AZ322" i="43"/>
  <c r="AZ324" i="43" s="1"/>
  <c r="AZ325" i="43" s="1"/>
  <c r="AZ310" i="43" s="1"/>
  <c r="AZ312" i="43" s="1"/>
  <c r="AZ308" i="43" s="1"/>
  <c r="AW6" i="43"/>
  <c r="AW7" i="43" s="1"/>
  <c r="AW328" i="43"/>
  <c r="AW327" i="43"/>
  <c r="AW307" i="43"/>
  <c r="AW333" i="43"/>
  <c r="AT21" i="43"/>
  <c r="AT22" i="43" s="1"/>
  <c r="AT17" i="43" s="1"/>
  <c r="AT18" i="43" s="1"/>
  <c r="AT330" i="43"/>
  <c r="AT331" i="43" s="1"/>
  <c r="BB325" i="43"/>
  <c r="BB310" i="43" s="1"/>
  <c r="BB312" i="43" s="1"/>
  <c r="AT45" i="43"/>
  <c r="AT203" i="43"/>
  <c r="AT205" i="43"/>
  <c r="BU6" i="8"/>
  <c r="BA325" i="43" l="1"/>
  <c r="BA310" i="43" s="1"/>
  <c r="AZ307" i="43"/>
  <c r="AZ333" i="43"/>
  <c r="AZ6" i="43"/>
  <c r="AZ7" i="43" s="1"/>
  <c r="AZ328" i="43"/>
  <c r="AZ327" i="43"/>
  <c r="AV21" i="43"/>
  <c r="AV22" i="43" s="1"/>
  <c r="AU333" i="43"/>
  <c r="AV330" i="43"/>
  <c r="AV331" i="43" s="1"/>
  <c r="AW8" i="43"/>
  <c r="AW203" i="43"/>
  <c r="AW204" i="43" s="1"/>
  <c r="AW205" i="43"/>
  <c r="AW206" i="43" s="1"/>
  <c r="AW45" i="43"/>
  <c r="AW10" i="43"/>
  <c r="BX6" i="8"/>
  <c r="AW21" i="43"/>
  <c r="AW22" i="43" s="1"/>
  <c r="AW17" i="43" s="1"/>
  <c r="AW18" i="43" s="1"/>
  <c r="AW330" i="43"/>
  <c r="AW331" i="43" s="1"/>
  <c r="AR330" i="43"/>
  <c r="AR331" i="43" s="1"/>
  <c r="AR21" i="43"/>
  <c r="AR334" i="43"/>
  <c r="AU6" i="43"/>
  <c r="AU7" i="43" s="1"/>
  <c r="AU328" i="43"/>
  <c r="AU327" i="43"/>
  <c r="AU307" i="43"/>
  <c r="AU312" i="43"/>
  <c r="AU311" i="43" s="1"/>
  <c r="AS203" i="43"/>
  <c r="AS204" i="43" s="1"/>
  <c r="AS205" i="43"/>
  <c r="AS206" i="43" s="1"/>
  <c r="AS8" i="43"/>
  <c r="BT6" i="8"/>
  <c r="AS10" i="43"/>
  <c r="AS17" i="43"/>
  <c r="AS18" i="43" s="1"/>
  <c r="AS412" i="43"/>
  <c r="AY333" i="43"/>
  <c r="AX308" i="43"/>
  <c r="AY6" i="43"/>
  <c r="AY7" i="43" s="1"/>
  <c r="AY328" i="43"/>
  <c r="BB308" i="43"/>
  <c r="AZ313" i="43" s="1"/>
  <c r="BA313" i="43" s="1"/>
  <c r="AY327" i="43"/>
  <c r="AY307" i="43"/>
  <c r="AW313" i="43"/>
  <c r="AX313" i="43" s="1"/>
  <c r="AS23" i="43"/>
  <c r="BT11" i="8"/>
  <c r="AI167" i="1"/>
  <c r="AI55" i="1"/>
  <c r="BU53" i="8"/>
  <c r="AT23" i="43"/>
  <c r="BU11" i="8"/>
  <c r="AV7" i="43"/>
  <c r="AU205" i="43" l="1"/>
  <c r="AU203" i="43"/>
  <c r="BV6" i="8"/>
  <c r="AV8" i="43"/>
  <c r="AV17" i="43"/>
  <c r="AV18" i="43" s="1"/>
  <c r="AV203" i="43"/>
  <c r="AV204" i="43" s="1"/>
  <c r="AV412" i="43"/>
  <c r="AV205" i="43"/>
  <c r="AV206" i="43" s="1"/>
  <c r="AV10" i="43"/>
  <c r="BW6" i="8"/>
  <c r="AT9" i="43"/>
  <c r="AU9" i="43" s="1"/>
  <c r="BX11" i="8"/>
  <c r="AW23" i="43"/>
  <c r="AZ10" i="43"/>
  <c r="AZ45" i="43"/>
  <c r="AZ8" i="43"/>
  <c r="AZ203" i="43"/>
  <c r="AZ204" i="43" s="1"/>
  <c r="AZ205" i="43"/>
  <c r="AZ206" i="43" s="1"/>
  <c r="CA6" i="8"/>
  <c r="AH125" i="1"/>
  <c r="AH26" i="2"/>
  <c r="AS411" i="43"/>
  <c r="AV23" i="43"/>
  <c r="BW11" i="8"/>
  <c r="BT10" i="8"/>
  <c r="BT12" i="8"/>
  <c r="AH55" i="1"/>
  <c r="BT147" i="8"/>
  <c r="BT148" i="8" s="1"/>
  <c r="BT7" i="8"/>
  <c r="Q8" i="46"/>
  <c r="AU21" i="43"/>
  <c r="AU22" i="43" s="1"/>
  <c r="AU17" i="43" s="1"/>
  <c r="AU18" i="43" s="1"/>
  <c r="AU330" i="43"/>
  <c r="AU331" i="43" s="1"/>
  <c r="AU334" i="43"/>
  <c r="AU335" i="43" s="1"/>
  <c r="AZ330" i="43"/>
  <c r="AZ331" i="43" s="1"/>
  <c r="AZ21" i="43"/>
  <c r="AZ22" i="43" s="1"/>
  <c r="AZ17" i="43" s="1"/>
  <c r="AZ18" i="43" s="1"/>
  <c r="BU10" i="8"/>
  <c r="BU12" i="8"/>
  <c r="BB6" i="43"/>
  <c r="BB7" i="43" s="1"/>
  <c r="AZ9" i="43" s="1"/>
  <c r="BA9" i="43" s="1"/>
  <c r="BB327" i="43"/>
  <c r="BB307" i="43"/>
  <c r="BB333" i="43"/>
  <c r="BA308" i="43"/>
  <c r="BB328" i="43"/>
  <c r="AR335" i="43"/>
  <c r="AY10" i="43"/>
  <c r="AY8" i="43"/>
  <c r="AY203" i="43"/>
  <c r="AY412" i="43"/>
  <c r="AY205" i="43"/>
  <c r="BZ6" i="8"/>
  <c r="S8" i="46" s="1"/>
  <c r="AX312" i="43"/>
  <c r="AX311" i="43" s="1"/>
  <c r="AX6" i="43"/>
  <c r="AX7" i="43" s="1"/>
  <c r="AX328" i="43"/>
  <c r="AX327" i="43"/>
  <c r="AX307" i="43"/>
  <c r="AI7" i="1"/>
  <c r="AJ53" i="1"/>
  <c r="AY330" i="43"/>
  <c r="AY331" i="43" s="1"/>
  <c r="AY21" i="43"/>
  <c r="AY22" i="43" s="1"/>
  <c r="AX333" i="43"/>
  <c r="AL55" i="1"/>
  <c r="AL167" i="1"/>
  <c r="BX7" i="8"/>
  <c r="BX53" i="8"/>
  <c r="AW9" i="43"/>
  <c r="AX9" i="43" s="1"/>
  <c r="AR412" i="43" l="1"/>
  <c r="AQ47" i="43"/>
  <c r="AY204" i="43"/>
  <c r="AH62" i="1"/>
  <c r="AH64" i="1" s="1"/>
  <c r="AH69" i="1"/>
  <c r="AH126" i="1"/>
  <c r="AN125" i="1"/>
  <c r="AN26" i="2"/>
  <c r="AY411" i="43"/>
  <c r="AW412" i="43"/>
  <c r="AX412" i="43" s="1"/>
  <c r="AJ24" i="46"/>
  <c r="BW10" i="8"/>
  <c r="BW12" i="8"/>
  <c r="AG55" i="1"/>
  <c r="AH7" i="1"/>
  <c r="AH54" i="1"/>
  <c r="AH57" i="1"/>
  <c r="AI53" i="1"/>
  <c r="AK53" i="1"/>
  <c r="AH31" i="2"/>
  <c r="Q36" i="46"/>
  <c r="AO55" i="1"/>
  <c r="AO167" i="1"/>
  <c r="CA53" i="8"/>
  <c r="CA7" i="8"/>
  <c r="AK125" i="1"/>
  <c r="AV411" i="43"/>
  <c r="AK26" i="2"/>
  <c r="AT412" i="43"/>
  <c r="AJ32" i="46"/>
  <c r="BT13" i="8"/>
  <c r="AY23" i="43"/>
  <c r="BZ11" i="8"/>
  <c r="AM53" i="1"/>
  <c r="AL7" i="1"/>
  <c r="AZ23" i="43"/>
  <c r="CA11" i="8"/>
  <c r="AF31" i="2"/>
  <c r="AK55" i="1"/>
  <c r="BW7" i="8"/>
  <c r="BW147" i="8"/>
  <c r="BW148" i="8" s="1"/>
  <c r="R8" i="46"/>
  <c r="AL24" i="46" s="1"/>
  <c r="BB8" i="43"/>
  <c r="BB203" i="43"/>
  <c r="BB204" i="43" s="1"/>
  <c r="BB205" i="43"/>
  <c r="BB206" i="43" s="1"/>
  <c r="BB10" i="43"/>
  <c r="CC6" i="8"/>
  <c r="BB412" i="43"/>
  <c r="AU23" i="43"/>
  <c r="BV11" i="8"/>
  <c r="AG125" i="1"/>
  <c r="AG26" i="2"/>
  <c r="AG31" i="2" s="1"/>
  <c r="AN55" i="1"/>
  <c r="BZ7" i="8"/>
  <c r="BZ147" i="8"/>
  <c r="BZ148" i="8" s="1"/>
  <c r="AY17" i="43"/>
  <c r="AY18" i="43" s="1"/>
  <c r="BA327" i="43"/>
  <c r="BA307" i="43"/>
  <c r="BA312" i="43"/>
  <c r="BA311" i="43" s="1"/>
  <c r="BA6" i="43"/>
  <c r="BA7" i="43" s="1"/>
  <c r="BA328" i="43"/>
  <c r="BX12" i="8"/>
  <c r="BX13" i="8" s="1"/>
  <c r="BX10" i="8"/>
  <c r="AX21" i="43"/>
  <c r="AX22" i="43" s="1"/>
  <c r="AX334" i="43"/>
  <c r="AX335" i="43" s="1"/>
  <c r="AX330" i="43"/>
  <c r="AX331" i="43" s="1"/>
  <c r="AI69" i="1"/>
  <c r="AI62" i="1"/>
  <c r="AX10" i="43"/>
  <c r="AX8" i="43"/>
  <c r="AX203" i="43"/>
  <c r="AX204" i="43" s="1"/>
  <c r="AX205" i="43"/>
  <c r="AX206" i="43" s="1"/>
  <c r="BY6" i="8"/>
  <c r="AY206" i="43"/>
  <c r="BB21" i="43"/>
  <c r="BB22" i="43" s="1"/>
  <c r="BB17" i="43" s="1"/>
  <c r="BB18" i="43" s="1"/>
  <c r="BA333" i="43"/>
  <c r="BB330" i="43"/>
  <c r="BB331" i="43" s="1"/>
  <c r="AN31" i="2" l="1"/>
  <c r="S36" i="46"/>
  <c r="AM125" i="1"/>
  <c r="AM126" i="1" s="1"/>
  <c r="AM26" i="2"/>
  <c r="AM31" i="2" s="1"/>
  <c r="BZ12" i="8"/>
  <c r="BZ10" i="8"/>
  <c r="AK57" i="1"/>
  <c r="AN126" i="1"/>
  <c r="AN53" i="1"/>
  <c r="AN57" i="1" s="1"/>
  <c r="AK7" i="1"/>
  <c r="AK54" i="1"/>
  <c r="AJ55" i="1"/>
  <c r="AL53" i="1"/>
  <c r="AI125" i="1"/>
  <c r="AI126" i="1" s="1"/>
  <c r="AI26" i="2"/>
  <c r="AI31" i="2" s="1"/>
  <c r="AT47" i="43"/>
  <c r="AI57" i="1"/>
  <c r="AI54" i="1"/>
  <c r="AI67" i="1"/>
  <c r="AI71" i="1" s="1"/>
  <c r="AK67" i="1"/>
  <c r="AH21" i="1"/>
  <c r="AH27" i="1" s="1"/>
  <c r="AH71" i="1"/>
  <c r="AH68" i="1"/>
  <c r="AG69" i="1"/>
  <c r="AL62" i="1"/>
  <c r="AL69" i="1"/>
  <c r="AK31" i="2"/>
  <c r="R36" i="46"/>
  <c r="AK60" i="1"/>
  <c r="AH61" i="1"/>
  <c r="AH8" i="1"/>
  <c r="AI60" i="1"/>
  <c r="AI64" i="1" s="1"/>
  <c r="AG62" i="1"/>
  <c r="AH75" i="1"/>
  <c r="BV10" i="8"/>
  <c r="BV12" i="8"/>
  <c r="AK24" i="46"/>
  <c r="AL125" i="1"/>
  <c r="AL126" i="1" s="1"/>
  <c r="AL26" i="2"/>
  <c r="AL31" i="2" s="1"/>
  <c r="AW47" i="43"/>
  <c r="BY7" i="8"/>
  <c r="AG7" i="1"/>
  <c r="AK32" i="46"/>
  <c r="BW13" i="8"/>
  <c r="BA21" i="43"/>
  <c r="BA22" i="43" s="1"/>
  <c r="BA17" i="43" s="1"/>
  <c r="BA18" i="43" s="1"/>
  <c r="BA330" i="43"/>
  <c r="BA331" i="43" s="1"/>
  <c r="BA334" i="43"/>
  <c r="BA335" i="43" s="1"/>
  <c r="AM55" i="1"/>
  <c r="AO53" i="1"/>
  <c r="AO57" i="1" s="1"/>
  <c r="AN7" i="1"/>
  <c r="AQ53" i="1"/>
  <c r="CA12" i="8"/>
  <c r="CA13" i="8" s="1"/>
  <c r="CA10" i="8"/>
  <c r="AU412" i="43"/>
  <c r="AK126" i="1"/>
  <c r="AP53" i="1"/>
  <c r="AO7" i="1"/>
  <c r="AH51" i="1"/>
  <c r="AK62" i="1"/>
  <c r="AK69" i="1"/>
  <c r="AQ55" i="1"/>
  <c r="CC7" i="8"/>
  <c r="CC147" i="8"/>
  <c r="CC148" i="8" s="1"/>
  <c r="AI8" i="1"/>
  <c r="AI75" i="1"/>
  <c r="AJ60" i="1"/>
  <c r="AI51" i="1"/>
  <c r="BB23" i="43"/>
  <c r="CC11" i="8"/>
  <c r="AI21" i="1"/>
  <c r="AI27" i="1" s="1"/>
  <c r="AJ67" i="1"/>
  <c r="BA203" i="43"/>
  <c r="BA204" i="43" s="1"/>
  <c r="BA205" i="43"/>
  <c r="BA206" i="43" s="1"/>
  <c r="BA10" i="43"/>
  <c r="CB6" i="8"/>
  <c r="BA8" i="43"/>
  <c r="AX23" i="43"/>
  <c r="BY11" i="8"/>
  <c r="AX17" i="43"/>
  <c r="AX18" i="43" s="1"/>
  <c r="AQ125" i="1"/>
  <c r="AQ26" i="2"/>
  <c r="AQ31" i="2" s="1"/>
  <c r="BB411" i="43"/>
  <c r="AZ412" i="43"/>
  <c r="BA412" i="43" s="1"/>
  <c r="AJ41" i="46"/>
  <c r="BZ13" i="8" l="1"/>
  <c r="AL32" i="46"/>
  <c r="AL41" i="46"/>
  <c r="AK64" i="1"/>
  <c r="AN54" i="1"/>
  <c r="AO54" i="1"/>
  <c r="AQ57" i="1"/>
  <c r="AH73" i="1"/>
  <c r="AJ125" i="1"/>
  <c r="AJ126" i="1" s="1"/>
  <c r="AJ26" i="2"/>
  <c r="AJ31" i="2" s="1"/>
  <c r="BA23" i="43"/>
  <c r="CB11" i="8"/>
  <c r="AG8" i="1"/>
  <c r="AG75" i="1"/>
  <c r="AL21" i="1"/>
  <c r="AL27" i="1" s="1"/>
  <c r="AM67" i="1"/>
  <c r="AJ7" i="1"/>
  <c r="AJ54" i="1"/>
  <c r="AJ56" i="1"/>
  <c r="AJ57" i="1"/>
  <c r="BY12" i="8"/>
  <c r="BY13" i="8" s="1"/>
  <c r="BY10" i="8"/>
  <c r="AL60" i="1"/>
  <c r="AL64" i="1" s="1"/>
  <c r="AK8" i="1"/>
  <c r="AK61" i="1"/>
  <c r="AJ62" i="1"/>
  <c r="AJ64" i="1" s="1"/>
  <c r="AK75" i="1"/>
  <c r="AN60" i="1"/>
  <c r="AM60" i="1"/>
  <c r="AL8" i="1"/>
  <c r="AL75" i="1"/>
  <c r="AL51" i="1"/>
  <c r="AG21" i="1"/>
  <c r="AN62" i="1"/>
  <c r="AN69" i="1"/>
  <c r="CB7" i="8"/>
  <c r="CC12" i="8"/>
  <c r="CC13" i="8" s="1"/>
  <c r="CC10" i="8"/>
  <c r="AO62" i="1"/>
  <c r="AO69" i="1"/>
  <c r="AP125" i="1"/>
  <c r="AP126" i="1" s="1"/>
  <c r="AP26" i="2"/>
  <c r="AP31" i="2" s="1"/>
  <c r="AI68" i="1"/>
  <c r="AM7" i="1"/>
  <c r="AM56" i="1"/>
  <c r="AM54" i="1"/>
  <c r="AK41" i="46"/>
  <c r="AO125" i="1"/>
  <c r="AO126" i="1" s="1"/>
  <c r="AO26" i="2"/>
  <c r="AO31" i="2" s="1"/>
  <c r="AZ47" i="43"/>
  <c r="AQ7" i="1"/>
  <c r="AQ54" i="1"/>
  <c r="AP55" i="1"/>
  <c r="AP57" i="1" s="1"/>
  <c r="AI74" i="1"/>
  <c r="AI248" i="1"/>
  <c r="AJ13" i="46"/>
  <c r="AK51" i="1"/>
  <c r="AQ126" i="1"/>
  <c r="AI61" i="1"/>
  <c r="AJ69" i="1"/>
  <c r="AK21" i="1"/>
  <c r="AK27" i="1" s="1"/>
  <c r="AK71" i="1"/>
  <c r="AL67" i="1"/>
  <c r="AL68" i="1" s="1"/>
  <c r="AK68" i="1"/>
  <c r="AN67" i="1"/>
  <c r="AG51" i="1"/>
  <c r="AH74" i="1"/>
  <c r="AH248" i="1"/>
  <c r="AM57" i="1"/>
  <c r="AL57" i="1"/>
  <c r="AL54" i="1"/>
  <c r="AN64" i="1" l="1"/>
  <c r="AH20" i="2"/>
  <c r="Q33" i="46" s="1"/>
  <c r="AK73" i="1"/>
  <c r="AO21" i="1"/>
  <c r="AO27" i="1" s="1"/>
  <c r="AP67" i="1"/>
  <c r="AO8" i="1"/>
  <c r="AO75" i="1"/>
  <c r="AP60" i="1"/>
  <c r="AO51" i="1"/>
  <c r="AL71" i="1"/>
  <c r="CB10" i="8"/>
  <c r="CB12" i="8"/>
  <c r="CB13" i="8" s="1"/>
  <c r="AN8" i="1"/>
  <c r="AN75" i="1"/>
  <c r="AM62" i="1"/>
  <c r="AO60" i="1"/>
  <c r="AO64" i="1" s="1"/>
  <c r="AN61" i="1"/>
  <c r="AQ60" i="1"/>
  <c r="AN51" i="1"/>
  <c r="AQ69" i="1"/>
  <c r="AQ62" i="1"/>
  <c r="AJ21" i="1"/>
  <c r="AJ27" i="1" s="1"/>
  <c r="AJ71" i="1"/>
  <c r="AJ70" i="1"/>
  <c r="AJ68" i="1"/>
  <c r="AP56" i="1"/>
  <c r="AP7" i="1"/>
  <c r="AP54" i="1"/>
  <c r="AI73" i="1"/>
  <c r="AI20" i="2" s="1"/>
  <c r="AL74" i="1"/>
  <c r="AL248" i="1"/>
  <c r="AK13" i="46"/>
  <c r="AQ67" i="1"/>
  <c r="AN68" i="1"/>
  <c r="AN21" i="1"/>
  <c r="AN27" i="1" s="1"/>
  <c r="AL13" i="46" s="1"/>
  <c r="AM69" i="1"/>
  <c r="AO67" i="1"/>
  <c r="AO68" i="1" s="1"/>
  <c r="AN71" i="1"/>
  <c r="AL61" i="1"/>
  <c r="AL73" i="1" s="1"/>
  <c r="AL20" i="2" s="1"/>
  <c r="AK74" i="1"/>
  <c r="AK248" i="1"/>
  <c r="AJ63" i="1"/>
  <c r="AJ8" i="1"/>
  <c r="AJ61" i="1"/>
  <c r="AJ75" i="1"/>
  <c r="AJ51" i="1"/>
  <c r="AG248" i="1"/>
  <c r="AK20" i="2" l="1"/>
  <c r="R33" i="46" s="1"/>
  <c r="AJ73" i="1"/>
  <c r="AJ20" i="2" s="1"/>
  <c r="AO71" i="1"/>
  <c r="AM8" i="1"/>
  <c r="AM75" i="1"/>
  <c r="AM63" i="1"/>
  <c r="AM61" i="1"/>
  <c r="AM51" i="1"/>
  <c r="AN248" i="1"/>
  <c r="AN74" i="1"/>
  <c r="AJ74" i="1"/>
  <c r="AJ248" i="1"/>
  <c r="AQ21" i="1"/>
  <c r="AQ27" i="1" s="1"/>
  <c r="AQ71" i="1"/>
  <c r="AQ68" i="1"/>
  <c r="AP69" i="1"/>
  <c r="AO248" i="1"/>
  <c r="AO74" i="1"/>
  <c r="AN73" i="1"/>
  <c r="AM64" i="1"/>
  <c r="AQ61" i="1"/>
  <c r="AQ8" i="1"/>
  <c r="AP62" i="1"/>
  <c r="AP64" i="1" s="1"/>
  <c r="AQ75" i="1"/>
  <c r="AQ51" i="1"/>
  <c r="AQ64" i="1"/>
  <c r="AM68" i="1"/>
  <c r="AM21" i="1"/>
  <c r="AM27" i="1" s="1"/>
  <c r="AM71" i="1"/>
  <c r="AM70" i="1"/>
  <c r="AO61" i="1"/>
  <c r="AO73" i="1" s="1"/>
  <c r="AO20" i="2" s="1"/>
  <c r="AQ73" i="1" l="1"/>
  <c r="AN20" i="2"/>
  <c r="S33" i="46" s="1"/>
  <c r="AP21" i="1"/>
  <c r="AP27" i="1" s="1"/>
  <c r="AP68" i="1"/>
  <c r="AP70" i="1"/>
  <c r="AP71" i="1"/>
  <c r="AQ74" i="1"/>
  <c r="AQ248" i="1"/>
  <c r="AM248" i="1"/>
  <c r="AM74" i="1"/>
  <c r="AP61" i="1"/>
  <c r="AP63" i="1"/>
  <c r="AP8" i="1"/>
  <c r="AP75" i="1"/>
  <c r="AP51" i="1"/>
  <c r="AM73" i="1"/>
  <c r="AM20" i="2" s="1"/>
  <c r="AQ20" i="2" l="1"/>
  <c r="AP73" i="1"/>
  <c r="AP20" i="2" s="1"/>
  <c r="AP74" i="1"/>
  <c r="AP248" i="1"/>
  <c r="AP32" i="43" l="1"/>
  <c r="AP33" i="43" s="1"/>
  <c r="AP337" i="43"/>
  <c r="AO342" i="43"/>
  <c r="AO32" i="43" s="1"/>
  <c r="AO33" i="43" s="1"/>
  <c r="AO34" i="43" s="1"/>
  <c r="AO343" i="43"/>
  <c r="AO344" i="43"/>
  <c r="AO345" i="43"/>
  <c r="AS337" i="43" l="1"/>
  <c r="AV337" i="43" s="1"/>
  <c r="AP25" i="43"/>
  <c r="BQ49" i="8"/>
  <c r="BP49" i="8"/>
  <c r="BP46" i="8" s="1"/>
  <c r="BP47" i="8" s="1"/>
  <c r="AS25" i="43"/>
  <c r="AP37" i="43"/>
  <c r="AP38" i="43" s="1"/>
  <c r="AO337" i="43"/>
  <c r="AO338" i="43" s="1"/>
  <c r="AP340" i="43"/>
  <c r="AP338" i="43"/>
  <c r="AO35" i="43"/>
  <c r="AO36" i="43"/>
  <c r="AO37" i="43"/>
  <c r="AO38" i="43" s="1"/>
  <c r="AP36" i="43"/>
  <c r="AP59" i="43"/>
  <c r="AS338" i="43" l="1"/>
  <c r="AS339" i="43" s="1"/>
  <c r="AO340" i="43"/>
  <c r="AS342" i="43"/>
  <c r="AS345" i="43" s="1"/>
  <c r="BQ58" i="8"/>
  <c r="AE222" i="1"/>
  <c r="AE221" i="1"/>
  <c r="AE251" i="1" s="1"/>
  <c r="AE252" i="1" s="1"/>
  <c r="AO25" i="43"/>
  <c r="BQ50" i="8"/>
  <c r="BQ46" i="8"/>
  <c r="BQ47" i="8" s="1"/>
  <c r="AI33" i="46" s="1"/>
  <c r="BP50" i="8"/>
  <c r="P12" i="46"/>
  <c r="AP339" i="43"/>
  <c r="AP27" i="43"/>
  <c r="AP26" i="43"/>
  <c r="AS27" i="43"/>
  <c r="AS26" i="43"/>
  <c r="AV25" i="43"/>
  <c r="AV342" i="43"/>
  <c r="AY337" i="43"/>
  <c r="AV338" i="43"/>
  <c r="AO339" i="43"/>
  <c r="AP62" i="43"/>
  <c r="AO59" i="43"/>
  <c r="AP63" i="43"/>
  <c r="AP60" i="43"/>
  <c r="AN67" i="43"/>
  <c r="AO67" i="43" s="1"/>
  <c r="P28" i="46"/>
  <c r="AO27" i="43" l="1"/>
  <c r="AS32" i="43"/>
  <c r="AS33" i="43" s="1"/>
  <c r="AS343" i="43"/>
  <c r="AV339" i="43"/>
  <c r="AO26" i="43"/>
  <c r="AE223" i="1"/>
  <c r="BQ64" i="8"/>
  <c r="BQ73" i="8" s="1"/>
  <c r="BQ55" i="8"/>
  <c r="BQ56" i="8" s="1"/>
  <c r="BQ59" i="8"/>
  <c r="BQ60" i="8"/>
  <c r="AS28" i="43"/>
  <c r="AV32" i="43"/>
  <c r="AV33" i="43" s="1"/>
  <c r="AV343" i="43"/>
  <c r="AV345" i="43"/>
  <c r="AV26" i="43"/>
  <c r="AV27" i="43"/>
  <c r="AV28" i="43" s="1"/>
  <c r="AI26" i="46"/>
  <c r="AI34" i="46"/>
  <c r="BB337" i="43"/>
  <c r="AY338" i="43"/>
  <c r="AY339" i="43" s="1"/>
  <c r="AY342" i="43"/>
  <c r="AY25" i="43"/>
  <c r="AP28" i="43"/>
  <c r="AO28" i="43"/>
  <c r="AP64" i="43"/>
  <c r="AD222" i="1"/>
  <c r="AO63" i="43"/>
  <c r="AO64" i="43" s="1"/>
  <c r="AD221" i="1"/>
  <c r="AD251" i="1" s="1"/>
  <c r="AD252" i="1" s="1"/>
  <c r="AO62" i="43"/>
  <c r="AO60" i="43"/>
  <c r="BP58" i="8"/>
  <c r="P17" i="46"/>
  <c r="AP61" i="43"/>
  <c r="AS37" i="43" l="1"/>
  <c r="AS38" i="43" s="1"/>
  <c r="BT49" i="8"/>
  <c r="BT46" i="8" s="1"/>
  <c r="BT47" i="8" s="1"/>
  <c r="AJ33" i="46" s="1"/>
  <c r="AS34" i="43"/>
  <c r="AS35" i="43" s="1"/>
  <c r="AS344" i="43"/>
  <c r="BQ136" i="8"/>
  <c r="BQ139" i="8" s="1"/>
  <c r="BQ65" i="8"/>
  <c r="AE238" i="1"/>
  <c r="AE15" i="2"/>
  <c r="AY27" i="43"/>
  <c r="AY28" i="43" s="1"/>
  <c r="AY26" i="43"/>
  <c r="AY32" i="43"/>
  <c r="AY33" i="43" s="1"/>
  <c r="AY343" i="43"/>
  <c r="AY345" i="43"/>
  <c r="AV344" i="43"/>
  <c r="BB25" i="43"/>
  <c r="BB338" i="43"/>
  <c r="BB339" i="43" s="1"/>
  <c r="BB342" i="43"/>
  <c r="AV37" i="43"/>
  <c r="AV38" i="43" s="1"/>
  <c r="AV34" i="43"/>
  <c r="BW49" i="8"/>
  <c r="BP59" i="8"/>
  <c r="BP64" i="8"/>
  <c r="BP73" i="8" s="1"/>
  <c r="BP193" i="8" s="1"/>
  <c r="BP60" i="8"/>
  <c r="BP55" i="8"/>
  <c r="BP56" i="8" s="1"/>
  <c r="AO61" i="43"/>
  <c r="AI25" i="46"/>
  <c r="AI35" i="46"/>
  <c r="AI39" i="46"/>
  <c r="AD223" i="1"/>
  <c r="AS36" i="43" l="1"/>
  <c r="BT50" i="8"/>
  <c r="Q12" i="46"/>
  <c r="AJ34" i="46" s="1"/>
  <c r="BQ182" i="8"/>
  <c r="BB345" i="43"/>
  <c r="BB32" i="43"/>
  <c r="BB33" i="43" s="1"/>
  <c r="BB343" i="43"/>
  <c r="BW50" i="8"/>
  <c r="R12" i="46"/>
  <c r="BW46" i="8"/>
  <c r="BW47" i="8" s="1"/>
  <c r="AK33" i="46" s="1"/>
  <c r="AY344" i="43"/>
  <c r="AV35" i="43"/>
  <c r="AV36" i="43"/>
  <c r="BB26" i="43"/>
  <c r="BB27" i="43"/>
  <c r="BB28" i="43" s="1"/>
  <c r="AY37" i="43"/>
  <c r="AY38" i="43" s="1"/>
  <c r="BZ49" i="8"/>
  <c r="S12" i="46" s="1"/>
  <c r="AY34" i="43"/>
  <c r="AD238" i="1"/>
  <c r="AD15" i="2"/>
  <c r="BP191" i="8"/>
  <c r="BP65" i="8"/>
  <c r="BP136" i="8"/>
  <c r="BQ193" i="8"/>
  <c r="BQ191" i="8" s="1"/>
  <c r="P19" i="46"/>
  <c r="AJ26" i="46" l="1"/>
  <c r="AL26" i="46"/>
  <c r="AL34" i="46"/>
  <c r="BQ203" i="8"/>
  <c r="BB37" i="43"/>
  <c r="BB38" i="43" s="1"/>
  <c r="CC49" i="8"/>
  <c r="BB34" i="43"/>
  <c r="AK26" i="46"/>
  <c r="AK34" i="46"/>
  <c r="AY36" i="43"/>
  <c r="AY35" i="43"/>
  <c r="BB344" i="43"/>
  <c r="BZ46" i="8"/>
  <c r="BZ47" i="8" s="1"/>
  <c r="AL33" i="46" s="1"/>
  <c r="BZ50" i="8"/>
  <c r="BQ75" i="8"/>
  <c r="BQ79" i="8" l="1"/>
  <c r="BQ84" i="8" s="1"/>
  <c r="AE17" i="2"/>
  <c r="BB35" i="43"/>
  <c r="BB36" i="43"/>
  <c r="CC46" i="8"/>
  <c r="CC47" i="8" s="1"/>
  <c r="CC50" i="8"/>
  <c r="BQ76" i="8"/>
  <c r="AE236" i="1" l="1"/>
  <c r="AE241" i="1" s="1"/>
  <c r="BP75" i="8"/>
  <c r="P20" i="46"/>
  <c r="P30" i="46"/>
  <c r="AE237" i="1" l="1"/>
  <c r="BQ88" i="8"/>
  <c r="AE229" i="1" s="1"/>
  <c r="AE231" i="1" s="1"/>
  <c r="AE232" i="1" s="1"/>
  <c r="BP84" i="8"/>
  <c r="AD17" i="2"/>
  <c r="BP79" i="8"/>
  <c r="AE233" i="1" l="1"/>
  <c r="AF227" i="1"/>
  <c r="BP88" i="8"/>
  <c r="AE175" i="1"/>
  <c r="BQ91" i="8"/>
  <c r="BP91" i="8" s="1"/>
  <c r="P22" i="46"/>
  <c r="BQ89" i="8"/>
  <c r="BQ111" i="8"/>
  <c r="BQ100" i="8" s="1"/>
  <c r="BQ93" i="8"/>
  <c r="AD229" i="1" l="1"/>
  <c r="AD175" i="1"/>
  <c r="AD179" i="1" s="1"/>
  <c r="BP89" i="8"/>
  <c r="BP111" i="8"/>
  <c r="BQ94" i="8"/>
  <c r="BP93" i="8"/>
  <c r="AI28" i="46"/>
  <c r="BP94" i="8" l="1"/>
  <c r="AP56" i="43" l="1"/>
  <c r="AP347" i="43"/>
  <c r="AO353" i="43"/>
  <c r="AN354" i="43"/>
  <c r="AO354" i="43" s="1"/>
  <c r="BQ270" i="8"/>
  <c r="P16" i="46"/>
  <c r="P52" i="46"/>
  <c r="AP42" i="43" l="1"/>
  <c r="AS347" i="43"/>
  <c r="AV347" i="43" s="1"/>
  <c r="AV42" i="43" s="1"/>
  <c r="AV43" i="43" s="1"/>
  <c r="AP348" i="43"/>
  <c r="AO347" i="43"/>
  <c r="AR347" i="43" l="1"/>
  <c r="AR44" i="43" s="1"/>
  <c r="AR47" i="43" s="1"/>
  <c r="AU347" i="43"/>
  <c r="AU348" i="43" s="1"/>
  <c r="AS44" i="43"/>
  <c r="AS47" i="43" s="1"/>
  <c r="AY347" i="43"/>
  <c r="AY350" i="43" s="1"/>
  <c r="S16" i="46" s="1"/>
  <c r="AS350" i="43"/>
  <c r="AV44" i="43"/>
  <c r="AV47" i="43" s="1"/>
  <c r="R29" i="46"/>
  <c r="AV45" i="43"/>
  <c r="AK164" i="1"/>
  <c r="AK167" i="1" s="1"/>
  <c r="AV350" i="43"/>
  <c r="AV56" i="43" s="1"/>
  <c r="AS42" i="43"/>
  <c r="AS43" i="43" s="1"/>
  <c r="Q29" i="46" s="1"/>
  <c r="AK16" i="2"/>
  <c r="BW52" i="8"/>
  <c r="BW53" i="8" s="1"/>
  <c r="AU44" i="43"/>
  <c r="AU47" i="43" s="1"/>
  <c r="AU42" i="43"/>
  <c r="AU43" i="43" s="1"/>
  <c r="AR348" i="43"/>
  <c r="AR42" i="43"/>
  <c r="AR43" i="43" s="1"/>
  <c r="AO348" i="43"/>
  <c r="AO42" i="43"/>
  <c r="AO350" i="43"/>
  <c r="AS56" i="43" l="1"/>
  <c r="AQ354" i="43"/>
  <c r="AY42" i="43"/>
  <c r="AY43" i="43" s="1"/>
  <c r="AN16" i="2" s="1"/>
  <c r="Q16" i="46"/>
  <c r="BB347" i="43"/>
  <c r="BA347" i="43" s="1"/>
  <c r="AS59" i="43"/>
  <c r="AH222" i="1" s="1"/>
  <c r="AS351" i="43"/>
  <c r="AS352" i="43" s="1"/>
  <c r="AV59" i="43"/>
  <c r="AY351" i="43"/>
  <c r="S52" i="46" s="1"/>
  <c r="AY56" i="43"/>
  <c r="AS353" i="43"/>
  <c r="AY44" i="43"/>
  <c r="AY59" i="43" s="1"/>
  <c r="S28" i="46" s="1"/>
  <c r="AX347" i="43"/>
  <c r="AX348" i="43" s="1"/>
  <c r="S29" i="46"/>
  <c r="R16" i="46"/>
  <c r="AS45" i="43"/>
  <c r="AH16" i="2"/>
  <c r="AV351" i="43"/>
  <c r="BW270" i="8" s="1"/>
  <c r="AH164" i="1"/>
  <c r="AH167" i="1" s="1"/>
  <c r="AV353" i="43"/>
  <c r="AY353" i="43"/>
  <c r="BT52" i="8"/>
  <c r="BT134" i="8" s="1"/>
  <c r="BZ52" i="8"/>
  <c r="AV46" i="43"/>
  <c r="R13" i="46"/>
  <c r="AK42" i="46" s="1"/>
  <c r="BW134" i="8"/>
  <c r="AY45" i="43"/>
  <c r="AJ164" i="1"/>
  <c r="AU45" i="43"/>
  <c r="AJ16" i="2"/>
  <c r="BV52" i="8"/>
  <c r="AU46" i="43"/>
  <c r="AO56" i="43"/>
  <c r="AO351" i="43"/>
  <c r="AG16" i="2"/>
  <c r="AG164" i="1"/>
  <c r="BS52" i="8"/>
  <c r="AY46" i="43" l="1"/>
  <c r="AN164" i="1"/>
  <c r="AN167" i="1" s="1"/>
  <c r="BB42" i="43"/>
  <c r="BB43" i="43" s="1"/>
  <c r="BB45" i="43" s="1"/>
  <c r="BT58" i="8"/>
  <c r="BT64" i="8" s="1"/>
  <c r="AH238" i="1" s="1"/>
  <c r="AH239" i="1" s="1"/>
  <c r="BB350" i="43"/>
  <c r="BB353" i="43" s="1"/>
  <c r="BB44" i="43"/>
  <c r="BB47" i="43" s="1"/>
  <c r="AS60" i="43"/>
  <c r="AS61" i="43" s="1"/>
  <c r="Q28" i="46"/>
  <c r="AS62" i="43"/>
  <c r="AH221" i="1"/>
  <c r="AH251" i="1" s="1"/>
  <c r="AH252" i="1" s="1"/>
  <c r="AS63" i="43"/>
  <c r="AS64" i="43" s="1"/>
  <c r="BZ270" i="8"/>
  <c r="Q52" i="46"/>
  <c r="BT270" i="8"/>
  <c r="R28" i="46"/>
  <c r="AK222" i="1"/>
  <c r="BW58" i="8"/>
  <c r="BW55" i="8" s="1"/>
  <c r="BW56" i="8" s="1"/>
  <c r="AK221" i="1"/>
  <c r="AK251" i="1" s="1"/>
  <c r="AK252" i="1" s="1"/>
  <c r="AV62" i="43"/>
  <c r="AV63" i="43"/>
  <c r="AV60" i="43"/>
  <c r="AY47" i="43"/>
  <c r="AY60" i="43"/>
  <c r="AX44" i="43"/>
  <c r="AX47" i="43" s="1"/>
  <c r="BZ58" i="8"/>
  <c r="S17" i="46" s="1"/>
  <c r="AL35" i="46" s="1"/>
  <c r="AX42" i="43"/>
  <c r="AX43" i="43" s="1"/>
  <c r="AX46" i="43" s="1"/>
  <c r="AN221" i="1"/>
  <c r="AN251" i="1" s="1"/>
  <c r="AN252" i="1" s="1"/>
  <c r="AY62" i="43"/>
  <c r="AN222" i="1"/>
  <c r="AY63" i="43"/>
  <c r="BZ53" i="8"/>
  <c r="S13" i="46"/>
  <c r="R52" i="46"/>
  <c r="Q13" i="46"/>
  <c r="AJ42" i="46" s="1"/>
  <c r="AV352" i="43"/>
  <c r="AY352" i="43"/>
  <c r="BT53" i="8"/>
  <c r="AK40" i="46"/>
  <c r="BZ134" i="8"/>
  <c r="AQ164" i="1"/>
  <c r="BA44" i="43"/>
  <c r="BA47" i="43" s="1"/>
  <c r="BA348" i="43"/>
  <c r="BA42" i="43"/>
  <c r="BA43" i="43" s="1"/>
  <c r="BV53" i="8"/>
  <c r="BV134" i="8"/>
  <c r="BV132" i="8" s="1"/>
  <c r="AO352" i="43"/>
  <c r="BP270" i="8"/>
  <c r="AJ167" i="1"/>
  <c r="BS134" i="8"/>
  <c r="BS132" i="8" s="1"/>
  <c r="BB351" i="43" l="1"/>
  <c r="AQ16" i="2"/>
  <c r="CC52" i="8"/>
  <c r="CC53" i="8" s="1"/>
  <c r="BB46" i="43"/>
  <c r="BB59" i="43"/>
  <c r="BB60" i="43" s="1"/>
  <c r="BB61" i="43" s="1"/>
  <c r="Q17" i="46"/>
  <c r="AJ25" i="46" s="1"/>
  <c r="BT65" i="8"/>
  <c r="BT60" i="8"/>
  <c r="BT55" i="8"/>
  <c r="BT56" i="8" s="1"/>
  <c r="BT59" i="8"/>
  <c r="BT136" i="8"/>
  <c r="BT139" i="8" s="1"/>
  <c r="BT132" i="8" s="1"/>
  <c r="AH15" i="2"/>
  <c r="BB56" i="43"/>
  <c r="AH223" i="1"/>
  <c r="AV64" i="43"/>
  <c r="AY64" i="43"/>
  <c r="AY61" i="43"/>
  <c r="BW60" i="8"/>
  <c r="R17" i="46"/>
  <c r="AL25" i="46" s="1"/>
  <c r="AV61" i="43"/>
  <c r="BW64" i="8"/>
  <c r="BW65" i="8" s="1"/>
  <c r="BW59" i="8"/>
  <c r="AK223" i="1"/>
  <c r="AM16" i="2"/>
  <c r="AM164" i="1"/>
  <c r="AM167" i="1" s="1"/>
  <c r="BZ64" i="8"/>
  <c r="BZ136" i="8" s="1"/>
  <c r="BZ139" i="8" s="1"/>
  <c r="BZ60" i="8"/>
  <c r="BZ59" i="8"/>
  <c r="BZ55" i="8"/>
  <c r="BZ56" i="8" s="1"/>
  <c r="AX45" i="43"/>
  <c r="BY52" i="8"/>
  <c r="BY53" i="8" s="1"/>
  <c r="AN223" i="1"/>
  <c r="AJ40" i="46"/>
  <c r="AL42" i="46"/>
  <c r="AL40" i="46"/>
  <c r="BA46" i="43"/>
  <c r="CB52" i="8"/>
  <c r="BA45" i="43"/>
  <c r="AP16" i="2"/>
  <c r="AP164" i="1"/>
  <c r="AP167" i="1" s="1"/>
  <c r="AQ167" i="1"/>
  <c r="CC270" i="8"/>
  <c r="BB352" i="43"/>
  <c r="CC134" i="8" l="1"/>
  <c r="BB63" i="43"/>
  <c r="BB64" i="43" s="1"/>
  <c r="BB62" i="43"/>
  <c r="AQ222" i="1"/>
  <c r="AQ221" i="1"/>
  <c r="AQ251" i="1" s="1"/>
  <c r="AQ252" i="1" s="1"/>
  <c r="CC58" i="8"/>
  <c r="CC55" i="8" s="1"/>
  <c r="CC56" i="8" s="1"/>
  <c r="AJ35" i="46"/>
  <c r="AK15" i="2"/>
  <c r="AK35" i="46"/>
  <c r="AK25" i="46"/>
  <c r="BW136" i="8"/>
  <c r="BW139" i="8" s="1"/>
  <c r="BW132" i="8" s="1"/>
  <c r="AK238" i="1"/>
  <c r="AK239" i="1" s="1"/>
  <c r="AN238" i="1"/>
  <c r="AN239" i="1" s="1"/>
  <c r="BZ65" i="8"/>
  <c r="AN15" i="2"/>
  <c r="BY134" i="8"/>
  <c r="BY132" i="8" s="1"/>
  <c r="CB53" i="8"/>
  <c r="CB134" i="8"/>
  <c r="CB132" i="8" s="1"/>
  <c r="BZ132" i="8"/>
  <c r="CC64" i="8" l="1"/>
  <c r="AQ238" i="1" s="1"/>
  <c r="AQ239" i="1" s="1"/>
  <c r="CC60" i="8"/>
  <c r="AQ223" i="1"/>
  <c r="CC59" i="8"/>
  <c r="AQ15" i="2"/>
  <c r="CC136" i="8"/>
  <c r="CC139" i="8" s="1"/>
  <c r="CC65" i="8"/>
  <c r="CC132" i="8" l="1"/>
  <c r="AO299" i="43" l="1"/>
  <c r="AO300" i="43" s="1"/>
  <c r="AP55" i="43"/>
  <c r="AP296" i="43"/>
  <c r="AP297" i="43" s="1"/>
  <c r="AO302" i="43"/>
  <c r="AP303" i="43"/>
  <c r="P15" i="46"/>
  <c r="AO55" i="43" l="1"/>
  <c r="AO303" i="43"/>
  <c r="AO296" i="43"/>
  <c r="AP41" i="43"/>
  <c r="AP43" i="43" s="1"/>
  <c r="BQ52" i="8" l="1"/>
  <c r="AE164" i="1"/>
  <c r="AE16" i="2"/>
  <c r="AP45" i="43"/>
  <c r="AP46" i="43"/>
  <c r="AS46" i="43"/>
  <c r="P29" i="46"/>
  <c r="P32" i="46" s="1"/>
  <c r="AO41" i="43"/>
  <c r="AO43" i="43" s="1"/>
  <c r="AO297" i="43"/>
  <c r="AO44" i="43"/>
  <c r="BP23" i="8" s="1"/>
  <c r="BP24" i="8" s="1"/>
  <c r="AE21" i="2" l="1"/>
  <c r="P34" i="46" s="1"/>
  <c r="P35" i="46" s="1"/>
  <c r="AE239" i="1"/>
  <c r="AE167" i="1"/>
  <c r="AE165" i="1"/>
  <c r="AE166" i="1" s="1"/>
  <c r="AE127" i="1" s="1"/>
  <c r="BQ134" i="8"/>
  <c r="BQ132" i="8" s="1"/>
  <c r="BQ53" i="8"/>
  <c r="AD164" i="1"/>
  <c r="AO46" i="43"/>
  <c r="AD16" i="2"/>
  <c r="AD21" i="2" s="1"/>
  <c r="AR46" i="43"/>
  <c r="BP52" i="8"/>
  <c r="AO45" i="43"/>
  <c r="P13" i="46"/>
  <c r="AI42" i="46" s="1"/>
  <c r="AE22" i="2" l="1"/>
  <c r="AE128" i="1"/>
  <c r="AD239" i="1"/>
  <c r="AD22" i="2"/>
  <c r="AH165" i="1"/>
  <c r="AF165" i="1" s="1"/>
  <c r="AC165" i="1"/>
  <c r="AD165" i="1" s="1"/>
  <c r="AD144" i="1" s="1"/>
  <c r="AE144" i="1"/>
  <c r="BP53" i="8"/>
  <c r="BP134" i="8"/>
  <c r="BP132" i="8" s="1"/>
  <c r="AD167" i="1"/>
  <c r="AF144" i="1" l="1"/>
  <c r="AF166" i="1"/>
  <c r="AE145" i="1"/>
  <c r="AC166" i="1"/>
  <c r="AC127" i="1" s="1"/>
  <c r="AC131" i="1" s="1"/>
  <c r="AC144" i="1"/>
  <c r="AD145" i="1"/>
  <c r="AD166" i="1"/>
  <c r="AD127" i="1" s="1"/>
  <c r="AD128" i="1" s="1"/>
  <c r="AH144" i="1"/>
  <c r="AK165" i="1"/>
  <c r="AG165" i="1"/>
  <c r="AH166" i="1"/>
  <c r="AH127" i="1" s="1"/>
  <c r="AF145" i="1" l="1"/>
  <c r="AF146" i="1"/>
  <c r="AC146" i="1"/>
  <c r="AC145" i="1"/>
  <c r="AG166" i="1"/>
  <c r="AG127" i="1" s="1"/>
  <c r="AG144" i="1"/>
  <c r="AF127" i="1"/>
  <c r="AF131" i="1" s="1"/>
  <c r="AH131" i="1" s="1"/>
  <c r="AI165" i="1"/>
  <c r="AJ165" i="1" s="1"/>
  <c r="AK166" i="1"/>
  <c r="AK127" i="1" s="1"/>
  <c r="AK144" i="1"/>
  <c r="AN165" i="1"/>
  <c r="AI10" i="46" l="1"/>
  <c r="AJ166" i="1"/>
  <c r="AJ127" i="1" s="1"/>
  <c r="AJ144" i="1"/>
  <c r="AI166" i="1"/>
  <c r="AI127" i="1" s="1"/>
  <c r="AI144" i="1"/>
  <c r="AQ165" i="1"/>
  <c r="AL165" i="1"/>
  <c r="AM165" i="1" s="1"/>
  <c r="AN166" i="1"/>
  <c r="AN127" i="1" s="1"/>
  <c r="AN144" i="1"/>
  <c r="AM166" i="1" l="1"/>
  <c r="AM127" i="1" s="1"/>
  <c r="AM144" i="1"/>
  <c r="AL166" i="1"/>
  <c r="AL127" i="1" s="1"/>
  <c r="AL144" i="1"/>
  <c r="AQ166" i="1"/>
  <c r="AQ127" i="1" s="1"/>
  <c r="AQ144" i="1"/>
  <c r="AO165" i="1"/>
  <c r="AO166" i="1" l="1"/>
  <c r="AO127" i="1" s="1"/>
  <c r="AO144" i="1"/>
  <c r="AP165" i="1"/>
  <c r="AP144" i="1" l="1"/>
  <c r="AP166" i="1"/>
  <c r="AP127" i="1" s="1"/>
  <c r="AD236" i="1" l="1"/>
  <c r="AD237" i="1" s="1"/>
  <c r="BP115" i="8"/>
  <c r="BP118" i="8" s="1"/>
  <c r="BP119" i="8" l="1"/>
  <c r="AD192" i="1"/>
  <c r="BP123" i="8"/>
  <c r="BP124" i="8" l="1"/>
  <c r="BP127" i="8" s="1"/>
  <c r="BP126" i="8"/>
  <c r="BQ115" i="8"/>
  <c r="BQ118" i="8" s="1"/>
  <c r="BQ205" i="8" l="1"/>
  <c r="BP205" i="8" s="1"/>
  <c r="BQ120" i="8"/>
  <c r="P21" i="46"/>
  <c r="AI36" i="46" s="1"/>
  <c r="AE192" i="1"/>
  <c r="AE193" i="1" s="1"/>
  <c r="BQ119" i="8"/>
  <c r="BQ154" i="8"/>
  <c r="BQ157" i="8" s="1"/>
  <c r="BQ123" i="8"/>
  <c r="AI27" i="46" l="1"/>
  <c r="BQ126" i="8"/>
  <c r="BQ124" i="8"/>
  <c r="BQ127" i="8" s="1"/>
  <c r="P23" i="46"/>
  <c r="AD191" i="1"/>
  <c r="BQ185" i="8"/>
  <c r="AD193" i="1" l="1"/>
  <c r="BP185" i="8"/>
  <c r="AI29" i="46"/>
  <c r="AI50" i="46"/>
  <c r="BQ186" i="8"/>
  <c r="BQ187" i="8"/>
  <c r="P24" i="46"/>
  <c r="AI54" i="46" s="1"/>
  <c r="AI55" i="46" l="1"/>
  <c r="BP187" i="8"/>
  <c r="BP186" i="8"/>
  <c r="AD47" i="1" l="1"/>
  <c r="AD25" i="2" l="1"/>
  <c r="AD26" i="2"/>
  <c r="AP412" i="43"/>
  <c r="AE125" i="1" s="1"/>
  <c r="P36" i="46"/>
  <c r="AI40" i="46" s="1"/>
  <c r="AP413" i="43" l="1"/>
  <c r="AE126" i="1"/>
  <c r="AE131" i="1"/>
  <c r="P37" i="46"/>
  <c r="AP47" i="43"/>
  <c r="AP411" i="43"/>
  <c r="AI41" i="46"/>
  <c r="AO412" i="43"/>
  <c r="AD125" i="1" l="1"/>
  <c r="AD126" i="1" s="1"/>
  <c r="AO47" i="43"/>
  <c r="AD28" i="2" l="1"/>
  <c r="AD55" i="2" s="1"/>
  <c r="AE31" i="2"/>
  <c r="AE55" i="2"/>
  <c r="AD31" i="2" l="1"/>
  <c r="AD117" i="1"/>
  <c r="AI9" i="46" l="1"/>
  <c r="AD35" i="2" l="1"/>
  <c r="AD56" i="2" s="1"/>
  <c r="AD37" i="2"/>
  <c r="AD38" i="2"/>
  <c r="AD39" i="2"/>
  <c r="AH39" i="2"/>
  <c r="Q41" i="46" s="1"/>
  <c r="AE40" i="2"/>
  <c r="AE42" i="2" s="1"/>
  <c r="AE47" i="2" s="1"/>
  <c r="AE6" i="1" s="1"/>
  <c r="AE56" i="2"/>
  <c r="P42" i="46" s="1"/>
  <c r="P38" i="46"/>
  <c r="P39" i="46" s="1"/>
  <c r="P41" i="46"/>
  <c r="AD230" i="1" l="1"/>
  <c r="AD231" i="1" s="1"/>
  <c r="AD232" i="1" s="1"/>
  <c r="AD233" i="1" s="1"/>
  <c r="AD182" i="1"/>
  <c r="AE10" i="1"/>
  <c r="AE98" i="1"/>
  <c r="AF97" i="1" s="1"/>
  <c r="AD40" i="2"/>
  <c r="AD42" i="2" s="1"/>
  <c r="AD47" i="2" s="1"/>
  <c r="AD6" i="1"/>
  <c r="AF44" i="2"/>
  <c r="AH44" i="2"/>
  <c r="AG39" i="2"/>
  <c r="AK39" i="2"/>
  <c r="AE182" i="1" l="1"/>
  <c r="AE184" i="1" s="1"/>
  <c r="AE177" i="1" s="1"/>
  <c r="AE179" i="1" s="1"/>
  <c r="AD184" i="1"/>
  <c r="AE99" i="1"/>
  <c r="AE100" i="1" s="1"/>
  <c r="AD100" i="1" s="1"/>
  <c r="AE107" i="1"/>
  <c r="AD98" i="1"/>
  <c r="AD107" i="1" s="1"/>
  <c r="AN39" i="2"/>
  <c r="S41" i="46" s="1"/>
  <c r="AI39" i="2"/>
  <c r="AJ39" i="2" s="1"/>
  <c r="R41" i="46"/>
  <c r="AH227" i="1"/>
  <c r="AD185" i="1" l="1"/>
  <c r="AD186" i="1" s="1"/>
  <c r="AD99" i="1"/>
  <c r="AH97" i="1"/>
  <c r="AG16" i="1"/>
  <c r="AQ39" i="2"/>
  <c r="AL39" i="2"/>
  <c r="AM39" i="2" s="1"/>
  <c r="AF40" i="2" l="1"/>
  <c r="AH16" i="1"/>
  <c r="AO39" i="2"/>
  <c r="AP39" i="2" s="1"/>
  <c r="AI16" i="1" l="1"/>
  <c r="AJ16" i="1" l="1"/>
  <c r="AK16" i="1" l="1"/>
  <c r="AL16" i="1" l="1"/>
  <c r="AM16" i="1" l="1"/>
  <c r="AN16" i="1" l="1"/>
  <c r="AO16" i="1" l="1"/>
  <c r="AP16" i="1" l="1"/>
  <c r="AQ16" i="1" l="1"/>
  <c r="AD9" i="1"/>
  <c r="AD10" i="1" s="1"/>
  <c r="AG9" i="1"/>
  <c r="AH9" i="1" s="1"/>
  <c r="AE19" i="1"/>
  <c r="AE249" i="1"/>
  <c r="AE250" i="1" s="1"/>
  <c r="AE253" i="1" s="1"/>
  <c r="AI8" i="46"/>
  <c r="AI12" i="46" l="1"/>
  <c r="AI11" i="46" s="1"/>
  <c r="AI9" i="1"/>
  <c r="AJ9" i="1" l="1"/>
  <c r="AK9" i="1" l="1"/>
  <c r="AL9" i="1" l="1"/>
  <c r="AM9" i="1" l="1"/>
  <c r="AN9" i="1" l="1"/>
  <c r="AO9" i="1" l="1"/>
  <c r="AP9" i="1" l="1"/>
  <c r="AQ9" i="1" l="1"/>
  <c r="AD101" i="1"/>
  <c r="BR71" i="8" l="1"/>
  <c r="BR75" i="8" l="1"/>
  <c r="AF17" i="2" s="1"/>
  <c r="AH139" i="1" l="1"/>
  <c r="AH145" i="1" s="1"/>
  <c r="AE146" i="1"/>
  <c r="AD146" i="1" s="1"/>
  <c r="AG139" i="1" l="1"/>
  <c r="AH147" i="1"/>
  <c r="AH14" i="1" l="1"/>
  <c r="AJ10" i="46" s="1"/>
  <c r="AI139" i="1"/>
  <c r="AK139" i="1"/>
  <c r="AG145" i="1"/>
  <c r="AG147" i="1"/>
  <c r="AG14" i="1" s="1"/>
  <c r="AK147" i="1" l="1"/>
  <c r="AK145" i="1"/>
  <c r="AI145" i="1"/>
  <c r="AI147" i="1"/>
  <c r="AI14" i="1" l="1"/>
  <c r="AJ139" i="1"/>
  <c r="AL139" i="1"/>
  <c r="AN139" i="1"/>
  <c r="AK14" i="1"/>
  <c r="AK10" i="46" s="1"/>
  <c r="AN145" i="1" l="1"/>
  <c r="AN147" i="1"/>
  <c r="AL147" i="1"/>
  <c r="AL145" i="1"/>
  <c r="AJ145" i="1"/>
  <c r="AJ147" i="1"/>
  <c r="AJ14" i="1" s="1"/>
  <c r="AL14" i="1" l="1"/>
  <c r="AM139" i="1"/>
  <c r="AN14" i="1"/>
  <c r="AL10" i="46" s="1"/>
  <c r="AO139" i="1"/>
  <c r="AQ139" i="1"/>
  <c r="AQ145" i="1" l="1"/>
  <c r="AQ147" i="1"/>
  <c r="AQ14" i="1" s="1"/>
  <c r="AO145" i="1"/>
  <c r="AO147" i="1"/>
  <c r="AM147" i="1"/>
  <c r="AM14" i="1" s="1"/>
  <c r="AM145" i="1"/>
  <c r="AO14" i="1" l="1"/>
  <c r="AP139" i="1"/>
  <c r="AP145" i="1" l="1"/>
  <c r="AP147" i="1"/>
  <c r="AP14" i="1" s="1"/>
  <c r="AH173" i="1" l="1"/>
  <c r="AF128" i="1" l="1"/>
  <c r="AH116" i="1"/>
  <c r="AH132" i="1" s="1"/>
  <c r="AD131" i="1"/>
  <c r="AD132" i="1" s="1"/>
  <c r="AD13" i="1" s="1"/>
  <c r="AG116" i="1" l="1"/>
  <c r="AK116" i="1"/>
  <c r="AH13" i="1"/>
  <c r="AI116" i="1"/>
  <c r="AF249" i="1"/>
  <c r="AH128" i="1"/>
  <c r="AG128" i="1" l="1"/>
  <c r="AG132" i="1"/>
  <c r="AG13" i="1" s="1"/>
  <c r="AI132" i="1"/>
  <c r="AI128" i="1"/>
  <c r="AH17" i="1"/>
  <c r="AH249" i="1"/>
  <c r="AH250" i="1" s="1"/>
  <c r="AH253" i="1" s="1"/>
  <c r="AJ9" i="46"/>
  <c r="AK128" i="1"/>
  <c r="AK132" i="1"/>
  <c r="AG249" i="1" l="1"/>
  <c r="AG250" i="1" s="1"/>
  <c r="AG17" i="1"/>
  <c r="AL116" i="1"/>
  <c r="AN116" i="1"/>
  <c r="AK13" i="1"/>
  <c r="AI13" i="1"/>
  <c r="AJ116" i="1"/>
  <c r="AJ132" i="1" l="1"/>
  <c r="AJ13" i="1" s="1"/>
  <c r="AJ128" i="1"/>
  <c r="AI17" i="1"/>
  <c r="AI249" i="1"/>
  <c r="AI250" i="1" s="1"/>
  <c r="AK17" i="1"/>
  <c r="AK249" i="1"/>
  <c r="AK250" i="1" s="1"/>
  <c r="AK253" i="1" s="1"/>
  <c r="AK9" i="46"/>
  <c r="AN128" i="1"/>
  <c r="AN132" i="1"/>
  <c r="AL128" i="1"/>
  <c r="AL132" i="1"/>
  <c r="AM116" i="1" l="1"/>
  <c r="AL13" i="1"/>
  <c r="AQ116" i="1"/>
  <c r="AN13" i="1"/>
  <c r="AL9" i="46" s="1"/>
  <c r="AO116" i="1"/>
  <c r="AJ17" i="1"/>
  <c r="AJ249" i="1"/>
  <c r="AJ250" i="1" s="1"/>
  <c r="AO128" i="1" l="1"/>
  <c r="AO132" i="1"/>
  <c r="AN249" i="1"/>
  <c r="AN250" i="1" s="1"/>
  <c r="AN253" i="1" s="1"/>
  <c r="AN17" i="1"/>
  <c r="AQ132" i="1"/>
  <c r="AQ13" i="1" s="1"/>
  <c r="AQ128" i="1"/>
  <c r="AL17" i="1"/>
  <c r="AL249" i="1"/>
  <c r="AL250" i="1" s="1"/>
  <c r="AM128" i="1"/>
  <c r="AM132" i="1"/>
  <c r="AM13" i="1" s="1"/>
  <c r="AQ17" i="1" l="1"/>
  <c r="AQ249" i="1"/>
  <c r="AQ250" i="1" s="1"/>
  <c r="AQ253" i="1" s="1"/>
  <c r="AM249" i="1"/>
  <c r="AM250" i="1" s="1"/>
  <c r="AM17" i="1"/>
  <c r="AO13" i="1"/>
  <c r="AP116" i="1"/>
  <c r="AP132" i="1" l="1"/>
  <c r="AP13" i="1" s="1"/>
  <c r="AP128" i="1"/>
  <c r="AO249" i="1"/>
  <c r="AO250" i="1" s="1"/>
  <c r="AO17" i="1"/>
  <c r="AP17" i="1" l="1"/>
  <c r="AP249" i="1"/>
  <c r="AP250" i="1" s="1"/>
  <c r="AD14" i="1"/>
  <c r="AD17" i="1"/>
  <c r="AD19" i="1" s="1"/>
  <c r="AD249" i="1"/>
  <c r="AD250" i="1" s="1"/>
  <c r="AD253" i="1" s="1"/>
  <c r="BP196" i="8" l="1"/>
  <c r="BP201" i="8" s="1"/>
  <c r="BQ201" i="8"/>
  <c r="BQ77" i="8" s="1"/>
  <c r="BP198" i="8" l="1"/>
  <c r="BP203" i="8" s="1"/>
  <c r="BP76" i="8" s="1"/>
  <c r="BQ141" i="8"/>
  <c r="BQ143" i="8" s="1"/>
  <c r="BQ150" i="8" s="1"/>
  <c r="BQ152" i="8" s="1"/>
  <c r="BQ202" i="8"/>
  <c r="BT201" i="8"/>
  <c r="BP77" i="8"/>
  <c r="BP202" i="8"/>
  <c r="BW201" i="8" l="1"/>
  <c r="BW202" i="8" s="1"/>
  <c r="BW197" i="8" s="1"/>
  <c r="BW115" i="8" s="1"/>
  <c r="BW205" i="8" s="1"/>
  <c r="BT77" i="8"/>
  <c r="BT141" i="8"/>
  <c r="BT143" i="8" s="1"/>
  <c r="BT150" i="8" s="1"/>
  <c r="BT152" i="8" s="1"/>
  <c r="BT202" i="8"/>
  <c r="BT197" i="8" s="1"/>
  <c r="BT115" i="8" s="1"/>
  <c r="BT205" i="8" s="1"/>
  <c r="BZ201" i="8" l="1"/>
  <c r="CC201" i="8" s="1"/>
  <c r="BW77" i="8"/>
  <c r="BW141" i="8"/>
  <c r="BW143" i="8" s="1"/>
  <c r="BW150" i="8" s="1"/>
  <c r="BW152" i="8" s="1"/>
  <c r="BZ141" i="8" l="1"/>
  <c r="BZ143" i="8" s="1"/>
  <c r="BZ150" i="8" s="1"/>
  <c r="BZ152" i="8" s="1"/>
  <c r="BZ77" i="8"/>
  <c r="BZ202" i="8"/>
  <c r="BZ197" i="8" s="1"/>
  <c r="BZ115" i="8" s="1"/>
  <c r="BZ205" i="8" s="1"/>
  <c r="CC141" i="8"/>
  <c r="CC143" i="8" s="1"/>
  <c r="CC150" i="8" s="1"/>
  <c r="CC152" i="8" s="1"/>
  <c r="CC77" i="8"/>
  <c r="CC202" i="8"/>
  <c r="CC197" i="8" s="1"/>
  <c r="CC115" i="8" s="1"/>
  <c r="CC205" i="8" s="1"/>
  <c r="AT98" i="43" l="1"/>
  <c r="AT96" i="43"/>
  <c r="AT99" i="43"/>
  <c r="AR90" i="43"/>
  <c r="AU96" i="43" s="1"/>
  <c r="AQ84" i="43"/>
  <c r="AQ85" i="43" s="1"/>
  <c r="AQ281" i="43" l="1"/>
  <c r="AQ294" i="43"/>
  <c r="AQ287" i="43"/>
  <c r="AQ288" i="43" s="1"/>
  <c r="AQ303" i="43"/>
  <c r="AU99" i="43"/>
  <c r="AR99" i="43"/>
  <c r="AR293" i="43"/>
  <c r="AT87" i="43"/>
  <c r="AQ87" i="43"/>
  <c r="AR84" i="43"/>
  <c r="AR287" i="43" s="1"/>
  <c r="AQ5" i="43"/>
  <c r="AQ297" i="43" s="1"/>
  <c r="AR280" i="43"/>
  <c r="AR229" i="43"/>
  <c r="AT232" i="43"/>
  <c r="AQ20" i="43"/>
  <c r="AQ22" i="43" s="1"/>
  <c r="AR97" i="43"/>
  <c r="AR143" i="43"/>
  <c r="AT144" i="43"/>
  <c r="AR96" i="43"/>
  <c r="AT147" i="43"/>
  <c r="AT148" i="43" s="1"/>
  <c r="AQ282" i="43" l="1"/>
  <c r="AT282" i="43"/>
  <c r="AU98" i="43"/>
  <c r="AR98" i="43"/>
  <c r="AQ7" i="43"/>
  <c r="AR281" i="43"/>
  <c r="AQ55" i="43"/>
  <c r="AR302" i="43"/>
  <c r="AR147" i="43"/>
  <c r="AR148" i="43" s="1"/>
  <c r="AR144" i="43"/>
  <c r="AR145" i="43"/>
  <c r="AU147" i="43"/>
  <c r="AU148" i="43" s="1"/>
  <c r="AU144" i="43"/>
  <c r="AR294" i="43"/>
  <c r="AR31" i="43"/>
  <c r="AT231" i="43"/>
  <c r="AR5" i="43"/>
  <c r="AR85" i="43"/>
  <c r="AU87" i="43"/>
  <c r="AR87" i="43"/>
  <c r="AR20" i="43"/>
  <c r="AR22" i="43" s="1"/>
  <c r="AU232" i="43"/>
  <c r="AR232" i="43"/>
  <c r="AR230" i="43"/>
  <c r="AT288" i="43"/>
  <c r="AQ25" i="43"/>
  <c r="BR11" i="8"/>
  <c r="AR210" i="43"/>
  <c r="AR226" i="43" s="1"/>
  <c r="AQ86" i="43"/>
  <c r="AT86" i="43"/>
  <c r="AQ92" i="43" l="1"/>
  <c r="AQ91" i="43"/>
  <c r="AQ205" i="43"/>
  <c r="AQ206" i="43" s="1"/>
  <c r="AQ203" i="43"/>
  <c r="AQ204" i="43" s="1"/>
  <c r="AQ23" i="43"/>
  <c r="AU282" i="43"/>
  <c r="AR282" i="43"/>
  <c r="AT92" i="43"/>
  <c r="AT91" i="43"/>
  <c r="AQ27" i="43"/>
  <c r="AQ26" i="43"/>
  <c r="AQ300" i="43"/>
  <c r="AR299" i="43"/>
  <c r="AR300" i="43" s="1"/>
  <c r="AQ8" i="43"/>
  <c r="BR6" i="8"/>
  <c r="AF74" i="1" s="1"/>
  <c r="AQ9" i="43"/>
  <c r="AR9" i="43" s="1"/>
  <c r="AQ35" i="43"/>
  <c r="AT8" i="43"/>
  <c r="AT10" i="43"/>
  <c r="AQ10" i="43"/>
  <c r="AQ38" i="43" s="1"/>
  <c r="AQ45" i="43"/>
  <c r="AQ17" i="43"/>
  <c r="AQ18" i="43" s="1"/>
  <c r="BS11" i="8"/>
  <c r="AR303" i="43"/>
  <c r="AR55" i="43"/>
  <c r="AR86" i="43"/>
  <c r="AU86" i="43"/>
  <c r="AR231" i="43"/>
  <c r="AU231" i="43"/>
  <c r="AU288" i="43"/>
  <c r="AR288" i="43"/>
  <c r="AR7" i="43"/>
  <c r="AR23" i="43" s="1"/>
  <c r="AR297" i="43"/>
  <c r="AF126" i="1" l="1"/>
  <c r="AF167" i="1"/>
  <c r="AF57" i="1"/>
  <c r="AF56" i="1"/>
  <c r="AQ149" i="43"/>
  <c r="AQ95" i="43"/>
  <c r="AQ93" i="43"/>
  <c r="AU91" i="43"/>
  <c r="AU92" i="43"/>
  <c r="AT204" i="43"/>
  <c r="BR7" i="8"/>
  <c r="BU7" i="8"/>
  <c r="BR53" i="8"/>
  <c r="AT149" i="43"/>
  <c r="AT93" i="43"/>
  <c r="AT95" i="43"/>
  <c r="AR92" i="43"/>
  <c r="AR91" i="43"/>
  <c r="AT206" i="43"/>
  <c r="AQ28" i="43"/>
  <c r="BR12" i="8"/>
  <c r="AR10" i="43"/>
  <c r="AR17" i="43"/>
  <c r="AR18" i="43" s="1"/>
  <c r="AU8" i="43"/>
  <c r="BS6" i="8"/>
  <c r="BS12" i="8" s="1"/>
  <c r="AR203" i="43"/>
  <c r="AR8" i="43"/>
  <c r="AU10" i="43"/>
  <c r="AR205" i="43"/>
  <c r="AR45" i="43"/>
  <c r="BR10" i="8"/>
  <c r="AF70" i="1" s="1"/>
  <c r="AF71" i="1" l="1"/>
  <c r="AF64" i="1"/>
  <c r="AF63" i="1"/>
  <c r="BS10" i="8"/>
  <c r="AG63" i="1" s="1"/>
  <c r="AG53" i="1"/>
  <c r="AF7" i="1"/>
  <c r="AU93" i="43"/>
  <c r="AU149" i="43"/>
  <c r="AU95" i="43"/>
  <c r="BV13" i="8"/>
  <c r="BS13" i="8"/>
  <c r="AR93" i="43"/>
  <c r="AR149" i="43"/>
  <c r="AR95" i="43"/>
  <c r="BR13" i="8"/>
  <c r="BU13" i="8"/>
  <c r="AR204" i="43"/>
  <c r="AU204" i="43"/>
  <c r="AR206" i="43"/>
  <c r="AU206" i="43"/>
  <c r="AG167" i="1"/>
  <c r="BS7" i="8"/>
  <c r="BS53" i="8"/>
  <c r="BV7" i="8"/>
  <c r="AG56" i="1"/>
  <c r="AG74" i="1"/>
  <c r="AG126" i="1"/>
  <c r="AG70" i="1" l="1"/>
  <c r="AG57" i="1"/>
  <c r="AG54" i="1"/>
  <c r="AF8" i="1"/>
  <c r="AG60" i="1"/>
  <c r="AG67" i="1"/>
  <c r="AF68" i="1"/>
  <c r="AF73" i="1" s="1"/>
  <c r="AF20" i="2" l="1"/>
  <c r="AF248" i="1"/>
  <c r="AF250" i="1" s="1"/>
  <c r="AG71" i="1"/>
  <c r="AG68" i="1"/>
  <c r="AG61" i="1"/>
  <c r="AG64" i="1"/>
  <c r="AG73" i="1" l="1"/>
  <c r="AG20" i="2" s="1"/>
  <c r="AQ32" i="43"/>
  <c r="AQ33" i="43" s="1"/>
  <c r="AQ59" i="43" s="1"/>
  <c r="AR353" i="43"/>
  <c r="AR342" i="43"/>
  <c r="AR344" i="43"/>
  <c r="AR343" i="43"/>
  <c r="AR345" i="43"/>
  <c r="BR270" i="8"/>
  <c r="AR354" i="43"/>
  <c r="AQ56" i="43"/>
  <c r="AQ337" i="43"/>
  <c r="AQ340" i="43" s="1"/>
  <c r="AF222" i="1" l="1"/>
  <c r="AF221" i="1"/>
  <c r="AF251" i="1" s="1"/>
  <c r="AF252" i="1" s="1"/>
  <c r="AF253" i="1" s="1"/>
  <c r="AR59" i="43"/>
  <c r="AQ62" i="43"/>
  <c r="BR49" i="8"/>
  <c r="AR60" i="43"/>
  <c r="AR61" i="43" s="1"/>
  <c r="BS58" i="8"/>
  <c r="AG221" i="1"/>
  <c r="AG251" i="1" s="1"/>
  <c r="AG252" i="1" s="1"/>
  <c r="AG253" i="1" s="1"/>
  <c r="AG222" i="1"/>
  <c r="AR32" i="43"/>
  <c r="AR33" i="43" s="1"/>
  <c r="AR350" i="43"/>
  <c r="BR58" i="8"/>
  <c r="AQ60" i="43"/>
  <c r="AQ61" i="43" s="1"/>
  <c r="AQ63" i="43"/>
  <c r="AQ64" i="43" s="1"/>
  <c r="AQ67" i="43"/>
  <c r="AR67" i="43" s="1"/>
  <c r="AT337" i="43"/>
  <c r="AR337" i="43"/>
  <c r="AQ338" i="43"/>
  <c r="AQ339" i="43" s="1"/>
  <c r="AR63" i="43" l="1"/>
  <c r="AR64" i="43" s="1"/>
  <c r="AR62" i="43"/>
  <c r="AF223" i="1"/>
  <c r="BR50" i="8"/>
  <c r="BR46" i="8"/>
  <c r="BR47" i="8" s="1"/>
  <c r="BS49" i="8"/>
  <c r="AR34" i="43"/>
  <c r="AR340" i="43"/>
  <c r="AR25" i="43"/>
  <c r="AR338" i="43"/>
  <c r="AR339" i="43" s="1"/>
  <c r="AG223" i="1"/>
  <c r="AU337" i="43"/>
  <c r="AT338" i="43"/>
  <c r="AT339" i="43" s="1"/>
  <c r="AT342" i="43"/>
  <c r="AW337" i="43"/>
  <c r="AT25" i="43"/>
  <c r="BR55" i="8"/>
  <c r="BR56" i="8" s="1"/>
  <c r="BR59" i="8"/>
  <c r="BR64" i="8"/>
  <c r="BR60" i="8"/>
  <c r="BS55" i="8"/>
  <c r="BS56" i="8" s="1"/>
  <c r="BS60" i="8"/>
  <c r="BS64" i="8"/>
  <c r="BS59" i="8"/>
  <c r="AR351" i="43"/>
  <c r="AR56" i="43"/>
  <c r="AF15" i="2" l="1"/>
  <c r="AF21" i="2" s="1"/>
  <c r="AH21" i="2" s="1"/>
  <c r="Q34" i="46" s="1"/>
  <c r="AF238" i="1"/>
  <c r="AF239" i="1" s="1"/>
  <c r="BS270" i="8"/>
  <c r="AR352" i="43"/>
  <c r="BR65" i="8"/>
  <c r="BR136" i="8"/>
  <c r="BR73" i="8"/>
  <c r="AX337" i="43"/>
  <c r="AW342" i="43"/>
  <c r="AZ337" i="43"/>
  <c r="AW25" i="43"/>
  <c r="AW338" i="43"/>
  <c r="AW339" i="43" s="1"/>
  <c r="AR36" i="43"/>
  <c r="AR37" i="43"/>
  <c r="AR38" i="43" s="1"/>
  <c r="AR35" i="43"/>
  <c r="AU338" i="43"/>
  <c r="AU339" i="43" s="1"/>
  <c r="AU340" i="43"/>
  <c r="AU25" i="43"/>
  <c r="AT343" i="43"/>
  <c r="AT32" i="43"/>
  <c r="AT33" i="43" s="1"/>
  <c r="AU342" i="43"/>
  <c r="AT350" i="43"/>
  <c r="AT345" i="43"/>
  <c r="AU345" i="43" s="1"/>
  <c r="BS46" i="8"/>
  <c r="BS47" i="8" s="1"/>
  <c r="BS50" i="8"/>
  <c r="AR27" i="43"/>
  <c r="AR28" i="43" s="1"/>
  <c r="AR26" i="43"/>
  <c r="AT27" i="43"/>
  <c r="AT28" i="43" s="1"/>
  <c r="AT26" i="43"/>
  <c r="AG15" i="2"/>
  <c r="AG238" i="1"/>
  <c r="AG239" i="1" s="1"/>
  <c r="BS136" i="8"/>
  <c r="BS65" i="8"/>
  <c r="AF22" i="2" l="1"/>
  <c r="AF42" i="2" s="1"/>
  <c r="AF47" i="2" s="1"/>
  <c r="AG44" i="2" s="1"/>
  <c r="R34" i="46"/>
  <c r="AI21" i="2"/>
  <c r="AJ21" i="2" s="1"/>
  <c r="AN21" i="2"/>
  <c r="AU32" i="43"/>
  <c r="AU33" i="43" s="1"/>
  <c r="AU350" i="43"/>
  <c r="AT34" i="43"/>
  <c r="BU49" i="8"/>
  <c r="AX338" i="43"/>
  <c r="AX339" i="43" s="1"/>
  <c r="AX25" i="43"/>
  <c r="AX340" i="43"/>
  <c r="AT344" i="43"/>
  <c r="AU344" i="43" s="1"/>
  <c r="AU343" i="43"/>
  <c r="AW27" i="43"/>
  <c r="AW28" i="43" s="1"/>
  <c r="AW26" i="43"/>
  <c r="AU27" i="43"/>
  <c r="AU28" i="43" s="1"/>
  <c r="AU26" i="43"/>
  <c r="BA337" i="43"/>
  <c r="AZ25" i="43"/>
  <c r="AZ342" i="43"/>
  <c r="AZ338" i="43"/>
  <c r="AZ339" i="43" s="1"/>
  <c r="AW350" i="43"/>
  <c r="AW343" i="43"/>
  <c r="AW345" i="43"/>
  <c r="AX345" i="43" s="1"/>
  <c r="AX342" i="43"/>
  <c r="AW32" i="43"/>
  <c r="AW33" i="43" s="1"/>
  <c r="BR193" i="8"/>
  <c r="BR203" i="8" s="1"/>
  <c r="BR79" i="8"/>
  <c r="AF236" i="1" s="1"/>
  <c r="AF237" i="1" s="1"/>
  <c r="AT351" i="43"/>
  <c r="AT354" i="43"/>
  <c r="AU354" i="43" s="1"/>
  <c r="AT353" i="43"/>
  <c r="AU353" i="43" s="1"/>
  <c r="AT56" i="43"/>
  <c r="AF6" i="1" l="1"/>
  <c r="AF98" i="1" s="1"/>
  <c r="AF99" i="1" s="1"/>
  <c r="AF100" i="1" s="1"/>
  <c r="AQ21" i="2"/>
  <c r="AL21" i="2"/>
  <c r="S34" i="46" s="1"/>
  <c r="BR191" i="8"/>
  <c r="BR76" i="8"/>
  <c r="BX49" i="8"/>
  <c r="AW34" i="43"/>
  <c r="BA25" i="43"/>
  <c r="BA338" i="43"/>
  <c r="BA339" i="43" s="1"/>
  <c r="BA340" i="43"/>
  <c r="AT37" i="43"/>
  <c r="AT38" i="43" s="1"/>
  <c r="AT36" i="43"/>
  <c r="AT59" i="43"/>
  <c r="AT35" i="43"/>
  <c r="AW353" i="43"/>
  <c r="AX353" i="43" s="1"/>
  <c r="AW354" i="43"/>
  <c r="AX354" i="43" s="1"/>
  <c r="AW351" i="43"/>
  <c r="AW56" i="43"/>
  <c r="AZ26" i="43"/>
  <c r="AZ27" i="43"/>
  <c r="AZ28" i="43" s="1"/>
  <c r="BU50" i="8"/>
  <c r="BU46" i="8"/>
  <c r="BU47" i="8" s="1"/>
  <c r="AX32" i="43"/>
  <c r="AX33" i="43" s="1"/>
  <c r="AX350" i="43"/>
  <c r="AU351" i="43"/>
  <c r="AU56" i="43"/>
  <c r="AU34" i="43"/>
  <c r="BV49" i="8"/>
  <c r="AW344" i="43"/>
  <c r="AX344" i="43" s="1"/>
  <c r="AX343" i="43"/>
  <c r="AX26" i="43"/>
  <c r="AX27" i="43"/>
  <c r="AX28" i="43" s="1"/>
  <c r="BU270" i="8"/>
  <c r="AT352" i="43"/>
  <c r="BR88" i="8"/>
  <c r="BR84" i="8"/>
  <c r="AZ350" i="43"/>
  <c r="AZ343" i="43"/>
  <c r="AZ32" i="43"/>
  <c r="AZ33" i="43" s="1"/>
  <c r="BA342" i="43"/>
  <c r="AZ345" i="43"/>
  <c r="BA345" i="43" s="1"/>
  <c r="AF10" i="1" l="1"/>
  <c r="AF19" i="1" s="1"/>
  <c r="AF107" i="1"/>
  <c r="AF109" i="1" s="1"/>
  <c r="AF113" i="1" s="1"/>
  <c r="AF240" i="1" s="1"/>
  <c r="AF175" i="1"/>
  <c r="AF229" i="1"/>
  <c r="AF231" i="1" s="1"/>
  <c r="AF232" i="1" s="1"/>
  <c r="AF233" i="1" s="1"/>
  <c r="AM21" i="2"/>
  <c r="AO21" i="2"/>
  <c r="AP21" i="2" s="1"/>
  <c r="AG97" i="1"/>
  <c r="AX56" i="43"/>
  <c r="AX351" i="43"/>
  <c r="BR89" i="8"/>
  <c r="BR91" i="8"/>
  <c r="BR111" i="8"/>
  <c r="BR118" i="8" s="1"/>
  <c r="AF192" i="1" s="1"/>
  <c r="AF193" i="1" s="1"/>
  <c r="BR93" i="8"/>
  <c r="AZ353" i="43"/>
  <c r="BA353" i="43" s="1"/>
  <c r="AZ354" i="43"/>
  <c r="BA354" i="43" s="1"/>
  <c r="AZ56" i="43"/>
  <c r="AZ351" i="43"/>
  <c r="BA27" i="43"/>
  <c r="BA28" i="43" s="1"/>
  <c r="BA26" i="43"/>
  <c r="AW59" i="43"/>
  <c r="AW37" i="43"/>
  <c r="AW38" i="43" s="1"/>
  <c r="AW35" i="43"/>
  <c r="AW36" i="43"/>
  <c r="BX50" i="8"/>
  <c r="BX46" i="8"/>
  <c r="BX47" i="8" s="1"/>
  <c r="BA350" i="43"/>
  <c r="BA32" i="43"/>
  <c r="BA33" i="43" s="1"/>
  <c r="AW352" i="43"/>
  <c r="BX270" i="8"/>
  <c r="BY49" i="8"/>
  <c r="AX34" i="43"/>
  <c r="BV50" i="8"/>
  <c r="BV46" i="8"/>
  <c r="BV47" i="8" s="1"/>
  <c r="AU37" i="43"/>
  <c r="AU38" i="43" s="1"/>
  <c r="AU36" i="43"/>
  <c r="AU35" i="43"/>
  <c r="AT60" i="43"/>
  <c r="AT61" i="43" s="1"/>
  <c r="AT63" i="43"/>
  <c r="AT64" i="43" s="1"/>
  <c r="AI222" i="1"/>
  <c r="AT62" i="43"/>
  <c r="AT67" i="43"/>
  <c r="AU67" i="43" s="1"/>
  <c r="AU59" i="43"/>
  <c r="AI221" i="1"/>
  <c r="AI251" i="1" s="1"/>
  <c r="AI252" i="1" s="1"/>
  <c r="AI253" i="1" s="1"/>
  <c r="BU58" i="8"/>
  <c r="AZ34" i="43"/>
  <c r="CA49" i="8"/>
  <c r="AZ344" i="43"/>
  <c r="BA344" i="43" s="1"/>
  <c r="BA343" i="43"/>
  <c r="AU352" i="43"/>
  <c r="BV270" i="8"/>
  <c r="AI223" i="1" l="1"/>
  <c r="CB49" i="8"/>
  <c r="BA34" i="43"/>
  <c r="BY270" i="8"/>
  <c r="AX352" i="43"/>
  <c r="AX37" i="43"/>
  <c r="AX38" i="43" s="1"/>
  <c r="AX36" i="43"/>
  <c r="AX35" i="43"/>
  <c r="BU59" i="8"/>
  <c r="BU55" i="8"/>
  <c r="BU56" i="8" s="1"/>
  <c r="BU60" i="8"/>
  <c r="BU64" i="8"/>
  <c r="BR119" i="8"/>
  <c r="BR123" i="8"/>
  <c r="BX58" i="8"/>
  <c r="AW63" i="43"/>
  <c r="AW64" i="43" s="1"/>
  <c r="AW62" i="43"/>
  <c r="AL221" i="1"/>
  <c r="AL251" i="1" s="1"/>
  <c r="AL252" i="1" s="1"/>
  <c r="AL253" i="1" s="1"/>
  <c r="AW60" i="43"/>
  <c r="AW61" i="43" s="1"/>
  <c r="AL222" i="1"/>
  <c r="AX59" i="43"/>
  <c r="AW67" i="43"/>
  <c r="AX67" i="43" s="1"/>
  <c r="CA46" i="8"/>
  <c r="CA47" i="8" s="1"/>
  <c r="CA50" i="8"/>
  <c r="BR94" i="8"/>
  <c r="BA351" i="43"/>
  <c r="BA56" i="43"/>
  <c r="BY46" i="8"/>
  <c r="BY47" i="8" s="1"/>
  <c r="BY50" i="8"/>
  <c r="AZ352" i="43"/>
  <c r="CA270" i="8"/>
  <c r="AZ35" i="43"/>
  <c r="AZ36" i="43"/>
  <c r="AZ37" i="43"/>
  <c r="AZ38" i="43" s="1"/>
  <c r="AZ59" i="43"/>
  <c r="AU60" i="43"/>
  <c r="AU61" i="43" s="1"/>
  <c r="AJ221" i="1"/>
  <c r="AJ251" i="1" s="1"/>
  <c r="AJ252" i="1" s="1"/>
  <c r="AJ253" i="1" s="1"/>
  <c r="AJ222" i="1"/>
  <c r="AU63" i="43"/>
  <c r="AU64" i="43" s="1"/>
  <c r="BV58" i="8"/>
  <c r="AU62" i="43"/>
  <c r="AL223" i="1" l="1"/>
  <c r="AN193" i="1"/>
  <c r="BA352" i="43"/>
  <c r="CB270" i="8"/>
  <c r="AX60" i="43"/>
  <c r="AX61" i="43" s="1"/>
  <c r="AM222" i="1"/>
  <c r="AM221" i="1"/>
  <c r="AM251" i="1" s="1"/>
  <c r="AM252" i="1" s="1"/>
  <c r="AM253" i="1" s="1"/>
  <c r="AX62" i="43"/>
  <c r="AX63" i="43"/>
  <c r="AX64" i="43" s="1"/>
  <c r="BY58" i="8"/>
  <c r="BV64" i="8"/>
  <c r="BV55" i="8"/>
  <c r="BV56" i="8" s="1"/>
  <c r="BV60" i="8"/>
  <c r="BV59" i="8"/>
  <c r="BX55" i="8"/>
  <c r="BX56" i="8" s="1"/>
  <c r="BX59" i="8"/>
  <c r="BX60" i="8"/>
  <c r="BX64" i="8"/>
  <c r="BA36" i="43"/>
  <c r="BA37" i="43"/>
  <c r="BA38" i="43" s="1"/>
  <c r="BA35" i="43"/>
  <c r="BR185" i="8"/>
  <c r="CA58" i="8"/>
  <c r="AZ63" i="43"/>
  <c r="AZ64" i="43" s="1"/>
  <c r="AO221" i="1"/>
  <c r="AO251" i="1" s="1"/>
  <c r="AO252" i="1" s="1"/>
  <c r="AO253" i="1" s="1"/>
  <c r="AO222" i="1"/>
  <c r="BA59" i="43"/>
  <c r="AZ60" i="43"/>
  <c r="AZ61" i="43" s="1"/>
  <c r="AZ67" i="43"/>
  <c r="BA67" i="43" s="1"/>
  <c r="AZ62" i="43"/>
  <c r="AI15" i="2"/>
  <c r="AI238" i="1"/>
  <c r="AI239" i="1" s="1"/>
  <c r="BU136" i="8"/>
  <c r="BU65" i="8"/>
  <c r="AJ223" i="1"/>
  <c r="BR126" i="8"/>
  <c r="BR124" i="8"/>
  <c r="BR127" i="8" s="1"/>
  <c r="CB50" i="8"/>
  <c r="CB46" i="8"/>
  <c r="CB47" i="8" s="1"/>
  <c r="AQ193" i="1" l="1"/>
  <c r="AO223" i="1"/>
  <c r="AJ15" i="2"/>
  <c r="BV65" i="8"/>
  <c r="BV136" i="8"/>
  <c r="AJ238" i="1"/>
  <c r="AJ239" i="1" s="1"/>
  <c r="BY59" i="8"/>
  <c r="BY60" i="8"/>
  <c r="BY55" i="8"/>
  <c r="BY56" i="8" s="1"/>
  <c r="BY64" i="8"/>
  <c r="AL15" i="2"/>
  <c r="BX65" i="8"/>
  <c r="BX136" i="8"/>
  <c r="AL238" i="1"/>
  <c r="AL239" i="1" s="1"/>
  <c r="CA60" i="8"/>
  <c r="CA55" i="8"/>
  <c r="CA56" i="8" s="1"/>
  <c r="CA59" i="8"/>
  <c r="CA64" i="8"/>
  <c r="BA63" i="43"/>
  <c r="BA64" i="43" s="1"/>
  <c r="AP221" i="1"/>
  <c r="AP251" i="1" s="1"/>
  <c r="AP252" i="1" s="1"/>
  <c r="AP253" i="1" s="1"/>
  <c r="CB58" i="8"/>
  <c r="AP222" i="1"/>
  <c r="BA60" i="43"/>
  <c r="BA61" i="43" s="1"/>
  <c r="BA62" i="43"/>
  <c r="BR187" i="8"/>
  <c r="BR186" i="8"/>
  <c r="AH181" i="1"/>
  <c r="AM223" i="1"/>
  <c r="AG38" i="2" l="1"/>
  <c r="CB59" i="8"/>
  <c r="CB60" i="8"/>
  <c r="CB55" i="8"/>
  <c r="CB56" i="8" s="1"/>
  <c r="CB64" i="8"/>
  <c r="AM15" i="2"/>
  <c r="BY136" i="8"/>
  <c r="BY65" i="8"/>
  <c r="AM238" i="1"/>
  <c r="AM239" i="1" s="1"/>
  <c r="AO15" i="2"/>
  <c r="AO238" i="1"/>
  <c r="AO239" i="1" s="1"/>
  <c r="CA136" i="8"/>
  <c r="CA65" i="8"/>
  <c r="AP223" i="1"/>
  <c r="AP15" i="2" l="1"/>
  <c r="CB65" i="8"/>
  <c r="CB136" i="8"/>
  <c r="AP238" i="1"/>
  <c r="AP239" i="1" s="1"/>
  <c r="AH38" i="2"/>
  <c r="AG40" i="2"/>
  <c r="AG230" i="1"/>
  <c r="AH230" i="1" l="1"/>
  <c r="AH40" i="2"/>
  <c r="Q38" i="46"/>
  <c r="AG227" i="1"/>
  <c r="AF22" i="1" l="1"/>
  <c r="AF27" i="1" s="1"/>
  <c r="AG80" i="1"/>
  <c r="AG82" i="1"/>
  <c r="AF81" i="1"/>
  <c r="AG22" i="1" l="1"/>
  <c r="AG27" i="1" s="1"/>
  <c r="AH45" i="2"/>
  <c r="AF29" i="1" l="1"/>
  <c r="AF34" i="1" s="1"/>
  <c r="AF36" i="1" s="1"/>
  <c r="AF38" i="1" s="1"/>
  <c r="AF48" i="1"/>
  <c r="AF2" i="1" s="1"/>
  <c r="AF54" i="2" s="1"/>
  <c r="AE29" i="1"/>
  <c r="AE34" i="1" s="1"/>
  <c r="AE36" i="1" s="1"/>
  <c r="AE89" i="1"/>
  <c r="AF90" i="1" s="1"/>
  <c r="AD87" i="1"/>
  <c r="AH85" i="1"/>
  <c r="AH87" i="1" s="1"/>
  <c r="AK85" i="1" s="1"/>
  <c r="AK87" i="1" s="1"/>
  <c r="AE86" i="1"/>
  <c r="AF85" i="1"/>
  <c r="AF86" i="1" s="1"/>
  <c r="AG85" i="1"/>
  <c r="AG87" i="1"/>
  <c r="AG89" i="1" s="1"/>
  <c r="AG108" i="1" s="1"/>
  <c r="AG29" i="1"/>
  <c r="AG34" i="1" s="1"/>
  <c r="AG36" i="1" s="1"/>
  <c r="BO160" i="8" l="1"/>
  <c r="BO166" i="8" s="1"/>
  <c r="AE108" i="1"/>
  <c r="AE109" i="1" s="1"/>
  <c r="AI14" i="46"/>
  <c r="BQ160" i="8"/>
  <c r="BQ166" i="8" s="1"/>
  <c r="AE91" i="1"/>
  <c r="AD91" i="1" s="1"/>
  <c r="AD92" i="1" s="1"/>
  <c r="AE90" i="1"/>
  <c r="AI16" i="46"/>
  <c r="AE38" i="1"/>
  <c r="AE48" i="1" s="1"/>
  <c r="AE2" i="1" s="1"/>
  <c r="AE54" i="2" s="1"/>
  <c r="AK89" i="1"/>
  <c r="AL85" i="1"/>
  <c r="AL87" i="1" s="1"/>
  <c r="AI85" i="1"/>
  <c r="AI87" i="1" s="1"/>
  <c r="AH89" i="1"/>
  <c r="AK29" i="1"/>
  <c r="AK34" i="1" s="1"/>
  <c r="AK36" i="1" s="1"/>
  <c r="AD29" i="1"/>
  <c r="AD34" i="1" s="1"/>
  <c r="AD36" i="1" s="1"/>
  <c r="AD38" i="1" s="1"/>
  <c r="AD48" i="1" s="1"/>
  <c r="AD2" i="1" s="1"/>
  <c r="AD54" i="2" s="1"/>
  <c r="AD89" i="1"/>
  <c r="AN85" i="1"/>
  <c r="AN87" i="1" s="1"/>
  <c r="AH29" i="1"/>
  <c r="AH34" i="1" s="1"/>
  <c r="AH36" i="1" s="1"/>
  <c r="AG90" i="1"/>
  <c r="AF247" i="1" l="1"/>
  <c r="AH90" i="1"/>
  <c r="BT160" i="8"/>
  <c r="BT166" i="8" s="1"/>
  <c r="AJ14" i="46"/>
  <c r="AH108" i="1"/>
  <c r="AI45" i="46"/>
  <c r="AI46" i="46" s="1"/>
  <c r="AI15" i="46"/>
  <c r="AI18" i="46"/>
  <c r="AK16" i="46"/>
  <c r="AJ16" i="46"/>
  <c r="AJ85" i="1"/>
  <c r="AJ87" i="1" s="1"/>
  <c r="AI29" i="1"/>
  <c r="AI34" i="1" s="1"/>
  <c r="AI36" i="1" s="1"/>
  <c r="AI89" i="1"/>
  <c r="AI90" i="1" s="1"/>
  <c r="BQ168" i="8"/>
  <c r="AI51" i="46" s="1"/>
  <c r="BQ167" i="8"/>
  <c r="AI52" i="46" s="1"/>
  <c r="AI53" i="46"/>
  <c r="AN29" i="1"/>
  <c r="AN34" i="1" s="1"/>
  <c r="AN36" i="1" s="1"/>
  <c r="AQ85" i="1"/>
  <c r="AQ87" i="1" s="1"/>
  <c r="AO85" i="1"/>
  <c r="AO87" i="1" s="1"/>
  <c r="AN89" i="1"/>
  <c r="AL29" i="1"/>
  <c r="AL34" i="1" s="1"/>
  <c r="AL36" i="1" s="1"/>
  <c r="AL89" i="1"/>
  <c r="AL90" i="1" s="1"/>
  <c r="AM85" i="1"/>
  <c r="AM87" i="1" s="1"/>
  <c r="BW160" i="8"/>
  <c r="BW166" i="8" s="1"/>
  <c r="AK90" i="1"/>
  <c r="AK14" i="46"/>
  <c r="AK108" i="1"/>
  <c r="AE247" i="1"/>
  <c r="AE113" i="1"/>
  <c r="AE240" i="1" s="1"/>
  <c r="AI19" i="46"/>
  <c r="AD90" i="1"/>
  <c r="AD108" i="1"/>
  <c r="AD109" i="1" s="1"/>
  <c r="BO168" i="8"/>
  <c r="BO167" i="8"/>
  <c r="AL14" i="46" l="1"/>
  <c r="AN90" i="1"/>
  <c r="BZ160" i="8"/>
  <c r="BZ166" i="8" s="1"/>
  <c r="AN108" i="1"/>
  <c r="BW168" i="8"/>
  <c r="AK51" i="46" s="1"/>
  <c r="AK53" i="46"/>
  <c r="BW167" i="8"/>
  <c r="AK52" i="46" s="1"/>
  <c r="AM29" i="1"/>
  <c r="AM34" i="1" s="1"/>
  <c r="AM36" i="1" s="1"/>
  <c r="AM89" i="1"/>
  <c r="AM108" i="1" s="1"/>
  <c r="AO29" i="1"/>
  <c r="AO34" i="1" s="1"/>
  <c r="AO36" i="1" s="1"/>
  <c r="AO89" i="1"/>
  <c r="AP85" i="1"/>
  <c r="AP87" i="1" s="1"/>
  <c r="AJ15" i="46"/>
  <c r="AD247" i="1"/>
  <c r="AD113" i="1"/>
  <c r="AD240" i="1" s="1"/>
  <c r="AJ53" i="46"/>
  <c r="BT167" i="8"/>
  <c r="AJ52" i="46" s="1"/>
  <c r="BT168" i="8"/>
  <c r="AJ51" i="46" s="1"/>
  <c r="AI44" i="46"/>
  <c r="AI43" i="46"/>
  <c r="AK15" i="46"/>
  <c r="AL108" i="1"/>
  <c r="AJ89" i="1"/>
  <c r="AJ108" i="1" s="1"/>
  <c r="AJ29" i="1"/>
  <c r="AJ34" i="1" s="1"/>
  <c r="AJ36" i="1" s="1"/>
  <c r="AQ89" i="1"/>
  <c r="AQ29" i="1"/>
  <c r="AQ34" i="1" s="1"/>
  <c r="AQ36" i="1" s="1"/>
  <c r="AL16" i="46"/>
  <c r="AI20" i="46"/>
  <c r="AI47" i="46"/>
  <c r="AI48" i="46" s="1"/>
  <c r="AI108" i="1"/>
  <c r="AJ90" i="1"/>
  <c r="AM90" i="1" l="1"/>
  <c r="BZ167" i="8"/>
  <c r="AL52" i="46" s="1"/>
  <c r="AL53" i="46"/>
  <c r="BZ168" i="8"/>
  <c r="AL51" i="46" s="1"/>
  <c r="AQ90" i="1"/>
  <c r="AQ108" i="1"/>
  <c r="CC160" i="8"/>
  <c r="CC166" i="8" s="1"/>
  <c r="AP90" i="1"/>
  <c r="AO108" i="1"/>
  <c r="AO90" i="1"/>
  <c r="AP29" i="1"/>
  <c r="AP34" i="1" s="1"/>
  <c r="AP36" i="1" s="1"/>
  <c r="AP89" i="1"/>
  <c r="AP108" i="1" s="1"/>
  <c r="AI38" i="46"/>
  <c r="AL15" i="46"/>
  <c r="CC168" i="8" l="1"/>
  <c r="CC167" i="8"/>
  <c r="AG173" i="1" l="1"/>
  <c r="AF177" i="1"/>
  <c r="AF179" i="1" l="1"/>
  <c r="AH177" i="1"/>
  <c r="BR201" i="8" l="1"/>
  <c r="BR77" i="8" s="1"/>
  <c r="BR202" i="8" l="1"/>
  <c r="BZ67" i="8"/>
  <c r="AH101" i="1"/>
  <c r="BT67" i="8"/>
  <c r="BU67" i="8"/>
  <c r="BX67" i="8"/>
  <c r="CA67" i="8"/>
  <c r="BU71" i="8" l="1"/>
  <c r="BU73" i="8" s="1"/>
  <c r="BU193" i="8" s="1"/>
  <c r="BU196" i="8" s="1"/>
  <c r="BU198" i="8" s="1"/>
  <c r="AI19" i="2"/>
  <c r="BZ71" i="8"/>
  <c r="BZ182" i="8" s="1"/>
  <c r="AN19" i="2"/>
  <c r="CC67" i="8"/>
  <c r="AQ19" i="2" s="1"/>
  <c r="BW67" i="8"/>
  <c r="AK19" i="2" s="1"/>
  <c r="AL19" i="2"/>
  <c r="BX71" i="8"/>
  <c r="BX73" i="8" s="1"/>
  <c r="BX193" i="8" s="1"/>
  <c r="BU75" i="8"/>
  <c r="BU203" i="8"/>
  <c r="BU76" i="8" s="1"/>
  <c r="AO19" i="2"/>
  <c r="CA71" i="8"/>
  <c r="CA73" i="8" s="1"/>
  <c r="CA193" i="8" s="1"/>
  <c r="BY67" i="8"/>
  <c r="BS67" i="8"/>
  <c r="AH19" i="2"/>
  <c r="BT71" i="8"/>
  <c r="BU191" i="8"/>
  <c r="BV67" i="8" l="1"/>
  <c r="BW71" i="8"/>
  <c r="CC71" i="8"/>
  <c r="CC182" i="8" s="1"/>
  <c r="S31" i="46"/>
  <c r="S18" i="46"/>
  <c r="AL39" i="46" s="1"/>
  <c r="CB67" i="8"/>
  <c r="CB71" i="8" s="1"/>
  <c r="CB73" i="8" s="1"/>
  <c r="CB193" i="8" s="1"/>
  <c r="CB191" i="8" s="1"/>
  <c r="BZ73" i="8"/>
  <c r="BZ193" i="8" s="1"/>
  <c r="BZ191" i="8" s="1"/>
  <c r="BZ196" i="8" s="1"/>
  <c r="AM19" i="2"/>
  <c r="BY71" i="8"/>
  <c r="BY73" i="8" s="1"/>
  <c r="BY193" i="8" s="1"/>
  <c r="BY191" i="8" s="1"/>
  <c r="BV71" i="8"/>
  <c r="BV73" i="8" s="1"/>
  <c r="BV193" i="8" s="1"/>
  <c r="BV191" i="8" s="1"/>
  <c r="AJ19" i="2"/>
  <c r="BT73" i="8"/>
  <c r="Q18" i="46"/>
  <c r="AJ39" i="46" s="1"/>
  <c r="Q31" i="46"/>
  <c r="BT182" i="8"/>
  <c r="BX191" i="8"/>
  <c r="BX196" i="8"/>
  <c r="BX198" i="8" s="1"/>
  <c r="AG19" i="2"/>
  <c r="BS71" i="8"/>
  <c r="BS73" i="8" s="1"/>
  <c r="BS193" i="8" s="1"/>
  <c r="BS191" i="8" s="1"/>
  <c r="R18" i="46"/>
  <c r="AK39" i="46" s="1"/>
  <c r="R31" i="46"/>
  <c r="BW73" i="8"/>
  <c r="BW182" i="8"/>
  <c r="CA196" i="8"/>
  <c r="CA198" i="8" s="1"/>
  <c r="CA191" i="8"/>
  <c r="AI17" i="2"/>
  <c r="AI22" i="2" s="1"/>
  <c r="BU79" i="8"/>
  <c r="AP19" i="2" l="1"/>
  <c r="CC73" i="8"/>
  <c r="CC193" i="8" s="1"/>
  <c r="CC191" i="8" s="1"/>
  <c r="CC196" i="8" s="1"/>
  <c r="CB196" i="8" s="1"/>
  <c r="S19" i="46"/>
  <c r="BY196" i="8"/>
  <c r="BZ198" i="8"/>
  <c r="BW193" i="8"/>
  <c r="BW191" i="8" s="1"/>
  <c r="BW196" i="8" s="1"/>
  <c r="R19" i="46"/>
  <c r="BU88" i="8"/>
  <c r="AI236" i="1"/>
  <c r="AI237" i="1" s="1"/>
  <c r="BU84" i="8"/>
  <c r="BX203" i="8"/>
  <c r="BX76" i="8" s="1"/>
  <c r="BX75" i="8"/>
  <c r="BT193" i="8"/>
  <c r="BT191" i="8" s="1"/>
  <c r="BT196" i="8" s="1"/>
  <c r="Q19" i="46"/>
  <c r="CC198" i="8"/>
  <c r="CA203" i="8"/>
  <c r="CA76" i="8" s="1"/>
  <c r="CA75" i="8"/>
  <c r="BV196" i="8" l="1"/>
  <c r="BW198" i="8"/>
  <c r="BS196" i="8"/>
  <c r="BT198" i="8"/>
  <c r="CB198" i="8"/>
  <c r="CB203" i="8" s="1"/>
  <c r="CB76" i="8" s="1"/>
  <c r="CB201" i="8"/>
  <c r="BU89" i="8"/>
  <c r="BU93" i="8"/>
  <c r="BU94" i="8" s="1"/>
  <c r="AI229" i="1"/>
  <c r="AI175" i="1"/>
  <c r="BU111" i="8"/>
  <c r="BU118" i="8" s="1"/>
  <c r="BU91" i="8"/>
  <c r="CC75" i="8"/>
  <c r="CC203" i="8"/>
  <c r="CC76" i="8" s="1"/>
  <c r="AO17" i="2"/>
  <c r="AO22" i="2" s="1"/>
  <c r="CA79" i="8"/>
  <c r="AL17" i="2"/>
  <c r="AL22" i="2" s="1"/>
  <c r="BX79" i="8"/>
  <c r="BZ203" i="8"/>
  <c r="BZ76" i="8" s="1"/>
  <c r="BZ75" i="8"/>
  <c r="BY198" i="8"/>
  <c r="BY203" i="8" s="1"/>
  <c r="BY76" i="8" s="1"/>
  <c r="BY201" i="8"/>
  <c r="BU119" i="8" l="1"/>
  <c r="AI192" i="1"/>
  <c r="AI191" i="1" s="1"/>
  <c r="BU123" i="8"/>
  <c r="CA84" i="8"/>
  <c r="CA88" i="8"/>
  <c r="AO236" i="1"/>
  <c r="AO237" i="1" s="1"/>
  <c r="BS201" i="8"/>
  <c r="BS198" i="8"/>
  <c r="BS203" i="8" s="1"/>
  <c r="BS76" i="8" s="1"/>
  <c r="AQ17" i="2"/>
  <c r="AQ22" i="2" s="1"/>
  <c r="CB75" i="8"/>
  <c r="CC79" i="8"/>
  <c r="BW203" i="8"/>
  <c r="BW76" i="8" s="1"/>
  <c r="BW75" i="8"/>
  <c r="BY202" i="8"/>
  <c r="BY77" i="8"/>
  <c r="BV198" i="8"/>
  <c r="BV203" i="8" s="1"/>
  <c r="BV76" i="8" s="1"/>
  <c r="BV201" i="8"/>
  <c r="AN17" i="2"/>
  <c r="AN22" i="2" s="1"/>
  <c r="S20" i="46"/>
  <c r="BY75" i="8"/>
  <c r="S30" i="46"/>
  <c r="S32" i="46" s="1"/>
  <c r="S35" i="46" s="1"/>
  <c r="S37" i="46" s="1"/>
  <c r="BZ79" i="8"/>
  <c r="CB202" i="8"/>
  <c r="CB77" i="8"/>
  <c r="BX84" i="8"/>
  <c r="BX88" i="8"/>
  <c r="AL236" i="1"/>
  <c r="AL237" i="1" s="1"/>
  <c r="BT75" i="8"/>
  <c r="BT203" i="8"/>
  <c r="BT76" i="8" s="1"/>
  <c r="CC84" i="8" l="1"/>
  <c r="CB84" i="8" s="1"/>
  <c r="AQ236" i="1"/>
  <c r="CC88" i="8"/>
  <c r="BZ88" i="8"/>
  <c r="AN236" i="1"/>
  <c r="BZ84" i="8"/>
  <c r="BY84" i="8" s="1"/>
  <c r="CA91" i="8"/>
  <c r="CA89" i="8"/>
  <c r="CA111" i="8"/>
  <c r="CA118" i="8" s="1"/>
  <c r="AO229" i="1"/>
  <c r="AO175" i="1"/>
  <c r="CA93" i="8"/>
  <c r="AI181" i="1"/>
  <c r="BU185" i="8"/>
  <c r="BV77" i="8"/>
  <c r="BV202" i="8"/>
  <c r="BS202" i="8"/>
  <c r="BS77" i="8"/>
  <c r="AP17" i="2"/>
  <c r="AP22" i="2" s="1"/>
  <c r="CB79" i="8"/>
  <c r="BS75" i="8"/>
  <c r="AH17" i="2"/>
  <c r="AH22" i="2" s="1"/>
  <c r="AH42" i="2" s="1"/>
  <c r="AH47" i="2" s="1"/>
  <c r="Q30" i="46"/>
  <c r="Q32" i="46" s="1"/>
  <c r="Q35" i="46" s="1"/>
  <c r="Q37" i="46" s="1"/>
  <c r="Q39" i="46" s="1"/>
  <c r="Q20" i="46"/>
  <c r="BT79" i="8"/>
  <c r="AM17" i="2"/>
  <c r="AM22" i="2" s="1"/>
  <c r="BY79" i="8"/>
  <c r="R30" i="46"/>
  <c r="R32" i="46" s="1"/>
  <c r="R35" i="46" s="1"/>
  <c r="R37" i="46" s="1"/>
  <c r="BV75" i="8"/>
  <c r="AK17" i="2"/>
  <c r="AK22" i="2" s="1"/>
  <c r="BW79" i="8"/>
  <c r="R20" i="46"/>
  <c r="BU126" i="8"/>
  <c r="BU124" i="8"/>
  <c r="BU127" i="8" s="1"/>
  <c r="AL229" i="1"/>
  <c r="AL175" i="1"/>
  <c r="BX89" i="8"/>
  <c r="BX93" i="8"/>
  <c r="BX94" i="8" s="1"/>
  <c r="BX91" i="8"/>
  <c r="BX111" i="8"/>
  <c r="BX118" i="8" s="1"/>
  <c r="CA94" i="8" l="1"/>
  <c r="AJ17" i="2"/>
  <c r="AJ22" i="2" s="1"/>
  <c r="BV79" i="8"/>
  <c r="BU187" i="8"/>
  <c r="BU186" i="8"/>
  <c r="AK181" i="1"/>
  <c r="AI184" i="1"/>
  <c r="CB88" i="8"/>
  <c r="AP236" i="1"/>
  <c r="AP237" i="1" s="1"/>
  <c r="CA123" i="8"/>
  <c r="CA119" i="8"/>
  <c r="AO192" i="1"/>
  <c r="AO191" i="1" s="1"/>
  <c r="CC91" i="8"/>
  <c r="CB91" i="8" s="1"/>
  <c r="AQ229" i="1"/>
  <c r="AQ175" i="1"/>
  <c r="CC93" i="8"/>
  <c r="CC89" i="8"/>
  <c r="CC111" i="8"/>
  <c r="CC118" i="8" s="1"/>
  <c r="BS79" i="8"/>
  <c r="AG17" i="2"/>
  <c r="AG22" i="2" s="1"/>
  <c r="AG42" i="2" s="1"/>
  <c r="AG47" i="2" s="1"/>
  <c r="AG6" i="1" s="1"/>
  <c r="AL192" i="1"/>
  <c r="AL191" i="1" s="1"/>
  <c r="BX123" i="8"/>
  <c r="BX119" i="8"/>
  <c r="AQ237" i="1"/>
  <c r="BY88" i="8"/>
  <c r="AM236" i="1"/>
  <c r="AM237" i="1" s="1"/>
  <c r="AN237" i="1"/>
  <c r="AH236" i="1"/>
  <c r="BT88" i="8"/>
  <c r="BT84" i="8"/>
  <c r="BS84" i="8" s="1"/>
  <c r="AN229" i="1"/>
  <c r="AN175" i="1"/>
  <c r="BZ93" i="8"/>
  <c r="BZ91" i="8"/>
  <c r="BY91" i="8" s="1"/>
  <c r="BZ111" i="8"/>
  <c r="BZ118" i="8" s="1"/>
  <c r="S22" i="46"/>
  <c r="BW88" i="8"/>
  <c r="BW84" i="8"/>
  <c r="BV84" i="8" s="1"/>
  <c r="AK236" i="1"/>
  <c r="AH6" i="1"/>
  <c r="AK44" i="2"/>
  <c r="AI44" i="2"/>
  <c r="AK237" i="1" l="1"/>
  <c r="BW93" i="8"/>
  <c r="BZ94" i="8" s="1"/>
  <c r="AK175" i="1"/>
  <c r="AK229" i="1"/>
  <c r="BW91" i="8"/>
  <c r="BV91" i="8" s="1"/>
  <c r="R22" i="46"/>
  <c r="AL28" i="46" s="1"/>
  <c r="BW111" i="8"/>
  <c r="BW118" i="8" s="1"/>
  <c r="BZ119" i="8" s="1"/>
  <c r="BW89" i="8"/>
  <c r="BY111" i="8"/>
  <c r="BY118" i="8" s="1"/>
  <c r="AM175" i="1"/>
  <c r="AM229" i="1"/>
  <c r="CA185" i="8"/>
  <c r="AO181" i="1"/>
  <c r="BZ123" i="8"/>
  <c r="AN192" i="1"/>
  <c r="AN191" i="1" s="1"/>
  <c r="S21" i="46"/>
  <c r="BZ154" i="8"/>
  <c r="BZ157" i="8" s="1"/>
  <c r="BX124" i="8"/>
  <c r="BX127" i="8" s="1"/>
  <c r="BX126" i="8"/>
  <c r="AJ38" i="2"/>
  <c r="AL181" i="1"/>
  <c r="BX185" i="8"/>
  <c r="AG10" i="1"/>
  <c r="AG19" i="1" s="1"/>
  <c r="AG38" i="1" s="1"/>
  <c r="AG98" i="1"/>
  <c r="AG99" i="1" s="1"/>
  <c r="BZ89" i="8"/>
  <c r="BS88" i="8"/>
  <c r="AG236" i="1"/>
  <c r="AG237" i="1" s="1"/>
  <c r="BV88" i="8"/>
  <c r="BY89" i="8" s="1"/>
  <c r="AJ236" i="1"/>
  <c r="AJ237" i="1" s="1"/>
  <c r="AH237" i="1"/>
  <c r="AH241" i="1"/>
  <c r="AH10" i="1"/>
  <c r="AH98" i="1"/>
  <c r="CB93" i="8"/>
  <c r="CC94" i="8"/>
  <c r="CB89" i="8"/>
  <c r="AP229" i="1"/>
  <c r="CB111" i="8"/>
  <c r="CB118" i="8" s="1"/>
  <c r="AP175" i="1"/>
  <c r="BY93" i="8"/>
  <c r="AH229" i="1"/>
  <c r="AH175" i="1"/>
  <c r="AH179" i="1" s="1"/>
  <c r="BT91" i="8"/>
  <c r="BS91" i="8" s="1"/>
  <c r="BT89" i="8"/>
  <c r="Q22" i="46"/>
  <c r="AJ28" i="46" s="1"/>
  <c r="BT111" i="8"/>
  <c r="BT118" i="8" s="1"/>
  <c r="AH192" i="1" s="1"/>
  <c r="AH191" i="1" s="1"/>
  <c r="BT93" i="8"/>
  <c r="CC123" i="8"/>
  <c r="AQ192" i="1"/>
  <c r="AQ191" i="1" s="1"/>
  <c r="CC154" i="8"/>
  <c r="CC157" i="8" s="1"/>
  <c r="CC119" i="8"/>
  <c r="CA126" i="8"/>
  <c r="CA124" i="8"/>
  <c r="CA127" i="8" s="1"/>
  <c r="BT123" i="8" l="1"/>
  <c r="BT154" i="8"/>
  <c r="BT157" i="8" s="1"/>
  <c r="Q21" i="46"/>
  <c r="BT119" i="8"/>
  <c r="AP192" i="1"/>
  <c r="CB119" i="8"/>
  <c r="CB123" i="8"/>
  <c r="BX187" i="8"/>
  <c r="BX186" i="8"/>
  <c r="AP191" i="1"/>
  <c r="CC185" i="8"/>
  <c r="AM191" i="1"/>
  <c r="BZ185" i="8"/>
  <c r="AH107" i="1"/>
  <c r="AH109" i="1" s="1"/>
  <c r="AK97" i="1"/>
  <c r="AH99" i="1"/>
  <c r="AI97" i="1"/>
  <c r="AL36" i="46"/>
  <c r="AN181" i="1"/>
  <c r="AL184" i="1"/>
  <c r="BV89" i="8"/>
  <c r="BV111" i="8"/>
  <c r="BV118" i="8" s="1"/>
  <c r="BY119" i="8" s="1"/>
  <c r="AJ229" i="1"/>
  <c r="AJ175" i="1"/>
  <c r="AJ230" i="1"/>
  <c r="AJ40" i="2"/>
  <c r="AJ42" i="2" s="1"/>
  <c r="BZ126" i="8"/>
  <c r="S23" i="46"/>
  <c r="BW154" i="8"/>
  <c r="BW157" i="8" s="1"/>
  <c r="R21" i="46"/>
  <c r="BW119" i="8"/>
  <c r="BW123" i="8"/>
  <c r="BZ124" i="8" s="1"/>
  <c r="BZ127" i="8" s="1"/>
  <c r="AK192" i="1"/>
  <c r="AK191" i="1" s="1"/>
  <c r="CA186" i="8"/>
  <c r="CA187" i="8"/>
  <c r="AJ8" i="46"/>
  <c r="AH19" i="1"/>
  <c r="AG107" i="1"/>
  <c r="AG109" i="1" s="1"/>
  <c r="AM192" i="1"/>
  <c r="BY123" i="8"/>
  <c r="BW94" i="8"/>
  <c r="BV93" i="8"/>
  <c r="BY94" i="8" s="1"/>
  <c r="CC126" i="8"/>
  <c r="CC124" i="8"/>
  <c r="CC127" i="8" s="1"/>
  <c r="BS93" i="8"/>
  <c r="BS94" i="8" s="1"/>
  <c r="BT94" i="8"/>
  <c r="CB94" i="8"/>
  <c r="AG229" i="1"/>
  <c r="AG175" i="1"/>
  <c r="AG179" i="1" s="1"/>
  <c r="BS89" i="8"/>
  <c r="BS111" i="8"/>
  <c r="BS118" i="8" s="1"/>
  <c r="AO184" i="1"/>
  <c r="AQ181" i="1"/>
  <c r="AK28" i="46"/>
  <c r="S24" i="46" l="1"/>
  <c r="BZ187" i="8"/>
  <c r="AK27" i="46"/>
  <c r="AK36" i="46"/>
  <c r="BT185" i="8"/>
  <c r="AG191" i="1"/>
  <c r="BY126" i="8"/>
  <c r="BW185" i="8"/>
  <c r="BZ186" i="8" s="1"/>
  <c r="AJ191" i="1"/>
  <c r="CB185" i="8"/>
  <c r="AP193" i="1"/>
  <c r="AP182" i="1"/>
  <c r="AJ27" i="46"/>
  <c r="AJ36" i="46"/>
  <c r="BS123" i="8"/>
  <c r="AG192" i="1"/>
  <c r="BS119" i="8"/>
  <c r="BV123" i="8"/>
  <c r="AJ192" i="1"/>
  <c r="BV119" i="8"/>
  <c r="AG113" i="1"/>
  <c r="AG240" i="1" s="1"/>
  <c r="AG247" i="1"/>
  <c r="R23" i="46"/>
  <c r="BW126" i="8"/>
  <c r="BW124" i="8"/>
  <c r="BW127" i="8" s="1"/>
  <c r="CB126" i="8"/>
  <c r="CB124" i="8"/>
  <c r="CB127" i="8" s="1"/>
  <c r="AM38" i="2"/>
  <c r="BY185" i="8"/>
  <c r="AM182" i="1"/>
  <c r="AM193" i="1"/>
  <c r="AL27" i="46"/>
  <c r="CC186" i="8"/>
  <c r="CC187" i="8"/>
  <c r="AP38" i="2"/>
  <c r="AL50" i="46"/>
  <c r="BV94" i="8"/>
  <c r="AH38" i="1"/>
  <c r="AJ12" i="46"/>
  <c r="AH247" i="1"/>
  <c r="AJ19" i="46"/>
  <c r="AH113" i="1"/>
  <c r="AH240" i="1" s="1"/>
  <c r="BT126" i="8"/>
  <c r="Q23" i="46"/>
  <c r="BT124" i="8"/>
  <c r="BT127" i="8" s="1"/>
  <c r="AG182" i="1" l="1"/>
  <c r="AG189" i="1"/>
  <c r="AH189" i="1" s="1"/>
  <c r="CB187" i="8"/>
  <c r="CB186" i="8"/>
  <c r="Q24" i="46"/>
  <c r="BT186" i="8"/>
  <c r="BT187" i="8"/>
  <c r="BV185" i="8"/>
  <c r="BY186" i="8" s="1"/>
  <c r="AJ193" i="1"/>
  <c r="AJ182" i="1"/>
  <c r="AK29" i="46"/>
  <c r="AK50" i="46"/>
  <c r="BS124" i="8"/>
  <c r="BS127" i="8" s="1"/>
  <c r="BS126" i="8"/>
  <c r="BV126" i="8"/>
  <c r="BV124" i="8"/>
  <c r="BV127" i="8" s="1"/>
  <c r="AG193" i="1"/>
  <c r="BS185" i="8"/>
  <c r="AP230" i="1"/>
  <c r="AP40" i="2"/>
  <c r="AP42" i="2" s="1"/>
  <c r="AJ50" i="46"/>
  <c r="AJ29" i="46"/>
  <c r="AN182" i="1"/>
  <c r="AN184" i="1" s="1"/>
  <c r="AM184" i="1"/>
  <c r="AM230" i="1"/>
  <c r="AM40" i="2"/>
  <c r="AM42" i="2" s="1"/>
  <c r="AJ45" i="46"/>
  <c r="AJ46" i="46" s="1"/>
  <c r="AJ18" i="46"/>
  <c r="AJ11" i="46"/>
  <c r="R24" i="46"/>
  <c r="BW186" i="8"/>
  <c r="BW187" i="8"/>
  <c r="AL29" i="46"/>
  <c r="BY187" i="8"/>
  <c r="AP184" i="1"/>
  <c r="AP185" i="1" s="1"/>
  <c r="AQ182" i="1"/>
  <c r="AQ184" i="1" s="1"/>
  <c r="BY124" i="8"/>
  <c r="BY127" i="8" s="1"/>
  <c r="AL55" i="46"/>
  <c r="AL54" i="46"/>
  <c r="AH182" i="1" l="1"/>
  <c r="AH184" i="1" s="1"/>
  <c r="AG184" i="1"/>
  <c r="BS187" i="8"/>
  <c r="BS186" i="8"/>
  <c r="AJ20" i="46"/>
  <c r="AJ47" i="46"/>
  <c r="AJ48" i="46" s="1"/>
  <c r="AJ43" i="46"/>
  <c r="AO38" i="2"/>
  <c r="AM185" i="1"/>
  <c r="AO185" i="1"/>
  <c r="AQ185" i="1" s="1"/>
  <c r="AJ44" i="46"/>
  <c r="AK55" i="46"/>
  <c r="AK54" i="46"/>
  <c r="BV187" i="8"/>
  <c r="BV186" i="8"/>
  <c r="AJ54" i="46"/>
  <c r="AJ55" i="46"/>
  <c r="AK182" i="1"/>
  <c r="AK184" i="1" s="1"/>
  <c r="AJ184" i="1"/>
  <c r="AL38" i="2" l="1"/>
  <c r="AJ185" i="1"/>
  <c r="AL185" i="1"/>
  <c r="AJ38" i="46"/>
  <c r="AO40" i="2"/>
  <c r="AO42" i="2" s="1"/>
  <c r="AO230" i="1"/>
  <c r="AQ38" i="2"/>
  <c r="AN185" i="1"/>
  <c r="AG185" i="1"/>
  <c r="AH185" i="1" s="1"/>
  <c r="AH186" i="1" s="1"/>
  <c r="AH42" i="1" s="1"/>
  <c r="AI38" i="2"/>
  <c r="AI185" i="1"/>
  <c r="AG186" i="1" l="1"/>
  <c r="AK185" i="1"/>
  <c r="AK173" i="1"/>
  <c r="AK179" i="1" s="1"/>
  <c r="AK186" i="1" s="1"/>
  <c r="AK42" i="1" s="1"/>
  <c r="AI173" i="1"/>
  <c r="AI179" i="1" s="1"/>
  <c r="AI186" i="1" s="1"/>
  <c r="AI42" i="1" s="1"/>
  <c r="AL230" i="1"/>
  <c r="AL40" i="2"/>
  <c r="AL42" i="2" s="1"/>
  <c r="AN38" i="2"/>
  <c r="AI40" i="2"/>
  <c r="AI42" i="2" s="1"/>
  <c r="AI47" i="2" s="1"/>
  <c r="AI230" i="1"/>
  <c r="AK38" i="2"/>
  <c r="AQ230" i="1"/>
  <c r="AQ40" i="2"/>
  <c r="AQ42" i="2" s="1"/>
  <c r="AG42" i="1" l="1"/>
  <c r="AG43" i="1" s="1"/>
  <c r="AJ173" i="1"/>
  <c r="AJ179" i="1" s="1"/>
  <c r="AJ186" i="1" s="1"/>
  <c r="AJ42" i="1" s="1"/>
  <c r="AG47" i="1"/>
  <c r="AG48" i="1" s="1"/>
  <c r="AG2" i="1" s="1"/>
  <c r="AG54" i="2" s="1"/>
  <c r="AN230" i="1"/>
  <c r="AN40" i="2"/>
  <c r="AN42" i="2" s="1"/>
  <c r="S38" i="46"/>
  <c r="S39" i="46" s="1"/>
  <c r="R38" i="46"/>
  <c r="R39" i="46" s="1"/>
  <c r="AK40" i="2"/>
  <c r="AK42" i="2" s="1"/>
  <c r="AK47" i="2" s="1"/>
  <c r="AK230" i="1"/>
  <c r="AD4" i="46"/>
  <c r="AL173" i="1"/>
  <c r="AL179" i="1" s="1"/>
  <c r="AL186" i="1" s="1"/>
  <c r="AN173" i="1"/>
  <c r="AN179" i="1" s="1"/>
  <c r="AN186" i="1" s="1"/>
  <c r="AJ44" i="2"/>
  <c r="AJ47" i="2" s="1"/>
  <c r="AJ6" i="1" s="1"/>
  <c r="AI6" i="1"/>
  <c r="AH231" i="1"/>
  <c r="AH232" i="1" s="1"/>
  <c r="AH43" i="1"/>
  <c r="AG231" i="1" l="1"/>
  <c r="AG232" i="1" s="1"/>
  <c r="AG233" i="1" s="1"/>
  <c r="AI227" i="1"/>
  <c r="AK227" i="1"/>
  <c r="AJ231" i="1"/>
  <c r="AJ43" i="1"/>
  <c r="AI98" i="1"/>
  <c r="AI10" i="1"/>
  <c r="AI19" i="1" s="1"/>
  <c r="AI38" i="1" s="1"/>
  <c r="AJ10" i="1"/>
  <c r="AJ19" i="1" s="1"/>
  <c r="AJ38" i="1" s="1"/>
  <c r="AJ98" i="1"/>
  <c r="AJ107" i="1" s="1"/>
  <c r="AJ109" i="1" s="1"/>
  <c r="AO173" i="1"/>
  <c r="AO179" i="1" s="1"/>
  <c r="AO186" i="1" s="1"/>
  <c r="AN42" i="1"/>
  <c r="AQ173" i="1"/>
  <c r="AQ179" i="1" s="1"/>
  <c r="AQ186" i="1" s="1"/>
  <c r="AQ42" i="1" s="1"/>
  <c r="AM173" i="1"/>
  <c r="AM179" i="1" s="1"/>
  <c r="AM186" i="1" s="1"/>
  <c r="AM42" i="1" s="1"/>
  <c r="AL42" i="1"/>
  <c r="AK231" i="1"/>
  <c r="AK43" i="1"/>
  <c r="AH233" i="1"/>
  <c r="AH47" i="1"/>
  <c r="AH48" i="1" s="1"/>
  <c r="AH2" i="1" s="1"/>
  <c r="AH54" i="2" s="1"/>
  <c r="AK241" i="1"/>
  <c r="AK6" i="1"/>
  <c r="AL44" i="2"/>
  <c r="AL47" i="2" s="1"/>
  <c r="AN44" i="2"/>
  <c r="AN47" i="2" s="1"/>
  <c r="AI43" i="1"/>
  <c r="AI231" i="1"/>
  <c r="AO44" i="2" l="1"/>
  <c r="AO47" i="2" s="1"/>
  <c r="AN6" i="1"/>
  <c r="AQ44" i="2"/>
  <c r="AQ47" i="2" s="1"/>
  <c r="AQ6" i="1" s="1"/>
  <c r="AJ247" i="1"/>
  <c r="AJ113" i="1"/>
  <c r="AJ240" i="1" s="1"/>
  <c r="AM44" i="2"/>
  <c r="AM47" i="2" s="1"/>
  <c r="AM6" i="1" s="1"/>
  <c r="AL6" i="1"/>
  <c r="AK10" i="1"/>
  <c r="AK98" i="1"/>
  <c r="AL231" i="1"/>
  <c r="AL43" i="1"/>
  <c r="AM43" i="1"/>
  <c r="AM231" i="1"/>
  <c r="AK232" i="1"/>
  <c r="AJ48" i="1"/>
  <c r="AJ2" i="1" s="1"/>
  <c r="AJ54" i="2" s="1"/>
  <c r="AI48" i="1"/>
  <c r="AI2" i="1" s="1"/>
  <c r="AI54" i="2" s="1"/>
  <c r="AJ97" i="1"/>
  <c r="AJ99" i="1" s="1"/>
  <c r="AI107" i="1"/>
  <c r="AI109" i="1" s="1"/>
  <c r="AI99" i="1"/>
  <c r="AJ47" i="1"/>
  <c r="AQ43" i="1"/>
  <c r="AQ231" i="1"/>
  <c r="AN231" i="1"/>
  <c r="AN43" i="1"/>
  <c r="AI47" i="1"/>
  <c r="AK47" i="1"/>
  <c r="AN241" i="1"/>
  <c r="AO42" i="1"/>
  <c r="AP173" i="1"/>
  <c r="AP179" i="1" s="1"/>
  <c r="AP186" i="1" s="1"/>
  <c r="AP42" i="1" s="1"/>
  <c r="AI232" i="1"/>
  <c r="AJ227" i="1" s="1"/>
  <c r="AJ232" i="1" s="1"/>
  <c r="AJ233" i="1" s="1"/>
  <c r="AI233" i="1" l="1"/>
  <c r="AP43" i="1"/>
  <c r="AP231" i="1"/>
  <c r="AK19" i="1"/>
  <c r="AK8" i="46"/>
  <c r="AO43" i="1"/>
  <c r="AO231" i="1"/>
  <c r="AL10" i="1"/>
  <c r="AL19" i="1" s="1"/>
  <c r="AL38" i="1" s="1"/>
  <c r="AL48" i="1" s="1"/>
  <c r="AL2" i="1" s="1"/>
  <c r="AL54" i="2" s="1"/>
  <c r="AL98" i="1"/>
  <c r="AQ47" i="1"/>
  <c r="AN227" i="1"/>
  <c r="AN232" i="1" s="1"/>
  <c r="AL227" i="1"/>
  <c r="AL232" i="1" s="1"/>
  <c r="AM227" i="1" s="1"/>
  <c r="AM232" i="1" s="1"/>
  <c r="AM98" i="1"/>
  <c r="AM107" i="1" s="1"/>
  <c r="AM109" i="1" s="1"/>
  <c r="AM10" i="1"/>
  <c r="AM19" i="1" s="1"/>
  <c r="AM38" i="1" s="1"/>
  <c r="AM48" i="1" s="1"/>
  <c r="AM2" i="1" s="1"/>
  <c r="AM54" i="2" s="1"/>
  <c r="AK233" i="1"/>
  <c r="AM233" i="1"/>
  <c r="AM47" i="1"/>
  <c r="AL47" i="1"/>
  <c r="AQ98" i="1"/>
  <c r="AQ107" i="1" s="1"/>
  <c r="AQ109" i="1" s="1"/>
  <c r="AQ10" i="1"/>
  <c r="AQ19" i="1" s="1"/>
  <c r="AQ38" i="1" s="1"/>
  <c r="AQ48" i="1" s="1"/>
  <c r="AQ2" i="1" s="1"/>
  <c r="AQ54" i="2" s="1"/>
  <c r="AI247" i="1"/>
  <c r="AI113" i="1"/>
  <c r="AI240" i="1" s="1"/>
  <c r="AN10" i="1"/>
  <c r="AN98" i="1"/>
  <c r="AN47" i="1"/>
  <c r="AQ241" i="1"/>
  <c r="AL97" i="1"/>
  <c r="AN97" i="1"/>
  <c r="AK107" i="1"/>
  <c r="AK109" i="1" s="1"/>
  <c r="AK99" i="1"/>
  <c r="AP44" i="2"/>
  <c r="AP47" i="2" s="1"/>
  <c r="AP6" i="1" s="1"/>
  <c r="AO6" i="1"/>
  <c r="AN99" i="1" l="1"/>
  <c r="AM97" i="1"/>
  <c r="AM99" i="1" s="1"/>
  <c r="AL107" i="1"/>
  <c r="AL109" i="1" s="1"/>
  <c r="AL8" i="46"/>
  <c r="AN19" i="1"/>
  <c r="AK19" i="46"/>
  <c r="AK113" i="1"/>
  <c r="AK240" i="1" s="1"/>
  <c r="AK247" i="1"/>
  <c r="AL99" i="1"/>
  <c r="AM247" i="1"/>
  <c r="AM113" i="1"/>
  <c r="AM240" i="1" s="1"/>
  <c r="AO233" i="1"/>
  <c r="AO47" i="1"/>
  <c r="AQ247" i="1"/>
  <c r="AQ113" i="1"/>
  <c r="AQ240" i="1" s="1"/>
  <c r="AL233" i="1"/>
  <c r="AQ227" i="1"/>
  <c r="AQ232" i="1" s="1"/>
  <c r="AQ233" i="1" s="1"/>
  <c r="AO227" i="1"/>
  <c r="AO232" i="1" s="1"/>
  <c r="AP227" i="1" s="1"/>
  <c r="AP232" i="1" s="1"/>
  <c r="AK38" i="1"/>
  <c r="AK48" i="1" s="1"/>
  <c r="AK2" i="1" s="1"/>
  <c r="AK54" i="2" s="1"/>
  <c r="AK12" i="46"/>
  <c r="AO10" i="1"/>
  <c r="AO19" i="1" s="1"/>
  <c r="AO38" i="1" s="1"/>
  <c r="AO98" i="1"/>
  <c r="AN233" i="1"/>
  <c r="AP10" i="1"/>
  <c r="AP19" i="1" s="1"/>
  <c r="AP38" i="1" s="1"/>
  <c r="AP98" i="1"/>
  <c r="AP107" i="1" s="1"/>
  <c r="AP109" i="1" s="1"/>
  <c r="AN107" i="1"/>
  <c r="AN109" i="1" s="1"/>
  <c r="AQ97" i="1"/>
  <c r="AQ99" i="1" s="1"/>
  <c r="AO97" i="1"/>
  <c r="AP233" i="1"/>
  <c r="AP47" i="1"/>
  <c r="AP48" i="1" l="1"/>
  <c r="AP2" i="1" s="1"/>
  <c r="AP54" i="2" s="1"/>
  <c r="AO48" i="1"/>
  <c r="AO2" i="1" s="1"/>
  <c r="AO54" i="2" s="1"/>
  <c r="AP97" i="1"/>
  <c r="AP99" i="1" s="1"/>
  <c r="AO107" i="1"/>
  <c r="AO109" i="1" s="1"/>
  <c r="AK11" i="46"/>
  <c r="AK45" i="46"/>
  <c r="AK46" i="46" s="1"/>
  <c r="AK18" i="46"/>
  <c r="AK44" i="46" s="1"/>
  <c r="AP113" i="1"/>
  <c r="AP240" i="1" s="1"/>
  <c r="AP247" i="1"/>
  <c r="AN38" i="1"/>
  <c r="AN48" i="1" s="1"/>
  <c r="AN2" i="1" s="1"/>
  <c r="AN54" i="2" s="1"/>
  <c r="AL12" i="46"/>
  <c r="AO99" i="1"/>
  <c r="AL247" i="1"/>
  <c r="AL113" i="1"/>
  <c r="AL240" i="1" s="1"/>
  <c r="AL19" i="46"/>
  <c r="AN247" i="1"/>
  <c r="AN113" i="1"/>
  <c r="AN240" i="1" s="1"/>
  <c r="AK20" i="46" l="1"/>
  <c r="AK47" i="46"/>
  <c r="AK48" i="46" s="1"/>
  <c r="AL11" i="46"/>
  <c r="AL45" i="46"/>
  <c r="AL46" i="46" s="1"/>
  <c r="AL18" i="46"/>
  <c r="AO247" i="1"/>
  <c r="AO113" i="1"/>
  <c r="AO240" i="1" s="1"/>
  <c r="AK43" i="46"/>
  <c r="AL47" i="46" l="1"/>
  <c r="AL48" i="46" s="1"/>
  <c r="AL20" i="46"/>
  <c r="AL38" i="46" s="1"/>
  <c r="AK38" i="46"/>
  <c r="AL43" i="46"/>
  <c r="AL44" i="46"/>
  <c r="BQ24" i="8" l="1"/>
  <c r="BQ23" i="8"/>
  <c r="BM30" i="8"/>
  <c r="BO24" i="8"/>
  <c r="BO23" i="8"/>
  <c r="BK24" i="8"/>
  <c r="BK23" i="8"/>
  <c r="BQ30" i="8"/>
  <c r="BM23" i="8"/>
  <c r="BM24" i="8"/>
  <c r="BI24" i="8"/>
  <c r="BI23" i="8"/>
  <c r="BI30" i="8"/>
  <c r="BO30" i="8"/>
  <c r="BM29" i="8"/>
  <c r="BO29" i="8"/>
  <c r="BQ29" i="8"/>
  <c r="BI29" i="8"/>
  <c r="BK29" i="8"/>
  <c r="BK3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Rooney, Monique (Research)</author>
    <author>Marks, Peter J (Research)</author>
    <author>Kierath, Tom (Research)</author>
    <author>thokie</author>
    <author>Tom Kierath</author>
    <author>Ross, Mac (Research)</author>
    <author>marchris</author>
    <author>tedder</author>
  </authors>
  <commentList>
    <comment ref="AS6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Guidance A$5.58bn (JBH: A$4.33bn &amp; TGG A$1.25bn)</t>
        </r>
      </text>
    </comment>
    <comment ref="AV6" authorId="1" shapeId="0" xr:uid="{00000000-0006-0000-0A00-000002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1H18 Result guidance: $6.85bn, JB $4.75bn and TGG $2.1bn</t>
        </r>
      </text>
    </comment>
    <comment ref="AT21" authorId="2" shapeId="0" xr:uid="{00000000-0006-0000-0A00-000003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restated at 1H19</t>
        </r>
      </text>
    </comment>
    <comment ref="AD22" authorId="3" shapeId="0" xr:uid="{00000000-0006-0000-0A00-000004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occupancy costs up 14bps in the 1H</t>
        </r>
      </text>
    </comment>
    <comment ref="AV27" authorId="1" shapeId="0" xr:uid="{00000000-0006-0000-0A00-000005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Restated from A$42.2</t>
        </r>
      </text>
    </comment>
    <comment ref="AL29" authorId="2" shapeId="0" xr:uid="{00000000-0006-0000-0A00-000006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accelerated D&amp;A related to JB NOW shutdown</t>
        </r>
      </text>
    </comment>
    <comment ref="AT29" authorId="2" shapeId="0" xr:uid="{00000000-0006-0000-0A00-000007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restated at 1H19</t>
        </r>
      </text>
    </comment>
    <comment ref="AM31" authorId="2" shapeId="0" xr:uid="{00000000-0006-0000-0A00-000008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richard murray started</t>
        </r>
      </text>
    </comment>
    <comment ref="R36" authorId="3" shapeId="0" xr:uid="{00000000-0006-0000-0A00-000009000000}">
      <text>
        <r>
          <rPr>
            <b/>
            <sz val="8"/>
            <color indexed="81"/>
            <rFont val="Tahoma"/>
            <family val="2"/>
          </rPr>
          <t xml:space="preserve">thokie: </t>
        </r>
        <r>
          <rPr>
            <sz val="8"/>
            <color indexed="81"/>
            <rFont val="Tahoma"/>
            <family val="2"/>
          </rPr>
          <t>Comprises merchant fees (33%), computer expenses, loss on equipment, asset writedowns (store moves), hedge losses/gains</t>
        </r>
      </text>
    </comment>
    <comment ref="AA36" authorId="4" shapeId="0" xr:uid="{00000000-0006-0000-0A00-00000A000000}">
      <text>
        <r>
          <rPr>
            <b/>
            <sz val="8"/>
            <color indexed="81"/>
            <rFont val="Tahoma"/>
            <family val="2"/>
          </rPr>
          <t>Tom Kierath:</t>
        </r>
        <r>
          <rPr>
            <sz val="8"/>
            <color indexed="81"/>
            <rFont val="Tahoma"/>
            <family val="2"/>
          </rPr>
          <t xml:space="preserve">
received a payment from one of the credit card companies..that offset a lot of the cc fees</t>
        </r>
      </text>
    </comment>
    <comment ref="AD36" authorId="4" shapeId="0" xr:uid="{00000000-0006-0000-0A00-00000B000000}">
      <text>
        <r>
          <rPr>
            <b/>
            <sz val="8"/>
            <color indexed="81"/>
            <rFont val="Tahoma"/>
            <family val="2"/>
          </rPr>
          <t>Tom Kierath:</t>
        </r>
        <r>
          <rPr>
            <sz val="8"/>
            <color indexed="81"/>
            <rFont val="Tahoma"/>
            <family val="2"/>
          </rPr>
          <t xml:space="preserve">
higher freight - moving stock between stores led this to increase</t>
        </r>
      </text>
    </comment>
    <comment ref="AG36" authorId="4" shapeId="0" xr:uid="{00000000-0006-0000-0A00-00000C000000}">
      <text>
        <r>
          <rPr>
            <b/>
            <sz val="8"/>
            <color indexed="81"/>
            <rFont val="Tahoma"/>
            <family val="2"/>
          </rPr>
          <t>Tom Kierath:</t>
        </r>
        <r>
          <rPr>
            <sz val="8"/>
            <color indexed="81"/>
            <rFont val="Tahoma"/>
            <family val="2"/>
          </rPr>
          <t xml:space="preserve">
Richard Murray - 9/9/12: Should be mid point of last 2 years so ~$30m.</t>
        </r>
      </text>
    </comment>
    <comment ref="AG60" authorId="4" shapeId="0" xr:uid="{00000000-0006-0000-0A00-00000D000000}">
      <text>
        <r>
          <rPr>
            <b/>
            <sz val="8"/>
            <color indexed="81"/>
            <rFont val="Tahoma"/>
            <family val="2"/>
          </rPr>
          <t>Tom Kierath:</t>
        </r>
        <r>
          <rPr>
            <sz val="8"/>
            <color indexed="81"/>
            <rFont val="Tahoma"/>
            <family val="2"/>
          </rPr>
          <t xml:space="preserve">
guidance for-5% to -7%</t>
        </r>
      </text>
    </comment>
    <comment ref="BQ62" authorId="5" shapeId="0" xr:uid="{BD154F89-05AA-4085-BB7D-D159C143E94A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TGG ACCC fine</t>
        </r>
      </text>
    </comment>
    <comment ref="AG69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less one of items related to US144 Bonds</t>
        </r>
      </text>
    </comment>
    <comment ref="AS118" authorId="0" shapeId="0" xr:uid="{00000000-0006-0000-0A00-00000F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Mgt guidance: A$200-206m</t>
        </r>
      </text>
    </comment>
    <comment ref="AV118" authorId="1" shapeId="0" xr:uid="{00000000-0006-0000-0A00-000010000000}">
      <text>
        <r>
          <rPr>
            <b/>
            <sz val="9"/>
            <color indexed="81"/>
            <rFont val="Tahoma"/>
            <family val="2"/>
          </rPr>
          <t xml:space="preserve">Marks, Peter J (Research): </t>
        </r>
        <r>
          <rPr>
            <sz val="9"/>
            <color indexed="81"/>
            <rFont val="Tahoma"/>
            <family val="2"/>
          </rPr>
          <t>1H18 result group NPAT to be $235-$40m</t>
        </r>
      </text>
    </comment>
    <comment ref="AS123" authorId="2" shapeId="0" xr:uid="{00000000-0006-0000-0A00-000011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actual normalised eps is 186c</t>
        </r>
      </text>
    </comment>
    <comment ref="B152" authorId="6" shapeId="0" xr:uid="{00000000-0006-0000-0A00-000012000000}">
      <text>
        <r>
          <rPr>
            <b/>
            <sz val="8"/>
            <color indexed="81"/>
            <rFont val="Tahoma"/>
            <family val="2"/>
          </rPr>
          <t>marchris:</t>
        </r>
        <r>
          <rPr>
            <sz val="8"/>
            <color indexed="81"/>
            <rFont val="Tahoma"/>
            <family val="2"/>
          </rPr>
          <t xml:space="preserve">
Modelware definition which adds back all previously written off Goodwill.  See RNOA calc tab for other definitions</t>
        </r>
      </text>
    </comment>
    <comment ref="B157" authorId="6" shapeId="0" xr:uid="{00000000-0006-0000-0A00-000013000000}">
      <text>
        <r>
          <rPr>
            <b/>
            <sz val="8"/>
            <color indexed="81"/>
            <rFont val="Tahoma"/>
            <family val="2"/>
          </rPr>
          <t>marchris:</t>
        </r>
        <r>
          <rPr>
            <sz val="8"/>
            <color indexed="81"/>
            <rFont val="Tahoma"/>
            <family val="2"/>
          </rPr>
          <t xml:space="preserve">
Modelware definition which adds back all previously written off Goodwill.  See RNOA calc tab for other definitions</t>
        </r>
      </text>
    </comment>
    <comment ref="C197" authorId="7" shapeId="0" xr:uid="{00000000-0006-0000-0A00-000014000000}">
      <text>
        <r>
          <rPr>
            <b/>
            <sz val="8"/>
            <color indexed="81"/>
            <rFont val="Tahoma"/>
            <family val="2"/>
          </rPr>
          <t xml:space="preserve">tedder:
</t>
        </r>
        <r>
          <rPr>
            <sz val="8"/>
            <color indexed="81"/>
            <rFont val="Tahoma"/>
            <family val="2"/>
          </rPr>
          <t>ATO settlement</t>
        </r>
      </text>
    </comment>
    <comment ref="AM201" authorId="2" shapeId="0" xr:uid="{00000000-0006-0000-0A00-000015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guided at 1H15 result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Kierath, Tom (Research)</author>
    <author>Ross, Mac (IED)</author>
  </authors>
  <commentList>
    <comment ref="N20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weekend timing a neg drag of $94m on FY14</t>
        </r>
      </text>
    </comment>
    <comment ref="W37" authorId="1" shapeId="0" xr:uid="{EB6ADA73-8B9C-4947-A4B0-EBFEB1728E7A}">
      <text>
        <r>
          <rPr>
            <b/>
            <sz val="9"/>
            <color indexed="81"/>
            <rFont val="Tahoma"/>
            <family val="2"/>
          </rPr>
          <t>Ross, Mac (IED):</t>
        </r>
        <r>
          <rPr>
            <sz val="9"/>
            <color indexed="81"/>
            <rFont val="Tahoma"/>
            <family val="2"/>
          </rPr>
          <t xml:space="preserve">
-17.3 payment for shares acquired by emlpoyee share trust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Marks, Peter J (Research)</author>
    <author>Rooney, Monique (Research)</author>
    <author>tedder</author>
    <author>Kierath, Tom (Research)</author>
  </authors>
  <commentList>
    <comment ref="S55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restated from 236</t>
        </r>
      </text>
    </comment>
    <comment ref="P69" authorId="1" shapeId="0" xr:uid="{00000000-0006-0000-0C00-000002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Reflects the "timing of inventory purchases with no significant movement in net working capital"</t>
        </r>
      </text>
    </comment>
    <comment ref="S69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restated from $657m</t>
        </r>
      </text>
    </comment>
    <comment ref="O92" authorId="1" shapeId="0" xr:uid="{00000000-0006-0000-0C00-000004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Guidance implies c$2m on pcp, therefore $6.8m</t>
        </r>
      </text>
    </comment>
    <comment ref="L100" authorId="2" shapeId="0" xr:uid="{00000000-0006-0000-0C00-000005000000}">
      <text>
        <r>
          <rPr>
            <b/>
            <sz val="8"/>
            <color indexed="81"/>
            <rFont val="Tahoma"/>
            <family val="2"/>
          </rPr>
          <t>tedder:</t>
        </r>
        <r>
          <rPr>
            <sz val="8"/>
            <color indexed="81"/>
            <rFont val="Tahoma"/>
            <family val="2"/>
          </rPr>
          <t xml:space="preserve">
incl 8m of int related to Pac Bevs</t>
        </r>
      </text>
    </comment>
    <comment ref="Q109" authorId="3" shapeId="0" xr:uid="{00000000-0006-0000-0C00-000006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guiding $500m net debt</t>
        </r>
      </text>
    </comment>
    <comment ref="R109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1H18 result: expect net debt to be c.$420m at FY18</t>
        </r>
      </text>
    </comment>
    <comment ref="S109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Guidance range of $320 - $350m</t>
        </r>
      </text>
    </comment>
    <comment ref="T109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$240-270m</t>
        </r>
      </text>
    </comment>
    <comment ref="N193" authorId="3" shapeId="0" xr:uid="{00000000-0006-0000-0C00-00000A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payout ratio increased to 65%</t>
        </r>
      </text>
    </comment>
    <comment ref="T193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Continue to think 65% balances payout to shareholders, pay down of debt and reinvestment for growth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Rooney, Monique (Research)</author>
    <author>Marks, Peter J (Research)</author>
    <author>Kierath, Tom (Research)</author>
    <author>thokie</author>
    <author>tc={491E99F4-E287-4269-9DB6-088F72543A60}</author>
    <author>tc={F7E2C6EB-0398-4E93-83AF-FAB65CED4C90}</author>
    <author>Baxter, Melinda (Research)</author>
    <author>tc={26DF80DC-8BD3-41D2-BAD0-60F6BB280F79}</author>
    <author>wangcry</author>
    <author>tc={C71405CC-EDDE-4177-80D1-8B534F102CE8}</author>
    <author>Tom Kierath</author>
    <author>tc={D9163FC9-B71C-47D1-875C-148F7C77625D}</author>
    <author>tc={D43F2BEE-D81D-4145-958C-D6470FB0E238}</author>
    <author>Ross, Mac (Research)</author>
  </authors>
  <commentList>
    <comment ref="T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 Guidance: TGG A$1.25bn</t>
        </r>
      </text>
    </comment>
    <comment ref="U6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1H18 guidance: $2.1bn</t>
        </r>
      </text>
    </comment>
    <comment ref="T7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Guidance A$5.58bn (JBH: A$4.33bn &amp; TGG A$1.25bn)</t>
        </r>
      </text>
    </comment>
    <comment ref="U7" authorId="2" shapeId="0" xr:uid="{00000000-0006-0000-0400-000004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guidance for $6.8bn</t>
        </r>
      </text>
    </comment>
    <comment ref="R26" authorId="3" shapeId="0" xr:uid="{00000000-0006-0000-0400-000005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call with RM 11/8/14: expect cost growth in FY15 = FY14</t>
        </r>
      </text>
    </comment>
    <comment ref="AA34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Restated for AASB16</t>
        </r>
      </text>
    </comment>
    <comment ref="X72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Guidance $4.73bn</t>
        </r>
      </text>
    </comment>
    <comment ref="AA72" authorId="1" shapeId="0" xr:uid="{00000000-0006-0000-0400-000008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Guidance $4.930bn</t>
        </r>
      </text>
    </comment>
    <comment ref="Y73" authorId="1" shapeId="0" xr:uid="{00000000-0006-0000-0400-00000B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1Q20 +3.7%
Comp gets easier in 2Q until 4Q</t>
        </r>
      </text>
    </comment>
    <comment ref="AN73" authorId="4" shapeId="0" xr:uid="{491E99F4-E287-4269-9DB6-088F72543A60}">
      <text>
        <t>[Threaded comment]
Your version of Excel allows you to read this threaded comment; however, any edits to it will get removed if the file is opened in a newer version of Excel. Learn more: https://go.microsoft.com/fwlink/?linkid=870924
Comment:
    July +5.6%</t>
      </text>
    </comment>
    <comment ref="AQ73" authorId="5" shapeId="0" xr:uid="{F7E2C6EB-0398-4E93-83AF-FAB65CED4C9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Increased from 3%, incorp PC analysis</t>
      </text>
    </comment>
    <comment ref="AR73" authorId="6" shapeId="0" xr:uid="{D3082958-B0B9-49C3-8A1D-CAC5811615EB}">
      <text>
        <r>
          <rPr>
            <b/>
            <sz val="9"/>
            <color indexed="81"/>
            <rFont val="Tahoma"/>
            <family val="2"/>
          </rPr>
          <t>Baxter, Melinda (Research):</t>
        </r>
        <r>
          <rPr>
            <sz val="9"/>
            <color indexed="81"/>
            <rFont val="Tahoma"/>
            <family val="2"/>
          </rPr>
          <t xml:space="preserve">
comp in 2H incudes swith 2 launch</t>
        </r>
      </text>
    </comment>
    <comment ref="AS73" authorId="7" shapeId="0" xr:uid="{26DF80DC-8BD3-41D2-BAD0-60F6BB280F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Increased from 3%, incorp PC analysis
</t>
      </text>
    </comment>
    <comment ref="CL73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Jan JBH comps 7.2%, Feb/March 9.2% = 8.2% for 3Q</t>
        </r>
      </text>
    </comment>
    <comment ref="CN73" authorId="2" shapeId="0" xr:uid="{00000000-0006-0000-0400-00000A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Jan +4.5%</t>
        </r>
      </text>
    </comment>
    <comment ref="AA76" authorId="1" shapeId="0" xr:uid="{00000000-0006-0000-0400-00000C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1Q20 +4.7%</t>
        </r>
      </text>
    </comment>
    <comment ref="M78" authorId="8" shapeId="0" xr:uid="{00000000-0006-0000-0400-00000D000000}">
      <text>
        <r>
          <rPr>
            <b/>
            <sz val="8"/>
            <color indexed="81"/>
            <rFont val="Tahoma"/>
            <family val="2"/>
          </rPr>
          <t>wangcry:</t>
        </r>
        <r>
          <rPr>
            <sz val="8"/>
            <color indexed="81"/>
            <rFont val="Tahoma"/>
            <family val="2"/>
          </rPr>
          <t xml:space="preserve">
including closed H&amp;S stores, as disclosed in PPT</t>
        </r>
      </text>
    </comment>
    <comment ref="AA78" authorId="1" shapeId="0" xr:uid="{00000000-0006-0000-0400-00000E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Guidance NZ$210m</t>
        </r>
      </text>
    </comment>
    <comment ref="M79" authorId="3" shapeId="0" xr:uid="{00000000-0006-0000-0400-00000F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JB stores only</t>
        </r>
      </text>
    </comment>
    <comment ref="Y79" authorId="1" shapeId="0" xr:uid="{00000000-0006-0000-0400-000010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July -0.3%
1Q20 +3.8%</t>
        </r>
      </text>
    </comment>
    <comment ref="AN79" authorId="9" shapeId="0" xr:uid="{C71405CC-EDDE-4177-80D1-8B534F102CE8}">
      <text>
        <t>[Threaded comment]
Your version of Excel allows you to read this threaded comment; however, any edits to it will get removed if the file is opened in a newer version of Excel. Learn more: https://go.microsoft.com/fwlink/?linkid=870924
Comment:
    July -4.9%</t>
      </text>
    </comment>
    <comment ref="CA82" authorId="8" shapeId="0" xr:uid="{00000000-0006-0000-0400-000011000000}">
      <text>
        <r>
          <rPr>
            <b/>
            <sz val="8"/>
            <color indexed="81"/>
            <rFont val="Tahoma"/>
            <family val="2"/>
          </rPr>
          <t>wangcry:</t>
        </r>
        <r>
          <rPr>
            <sz val="8"/>
            <color indexed="81"/>
            <rFont val="Tahoma"/>
            <family val="2"/>
          </rPr>
          <t xml:space="preserve">
no new stores are planned for NZ in F12, so the higher average space only applies to 1H12</t>
        </r>
      </text>
    </comment>
    <comment ref="CC82" authorId="8" shapeId="0" xr:uid="{00000000-0006-0000-0400-000012000000}">
      <text>
        <r>
          <rPr>
            <b/>
            <sz val="8"/>
            <color indexed="81"/>
            <rFont val="Tahoma"/>
            <family val="2"/>
          </rPr>
          <t>wangcry:</t>
        </r>
        <r>
          <rPr>
            <sz val="8"/>
            <color indexed="81"/>
            <rFont val="Tahoma"/>
            <family val="2"/>
          </rPr>
          <t xml:space="preserve">
no new stores are planned for NZ in F12, so the higher average space only applies to 1H12</t>
        </r>
      </text>
    </comment>
    <comment ref="R85" authorId="2" shapeId="0" xr:uid="{00000000-0006-0000-0400-000013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updated Jan 27</t>
        </r>
      </text>
    </comment>
    <comment ref="P90" authorId="10" shapeId="0" xr:uid="{00000000-0006-0000-0400-000014000000}">
      <text>
        <r>
          <rPr>
            <b/>
            <sz val="8"/>
            <color indexed="81"/>
            <rFont val="Tahoma"/>
            <family val="2"/>
          </rPr>
          <t>Tom Kierath:</t>
        </r>
        <r>
          <rPr>
            <sz val="8"/>
            <color indexed="81"/>
            <rFont val="Tahoma"/>
            <family val="2"/>
          </rPr>
          <t xml:space="preserve">
guidance is for $3.3bn in sales, up 5.5% on pcp based on a -1% LFL </t>
        </r>
      </text>
    </comment>
    <comment ref="Q90" authorId="3" shapeId="0" xr:uid="{00000000-0006-0000-0400-000015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expected at 5.3%</t>
        </r>
      </text>
    </comment>
    <comment ref="R90" authorId="3" shapeId="0" xr:uid="{00000000-0006-0000-0400-000016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guidance $3.6bn</t>
        </r>
      </text>
    </comment>
    <comment ref="S90" authorId="2" shapeId="0" xr:uid="{00000000-0006-0000-0400-000017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guidance implies $3.9bn</t>
        </r>
      </text>
    </comment>
    <comment ref="T90" authorId="2" shapeId="0" xr:uid="{00000000-0006-0000-0400-000018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guidance A$4.33bn (vs $4.25bn previously)</t>
        </r>
      </text>
    </comment>
    <comment ref="CD91" authorId="8" shapeId="0" xr:uid="{00000000-0006-0000-0400-000019000000}">
      <text>
        <r>
          <rPr>
            <b/>
            <sz val="8"/>
            <color indexed="81"/>
            <rFont val="Tahoma"/>
            <family val="2"/>
          </rPr>
          <t>wangcry:</t>
        </r>
        <r>
          <rPr>
            <sz val="8"/>
            <color indexed="81"/>
            <rFont val="Tahoma"/>
            <family val="2"/>
          </rPr>
          <t xml:space="preserve">
4m to Apr: LFL was +3%, 10m to Apr: LFL was -1.3%</t>
        </r>
      </text>
    </comment>
    <comment ref="CE91" authorId="8" shapeId="0" xr:uid="{00000000-0006-0000-0400-00001A000000}">
      <text>
        <r>
          <rPr>
            <b/>
            <sz val="8"/>
            <color indexed="81"/>
            <rFont val="Tahoma"/>
            <family val="2"/>
          </rPr>
          <t>wangcry:</t>
        </r>
        <r>
          <rPr>
            <sz val="8"/>
            <color indexed="81"/>
            <rFont val="Tahoma"/>
            <family val="2"/>
          </rPr>
          <t xml:space="preserve">
@F13: July LFL +2.2%, total sales +8%; July cycled Olympics in July 2012 + softer gaming sales as consumers await new console releases in 1HFY14</t>
        </r>
      </text>
    </comment>
    <comment ref="N96" authorId="3" shapeId="0" xr:uid="{00000000-0006-0000-0400-00001B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guidance is for $3bn or 9.8% growth</t>
        </r>
      </text>
    </comment>
    <comment ref="O96" authorId="3" shapeId="0" xr:uid="{00000000-0006-0000-0400-00001C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guidance is for 5% growth assuming similar conditions to the 1H</t>
        </r>
      </text>
    </comment>
    <comment ref="S96" authorId="2" shapeId="0" xr:uid="{00000000-0006-0000-0400-00001D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guidance implies 5.4%</t>
        </r>
      </text>
    </comment>
    <comment ref="T96" authorId="2" shapeId="0" xr:uid="{00000000-0006-0000-0400-00001E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guidance implies 7.5%</t>
        </r>
      </text>
    </comment>
    <comment ref="CA96" authorId="8" shapeId="0" xr:uid="{00000000-0006-0000-0400-00001F000000}">
      <text>
        <r>
          <rPr>
            <b/>
            <sz val="8"/>
            <color indexed="81"/>
            <rFont val="Tahoma"/>
            <family val="2"/>
          </rPr>
          <t>wangcry:</t>
        </r>
        <r>
          <rPr>
            <sz val="8"/>
            <color indexed="81"/>
            <rFont val="Tahoma"/>
            <family val="2"/>
          </rPr>
          <t xml:space="preserve">
first 5mths: total sales +6.5%, JB branded stoers +7.8%</t>
        </r>
      </text>
    </comment>
    <comment ref="N102" authorId="3" shapeId="0" xr:uid="{00000000-0006-0000-0400-000020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75% of sales are consumer electonics, grew at 15.2% in fy11, LFL grew by 4.1%, strong in computers, IT and Telco</t>
        </r>
      </text>
    </comment>
    <comment ref="O102" authorId="10" shapeId="0" xr:uid="{00000000-0006-0000-0400-000021000000}">
      <text>
        <r>
          <rPr>
            <b/>
            <sz val="8"/>
            <color indexed="81"/>
            <rFont val="Tahoma"/>
            <family val="2"/>
          </rPr>
          <t>Tom Kierath:</t>
        </r>
        <r>
          <rPr>
            <sz val="8"/>
            <color indexed="81"/>
            <rFont val="Tahoma"/>
            <family val="2"/>
          </rPr>
          <t xml:space="preserve">
in JBH Aus stores - hardware 76.3% of total sales</t>
        </r>
      </text>
    </comment>
    <comment ref="CM102" authorId="1" shapeId="0" xr:uid="{00000000-0006-0000-0400-000022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Hardware &amp; services is defined as all sales ecluding the Music, Movie and Games Software categories</t>
        </r>
      </text>
    </comment>
    <comment ref="I104" authorId="10" shapeId="0" xr:uid="{00000000-0006-0000-0400-000023000000}">
      <text>
        <r>
          <rPr>
            <b/>
            <sz val="8"/>
            <color indexed="81"/>
            <rFont val="Tahoma"/>
            <family val="2"/>
          </rPr>
          <t>Tom Kierath:</t>
        </r>
        <r>
          <rPr>
            <sz val="8"/>
            <color indexed="81"/>
            <rFont val="Tahoma"/>
            <family val="2"/>
          </rPr>
          <t xml:space="preserve">
entered computers May 06</t>
        </r>
      </text>
    </comment>
    <comment ref="K108" authorId="10" shapeId="0" xr:uid="{00000000-0006-0000-0400-000024000000}">
      <text>
        <r>
          <rPr>
            <b/>
            <sz val="8"/>
            <color indexed="81"/>
            <rFont val="Tahoma"/>
            <family val="2"/>
          </rPr>
          <t>Tom Kierath:</t>
        </r>
        <r>
          <rPr>
            <sz val="8"/>
            <color indexed="81"/>
            <rFont val="Tahoma"/>
            <family val="2"/>
          </rPr>
          <t xml:space="preserve">
entered Telco June 2007</t>
        </r>
      </text>
    </comment>
    <comment ref="N109" authorId="3" shapeId="0" xr:uid="{00000000-0006-0000-0400-000025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software (music, movies, games) which represent 25% of sales, LFL declined by 9.1%m with games -16.8%</t>
        </r>
      </text>
    </comment>
    <comment ref="O109" authorId="10" shapeId="0" xr:uid="{00000000-0006-0000-0400-000026000000}">
      <text>
        <r>
          <rPr>
            <b/>
            <sz val="8"/>
            <color indexed="81"/>
            <rFont val="Tahoma"/>
            <family val="2"/>
          </rPr>
          <t>Tom Kierath:</t>
        </r>
        <r>
          <rPr>
            <sz val="8"/>
            <color indexed="81"/>
            <rFont val="Tahoma"/>
            <family val="2"/>
          </rPr>
          <t xml:space="preserve">
in JBH Aus software 23.7% of sales</t>
        </r>
      </text>
    </comment>
    <comment ref="Q109" authorId="3" shapeId="0" xr:uid="{00000000-0006-0000-0400-000027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20.4% at the 1H14</t>
        </r>
      </text>
    </comment>
    <comment ref="T109" authorId="1" shapeId="0" xr:uid="{00000000-0006-0000-0400-000028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FY17 result: software down 9.1% and 10.7% comparable basis, now representing 12% of sales</t>
        </r>
      </text>
    </comment>
    <comment ref="H112" authorId="10" shapeId="0" xr:uid="{00000000-0006-0000-0400-000029000000}">
      <text>
        <r>
          <rPr>
            <b/>
            <sz val="8"/>
            <color indexed="81"/>
            <rFont val="Tahoma"/>
            <family val="2"/>
          </rPr>
          <t>Tom Kierath:</t>
        </r>
        <r>
          <rPr>
            <sz val="8"/>
            <color indexed="81"/>
            <rFont val="Tahoma"/>
            <family val="2"/>
          </rPr>
          <t xml:space="preserve">
entered games May 05</t>
        </r>
      </text>
    </comment>
    <comment ref="T130" authorId="1" shapeId="0" xr:uid="{00000000-0006-0000-0400-00002A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FY17 result: hardware sales were up 14.4% with comparable sales up 11.9% driven by Communications, Audio, Cameras, Accessories, Computers and small appliance categories.</t>
        </r>
      </text>
    </comment>
    <comment ref="U130" authorId="1" shapeId="0" xr:uid="{00000000-0006-0000-0400-00002B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Driven by Communications, Computers, Audio, Games Hardware and Drones categories</t>
        </r>
      </text>
    </comment>
    <comment ref="V130" authorId="1" shapeId="0" xr:uid="{00000000-0006-0000-0400-00002F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Driven by Communications, Games hardware, Audio, Fitness and Connected technology categories</t>
        </r>
      </text>
    </comment>
    <comment ref="CE130" authorId="3" shapeId="0" xr:uid="{00000000-0006-0000-0400-00002C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actual +11%, LFL +6.6%</t>
        </r>
      </text>
    </comment>
    <comment ref="CG130" authorId="3" shapeId="0" xr:uid="{00000000-0006-0000-0400-00002D000000}">
      <text>
        <r>
          <rPr>
            <b/>
            <sz val="8"/>
            <color indexed="81"/>
            <rFont val="Tahoma"/>
            <family val="2"/>
          </rPr>
          <t>mroney:</t>
        </r>
        <r>
          <rPr>
            <sz val="8"/>
            <color indexed="81"/>
            <rFont val="Tahoma"/>
            <family val="2"/>
          </rPr>
          <t xml:space="preserve">
actual +4.7%, LFL +2.5%</t>
        </r>
      </text>
    </comment>
    <comment ref="CI130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Hardware &amp; Service up 10.2% vs comp sales growth of 7.9%</t>
        </r>
      </text>
    </comment>
    <comment ref="CE137" authorId="3" shapeId="0" xr:uid="{00000000-0006-0000-0400-000030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actual -7.9%, LFL -11.3%</t>
        </r>
      </text>
    </comment>
    <comment ref="CG137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sales -10.8%, LFL growth: -12.4%</t>
        </r>
      </text>
    </comment>
    <comment ref="CI137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sales -4.6% vs -comp LFL -6.6%</t>
        </r>
      </text>
    </comment>
    <comment ref="U138" authorId="1" shapeId="0" xr:uid="{00000000-0006-0000-0400-000033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Acceleration in the decline in the movies category</t>
        </r>
      </text>
    </comment>
    <comment ref="V138" authorId="1" shapeId="0" xr:uid="{00000000-0006-0000-0400-000034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continued declines in the Movies and Music category</t>
        </r>
      </text>
    </comment>
    <comment ref="U140" authorId="1" shapeId="0" xr:uid="{00000000-0006-0000-0400-000035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Growth in the Games software category</t>
        </r>
      </text>
    </comment>
    <comment ref="V140" authorId="1" shapeId="0" xr:uid="{00000000-0006-0000-0400-000036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Strong growth in the Games software category</t>
        </r>
      </text>
    </comment>
    <comment ref="K143" authorId="3" shapeId="0" xr:uid="{00000000-0006-0000-0400-000037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call on Mar 2 2009 - online is less than 1 good store</t>
        </r>
      </text>
    </comment>
    <comment ref="CK144" authorId="2" shapeId="0" xr:uid="{00000000-0006-0000-0400-000038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+40.4% YoY</t>
        </r>
      </text>
    </comment>
    <comment ref="O145" authorId="10" shapeId="0" xr:uid="{00000000-0006-0000-0400-000039000000}">
      <text>
        <r>
          <rPr>
            <b/>
            <sz val="8"/>
            <color indexed="81"/>
            <rFont val="Tahoma"/>
            <family val="2"/>
          </rPr>
          <t>Tom Kierath:</t>
        </r>
        <r>
          <rPr>
            <sz val="8"/>
            <color indexed="81"/>
            <rFont val="Tahoma"/>
            <family val="2"/>
          </rPr>
          <t xml:space="preserve">
online sales 1.6%</t>
        </r>
      </text>
    </comment>
    <comment ref="T145" authorId="1" shapeId="0" xr:uid="{00000000-0006-0000-0400-00003A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FY17 result: online grew 38% to 3.8% of sales up from 3.1%</t>
        </r>
      </text>
    </comment>
    <comment ref="CK145" authorId="2" shapeId="0" xr:uid="{00000000-0006-0000-0400-00003B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3.8% of total sales</t>
        </r>
      </text>
    </comment>
    <comment ref="W154" authorId="1" shapeId="0" xr:uid="{00000000-0006-0000-0400-00003E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guidance for 1 store opening</t>
        </r>
      </text>
    </comment>
    <comment ref="AA154" authorId="1" shapeId="0" xr:uid="{00000000-0006-0000-0400-00003C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Space growth not material in sales growth guidance of ~2%</t>
        </r>
      </text>
    </comment>
    <comment ref="CM154" authorId="1" shapeId="0" xr:uid="{00000000-0006-0000-0400-00003D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FY17 guidance was to open 5 stores </t>
        </r>
      </text>
    </comment>
    <comment ref="W156" authorId="1" shapeId="0" xr:uid="{00000000-0006-0000-0400-000040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Guidance to close 2 stores</t>
        </r>
      </text>
    </comment>
    <comment ref="AA156" authorId="1" shapeId="0" xr:uid="{00000000-0006-0000-0400-00003F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To close 3 stores in 2H20</t>
        </r>
      </text>
    </comment>
    <comment ref="Q160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13 JBH to Home conversions
</t>
        </r>
      </text>
    </comment>
    <comment ref="U165" authorId="1" shapeId="0" xr:uid="{00000000-0006-0000-0400-000042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FY17 Result Guidance: to open 5 JB HiFi stores </t>
        </r>
      </text>
    </comment>
    <comment ref="H196" authorId="3" shapeId="0" xr:uid="{00000000-0006-0000-0400-000043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10 JB, 1 CA</t>
        </r>
      </text>
    </comment>
    <comment ref="K196" authorId="3" shapeId="0" xr:uid="{00000000-0006-0000-0400-000044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18 new JBH (Aus - 14, NZ - 4), 2 new Clive Anthony, excludes 3 Aus store relocations</t>
        </r>
      </text>
    </comment>
    <comment ref="J197" authorId="3" shapeId="0" xr:uid="{00000000-0006-0000-0400-000045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Bankstown</t>
        </r>
      </text>
    </comment>
    <comment ref="K197" authorId="3" shapeId="0" xr:uid="{00000000-0006-0000-0400-000046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All H&amp;S</t>
        </r>
      </text>
    </comment>
    <comment ref="T210" authorId="2" shapeId="0" xr:uid="{00000000-0006-0000-0400-000047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Group total less TGG</t>
        </r>
      </text>
    </comment>
    <comment ref="U210" authorId="1" shapeId="0" xr:uid="{00000000-0006-0000-0400-000048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Group total less TGG</t>
        </r>
      </text>
    </comment>
    <comment ref="CD230" authorId="10" shapeId="0" xr:uid="{00000000-0006-0000-0400-000049000000}">
      <text>
        <r>
          <rPr>
            <b/>
            <sz val="8"/>
            <color indexed="81"/>
            <rFont val="Tahoma"/>
            <family val="2"/>
          </rPr>
          <t>Tom Kierath:</t>
        </r>
        <r>
          <rPr>
            <sz val="8"/>
            <color indexed="81"/>
            <rFont val="Tahoma"/>
            <family val="2"/>
          </rPr>
          <t xml:space="preserve">
guidance based on 21.5%</t>
        </r>
      </text>
    </comment>
    <comment ref="CF230" authorId="3" shapeId="0" xr:uid="{00000000-0006-0000-0400-00004A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Mac conf - GM consistent with the 1H14</t>
        </r>
      </text>
    </comment>
    <comment ref="CM253" authorId="1" shapeId="0" xr:uid="{00000000-0006-0000-0400-00004B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20bps decrease driven by: 1) sales mix and 2) price investment to reinforce our market leadership</t>
        </r>
      </text>
    </comment>
    <comment ref="AA254" authorId="1" shapeId="0" xr:uid="{00000000-0006-0000-0400-00004C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Assumes ongoing mix/price headwind (vs -21bps in 2H19)</t>
        </r>
      </text>
    </comment>
    <comment ref="AS254" authorId="11" shapeId="0" xr:uid="{D9163FC9-B71C-47D1-875C-148F7C77625D}">
      <text>
        <t>[Threaded comment]
Your version of Excel allows you to read this threaded comment; however, any edits to it will get removed if the file is opened in a newer version of Excel. Learn more: https://go.microsoft.com/fwlink/?linkid=870924
Comment:
    Mix shift to PC</t>
      </text>
    </comment>
    <comment ref="CM259" authorId="1" shapeId="0" xr:uid="{00000000-0006-0000-0400-00004D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Total operating costs remained well controlled as we managed increases volumes trhough the store network driven by click and collect, Online and Commercial order fulfillment</t>
        </r>
      </text>
    </comment>
    <comment ref="AB266" authorId="1" shapeId="0" xr:uid="{00000000-0006-0000-0400-00004E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an increase in depreciation on right-of-use
assets was offset by a decline in depreciation on fixed assets as we
continue to manage our investment in the store network</t>
        </r>
      </text>
    </comment>
    <comment ref="AA267" authorId="1" shapeId="0" xr:uid="{00000000-0006-0000-0400-00004F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Stable given slower store roll out and more capex spend as opex (SAAS)</t>
        </r>
      </text>
    </comment>
    <comment ref="CM280" authorId="2" shapeId="0" xr:uid="{00000000-0006-0000-0400-000050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NZ$0.4m clearance activity</t>
        </r>
      </text>
    </comment>
    <comment ref="X302" authorId="2" shapeId="0" xr:uid="{00000000-0006-0000-0400-000051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will be within a mil or 2 of breakeven</t>
        </r>
      </text>
    </comment>
    <comment ref="AB302" authorId="1" shapeId="0" xr:uid="{00000000-0006-0000-0400-000052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In June FY20, the group recorded a non-cash impairment of Jb NZ right of use assets and fixed assets, as a reuslt of this impairment 1H21 EBIT has benefited from $2.8m NZD $2.6m AUD reduction to depreciation expense</t>
        </r>
      </text>
    </comment>
    <comment ref="T308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TGG sales guidance of A$1.25bn</t>
        </r>
      </text>
    </comment>
    <comment ref="X308" authorId="1" shapeId="0" xr:uid="{00000000-0006-0000-0400-000054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Guidance $2.15bn</t>
        </r>
      </text>
    </comment>
    <comment ref="Y309" authorId="1" shapeId="0" xr:uid="{00000000-0006-0000-0400-000056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-1.8% 1Q20
Comp gets tougher</t>
        </r>
      </text>
    </comment>
    <comment ref="AN309" authorId="12" shapeId="0" xr:uid="{D43F2BEE-D81D-4145-958C-D6470FB0E238}">
      <text>
        <t>[Threaded comment]
Your version of Excel allows you to read this threaded comment; however, any edits to it will get removed if the file is opened in a newer version of Excel. Learn more: https://go.microsoft.com/fwlink/?linkid=870924
Comment:
    +2.7% July.</t>
      </text>
    </comment>
    <comment ref="CL309" authorId="2" shapeId="0" xr:uid="{00000000-0006-0000-0400-000055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January +3.5% LFL</t>
        </r>
      </text>
    </comment>
    <comment ref="U310" authorId="1" shapeId="0" xr:uid="{00000000-0006-0000-0400-000057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FY17 Result Guidance: continue to monitor for new TGG stores</t>
        </r>
      </text>
    </comment>
    <comment ref="AS311" authorId="13" shapeId="0" xr:uid="{027C7EED-716D-424D-9B3B-B39A63B5A87C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2 major store relocations</t>
        </r>
      </text>
    </comment>
    <comment ref="CL312" authorId="2" shapeId="0" xr:uid="{00000000-0006-0000-0400-000058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January +5% sales growth</t>
        </r>
      </text>
    </comment>
    <comment ref="U318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At acq - potential for 4-5 stores per year for next 3yrs</t>
        </r>
      </text>
    </comment>
    <comment ref="AP342" authorId="13" shapeId="0" xr:uid="{4BD610F4-B62F-4A47-B784-ACFBB999A10E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+13.7m  relatomg to ACCC fine</t>
        </r>
      </text>
    </comment>
    <comment ref="T350" authorId="2" shapeId="0" xr:uid="{00000000-0006-0000-0400-00005A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guidance: sales and EBIT expected inline with the pcp (Nov28 to June30)</t>
        </r>
      </text>
    </comment>
    <comment ref="U350" authorId="2" shapeId="0" xr:uid="{00000000-0006-0000-0400-00005B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"upper end of $15-20m range, expected to be full realised by end of FY19, evenly split between JB Hi-Fi and The Good Guys businesses" - FY17 result</t>
        </r>
      </text>
    </comment>
    <comment ref="X350" authorId="2" shapeId="0" xr:uid="{00000000-0006-0000-0400-00005C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"upper end of $15-20m range, expected to be full realised by end of FY19, evenly split between JB Hi-Fi and The Good Guys businesses" - FY17 result</t>
        </r>
      </text>
    </comment>
    <comment ref="CM358" authorId="2" shapeId="0" xr:uid="{00000000-0006-0000-0400-00005D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walked away from some sales at ebay</t>
        </r>
      </text>
    </comment>
    <comment ref="AN363" authorId="13" shapeId="0" xr:uid="{5E0A9E8B-0B9F-493B-9B42-6A71BC710AC9}">
      <text>
        <r>
          <rPr>
            <b/>
            <sz val="9"/>
            <color indexed="81"/>
            <rFont val="Tahoma"/>
            <family val="2"/>
          </rPr>
          <t>Ross, Mac (Research):</t>
        </r>
        <r>
          <rPr>
            <sz val="9"/>
            <color indexed="81"/>
            <rFont val="Tahoma"/>
            <family val="2"/>
          </rPr>
          <t xml:space="preserve">
results for period of ownership Sep-Dec i.e. 4/6 months</t>
        </r>
      </text>
    </comment>
    <comment ref="Q409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1 new Home + 13 conversions</t>
        </r>
      </text>
    </comment>
    <comment ref="O410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15 new stores + $2m for completion of stores from 2011
</t>
        </r>
      </text>
    </comment>
    <comment ref="P410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13 new stores + completion of stores built 2012</t>
        </r>
      </text>
    </comment>
    <comment ref="Q410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7 new JB Hi Fi stores
</t>
        </r>
      </text>
    </comment>
    <comment ref="N412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Rooney, Monique (Research):</t>
        </r>
        <r>
          <rPr>
            <sz val="9"/>
            <color indexed="81"/>
            <rFont val="Tahoma"/>
            <family val="2"/>
          </rPr>
          <t xml:space="preserve">
Majority relates to the 18 stores opened during the period
</t>
        </r>
      </text>
    </comment>
    <comment ref="R412" authorId="2" shapeId="0" xr:uid="{00000000-0006-0000-0400-000063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capex guidance $50-55m</t>
        </r>
      </text>
    </comment>
    <comment ref="T412" authorId="2" shapeId="0" xr:uid="{00000000-0006-0000-0400-000064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guidance for $45m</t>
        </r>
      </text>
    </comment>
    <comment ref="AA412" authorId="1" shapeId="0" xr:uid="{00000000-0006-0000-0400-000065000000}">
      <text>
        <r>
          <rPr>
            <b/>
            <sz val="9"/>
            <color indexed="81"/>
            <rFont val="Tahoma"/>
            <family val="2"/>
          </rPr>
          <t>Marks, Peter J (Research):</t>
        </r>
        <r>
          <rPr>
            <sz val="9"/>
            <color indexed="81"/>
            <rFont val="Tahoma"/>
            <family val="2"/>
          </rPr>
          <t xml:space="preserve">
1H19: expect capex to be around $50-$60m, $0m JB and $20m TGG</t>
        </r>
      </text>
    </comment>
    <comment ref="L415" authorId="3" shapeId="0" xr:uid="{00000000-0006-0000-0400-000066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guidance for 2-3 relocatons during FY09</t>
        </r>
      </text>
    </comment>
    <comment ref="B426" authorId="3" shapeId="0" xr:uid="{00000000-0006-0000-0400-000067000000}">
      <text>
        <r>
          <rPr>
            <b/>
            <sz val="8"/>
            <color indexed="81"/>
            <rFont val="Tahoma"/>
            <family val="2"/>
          </rPr>
          <t>thokie:</t>
        </r>
        <r>
          <rPr>
            <sz val="8"/>
            <color indexed="81"/>
            <rFont val="Tahoma"/>
            <family val="2"/>
          </rPr>
          <t xml:space="preserve">
excludes AIFRS straight line rent adjustment</t>
        </r>
      </text>
    </comment>
    <comment ref="CM434" authorId="2" shapeId="0" xr:uid="{00000000-0006-0000-0400-000068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double digit sales growth 1H18 on track to achieve $500m aspirational target</t>
        </r>
      </text>
    </comment>
    <comment ref="B438" authorId="8" shapeId="0" xr:uid="{00000000-0006-0000-0400-000069000000}">
      <text>
        <r>
          <rPr>
            <b/>
            <sz val="8"/>
            <color indexed="81"/>
            <rFont val="Tahoma"/>
            <family val="2"/>
          </rPr>
          <t>wangcry:</t>
        </r>
        <r>
          <rPr>
            <sz val="8"/>
            <color indexed="81"/>
            <rFont val="Tahoma"/>
            <family val="2"/>
          </rPr>
          <t xml:space="preserve">
acquired on Feb 2013</t>
        </r>
      </text>
    </comment>
    <comment ref="S461" authorId="8" shapeId="0" xr:uid="{00000000-0006-0000-0400-00006A000000}">
      <text>
        <r>
          <rPr>
            <b/>
            <sz val="8"/>
            <color indexed="81"/>
            <rFont val="Tahoma"/>
            <family val="2"/>
          </rPr>
          <t>guidance</t>
        </r>
      </text>
    </comment>
    <comment ref="T461" authorId="8" shapeId="0" xr:uid="{00000000-0006-0000-0400-00006B000000}">
      <text>
        <r>
          <rPr>
            <b/>
            <sz val="8"/>
            <color indexed="81"/>
            <rFont val="Tahoma"/>
            <family val="2"/>
          </rPr>
          <t>expect 75 Home stores during FY17</t>
        </r>
      </text>
    </comment>
    <comment ref="CC461" authorId="8" shapeId="0" xr:uid="{00000000-0006-0000-0400-00006C000000}">
      <text>
        <r>
          <rPr>
            <b/>
            <sz val="8"/>
            <color indexed="81"/>
            <rFont val="Tahoma"/>
            <family val="2"/>
          </rPr>
          <t>wangcry:</t>
        </r>
        <r>
          <rPr>
            <sz val="8"/>
            <color indexed="81"/>
            <rFont val="Tahoma"/>
            <family val="2"/>
          </rPr>
          <t xml:space="preserve">
announced in Nov</t>
        </r>
      </text>
    </comment>
    <comment ref="B486" authorId="2" shapeId="0" xr:uid="{00000000-0006-0000-0400-00006D000000}">
      <text>
        <r>
          <rPr>
            <b/>
            <sz val="9"/>
            <color indexed="81"/>
            <rFont val="Tahoma"/>
            <family val="2"/>
          </rPr>
          <t>Kierath, Tom (Research):</t>
        </r>
        <r>
          <rPr>
            <sz val="9"/>
            <color indexed="81"/>
            <rFont val="Tahoma"/>
            <family val="2"/>
          </rPr>
          <t xml:space="preserve">
$3m in first full year and $5m over the medium term</t>
        </r>
      </text>
    </comment>
    <comment ref="Q491" authorId="8" shapeId="0" xr:uid="{00000000-0006-0000-0400-00006E000000}">
      <text>
        <r>
          <rPr>
            <b/>
            <sz val="8"/>
            <color indexed="81"/>
            <rFont val="Tahoma"/>
            <family val="2"/>
          </rPr>
          <t>wangcry:</t>
        </r>
        <r>
          <rPr>
            <sz val="8"/>
            <color indexed="81"/>
            <rFont val="Tahoma"/>
            <family val="2"/>
          </rPr>
          <t xml:space="preserve">
EBIT neutrali in F14 (Richard M: any EBIT will be reinvested)</t>
        </r>
      </text>
    </comment>
  </commentList>
</comments>
</file>

<file path=xl/sharedStrings.xml><?xml version="1.0" encoding="utf-8"?>
<sst xmlns="http://schemas.openxmlformats.org/spreadsheetml/2006/main" count="2816" uniqueCount="1396">
  <si>
    <t>6702623</t>
  </si>
  <si>
    <t>JBH_GM</t>
  </si>
  <si>
    <t>CODB_M</t>
  </si>
  <si>
    <t xml:space="preserve">   average sqm per store</t>
  </si>
  <si>
    <t xml:space="preserve">   Total selling space</t>
  </si>
  <si>
    <t xml:space="preserve">   space growth %</t>
  </si>
  <si>
    <t xml:space="preserve">   average space </t>
  </si>
  <si>
    <t xml:space="preserve">   growth (%)</t>
  </si>
  <si>
    <t xml:space="preserve">   Seasonality </t>
  </si>
  <si>
    <t xml:space="preserve">   Gross margin %</t>
  </si>
  <si>
    <t xml:space="preserve">   LFL growth (inc FX)</t>
  </si>
  <si>
    <t xml:space="preserve">   FX impact</t>
  </si>
  <si>
    <t xml:space="preserve">   LFL growth (excl. FX impact)</t>
  </si>
  <si>
    <t xml:space="preserve">Normalised NPAT </t>
  </si>
  <si>
    <t>JBH_Sales_NZ_AUD</t>
  </si>
  <si>
    <t>ROFE</t>
  </si>
  <si>
    <t>Capex-to-sales</t>
  </si>
  <si>
    <t>YoY change</t>
  </si>
  <si>
    <t>Net Interest</t>
  </si>
  <si>
    <t xml:space="preserve">  Space</t>
  </si>
  <si>
    <t>Total selling area</t>
  </si>
  <si>
    <t xml:space="preserve">  Total selling area</t>
  </si>
  <si>
    <t>YoY growth</t>
  </si>
  <si>
    <t xml:space="preserve">  growth</t>
  </si>
  <si>
    <t xml:space="preserve">      FX change</t>
  </si>
  <si>
    <t>CODB_M_EX_D&amp;A</t>
  </si>
  <si>
    <t>Gross Cashflow</t>
  </si>
  <si>
    <t>(Inc)/dec in working cap</t>
  </si>
  <si>
    <t>Operating cashflow</t>
  </si>
  <si>
    <t>Capital expenditure</t>
  </si>
  <si>
    <t>Free cashflow</t>
  </si>
  <si>
    <t>Net free Cashflow</t>
  </si>
  <si>
    <t>Equity raised</t>
  </si>
  <si>
    <t>Other financing</t>
  </si>
  <si>
    <t>Change in net debt</t>
  </si>
  <si>
    <t>2004-H1</t>
  </si>
  <si>
    <t>2004-H2</t>
  </si>
  <si>
    <t>2005-H1</t>
  </si>
  <si>
    <t>2005-H2</t>
  </si>
  <si>
    <t>2006-H1</t>
  </si>
  <si>
    <t>2006-H2</t>
  </si>
  <si>
    <t>2007-H1</t>
  </si>
  <si>
    <t>2007-H2</t>
  </si>
  <si>
    <t>2008-H1</t>
  </si>
  <si>
    <t>2008-H2</t>
  </si>
  <si>
    <t>2009-H1</t>
  </si>
  <si>
    <t>2009-H2</t>
  </si>
  <si>
    <t>2010-H1</t>
  </si>
  <si>
    <t>2010-H2</t>
  </si>
  <si>
    <t>2011-H1</t>
  </si>
  <si>
    <t>2011-H2</t>
  </si>
  <si>
    <t>2012-H1</t>
  </si>
  <si>
    <t>2012-H2</t>
  </si>
  <si>
    <t>2013-H1</t>
  </si>
  <si>
    <t>2013-H2</t>
  </si>
  <si>
    <t>2014-H1</t>
  </si>
  <si>
    <t>2014-H2</t>
  </si>
  <si>
    <t>2015-H1</t>
  </si>
  <si>
    <t>2015-H2</t>
  </si>
  <si>
    <t>ElementName</t>
  </si>
  <si>
    <t>ScaleOverride</t>
  </si>
  <si>
    <t>UnitOverride</t>
  </si>
  <si>
    <t>ReverseSign</t>
  </si>
  <si>
    <t>IsDrivingAssumption</t>
  </si>
  <si>
    <t>SegmentID</t>
  </si>
  <si>
    <t>Cash &amp; Equivalents</t>
  </si>
  <si>
    <t>Receivables</t>
  </si>
  <si>
    <t>Inventories</t>
  </si>
  <si>
    <t>Total Current Assets</t>
  </si>
  <si>
    <t>Property, Plant &amp; Equipment</t>
  </si>
  <si>
    <t>Intangibles</t>
  </si>
  <si>
    <t>Deferred tax Assets</t>
  </si>
  <si>
    <t>Total Non-Current Assets</t>
  </si>
  <si>
    <t>Total assets</t>
  </si>
  <si>
    <t>Payables</t>
  </si>
  <si>
    <t>Borrowings</t>
  </si>
  <si>
    <t>Current Tax Liabilities</t>
  </si>
  <si>
    <t>Provisions</t>
  </si>
  <si>
    <t>Total Current Liabilities</t>
  </si>
  <si>
    <t>Provisions (LT)</t>
  </si>
  <si>
    <t>Total Non-current Liabilities</t>
  </si>
  <si>
    <t>Total Liabilities</t>
  </si>
  <si>
    <t>Net Assets</t>
  </si>
  <si>
    <t>Reserves</t>
  </si>
  <si>
    <t>Retained Earnings</t>
  </si>
  <si>
    <t>Total Parent Entity Interest</t>
  </si>
  <si>
    <t>Non Controlling Interest</t>
  </si>
  <si>
    <t>Total Equity</t>
  </si>
  <si>
    <t>check</t>
  </si>
  <si>
    <t>Net Debt Calculations</t>
  </si>
  <si>
    <t>Other</t>
  </si>
  <si>
    <t>Other Financial Liabilities / (Assets)</t>
  </si>
  <si>
    <r>
      <t>ModelWare Net debt</t>
    </r>
    <r>
      <rPr>
        <sz val="8"/>
        <rFont val="Arial"/>
        <family val="2"/>
      </rPr>
      <t xml:space="preserve"> </t>
    </r>
  </si>
  <si>
    <t>Intangible Assets</t>
  </si>
  <si>
    <t>P, P &amp; E</t>
  </si>
  <si>
    <t>Minorities</t>
  </si>
  <si>
    <t>ASSUMPTIONS &amp; WORKINGS</t>
  </si>
  <si>
    <t>Working Capital</t>
  </si>
  <si>
    <t>BoP</t>
  </si>
  <si>
    <t>Change in Inventory</t>
  </si>
  <si>
    <t>EoP - Inventories</t>
  </si>
  <si>
    <t>EoP as % of COGS</t>
  </si>
  <si>
    <t>Inventory T/O</t>
  </si>
  <si>
    <t>Increase/(Decr.)</t>
  </si>
  <si>
    <t>EoP as % of Sales</t>
  </si>
  <si>
    <t>DSOs</t>
  </si>
  <si>
    <t>EoP - Payables</t>
  </si>
  <si>
    <t>DPOs</t>
  </si>
  <si>
    <t>Net WC as % of Sales</t>
  </si>
  <si>
    <t>Net WC</t>
  </si>
  <si>
    <t>Change in the Group / Acquisitions</t>
  </si>
  <si>
    <t>Capital Expenditure</t>
  </si>
  <si>
    <t xml:space="preserve">  CapEx as % of Sales</t>
  </si>
  <si>
    <t>Depreciation</t>
  </si>
  <si>
    <t xml:space="preserve">  Depr. As % of BoP PP&amp;E</t>
  </si>
  <si>
    <t>Impairment</t>
  </si>
  <si>
    <t>Disposal</t>
  </si>
  <si>
    <t>Other Adjustments</t>
  </si>
  <si>
    <t>EoP</t>
  </si>
  <si>
    <t>Opening Balance</t>
  </si>
  <si>
    <t>Amortisation</t>
  </si>
  <si>
    <t xml:space="preserve">Indefinite Life Intangibles at Cost </t>
  </si>
  <si>
    <t>Indefinite Life Intangibles Net Book Value</t>
  </si>
  <si>
    <t>Depreciation &amp; Amortisation</t>
  </si>
  <si>
    <t>Amortisation of Intangibles</t>
  </si>
  <si>
    <t>Depreciation of P, P &amp; E</t>
  </si>
  <si>
    <t>Depreciation as % of sales</t>
  </si>
  <si>
    <t xml:space="preserve">Borrowings / Interest </t>
  </si>
  <si>
    <t>Short Terms Borrowings (&lt;1 yr)</t>
  </si>
  <si>
    <t>Change</t>
  </si>
  <si>
    <t>Long Term Borrowings (&gt;1 yr)</t>
  </si>
  <si>
    <t>Total Borrowings</t>
  </si>
  <si>
    <t xml:space="preserve">Average Interest Payment </t>
  </si>
  <si>
    <t>Average Interest Rate</t>
  </si>
  <si>
    <t>Cash</t>
  </si>
  <si>
    <t>Average</t>
  </si>
  <si>
    <t>Average Interest Receipt</t>
  </si>
  <si>
    <t>Retained Earnings &amp; Dividends</t>
  </si>
  <si>
    <t>Accounting adjustment</t>
  </si>
  <si>
    <t>Net profit / (loss)</t>
  </si>
  <si>
    <t>Actuarlial adjustments to benefit plans</t>
  </si>
  <si>
    <t>Transfers from reserves</t>
  </si>
  <si>
    <t>Total Available for Appropriation</t>
  </si>
  <si>
    <t>Interim Dividend</t>
  </si>
  <si>
    <t>Final Dividend</t>
  </si>
  <si>
    <t>Buyback / special div</t>
  </si>
  <si>
    <t>Total Dividends</t>
  </si>
  <si>
    <t>Retained Earnings at year end</t>
  </si>
  <si>
    <t>Interim</t>
  </si>
  <si>
    <t>Final</t>
  </si>
  <si>
    <t>Special</t>
  </si>
  <si>
    <t>DPS (cents)</t>
  </si>
  <si>
    <t>Net Income before significant items</t>
  </si>
  <si>
    <t>Payout ratio (%)</t>
  </si>
  <si>
    <t>end of period shares outstanding</t>
  </si>
  <si>
    <t>Movement</t>
  </si>
  <si>
    <t>ModelWare Items</t>
  </si>
  <si>
    <t>Movement in Contributed equity</t>
  </si>
  <si>
    <t>Movement in Reserves</t>
  </si>
  <si>
    <t>Share Buy Back Modelling</t>
  </si>
  <si>
    <t>% of Capital repurchased</t>
  </si>
  <si>
    <t>Total shares bought back ($m)</t>
  </si>
  <si>
    <t>Number of Shares Repurchased - Ordinary</t>
  </si>
  <si>
    <t>Assumed Share Price - Ordinary Shares</t>
  </si>
  <si>
    <t>Total reported tax charge</t>
  </si>
  <si>
    <t>EBIT</t>
  </si>
  <si>
    <t>Australia EBIT</t>
  </si>
  <si>
    <t>2003-FY</t>
  </si>
  <si>
    <t>2004-FY</t>
  </si>
  <si>
    <t>2005-FY</t>
  </si>
  <si>
    <t>Cash flows from Operating Activities</t>
  </si>
  <si>
    <t>Net Cash flows from operating activities</t>
  </si>
  <si>
    <t>Cash flows from Investing Activities</t>
  </si>
  <si>
    <t>Net Cash flows from investing activities</t>
  </si>
  <si>
    <t>Cash flows from Financing Activities</t>
  </si>
  <si>
    <t>Dividends paid</t>
  </si>
  <si>
    <t>Net Cash flows from financing activities</t>
  </si>
  <si>
    <t>Total Cash Flows from activities</t>
  </si>
  <si>
    <t>Cash &amp; Equivalents at beginning of year</t>
  </si>
  <si>
    <t>Effects of FX</t>
  </si>
  <si>
    <t>Cash &amp; Equivalents at end of year</t>
  </si>
  <si>
    <t>ModelWare Free Cash Flow Calculation</t>
  </si>
  <si>
    <t>ModelWare PTOP</t>
  </si>
  <si>
    <t>add Depreciation</t>
  </si>
  <si>
    <t>less Capital Expenditures</t>
  </si>
  <si>
    <t>Change in Working Capital</t>
  </si>
  <si>
    <t>Movement in Provisions &amp; Reserves</t>
  </si>
  <si>
    <t>Less Debt Service</t>
  </si>
  <si>
    <t>Less Tax Paid</t>
  </si>
  <si>
    <t>ModelWare Free Cash Flow</t>
  </si>
  <si>
    <t>Growth</t>
  </si>
  <si>
    <t>FCF post dividends</t>
  </si>
  <si>
    <t>Diluted shares outstanding</t>
  </si>
  <si>
    <t>ModelWare Free Cash Flow per share</t>
  </si>
  <si>
    <t>1H13</t>
  </si>
  <si>
    <t>EBITDA</t>
  </si>
  <si>
    <t>Operating cash flow to EBITDA</t>
  </si>
  <si>
    <t>Net Interest Expense</t>
  </si>
  <si>
    <t>Change in working capital</t>
  </si>
  <si>
    <t>FY12</t>
  </si>
  <si>
    <t>FY13</t>
  </si>
  <si>
    <t>FY14</t>
  </si>
  <si>
    <t>1H10</t>
  </si>
  <si>
    <t>2H10</t>
  </si>
  <si>
    <t>1H11</t>
  </si>
  <si>
    <t>2H11</t>
  </si>
  <si>
    <t>1H12</t>
  </si>
  <si>
    <t>2H12</t>
  </si>
  <si>
    <t>FY02</t>
  </si>
  <si>
    <t>FY03</t>
  </si>
  <si>
    <t>FY04</t>
  </si>
  <si>
    <t>FY05</t>
  </si>
  <si>
    <t>FY06</t>
  </si>
  <si>
    <t>FY07</t>
  </si>
  <si>
    <t>FY08</t>
  </si>
  <si>
    <t>FY09</t>
  </si>
  <si>
    <t>FY10</t>
  </si>
  <si>
    <t>FY11</t>
  </si>
  <si>
    <t>Sales</t>
  </si>
  <si>
    <t>Total</t>
  </si>
  <si>
    <t xml:space="preserve">Other Current assets </t>
  </si>
  <si>
    <t>Other financial liabilities</t>
  </si>
  <si>
    <t>Borrowings (LT)</t>
  </si>
  <si>
    <t xml:space="preserve">Other </t>
  </si>
  <si>
    <t>Issued capital</t>
  </si>
  <si>
    <t>Financial Summary</t>
  </si>
  <si>
    <t>Balance Sheet</t>
  </si>
  <si>
    <t>A$m</t>
  </si>
  <si>
    <t>Revenue</t>
  </si>
  <si>
    <t>Ratio Analysis</t>
  </si>
  <si>
    <t>Growth (%)</t>
  </si>
  <si>
    <t>Normalised NPAT</t>
  </si>
  <si>
    <t>Profit before tax</t>
  </si>
  <si>
    <t>Reported NPAT</t>
  </si>
  <si>
    <t>Income Tax</t>
  </si>
  <si>
    <t>EPS</t>
  </si>
  <si>
    <t>NPAT before sig. items</t>
  </si>
  <si>
    <t>D&amp;A-to-sales</t>
  </si>
  <si>
    <t>Capex-to-D&amp;A</t>
  </si>
  <si>
    <t>Valuation metrics</t>
  </si>
  <si>
    <t>P/E (x)</t>
  </si>
  <si>
    <t>EV/EBITDA (x)</t>
  </si>
  <si>
    <t>Dividend yield (%)</t>
  </si>
  <si>
    <t>Dividend payout (%)</t>
  </si>
  <si>
    <t>NPAT</t>
  </si>
  <si>
    <t>DPS</t>
  </si>
  <si>
    <t>Capex</t>
  </si>
  <si>
    <t>NTA/share</t>
  </si>
  <si>
    <t>Turnover</t>
  </si>
  <si>
    <t>EBIT margin</t>
  </si>
  <si>
    <t>ROE</t>
  </si>
  <si>
    <t>FY15</t>
  </si>
  <si>
    <t xml:space="preserve">Payments for PP&amp;E </t>
  </si>
  <si>
    <t>Receipts from customers/tenants</t>
  </si>
  <si>
    <t>Payments to suppliers &amp; employees</t>
  </si>
  <si>
    <t>Interest and costs of finance paid</t>
  </si>
  <si>
    <t>Interest received</t>
  </si>
  <si>
    <t>Income tax paid</t>
  </si>
  <si>
    <t>Tax paid</t>
  </si>
  <si>
    <t>Interest paid</t>
  </si>
  <si>
    <t>1H04</t>
  </si>
  <si>
    <t>2H04</t>
  </si>
  <si>
    <t>1H05</t>
  </si>
  <si>
    <t>2H05</t>
  </si>
  <si>
    <t>1H06</t>
  </si>
  <si>
    <t>2H06</t>
  </si>
  <si>
    <t>1H07</t>
  </si>
  <si>
    <t>2H07</t>
  </si>
  <si>
    <t>1H08</t>
  </si>
  <si>
    <t>2H08</t>
  </si>
  <si>
    <t>1H09</t>
  </si>
  <si>
    <t>2H09</t>
  </si>
  <si>
    <t>Reported Growth (%)</t>
  </si>
  <si>
    <t>COGS</t>
  </si>
  <si>
    <t>Cost of Sales</t>
  </si>
  <si>
    <t>Gross Profit</t>
  </si>
  <si>
    <t>Gross Margin</t>
  </si>
  <si>
    <t xml:space="preserve">EBIT before exceptional items </t>
  </si>
  <si>
    <t>EBIT-Margin</t>
  </si>
  <si>
    <t>EBIT Growth</t>
  </si>
  <si>
    <t>Exceptional Items</t>
  </si>
  <si>
    <t>EBIT_REPORTED</t>
  </si>
  <si>
    <t>Finance_Income</t>
  </si>
  <si>
    <t>Finance_Expense</t>
  </si>
  <si>
    <t>NET_INT</t>
  </si>
  <si>
    <t>Net interest expense</t>
  </si>
  <si>
    <t>PBT</t>
  </si>
  <si>
    <t>Earnings before tax</t>
  </si>
  <si>
    <t>TAX</t>
  </si>
  <si>
    <t>Tax</t>
  </si>
  <si>
    <t>Reported Tax Rate (%)</t>
  </si>
  <si>
    <t>Underlying Tax Rate (%)</t>
  </si>
  <si>
    <t>Net Earnings from continuing operations</t>
  </si>
  <si>
    <t>Net earnings from discontinuing operations</t>
  </si>
  <si>
    <t>Significant items from discontinuing operations</t>
  </si>
  <si>
    <t>Net Earnings from total operations</t>
  </si>
  <si>
    <t>MI</t>
  </si>
  <si>
    <t>Minority interests</t>
  </si>
  <si>
    <t>NPAT_REPORTED</t>
  </si>
  <si>
    <t>Growth %</t>
  </si>
  <si>
    <t>EPS_REPORTED</t>
  </si>
  <si>
    <t xml:space="preserve">EPS Growth </t>
  </si>
  <si>
    <t>Shares Outstanding</t>
  </si>
  <si>
    <t>Av Ordinary Shares Outstanding (mn) - basic</t>
  </si>
  <si>
    <t>Av Ordinary Shares Outstanding (mn) - diluted</t>
  </si>
  <si>
    <t>End Ordinary shares (mn) - basic</t>
  </si>
  <si>
    <t>EPS - ModelWare Calculation</t>
  </si>
  <si>
    <t>Reported Net Income</t>
  </si>
  <si>
    <t>less exceptionals costs / gains</t>
  </si>
  <si>
    <t>Remove tax on exceptionals</t>
  </si>
  <si>
    <t>Remove significant items from discontinued operations</t>
  </si>
  <si>
    <t>Diluted Shares Outstanding</t>
  </si>
  <si>
    <t>MW PTOP / EBITDA / NOPAT / FCFE / RNOA / ROE / EV / PE</t>
  </si>
  <si>
    <t>ModelWare EBITDA</t>
  </si>
  <si>
    <t>D&amp;A</t>
  </si>
  <si>
    <t>Add back Non Restructuring Exceptionals</t>
  </si>
  <si>
    <t>Tax on operating profit</t>
  </si>
  <si>
    <t>ModelWare NOPAT</t>
  </si>
  <si>
    <t>Net Operating Assets (BoP)</t>
  </si>
  <si>
    <t>Asset Turnover</t>
  </si>
  <si>
    <t>NOPAT Margin</t>
  </si>
  <si>
    <t>Return on Net Operating Assets (RNOA)</t>
  </si>
  <si>
    <t>ModelWare Net Income</t>
  </si>
  <si>
    <t>Shareholders Equity (BoP)</t>
  </si>
  <si>
    <t>Return on Equity (ROE)</t>
  </si>
  <si>
    <r>
      <t xml:space="preserve">Market Capitalisation </t>
    </r>
    <r>
      <rPr>
        <i/>
        <sz val="8"/>
        <rFont val="Arial"/>
        <family val="2"/>
      </rPr>
      <t>(ModelWare)</t>
    </r>
  </si>
  <si>
    <r>
      <t>add</t>
    </r>
    <r>
      <rPr>
        <sz val="8"/>
        <rFont val="Arial"/>
        <family val="2"/>
      </rPr>
      <t xml:space="preserve"> Short &amp; Long Term Debt</t>
    </r>
  </si>
  <si>
    <r>
      <t>less</t>
    </r>
    <r>
      <rPr>
        <sz val="8"/>
        <rFont val="Arial"/>
        <family val="2"/>
      </rPr>
      <t xml:space="preserve"> Cash &amp; Cash Equivalents</t>
    </r>
  </si>
  <si>
    <r>
      <t>less</t>
    </r>
    <r>
      <rPr>
        <sz val="8"/>
        <rFont val="Arial"/>
        <family val="2"/>
      </rPr>
      <t xml:space="preserve"> Other Investments (Non Operating)</t>
    </r>
  </si>
  <si>
    <r>
      <t>less</t>
    </r>
    <r>
      <rPr>
        <sz val="8"/>
        <rFont val="Arial"/>
        <family val="2"/>
      </rPr>
      <t xml:space="preserve"> Notes Receivables &amp; other financing</t>
    </r>
  </si>
  <si>
    <r>
      <t>add</t>
    </r>
    <r>
      <rPr>
        <sz val="8"/>
        <rFont val="Arial"/>
        <family val="2"/>
      </rPr>
      <t xml:space="preserve"> Minority Interest</t>
    </r>
  </si>
  <si>
    <t>EV</t>
  </si>
  <si>
    <t>Enterprise Value (EV)</t>
  </si>
  <si>
    <t>EV / EBITDA</t>
  </si>
  <si>
    <t>Current Share Price</t>
  </si>
  <si>
    <t xml:space="preserve">ModelWare PE </t>
  </si>
  <si>
    <t>3 yr MW EPS CAGR</t>
  </si>
  <si>
    <t>PEG Ratio (vs 3yr EPS Growth)</t>
  </si>
  <si>
    <t>Modelware Net Debt to Equity</t>
  </si>
  <si>
    <t>Net Debt to EBITDA</t>
  </si>
  <si>
    <t>Interest Cover</t>
  </si>
  <si>
    <t>Dividend per share</t>
  </si>
  <si>
    <t>Dividend Yield</t>
  </si>
  <si>
    <t>Tax Calculations</t>
  </si>
  <si>
    <t>PBT (pre exceptionals)</t>
  </si>
  <si>
    <t>Exceptional items</t>
  </si>
  <si>
    <t>Tax excluding exceptionals</t>
  </si>
  <si>
    <t>Tax on exceptional items</t>
  </si>
  <si>
    <t>Underlying Tax Rate</t>
  </si>
  <si>
    <t>Tax Rate for exceptionals</t>
  </si>
  <si>
    <t>Reported Tax Rate</t>
  </si>
  <si>
    <t>For RI model:</t>
  </si>
  <si>
    <t>Tax on Exceptional items</t>
  </si>
  <si>
    <t>Tax on amortisation</t>
  </si>
  <si>
    <t>Tax on Associates &amp; Other Income</t>
  </si>
  <si>
    <t>Modelware tagging</t>
  </si>
  <si>
    <t>back out goodwill amort included in costs pre 2006</t>
  </si>
  <si>
    <t>Market Value of minority interests</t>
  </si>
  <si>
    <t>multiples used to value minorities</t>
  </si>
  <si>
    <t>Market Value of Associates</t>
  </si>
  <si>
    <t>multiples used to value associates</t>
  </si>
  <si>
    <t>BV/share</t>
  </si>
  <si>
    <t>price/bv</t>
  </si>
  <si>
    <t>price/nta</t>
  </si>
  <si>
    <t>share price</t>
  </si>
  <si>
    <t>Proceeds from sale of PP&amp;E</t>
  </si>
  <si>
    <t>Change in  WCap.</t>
  </si>
  <si>
    <t>Additions (acquisitions)</t>
  </si>
  <si>
    <t>Other acquisitions</t>
  </si>
  <si>
    <t>Disposals</t>
  </si>
  <si>
    <t>Transfers &amp; other</t>
  </si>
  <si>
    <t>Proceeds from issue of shares (sharebuyback)</t>
  </si>
  <si>
    <t>2H13</t>
  </si>
  <si>
    <t>1H14</t>
  </si>
  <si>
    <t>2H14</t>
  </si>
  <si>
    <t>FY00</t>
  </si>
  <si>
    <t>FY01</t>
  </si>
  <si>
    <t>EBITDA margin</t>
  </si>
  <si>
    <t xml:space="preserve">  </t>
  </si>
  <si>
    <t>Australian Consumer Team</t>
  </si>
  <si>
    <t>Amortisation as % of BoP</t>
  </si>
  <si>
    <t>EoP - Current Receivables</t>
  </si>
  <si>
    <t>EXP_CODB</t>
  </si>
  <si>
    <t>CODB margin</t>
  </si>
  <si>
    <t>EBIT_NORM</t>
  </si>
  <si>
    <t>TOTAL_D&amp;A</t>
  </si>
  <si>
    <t>WORKCAP_CHG</t>
  </si>
  <si>
    <t xml:space="preserve">Average cash </t>
  </si>
  <si>
    <t xml:space="preserve">Finite Life Intangibles at Cost </t>
  </si>
  <si>
    <t>Additions</t>
  </si>
  <si>
    <t>Other Movement</t>
  </si>
  <si>
    <t>Closing Balance</t>
  </si>
  <si>
    <t>Accumulated Amortisation</t>
  </si>
  <si>
    <t>Update manually ---&gt;</t>
  </si>
  <si>
    <t>PBT_PRESIG</t>
  </si>
  <si>
    <t>TAX_RATE</t>
  </si>
  <si>
    <t>Exception items after tax</t>
  </si>
  <si>
    <t>AB_AFTER_TAX</t>
  </si>
  <si>
    <t>WAFPO</t>
  </si>
  <si>
    <t>END_SHARES</t>
  </si>
  <si>
    <t>CA</t>
  </si>
  <si>
    <t>PPE</t>
  </si>
  <si>
    <t>TA</t>
  </si>
  <si>
    <t>BORR</t>
  </si>
  <si>
    <t>CL</t>
  </si>
  <si>
    <t>TL</t>
  </si>
  <si>
    <t>INTANG</t>
  </si>
  <si>
    <t>NCI</t>
  </si>
  <si>
    <t>OCF</t>
  </si>
  <si>
    <t>CAPEX</t>
  </si>
  <si>
    <t>DIVIDENDS</t>
  </si>
  <si>
    <t>Net Debt</t>
  </si>
  <si>
    <t xml:space="preserve">   Cash</t>
  </si>
  <si>
    <t xml:space="preserve">   Total Borrowings</t>
  </si>
  <si>
    <t>ND</t>
  </si>
  <si>
    <t>Normalised EPS</t>
  </si>
  <si>
    <t>% of sales</t>
  </si>
  <si>
    <t>CODB (inc D&amp;A)</t>
  </si>
  <si>
    <t xml:space="preserve">   New stores</t>
  </si>
  <si>
    <t xml:space="preserve">   Refurbs</t>
  </si>
  <si>
    <t xml:space="preserve">   Home Improvement</t>
  </si>
  <si>
    <t xml:space="preserve">   Normal &amp; Ongoing capex</t>
  </si>
  <si>
    <t xml:space="preserve">   Total</t>
  </si>
  <si>
    <t xml:space="preserve">   Property ex HI</t>
  </si>
  <si>
    <t>Start of period</t>
  </si>
  <si>
    <t>CODB (ex D&amp;A)</t>
  </si>
  <si>
    <t xml:space="preserve">   Supply chain/stay in bus</t>
  </si>
  <si>
    <t>Acquisitions / Divestments</t>
  </si>
  <si>
    <t>ACQ_DIV</t>
  </si>
  <si>
    <t>Change in net debt / other</t>
  </si>
  <si>
    <t>CHG_DEBT</t>
  </si>
  <si>
    <t>TOTAL_CASH_FLOW</t>
  </si>
  <si>
    <t>AUD</t>
  </si>
  <si>
    <t>Restatement of Cash Balance</t>
  </si>
  <si>
    <t>Cash at bank and on hand from discontinued operations</t>
  </si>
  <si>
    <t>Bank overdraft</t>
  </si>
  <si>
    <t>Chane in cash at bank and on hand from discontinued operations</t>
  </si>
  <si>
    <t>Change in Bank overdraft</t>
  </si>
  <si>
    <t>Change in Shareholders Equity</t>
  </si>
  <si>
    <t>EOP</t>
  </si>
  <si>
    <t>Net Issuance</t>
  </si>
  <si>
    <t>Net Income</t>
  </si>
  <si>
    <t>Dividend</t>
  </si>
  <si>
    <t>Check</t>
  </si>
  <si>
    <t>AOCI</t>
  </si>
  <si>
    <t>For Tagging Purpose</t>
  </si>
  <si>
    <t>Current Basic Shares</t>
  </si>
  <si>
    <t>Current Diluted Shares</t>
  </si>
  <si>
    <t>MW Ratios</t>
  </si>
  <si>
    <t>Comment</t>
  </si>
  <si>
    <t>Opened</t>
  </si>
  <si>
    <t>Closed</t>
  </si>
  <si>
    <t xml:space="preserve"> - growth</t>
  </si>
  <si>
    <t xml:space="preserve"> - margin</t>
  </si>
  <si>
    <t>JBH_LFL%</t>
  </si>
  <si>
    <t>Online sales</t>
  </si>
  <si>
    <t>as % sales</t>
  </si>
  <si>
    <t>JBH_Sales</t>
  </si>
  <si>
    <t>JBH_Sales_growth</t>
  </si>
  <si>
    <t>Cost of goods sold</t>
  </si>
  <si>
    <t>Sales product mix (%)</t>
  </si>
  <si>
    <t>Hardware</t>
  </si>
  <si>
    <t>Audio &amp; Visual Hardware incl Car Sound &amp; Cameras</t>
  </si>
  <si>
    <t>Computer Hardware</t>
  </si>
  <si>
    <t>Domestic Appliances</t>
  </si>
  <si>
    <t>Games Hardware</t>
  </si>
  <si>
    <t>Accessories</t>
  </si>
  <si>
    <t>Telco</t>
  </si>
  <si>
    <t>Software</t>
  </si>
  <si>
    <t>CD's and DVD's</t>
  </si>
  <si>
    <t>Computer Software</t>
  </si>
  <si>
    <t>Games Software</t>
  </si>
  <si>
    <t>Implied growth rates</t>
  </si>
  <si>
    <t xml:space="preserve">Jan </t>
  </si>
  <si>
    <t xml:space="preserve">Feb </t>
  </si>
  <si>
    <t>Mar</t>
  </si>
  <si>
    <t>Gross Margin by Category</t>
  </si>
  <si>
    <t>Group Gross Margin</t>
  </si>
  <si>
    <t>Chg in gross margin</t>
  </si>
  <si>
    <t>Bull/bear</t>
  </si>
  <si>
    <t>Group Gross Profit</t>
  </si>
  <si>
    <t>Gross profit - calculated</t>
  </si>
  <si>
    <t>JBH_GP</t>
  </si>
  <si>
    <t>Gross profit - reported</t>
  </si>
  <si>
    <t>JBH_GP%</t>
  </si>
  <si>
    <t xml:space="preserve"> - change (bps) on pcp</t>
  </si>
  <si>
    <t>Operating costs</t>
  </si>
  <si>
    <t>Sales &amp; Marketing</t>
  </si>
  <si>
    <t xml:space="preserve"> - % of sales</t>
  </si>
  <si>
    <t>Occupancy</t>
  </si>
  <si>
    <t>Occupancy (ex D&amp;A)</t>
  </si>
  <si>
    <t>Min lease payment</t>
  </si>
  <si>
    <t>Administration</t>
  </si>
  <si>
    <t>Administration (ex D&amp;A)</t>
  </si>
  <si>
    <t xml:space="preserve"> - Management/Directors comp.</t>
  </si>
  <si>
    <t xml:space="preserve"> - Other admin cost</t>
  </si>
  <si>
    <t>Other expenses</t>
  </si>
  <si>
    <t>Merchant fees on credit card transactions</t>
  </si>
  <si>
    <t>"Other" other expenses</t>
  </si>
  <si>
    <t>Adjustments</t>
  </si>
  <si>
    <t>Operating costs (excl D&amp;A)</t>
  </si>
  <si>
    <t xml:space="preserve"> - CODB %</t>
  </si>
  <si>
    <t>CODB change</t>
  </si>
  <si>
    <t>CODB reported by JBH</t>
  </si>
  <si>
    <t>Asset sales/writeoffs</t>
  </si>
  <si>
    <t>EBITDA (reported)</t>
  </si>
  <si>
    <t xml:space="preserve"> - growth A$m</t>
  </si>
  <si>
    <t xml:space="preserve"> - Incremental EBITDA margin</t>
  </si>
  <si>
    <t>JBH_DA%</t>
  </si>
  <si>
    <t xml:space="preserve"> - chg</t>
  </si>
  <si>
    <t xml:space="preserve"> - EBIT per average store</t>
  </si>
  <si>
    <t xml:space="preserve"> - change in EBIT margin</t>
  </si>
  <si>
    <t>Other operating expenses</t>
  </si>
  <si>
    <t>Shrinkage/Inventory write down</t>
  </si>
  <si>
    <t>Shrinkage to sales</t>
  </si>
  <si>
    <t>Impairment of trade receivables</t>
  </si>
  <si>
    <t>Employee benefits expense</t>
  </si>
  <si>
    <t>nd</t>
  </si>
  <si>
    <t>Min. operating lease payments</t>
  </si>
  <si>
    <t>Rent-to-sales</t>
  </si>
  <si>
    <t>Number of employees</t>
  </si>
  <si>
    <t>Employees per store</t>
  </si>
  <si>
    <t>Australia</t>
  </si>
  <si>
    <t>JBH_Sales_AUS</t>
  </si>
  <si>
    <t>JBH_LFL%_AUS</t>
  </si>
  <si>
    <t>CODB</t>
  </si>
  <si>
    <t>New Zealand</t>
  </si>
  <si>
    <t>JBH_Sales_NZ_NZD</t>
  </si>
  <si>
    <t>JBH_LFL%_NZ</t>
  </si>
  <si>
    <t>Sales growth</t>
  </si>
  <si>
    <t>% group sales</t>
  </si>
  <si>
    <t>Network Neighbourhood</t>
  </si>
  <si>
    <t xml:space="preserve"> - Sales (annualised)</t>
  </si>
  <si>
    <t xml:space="preserve"> - EBIT  (annualised)</t>
  </si>
  <si>
    <t xml:space="preserve"> - EBIT margin (annualised)</t>
  </si>
  <si>
    <t>JBH's ownership</t>
  </si>
  <si>
    <t>Contribution to JBH's consolidated results</t>
  </si>
  <si>
    <t xml:space="preserve"> - Sales </t>
  </si>
  <si>
    <t xml:space="preserve"> - EBIT</t>
  </si>
  <si>
    <t>Organic growth</t>
  </si>
  <si>
    <t>Home</t>
  </si>
  <si>
    <t>JBH_Home_stores</t>
  </si>
  <si>
    <t># stores</t>
  </si>
  <si>
    <t># new stores</t>
  </si>
  <si>
    <t xml:space="preserve"> - avg stores in Y1</t>
  </si>
  <si>
    <t xml:space="preserve"> - avg stores in Y2</t>
  </si>
  <si>
    <t>JBH_Home_sales</t>
  </si>
  <si>
    <t xml:space="preserve"> - stores in Y1</t>
  </si>
  <si>
    <t xml:space="preserve"> - stores in Y2</t>
  </si>
  <si>
    <t>Sales per store guidance</t>
  </si>
  <si>
    <t>JBH_Home_EBIT</t>
  </si>
  <si>
    <t>% HOME stores</t>
  </si>
  <si>
    <t>Online</t>
  </si>
  <si>
    <t>Instore ex-Home</t>
  </si>
  <si>
    <t>Space growth</t>
  </si>
  <si>
    <t>NZ EBIT (AUD)</t>
  </si>
  <si>
    <t>NZ EBIT (NZD)</t>
  </si>
  <si>
    <t>Others</t>
  </si>
  <si>
    <t>FY26E</t>
  </si>
  <si>
    <t>2013a</t>
  </si>
  <si>
    <t>2014a</t>
  </si>
  <si>
    <t>EBIT to net interest</t>
  </si>
  <si>
    <t>Price/NAV</t>
  </si>
  <si>
    <t>Current assets</t>
  </si>
  <si>
    <t>Net plant &amp; equipment</t>
  </si>
  <si>
    <t>Net intangibles</t>
  </si>
  <si>
    <t>Other non current assets</t>
  </si>
  <si>
    <t>Current liabilities</t>
  </si>
  <si>
    <t>Other non current liabilities</t>
  </si>
  <si>
    <t>Total liabilities</t>
  </si>
  <si>
    <t>Outside equity interests</t>
  </si>
  <si>
    <t>Shareholders’ funds</t>
  </si>
  <si>
    <t>Net debt</t>
  </si>
  <si>
    <t>Capital employed</t>
  </si>
  <si>
    <t>Net debt/equity</t>
  </si>
  <si>
    <t>Net debt/(Net debt + Equity)</t>
  </si>
  <si>
    <t>Price/NTA</t>
  </si>
  <si>
    <t>NAV/share</t>
  </si>
  <si>
    <t>JBH Model</t>
  </si>
  <si>
    <t>JBH Balance Sheet</t>
  </si>
  <si>
    <t>JBH Statement of Cash Flows</t>
  </si>
  <si>
    <t>JBH Profit &amp; Loss Statement</t>
  </si>
  <si>
    <t>Other Financial Assets</t>
  </si>
  <si>
    <t>Acquisition of non-controlling interest</t>
  </si>
  <si>
    <t>Proceeds/ (repayment) of borrowings</t>
  </si>
  <si>
    <t>Payments for debt issue costs</t>
  </si>
  <si>
    <t>Share issue and buy back costs</t>
  </si>
  <si>
    <t>Payments for Intangibles</t>
  </si>
  <si>
    <t>Payments for acquisition of subsidiary/business, net of cash acquired</t>
  </si>
  <si>
    <t>Total Revenue</t>
  </si>
  <si>
    <t>REVENUE</t>
  </si>
  <si>
    <t xml:space="preserve">   Sales growth </t>
  </si>
  <si>
    <t xml:space="preserve">       LFL growth</t>
  </si>
  <si>
    <t xml:space="preserve">      Space growth</t>
  </si>
  <si>
    <t xml:space="preserve">   Sales $NZ</t>
  </si>
  <si>
    <t xml:space="preserve">      AUD/NZD</t>
  </si>
  <si>
    <t xml:space="preserve">    Aus GM %</t>
  </si>
  <si>
    <t xml:space="preserve">   NZ GM %</t>
  </si>
  <si>
    <t xml:space="preserve">    Aus GP $ (AUD)</t>
  </si>
  <si>
    <t xml:space="preserve">   NZ GP  $ (NZD)</t>
  </si>
  <si>
    <t xml:space="preserve">   NZ GP $ (AUD)</t>
  </si>
  <si>
    <t xml:space="preserve">   AUD/NZD</t>
  </si>
  <si>
    <t>Revenue growth</t>
  </si>
  <si>
    <t>Gross Profit by Category</t>
  </si>
  <si>
    <t>STORES</t>
  </si>
  <si>
    <t xml:space="preserve">   average revenue per store</t>
  </si>
  <si>
    <t xml:space="preserve">   growth  $Am</t>
  </si>
  <si>
    <t xml:space="preserve">   revenue/store growth </t>
  </si>
  <si>
    <t>JB Hi-Fi Stores</t>
  </si>
  <si>
    <t>closed</t>
  </si>
  <si>
    <t>Total Australian Stores</t>
  </si>
  <si>
    <t>Beginning JB Hi-Fi Stores</t>
  </si>
  <si>
    <t>Total End JB Hi-Fi</t>
  </si>
  <si>
    <t>Beginning JB Hi-Fi Home</t>
  </si>
  <si>
    <t>TOTAL STORES</t>
  </si>
  <si>
    <t>Beginning Stores</t>
  </si>
  <si>
    <t>Total End NZ JB Hi-Fi</t>
  </si>
  <si>
    <t>Converted</t>
  </si>
  <si>
    <t xml:space="preserve">   average stores</t>
  </si>
  <si>
    <t xml:space="preserve">   store growth %</t>
  </si>
  <si>
    <r>
      <t xml:space="preserve">    </t>
    </r>
    <r>
      <rPr>
        <i/>
        <sz val="8"/>
        <rFont val="Arial"/>
        <family val="2"/>
      </rPr>
      <t>% margin</t>
    </r>
  </si>
  <si>
    <t>Aus EBITDA (AUD)</t>
  </si>
  <si>
    <t>NZ EBITDA (NZD)</t>
  </si>
  <si>
    <t>NZ D&amp;A (AUD)</t>
  </si>
  <si>
    <t>Aus D&amp;A (AUD)</t>
  </si>
  <si>
    <t/>
  </si>
  <si>
    <t>Aus EBIT (AUD)</t>
  </si>
  <si>
    <t>NZ EBITDA (AUD)</t>
  </si>
  <si>
    <t>JBH Home store capex</t>
  </si>
  <si>
    <t>JBH store capex</t>
  </si>
  <si>
    <t>Maintenance capex</t>
  </si>
  <si>
    <t>Total Capex</t>
  </si>
  <si>
    <t>Capex/JBH normal store</t>
  </si>
  <si>
    <t>Capex/HOME store</t>
  </si>
  <si>
    <t>Relocations/Refurbs</t>
  </si>
  <si>
    <t>Capex/HOME Conversion</t>
  </si>
  <si>
    <t>Capex driven from Model Page</t>
  </si>
  <si>
    <t>D&amp;A driven below</t>
  </si>
  <si>
    <t>Finance Income (Interest revenue in notes)</t>
  </si>
  <si>
    <t>Reported EPS basic (EPS)</t>
  </si>
  <si>
    <t>Reported EPS diluted (in cents)</t>
  </si>
  <si>
    <t>seasonality</t>
  </si>
  <si>
    <t>Margins (%)</t>
  </si>
  <si>
    <t>NPAT margin</t>
  </si>
  <si>
    <t>Period end stores</t>
  </si>
  <si>
    <t>Share Issue/repurchase schedule</t>
  </si>
  <si>
    <t>Share issuance amount</t>
  </si>
  <si>
    <t>Number of shares issued</t>
  </si>
  <si>
    <t>Share repurchase amount</t>
  </si>
  <si>
    <t>Number of shares repurchased</t>
  </si>
  <si>
    <t>Interest Expense on capitalized operating leases (lessee)</t>
  </si>
  <si>
    <t>Interest depreciation on capitalized operating leases (lessee)</t>
  </si>
  <si>
    <t>Rental payment on capitalized operating leases (lessee)</t>
  </si>
  <si>
    <t>Implied capitalized operating lease obligations (lessee)</t>
  </si>
  <si>
    <t>Capital expenditures financed through operating leases</t>
  </si>
  <si>
    <t>Assumed average lease life of operating leases</t>
  </si>
  <si>
    <t>Interest rate used to capitalize leases</t>
  </si>
  <si>
    <t>Unrecorded Goodwill</t>
  </si>
  <si>
    <t>Floorspace</t>
  </si>
  <si>
    <t>Share price</t>
  </si>
  <si>
    <t>JBH.AX</t>
  </si>
  <si>
    <t>(A$mn, Year ending June)</t>
  </si>
  <si>
    <t>Number of Stores</t>
  </si>
  <si>
    <t>1H15</t>
  </si>
  <si>
    <t>EV / EBIT</t>
  </si>
  <si>
    <t>EV/EBIT (x)</t>
  </si>
  <si>
    <t>JBH_stores</t>
  </si>
  <si>
    <t>JBH_space</t>
  </si>
  <si>
    <t>2H15</t>
  </si>
  <si>
    <t>2015a</t>
  </si>
  <si>
    <t>Total JB-Hi-Fi Home</t>
  </si>
  <si>
    <t xml:space="preserve">  Cannibalisation</t>
  </si>
  <si>
    <t xml:space="preserve">      Cannibalisation</t>
  </si>
  <si>
    <t>Analyst Certification</t>
  </si>
  <si>
    <t>Global Research Conflict Management Policy</t>
  </si>
  <si>
    <t>STOCK RATINGS</t>
  </si>
  <si>
    <t>Global Stock Ratings Distribution</t>
  </si>
  <si>
    <t>Analyst Stock Ratings</t>
  </si>
  <si>
    <t>Analyst Industry Views</t>
  </si>
  <si>
    <t>.</t>
  </si>
  <si>
    <t>Stock Price, Price Target and Rating History (See Rating Definitions)</t>
  </si>
  <si>
    <t>Important Disclosures for Morgan Stanley Smith Barney LLC Customers</t>
  </si>
  <si>
    <t>Other Important Disclosures</t>
  </si>
  <si>
    <t>1H16</t>
  </si>
  <si>
    <t>Sales per sqm</t>
  </si>
  <si>
    <t>Sales per store</t>
  </si>
  <si>
    <t xml:space="preserve"> - stores in Y3</t>
  </si>
  <si>
    <t xml:space="preserve"> - avg stores in Y3</t>
  </si>
  <si>
    <t xml:space="preserve"> - assumed selling area / store</t>
  </si>
  <si>
    <t xml:space="preserve"> - assumed selling area</t>
  </si>
  <si>
    <t xml:space="preserve"> - converted</t>
  </si>
  <si>
    <t xml:space="preserve"> - cumulative stores opened</t>
  </si>
  <si>
    <t xml:space="preserve"> - newly opened</t>
  </si>
  <si>
    <t>Existing stores</t>
  </si>
  <si>
    <t>Stores</t>
  </si>
  <si>
    <t>Average selling area / store</t>
  </si>
  <si>
    <t>Last</t>
  </si>
  <si>
    <t>Average store size</t>
  </si>
  <si>
    <t>Rent</t>
  </si>
  <si>
    <t xml:space="preserve">Software  % of Sales </t>
  </si>
  <si>
    <t xml:space="preserve">Hardware  % of Sales </t>
  </si>
  <si>
    <t>FY16</t>
  </si>
  <si>
    <t>Tax rate</t>
  </si>
  <si>
    <t>The Good Guys</t>
  </si>
  <si>
    <t>FY17</t>
  </si>
  <si>
    <t>FY18</t>
  </si>
  <si>
    <t>growth</t>
  </si>
  <si>
    <t>2H16</t>
  </si>
  <si>
    <t>2016a</t>
  </si>
  <si>
    <t>Per share</t>
  </si>
  <si>
    <t>At PE multipe</t>
  </si>
  <si>
    <t>Franking</t>
  </si>
  <si>
    <t xml:space="preserve">   JBH Australia Sales (AUD)</t>
  </si>
  <si>
    <t>JBH NZ Sales (AUD)</t>
  </si>
  <si>
    <t>JBH Revenue (AUD)</t>
  </si>
  <si>
    <t xml:space="preserve">   JBH Australia</t>
  </si>
  <si>
    <t xml:space="preserve">   JBH New Zealand</t>
  </si>
  <si>
    <t>Group Summary</t>
  </si>
  <si>
    <t xml:space="preserve">   The Good Guys Revenue (AUD)</t>
  </si>
  <si>
    <t>Muir Family Ownership</t>
  </si>
  <si>
    <t>The Good Guys (TGG)</t>
  </si>
  <si>
    <t>Beginning TGG Stores</t>
  </si>
  <si>
    <t>Total End TGG</t>
  </si>
  <si>
    <t>Gross Margin %</t>
  </si>
  <si>
    <t xml:space="preserve"> % of sales</t>
  </si>
  <si>
    <t xml:space="preserve"> Margin chg %</t>
  </si>
  <si>
    <t xml:space="preserve"> - margin %</t>
  </si>
  <si>
    <t xml:space="preserve"> - margin chg %</t>
  </si>
  <si>
    <t xml:space="preserve">   JBH</t>
  </si>
  <si>
    <t xml:space="preserve">   TGG</t>
  </si>
  <si>
    <t xml:space="preserve">   The Good Guys (TGG)</t>
  </si>
  <si>
    <t xml:space="preserve">  check</t>
  </si>
  <si>
    <t xml:space="preserve">   Seasonality</t>
  </si>
  <si>
    <t>Insto shortfall</t>
  </si>
  <si>
    <t>Price</t>
  </si>
  <si>
    <t>Shares</t>
  </si>
  <si>
    <t>Retail</t>
  </si>
  <si>
    <t>Retail shortfall</t>
  </si>
  <si>
    <t>TGG</t>
  </si>
  <si>
    <t xml:space="preserve"> </t>
  </si>
  <si>
    <t>Sales/store</t>
  </si>
  <si>
    <t>Sales/sqm</t>
  </si>
  <si>
    <t>1H17</t>
  </si>
  <si>
    <t>JBH_SEG_SALES</t>
  </si>
  <si>
    <t>JBH_SEG_EBIT</t>
  </si>
  <si>
    <t>TGG_SEG_SALES</t>
  </si>
  <si>
    <t>TGG_SEG_EBIT</t>
  </si>
  <si>
    <t>JBH - NZ (A$m)</t>
  </si>
  <si>
    <t>JBH - Aus</t>
  </si>
  <si>
    <t>JBH_AUS_EBIT</t>
  </si>
  <si>
    <t>JBH_NZ_EBIT</t>
  </si>
  <si>
    <t>CODB Margin</t>
  </si>
  <si>
    <t>The Good Guys LFL sales</t>
  </si>
  <si>
    <t>The Good Guys metrics</t>
  </si>
  <si>
    <t>%</t>
  </si>
  <si>
    <t>Diff to PT</t>
  </si>
  <si>
    <t>Rev_AU</t>
  </si>
  <si>
    <t>Rev_NZ</t>
  </si>
  <si>
    <t>Rev_TGG</t>
  </si>
  <si>
    <t>EBITDA_Au</t>
  </si>
  <si>
    <t>EBITDA_NZ</t>
  </si>
  <si>
    <t>EBITDA_TGG</t>
  </si>
  <si>
    <t>DA_TGG</t>
  </si>
  <si>
    <t>DA_Au</t>
  </si>
  <si>
    <t>DA_NZ</t>
  </si>
  <si>
    <t>EBIT_TGG</t>
  </si>
  <si>
    <t>Except_Items</t>
  </si>
  <si>
    <t>SharesOutstand</t>
  </si>
  <si>
    <t>Frank</t>
  </si>
  <si>
    <t>TE</t>
  </si>
  <si>
    <t>LFL_TGG</t>
  </si>
  <si>
    <t>Stores_TGG</t>
  </si>
  <si>
    <t>FY27E</t>
  </si>
  <si>
    <t>Group</t>
  </si>
  <si>
    <t>2H17</t>
  </si>
  <si>
    <t>Operating costs (ex D&amp;A)</t>
  </si>
  <si>
    <t xml:space="preserve"> - CODB to sales</t>
  </si>
  <si>
    <t xml:space="preserve"> - YoY growth</t>
  </si>
  <si>
    <t xml:space="preserve"> - change</t>
  </si>
  <si>
    <t xml:space="preserve">  YoY change</t>
  </si>
  <si>
    <t>2017a</t>
  </si>
  <si>
    <t>TGG Revenue (reported)</t>
  </si>
  <si>
    <t>- Growth</t>
  </si>
  <si>
    <t xml:space="preserve">   Margin %</t>
  </si>
  <si>
    <t>JB Hi-Fi Australia</t>
  </si>
  <si>
    <t>JB Hi-FI NZ</t>
  </si>
  <si>
    <t>MARGINS</t>
  </si>
  <si>
    <t>JB Hi-Fi Australia &amp; NZ</t>
  </si>
  <si>
    <t>JB Hi-Fi Australia &amp; NZ STORES</t>
  </si>
  <si>
    <t>JB Hi-Fi Australia &amp; NZ COGS</t>
  </si>
  <si>
    <t>TGG_EBITDA</t>
  </si>
  <si>
    <t>GM - Aus</t>
  </si>
  <si>
    <t>EBIT margin - Aus</t>
  </si>
  <si>
    <t>MWEPS</t>
  </si>
  <si>
    <t>LFL Sales growth</t>
  </si>
  <si>
    <t>FY28E</t>
  </si>
  <si>
    <t>JBH EBITDA Margin</t>
  </si>
  <si>
    <t>- seasonality</t>
  </si>
  <si>
    <t>EBIT weighting</t>
  </si>
  <si>
    <t>1H18</t>
  </si>
  <si>
    <t>% to sales</t>
  </si>
  <si>
    <t>JBH Aus GP</t>
  </si>
  <si>
    <t>JBH Aus CODB</t>
  </si>
  <si>
    <t>JB NZ GP Aud</t>
  </si>
  <si>
    <t>JB NZ CODB Aud</t>
  </si>
  <si>
    <t>LFL ex-online</t>
  </si>
  <si>
    <t>Online contrib. to LFL</t>
  </si>
  <si>
    <t>Online growth ($m)</t>
  </si>
  <si>
    <t>Commercial/Solutions</t>
  </si>
  <si>
    <t>2018a</t>
  </si>
  <si>
    <t>2H18</t>
  </si>
  <si>
    <t>FY29E</t>
  </si>
  <si>
    <t>JBHGP</t>
  </si>
  <si>
    <t>TGGGP</t>
  </si>
  <si>
    <t>TGG AUD GP</t>
  </si>
  <si>
    <t>JBH AUS GP MARGIN</t>
  </si>
  <si>
    <t>JBH Au CODB Margin</t>
  </si>
  <si>
    <t>JBH_AU_EBIT_MARGIN</t>
  </si>
  <si>
    <t>EBITDA_Au_margin</t>
  </si>
  <si>
    <t>DA_AU_Sales</t>
  </si>
  <si>
    <t>JBH_Space_Growth_AUS</t>
  </si>
  <si>
    <t>Space_Growth_TGG</t>
  </si>
  <si>
    <t>TGG_sales_growth</t>
  </si>
  <si>
    <t>TGG_GM</t>
  </si>
  <si>
    <t>TGG_CODB_Margin</t>
  </si>
  <si>
    <t>TGG_EBIT_Margin</t>
  </si>
  <si>
    <t>TGG_EBITDA_Margin</t>
  </si>
  <si>
    <t>TGG_D&amp;A_sales</t>
  </si>
  <si>
    <t>TGG_DA</t>
  </si>
  <si>
    <t>CODB (ex D&amp;A) margin</t>
  </si>
  <si>
    <t>EV/Sales (x)</t>
  </si>
  <si>
    <t>PT</t>
  </si>
  <si>
    <t>1H19</t>
  </si>
  <si>
    <t>sales per sqm</t>
  </si>
  <si>
    <t>Working capital</t>
  </si>
  <si>
    <t>Fixed assets</t>
  </si>
  <si>
    <t>Invested capital</t>
  </si>
  <si>
    <t>NOPAT</t>
  </si>
  <si>
    <t>ROIC</t>
  </si>
  <si>
    <t>Occupancy (ex D&amp;A) % sales</t>
  </si>
  <si>
    <t>FY19</t>
  </si>
  <si>
    <t>Operating costs (ex D&amp;A) (AUD)</t>
  </si>
  <si>
    <t>2H19</t>
  </si>
  <si>
    <t>2019a</t>
  </si>
  <si>
    <t>JB Hi Fi (Aus) metrics</t>
  </si>
  <si>
    <t>JB Hi Fi (Aus) LFL sales</t>
  </si>
  <si>
    <t>FY20</t>
  </si>
  <si>
    <t>Key Drivers</t>
  </si>
  <si>
    <t>JBH AU LFL sales growth</t>
  </si>
  <si>
    <t>The Good Guys LFL sales growth</t>
  </si>
  <si>
    <t>The Good Guys EBIT margin</t>
  </si>
  <si>
    <t>JBH AU EBIT margin</t>
  </si>
  <si>
    <t>NA</t>
  </si>
  <si>
    <t>1H20</t>
  </si>
  <si>
    <t>2H20</t>
  </si>
  <si>
    <t>JBH_AU_EBIT_g</t>
  </si>
  <si>
    <t>TGG_EBIT_Margin_g</t>
  </si>
  <si>
    <t>2020a</t>
  </si>
  <si>
    <t>Right of use asset</t>
  </si>
  <si>
    <t>Lease laibilities</t>
  </si>
  <si>
    <t>Interest on lease liabilities</t>
  </si>
  <si>
    <t>Payments of lease liabilities</t>
  </si>
  <si>
    <t>Right of use assets D&amp;A</t>
  </si>
  <si>
    <t>D&amp;A ex right of use assets</t>
  </si>
  <si>
    <t>JBH_SalesG</t>
  </si>
  <si>
    <t>Underlying tax</t>
  </si>
  <si>
    <t>FY23</t>
  </si>
  <si>
    <t>1H21</t>
  </si>
  <si>
    <t>2H21</t>
  </si>
  <si>
    <t>FY21</t>
  </si>
  <si>
    <t>2H22</t>
  </si>
  <si>
    <t>1H22</t>
  </si>
  <si>
    <t>2021a</t>
  </si>
  <si>
    <t>FY22</t>
  </si>
  <si>
    <t>2022a</t>
  </si>
  <si>
    <t>P&amp;L</t>
  </si>
  <si>
    <t>Cash flow</t>
  </si>
  <si>
    <t>k</t>
  </si>
  <si>
    <t>x</t>
  </si>
  <si>
    <t>Melinda Baxter</t>
  </si>
  <si>
    <t>+61 2 97701176</t>
  </si>
  <si>
    <t>melinda.baxter@morganstanley.com</t>
  </si>
  <si>
    <t>Mac Ross</t>
  </si>
  <si>
    <t>+61 2 9770 1579</t>
  </si>
  <si>
    <t>mac.ross@morganstanley.com</t>
  </si>
  <si>
    <t>+61 2 9770 1658</t>
  </si>
  <si>
    <t>FY24e</t>
  </si>
  <si>
    <t>FY24</t>
  </si>
  <si>
    <t>JBHNZ_SalesG</t>
  </si>
  <si>
    <t>TGG_SalesG</t>
  </si>
  <si>
    <t>CODB_Margin</t>
  </si>
  <si>
    <t>Sales_YoY</t>
  </si>
  <si>
    <t>Depreciation - P&amp;E</t>
  </si>
  <si>
    <t>Impairment - P&amp;E</t>
  </si>
  <si>
    <t>Depreciation - Right of use assets</t>
  </si>
  <si>
    <t>Impairment - Right of use assets</t>
  </si>
  <si>
    <t xml:space="preserve">   Interest on leases</t>
  </si>
  <si>
    <t xml:space="preserve">  Other finance costs</t>
  </si>
  <si>
    <t>Finance Costs</t>
  </si>
  <si>
    <t>1H26E</t>
  </si>
  <si>
    <t>2H26E</t>
  </si>
  <si>
    <t>1H27E</t>
  </si>
  <si>
    <t>2H27E</t>
  </si>
  <si>
    <t>1H26e</t>
  </si>
  <si>
    <t>2H26e</t>
  </si>
  <si>
    <t>1H27e</t>
  </si>
  <si>
    <t>2H27e</t>
  </si>
  <si>
    <t xml:space="preserve">Average borrowing </t>
  </si>
  <si>
    <t>DPS growth</t>
  </si>
  <si>
    <t>BOP</t>
  </si>
  <si>
    <t>Lease_interest_exp</t>
  </si>
  <si>
    <t>EBIT_NORM_margin</t>
  </si>
  <si>
    <t>JBH_Sales_AUS_growth</t>
  </si>
  <si>
    <t>JB NZ GP MARGIN</t>
  </si>
  <si>
    <t>JN NZ CODB margin Aud</t>
  </si>
  <si>
    <t>JBH_NZ_EBIT_Margin_AUD</t>
  </si>
  <si>
    <t>JBH_SALES_NZ_AUD_YoY</t>
  </si>
  <si>
    <t>Cents</t>
  </si>
  <si>
    <t>Other Finance cost</t>
  </si>
  <si>
    <t>GP margin</t>
  </si>
  <si>
    <t>1H23</t>
  </si>
  <si>
    <t>1H23e vs 1H20</t>
  </si>
  <si>
    <t>FY24e vs FY20</t>
  </si>
  <si>
    <t>FY25</t>
  </si>
  <si>
    <t>FY26</t>
  </si>
  <si>
    <t>Other investing activities</t>
  </si>
  <si>
    <t>2H23</t>
  </si>
  <si>
    <t>2026e</t>
  </si>
  <si>
    <t>FY26e</t>
  </si>
  <si>
    <t>2023a</t>
  </si>
  <si>
    <t>JB_Aust_Stores_EoP</t>
  </si>
  <si>
    <t>Other Value Drivers</t>
  </si>
  <si>
    <t>1H24</t>
  </si>
  <si>
    <t>Julia de Sterke</t>
  </si>
  <si>
    <t>julia.de.sterke@morganstanley.com</t>
  </si>
  <si>
    <t>ModelWare EPS (in cents)</t>
  </si>
  <si>
    <t>ModelWare EPS Growth %</t>
  </si>
  <si>
    <t>FY27e</t>
  </si>
  <si>
    <t>1H28E</t>
  </si>
  <si>
    <t>2H28E</t>
  </si>
  <si>
    <t>1H29E</t>
  </si>
  <si>
    <t>2H29E</t>
  </si>
  <si>
    <t>1H28e</t>
  </si>
  <si>
    <t>2H28e</t>
  </si>
  <si>
    <t>1H29e</t>
  </si>
  <si>
    <t>2H29e</t>
  </si>
  <si>
    <t>2H24</t>
  </si>
  <si>
    <t>2024a</t>
  </si>
  <si>
    <t xml:space="preserve">Timing Adjustment </t>
  </si>
  <si>
    <t>2027e</t>
  </si>
  <si>
    <t>JBH_space_YoY%</t>
  </si>
  <si>
    <t>EV/EBITDA</t>
  </si>
  <si>
    <t>EV/EBIT</t>
  </si>
  <si>
    <t>Proceeds_issue_shr</t>
  </si>
  <si>
    <t>debt_issue_cost</t>
  </si>
  <si>
    <t>buyback_cost</t>
  </si>
  <si>
    <t>lease_payments</t>
  </si>
  <si>
    <t>Net_assets</t>
  </si>
  <si>
    <t>e&amp;s</t>
  </si>
  <si>
    <t>% growth YoY</t>
  </si>
  <si>
    <r>
      <t>Operating costs</t>
    </r>
    <r>
      <rPr>
        <b/>
        <sz val="9.1999999999999993"/>
        <color rgb="FFFF0000"/>
        <rFont val="Arial"/>
        <family val="2"/>
      </rPr>
      <t xml:space="preserve"> pre AASB16</t>
    </r>
  </si>
  <si>
    <r>
      <t xml:space="preserve">EBITDA </t>
    </r>
    <r>
      <rPr>
        <b/>
        <sz val="9.1999999999999993"/>
        <color rgb="FFFF0000"/>
        <rFont val="Arial"/>
        <family val="2"/>
      </rPr>
      <t>pre AASB16</t>
    </r>
  </si>
  <si>
    <r>
      <t xml:space="preserve">D&amp;A </t>
    </r>
    <r>
      <rPr>
        <b/>
        <sz val="9.1999999999999993"/>
        <color rgb="FFFF0000"/>
        <rFont val="Arial"/>
        <family val="2"/>
      </rPr>
      <t>pre AASB16</t>
    </r>
  </si>
  <si>
    <r>
      <t>Operating costs</t>
    </r>
    <r>
      <rPr>
        <b/>
        <sz val="9.1999999999999993"/>
        <color rgb="FFFF0000"/>
        <rFont val="Arial"/>
        <family val="2"/>
      </rPr>
      <t xml:space="preserve"> </t>
    </r>
    <r>
      <rPr>
        <b/>
        <sz val="9.1999999999999993"/>
        <color rgb="FF0000FF"/>
        <rFont val="Arial"/>
        <family val="2"/>
      </rPr>
      <t>post AASB16</t>
    </r>
  </si>
  <si>
    <r>
      <t xml:space="preserve">EBITDA </t>
    </r>
    <r>
      <rPr>
        <b/>
        <sz val="9.1999999999999993"/>
        <color rgb="FF0000FF"/>
        <rFont val="Arial"/>
        <family val="2"/>
      </rPr>
      <t>post AASB16</t>
    </r>
  </si>
  <si>
    <r>
      <t xml:space="preserve">D&amp;A </t>
    </r>
    <r>
      <rPr>
        <b/>
        <sz val="9.1999999999999993"/>
        <color rgb="FF0000FF"/>
        <rFont val="Arial"/>
        <family val="2"/>
      </rPr>
      <t>post AASB16</t>
    </r>
  </si>
  <si>
    <t>margin %</t>
  </si>
  <si>
    <t>NPAT (30% tax rate)</t>
  </si>
  <si>
    <t>1H25</t>
  </si>
  <si>
    <t>`</t>
  </si>
  <si>
    <t>2024Q4</t>
  </si>
  <si>
    <t>2024FY</t>
  </si>
  <si>
    <t>2023Q4</t>
  </si>
  <si>
    <t>2024Q2</t>
  </si>
  <si>
    <t>2023FY</t>
  </si>
  <si>
    <t>Rev_e&amp;s</t>
  </si>
  <si>
    <t>1H26</t>
  </si>
  <si>
    <t>2H25</t>
  </si>
  <si>
    <t>2028e</t>
  </si>
  <si>
    <t>FY28e</t>
  </si>
  <si>
    <t>2025a</t>
  </si>
  <si>
    <t>e&amp;s_SEG_EBIT</t>
  </si>
  <si>
    <t xml:space="preserve">1 Austin Road West </t>
  </si>
  <si>
    <t xml:space="preserve">Kowloon </t>
  </si>
  <si>
    <t xml:space="preserve">Hong Kong </t>
  </si>
  <si>
    <t>Tel: +852 2848 5200</t>
  </si>
  <si>
    <t>Authors: Melinda Baxter,Mac Ross</t>
  </si>
  <si>
    <t>Date: 17 Feb 2026</t>
  </si>
  <si>
    <t>Ticker: JBH.AX</t>
  </si>
  <si>
    <t>Stock Rating: Underweight</t>
  </si>
  <si>
    <t>Industry: Australia Consumer</t>
  </si>
  <si>
    <t>Industry View: In-Line</t>
  </si>
  <si>
    <t>Price as of 17 Feb 2026: 88.58</t>
  </si>
  <si>
    <t>Target Price: 75.40</t>
  </si>
  <si>
    <t>e = Morgan Stanley Research estimates unless otherwise noted</t>
  </si>
  <si>
    <t>Source: Morgan Stanley Research unless otherwise noted</t>
  </si>
  <si>
    <t>Stocks ratings are relative to the analyst's industry coverage universe.</t>
  </si>
  <si>
    <t>Morgan Stanley does and seeks to do business with companies covered in Morgan Stanley Research. As a</t>
  </si>
  <si>
    <t>result, investors should be aware that the firm may have a conflict of interest that could affect the</t>
  </si>
  <si>
    <t>objectivity of Morgan Stanley Research. Investors should consider Morgan Stanley Research as only a</t>
  </si>
  <si>
    <t>single factor in making their investment decision.</t>
  </si>
  <si>
    <t>The information and opinions in Morgan Stanley Research were prepared or are disseminated by Morgan</t>
  </si>
  <si>
    <t>Stanley Asia Limited (which accepts the responsibility for its contents) and/or Morgan Stanley Asia</t>
  </si>
  <si>
    <t>(Singapore) Pte. (Registration number 199206298Z) and/or Morgan Stanley Asia (Singapore) Securities Pte</t>
  </si>
  <si>
    <t>Ltd (Registration number 200008434H), regulated by the Monetary Authority of Singapore (which accepts</t>
  </si>
  <si>
    <t>legal responsibility for its contents and should be contacted with respect to any matters arising from,</t>
  </si>
  <si>
    <t>or in connection with, Morgan Stanley Research), and/or Morgan Stanley Taiwan Limited and/or Morgan</t>
  </si>
  <si>
    <t>Stanley &amp; Co International plc, Seoul Branch, and/or Morgan Stanley Australia Limited (A.B.N. 67 003 734</t>
  </si>
  <si>
    <t>576, holder of Australian financial services license No. 233742, which accepts responsibility for its</t>
  </si>
  <si>
    <t>contents), and/or Morgan Stanley Wealth Management Australia Pty Ltd (A.B.N. 19 009 145 555, holder of</t>
  </si>
  <si>
    <t>Australian financial services license No. 240813, which accepts responsibility for its contents), and/or</t>
  </si>
  <si>
    <t>Morgan Stanley India Company Private Limited having Corporate Identification No (CIN)</t>
  </si>
  <si>
    <t>U22990MH1998PTC115305, regulated by the Securities and Exchange Board of India (“SEBI”) and holder of</t>
  </si>
  <si>
    <t>licenses as a Research Analyst (SEBI Registration No. INH000001105); Stock Broker (SEBI Stock Broker</t>
  </si>
  <si>
    <t>Registration No. INZ000244438), Merchant Banker (SEBI Registration No. INM000011203), and depository</t>
  </si>
  <si>
    <t>participant with National Securities Depository Limited (SEBI Registration No. IN-DP-NSDL-567-2021)</t>
  </si>
  <si>
    <t>having registered office at Altimus, Level 39 &amp; 40, Pandurang Budhkar Marg, Worli, Mumbai 400018, India;</t>
  </si>
  <si>
    <t>Telephone no. +91-22-61181000; Compliance Officer Details: Mr. Tejarshi Hardas, Tel. No.:</t>
  </si>
  <si>
    <t>+91-22-61181000 or Email: tejarshi.hardas@morganstanley.com; Grievance officer details: Mr. Tejarshi</t>
  </si>
  <si>
    <t>Hardas, Tel. No.: +91-22-61181000 or Email: msic-compliance@morganstanley.com which accepts the</t>
  </si>
  <si>
    <t>responsibility for its contents and should be contacted with respect to any matters arising from, or in</t>
  </si>
  <si>
    <t>connection with, Morgan Stanley Research, and their affiliates (collectively, "Morgan Stanley"). Morgan</t>
  </si>
  <si>
    <t>Stanley India Company Private Limited (MSICPL) may use AI tools in providing research services. All</t>
  </si>
  <si>
    <t>recommendations contained herein are made by the duly qualified research analysts.</t>
  </si>
  <si>
    <t>For important disclosures, stock price charts and equity rating histories regarding companies that are</t>
  </si>
  <si>
    <t>the subject of this report, please see the Morgan Stanley Research Disclosure Website at</t>
  </si>
  <si>
    <t>www.morganstanley.com/eqr/disclosures/webapp/generalresearch, or contact your investment representative</t>
  </si>
  <si>
    <t>or Morgan Stanley Research at 1585 Broadway, (Attention: Research Management), New York, NY, 10036 USA.</t>
  </si>
  <si>
    <t>For valuation methodology and risks associated with any recommendation, rating or price target</t>
  </si>
  <si>
    <t>referenced in this research report, please contact the Client Support Team as follows: US/Canada +1 800</t>
  </si>
  <si>
    <t>303-2495; Hong Kong +852 2848-5999; Latin America +1 718 754-5444 (U.S.); London +44 (0)20-7425-8169;</t>
  </si>
  <si>
    <t>Singapore +65 6834-6860; Sydney +61 (0)2-9770-1505; Tokyo +81 (0)3-6836-9000. Alternatively you may</t>
  </si>
  <si>
    <t>contact your investment representative or Morgan Stanley Research at 1585 Broadway, (Attention: Research</t>
  </si>
  <si>
    <t>Management), New York, NY 10036 USA.</t>
  </si>
  <si>
    <t>The following analysts hereby certify that their views about the companies and their securities</t>
  </si>
  <si>
    <t>discussed in this report are accurately expressed and that they have not received and will not receive</t>
  </si>
  <si>
    <t>direct or indirect compensation in exchange for expressing specific recommendations or views in this</t>
  </si>
  <si>
    <t>report: Melinda K Baxter.</t>
  </si>
  <si>
    <t>Morgan Stanley Research has been published in accordance with our conflict management policy, which is</t>
  </si>
  <si>
    <t>available at www.morganstanley.com/institutional/research/conflictpolicies. A Portuguese version of the</t>
  </si>
  <si>
    <t>policy can be found at www.morganstanley.com.br</t>
  </si>
  <si>
    <t>Important Regulatory Disclosures on Subject Companies</t>
  </si>
  <si>
    <t>As of January 30, 2026, Morgan Stanley beneficially owned 1% or more of a class of common equity</t>
  </si>
  <si>
    <t>securities of the following companies covered in Morgan Stanley Research: JB Hi-Fi Ltd.</t>
  </si>
  <si>
    <t>The equity research analysts or strategists principally responsible for the preparation of Morgan</t>
  </si>
  <si>
    <t>Stanley Research have received compensation based upon various factors, including quality of research,</t>
  </si>
  <si>
    <t>investor client feedback, stock picking, competitive factors, firm revenues and overall investment</t>
  </si>
  <si>
    <t>banking revenues. Equity Research analysts' or strategists' compensation is not linked to investment</t>
  </si>
  <si>
    <t>banking or capital markets transactions performed by Morgan Stanley or the profitability or revenues of</t>
  </si>
  <si>
    <t>particular trading desks.</t>
  </si>
  <si>
    <t>Morgan Stanley and its affiliates do business that relates to companies/instruments covered in Morgan</t>
  </si>
  <si>
    <t>Stanley Research, including market making, providing liquidity, fund management, commercial banking,</t>
  </si>
  <si>
    <t>extension of credit, investment services and investment banking. Morgan Stanley sells to and buys from</t>
  </si>
  <si>
    <t>customers the securities/instruments of companies covered in Morgan Stanley Research on a principal</t>
  </si>
  <si>
    <t>basis. Morgan Stanley may have a position in the debt of the Company or instruments discussed in this</t>
  </si>
  <si>
    <t>report. Morgan Stanley trades or may trade as principal in the debt securities (or in related</t>
  </si>
  <si>
    <t>derivatives) that are the subject of the debt research report.</t>
  </si>
  <si>
    <t>Certain disclosures listed above are also for compliance with applicable regulations in non-US</t>
  </si>
  <si>
    <t>jurisdictions.</t>
  </si>
  <si>
    <t>Morgan Stanley uses a relative rating system using terms such as Overweight, Equal-weight, Not-Rated or</t>
  </si>
  <si>
    <t>Underweight (see definitions below). Morgan Stanley does not assign ratings of Buy, Hold or Sell to the</t>
  </si>
  <si>
    <t>stocks we cover. Overweight, Equal-weight, Not-Rated and Underweight are not the equivalent of buy, hold</t>
  </si>
  <si>
    <t>and sell. Investors should carefully read the definitions of all ratings used in Morgan Stanley</t>
  </si>
  <si>
    <t>Research. In addition, since Morgan Stanley Research contains more complete information concerning the</t>
  </si>
  <si>
    <t>analyst's views, investors should carefully read Morgan Stanley Research, in its entirety, and not infer</t>
  </si>
  <si>
    <t>the contents from the rating alone. In any case, ratings (or research) should not be used or relied</t>
  </si>
  <si>
    <t>upon as investment advice. An investor's decision to buy or sell a stock should depend on individual</t>
  </si>
  <si>
    <t>circumstances (such as the investor's existing holdings) and other considerations.</t>
  </si>
  <si>
    <t>(as of January 31, 2026)</t>
  </si>
  <si>
    <t>The Stock Ratings described below apply to Morgan Stanley's Fundamental Equity Research and do not apply</t>
  </si>
  <si>
    <t>to Debt Research produced by the Firm.</t>
  </si>
  <si>
    <t>For disclosure purposes only (in accordance with FINRA requirements), we include the category headings</t>
  </si>
  <si>
    <t>of Buy, Hold, and Sell alongside our ratings of Overweight, Equal-weight, Not-Rated and Underweight.</t>
  </si>
  <si>
    <t>Morgan Stanley does not assign ratings of Buy, Hold or Sell to the stocks we cover. Overweight,</t>
  </si>
  <si>
    <t>Equal-weight, Not-Rated and Underweight are not the equivalent of buy, hold, and sell but represent</t>
  </si>
  <si>
    <t>recommended relative weightings (see definitions below). To satisfy regulatory requirements, we</t>
  </si>
  <si>
    <t>correspond Overweight, our most positive stock rating, with a buy recommendation; we correspond</t>
  </si>
  <si>
    <t>Equal-weight and Not-Rated to hold and Underweight to sell recommendations, respectively.</t>
  </si>
  <si>
    <t>Coverage Universe</t>
  </si>
  <si>
    <t>Investment Banking Clients (IBC)</t>
  </si>
  <si>
    <t>Other Material Investment Services Clients (MISC)</t>
  </si>
  <si>
    <t>Stock Rating Category</t>
  </si>
  <si>
    <t>Count</t>
  </si>
  <si>
    <t>% of Total</t>
  </si>
  <si>
    <t>% of Total IBC</t>
  </si>
  <si>
    <t>% of Rating Category</t>
  </si>
  <si>
    <t>% of Total Other MISC</t>
  </si>
  <si>
    <t>Overweight/Buy</t>
  </si>
  <si>
    <t>Equal-weight/Hold</t>
  </si>
  <si>
    <t>Not-Rated/Hold</t>
  </si>
  <si>
    <t>Underweight/Sell</t>
  </si>
  <si>
    <t>Data include common stock and ADRs currently assigned ratings. Investment Banking Clients are companies</t>
  </si>
  <si>
    <t>from whom Morgan Stanley received investment banking compensation in the last 12 months. Due to rounding</t>
  </si>
  <si>
    <t>off of decimals, the percentages provided in the "% of total" column may not add up to exactly 100</t>
  </si>
  <si>
    <t>percent.</t>
  </si>
  <si>
    <t>Overweight (O). The stock's total return is expected to exceed the average total return of the analyst's</t>
  </si>
  <si>
    <t>industry (or industry team's) coverage universe, on a risk-adjusted basis, over the next 12-18 months.</t>
  </si>
  <si>
    <t>Equal-weight (E). The stock's total return is expected to be in line with the average total return of</t>
  </si>
  <si>
    <t>the analyst's industry (or industry team's) coverage universe, on a risk-adjusted basis, over the next</t>
  </si>
  <si>
    <t>12-18 months.</t>
  </si>
  <si>
    <t>Not-Rated (NR). Currently the analyst does not have adequate conviction about the stock's total return</t>
  </si>
  <si>
    <t>relative to the average total return of the analyst's industry (or industry team's) coverage universe,</t>
  </si>
  <si>
    <t>on a risk-adjusted basis, over the next 12-18 months.</t>
  </si>
  <si>
    <t>Underweight (U). The stock's total return is expected to be below the average total return of the</t>
  </si>
  <si>
    <t>analyst's industry (or industry team's) coverage universe, on a risk-adjusted basis, over the next 12-18</t>
  </si>
  <si>
    <t>months.</t>
  </si>
  <si>
    <t>Unless otherwise specified, the time frame for price targets included in Morgan Stanley Research is 12</t>
  </si>
  <si>
    <t>to 18 months.</t>
  </si>
  <si>
    <t>Attractive (A): The analyst expects the performance of his or her industry coverage universe over the</t>
  </si>
  <si>
    <t>next 12-18 months to be attractive vs. the relevant broad market benchmark, as indicated below.</t>
  </si>
  <si>
    <t>In-Line (I): The analyst expects the performance of his or her industry coverage universe over the next</t>
  </si>
  <si>
    <t>12-18 months to be in line with the relevant broad market benchmark, as indicated below.</t>
  </si>
  <si>
    <t>Cautious (C): The analyst views the performance of his or her industry coverage universe over the next</t>
  </si>
  <si>
    <t>12-18 months with caution vs. the relevant broad market benchmark, as indicated below.</t>
  </si>
  <si>
    <t>Benchmarks for each region are as follows: North America - S&amp;P 500; Latin America - relevant MSCI</t>
  </si>
  <si>
    <t>country index or MSCI Latin America Index; Europe - MSCI Europe; Japan - TOPIX; Asia - relevant MSCI</t>
  </si>
  <si>
    <t>country index or MSCI sub-regional index or MSCI AC Asia Pacific ex Japan Index.</t>
  </si>
  <si>
    <t>Important disclosures regarding any material conflict of interest that can reasonably be expected to</t>
  </si>
  <si>
    <t>have influenced Morgan Stanley Smith Barney LLC's choice of a third-party research provider or the</t>
  </si>
  <si>
    <t>subject company of a third-party research report, are available on the Morgan Stanley Wealth Management</t>
  </si>
  <si>
    <t>disclosure website at www.morganstanley.com/online/researchdisclosures. For Morgan Stanley specific</t>
  </si>
  <si>
    <t>disclosures, you may refer to https://www.morganstanley.com/eqr/disclosures/webapp/generalresearch.</t>
  </si>
  <si>
    <t>Each Morgan Stanley research report is reviewed and approved on behalf of Morgan Stanley Smith Barney</t>
  </si>
  <si>
    <t>LLC. This review and approval is conducted by the same person who reviews the research report on behalf</t>
  </si>
  <si>
    <t>of Morgan Stanley. This could create a conflict of interest.</t>
  </si>
  <si>
    <t>Morgan Stanley Research policy is to update research reports as and when the Research Analyst and</t>
  </si>
  <si>
    <t>Research Management deem appropriate, based on developments with the issuer, the sector, or the market</t>
  </si>
  <si>
    <t>that may have a material impact on the research views or opinions stated therein. In addition, certain</t>
  </si>
  <si>
    <t>Research publications are intended to be updated on a regular periodic basis</t>
  </si>
  <si>
    <t>(weekly/monthly/quarterly/annual) and will ordinarily be updated with that frequency, unless the</t>
  </si>
  <si>
    <t>Research Analyst and Research Management determine that a different publication schedule is appropriate</t>
  </si>
  <si>
    <t>based on current conditions.</t>
  </si>
  <si>
    <t>Morgan Stanley is not acting as a municipal advisor and the opinions or views contained herein are not</t>
  </si>
  <si>
    <t>intended to be, and do not constitute, advice within the meaning of Section 975 of the Dodd-Frank Wall</t>
  </si>
  <si>
    <t>Street Reform and Consumer Protection Act.</t>
  </si>
  <si>
    <t>Morgan Stanley produces an equity research product called a "Tactical Idea." Views contained in a</t>
  </si>
  <si>
    <t>"Tactical Idea" on a particular stock may be contrary to the recommendations or views expressed in</t>
  </si>
  <si>
    <t>research on the same stock. This may be the result of differing time horizons, methodologies, market</t>
  </si>
  <si>
    <t>events, or other factors. For all research available on a particular stock, please contact your sales</t>
  </si>
  <si>
    <t>representative or go to Matrix at http://www.morganstanley.com/matrix.</t>
  </si>
  <si>
    <t>Morgan Stanley Research is provided to our clients through our proprietary research portal on Matrix and</t>
  </si>
  <si>
    <t>also distributed electronically by Morgan Stanley to clients. Certain, but not all, Morgan Stanley</t>
  </si>
  <si>
    <t>Research products are also made available to clients through third-party vendors or redistributed to</t>
  </si>
  <si>
    <t>clients through alternate electronic means as a convenience. For access to all available Morgan Stanley</t>
  </si>
  <si>
    <t>Research, please contact your sales representative or go to Matrix at</t>
  </si>
  <si>
    <t>http://www.morganstanley.com/matrix.</t>
  </si>
  <si>
    <t>Any access and/or use of Morgan Stanley Research is subject to Morgan Stanley's Terms of Use</t>
  </si>
  <si>
    <t>(http://www.morganstanley.com/terms.html). By accessing and/or using Morgan Stanley Research, you are</t>
  </si>
  <si>
    <t>indicating that you have read and agree to be bound by our Terms of Use</t>
  </si>
  <si>
    <t>(http://www.morganstanley.com/terms.html). In addition you consent to Morgan Stanley processing your</t>
  </si>
  <si>
    <t>personal data and using cookies in accordance with our Privacy Policy and our Global Cookies Policy</t>
  </si>
  <si>
    <t>(http://www.morganstanley.com/privacy_pledge.html), including for the purposes of setting your</t>
  </si>
  <si>
    <t>preferences and to collect readership data so that we can deliver better and more personalized service</t>
  </si>
  <si>
    <t>and products to you. To find out more information about how Morgan Stanley processes personal data, how</t>
  </si>
  <si>
    <t>we use cookies and how to reject cookies see our Privacy Policy and our Global Cookies Policy</t>
  </si>
  <si>
    <t>(http://www.morganstanley.com/privacy_pledge.html). Please use the provided link to review the Terms and</t>
  </si>
  <si>
    <t>Conditions and Most Important Terms and Conditions for Morgan Stanley India Company Private Limited</t>
  </si>
  <si>
    <t>(https://www.morganstanley.com/assets/pdfs/about-us-global-offices/india/Terms_and_conditions.pdf) and</t>
  </si>
  <si>
    <t>the following link to review the audit report</t>
  </si>
  <si>
    <t>(https://www.morganstanley.com/assets/pdfs/about-us-global-offices/india/Research_Audit_Report.pdf).</t>
  </si>
  <si>
    <t>If you do not agree to our Terms of Use and/or if you do not wish to provide your consent to Morgan</t>
  </si>
  <si>
    <t>Stanley processing your personal data or using cookies please do not access our research.</t>
  </si>
  <si>
    <t>Morgan Stanley Research does not provide individually tailored investment advice. Morgan Stanley</t>
  </si>
  <si>
    <t>Research has been prepared without regard to the circumstances and objectives of those who receive it.</t>
  </si>
  <si>
    <t>Morgan Stanley recommends that investors independently evaluate particular investments and strategies,</t>
  </si>
  <si>
    <t>and encourages investors to seek the advice of a financial adviser. The appropriateness of an investment</t>
  </si>
  <si>
    <t>or strategy will depend on an investor's circumstances and objectives. The securities, instruments, or</t>
  </si>
  <si>
    <t>strategies discussed in Morgan Stanley Research may not be suitable for all investors, and certain</t>
  </si>
  <si>
    <t>investors may not be eligible to purchase or participate in some or all of them. Morgan Stanley Research</t>
  </si>
  <si>
    <t>is not an offer to buy or sell or the solicitation of an offer to buy or sell any security/instrument or</t>
  </si>
  <si>
    <t>to participate in any particular trading strategy. The value of and income from your investments may</t>
  </si>
  <si>
    <t>vary because of changes in interest rates, foreign exchange rates, default rates, prepayment rates,</t>
  </si>
  <si>
    <t>securities/instruments prices, market indexes, operational or financial conditions of companies or other</t>
  </si>
  <si>
    <t>factors. There may be time limitations on the exercise of options or other rights in</t>
  </si>
  <si>
    <t>securities/instruments transactions. Past performance is not necessarily a guide to future performance.</t>
  </si>
  <si>
    <t>Estimates of future performance are based on assumptions that may not be realized. If provided, and</t>
  </si>
  <si>
    <t>unless otherwise stated, the closing price on the cover page is that of the primary exchange for the</t>
  </si>
  <si>
    <t>subject company's securities/instruments.</t>
  </si>
  <si>
    <t>The fixed income research analysts, strategists or economists principally responsible for the</t>
  </si>
  <si>
    <t>preparation of Morgan Stanley Research have received compensation based upon various factors, including</t>
  </si>
  <si>
    <t>quality, accuracy and value of research, firm profitability or revenues (which include fixed income</t>
  </si>
  <si>
    <t>trading and capital markets profitability or revenues), client feedback and competitive factors. Fixed</t>
  </si>
  <si>
    <t>Income Research analysts', strategists' or economists' compensation is not linked to investment banking</t>
  </si>
  <si>
    <t>or capital markets transactions performed by Morgan Stanley or the profitability or revenues of</t>
  </si>
  <si>
    <t>The "Important Regulatory Disclosures on Subject Companies" section in Morgan Stanley Research lists all</t>
  </si>
  <si>
    <t>companies mentioned where Morgan Stanley owns 1% or more of a class of common equity securities of the</t>
  </si>
  <si>
    <t>companies. For all other companies mentioned in Morgan Stanley Research, Morgan Stanley may have an</t>
  </si>
  <si>
    <t>investment of less than 1% in securities/instruments or derivatives of securities/instruments of</t>
  </si>
  <si>
    <t>companies and may trade them in ways different from those discussed in Morgan Stanley Research.</t>
  </si>
  <si>
    <t>Employees of Morgan Stanley not involved in the preparation of Morgan Stanley Research may have</t>
  </si>
  <si>
    <t>investments in securities/instruments or derivatives of securities/instruments of companies mentioned</t>
  </si>
  <si>
    <t>and may trade them in ways different from those discussed in Morgan Stanley Research. Derivatives may be</t>
  </si>
  <si>
    <t>issued by Morgan Stanley or associated persons.</t>
  </si>
  <si>
    <t>With the exception of information regarding Morgan Stanley, Morgan Stanley Research is based on public</t>
  </si>
  <si>
    <t>information. Morgan Stanley makes every effort to use reliable, comprehensive information, but we make</t>
  </si>
  <si>
    <t>no representation that it is accurate or complete. We have no obligation to tell you when opinions or</t>
  </si>
  <si>
    <t>information in Morgan Stanley Research change apart from when we intend to discontinue equity research</t>
  </si>
  <si>
    <t>coverage of a subject company. Facts and views presented in Morgan Stanley Research have not been</t>
  </si>
  <si>
    <t>reviewed by, and may not reflect information known to, professionals in other Morgan Stanley business</t>
  </si>
  <si>
    <t>areas, including investment banking personnel.</t>
  </si>
  <si>
    <t>Morgan Stanley Research personnel may participate in company events such as site visits and are</t>
  </si>
  <si>
    <t>generally prohibited from accepting payment by the company of associated expenses unless pre-approved by</t>
  </si>
  <si>
    <t>authorized members of Research management.</t>
  </si>
  <si>
    <t>Morgan Stanley may make investment decisions that are inconsistent with the recommendations or views in</t>
  </si>
  <si>
    <t>this report.</t>
  </si>
  <si>
    <t>To our readers based in Taiwan or trading in Taiwan securities/instruments: Information on</t>
  </si>
  <si>
    <t>securities/instruments that trade in Taiwan is distributed by Morgan Stanley Taiwan Limited ("MSTL").</t>
  </si>
  <si>
    <t>Such information is for your reference only. The reader should independently evaluate the investment</t>
  </si>
  <si>
    <t>risks and is solely responsible for their investment decisions. Morgan Stanley Research may not be</t>
  </si>
  <si>
    <t>distributed to the public media or quoted or used by the public media without the express written</t>
  </si>
  <si>
    <t>consent of Morgan Stanley. Any non-customer reader within the scope of Article 7-1 of the Taiwan Stock</t>
  </si>
  <si>
    <t>Exchange Recommendation Regulations accessing and/or receiving Morgan Stanley Research is not permitted</t>
  </si>
  <si>
    <t>to provide Morgan Stanley Research to any third party (including but not limited to related parties,</t>
  </si>
  <si>
    <t>affiliated companies and any other third parties) or engage in any activities regarding Morgan Stanley</t>
  </si>
  <si>
    <t>Research which may create or give the appearance of creating a conflict of interest. Information on</t>
  </si>
  <si>
    <t>securities/instruments that do not trade in Taiwan is for informational purposes only and is not to be</t>
  </si>
  <si>
    <t>construed as a recommendation or a solicitation to trade in such securities/instruments. MSTL may not</t>
  </si>
  <si>
    <t>execute transactions for clients in these securities/instruments.</t>
  </si>
  <si>
    <t>Certain information in Morgan Stanley Research was sourced by employees of the Shanghai Representative</t>
  </si>
  <si>
    <t>Office of Morgan Stanley Asia Limited for the use of Morgan Stanley Asia Limited.</t>
  </si>
  <si>
    <t>Morgan Stanley is not incorporated under PRC law and the research in relation to this report is</t>
  </si>
  <si>
    <t>conducted outside the PRC. Morgan Stanley Research does not constitute an offer to sell or the</t>
  </si>
  <si>
    <t>solicitation of an offer to buy any securities in the PRC. PRC investors shall have the relevant</t>
  </si>
  <si>
    <t>qualifications to invest in such securities and shall be responsible for obtaining all relevant</t>
  </si>
  <si>
    <t>approvals, licenses, verifications and/or registrations from the relevant governmental authorities</t>
  </si>
  <si>
    <t>themselves. Neither this report nor any part of it is intended as, or shall constitute, provision of any</t>
  </si>
  <si>
    <t>consultancy or advisory service of securities investment as defined under PRC law. Such information is</t>
  </si>
  <si>
    <t>provided for your reference only.</t>
  </si>
  <si>
    <t>Morgan Stanley Research is disseminated in Brazil by Morgan Stanley C.T.V.M. S.A. located at Av.</t>
  </si>
  <si>
    <t>Brigadeiro Faria Lima, 3600, 6th floor, São Paulo - SP, Brazil; and is regulated by the Comissão de</t>
  </si>
  <si>
    <t>Valores Mobiliários; in Mexico by Morgan Stanley México, Casa de Bolsa, S.A. de C.V which is regulated</t>
  </si>
  <si>
    <t>by Comision Nacional Bancaria y de Valores. Paseo de los Tamarindos 90, Torre 1, Col. Bosques de las</t>
  </si>
  <si>
    <t>Lomas Floor 29, 05120 Mexico City; in Japan by Morgan Stanley MUFG Securities Co., Ltd. and, for</t>
  </si>
  <si>
    <t>Commodities related research reports only, Morgan Stanley Capital Group Japan Co., Ltd; in Hong Kong by</t>
  </si>
  <si>
    <t>Morgan Stanley Asia Limited (which accepts responsibility for its contents) and by Morgan Stanley Bank</t>
  </si>
  <si>
    <t>Asia Limited; in Singapore by Morgan Stanley Asia (Singapore) Pte. (Registration number 199206298Z)</t>
  </si>
  <si>
    <t>and/or Morgan Stanley Asia (Singapore) Securities Pte Ltd (Registration number 200008434H), regulated by</t>
  </si>
  <si>
    <t>the Monetary Authority of Singapore (which accepts legal responsibility for its contents and should be</t>
  </si>
  <si>
    <t>contacted with respect to any matters arising from, or in connection with, Morgan Stanley Research) and</t>
  </si>
  <si>
    <t>by Morgan Stanley Bank Asia Limited, Singapore Branch (Registration number T14FC0118J); in Australia to</t>
  </si>
  <si>
    <t>"wholesale clients" within the meaning of the Australian Corporations Act by Morgan Stanley Australia</t>
  </si>
  <si>
    <t>Limited A.B.N. 67 003 734 576, holder of Australian financial services license No. 233742, which accepts</t>
  </si>
  <si>
    <t>responsibility for its contents; in Australia to "wholesale clients" and "retail clients" within the</t>
  </si>
  <si>
    <t>meaning of the Australian Corporations Act by Morgan Stanley Wealth Management Australia Pty Ltd (A.B.N.</t>
  </si>
  <si>
    <t>19 009 145 555, holder of Australian financial services license No. 240813, which accepts responsibility</t>
  </si>
  <si>
    <t>for its contents; in Korea by Morgan Stanley &amp; Co International plc, Seoul Branch; in India by Morgan</t>
  </si>
  <si>
    <t>Stanley India Company Private Limited having Corporate Identification No (CIN) U22990MH1998PTC115305,</t>
  </si>
  <si>
    <t>regulated by the Securities and Exchange Board of India (“SEBI”) and holder of licenses as a Research</t>
  </si>
  <si>
    <t>Analyst (SEBI Registration No. INH000001105); Stock Broker (SEBI Stock Broker Registration No.</t>
  </si>
  <si>
    <t>INZ000244438), Merchant Banker (SEBI Registration No. INM000011203), and depository participant with</t>
  </si>
  <si>
    <t>National Securities Depository Limited (SEBI Registration No. IN-DP-NSDL-567-2021) having registered</t>
  </si>
  <si>
    <t>office at Altimus, Level 39 &amp; 40, Pandurang Budhkar Marg, Worli, Mumbai 400018, India; Telephone no.</t>
  </si>
  <si>
    <t>+91-22-61181000; Compliance Officer Details: Mr. Tejarshi Hardas, Tel. No.: +91-22-61181000 or Email:</t>
  </si>
  <si>
    <t>tejarshi.hardas@morganstanley.com; Grievance officer details: Mr. Tejarshi Hardas, Tel. No.:</t>
  </si>
  <si>
    <t>+91-22-61181000 or Email: msic-compliance@morganstanley.com. Morgan Stanley India Company Private</t>
  </si>
  <si>
    <t>Limited (MSICPL) may use AI tools in providing research services. All recommendations contained herein</t>
  </si>
  <si>
    <t>are made by the duly qualified research analysts; in Canada by Morgan Stanley Canada Limited; in Germany</t>
  </si>
  <si>
    <t>and the European Economic Area where required by Morgan Stanley Europe S.E., authorised and regulated by</t>
  </si>
  <si>
    <t>Bundesanstalt fuer Finanzdienstleistungsaufsicht (BaFin) under the reference number 149169; in the US by</t>
  </si>
  <si>
    <t>Morgan Stanley &amp; Co. LLC, which accepts responsibility for its contents. Morgan Stanley &amp; Co.</t>
  </si>
  <si>
    <t>International plc, authorized by the Prudential Regulation Authority and regulated by the Financial</t>
  </si>
  <si>
    <t>Conduct Authority and the Prudential Regulation Authority, disseminates in the UK research that it has</t>
  </si>
  <si>
    <t>prepared, and research which has been prepared by any of its affiliates, only to persons who (i) are</t>
  </si>
  <si>
    <t>investment professionals falling within Article 19(5) of the Financial Services and Markets Act 2000</t>
  </si>
  <si>
    <t>(Financial Promotion) Order 2005 (as amended, the “Order”); (ii) are persons who are high net worth</t>
  </si>
  <si>
    <t>entities falling within Article 49(2)(a) to (d) of the Order; or (iii) are persons to whom an invitation</t>
  </si>
  <si>
    <t>or inducement to engage in investment activity (within the meaning of section 21 of the Financial</t>
  </si>
  <si>
    <t>Services and Markets Act 2000, as amended) may otherwise lawfully be communicated or caused to be</t>
  </si>
  <si>
    <t>communicated. RMB Morgan Stanley Proprietary Limited is a member of the JSE Limited and A2X (Pty) Ltd.</t>
  </si>
  <si>
    <t>RMB Morgan Stanley Proprietary Limited is a joint venture owned equally by Morgan Stanley International</t>
  </si>
  <si>
    <t>Holdings Inc. and RMB Investment Advisory (Proprietary) Limited, which is wholly owned by FirstRand</t>
  </si>
  <si>
    <t>Limited. The information in Morgan Stanley Research is being disseminated by Morgan Stanley Saudi</t>
  </si>
  <si>
    <t>Arabia, regulated by the Capital Market Authority in the Kingdom of Saudi Arabia, and is directed at</t>
  </si>
  <si>
    <t>Sophisticated investors only.</t>
  </si>
  <si>
    <t>The information in Morgan Stanley Research is being communicated by Morgan Stanley &amp; Co. International</t>
  </si>
  <si>
    <t>plc (DIFC Branch), regulated by the Dubai Financial Services Authority (the DFSA) or by Morgan Stanley &amp;</t>
  </si>
  <si>
    <t>Co. International plc (ADGM Branch), regulated by the Financial Services Regulatory Authority Abu Dhabi</t>
  </si>
  <si>
    <t>(the FSRA), and is directed at Professional Clients only, as defined by the DFSA or the FSRA,</t>
  </si>
  <si>
    <t>respectively. The financial products or financial services to which this research relates will only be</t>
  </si>
  <si>
    <t>made available to a customer who we are satisfied meets the regulatory criteria of a Professional</t>
  </si>
  <si>
    <t>Client. A distribution of the different MS Research ratings or recommendations, in percentage terms for</t>
  </si>
  <si>
    <t>Investments in each sector covered, is available upon request from your sales representative.</t>
  </si>
  <si>
    <t>plc (QFC Branch), regulated by the Qatar Financial Centre Regulatory Authority (the QFCRA), and is</t>
  </si>
  <si>
    <t>directed at business customers and market counterparties only and is not intended for Retail Customers</t>
  </si>
  <si>
    <t>as defined by the QFCRA.</t>
  </si>
  <si>
    <t>As required by the Capital Markets Board of Turkey, investment information, comments and recommendations</t>
  </si>
  <si>
    <t>stated here, are not within the scope of investment advisory activity. Investment advisory service is</t>
  </si>
  <si>
    <t>provided exclusively to persons based on their risk and income preferences by the authorized firms.</t>
  </si>
  <si>
    <t>Comments and recommendations stated here are general in nature. These opinions may not fit to your</t>
  </si>
  <si>
    <t>financial status, risk and return preferences. For this reason, to make an investment decision by</t>
  </si>
  <si>
    <t>relying solely to this information stated here may not bring about outcomes that fit your expectations.</t>
  </si>
  <si>
    <t>The trademarks and service marks contained in Morgan Stanley Research are the property of their</t>
  </si>
  <si>
    <t>respective owners. Third-party data providers make no warranties or representations relating to the</t>
  </si>
  <si>
    <t>accuracy, completeness, or timeliness of the data they provide and shall not have liability for any</t>
  </si>
  <si>
    <t>damages relating to such data. The Global Industry Classification Standard (GICS) was developed by and</t>
  </si>
  <si>
    <t>is the exclusive property of MSCI and S&amp;P.</t>
  </si>
  <si>
    <t>Morgan Stanley Research, or any portion thereof may not be reprinted, sold or redistributed without the</t>
  </si>
  <si>
    <t>written consent of Morgan Stanley.</t>
  </si>
  <si>
    <t>Indicators and trackers referenced in Morgan Stanley Research may not be used as, or treated as, a</t>
  </si>
  <si>
    <t>benchmark under Regulation EU 2016/1011, or any other similar framework.</t>
  </si>
  <si>
    <t>The issuers and/or fixed income products recommended or discussed in certain fixed income research</t>
  </si>
  <si>
    <t>reports may not be continuously followed. Accordingly, investors should regard those fixed income</t>
  </si>
  <si>
    <t>research reports as providing stand-alone analysis and should not expect continuing analysis or</t>
  </si>
  <si>
    <t>additional reports relating to such issuers and/or individual fixed income products.</t>
  </si>
  <si>
    <t>Morgan Stanley may hold, from time to time, material financial and commercial interests regarding the</t>
  </si>
  <si>
    <t>company subject to the Research report.</t>
  </si>
  <si>
    <t>Registration granted by SEBI and certification from the National Institute of Securities Markets (NISM)</t>
  </si>
  <si>
    <t>in no way guarantee performance of the intermediary or provide any assurance of returns to investors.</t>
  </si>
  <si>
    <t>Investment in securities market are subject to market risks. Read all the related documents carefully</t>
  </si>
  <si>
    <t>before investing.</t>
  </si>
  <si>
    <t>© Copyright 2026 Morgan Stanley</t>
  </si>
  <si>
    <t>MacroVersion</t>
  </si>
  <si>
    <t>6.10</t>
  </si>
  <si>
    <t>PublishDate</t>
  </si>
  <si>
    <t>02/17/26 10:56</t>
  </si>
  <si>
    <t>Discipline</t>
  </si>
  <si>
    <t>Research</t>
  </si>
  <si>
    <t>ResearchTopic</t>
  </si>
  <si>
    <t>Company</t>
  </si>
  <si>
    <t>DocType</t>
  </si>
  <si>
    <t>Model</t>
  </si>
  <si>
    <t>SubjectCode</t>
  </si>
  <si>
    <t>Description</t>
  </si>
  <si>
    <t>JB Hi-Fi Ltd</t>
  </si>
  <si>
    <t>KeepVersions</t>
  </si>
  <si>
    <t>All</t>
  </si>
  <si>
    <t>Rating</t>
  </si>
  <si>
    <t>Underweight / In-Line</t>
  </si>
  <si>
    <t>CurrYearTotalRevenue*</t>
  </si>
  <si>
    <t>CurrYearEPS*</t>
  </si>
  <si>
    <t>NextYearTotalRevenue*</t>
  </si>
  <si>
    <t>NextYearEPS*</t>
  </si>
  <si>
    <t>FollowingYearTotalRevenue*</t>
  </si>
  <si>
    <t>FollowingYearEPS*</t>
  </si>
  <si>
    <t>5YearGrowthRate</t>
  </si>
  <si>
    <t>UpdateReason</t>
  </si>
  <si>
    <t>Regular Update</t>
  </si>
  <si>
    <t>Authors</t>
  </si>
  <si>
    <t>MSA1B249, MSA34MGN</t>
  </si>
  <si>
    <t>Tickers</t>
  </si>
  <si>
    <t>CUSIP</t>
  </si>
  <si>
    <t>RIC</t>
  </si>
  <si>
    <t>SEDOL</t>
  </si>
  <si>
    <t>Current Stock Price</t>
  </si>
  <si>
    <t>88.58</t>
  </si>
  <si>
    <t>Currency</t>
  </si>
  <si>
    <t>PathName</t>
  </si>
  <si>
    <t>L:\USERS\Retail\JBH\Model\JBH_model_working_Daloopa_updated_memory update_WORKING.xlsx</t>
  </si>
  <si>
    <t>Distribution</t>
  </si>
  <si>
    <t>0</t>
  </si>
  <si>
    <t>Deleted</t>
  </si>
  <si>
    <t>NO</t>
  </si>
  <si>
    <t>EmailAlert</t>
  </si>
  <si>
    <t>YES</t>
  </si>
  <si>
    <t>CurrQtrEPS</t>
  </si>
  <si>
    <t>CYEnd</t>
  </si>
  <si>
    <t>CQEnd</t>
  </si>
  <si>
    <t>CurrYearTotalRevenueActual*</t>
  </si>
  <si>
    <t>NextYearTotalRevenueActual*</t>
  </si>
  <si>
    <t>FollowingYearTotalRevenueActual*</t>
  </si>
  <si>
    <t>Multiplier</t>
  </si>
  <si>
    <t>1000000</t>
  </si>
  <si>
    <t>TemplateRegion</t>
  </si>
  <si>
    <t>AsiaPacific</t>
  </si>
  <si>
    <t>ObjectType</t>
  </si>
  <si>
    <t>excel</t>
  </si>
  <si>
    <t>LanguageCode</t>
  </si>
  <si>
    <t>en-US</t>
  </si>
  <si>
    <t>SubmitterUserId</t>
  </si>
  <si>
    <t>macr</t>
  </si>
  <si>
    <t>IndustryId</t>
  </si>
  <si>
    <t>1900000411</t>
  </si>
  <si>
    <t>TickerRegion</t>
  </si>
  <si>
    <t>5</t>
  </si>
  <si>
    <t>AdditionalInstructions</t>
  </si>
  <si>
    <t>*Estimated</t>
  </si>
  <si>
    <t>OwnerTeam</t>
  </si>
  <si>
    <t>I1607280526</t>
  </si>
  <si>
    <t>[BRO MSA]</t>
  </si>
  <si>
    <t>[DOCDAT 2026-02-17]</t>
  </si>
  <si>
    <t>[DOCTIME 10:56]</t>
  </si>
  <si>
    <t>[PSYM JBH.AX(Reuters) (None)]</t>
  </si>
  <si>
    <t>[COU Australia]</t>
  </si>
  <si>
    <t>[PRODUCT MODEL]</t>
  </si>
  <si>
    <t>[ANA MSA34MGN]</t>
  </si>
  <si>
    <t>[HL JBH.AX Model]</t>
  </si>
  <si>
    <t>[IND Consumer]</t>
  </si>
  <si>
    <t>[EMAIL_ALERT YES]</t>
  </si>
  <si>
    <t>[PANA  MSA1B249]</t>
  </si>
  <si>
    <t>[DISCIPLINE Company]</t>
  </si>
  <si>
    <t>[SUPPRESSED NO]</t>
  </si>
  <si>
    <t>This workbook contains formulas which intentionally use circular reference calculation. These calculations can be resolved as intended by the originating analyst by applying the following settings in the File &gt;&gt; Options &gt;&gt; Formulas:</t>
  </si>
  <si>
    <t>1) Select the Enable iterative calculation check box</t>
  </si>
  <si>
    <t>2) Set Maximum Iterations = 100</t>
  </si>
  <si>
    <t>3) Set Maximum Change = 0.001</t>
  </si>
  <si>
    <t>Failure to apply these settings can result in incorrect calculation or unexpected termination of your Microsoft Excel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</si>
</sst>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0.0"/>
    <numFmt numFmtId="166" formatCode="0.0%"/>
    <numFmt numFmtId="167" formatCode="#,##0.0;\(#,##0.0\)"/>
    <numFmt numFmtId="168" formatCode="_(* #,##0_);_(* \(#,##0\);_(* &quot;-&quot;??_);_(@_)"/>
    <numFmt numFmtId="169" formatCode="_(* #,##0.0_);_(* \(#,##0.0\);_(* &quot;-&quot;??_);_(@_)"/>
    <numFmt numFmtId="170" formatCode="0.0\x"/>
    <numFmt numFmtId="171" formatCode="_-* #,##0_-;\-* #,##0_-;_-* &quot;-&quot;??_-;_-@_-"/>
    <numFmt numFmtId="172" formatCode="#,##0.0_);\(#,##0.0\)"/>
    <numFmt numFmtId="173" formatCode="#,##0.0"/>
    <numFmt numFmtId="174" formatCode="_-* #,##0.0_-;\-* #,##0.0_-;_-* &quot;-&quot;??_-;_-@_-"/>
    <numFmt numFmtId="175" formatCode="0.000"/>
    <numFmt numFmtId="176" formatCode="#,##0.000000;\(#,##0.000000\)"/>
    <numFmt numFmtId="177" formatCode="#,##0.00&quot; e&quot;;\(#,##0.00\)&quot; e&quot;"/>
    <numFmt numFmtId="178" formatCode="#,##0&quot;&quot;;\(#,##0\)&quot;&quot;"/>
    <numFmt numFmtId="179" formatCode="#,##0.00&quot;&quot;;\(#,##0.00\)&quot;&quot;"/>
    <numFmt numFmtId="180" formatCode="_(* #,##0.000_);_(* \(#,##0.000\);_(* &quot;-&quot;??_);_(@_)"/>
    <numFmt numFmtId="181" formatCode="_(* #,##0.000000_);_(* \(#,##0.000000\);_(* &quot;-&quot;??_);_(@_)"/>
    <numFmt numFmtId="182" formatCode="_(* #,##0.0000_);_(* \(#,##0.0000\);_(* &quot;-&quot;??_);_(@_)"/>
    <numFmt numFmtId="183" formatCode="#,##0.000"/>
    <numFmt numFmtId="184" formatCode="#,##0.0\x"/>
    <numFmt numFmtId="196" formatCode="0.000%"/>
    <numFmt numFmtId="197" formatCode="_-* #,##0.00000_-;\-* #,##0.00000_-;_-* &quot;-&quot;??_-;_-@_-"/>
    <numFmt numFmtId="198" formatCode="_(* #,##0.0_);_(* \(#,##0.0\);_(* &quot;-&quot;?_);_(@_)"/>
    <numFmt numFmtId="199" formatCode="_ * #,##0.00_ ;_ * \-#,##0.00_ ;_ * &quot;-&quot;??_ ;_ @_ "/>
    <numFmt numFmtId="205" formatCode="0.000000%"/>
  </numFmts>
  <fonts count="111"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color indexed="18"/>
      <name val="Arial"/>
      <family val="2"/>
    </font>
    <font>
      <sz val="8"/>
      <color indexed="62"/>
      <name val="Arial"/>
      <family val="2"/>
    </font>
    <font>
      <sz val="7.5"/>
      <color indexed="10"/>
      <name val="Arial"/>
      <family val="2"/>
    </font>
    <font>
      <sz val="7.5"/>
      <name val="Arial"/>
      <family val="2"/>
    </font>
    <font>
      <b/>
      <sz val="8"/>
      <color indexed="18"/>
      <name val="Arial"/>
      <family val="2"/>
    </font>
    <font>
      <sz val="7"/>
      <color indexed="10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i/>
      <sz val="8"/>
      <color indexed="18"/>
      <name val="Arial"/>
      <family val="2"/>
    </font>
    <font>
      <b/>
      <i/>
      <sz val="8"/>
      <name val="Arial"/>
      <family val="2"/>
    </font>
    <font>
      <i/>
      <sz val="8"/>
      <color indexed="8"/>
      <name val="Arial"/>
      <family val="2"/>
    </font>
    <font>
      <b/>
      <sz val="8"/>
      <color indexed="10"/>
      <name val="Arial"/>
      <family val="2"/>
    </font>
    <font>
      <i/>
      <sz val="7.5"/>
      <name val="Arial"/>
      <family val="2"/>
    </font>
    <font>
      <sz val="7.5"/>
      <color indexed="1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i/>
      <sz val="8"/>
      <color indexed="16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color indexed="8"/>
      <name val="Times New Roman"/>
      <family val="1"/>
    </font>
    <font>
      <sz val="10"/>
      <name val="Geneva"/>
    </font>
    <font>
      <sz val="9"/>
      <name val="Times New Roman"/>
      <family val="1"/>
    </font>
    <font>
      <sz val="10"/>
      <color indexed="8"/>
      <name val="Times New Roman"/>
      <family val="1"/>
    </font>
    <font>
      <i/>
      <sz val="8"/>
      <name val="Times New Roman"/>
      <family val="1"/>
    </font>
    <font>
      <sz val="12"/>
      <name val="뼻뮝"/>
      <family val="1"/>
      <charset val="129"/>
    </font>
    <font>
      <b/>
      <sz val="8"/>
      <color indexed="12"/>
      <name val="Arial"/>
      <family val="2"/>
    </font>
    <font>
      <b/>
      <sz val="8"/>
      <color indexed="23"/>
      <name val="Arial"/>
      <family val="2"/>
    </font>
    <font>
      <sz val="8"/>
      <color indexed="23"/>
      <name val="Arial"/>
      <family val="2"/>
    </font>
    <font>
      <i/>
      <sz val="8"/>
      <color indexed="23"/>
      <name val="Arial"/>
      <family val="2"/>
    </font>
    <font>
      <sz val="8"/>
      <name val="BTSans Light"/>
    </font>
    <font>
      <sz val="10"/>
      <name val="ITC Garamond"/>
    </font>
    <font>
      <sz val="8"/>
      <color indexed="8"/>
      <name val="Arial"/>
      <family val="2"/>
    </font>
    <font>
      <b/>
      <sz val="8"/>
      <name val="Arial"/>
      <family val="2"/>
    </font>
    <font>
      <sz val="8"/>
      <color indexed="20"/>
      <name val="Arial"/>
      <family val="2"/>
    </font>
    <font>
      <i/>
      <sz val="8"/>
      <color indexed="12"/>
      <name val="Arial"/>
      <family val="2"/>
    </font>
    <font>
      <i/>
      <sz val="8"/>
      <color indexed="17"/>
      <name val="Arial"/>
      <family val="2"/>
    </font>
    <font>
      <sz val="8"/>
      <color indexed="17"/>
      <name val="Arial"/>
      <family val="2"/>
    </font>
    <font>
      <sz val="8"/>
      <color indexed="48"/>
      <name val="Arial"/>
      <family val="2"/>
    </font>
    <font>
      <sz val="8"/>
      <color indexed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indexed="9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8"/>
      <color indexed="10"/>
      <name val="Arial"/>
      <family val="2"/>
    </font>
    <font>
      <i/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7.5"/>
      <color indexed="10"/>
      <name val="Arial"/>
      <family val="2"/>
    </font>
    <font>
      <b/>
      <sz val="7.5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color indexed="20"/>
      <name val="Arial"/>
      <family val="2"/>
    </font>
    <font>
      <b/>
      <sz val="8"/>
      <color indexed="62"/>
      <name val="Arial"/>
      <family val="2"/>
    </font>
    <font>
      <u/>
      <sz val="8"/>
      <name val="Arial"/>
      <family val="2"/>
    </font>
    <font>
      <sz val="8"/>
      <color indexed="10"/>
      <name val="Arial"/>
      <family val="2"/>
    </font>
    <font>
      <u/>
      <sz val="10"/>
      <color indexed="9"/>
      <name val="Arial"/>
      <family val="2"/>
    </font>
    <font>
      <b/>
      <sz val="8"/>
      <color indexed="12"/>
      <name val="Arial"/>
      <family val="2"/>
    </font>
    <font>
      <i/>
      <sz val="8"/>
      <color indexed="10"/>
      <name val="Arial"/>
      <family val="2"/>
    </font>
    <font>
      <sz val="10"/>
      <color indexed="9"/>
      <name val="Arial"/>
      <family val="2"/>
    </font>
    <font>
      <sz val="8"/>
      <color indexed="10"/>
      <name val="Arial"/>
      <family val="2"/>
    </font>
    <font>
      <b/>
      <u/>
      <sz val="10"/>
      <name val="Arial"/>
      <family val="2"/>
    </font>
    <font>
      <sz val="10"/>
      <name val="Helv"/>
      <charset val="204"/>
    </font>
    <font>
      <sz val="12"/>
      <name val="바탕체"/>
      <family val="3"/>
    </font>
    <font>
      <sz val="8"/>
      <color rgb="FFFF0000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b/>
      <sz val="8"/>
      <color rgb="FFFF000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i/>
      <sz val="8"/>
      <color rgb="FFFF0000"/>
      <name val="Arial"/>
      <family val="2"/>
    </font>
    <font>
      <b/>
      <i/>
      <sz val="8"/>
      <color rgb="FF0000FF"/>
      <name val="Arial"/>
      <family val="2"/>
    </font>
    <font>
      <sz val="8"/>
      <color rgb="FF002060"/>
      <name val="Arial"/>
      <family val="2"/>
    </font>
    <font>
      <sz val="8"/>
      <color rgb="FF0000CC"/>
      <name val="Arial"/>
      <family val="2"/>
    </font>
    <font>
      <b/>
      <sz val="8"/>
      <color rgb="FF0000CC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Roboto Condensed"/>
    </font>
    <font>
      <sz val="10"/>
      <name val="Roboto Condensed"/>
    </font>
    <font>
      <b/>
      <sz val="10"/>
      <name val="Roboto Condensed"/>
    </font>
    <font>
      <sz val="10"/>
      <color theme="0"/>
      <name val="Roboto Condensed"/>
    </font>
    <font>
      <sz val="10"/>
      <color indexed="23"/>
      <name val="Roboto Condensed"/>
    </font>
    <font>
      <sz val="10"/>
      <color indexed="8"/>
      <name val="Roboto Condensed"/>
    </font>
    <font>
      <sz val="10"/>
      <color indexed="12"/>
      <name val="Roboto Condensed"/>
    </font>
    <font>
      <i/>
      <sz val="8"/>
      <color theme="1"/>
      <name val="Arial"/>
      <family val="2"/>
    </font>
    <font>
      <b/>
      <i/>
      <sz val="8"/>
      <color theme="1"/>
      <name val="Arial"/>
      <family val="2"/>
    </font>
    <font>
      <b/>
      <sz val="9.1999999999999993"/>
      <color rgb="FFFF0000"/>
      <name val="Arial"/>
      <family val="2"/>
    </font>
    <font>
      <b/>
      <sz val="9.1999999999999993"/>
      <color rgb="FF0000FF"/>
      <name val="Arial"/>
      <family val="2"/>
    </font>
    <font>
      <sz val="10"/>
      <color theme="3" tint="0.39997558519241921"/>
      <name val="Roboto Condensed"/>
    </font>
    <font>
      <sz val="10"/>
      <color indexed="10"/>
      <name val="Roboto Condensed"/>
    </font>
    <font>
      <sz val="10"/>
      <color indexed="9"/>
      <name val="Roboto Condensed"/>
    </font>
    <font>
      <b/>
      <sz val="10"/>
      <color indexed="8"/>
      <name val="Roboto Condensed"/>
    </font>
    <font>
      <i/>
      <sz val="10"/>
      <color indexed="23"/>
      <name val="Roboto Condensed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2"/>
      <color rgb="FF000080"/>
      <name val="Arial"/>
      <family val="2"/>
    </font>
    <font>
      <sz val="14"/>
      <color rgb="FF000000"/>
      <name val="Arial"/>
      <family val="2"/>
    </font>
    <font>
      <b/>
      <u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5AA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/>
      <bottom style="medium">
        <color indexed="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/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/>
      <right style="medium">
        <color rgb="FFFF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0" fontId="3" fillId="0" borderId="0"/>
    <xf numFmtId="0" fontId="7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0" fillId="0" borderId="0"/>
    <xf numFmtId="0" fontId="31" fillId="0" borderId="0"/>
    <xf numFmtId="43" fontId="3" fillId="0" borderId="0" applyFont="0" applyFill="0" applyBorder="0" applyAlignment="0" applyProtection="0"/>
    <xf numFmtId="40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2" fillId="0" borderId="0"/>
    <xf numFmtId="0" fontId="29" fillId="0" borderId="0"/>
    <xf numFmtId="0" fontId="4" fillId="0" borderId="0"/>
    <xf numFmtId="0" fontId="3" fillId="0" borderId="0"/>
    <xf numFmtId="0" fontId="3" fillId="0" borderId="0"/>
    <xf numFmtId="0" fontId="3" fillId="0" borderId="0"/>
    <xf numFmtId="37" fontId="41" fillId="0" borderId="0" applyFont="0" applyFill="0" applyBorder="0" applyProtection="0">
      <alignment horizontal="right"/>
    </xf>
    <xf numFmtId="172" fontId="32" fillId="0" borderId="0" applyFont="0" applyFill="0" applyBorder="0" applyProtection="0">
      <alignment horizontal="right"/>
    </xf>
    <xf numFmtId="0" fontId="33" fillId="0" borderId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34" fillId="0" borderId="0"/>
    <xf numFmtId="0" fontId="34" fillId="0" borderId="1">
      <alignment horizontal="centerContinuous"/>
    </xf>
    <xf numFmtId="0" fontId="35" fillId="0" borderId="1"/>
    <xf numFmtId="0" fontId="36" fillId="0" borderId="0"/>
    <xf numFmtId="0" fontId="74" fillId="0" borderId="0"/>
    <xf numFmtId="9" fontId="2" fillId="0" borderId="0" applyFont="0" applyFill="0" applyBorder="0" applyAlignment="0" applyProtection="0"/>
    <xf numFmtId="0" fontId="105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930">
    <xf numFmtId="0" fontId="0" fillId="0" borderId="0" xfId="0"/>
    <xf numFmtId="173" fontId="4" fillId="2" borderId="0" xfId="18" applyNumberFormat="1" applyFont="1" applyFill="1" applyAlignment="1">
      <alignment horizontal="left"/>
    </xf>
    <xf numFmtId="173" fontId="4" fillId="2" borderId="0" xfId="18" applyNumberFormat="1" applyFont="1" applyFill="1" applyAlignment="1">
      <alignment horizontal="center"/>
    </xf>
    <xf numFmtId="43" fontId="6" fillId="3" borderId="0" xfId="10" applyFont="1" applyFill="1"/>
    <xf numFmtId="169" fontId="16" fillId="3" borderId="0" xfId="21" applyNumberFormat="1" applyFont="1" applyFill="1"/>
    <xf numFmtId="168" fontId="44" fillId="0" borderId="0" xfId="10" applyNumberFormat="1" applyFont="1" applyFill="1" applyBorder="1"/>
    <xf numFmtId="0" fontId="44" fillId="0" borderId="0" xfId="21" applyFont="1"/>
    <xf numFmtId="168" fontId="25" fillId="0" borderId="0" xfId="10" applyNumberFormat="1" applyFont="1" applyFill="1" applyBorder="1"/>
    <xf numFmtId="10" fontId="44" fillId="0" borderId="0" xfId="0" applyNumberFormat="1" applyFont="1"/>
    <xf numFmtId="182" fontId="4" fillId="0" borderId="0" xfId="10" applyNumberFormat="1" applyFont="1" applyFill="1" applyBorder="1" applyAlignment="1">
      <alignment horizontal="right"/>
    </xf>
    <xf numFmtId="182" fontId="4" fillId="0" borderId="0" xfId="10" applyNumberFormat="1" applyFont="1" applyFill="1" applyBorder="1"/>
    <xf numFmtId="0" fontId="4" fillId="3" borderId="0" xfId="0" applyFont="1" applyFill="1"/>
    <xf numFmtId="164" fontId="4" fillId="0" borderId="0" xfId="29" applyNumberFormat="1" applyFont="1" applyFill="1" applyBorder="1" applyAlignment="1">
      <alignment horizontal="right"/>
    </xf>
    <xf numFmtId="0" fontId="4" fillId="0" borderId="0" xfId="0" applyFont="1"/>
    <xf numFmtId="0" fontId="5" fillId="3" borderId="0" xfId="0" applyFont="1" applyFill="1" applyAlignment="1">
      <alignment horizontal="left"/>
    </xf>
    <xf numFmtId="165" fontId="5" fillId="3" borderId="0" xfId="0" applyNumberFormat="1" applyFont="1" applyFill="1"/>
    <xf numFmtId="43" fontId="5" fillId="3" borderId="0" xfId="10" applyFont="1" applyFill="1"/>
    <xf numFmtId="165" fontId="4" fillId="3" borderId="0" xfId="0" applyNumberFormat="1" applyFont="1" applyFill="1"/>
    <xf numFmtId="165" fontId="6" fillId="3" borderId="0" xfId="0" applyNumberFormat="1" applyFont="1" applyFill="1"/>
    <xf numFmtId="166" fontId="7" fillId="4" borderId="2" xfId="29" applyNumberFormat="1" applyFont="1" applyFill="1" applyBorder="1" applyAlignment="1">
      <alignment horizontal="left"/>
    </xf>
    <xf numFmtId="1" fontId="7" fillId="4" borderId="2" xfId="22" applyNumberFormat="1" applyFont="1" applyFill="1" applyBorder="1" applyAlignment="1">
      <alignment horizontal="right"/>
    </xf>
    <xf numFmtId="165" fontId="4" fillId="0" borderId="0" xfId="22" applyNumberFormat="1" applyAlignment="1">
      <alignment horizontal="left"/>
    </xf>
    <xf numFmtId="167" fontId="4" fillId="0" borderId="0" xfId="29" applyNumberFormat="1" applyFont="1" applyFill="1" applyBorder="1" applyAlignment="1">
      <alignment horizontal="right"/>
    </xf>
    <xf numFmtId="168" fontId="4" fillId="0" borderId="0" xfId="10" applyNumberFormat="1" applyFont="1" applyFill="1" applyBorder="1" applyAlignment="1">
      <alignment horizontal="right"/>
    </xf>
    <xf numFmtId="43" fontId="4" fillId="0" borderId="0" xfId="10" applyFont="1" applyFill="1" applyBorder="1"/>
    <xf numFmtId="168" fontId="4" fillId="0" borderId="0" xfId="10" applyNumberFormat="1" applyFont="1"/>
    <xf numFmtId="168" fontId="9" fillId="0" borderId="0" xfId="10" applyNumberFormat="1" applyFont="1" applyFill="1" applyBorder="1" applyAlignment="1">
      <alignment horizontal="right"/>
    </xf>
    <xf numFmtId="168" fontId="10" fillId="0" borderId="0" xfId="10" applyNumberFormat="1" applyFont="1" applyFill="1" applyBorder="1" applyAlignment="1">
      <alignment horizontal="right"/>
    </xf>
    <xf numFmtId="165" fontId="7" fillId="5" borderId="3" xfId="22" applyNumberFormat="1" applyFont="1" applyFill="1" applyBorder="1" applyAlignment="1">
      <alignment horizontal="left"/>
    </xf>
    <xf numFmtId="168" fontId="7" fillId="5" borderId="3" xfId="10" applyNumberFormat="1" applyFont="1" applyFill="1" applyBorder="1" applyAlignment="1">
      <alignment horizontal="right"/>
    </xf>
    <xf numFmtId="0" fontId="7" fillId="0" borderId="0" xfId="0" applyFont="1"/>
    <xf numFmtId="43" fontId="4" fillId="0" borderId="0" xfId="10" applyFont="1" applyFill="1" applyBorder="1" applyAlignment="1">
      <alignment horizontal="right"/>
    </xf>
    <xf numFmtId="168" fontId="7" fillId="0" borderId="0" xfId="10" applyNumberFormat="1" applyFont="1" applyFill="1" applyBorder="1" applyAlignment="1">
      <alignment horizontal="right"/>
    </xf>
    <xf numFmtId="3" fontId="7" fillId="5" borderId="3" xfId="22" applyNumberFormat="1" applyFont="1" applyFill="1" applyBorder="1" applyAlignment="1">
      <alignment horizontal="left"/>
    </xf>
    <xf numFmtId="43" fontId="11" fillId="0" borderId="0" xfId="10" applyFont="1" applyFill="1" applyBorder="1" applyAlignment="1">
      <alignment horizontal="right"/>
    </xf>
    <xf numFmtId="1" fontId="4" fillId="0" borderId="0" xfId="22" applyNumberFormat="1" applyAlignment="1">
      <alignment horizontal="right"/>
    </xf>
    <xf numFmtId="165" fontId="4" fillId="0" borderId="0" xfId="22" applyNumberFormat="1" applyAlignment="1">
      <alignment horizontal="right"/>
    </xf>
    <xf numFmtId="0" fontId="1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1" fillId="0" borderId="0" xfId="0" applyFont="1"/>
    <xf numFmtId="168" fontId="7" fillId="0" borderId="0" xfId="10" applyNumberFormat="1" applyFont="1"/>
    <xf numFmtId="165" fontId="7" fillId="4" borderId="0" xfId="22" applyNumberFormat="1" applyFont="1" applyFill="1" applyAlignment="1">
      <alignment horizontal="left"/>
    </xf>
    <xf numFmtId="165" fontId="4" fillId="4" borderId="0" xfId="22" applyNumberFormat="1" applyFill="1" applyAlignment="1">
      <alignment horizontal="left"/>
    </xf>
    <xf numFmtId="164" fontId="4" fillId="0" borderId="0" xfId="22" applyNumberFormat="1" applyAlignment="1">
      <alignment horizontal="right"/>
    </xf>
    <xf numFmtId="3" fontId="7" fillId="0" borderId="0" xfId="22" applyNumberFormat="1" applyFont="1" applyAlignment="1">
      <alignment horizontal="right"/>
    </xf>
    <xf numFmtId="3" fontId="7" fillId="0" borderId="0" xfId="0" applyNumberFormat="1" applyFont="1"/>
    <xf numFmtId="170" fontId="4" fillId="0" borderId="0" xfId="29" applyNumberFormat="1" applyFont="1" applyFill="1" applyBorder="1" applyAlignment="1">
      <alignment horizontal="right"/>
    </xf>
    <xf numFmtId="0" fontId="15" fillId="0" borderId="0" xfId="0" applyFont="1"/>
    <xf numFmtId="166" fontId="4" fillId="0" borderId="0" xfId="29" applyNumberFormat="1" applyFont="1" applyFill="1" applyBorder="1" applyAlignment="1">
      <alignment horizontal="right"/>
    </xf>
    <xf numFmtId="164" fontId="7" fillId="0" borderId="0" xfId="22" applyNumberFormat="1" applyFont="1" applyAlignment="1">
      <alignment horizontal="right"/>
    </xf>
    <xf numFmtId="168" fontId="8" fillId="0" borderId="0" xfId="10" applyNumberFormat="1" applyFont="1" applyFill="1" applyBorder="1" applyAlignment="1">
      <alignment horizontal="right"/>
    </xf>
    <xf numFmtId="168" fontId="4" fillId="0" borderId="0" xfId="10" applyNumberFormat="1" applyFont="1" applyFill="1" applyBorder="1" applyAlignment="1">
      <alignment horizontal="left"/>
    </xf>
    <xf numFmtId="43" fontId="4" fillId="0" borderId="0" xfId="10" applyFont="1" applyFill="1" applyBorder="1" applyAlignment="1">
      <alignment horizontal="left"/>
    </xf>
    <xf numFmtId="168" fontId="4" fillId="0" borderId="0" xfId="10" applyNumberFormat="1" applyFont="1" applyFill="1" applyBorder="1"/>
    <xf numFmtId="166" fontId="4" fillId="0" borderId="0" xfId="29" applyNumberFormat="1" applyFont="1" applyFill="1" applyBorder="1"/>
    <xf numFmtId="168" fontId="7" fillId="0" borderId="0" xfId="10" applyNumberFormat="1" applyFont="1" applyFill="1" applyBorder="1"/>
    <xf numFmtId="168" fontId="9" fillId="0" borderId="0" xfId="10" applyNumberFormat="1" applyFont="1" applyFill="1" applyBorder="1"/>
    <xf numFmtId="168" fontId="16" fillId="0" borderId="0" xfId="10" applyNumberFormat="1" applyFont="1" applyFill="1" applyBorder="1"/>
    <xf numFmtId="10" fontId="4" fillId="0" borderId="0" xfId="0" applyNumberFormat="1" applyFont="1"/>
    <xf numFmtId="169" fontId="7" fillId="0" borderId="0" xfId="10" applyNumberFormat="1" applyFont="1" applyFill="1" applyBorder="1" applyAlignment="1">
      <alignment horizontal="right"/>
    </xf>
    <xf numFmtId="9" fontId="8" fillId="0" borderId="0" xfId="29" applyFont="1" applyFill="1" applyBorder="1" applyAlignment="1">
      <alignment horizontal="right"/>
    </xf>
    <xf numFmtId="166" fontId="8" fillId="0" borderId="0" xfId="29" applyNumberFormat="1" applyFont="1" applyFill="1"/>
    <xf numFmtId="168" fontId="9" fillId="0" borderId="0" xfId="10" applyNumberFormat="1" applyFont="1" applyFill="1"/>
    <xf numFmtId="168" fontId="4" fillId="0" borderId="0" xfId="0" applyNumberFormat="1" applyFont="1"/>
    <xf numFmtId="44" fontId="9" fillId="0" borderId="0" xfId="15" applyFont="1" applyFill="1"/>
    <xf numFmtId="166" fontId="4" fillId="5" borderId="0" xfId="29" applyNumberFormat="1" applyFont="1" applyFill="1" applyBorder="1" applyAlignment="1">
      <alignment horizontal="left"/>
    </xf>
    <xf numFmtId="168" fontId="4" fillId="5" borderId="0" xfId="10" applyNumberFormat="1" applyFont="1" applyFill="1" applyBorder="1" applyAlignment="1">
      <alignment horizontal="right"/>
    </xf>
    <xf numFmtId="169" fontId="4" fillId="3" borderId="0" xfId="10" applyNumberFormat="1" applyFont="1" applyFill="1"/>
    <xf numFmtId="169" fontId="5" fillId="3" borderId="0" xfId="10" applyNumberFormat="1" applyFont="1" applyFill="1"/>
    <xf numFmtId="164" fontId="7" fillId="0" borderId="0" xfId="29" applyNumberFormat="1" applyFont="1" applyFill="1" applyBorder="1" applyAlignment="1">
      <alignment horizontal="right"/>
    </xf>
    <xf numFmtId="166" fontId="15" fillId="0" borderId="0" xfId="29" applyNumberFormat="1" applyFont="1"/>
    <xf numFmtId="0" fontId="21" fillId="0" borderId="0" xfId="0" applyFont="1" applyAlignment="1">
      <alignment horizontal="left"/>
    </xf>
    <xf numFmtId="0" fontId="39" fillId="0" borderId="0" xfId="21" applyFont="1"/>
    <xf numFmtId="0" fontId="4" fillId="3" borderId="0" xfId="21" applyFont="1" applyFill="1"/>
    <xf numFmtId="0" fontId="4" fillId="0" borderId="0" xfId="21" applyFont="1"/>
    <xf numFmtId="0" fontId="5" fillId="3" borderId="0" xfId="21" applyFont="1" applyFill="1" applyAlignment="1">
      <alignment horizontal="left"/>
    </xf>
    <xf numFmtId="2" fontId="6" fillId="3" borderId="0" xfId="21" applyNumberFormat="1" applyFont="1" applyFill="1"/>
    <xf numFmtId="165" fontId="6" fillId="3" borderId="0" xfId="21" applyNumberFormat="1" applyFont="1" applyFill="1"/>
    <xf numFmtId="0" fontId="4" fillId="3" borderId="4" xfId="21" applyFont="1" applyFill="1" applyBorder="1"/>
    <xf numFmtId="166" fontId="7" fillId="4" borderId="2" xfId="32" applyNumberFormat="1" applyFont="1" applyFill="1" applyBorder="1" applyAlignment="1">
      <alignment horizontal="left"/>
    </xf>
    <xf numFmtId="1" fontId="7" fillId="4" borderId="0" xfId="22" applyNumberFormat="1" applyFont="1" applyFill="1" applyAlignment="1">
      <alignment horizontal="right"/>
    </xf>
    <xf numFmtId="168" fontId="4" fillId="0" borderId="0" xfId="12" applyNumberFormat="1" applyFont="1" applyFill="1" applyBorder="1" applyAlignment="1">
      <alignment horizontal="right"/>
    </xf>
    <xf numFmtId="164" fontId="7" fillId="5" borderId="3" xfId="32" applyNumberFormat="1" applyFont="1" applyFill="1" applyBorder="1" applyAlignment="1">
      <alignment horizontal="left"/>
    </xf>
    <xf numFmtId="164" fontId="7" fillId="5" borderId="3" xfId="32" applyNumberFormat="1" applyFont="1" applyFill="1" applyBorder="1" applyAlignment="1">
      <alignment horizontal="right"/>
    </xf>
    <xf numFmtId="166" fontId="15" fillId="0" borderId="0" xfId="32" applyNumberFormat="1" applyFont="1" applyFill="1" applyBorder="1" applyAlignment="1">
      <alignment horizontal="right"/>
    </xf>
    <xf numFmtId="166" fontId="4" fillId="0" borderId="0" xfId="32" applyNumberFormat="1" applyFont="1" applyBorder="1"/>
    <xf numFmtId="0" fontId="15" fillId="0" borderId="0" xfId="21" applyFont="1"/>
    <xf numFmtId="168" fontId="7" fillId="0" borderId="0" xfId="12" applyNumberFormat="1" applyFont="1" applyFill="1" applyBorder="1" applyAlignment="1">
      <alignment horizontal="right"/>
    </xf>
    <xf numFmtId="9" fontId="15" fillId="0" borderId="0" xfId="21" applyNumberFormat="1" applyFont="1"/>
    <xf numFmtId="1" fontId="18" fillId="0" borderId="0" xfId="21" applyNumberFormat="1" applyFont="1"/>
    <xf numFmtId="166" fontId="19" fillId="0" borderId="0" xfId="32" applyNumberFormat="1" applyFont="1" applyFill="1" applyBorder="1" applyAlignment="1">
      <alignment horizontal="right"/>
    </xf>
    <xf numFmtId="164" fontId="15" fillId="0" borderId="0" xfId="21" applyNumberFormat="1" applyFont="1"/>
    <xf numFmtId="166" fontId="15" fillId="0" borderId="0" xfId="32" applyNumberFormat="1" applyFont="1" applyBorder="1"/>
    <xf numFmtId="0" fontId="38" fillId="0" borderId="0" xfId="21" applyFont="1"/>
    <xf numFmtId="0" fontId="7" fillId="0" borderId="0" xfId="21" applyFont="1"/>
    <xf numFmtId="0" fontId="19" fillId="0" borderId="0" xfId="21" applyFont="1"/>
    <xf numFmtId="166" fontId="46" fillId="0" borderId="0" xfId="32" applyNumberFormat="1" applyFont="1" applyFill="1" applyBorder="1" applyAlignment="1">
      <alignment horizontal="right"/>
    </xf>
    <xf numFmtId="164" fontId="8" fillId="0" borderId="0" xfId="32" applyNumberFormat="1" applyFont="1" applyFill="1" applyBorder="1" applyAlignment="1">
      <alignment horizontal="right"/>
    </xf>
    <xf numFmtId="171" fontId="7" fillId="5" borderId="3" xfId="12" applyNumberFormat="1" applyFont="1" applyFill="1" applyBorder="1" applyAlignment="1">
      <alignment horizontal="right"/>
    </xf>
    <xf numFmtId="174" fontId="7" fillId="5" borderId="3" xfId="12" applyNumberFormat="1" applyFont="1" applyFill="1" applyBorder="1" applyAlignment="1">
      <alignment horizontal="right"/>
    </xf>
    <xf numFmtId="166" fontId="16" fillId="0" borderId="0" xfId="32" applyNumberFormat="1" applyFont="1" applyFill="1" applyBorder="1" applyAlignment="1">
      <alignment horizontal="right"/>
    </xf>
    <xf numFmtId="0" fontId="15" fillId="0" borderId="0" xfId="21" applyFont="1" applyAlignment="1">
      <alignment horizontal="right"/>
    </xf>
    <xf numFmtId="166" fontId="4" fillId="0" borderId="0" xfId="32" applyNumberFormat="1" applyFont="1" applyFill="1" applyBorder="1"/>
    <xf numFmtId="166" fontId="47" fillId="0" borderId="0" xfId="32" applyNumberFormat="1" applyFont="1" applyFill="1" applyBorder="1" applyAlignment="1">
      <alignment horizontal="right"/>
    </xf>
    <xf numFmtId="43" fontId="48" fillId="0" borderId="0" xfId="21" applyNumberFormat="1" applyFont="1"/>
    <xf numFmtId="0" fontId="48" fillId="0" borderId="0" xfId="21" applyFont="1"/>
    <xf numFmtId="0" fontId="13" fillId="0" borderId="0" xfId="21" applyFont="1"/>
    <xf numFmtId="14" fontId="4" fillId="0" borderId="0" xfId="21" applyNumberFormat="1" applyFont="1"/>
    <xf numFmtId="43" fontId="4" fillId="0" borderId="0" xfId="21" applyNumberFormat="1" applyFont="1"/>
    <xf numFmtId="43" fontId="7" fillId="0" borderId="0" xfId="12" applyFont="1" applyFill="1" applyBorder="1" applyAlignment="1">
      <alignment horizontal="right"/>
    </xf>
    <xf numFmtId="165" fontId="4" fillId="0" borderId="0" xfId="21" applyNumberFormat="1" applyFont="1"/>
    <xf numFmtId="169" fontId="4" fillId="0" borderId="0" xfId="12" applyNumberFormat="1" applyFont="1" applyFill="1" applyBorder="1" applyAlignment="1">
      <alignment horizontal="right"/>
    </xf>
    <xf numFmtId="169" fontId="4" fillId="0" borderId="0" xfId="12" applyNumberFormat="1" applyFont="1" applyFill="1" applyBorder="1"/>
    <xf numFmtId="166" fontId="16" fillId="0" borderId="0" xfId="32" applyNumberFormat="1" applyFont="1" applyFill="1" applyBorder="1"/>
    <xf numFmtId="168" fontId="7" fillId="0" borderId="0" xfId="21" applyNumberFormat="1" applyFont="1"/>
    <xf numFmtId="166" fontId="7" fillId="0" borderId="0" xfId="32" applyNumberFormat="1" applyFont="1" applyFill="1"/>
    <xf numFmtId="166" fontId="17" fillId="0" borderId="0" xfId="32" applyNumberFormat="1" applyFont="1" applyFill="1" applyBorder="1"/>
    <xf numFmtId="166" fontId="15" fillId="0" borderId="0" xfId="32" applyNumberFormat="1" applyFont="1" applyFill="1" applyBorder="1"/>
    <xf numFmtId="168" fontId="4" fillId="0" borderId="0" xfId="12" applyNumberFormat="1" applyFont="1" applyFill="1" applyBorder="1"/>
    <xf numFmtId="164" fontId="7" fillId="0" borderId="0" xfId="21" applyNumberFormat="1" applyFont="1"/>
    <xf numFmtId="169" fontId="13" fillId="0" borderId="0" xfId="12" applyNumberFormat="1" applyFont="1" applyFill="1" applyBorder="1"/>
    <xf numFmtId="179" fontId="4" fillId="0" borderId="0" xfId="12" applyNumberFormat="1" applyFont="1" applyFill="1" applyBorder="1"/>
    <xf numFmtId="43" fontId="13" fillId="0" borderId="0" xfId="21" applyNumberFormat="1" applyFont="1"/>
    <xf numFmtId="168" fontId="7" fillId="0" borderId="0" xfId="12" applyNumberFormat="1" applyFont="1" applyFill="1" applyBorder="1"/>
    <xf numFmtId="0" fontId="4" fillId="0" borderId="0" xfId="21" applyFont="1" applyAlignment="1">
      <alignment horizontal="right"/>
    </xf>
    <xf numFmtId="169" fontId="7" fillId="0" borderId="3" xfId="10" applyNumberFormat="1" applyFont="1" applyFill="1" applyBorder="1" applyAlignment="1"/>
    <xf numFmtId="0" fontId="50" fillId="3" borderId="0" xfId="0" applyFont="1" applyFill="1" applyAlignment="1">
      <alignment horizontal="center"/>
    </xf>
    <xf numFmtId="169" fontId="50" fillId="3" borderId="0" xfId="10" applyNumberFormat="1" applyFont="1" applyFill="1" applyAlignment="1">
      <alignment horizontal="center"/>
    </xf>
    <xf numFmtId="165" fontId="50" fillId="3" borderId="0" xfId="0" applyNumberFormat="1" applyFont="1" applyFill="1" applyAlignment="1">
      <alignment horizontal="center"/>
    </xf>
    <xf numFmtId="0" fontId="39" fillId="0" borderId="0" xfId="0" applyFont="1"/>
    <xf numFmtId="0" fontId="6" fillId="3" borderId="0" xfId="18" applyFont="1" applyFill="1"/>
    <xf numFmtId="0" fontId="53" fillId="3" borderId="0" xfId="18" applyFont="1" applyFill="1"/>
    <xf numFmtId="0" fontId="53" fillId="3" borderId="5" xfId="18" applyFont="1" applyFill="1" applyBorder="1"/>
    <xf numFmtId="0" fontId="6" fillId="3" borderId="5" xfId="18" applyFont="1" applyFill="1" applyBorder="1"/>
    <xf numFmtId="0" fontId="4" fillId="2" borderId="0" xfId="0" applyFont="1" applyFill="1"/>
    <xf numFmtId="168" fontId="7" fillId="6" borderId="0" xfId="10" applyNumberFormat="1" applyFont="1" applyFill="1" applyBorder="1" applyAlignment="1">
      <alignment horizontal="right"/>
    </xf>
    <xf numFmtId="166" fontId="54" fillId="0" borderId="0" xfId="29" applyNumberFormat="1" applyFont="1" applyFill="1" applyBorder="1" applyAlignment="1">
      <alignment horizontal="right"/>
    </xf>
    <xf numFmtId="166" fontId="4" fillId="0" borderId="0" xfId="29" applyNumberFormat="1" applyFont="1" applyFill="1" applyBorder="1" applyAlignment="1"/>
    <xf numFmtId="43" fontId="55" fillId="0" borderId="0" xfId="10" applyFont="1" applyFill="1" applyBorder="1" applyAlignment="1">
      <alignment horizontal="right"/>
    </xf>
    <xf numFmtId="167" fontId="7" fillId="5" borderId="3" xfId="32" applyNumberFormat="1" applyFont="1" applyFill="1" applyBorder="1" applyAlignment="1">
      <alignment horizontal="right"/>
    </xf>
    <xf numFmtId="0" fontId="15" fillId="6" borderId="0" xfId="21" applyFont="1" applyFill="1"/>
    <xf numFmtId="0" fontId="4" fillId="6" borderId="0" xfId="21" applyFont="1" applyFill="1"/>
    <xf numFmtId="169" fontId="7" fillId="0" borderId="0" xfId="10" applyNumberFormat="1" applyFont="1" applyFill="1" applyBorder="1" applyAlignment="1"/>
    <xf numFmtId="168" fontId="4" fillId="6" borderId="0" xfId="12" applyNumberFormat="1" applyFont="1" applyFill="1" applyBorder="1"/>
    <xf numFmtId="0" fontId="4" fillId="6" borderId="0" xfId="21" applyFont="1" applyFill="1" applyAlignment="1">
      <alignment horizontal="right"/>
    </xf>
    <xf numFmtId="43" fontId="7" fillId="5" borderId="3" xfId="10" applyFont="1" applyFill="1" applyBorder="1" applyAlignment="1">
      <alignment horizontal="right"/>
    </xf>
    <xf numFmtId="180" fontId="11" fillId="0" borderId="0" xfId="10" applyNumberFormat="1" applyFont="1" applyFill="1" applyBorder="1" applyAlignment="1">
      <alignment horizontal="right"/>
    </xf>
    <xf numFmtId="0" fontId="13" fillId="6" borderId="0" xfId="21" applyFont="1" applyFill="1"/>
    <xf numFmtId="0" fontId="5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69" fontId="7" fillId="0" borderId="0" xfId="10" applyNumberFormat="1" applyFont="1"/>
    <xf numFmtId="0" fontId="60" fillId="0" borderId="0" xfId="0" applyFont="1" applyAlignment="1">
      <alignment horizontal="left"/>
    </xf>
    <xf numFmtId="166" fontId="7" fillId="0" borderId="0" xfId="32" applyNumberFormat="1" applyFont="1" applyFill="1" applyBorder="1"/>
    <xf numFmtId="168" fontId="37" fillId="0" borderId="0" xfId="10" applyNumberFormat="1" applyFont="1" applyFill="1" applyBorder="1" applyAlignment="1">
      <alignment horizontal="right"/>
    </xf>
    <xf numFmtId="166" fontId="56" fillId="6" borderId="0" xfId="32" applyNumberFormat="1" applyFont="1" applyFill="1" applyBorder="1" applyAlignment="1">
      <alignment horizontal="right"/>
    </xf>
    <xf numFmtId="166" fontId="4" fillId="6" borderId="0" xfId="32" applyNumberFormat="1" applyFont="1" applyFill="1" applyBorder="1" applyAlignment="1">
      <alignment horizontal="right"/>
    </xf>
    <xf numFmtId="43" fontId="16" fillId="3" borderId="0" xfId="21" applyNumberFormat="1" applyFont="1" applyFill="1"/>
    <xf numFmtId="168" fontId="0" fillId="0" borderId="0" xfId="10" applyNumberFormat="1" applyFont="1"/>
    <xf numFmtId="165" fontId="7" fillId="7" borderId="3" xfId="22" applyNumberFormat="1" applyFont="1" applyFill="1" applyBorder="1" applyAlignment="1">
      <alignment horizontal="left"/>
    </xf>
    <xf numFmtId="168" fontId="7" fillId="7" borderId="3" xfId="10" applyNumberFormat="1" applyFont="1" applyFill="1" applyBorder="1" applyAlignment="1">
      <alignment horizontal="right"/>
    </xf>
    <xf numFmtId="169" fontId="7" fillId="7" borderId="3" xfId="10" applyNumberFormat="1" applyFont="1" applyFill="1" applyBorder="1" applyAlignment="1">
      <alignment horizontal="right"/>
    </xf>
    <xf numFmtId="3" fontId="7" fillId="6" borderId="3" xfId="22" applyNumberFormat="1" applyFont="1" applyFill="1" applyBorder="1" applyAlignment="1">
      <alignment horizontal="left"/>
    </xf>
    <xf numFmtId="166" fontId="66" fillId="0" borderId="0" xfId="29" applyNumberFormat="1" applyFont="1" applyFill="1" applyBorder="1" applyAlignment="1">
      <alignment horizontal="right"/>
    </xf>
    <xf numFmtId="3" fontId="39" fillId="0" borderId="0" xfId="0" applyNumberFormat="1" applyFont="1" applyAlignment="1">
      <alignment horizontal="left"/>
    </xf>
    <xf numFmtId="180" fontId="7" fillId="7" borderId="3" xfId="10" applyNumberFormat="1" applyFont="1" applyFill="1" applyBorder="1" applyAlignment="1">
      <alignment horizontal="right"/>
    </xf>
    <xf numFmtId="3" fontId="4" fillId="0" borderId="0" xfId="18" applyNumberFormat="1" applyFont="1" applyAlignment="1">
      <alignment horizontal="left"/>
    </xf>
    <xf numFmtId="173" fontId="4" fillId="0" borderId="0" xfId="18" applyNumberFormat="1" applyFont="1" applyAlignment="1">
      <alignment horizontal="center"/>
    </xf>
    <xf numFmtId="3" fontId="7" fillId="0" borderId="0" xfId="18" applyNumberFormat="1" applyFont="1" applyAlignment="1">
      <alignment horizontal="left"/>
    </xf>
    <xf numFmtId="9" fontId="4" fillId="0" borderId="0" xfId="29" applyFont="1" applyFill="1" applyAlignment="1">
      <alignment horizontal="left"/>
    </xf>
    <xf numFmtId="9" fontId="4" fillId="0" borderId="0" xfId="29" applyFont="1" applyAlignment="1">
      <alignment horizontal="right"/>
    </xf>
    <xf numFmtId="166" fontId="4" fillId="0" borderId="0" xfId="29" applyNumberFormat="1" applyFont="1" applyFill="1" applyAlignment="1">
      <alignment horizontal="left"/>
    </xf>
    <xf numFmtId="173" fontId="4" fillId="0" borderId="0" xfId="18" applyNumberFormat="1" applyFont="1" applyAlignment="1">
      <alignment horizontal="left"/>
    </xf>
    <xf numFmtId="173" fontId="4" fillId="0" borderId="0" xfId="18" quotePrefix="1" applyNumberFormat="1" applyFont="1" applyAlignment="1">
      <alignment horizontal="left"/>
    </xf>
    <xf numFmtId="173" fontId="4" fillId="0" borderId="0" xfId="18" applyNumberFormat="1" applyFont="1" applyAlignment="1">
      <alignment horizontal="right"/>
    </xf>
    <xf numFmtId="173" fontId="4" fillId="0" borderId="0" xfId="29" applyNumberFormat="1" applyFont="1" applyFill="1" applyAlignment="1">
      <alignment horizontal="left"/>
    </xf>
    <xf numFmtId="184" fontId="4" fillId="0" borderId="0" xfId="18" applyNumberFormat="1" applyFont="1" applyAlignment="1">
      <alignment horizontal="left"/>
    </xf>
    <xf numFmtId="173" fontId="4" fillId="0" borderId="3" xfId="18" applyNumberFormat="1" applyFont="1" applyBorder="1" applyAlignment="1">
      <alignment horizontal="left"/>
    </xf>
    <xf numFmtId="173" fontId="7" fillId="0" borderId="3" xfId="18" applyNumberFormat="1" applyFont="1" applyBorder="1" applyAlignment="1">
      <alignment horizontal="left"/>
    </xf>
    <xf numFmtId="173" fontId="4" fillId="0" borderId="3" xfId="18" applyNumberFormat="1" applyFont="1" applyBorder="1" applyAlignment="1">
      <alignment horizontal="right"/>
    </xf>
    <xf numFmtId="173" fontId="4" fillId="0" borderId="0" xfId="18" applyNumberFormat="1" applyFont="1"/>
    <xf numFmtId="9" fontId="4" fillId="0" borderId="0" xfId="29" applyFont="1" applyAlignment="1"/>
    <xf numFmtId="173" fontId="7" fillId="9" borderId="0" xfId="18" applyNumberFormat="1" applyFont="1" applyFill="1" applyAlignment="1">
      <alignment horizontal="left"/>
    </xf>
    <xf numFmtId="173" fontId="4" fillId="9" borderId="0" xfId="18" applyNumberFormat="1" applyFont="1" applyFill="1" applyAlignment="1">
      <alignment horizontal="center"/>
    </xf>
    <xf numFmtId="173" fontId="18" fillId="0" borderId="0" xfId="18" applyNumberFormat="1" applyFont="1" applyAlignment="1">
      <alignment horizontal="left"/>
    </xf>
    <xf numFmtId="3" fontId="7" fillId="4" borderId="0" xfId="18" applyNumberFormat="1" applyFont="1" applyFill="1" applyAlignment="1">
      <alignment horizontal="left"/>
    </xf>
    <xf numFmtId="2" fontId="4" fillId="4" borderId="0" xfId="18" applyNumberFormat="1" applyFont="1" applyFill="1" applyAlignment="1">
      <alignment horizontal="center"/>
    </xf>
    <xf numFmtId="3" fontId="4" fillId="4" borderId="0" xfId="18" applyNumberFormat="1" applyFont="1" applyFill="1" applyAlignment="1">
      <alignment horizontal="center"/>
    </xf>
    <xf numFmtId="3" fontId="4" fillId="0" borderId="3" xfId="18" applyNumberFormat="1" applyFont="1" applyBorder="1" applyAlignment="1">
      <alignment horizontal="left"/>
    </xf>
    <xf numFmtId="173" fontId="7" fillId="0" borderId="3" xfId="18" applyNumberFormat="1" applyFont="1" applyBorder="1" applyAlignment="1">
      <alignment horizontal="right"/>
    </xf>
    <xf numFmtId="173" fontId="7" fillId="0" borderId="7" xfId="18" applyNumberFormat="1" applyFont="1" applyBorder="1" applyAlignment="1">
      <alignment horizontal="left"/>
    </xf>
    <xf numFmtId="3" fontId="4" fillId="0" borderId="0" xfId="18" applyNumberFormat="1" applyFont="1"/>
    <xf numFmtId="3" fontId="7" fillId="0" borderId="3" xfId="18" applyNumberFormat="1" applyFont="1" applyBorder="1"/>
    <xf numFmtId="166" fontId="4" fillId="0" borderId="7" xfId="29" applyNumberFormat="1" applyFont="1" applyBorder="1" applyAlignment="1"/>
    <xf numFmtId="166" fontId="4" fillId="0" borderId="0" xfId="29" applyNumberFormat="1" applyFont="1" applyAlignment="1"/>
    <xf numFmtId="9" fontId="7" fillId="0" borderId="0" xfId="29" applyFont="1" applyAlignment="1"/>
    <xf numFmtId="9" fontId="16" fillId="0" borderId="0" xfId="29" applyFont="1" applyAlignment="1"/>
    <xf numFmtId="3" fontId="4" fillId="4" borderId="0" xfId="18" applyNumberFormat="1" applyFont="1" applyFill="1"/>
    <xf numFmtId="166" fontId="16" fillId="0" borderId="0" xfId="29" applyNumberFormat="1" applyFont="1" applyAlignment="1"/>
    <xf numFmtId="10" fontId="16" fillId="0" borderId="0" xfId="29" applyNumberFormat="1" applyFont="1" applyAlignment="1"/>
    <xf numFmtId="10" fontId="63" fillId="0" borderId="0" xfId="29" applyNumberFormat="1" applyFont="1" applyAlignment="1"/>
    <xf numFmtId="10" fontId="7" fillId="0" borderId="0" xfId="29" applyNumberFormat="1" applyFont="1" applyAlignment="1"/>
    <xf numFmtId="173" fontId="7" fillId="0" borderId="3" xfId="18" applyNumberFormat="1" applyFont="1" applyBorder="1"/>
    <xf numFmtId="10" fontId="4" fillId="0" borderId="0" xfId="29" applyNumberFormat="1" applyFont="1" applyAlignment="1"/>
    <xf numFmtId="3" fontId="4" fillId="0" borderId="0" xfId="29" applyNumberFormat="1" applyFont="1" applyAlignment="1"/>
    <xf numFmtId="3" fontId="4" fillId="6" borderId="0" xfId="18" applyNumberFormat="1" applyFont="1" applyFill="1" applyAlignment="1">
      <alignment horizontal="left"/>
    </xf>
    <xf numFmtId="3" fontId="4" fillId="6" borderId="0" xfId="18" applyNumberFormat="1" applyFont="1" applyFill="1"/>
    <xf numFmtId="10" fontId="8" fillId="0" borderId="0" xfId="29" applyNumberFormat="1" applyFont="1" applyAlignment="1"/>
    <xf numFmtId="0" fontId="4" fillId="6" borderId="7" xfId="0" applyFont="1" applyFill="1" applyBorder="1"/>
    <xf numFmtId="173" fontId="4" fillId="6" borderId="0" xfId="18" applyNumberFormat="1" applyFont="1" applyFill="1"/>
    <xf numFmtId="166" fontId="15" fillId="0" borderId="0" xfId="29" applyNumberFormat="1" applyFont="1" applyAlignment="1"/>
    <xf numFmtId="9" fontId="15" fillId="0" borderId="0" xfId="29" applyFont="1" applyFill="1" applyAlignment="1">
      <alignment horizontal="left"/>
    </xf>
    <xf numFmtId="10" fontId="15" fillId="0" borderId="0" xfId="29" applyNumberFormat="1" applyFont="1" applyAlignment="1"/>
    <xf numFmtId="175" fontId="15" fillId="0" borderId="0" xfId="10" applyNumberFormat="1" applyFont="1" applyAlignment="1"/>
    <xf numFmtId="173" fontId="15" fillId="0" borderId="0" xfId="18" applyNumberFormat="1" applyFont="1" applyAlignment="1">
      <alignment horizontal="left"/>
    </xf>
    <xf numFmtId="169" fontId="4" fillId="6" borderId="0" xfId="10" applyNumberFormat="1" applyFont="1" applyFill="1" applyAlignment="1"/>
    <xf numFmtId="166" fontId="15" fillId="0" borderId="0" xfId="29" applyNumberFormat="1" applyFont="1" applyFill="1" applyBorder="1" applyAlignment="1">
      <alignment horizontal="right"/>
    </xf>
    <xf numFmtId="169" fontId="7" fillId="6" borderId="0" xfId="10" applyNumberFormat="1" applyFont="1" applyFill="1" applyBorder="1" applyAlignment="1">
      <alignment horizontal="right"/>
    </xf>
    <xf numFmtId="168" fontId="7" fillId="6" borderId="0" xfId="12" applyNumberFormat="1" applyFont="1" applyFill="1" applyBorder="1" applyAlignment="1">
      <alignment horizontal="right"/>
    </xf>
    <xf numFmtId="0" fontId="7" fillId="6" borderId="0" xfId="21" applyFont="1" applyFill="1"/>
    <xf numFmtId="168" fontId="4" fillId="0" borderId="0" xfId="10" applyNumberFormat="1" applyFont="1" applyFill="1"/>
    <xf numFmtId="168" fontId="7" fillId="7" borderId="3" xfId="10" applyNumberFormat="1" applyFont="1" applyFill="1" applyBorder="1" applyAlignment="1">
      <alignment horizontal="left"/>
    </xf>
    <xf numFmtId="168" fontId="7" fillId="5" borderId="3" xfId="10" applyNumberFormat="1" applyFont="1" applyFill="1" applyBorder="1" applyAlignment="1">
      <alignment horizontal="left"/>
    </xf>
    <xf numFmtId="168" fontId="8" fillId="0" borderId="0" xfId="12" applyNumberFormat="1" applyFont="1" applyFill="1" applyBorder="1" applyAlignment="1">
      <alignment horizontal="right"/>
    </xf>
    <xf numFmtId="166" fontId="4" fillId="6" borderId="0" xfId="29" applyNumberFormat="1" applyFont="1" applyFill="1" applyBorder="1" applyAlignment="1">
      <alignment horizontal="right"/>
    </xf>
    <xf numFmtId="169" fontId="7" fillId="0" borderId="0" xfId="12" applyNumberFormat="1" applyFont="1" applyFill="1" applyBorder="1"/>
    <xf numFmtId="9" fontId="7" fillId="0" borderId="0" xfId="32" applyFont="1" applyFill="1" applyBorder="1"/>
    <xf numFmtId="0" fontId="7" fillId="8" borderId="0" xfId="18" applyFont="1" applyFill="1" applyAlignment="1">
      <alignment horizontal="right"/>
    </xf>
    <xf numFmtId="0" fontId="40" fillId="6" borderId="0" xfId="21" applyFont="1" applyFill="1"/>
    <xf numFmtId="173" fontId="4" fillId="6" borderId="0" xfId="18" applyNumberFormat="1" applyFont="1" applyFill="1" applyAlignment="1">
      <alignment horizontal="left"/>
    </xf>
    <xf numFmtId="166" fontId="4" fillId="0" borderId="0" xfId="29" applyNumberFormat="1" applyFont="1" applyBorder="1" applyAlignment="1"/>
    <xf numFmtId="166" fontId="71" fillId="0" borderId="0" xfId="29" applyNumberFormat="1" applyFont="1" applyAlignment="1"/>
    <xf numFmtId="166" fontId="15" fillId="6" borderId="0" xfId="29" applyNumberFormat="1" applyFont="1" applyFill="1" applyAlignment="1"/>
    <xf numFmtId="3" fontId="7" fillId="0" borderId="6" xfId="18" applyNumberFormat="1" applyFont="1" applyBorder="1"/>
    <xf numFmtId="166" fontId="4" fillId="6" borderId="7" xfId="29" applyNumberFormat="1" applyFont="1" applyFill="1" applyBorder="1" applyAlignment="1"/>
    <xf numFmtId="166" fontId="4" fillId="6" borderId="0" xfId="29" applyNumberFormat="1" applyFont="1" applyFill="1" applyBorder="1" applyAlignment="1"/>
    <xf numFmtId="166" fontId="4" fillId="6" borderId="0" xfId="29" applyNumberFormat="1" applyFont="1" applyFill="1" applyAlignment="1"/>
    <xf numFmtId="166" fontId="16" fillId="0" borderId="0" xfId="29" applyNumberFormat="1" applyFont="1" applyFill="1" applyAlignment="1"/>
    <xf numFmtId="43" fontId="16" fillId="0" borderId="0" xfId="10" applyFont="1" applyAlignment="1"/>
    <xf numFmtId="3" fontId="4" fillId="6" borderId="0" xfId="10" applyNumberFormat="1" applyFont="1" applyFill="1" applyAlignment="1"/>
    <xf numFmtId="3" fontId="71" fillId="6" borderId="0" xfId="10" applyNumberFormat="1" applyFont="1" applyFill="1" applyAlignment="1"/>
    <xf numFmtId="168" fontId="4" fillId="6" borderId="0" xfId="10" applyNumberFormat="1" applyFont="1" applyFill="1" applyBorder="1" applyAlignment="1"/>
    <xf numFmtId="173" fontId="7" fillId="0" borderId="0" xfId="18" applyNumberFormat="1" applyFont="1"/>
    <xf numFmtId="173" fontId="4" fillId="9" borderId="0" xfId="18" applyNumberFormat="1" applyFont="1" applyFill="1"/>
    <xf numFmtId="3" fontId="9" fillId="0" borderId="0" xfId="18" applyNumberFormat="1" applyFont="1"/>
    <xf numFmtId="3" fontId="45" fillId="0" borderId="0" xfId="18" applyNumberFormat="1" applyFont="1"/>
    <xf numFmtId="173" fontId="16" fillId="0" borderId="0" xfId="18" applyNumberFormat="1" applyFont="1"/>
    <xf numFmtId="9" fontId="9" fillId="0" borderId="0" xfId="29" applyFont="1" applyAlignment="1"/>
    <xf numFmtId="9" fontId="4" fillId="0" borderId="0" xfId="29" applyFont="1" applyBorder="1" applyAlignment="1"/>
    <xf numFmtId="169" fontId="7" fillId="0" borderId="0" xfId="12" applyNumberFormat="1" applyFont="1" applyFill="1" applyBorder="1" applyAlignment="1">
      <alignment horizontal="right"/>
    </xf>
    <xf numFmtId="169" fontId="4" fillId="0" borderId="0" xfId="10" applyNumberFormat="1" applyFont="1" applyFill="1" applyBorder="1" applyAlignment="1">
      <alignment horizontal="right"/>
    </xf>
    <xf numFmtId="169" fontId="16" fillId="0" borderId="0" xfId="10" applyNumberFormat="1" applyFont="1" applyAlignment="1"/>
    <xf numFmtId="173" fontId="16" fillId="6" borderId="0" xfId="18" applyNumberFormat="1" applyFont="1" applyFill="1"/>
    <xf numFmtId="168" fontId="16" fillId="0" borderId="0" xfId="10" applyNumberFormat="1" applyFont="1" applyAlignment="1"/>
    <xf numFmtId="168" fontId="16" fillId="0" borderId="6" xfId="10" applyNumberFormat="1" applyFont="1" applyBorder="1" applyAlignment="1"/>
    <xf numFmtId="10" fontId="4" fillId="6" borderId="0" xfId="29" applyNumberFormat="1" applyFont="1" applyFill="1" applyAlignment="1"/>
    <xf numFmtId="10" fontId="4" fillId="6" borderId="0" xfId="32" applyNumberFormat="1" applyFont="1" applyFill="1" applyBorder="1" applyAlignment="1">
      <alignment horizontal="right"/>
    </xf>
    <xf numFmtId="166" fontId="9" fillId="0" borderId="0" xfId="29" applyNumberFormat="1" applyFont="1" applyAlignment="1"/>
    <xf numFmtId="173" fontId="9" fillId="0" borderId="0" xfId="18" applyNumberFormat="1" applyFont="1"/>
    <xf numFmtId="173" fontId="4" fillId="0" borderId="0" xfId="18" quotePrefix="1" applyNumberFormat="1" applyFont="1"/>
    <xf numFmtId="0" fontId="3" fillId="0" borderId="0" xfId="0" applyFont="1"/>
    <xf numFmtId="0" fontId="6" fillId="3" borderId="0" xfId="0" applyFont="1" applyFill="1" applyAlignment="1">
      <alignment horizontal="center"/>
    </xf>
    <xf numFmtId="0" fontId="4" fillId="11" borderId="0" xfId="21" applyFont="1" applyFill="1"/>
    <xf numFmtId="168" fontId="4" fillId="12" borderId="0" xfId="10" applyNumberFormat="1" applyFont="1" applyFill="1" applyBorder="1" applyAlignment="1"/>
    <xf numFmtId="166" fontId="4" fillId="12" borderId="0" xfId="29" applyNumberFormat="1" applyFont="1" applyFill="1" applyAlignment="1"/>
    <xf numFmtId="43" fontId="4" fillId="0" borderId="0" xfId="12" applyFont="1" applyFill="1" applyBorder="1"/>
    <xf numFmtId="166" fontId="75" fillId="0" borderId="0" xfId="29" applyNumberFormat="1" applyFont="1" applyAlignment="1"/>
    <xf numFmtId="166" fontId="15" fillId="12" borderId="0" xfId="29" applyNumberFormat="1" applyFont="1" applyFill="1" applyAlignment="1"/>
    <xf numFmtId="43" fontId="16" fillId="0" borderId="0" xfId="10" applyFont="1" applyBorder="1" applyAlignment="1"/>
    <xf numFmtId="43" fontId="16" fillId="12" borderId="6" xfId="10" applyFont="1" applyFill="1" applyBorder="1" applyAlignment="1"/>
    <xf numFmtId="168" fontId="4" fillId="12" borderId="7" xfId="10" applyNumberFormat="1" applyFont="1" applyFill="1" applyBorder="1" applyAlignment="1"/>
    <xf numFmtId="168" fontId="7" fillId="12" borderId="7" xfId="10" applyNumberFormat="1" applyFont="1" applyFill="1" applyBorder="1" applyAlignment="1"/>
    <xf numFmtId="168" fontId="4" fillId="12" borderId="6" xfId="10" applyNumberFormat="1" applyFont="1" applyFill="1" applyBorder="1" applyAlignment="1">
      <alignment horizontal="left"/>
    </xf>
    <xf numFmtId="168" fontId="4" fillId="12" borderId="7" xfId="10" applyNumberFormat="1" applyFont="1" applyFill="1" applyBorder="1" applyAlignment="1">
      <alignment horizontal="left"/>
    </xf>
    <xf numFmtId="168" fontId="18" fillId="12" borderId="0" xfId="10" applyNumberFormat="1" applyFont="1" applyFill="1" applyAlignment="1"/>
    <xf numFmtId="169" fontId="75" fillId="12" borderId="0" xfId="10" applyNumberFormat="1" applyFont="1" applyFill="1" applyAlignment="1"/>
    <xf numFmtId="3" fontId="4" fillId="12" borderId="0" xfId="29" applyNumberFormat="1" applyFont="1" applyFill="1" applyBorder="1" applyAlignment="1">
      <alignment horizontal="right"/>
    </xf>
    <xf numFmtId="168" fontId="7" fillId="12" borderId="3" xfId="10" applyNumberFormat="1" applyFont="1" applyFill="1" applyBorder="1" applyAlignment="1"/>
    <xf numFmtId="173" fontId="7" fillId="0" borderId="6" xfId="18" applyNumberFormat="1" applyFont="1" applyBorder="1"/>
    <xf numFmtId="10" fontId="15" fillId="0" borderId="0" xfId="32" applyNumberFormat="1" applyFont="1" applyFill="1" applyBorder="1" applyAlignment="1">
      <alignment horizontal="right"/>
    </xf>
    <xf numFmtId="173" fontId="4" fillId="12" borderId="0" xfId="18" applyNumberFormat="1" applyFont="1" applyFill="1"/>
    <xf numFmtId="173" fontId="7" fillId="12" borderId="3" xfId="18" applyNumberFormat="1" applyFont="1" applyFill="1" applyBorder="1"/>
    <xf numFmtId="173" fontId="7" fillId="12" borderId="3" xfId="18" applyNumberFormat="1" applyFont="1" applyFill="1" applyBorder="1" applyAlignment="1">
      <alignment horizontal="right"/>
    </xf>
    <xf numFmtId="3" fontId="4" fillId="12" borderId="0" xfId="18" applyNumberFormat="1" applyFont="1" applyFill="1"/>
    <xf numFmtId="3" fontId="4" fillId="12" borderId="0" xfId="18" applyNumberFormat="1" applyFont="1" applyFill="1" applyAlignment="1">
      <alignment horizontal="right"/>
    </xf>
    <xf numFmtId="166" fontId="4" fillId="12" borderId="0" xfId="29" applyNumberFormat="1" applyFont="1" applyFill="1" applyBorder="1" applyAlignment="1"/>
    <xf numFmtId="169" fontId="4" fillId="12" borderId="0" xfId="10" applyNumberFormat="1" applyFont="1" applyFill="1" applyBorder="1" applyAlignment="1"/>
    <xf numFmtId="3" fontId="75" fillId="0" borderId="0" xfId="18" applyNumberFormat="1" applyFont="1"/>
    <xf numFmtId="166" fontId="75" fillId="12" borderId="0" xfId="29" applyNumberFormat="1" applyFont="1" applyFill="1" applyAlignment="1"/>
    <xf numFmtId="168" fontId="77" fillId="6" borderId="3" xfId="10" applyNumberFormat="1" applyFont="1" applyFill="1" applyBorder="1" applyAlignment="1">
      <alignment horizontal="right"/>
    </xf>
    <xf numFmtId="9" fontId="0" fillId="0" borderId="0" xfId="29" applyFont="1"/>
    <xf numFmtId="166" fontId="78" fillId="0" borderId="0" xfId="29" applyNumberFormat="1" applyFont="1" applyAlignment="1"/>
    <xf numFmtId="9" fontId="78" fillId="0" borderId="0" xfId="29" applyFont="1" applyAlignment="1"/>
    <xf numFmtId="166" fontId="7" fillId="12" borderId="0" xfId="29" applyNumberFormat="1" applyFont="1" applyFill="1" applyAlignment="1"/>
    <xf numFmtId="9" fontId="4" fillId="12" borderId="0" xfId="29" applyFont="1" applyFill="1" applyAlignment="1"/>
    <xf numFmtId="173" fontId="7" fillId="12" borderId="0" xfId="18" applyNumberFormat="1" applyFont="1" applyFill="1"/>
    <xf numFmtId="0" fontId="72" fillId="0" borderId="0" xfId="0" applyFont="1"/>
    <xf numFmtId="166" fontId="0" fillId="0" borderId="0" xfId="29" applyNumberFormat="1" applyFont="1"/>
    <xf numFmtId="2" fontId="4" fillId="13" borderId="0" xfId="18" applyNumberFormat="1" applyFont="1" applyFill="1" applyAlignment="1">
      <alignment horizontal="center"/>
    </xf>
    <xf numFmtId="3" fontId="4" fillId="13" borderId="0" xfId="18" applyNumberFormat="1" applyFont="1" applyFill="1" applyAlignment="1">
      <alignment horizontal="center"/>
    </xf>
    <xf numFmtId="3" fontId="4" fillId="13" borderId="0" xfId="18" applyNumberFormat="1" applyFont="1" applyFill="1"/>
    <xf numFmtId="3" fontId="79" fillId="13" borderId="0" xfId="18" applyNumberFormat="1" applyFont="1" applyFill="1" applyAlignment="1">
      <alignment horizontal="left"/>
    </xf>
    <xf numFmtId="3" fontId="75" fillId="12" borderId="0" xfId="18" applyNumberFormat="1" applyFont="1" applyFill="1"/>
    <xf numFmtId="168" fontId="7" fillId="0" borderId="0" xfId="10" applyNumberFormat="1" applyFont="1" applyAlignment="1"/>
    <xf numFmtId="3" fontId="7" fillId="12" borderId="0" xfId="18" applyNumberFormat="1" applyFont="1" applyFill="1"/>
    <xf numFmtId="10" fontId="4" fillId="12" borderId="0" xfId="29" applyNumberFormat="1" applyFont="1" applyFill="1" applyAlignment="1"/>
    <xf numFmtId="3" fontId="7" fillId="12" borderId="3" xfId="18" applyNumberFormat="1" applyFont="1" applyFill="1" applyBorder="1"/>
    <xf numFmtId="43" fontId="75" fillId="12" borderId="0" xfId="10" applyFont="1" applyFill="1" applyAlignment="1"/>
    <xf numFmtId="165" fontId="0" fillId="0" borderId="0" xfId="0" applyNumberFormat="1"/>
    <xf numFmtId="1" fontId="0" fillId="0" borderId="0" xfId="0" applyNumberFormat="1"/>
    <xf numFmtId="168" fontId="4" fillId="12" borderId="0" xfId="10" applyNumberFormat="1" applyFont="1" applyFill="1" applyBorder="1" applyAlignment="1">
      <alignment horizontal="right"/>
    </xf>
    <xf numFmtId="10" fontId="75" fillId="12" borderId="0" xfId="29" applyNumberFormat="1" applyFont="1" applyFill="1" applyAlignment="1"/>
    <xf numFmtId="43" fontId="16" fillId="0" borderId="0" xfId="18" applyNumberFormat="1" applyFont="1"/>
    <xf numFmtId="168" fontId="5" fillId="3" borderId="0" xfId="10" applyNumberFormat="1" applyFont="1" applyFill="1"/>
    <xf numFmtId="10" fontId="15" fillId="12" borderId="0" xfId="29" applyNumberFormat="1" applyFont="1" applyFill="1" applyAlignment="1"/>
    <xf numFmtId="0" fontId="7" fillId="11" borderId="0" xfId="18" applyFont="1" applyFill="1" applyAlignment="1">
      <alignment horizontal="left"/>
    </xf>
    <xf numFmtId="3" fontId="4" fillId="11" borderId="0" xfId="18" applyNumberFormat="1" applyFont="1" applyFill="1" applyAlignment="1">
      <alignment horizontal="left"/>
    </xf>
    <xf numFmtId="3" fontId="4" fillId="11" borderId="0" xfId="18" applyNumberFormat="1" applyFont="1" applyFill="1"/>
    <xf numFmtId="3" fontId="4" fillId="11" borderId="0" xfId="18" applyNumberFormat="1" applyFont="1" applyFill="1" applyAlignment="1">
      <alignment horizontal="right"/>
    </xf>
    <xf numFmtId="173" fontId="4" fillId="11" borderId="0" xfId="18" applyNumberFormat="1" applyFont="1" applyFill="1" applyAlignment="1">
      <alignment horizontal="left"/>
    </xf>
    <xf numFmtId="173" fontId="7" fillId="11" borderId="0" xfId="18" applyNumberFormat="1" applyFont="1" applyFill="1" applyAlignment="1">
      <alignment horizontal="left"/>
    </xf>
    <xf numFmtId="173" fontId="4" fillId="11" borderId="0" xfId="18" applyNumberFormat="1" applyFont="1" applyFill="1"/>
    <xf numFmtId="9" fontId="4" fillId="11" borderId="0" xfId="29" applyFont="1" applyFill="1" applyAlignment="1"/>
    <xf numFmtId="173" fontId="4" fillId="11" borderId="0" xfId="18" applyNumberFormat="1" applyFont="1" applyFill="1" applyAlignment="1">
      <alignment horizontal="right"/>
    </xf>
    <xf numFmtId="173" fontId="4" fillId="11" borderId="3" xfId="18" applyNumberFormat="1" applyFont="1" applyFill="1" applyBorder="1" applyAlignment="1">
      <alignment horizontal="left"/>
    </xf>
    <xf numFmtId="173" fontId="76" fillId="11" borderId="3" xfId="18" applyNumberFormat="1" applyFont="1" applyFill="1" applyBorder="1"/>
    <xf numFmtId="173" fontId="4" fillId="11" borderId="3" xfId="18" applyNumberFormat="1" applyFont="1" applyFill="1" applyBorder="1" applyAlignment="1">
      <alignment horizontal="right"/>
    </xf>
    <xf numFmtId="173" fontId="4" fillId="11" borderId="3" xfId="18" applyNumberFormat="1" applyFont="1" applyFill="1" applyBorder="1"/>
    <xf numFmtId="173" fontId="8" fillId="11" borderId="3" xfId="18" applyNumberFormat="1" applyFont="1" applyFill="1" applyBorder="1"/>
    <xf numFmtId="10" fontId="4" fillId="11" borderId="0" xfId="29" applyNumberFormat="1" applyFont="1" applyFill="1" applyAlignment="1"/>
    <xf numFmtId="166" fontId="75" fillId="11" borderId="0" xfId="29" applyNumberFormat="1" applyFont="1" applyFill="1" applyAlignment="1"/>
    <xf numFmtId="10" fontId="75" fillId="11" borderId="0" xfId="29" applyNumberFormat="1" applyFont="1" applyFill="1" applyAlignment="1"/>
    <xf numFmtId="166" fontId="4" fillId="11" borderId="0" xfId="29" applyNumberFormat="1" applyFont="1" applyFill="1" applyAlignment="1"/>
    <xf numFmtId="173" fontId="16" fillId="11" borderId="0" xfId="18" applyNumberFormat="1" applyFont="1" applyFill="1"/>
    <xf numFmtId="173" fontId="8" fillId="11" borderId="0" xfId="18" applyNumberFormat="1" applyFont="1" applyFill="1"/>
    <xf numFmtId="10" fontId="4" fillId="11" borderId="0" xfId="29" applyNumberFormat="1" applyFont="1" applyFill="1" applyBorder="1" applyAlignment="1"/>
    <xf numFmtId="3" fontId="7" fillId="11" borderId="0" xfId="18" applyNumberFormat="1" applyFont="1" applyFill="1" applyAlignment="1">
      <alignment horizontal="left"/>
    </xf>
    <xf numFmtId="173" fontId="4" fillId="12" borderId="0" xfId="29" applyNumberFormat="1" applyFont="1" applyFill="1" applyAlignment="1"/>
    <xf numFmtId="173" fontId="4" fillId="0" borderId="0" xfId="29" applyNumberFormat="1" applyFont="1" applyFill="1" applyBorder="1" applyAlignment="1">
      <alignment horizontal="left"/>
    </xf>
    <xf numFmtId="173" fontId="15" fillId="12" borderId="0" xfId="18" applyNumberFormat="1" applyFont="1" applyFill="1"/>
    <xf numFmtId="173" fontId="7" fillId="12" borderId="0" xfId="18" applyNumberFormat="1" applyFont="1" applyFill="1" applyAlignment="1">
      <alignment horizontal="right"/>
    </xf>
    <xf numFmtId="164" fontId="43" fillId="12" borderId="0" xfId="32" applyNumberFormat="1" applyFont="1" applyFill="1" applyBorder="1" applyAlignment="1">
      <alignment horizontal="right"/>
    </xf>
    <xf numFmtId="166" fontId="15" fillId="12" borderId="0" xfId="32" applyNumberFormat="1" applyFont="1" applyFill="1" applyBorder="1" applyAlignment="1">
      <alignment horizontal="right"/>
    </xf>
    <xf numFmtId="168" fontId="4" fillId="12" borderId="0" xfId="12" applyNumberFormat="1" applyFont="1" applyFill="1" applyBorder="1" applyAlignment="1">
      <alignment horizontal="right"/>
    </xf>
    <xf numFmtId="166" fontId="7" fillId="12" borderId="0" xfId="32" applyNumberFormat="1" applyFont="1" applyFill="1" applyBorder="1" applyAlignment="1">
      <alignment horizontal="right"/>
    </xf>
    <xf numFmtId="169" fontId="7" fillId="12" borderId="0" xfId="10" applyNumberFormat="1" applyFont="1" applyFill="1" applyBorder="1" applyAlignment="1">
      <alignment horizontal="right"/>
    </xf>
    <xf numFmtId="10" fontId="4" fillId="12" borderId="0" xfId="32" applyNumberFormat="1" applyFont="1" applyFill="1" applyBorder="1" applyAlignment="1">
      <alignment horizontal="right"/>
    </xf>
    <xf numFmtId="0" fontId="7" fillId="12" borderId="0" xfId="18" applyFont="1" applyFill="1" applyAlignment="1">
      <alignment horizontal="center"/>
    </xf>
    <xf numFmtId="173" fontId="4" fillId="12" borderId="0" xfId="18" applyNumberFormat="1" applyFont="1" applyFill="1" applyAlignment="1">
      <alignment horizontal="right"/>
    </xf>
    <xf numFmtId="173" fontId="4" fillId="12" borderId="3" xfId="18" applyNumberFormat="1" applyFont="1" applyFill="1" applyBorder="1" applyAlignment="1">
      <alignment horizontal="right"/>
    </xf>
    <xf numFmtId="0" fontId="4" fillId="12" borderId="0" xfId="21" applyFont="1" applyFill="1"/>
    <xf numFmtId="168" fontId="4" fillId="12" borderId="0" xfId="12" applyNumberFormat="1" applyFont="1" applyFill="1" applyBorder="1"/>
    <xf numFmtId="0" fontId="7" fillId="12" borderId="0" xfId="18" applyFont="1" applyFill="1" applyAlignment="1">
      <alignment horizontal="right"/>
    </xf>
    <xf numFmtId="173" fontId="4" fillId="12" borderId="3" xfId="18" applyNumberFormat="1" applyFont="1" applyFill="1" applyBorder="1"/>
    <xf numFmtId="173" fontId="16" fillId="12" borderId="0" xfId="18" applyNumberFormat="1" applyFont="1" applyFill="1"/>
    <xf numFmtId="9" fontId="16" fillId="12" borderId="0" xfId="29" applyFont="1" applyFill="1" applyAlignment="1"/>
    <xf numFmtId="0" fontId="15" fillId="12" borderId="0" xfId="21" applyFont="1" applyFill="1"/>
    <xf numFmtId="3" fontId="7" fillId="11" borderId="3" xfId="18" applyNumberFormat="1" applyFont="1" applyFill="1" applyBorder="1"/>
    <xf numFmtId="3" fontId="4" fillId="11" borderId="3" xfId="18" applyNumberFormat="1" applyFont="1" applyFill="1" applyBorder="1" applyAlignment="1">
      <alignment horizontal="left"/>
    </xf>
    <xf numFmtId="3" fontId="4" fillId="11" borderId="3" xfId="18" applyNumberFormat="1" applyFont="1" applyFill="1" applyBorder="1" applyAlignment="1">
      <alignment horizontal="right"/>
    </xf>
    <xf numFmtId="166" fontId="4" fillId="11" borderId="0" xfId="29" applyNumberFormat="1" applyFont="1" applyFill="1" applyBorder="1" applyAlignment="1"/>
    <xf numFmtId="173" fontId="7" fillId="11" borderId="3" xfId="18" applyNumberFormat="1" applyFont="1" applyFill="1" applyBorder="1"/>
    <xf numFmtId="173" fontId="7" fillId="11" borderId="3" xfId="18" applyNumberFormat="1" applyFont="1" applyFill="1" applyBorder="1" applyAlignment="1">
      <alignment horizontal="left"/>
    </xf>
    <xf numFmtId="173" fontId="7" fillId="11" borderId="3" xfId="18" applyNumberFormat="1" applyFont="1" applyFill="1" applyBorder="1" applyAlignment="1">
      <alignment horizontal="right"/>
    </xf>
    <xf numFmtId="9" fontId="4" fillId="11" borderId="0" xfId="29" applyFont="1" applyFill="1" applyAlignment="1">
      <alignment horizontal="left"/>
    </xf>
    <xf numFmtId="9" fontId="4" fillId="11" borderId="0" xfId="29" applyFont="1" applyFill="1" applyAlignment="1">
      <alignment horizontal="right"/>
    </xf>
    <xf numFmtId="10" fontId="8" fillId="11" borderId="0" xfId="29" applyNumberFormat="1" applyFont="1" applyFill="1" applyAlignment="1"/>
    <xf numFmtId="166" fontId="8" fillId="11" borderId="0" xfId="29" applyNumberFormat="1" applyFont="1" applyFill="1" applyAlignment="1">
      <alignment horizontal="left"/>
    </xf>
    <xf numFmtId="166" fontId="8" fillId="11" borderId="0" xfId="29" applyNumberFormat="1" applyFont="1" applyFill="1" applyAlignment="1">
      <alignment horizontal="right"/>
    </xf>
    <xf numFmtId="173" fontId="7" fillId="11" borderId="0" xfId="18" applyNumberFormat="1" applyFont="1" applyFill="1" applyAlignment="1">
      <alignment horizontal="right"/>
    </xf>
    <xf numFmtId="173" fontId="15" fillId="11" borderId="0" xfId="18" applyNumberFormat="1" applyFont="1" applyFill="1"/>
    <xf numFmtId="173" fontId="15" fillId="11" borderId="0" xfId="18" applyNumberFormat="1" applyFont="1" applyFill="1" applyAlignment="1">
      <alignment horizontal="left"/>
    </xf>
    <xf numFmtId="173" fontId="15" fillId="11" borderId="0" xfId="18" applyNumberFormat="1" applyFont="1" applyFill="1" applyAlignment="1">
      <alignment horizontal="right"/>
    </xf>
    <xf numFmtId="43" fontId="75" fillId="11" borderId="0" xfId="10" applyFont="1" applyFill="1" applyAlignment="1"/>
    <xf numFmtId="10" fontId="15" fillId="11" borderId="0" xfId="29" applyNumberFormat="1" applyFont="1" applyFill="1" applyAlignment="1"/>
    <xf numFmtId="9" fontId="15" fillId="11" borderId="0" xfId="29" applyFont="1" applyFill="1" applyAlignment="1">
      <alignment horizontal="left"/>
    </xf>
    <xf numFmtId="9" fontId="15" fillId="11" borderId="0" xfId="29" applyFont="1" applyFill="1" applyAlignment="1">
      <alignment horizontal="right"/>
    </xf>
    <xf numFmtId="166" fontId="15" fillId="11" borderId="0" xfId="29" applyNumberFormat="1" applyFont="1" applyFill="1" applyAlignment="1"/>
    <xf numFmtId="175" fontId="15" fillId="11" borderId="0" xfId="10" applyNumberFormat="1" applyFont="1" applyFill="1" applyAlignment="1"/>
    <xf numFmtId="166" fontId="4" fillId="11" borderId="0" xfId="29" applyNumberFormat="1" applyFont="1" applyFill="1" applyAlignment="1">
      <alignment horizontal="left"/>
    </xf>
    <xf numFmtId="166" fontId="4" fillId="11" borderId="0" xfId="29" applyNumberFormat="1" applyFont="1" applyFill="1" applyAlignment="1">
      <alignment horizontal="right"/>
    </xf>
    <xf numFmtId="3" fontId="7" fillId="11" borderId="0" xfId="18" applyNumberFormat="1" applyFont="1" applyFill="1"/>
    <xf numFmtId="166" fontId="71" fillId="11" borderId="0" xfId="29" applyNumberFormat="1" applyFont="1" applyFill="1" applyAlignment="1"/>
    <xf numFmtId="166" fontId="16" fillId="11" borderId="0" xfId="29" applyNumberFormat="1" applyFont="1" applyFill="1" applyAlignment="1"/>
    <xf numFmtId="0" fontId="4" fillId="11" borderId="0" xfId="18" applyFont="1" applyFill="1" applyAlignment="1">
      <alignment horizontal="left"/>
    </xf>
    <xf numFmtId="0" fontId="4" fillId="11" borderId="0" xfId="18" applyFont="1" applyFill="1" applyAlignment="1">
      <alignment horizontal="right"/>
    </xf>
    <xf numFmtId="166" fontId="4" fillId="11" borderId="7" xfId="29" applyNumberFormat="1" applyFont="1" applyFill="1" applyBorder="1" applyAlignment="1"/>
    <xf numFmtId="166" fontId="4" fillId="11" borderId="7" xfId="29" applyNumberFormat="1" applyFont="1" applyFill="1" applyBorder="1" applyAlignment="1">
      <alignment horizontal="right"/>
    </xf>
    <xf numFmtId="43" fontId="16" fillId="11" borderId="0" xfId="18" applyNumberFormat="1" applyFont="1" applyFill="1"/>
    <xf numFmtId="173" fontId="37" fillId="11" borderId="3" xfId="18" applyNumberFormat="1" applyFont="1" applyFill="1" applyBorder="1" applyAlignment="1">
      <alignment horizontal="center"/>
    </xf>
    <xf numFmtId="166" fontId="4" fillId="11" borderId="0" xfId="18" applyNumberFormat="1" applyFont="1" applyFill="1"/>
    <xf numFmtId="166" fontId="15" fillId="11" borderId="0" xfId="0" applyNumberFormat="1" applyFont="1" applyFill="1"/>
    <xf numFmtId="166" fontId="15" fillId="11" borderId="7" xfId="29" applyNumberFormat="1" applyFont="1" applyFill="1" applyBorder="1" applyAlignment="1"/>
    <xf numFmtId="166" fontId="4" fillId="11" borderId="7" xfId="29" applyNumberFormat="1" applyFont="1" applyFill="1" applyBorder="1" applyAlignment="1">
      <alignment horizontal="left"/>
    </xf>
    <xf numFmtId="10" fontId="4" fillId="11" borderId="0" xfId="29" applyNumberFormat="1" applyFont="1" applyFill="1" applyAlignment="1">
      <alignment horizontal="right"/>
    </xf>
    <xf numFmtId="9" fontId="7" fillId="11" borderId="0" xfId="29" applyFont="1" applyFill="1" applyAlignment="1"/>
    <xf numFmtId="166" fontId="78" fillId="11" borderId="0" xfId="29" applyNumberFormat="1" applyFont="1" applyFill="1" applyAlignment="1"/>
    <xf numFmtId="169" fontId="75" fillId="11" borderId="0" xfId="10" applyNumberFormat="1" applyFont="1" applyFill="1" applyAlignment="1"/>
    <xf numFmtId="4" fontId="4" fillId="11" borderId="0" xfId="18" applyNumberFormat="1" applyFont="1" applyFill="1" applyAlignment="1">
      <alignment horizontal="right"/>
    </xf>
    <xf numFmtId="3" fontId="7" fillId="11" borderId="0" xfId="18" applyNumberFormat="1" applyFont="1" applyFill="1" applyAlignment="1">
      <alignment horizontal="right"/>
    </xf>
    <xf numFmtId="168" fontId="4" fillId="11" borderId="0" xfId="10" applyNumberFormat="1" applyFont="1" applyFill="1" applyBorder="1" applyAlignment="1"/>
    <xf numFmtId="168" fontId="16" fillId="11" borderId="0" xfId="10" applyNumberFormat="1" applyFont="1" applyFill="1" applyAlignment="1"/>
    <xf numFmtId="168" fontId="16" fillId="11" borderId="0" xfId="10" applyNumberFormat="1" applyFont="1" applyFill="1" applyBorder="1" applyAlignment="1"/>
    <xf numFmtId="168" fontId="4" fillId="11" borderId="0" xfId="10" applyNumberFormat="1" applyFont="1" applyFill="1" applyAlignment="1"/>
    <xf numFmtId="43" fontId="16" fillId="11" borderId="0" xfId="10" applyFont="1" applyFill="1" applyAlignment="1"/>
    <xf numFmtId="168" fontId="7" fillId="11" borderId="0" xfId="10" applyNumberFormat="1" applyFont="1" applyFill="1" applyAlignment="1"/>
    <xf numFmtId="3" fontId="4" fillId="11" borderId="0" xfId="10" applyNumberFormat="1" applyFont="1" applyFill="1" applyAlignment="1"/>
    <xf numFmtId="3" fontId="71" fillId="11" borderId="0" xfId="10" applyNumberFormat="1" applyFont="1" applyFill="1" applyAlignment="1"/>
    <xf numFmtId="43" fontId="16" fillId="11" borderId="0" xfId="10" applyFont="1" applyFill="1" applyBorder="1" applyAlignment="1"/>
    <xf numFmtId="168" fontId="4" fillId="11" borderId="0" xfId="10" applyNumberFormat="1" applyFont="1" applyFill="1" applyBorder="1" applyAlignment="1">
      <alignment horizontal="left"/>
    </xf>
    <xf numFmtId="43" fontId="75" fillId="11" borderId="0" xfId="10" applyFont="1" applyFill="1" applyBorder="1" applyAlignment="1">
      <alignment horizontal="left"/>
    </xf>
    <xf numFmtId="168" fontId="75" fillId="11" borderId="0" xfId="10" applyNumberFormat="1" applyFont="1" applyFill="1" applyBorder="1" applyAlignment="1">
      <alignment horizontal="left"/>
    </xf>
    <xf numFmtId="43" fontId="4" fillId="11" borderId="0" xfId="10" applyFont="1" applyFill="1" applyAlignment="1">
      <alignment horizontal="left"/>
    </xf>
    <xf numFmtId="168" fontId="7" fillId="11" borderId="0" xfId="10" applyNumberFormat="1" applyFont="1" applyFill="1" applyBorder="1" applyAlignment="1"/>
    <xf numFmtId="168" fontId="18" fillId="11" borderId="0" xfId="10" applyNumberFormat="1" applyFont="1" applyFill="1" applyAlignment="1"/>
    <xf numFmtId="3" fontId="4" fillId="11" borderId="0" xfId="29" applyNumberFormat="1" applyFont="1" applyFill="1" applyBorder="1" applyAlignment="1">
      <alignment horizontal="right"/>
    </xf>
    <xf numFmtId="166" fontId="7" fillId="11" borderId="0" xfId="29" applyNumberFormat="1" applyFont="1" applyFill="1" applyAlignment="1">
      <alignment horizontal="left"/>
    </xf>
    <xf numFmtId="166" fontId="7" fillId="11" borderId="0" xfId="29" applyNumberFormat="1" applyFont="1" applyFill="1" applyAlignment="1">
      <alignment horizontal="right"/>
    </xf>
    <xf numFmtId="166" fontId="4" fillId="11" borderId="0" xfId="29" applyNumberFormat="1" applyFont="1" applyFill="1" applyBorder="1" applyAlignment="1">
      <alignment horizontal="right"/>
    </xf>
    <xf numFmtId="169" fontId="4" fillId="11" borderId="0" xfId="10" applyNumberFormat="1" applyFont="1" applyFill="1" applyBorder="1" applyAlignment="1"/>
    <xf numFmtId="173" fontId="7" fillId="11" borderId="0" xfId="18" applyNumberFormat="1" applyFont="1" applyFill="1"/>
    <xf numFmtId="10" fontId="7" fillId="11" borderId="0" xfId="29" applyNumberFormat="1" applyFont="1" applyFill="1" applyAlignment="1"/>
    <xf numFmtId="3" fontId="4" fillId="11" borderId="0" xfId="29" applyNumberFormat="1" applyFont="1" applyFill="1" applyAlignment="1"/>
    <xf numFmtId="166" fontId="7" fillId="11" borderId="0" xfId="29" applyNumberFormat="1" applyFont="1" applyFill="1" applyAlignment="1"/>
    <xf numFmtId="9" fontId="78" fillId="11" borderId="0" xfId="29" applyFont="1" applyFill="1" applyAlignment="1"/>
    <xf numFmtId="10" fontId="16" fillId="11" borderId="0" xfId="29" applyNumberFormat="1" applyFont="1" applyFill="1" applyAlignment="1"/>
    <xf numFmtId="10" fontId="63" fillId="11" borderId="0" xfId="29" applyNumberFormat="1" applyFont="1" applyFill="1" applyAlignment="1"/>
    <xf numFmtId="173" fontId="4" fillId="11" borderId="0" xfId="29" applyNumberFormat="1" applyFont="1" applyFill="1" applyAlignment="1">
      <alignment horizontal="left"/>
    </xf>
    <xf numFmtId="173" fontId="4" fillId="11" borderId="0" xfId="29" applyNumberFormat="1" applyFont="1" applyFill="1" applyAlignment="1">
      <alignment horizontal="right"/>
    </xf>
    <xf numFmtId="173" fontId="4" fillId="11" borderId="0" xfId="29" applyNumberFormat="1" applyFont="1" applyFill="1" applyAlignment="1"/>
    <xf numFmtId="168" fontId="4" fillId="11" borderId="0" xfId="10" applyNumberFormat="1" applyFont="1" applyFill="1" applyAlignment="1">
      <alignment horizontal="right"/>
    </xf>
    <xf numFmtId="3" fontId="75" fillId="11" borderId="0" xfId="18" applyNumberFormat="1" applyFont="1" applyFill="1"/>
    <xf numFmtId="183" fontId="4" fillId="11" borderId="0" xfId="18" applyNumberFormat="1" applyFont="1" applyFill="1" applyAlignment="1">
      <alignment horizontal="left"/>
    </xf>
    <xf numFmtId="169" fontId="16" fillId="11" borderId="0" xfId="10" applyNumberFormat="1" applyFont="1" applyFill="1" applyAlignment="1"/>
    <xf numFmtId="184" fontId="4" fillId="11" borderId="0" xfId="18" applyNumberFormat="1" applyFont="1" applyFill="1" applyAlignment="1">
      <alignment horizontal="left"/>
    </xf>
    <xf numFmtId="184" fontId="4" fillId="11" borderId="0" xfId="18" applyNumberFormat="1" applyFont="1" applyFill="1" applyAlignment="1">
      <alignment horizontal="right"/>
    </xf>
    <xf numFmtId="169" fontId="4" fillId="11" borderId="0" xfId="10" applyNumberFormat="1" applyFont="1" applyFill="1" applyAlignment="1"/>
    <xf numFmtId="3" fontId="79" fillId="13" borderId="0" xfId="18" applyNumberFormat="1" applyFont="1" applyFill="1" applyAlignment="1">
      <alignment horizontal="right"/>
    </xf>
    <xf numFmtId="10" fontId="4" fillId="0" borderId="0" xfId="29" applyNumberFormat="1" applyFont="1" applyFill="1" applyBorder="1" applyAlignment="1">
      <alignment horizontal="right"/>
    </xf>
    <xf numFmtId="0" fontId="0" fillId="12" borderId="0" xfId="0" applyFill="1"/>
    <xf numFmtId="166" fontId="4" fillId="12" borderId="0" xfId="29" applyNumberFormat="1" applyFont="1" applyFill="1" applyBorder="1" applyAlignment="1">
      <alignment horizontal="right"/>
    </xf>
    <xf numFmtId="168" fontId="16" fillId="0" borderId="0" xfId="10" applyNumberFormat="1" applyFont="1" applyBorder="1" applyAlignment="1"/>
    <xf numFmtId="168" fontId="4" fillId="12" borderId="0" xfId="10" applyNumberFormat="1" applyFont="1" applyFill="1" applyBorder="1" applyAlignment="1">
      <alignment horizontal="left"/>
    </xf>
    <xf numFmtId="168" fontId="7" fillId="12" borderId="0" xfId="10" applyNumberFormat="1" applyFont="1" applyFill="1" applyBorder="1" applyAlignment="1"/>
    <xf numFmtId="166" fontId="8" fillId="11" borderId="0" xfId="29" applyNumberFormat="1" applyFont="1" applyFill="1" applyAlignment="1"/>
    <xf numFmtId="173" fontId="77" fillId="11" borderId="3" xfId="18" applyNumberFormat="1" applyFont="1" applyFill="1" applyBorder="1"/>
    <xf numFmtId="9" fontId="15" fillId="11" borderId="0" xfId="29" applyFont="1" applyFill="1" applyAlignment="1"/>
    <xf numFmtId="168" fontId="8" fillId="11" borderId="6" xfId="10" applyNumberFormat="1" applyFont="1" applyFill="1" applyBorder="1" applyAlignment="1"/>
    <xf numFmtId="173" fontId="77" fillId="11" borderId="6" xfId="10" applyNumberFormat="1" applyFont="1" applyFill="1" applyBorder="1" applyAlignment="1"/>
    <xf numFmtId="166" fontId="8" fillId="11" borderId="0" xfId="29" applyNumberFormat="1" applyFont="1" applyFill="1" applyBorder="1" applyAlignment="1"/>
    <xf numFmtId="166" fontId="76" fillId="11" borderId="0" xfId="29" applyNumberFormat="1" applyFont="1" applyFill="1" applyBorder="1" applyAlignment="1"/>
    <xf numFmtId="0" fontId="15" fillId="11" borderId="0" xfId="0" applyFont="1" applyFill="1"/>
    <xf numFmtId="165" fontId="76" fillId="11" borderId="6" xfId="10" applyNumberFormat="1" applyFont="1" applyFill="1" applyBorder="1" applyAlignment="1"/>
    <xf numFmtId="169" fontId="76" fillId="11" borderId="6" xfId="10" applyNumberFormat="1" applyFont="1" applyFill="1" applyBorder="1" applyAlignment="1"/>
    <xf numFmtId="169" fontId="4" fillId="11" borderId="6" xfId="10" applyNumberFormat="1" applyFont="1" applyFill="1" applyBorder="1" applyAlignment="1"/>
    <xf numFmtId="168" fontId="7" fillId="11" borderId="6" xfId="10" applyNumberFormat="1" applyFont="1" applyFill="1" applyBorder="1" applyAlignment="1"/>
    <xf numFmtId="43" fontId="15" fillId="11" borderId="0" xfId="10" applyFont="1" applyFill="1" applyAlignment="1"/>
    <xf numFmtId="169" fontId="77" fillId="11" borderId="3" xfId="10" applyNumberFormat="1" applyFont="1" applyFill="1" applyBorder="1" applyAlignment="1"/>
    <xf numFmtId="3" fontId="64" fillId="11" borderId="0" xfId="18" applyNumberFormat="1" applyFont="1" applyFill="1"/>
    <xf numFmtId="168" fontId="8" fillId="11" borderId="0" xfId="10" applyNumberFormat="1" applyFont="1" applyFill="1" applyAlignment="1"/>
    <xf numFmtId="168" fontId="4" fillId="11" borderId="6" xfId="10" applyNumberFormat="1" applyFont="1" applyFill="1" applyBorder="1" applyAlignment="1"/>
    <xf numFmtId="168" fontId="76" fillId="11" borderId="0" xfId="10" applyNumberFormat="1" applyFont="1" applyFill="1" applyAlignment="1"/>
    <xf numFmtId="168" fontId="4" fillId="11" borderId="7" xfId="10" applyNumberFormat="1" applyFont="1" applyFill="1" applyBorder="1" applyAlignment="1"/>
    <xf numFmtId="168" fontId="8" fillId="11" borderId="0" xfId="10" applyNumberFormat="1" applyFont="1" applyFill="1" applyBorder="1" applyAlignment="1"/>
    <xf numFmtId="168" fontId="76" fillId="11" borderId="0" xfId="10" applyNumberFormat="1" applyFont="1" applyFill="1" applyBorder="1" applyAlignment="1"/>
    <xf numFmtId="168" fontId="8" fillId="11" borderId="7" xfId="10" applyNumberFormat="1" applyFont="1" applyFill="1" applyBorder="1" applyAlignment="1"/>
    <xf numFmtId="3" fontId="4" fillId="11" borderId="0" xfId="29" applyNumberFormat="1" applyFont="1" applyFill="1" applyBorder="1" applyAlignment="1"/>
    <xf numFmtId="168" fontId="7" fillId="11" borderId="7" xfId="10" applyNumberFormat="1" applyFont="1" applyFill="1" applyBorder="1" applyAlignment="1"/>
    <xf numFmtId="3" fontId="7" fillId="11" borderId="3" xfId="29" applyNumberFormat="1" applyFont="1" applyFill="1" applyBorder="1" applyAlignment="1"/>
    <xf numFmtId="173" fontId="37" fillId="11" borderId="3" xfId="18" applyNumberFormat="1" applyFont="1" applyFill="1" applyBorder="1"/>
    <xf numFmtId="173" fontId="37" fillId="11" borderId="0" xfId="18" applyNumberFormat="1" applyFont="1" applyFill="1"/>
    <xf numFmtId="169" fontId="8" fillId="11" borderId="0" xfId="10" applyNumberFormat="1" applyFont="1" applyFill="1" applyBorder="1" applyAlignment="1"/>
    <xf numFmtId="4" fontId="15" fillId="11" borderId="0" xfId="18" applyNumberFormat="1" applyFont="1" applyFill="1"/>
    <xf numFmtId="173" fontId="7" fillId="11" borderId="0" xfId="29" applyNumberFormat="1" applyFont="1" applyFill="1" applyAlignment="1">
      <alignment horizontal="left"/>
    </xf>
    <xf numFmtId="9" fontId="4" fillId="11" borderId="0" xfId="29" applyFont="1" applyFill="1" applyBorder="1" applyAlignment="1"/>
    <xf numFmtId="173" fontId="77" fillId="11" borderId="0" xfId="10" applyNumberFormat="1" applyFont="1" applyFill="1" applyBorder="1" applyAlignment="1"/>
    <xf numFmtId="169" fontId="8" fillId="11" borderId="0" xfId="10" applyNumberFormat="1" applyFont="1" applyFill="1" applyAlignment="1"/>
    <xf numFmtId="3" fontId="8" fillId="11" borderId="0" xfId="18" applyNumberFormat="1" applyFont="1" applyFill="1"/>
    <xf numFmtId="173" fontId="7" fillId="11" borderId="0" xfId="10" applyNumberFormat="1" applyFont="1" applyFill="1" applyBorder="1" applyAlignment="1"/>
    <xf numFmtId="3" fontId="7" fillId="11" borderId="6" xfId="18" applyNumberFormat="1" applyFont="1" applyFill="1" applyBorder="1"/>
    <xf numFmtId="173" fontId="4" fillId="11" borderId="6" xfId="18" applyNumberFormat="1" applyFont="1" applyFill="1" applyBorder="1"/>
    <xf numFmtId="173" fontId="7" fillId="11" borderId="6" xfId="10" applyNumberFormat="1" applyFont="1" applyFill="1" applyBorder="1" applyAlignment="1"/>
    <xf numFmtId="9" fontId="75" fillId="11" borderId="0" xfId="29" applyFont="1" applyFill="1" applyAlignment="1"/>
    <xf numFmtId="173" fontId="8" fillId="11" borderId="6" xfId="10" applyNumberFormat="1" applyFont="1" applyFill="1" applyBorder="1" applyAlignment="1"/>
    <xf numFmtId="173" fontId="37" fillId="11" borderId="6" xfId="10" applyNumberFormat="1" applyFont="1" applyFill="1" applyBorder="1" applyAlignment="1"/>
    <xf numFmtId="9" fontId="76" fillId="11" borderId="0" xfId="29" applyFont="1" applyFill="1" applyBorder="1" applyAlignment="1"/>
    <xf numFmtId="9" fontId="43" fillId="11" borderId="0" xfId="29" applyFont="1" applyFill="1" applyBorder="1" applyAlignment="1"/>
    <xf numFmtId="166" fontId="75" fillId="11" borderId="0" xfId="29" applyNumberFormat="1" applyFont="1" applyFill="1" applyBorder="1" applyAlignment="1"/>
    <xf numFmtId="173" fontId="76" fillId="11" borderId="0" xfId="29" applyNumberFormat="1" applyFont="1" applyFill="1" applyBorder="1" applyAlignment="1"/>
    <xf numFmtId="173" fontId="43" fillId="11" borderId="0" xfId="18" applyNumberFormat="1" applyFont="1" applyFill="1"/>
    <xf numFmtId="173" fontId="23" fillId="11" borderId="3" xfId="18" applyNumberFormat="1" applyFont="1" applyFill="1" applyBorder="1"/>
    <xf numFmtId="173" fontId="77" fillId="11" borderId="3" xfId="29" applyNumberFormat="1" applyFont="1" applyFill="1" applyBorder="1" applyAlignment="1"/>
    <xf numFmtId="173" fontId="7" fillId="11" borderId="3" xfId="29" applyNumberFormat="1" applyFont="1" applyFill="1" applyBorder="1" applyAlignment="1"/>
    <xf numFmtId="166" fontId="8" fillId="11" borderId="9" xfId="29" applyNumberFormat="1" applyFont="1" applyFill="1" applyBorder="1" applyAlignment="1"/>
    <xf numFmtId="9" fontId="8" fillId="11" borderId="0" xfId="29" applyFont="1" applyFill="1" applyAlignment="1"/>
    <xf numFmtId="10" fontId="4" fillId="11" borderId="7" xfId="29" applyNumberFormat="1" applyFont="1" applyFill="1" applyBorder="1" applyAlignment="1"/>
    <xf numFmtId="168" fontId="76" fillId="11" borderId="6" xfId="10" applyNumberFormat="1" applyFont="1" applyFill="1" applyBorder="1" applyAlignment="1"/>
    <xf numFmtId="3" fontId="7" fillId="11" borderId="7" xfId="10" applyNumberFormat="1" applyFont="1" applyFill="1" applyBorder="1" applyAlignment="1"/>
    <xf numFmtId="166" fontId="7" fillId="11" borderId="0" xfId="29" applyNumberFormat="1" applyFont="1" applyFill="1" applyBorder="1" applyAlignment="1"/>
    <xf numFmtId="166" fontId="43" fillId="11" borderId="0" xfId="29" applyNumberFormat="1" applyFont="1" applyFill="1" applyBorder="1" applyAlignment="1"/>
    <xf numFmtId="0" fontId="8" fillId="11" borderId="6" xfId="10" applyNumberFormat="1" applyFont="1" applyFill="1" applyBorder="1" applyAlignment="1"/>
    <xf numFmtId="173" fontId="4" fillId="11" borderId="6" xfId="10" applyNumberFormat="1" applyFont="1" applyFill="1" applyBorder="1" applyAlignment="1"/>
    <xf numFmtId="169" fontId="8" fillId="11" borderId="6" xfId="10" applyNumberFormat="1" applyFont="1" applyFill="1" applyBorder="1" applyAlignment="1"/>
    <xf numFmtId="169" fontId="7" fillId="11" borderId="3" xfId="10" applyNumberFormat="1" applyFont="1" applyFill="1" applyBorder="1" applyAlignment="1"/>
    <xf numFmtId="166" fontId="37" fillId="11" borderId="0" xfId="29" applyNumberFormat="1" applyFont="1" applyFill="1" applyBorder="1" applyAlignment="1"/>
    <xf numFmtId="3" fontId="19" fillId="11" borderId="0" xfId="18" applyNumberFormat="1" applyFont="1" applyFill="1"/>
    <xf numFmtId="9" fontId="19" fillId="11" borderId="0" xfId="29" applyFont="1" applyFill="1" applyAlignment="1"/>
    <xf numFmtId="166" fontId="19" fillId="11" borderId="0" xfId="29" applyNumberFormat="1" applyFont="1" applyFill="1" applyAlignment="1"/>
    <xf numFmtId="3" fontId="4" fillId="11" borderId="3" xfId="18" applyNumberFormat="1" applyFont="1" applyFill="1" applyBorder="1"/>
    <xf numFmtId="3" fontId="23" fillId="11" borderId="3" xfId="18" applyNumberFormat="1" applyFont="1" applyFill="1" applyBorder="1"/>
    <xf numFmtId="3" fontId="37" fillId="11" borderId="3" xfId="18" applyNumberFormat="1" applyFont="1" applyFill="1" applyBorder="1"/>
    <xf numFmtId="173" fontId="23" fillId="11" borderId="0" xfId="18" applyNumberFormat="1" applyFont="1" applyFill="1"/>
    <xf numFmtId="2" fontId="15" fillId="11" borderId="0" xfId="29" applyNumberFormat="1" applyFont="1" applyFill="1" applyAlignment="1"/>
    <xf numFmtId="173" fontId="4" fillId="14" borderId="0" xfId="18" applyNumberFormat="1" applyFont="1" applyFill="1" applyAlignment="1">
      <alignment horizontal="left"/>
    </xf>
    <xf numFmtId="173" fontId="7" fillId="14" borderId="0" xfId="18" applyNumberFormat="1" applyFont="1" applyFill="1" applyAlignment="1">
      <alignment horizontal="left"/>
    </xf>
    <xf numFmtId="173" fontId="4" fillId="14" borderId="0" xfId="18" applyNumberFormat="1" applyFont="1" applyFill="1" applyAlignment="1">
      <alignment horizontal="center"/>
    </xf>
    <xf numFmtId="173" fontId="4" fillId="14" borderId="0" xfId="18" applyNumberFormat="1" applyFont="1" applyFill="1"/>
    <xf numFmtId="180" fontId="5" fillId="3" borderId="0" xfId="10" applyNumberFormat="1" applyFont="1" applyFill="1"/>
    <xf numFmtId="173" fontId="4" fillId="0" borderId="0" xfId="30" applyNumberFormat="1" applyFont="1" applyFill="1" applyAlignment="1">
      <alignment horizontal="left"/>
    </xf>
    <xf numFmtId="168" fontId="0" fillId="0" borderId="0" xfId="0" applyNumberFormat="1"/>
    <xf numFmtId="164" fontId="0" fillId="0" borderId="0" xfId="0" applyNumberFormat="1"/>
    <xf numFmtId="4" fontId="15" fillId="12" borderId="0" xfId="18" applyNumberFormat="1" applyFont="1" applyFill="1"/>
    <xf numFmtId="165" fontId="77" fillId="11" borderId="6" xfId="10" applyNumberFormat="1" applyFont="1" applyFill="1" applyBorder="1" applyAlignment="1"/>
    <xf numFmtId="169" fontId="7" fillId="11" borderId="6" xfId="10" applyNumberFormat="1" applyFont="1" applyFill="1" applyBorder="1" applyAlignment="1"/>
    <xf numFmtId="173" fontId="37" fillId="11" borderId="0" xfId="10" applyNumberFormat="1" applyFont="1" applyFill="1" applyBorder="1" applyAlignment="1"/>
    <xf numFmtId="173" fontId="77" fillId="11" borderId="0" xfId="29" applyNumberFormat="1" applyFont="1" applyFill="1" applyBorder="1" applyAlignment="1"/>
    <xf numFmtId="173" fontId="7" fillId="11" borderId="0" xfId="29" applyNumberFormat="1" applyFont="1" applyFill="1" applyBorder="1" applyAlignment="1"/>
    <xf numFmtId="173" fontId="7" fillId="12" borderId="0" xfId="29" applyNumberFormat="1" applyFont="1" applyFill="1" applyBorder="1" applyAlignment="1"/>
    <xf numFmtId="173" fontId="7" fillId="11" borderId="0" xfId="29" applyNumberFormat="1" applyFont="1" applyFill="1" applyBorder="1" applyAlignment="1">
      <alignment horizontal="left"/>
    </xf>
    <xf numFmtId="173" fontId="7" fillId="11" borderId="0" xfId="29" applyNumberFormat="1" applyFont="1" applyFill="1" applyBorder="1" applyAlignment="1">
      <alignment horizontal="right"/>
    </xf>
    <xf numFmtId="173" fontId="7" fillId="12" borderId="0" xfId="29" applyNumberFormat="1" applyFont="1" applyFill="1" applyAlignment="1"/>
    <xf numFmtId="173" fontId="7" fillId="11" borderId="0" xfId="29" applyNumberFormat="1" applyFont="1" applyFill="1" applyAlignment="1"/>
    <xf numFmtId="173" fontId="7" fillId="11" borderId="0" xfId="29" applyNumberFormat="1" applyFont="1" applyFill="1" applyAlignment="1">
      <alignment horizontal="right"/>
    </xf>
    <xf numFmtId="173" fontId="7" fillId="11" borderId="0" xfId="0" applyNumberFormat="1" applyFont="1" applyFill="1"/>
    <xf numFmtId="173" fontId="37" fillId="11" borderId="0" xfId="0" applyNumberFormat="1" applyFont="1" applyFill="1"/>
    <xf numFmtId="168" fontId="7" fillId="0" borderId="6" xfId="10" applyNumberFormat="1" applyFont="1" applyBorder="1" applyAlignment="1"/>
    <xf numFmtId="173" fontId="4" fillId="10" borderId="3" xfId="18" applyNumberFormat="1" applyFont="1" applyFill="1" applyBorder="1"/>
    <xf numFmtId="0" fontId="7" fillId="12" borderId="0" xfId="21" applyFont="1" applyFill="1"/>
    <xf numFmtId="0" fontId="4" fillId="12" borderId="0" xfId="0" applyFont="1" applyFill="1"/>
    <xf numFmtId="169" fontId="7" fillId="5" borderId="3" xfId="10" applyNumberFormat="1" applyFont="1" applyFill="1" applyBorder="1" applyAlignment="1">
      <alignment horizontal="right"/>
    </xf>
    <xf numFmtId="180" fontId="11" fillId="12" borderId="0" xfId="10" applyNumberFormat="1" applyFont="1" applyFill="1" applyBorder="1" applyAlignment="1">
      <alignment horizontal="right"/>
    </xf>
    <xf numFmtId="10" fontId="0" fillId="0" borderId="0" xfId="0" applyNumberFormat="1"/>
    <xf numFmtId="10" fontId="15" fillId="12" borderId="0" xfId="29" applyNumberFormat="1" applyFont="1" applyFill="1" applyBorder="1" applyAlignment="1">
      <alignment horizontal="right"/>
    </xf>
    <xf numFmtId="169" fontId="4" fillId="12" borderId="0" xfId="0" applyNumberFormat="1" applyFont="1" applyFill="1"/>
    <xf numFmtId="173" fontId="78" fillId="12" borderId="0" xfId="18" applyNumberFormat="1" applyFont="1" applyFill="1"/>
    <xf numFmtId="173" fontId="7" fillId="0" borderId="0" xfId="18" applyNumberFormat="1" applyFont="1" applyAlignment="1">
      <alignment horizontal="left"/>
    </xf>
    <xf numFmtId="173" fontId="7" fillId="0" borderId="0" xfId="29" applyNumberFormat="1" applyFont="1" applyFill="1" applyAlignment="1">
      <alignment horizontal="left"/>
    </xf>
    <xf numFmtId="173" fontId="88" fillId="11" borderId="0" xfId="18" applyNumberFormat="1" applyFont="1" applyFill="1"/>
    <xf numFmtId="166" fontId="15" fillId="11" borderId="0" xfId="18" applyNumberFormat="1" applyFont="1" applyFill="1" applyAlignment="1">
      <alignment horizontal="left"/>
    </xf>
    <xf numFmtId="166" fontId="15" fillId="11" borderId="0" xfId="18" applyNumberFormat="1" applyFont="1" applyFill="1" applyAlignment="1">
      <alignment horizontal="right"/>
    </xf>
    <xf numFmtId="0" fontId="80" fillId="3" borderId="0" xfId="21" applyFont="1" applyFill="1"/>
    <xf numFmtId="0" fontId="70" fillId="3" borderId="0" xfId="18" applyFont="1" applyFill="1"/>
    <xf numFmtId="0" fontId="67" fillId="3" borderId="0" xfId="18" applyFont="1" applyFill="1"/>
    <xf numFmtId="0" fontId="90" fillId="0" borderId="0" xfId="0" applyFont="1"/>
    <xf numFmtId="0" fontId="24" fillId="12" borderId="0" xfId="0" applyFont="1" applyFill="1"/>
    <xf numFmtId="166" fontId="4" fillId="4" borderId="0" xfId="29" applyNumberFormat="1" applyFont="1" applyFill="1" applyAlignment="1"/>
    <xf numFmtId="0" fontId="0" fillId="0" borderId="0" xfId="0" applyAlignment="1">
      <alignment horizontal="right"/>
    </xf>
    <xf numFmtId="168" fontId="0" fillId="0" borderId="0" xfId="10" applyNumberFormat="1" applyFont="1" applyAlignment="1">
      <alignment horizontal="right"/>
    </xf>
    <xf numFmtId="166" fontId="0" fillId="0" borderId="0" xfId="29" applyNumberFormat="1" applyFont="1" applyAlignment="1">
      <alignment horizontal="right"/>
    </xf>
    <xf numFmtId="9" fontId="0" fillId="0" borderId="0" xfId="29" applyFont="1" applyAlignment="1">
      <alignment horizontal="right"/>
    </xf>
    <xf numFmtId="9" fontId="0" fillId="0" borderId="0" xfId="0" applyNumberFormat="1"/>
    <xf numFmtId="164" fontId="43" fillId="0" borderId="0" xfId="32" applyNumberFormat="1" applyFont="1" applyFill="1" applyBorder="1" applyAlignment="1">
      <alignment horizontal="right"/>
    </xf>
    <xf numFmtId="166" fontId="7" fillId="0" borderId="0" xfId="32" applyNumberFormat="1" applyFont="1" applyFill="1" applyBorder="1" applyAlignment="1">
      <alignment horizontal="right"/>
    </xf>
    <xf numFmtId="10" fontId="4" fillId="0" borderId="0" xfId="32" applyNumberFormat="1" applyFont="1" applyFill="1" applyBorder="1" applyAlignment="1">
      <alignment horizontal="right"/>
    </xf>
    <xf numFmtId="10" fontId="4" fillId="0" borderId="0" xfId="29" applyNumberFormat="1" applyFont="1" applyFill="1" applyAlignment="1"/>
    <xf numFmtId="166" fontId="4" fillId="0" borderId="0" xfId="29" applyNumberFormat="1" applyFont="1" applyFill="1" applyAlignment="1"/>
    <xf numFmtId="173" fontId="77" fillId="0" borderId="0" xfId="18" applyNumberFormat="1" applyFont="1"/>
    <xf numFmtId="9" fontId="4" fillId="0" borderId="0" xfId="29" applyFont="1" applyFill="1" applyAlignment="1"/>
    <xf numFmtId="10" fontId="4" fillId="0" borderId="0" xfId="29" applyNumberFormat="1" applyFont="1" applyFill="1" applyBorder="1" applyAlignment="1"/>
    <xf numFmtId="166" fontId="4" fillId="0" borderId="0" xfId="32" applyNumberFormat="1" applyFont="1" applyFill="1" applyBorder="1" applyAlignment="1">
      <alignment horizontal="right"/>
    </xf>
    <xf numFmtId="168" fontId="84" fillId="0" borderId="0" xfId="12" applyNumberFormat="1" applyFont="1" applyFill="1" applyBorder="1" applyAlignment="1">
      <alignment horizontal="right"/>
    </xf>
    <xf numFmtId="169" fontId="76" fillId="0" borderId="0" xfId="10" applyNumberFormat="1" applyFont="1" applyFill="1" applyBorder="1" applyAlignment="1">
      <alignment horizontal="right"/>
    </xf>
    <xf numFmtId="169" fontId="8" fillId="0" borderId="0" xfId="10" applyNumberFormat="1" applyFont="1" applyFill="1" applyBorder="1" applyAlignment="1">
      <alignment horizontal="right"/>
    </xf>
    <xf numFmtId="43" fontId="16" fillId="0" borderId="0" xfId="10" applyFont="1" applyFill="1" applyBorder="1" applyAlignment="1">
      <alignment horizontal="right"/>
    </xf>
    <xf numFmtId="169" fontId="47" fillId="0" borderId="0" xfId="12" applyNumberFormat="1" applyFont="1" applyFill="1" applyBorder="1" applyAlignment="1">
      <alignment horizontal="right"/>
    </xf>
    <xf numFmtId="169" fontId="15" fillId="0" borderId="0" xfId="12" applyNumberFormat="1" applyFont="1" applyFill="1" applyBorder="1" applyAlignment="1">
      <alignment horizontal="right"/>
    </xf>
    <xf numFmtId="166" fontId="20" fillId="0" borderId="0" xfId="32" applyNumberFormat="1" applyFont="1" applyFill="1" applyBorder="1" applyAlignment="1">
      <alignment horizontal="right"/>
    </xf>
    <xf numFmtId="197" fontId="4" fillId="0" borderId="0" xfId="12" applyNumberFormat="1" applyFont="1" applyFill="1" applyBorder="1"/>
    <xf numFmtId="198" fontId="4" fillId="0" borderId="0" xfId="21" applyNumberFormat="1" applyFont="1"/>
    <xf numFmtId="168" fontId="4" fillId="0" borderId="0" xfId="21" applyNumberFormat="1" applyFont="1"/>
    <xf numFmtId="169" fontId="4" fillId="0" borderId="0" xfId="21" applyNumberFormat="1" applyFont="1"/>
    <xf numFmtId="169" fontId="46" fillId="0" borderId="0" xfId="10" applyNumberFormat="1" applyFont="1" applyFill="1" applyBorder="1" applyAlignment="1">
      <alignment horizontal="right"/>
    </xf>
    <xf numFmtId="9" fontId="4" fillId="12" borderId="0" xfId="29" applyFont="1" applyFill="1" applyBorder="1" applyAlignment="1"/>
    <xf numFmtId="10" fontId="8" fillId="12" borderId="0" xfId="29" applyNumberFormat="1" applyFont="1" applyFill="1" applyAlignment="1"/>
    <xf numFmtId="166" fontId="4" fillId="12" borderId="0" xfId="29" applyNumberFormat="1" applyFont="1" applyFill="1" applyAlignment="1">
      <alignment horizontal="right"/>
    </xf>
    <xf numFmtId="2" fontId="15" fillId="12" borderId="0" xfId="29" applyNumberFormat="1" applyFont="1" applyFill="1" applyAlignment="1"/>
    <xf numFmtId="173" fontId="7" fillId="12" borderId="6" xfId="10" applyNumberFormat="1" applyFont="1" applyFill="1" applyBorder="1" applyAlignment="1"/>
    <xf numFmtId="166" fontId="43" fillId="12" borderId="0" xfId="29" applyNumberFormat="1" applyFont="1" applyFill="1" applyBorder="1" applyAlignment="1"/>
    <xf numFmtId="166" fontId="15" fillId="12" borderId="0" xfId="0" applyNumberFormat="1" applyFont="1" applyFill="1"/>
    <xf numFmtId="166" fontId="4" fillId="12" borderId="7" xfId="29" applyNumberFormat="1" applyFont="1" applyFill="1" applyBorder="1" applyAlignment="1"/>
    <xf numFmtId="0" fontId="15" fillId="12" borderId="0" xfId="0" applyFont="1" applyFill="1"/>
    <xf numFmtId="165" fontId="7" fillId="12" borderId="6" xfId="10" applyNumberFormat="1" applyFont="1" applyFill="1" applyBorder="1" applyAlignment="1"/>
    <xf numFmtId="169" fontId="7" fillId="12" borderId="6" xfId="10" applyNumberFormat="1" applyFont="1" applyFill="1" applyBorder="1" applyAlignment="1"/>
    <xf numFmtId="43" fontId="15" fillId="12" borderId="0" xfId="10" applyFont="1" applyFill="1" applyAlignment="1"/>
    <xf numFmtId="169" fontId="7" fillId="12" borderId="3" xfId="10" applyNumberFormat="1" applyFont="1" applyFill="1" applyBorder="1" applyAlignment="1"/>
    <xf numFmtId="9" fontId="8" fillId="12" borderId="0" xfId="29" applyFont="1" applyFill="1" applyAlignment="1"/>
    <xf numFmtId="9" fontId="7" fillId="12" borderId="0" xfId="29" applyFont="1" applyFill="1" applyAlignment="1"/>
    <xf numFmtId="168" fontId="4" fillId="12" borderId="0" xfId="10" applyNumberFormat="1" applyFont="1" applyFill="1" applyAlignment="1"/>
    <xf numFmtId="166" fontId="84" fillId="12" borderId="0" xfId="29" applyNumberFormat="1" applyFont="1" applyFill="1" applyAlignment="1"/>
    <xf numFmtId="166" fontId="19" fillId="12" borderId="0" xfId="29" applyNumberFormat="1" applyFont="1" applyFill="1" applyAlignment="1"/>
    <xf numFmtId="168" fontId="4" fillId="12" borderId="6" xfId="10" applyNumberFormat="1" applyFont="1" applyFill="1" applyBorder="1" applyAlignment="1"/>
    <xf numFmtId="168" fontId="76" fillId="12" borderId="0" xfId="10" applyNumberFormat="1" applyFont="1" applyFill="1" applyAlignment="1"/>
    <xf numFmtId="168" fontId="76" fillId="12" borderId="0" xfId="10" applyNumberFormat="1" applyFont="1" applyFill="1" applyBorder="1" applyAlignment="1"/>
    <xf numFmtId="168" fontId="7" fillId="12" borderId="0" xfId="10" applyNumberFormat="1" applyFont="1" applyFill="1" applyAlignment="1"/>
    <xf numFmtId="3" fontId="4" fillId="12" borderId="0" xfId="10" applyNumberFormat="1" applyFont="1" applyFill="1" applyAlignment="1"/>
    <xf numFmtId="168" fontId="76" fillId="12" borderId="6" xfId="10" applyNumberFormat="1" applyFont="1" applyFill="1" applyBorder="1" applyAlignment="1"/>
    <xf numFmtId="168" fontId="8" fillId="12" borderId="0" xfId="10" applyNumberFormat="1" applyFont="1" applyFill="1" applyAlignment="1"/>
    <xf numFmtId="168" fontId="8" fillId="12" borderId="7" xfId="10" applyNumberFormat="1" applyFont="1" applyFill="1" applyBorder="1" applyAlignment="1"/>
    <xf numFmtId="168" fontId="8" fillId="12" borderId="0" xfId="10" applyNumberFormat="1" applyFont="1" applyFill="1" applyBorder="1" applyAlignment="1"/>
    <xf numFmtId="168" fontId="8" fillId="12" borderId="6" xfId="10" applyNumberFormat="1" applyFont="1" applyFill="1" applyBorder="1" applyAlignment="1"/>
    <xf numFmtId="3" fontId="7" fillId="12" borderId="7" xfId="10" applyNumberFormat="1" applyFont="1" applyFill="1" applyBorder="1" applyAlignment="1"/>
    <xf numFmtId="3" fontId="4" fillId="12" borderId="0" xfId="29" applyNumberFormat="1" applyFont="1" applyFill="1" applyBorder="1" applyAlignment="1"/>
    <xf numFmtId="3" fontId="7" fillId="12" borderId="3" xfId="29" applyNumberFormat="1" applyFont="1" applyFill="1" applyBorder="1" applyAlignment="1"/>
    <xf numFmtId="173" fontId="37" fillId="12" borderId="0" xfId="18" applyNumberFormat="1" applyFont="1" applyFill="1"/>
    <xf numFmtId="173" fontId="7" fillId="12" borderId="3" xfId="29" applyNumberFormat="1" applyFont="1" applyFill="1" applyBorder="1" applyAlignment="1"/>
    <xf numFmtId="3" fontId="4" fillId="12" borderId="0" xfId="29" applyNumberFormat="1" applyFont="1" applyFill="1" applyAlignment="1"/>
    <xf numFmtId="166" fontId="8" fillId="12" borderId="9" xfId="29" applyNumberFormat="1" applyFont="1" applyFill="1" applyBorder="1" applyAlignment="1"/>
    <xf numFmtId="166" fontId="8" fillId="12" borderId="0" xfId="29" applyNumberFormat="1" applyFont="1" applyFill="1" applyAlignment="1"/>
    <xf numFmtId="10" fontId="7" fillId="12" borderId="0" xfId="29" applyNumberFormat="1" applyFont="1" applyFill="1" applyAlignment="1"/>
    <xf numFmtId="10" fontId="4" fillId="12" borderId="0" xfId="29" applyNumberFormat="1" applyFont="1" applyFill="1" applyBorder="1" applyAlignment="1"/>
    <xf numFmtId="173" fontId="4" fillId="12" borderId="0" xfId="29" applyNumberFormat="1" applyFont="1" applyFill="1" applyBorder="1" applyAlignment="1"/>
    <xf numFmtId="173" fontId="7" fillId="12" borderId="0" xfId="0" applyNumberFormat="1" applyFont="1" applyFill="1"/>
    <xf numFmtId="173" fontId="88" fillId="12" borderId="0" xfId="18" applyNumberFormat="1" applyFont="1" applyFill="1"/>
    <xf numFmtId="168" fontId="7" fillId="12" borderId="6" xfId="10" applyNumberFormat="1" applyFont="1" applyFill="1" applyBorder="1" applyAlignment="1"/>
    <xf numFmtId="173" fontId="7" fillId="12" borderId="0" xfId="10" applyNumberFormat="1" applyFont="1" applyFill="1" applyBorder="1" applyAlignment="1"/>
    <xf numFmtId="169" fontId="4" fillId="12" borderId="0" xfId="10" applyNumberFormat="1" applyFont="1" applyFill="1" applyAlignment="1"/>
    <xf numFmtId="10" fontId="75" fillId="12" borderId="0" xfId="29" applyNumberFormat="1" applyFont="1" applyFill="1" applyBorder="1" applyAlignment="1"/>
    <xf numFmtId="166" fontId="75" fillId="12" borderId="0" xfId="29" applyNumberFormat="1" applyFont="1" applyFill="1" applyBorder="1" applyAlignment="1"/>
    <xf numFmtId="166" fontId="81" fillId="12" borderId="0" xfId="0" applyNumberFormat="1" applyFont="1" applyFill="1"/>
    <xf numFmtId="169" fontId="75" fillId="0" borderId="0" xfId="10" applyNumberFormat="1" applyFont="1" applyFill="1" applyBorder="1" applyAlignment="1">
      <alignment horizontal="right"/>
    </xf>
    <xf numFmtId="0" fontId="93" fillId="0" borderId="0" xfId="21" applyFont="1"/>
    <xf numFmtId="0" fontId="90" fillId="0" borderId="0" xfId="20" applyFont="1"/>
    <xf numFmtId="166" fontId="90" fillId="0" borderId="0" xfId="29" applyNumberFormat="1" applyFont="1" applyBorder="1" applyAlignment="1">
      <alignment horizontal="center"/>
    </xf>
    <xf numFmtId="166" fontId="90" fillId="0" borderId="0" xfId="29" applyNumberFormat="1" applyFont="1" applyAlignment="1">
      <alignment horizontal="center"/>
    </xf>
    <xf numFmtId="43" fontId="4" fillId="12" borderId="0" xfId="10" applyFont="1" applyFill="1" applyBorder="1" applyAlignment="1"/>
    <xf numFmtId="3" fontId="4" fillId="3" borderId="0" xfId="21" applyNumberFormat="1" applyFont="1" applyFill="1"/>
    <xf numFmtId="168" fontId="75" fillId="12" borderId="0" xfId="10" applyNumberFormat="1" applyFont="1" applyFill="1" applyAlignment="1"/>
    <xf numFmtId="43" fontId="5" fillId="0" borderId="0" xfId="10" applyFont="1" applyFill="1"/>
    <xf numFmtId="165" fontId="6" fillId="0" borderId="0" xfId="0" applyNumberFormat="1" applyFont="1"/>
    <xf numFmtId="1" fontId="7" fillId="0" borderId="0" xfId="22" applyNumberFormat="1" applyFont="1" applyAlignment="1">
      <alignment horizontal="right"/>
    </xf>
    <xf numFmtId="166" fontId="57" fillId="0" borderId="0" xfId="29" applyNumberFormat="1" applyFont="1" applyFill="1" applyBorder="1" applyAlignment="1">
      <alignment horizontal="right"/>
    </xf>
    <xf numFmtId="168" fontId="68" fillId="0" borderId="0" xfId="10" applyNumberFormat="1" applyFont="1" applyFill="1" applyBorder="1" applyAlignment="1">
      <alignment horizontal="right"/>
    </xf>
    <xf numFmtId="168" fontId="23" fillId="0" borderId="0" xfId="10" applyNumberFormat="1" applyFont="1" applyFill="1" applyBorder="1" applyAlignment="1">
      <alignment horizontal="right"/>
    </xf>
    <xf numFmtId="166" fontId="69" fillId="0" borderId="0" xfId="29" applyNumberFormat="1" applyFont="1" applyFill="1" applyBorder="1" applyAlignment="1">
      <alignment horizontal="right"/>
    </xf>
    <xf numFmtId="9" fontId="26" fillId="0" borderId="0" xfId="29" applyFont="1" applyFill="1"/>
    <xf numFmtId="168" fontId="7" fillId="0" borderId="0" xfId="10" applyNumberFormat="1" applyFont="1" applyFill="1"/>
    <xf numFmtId="168" fontId="16" fillId="0" borderId="0" xfId="10" applyNumberFormat="1" applyFont="1" applyFill="1"/>
    <xf numFmtId="9" fontId="4" fillId="0" borderId="0" xfId="29" applyFont="1" applyFill="1" applyBorder="1" applyAlignment="1"/>
    <xf numFmtId="43" fontId="4" fillId="0" borderId="0" xfId="10" applyFont="1" applyFill="1" applyBorder="1" applyAlignment="1"/>
    <xf numFmtId="10" fontId="8" fillId="0" borderId="0" xfId="29" applyNumberFormat="1" applyFont="1" applyFill="1" applyAlignment="1"/>
    <xf numFmtId="166" fontId="4" fillId="0" borderId="0" xfId="29" applyNumberFormat="1" applyFont="1" applyFill="1" applyAlignment="1">
      <alignment horizontal="right"/>
    </xf>
    <xf numFmtId="173" fontId="15" fillId="0" borderId="0" xfId="18" applyNumberFormat="1" applyFont="1"/>
    <xf numFmtId="10" fontId="15" fillId="0" borderId="0" xfId="29" applyNumberFormat="1" applyFont="1" applyFill="1" applyAlignment="1"/>
    <xf numFmtId="173" fontId="4" fillId="0" borderId="3" xfId="18" applyNumberFormat="1" applyFont="1" applyBorder="1"/>
    <xf numFmtId="166" fontId="15" fillId="0" borderId="0" xfId="29" applyNumberFormat="1" applyFont="1" applyFill="1" applyAlignment="1"/>
    <xf numFmtId="10" fontId="15" fillId="0" borderId="0" xfId="29" applyNumberFormat="1" applyFont="1" applyFill="1" applyBorder="1" applyAlignment="1"/>
    <xf numFmtId="2" fontId="15" fillId="0" borderId="0" xfId="29" applyNumberFormat="1" applyFont="1" applyFill="1" applyAlignment="1"/>
    <xf numFmtId="173" fontId="7" fillId="0" borderId="6" xfId="10" applyNumberFormat="1" applyFont="1" applyFill="1" applyBorder="1" applyAlignment="1"/>
    <xf numFmtId="166" fontId="43" fillId="0" borderId="0" xfId="29" applyNumberFormat="1" applyFont="1" applyFill="1" applyBorder="1" applyAlignment="1"/>
    <xf numFmtId="166" fontId="4" fillId="0" borderId="7" xfId="29" applyNumberFormat="1" applyFont="1" applyFill="1" applyBorder="1" applyAlignment="1"/>
    <xf numFmtId="165" fontId="7" fillId="0" borderId="6" xfId="10" applyNumberFormat="1" applyFont="1" applyFill="1" applyBorder="1" applyAlignment="1"/>
    <xf numFmtId="166" fontId="15" fillId="0" borderId="0" xfId="0" applyNumberFormat="1" applyFont="1"/>
    <xf numFmtId="43" fontId="15" fillId="0" borderId="0" xfId="10" applyFont="1" applyFill="1" applyAlignment="1"/>
    <xf numFmtId="3" fontId="7" fillId="0" borderId="0" xfId="18" applyNumberFormat="1" applyFont="1"/>
    <xf numFmtId="165" fontId="7" fillId="0" borderId="3" xfId="10" applyNumberFormat="1" applyFont="1" applyFill="1" applyBorder="1" applyAlignment="1"/>
    <xf numFmtId="166" fontId="4" fillId="0" borderId="0" xfId="18" applyNumberFormat="1" applyFont="1"/>
    <xf numFmtId="166" fontId="15" fillId="0" borderId="7" xfId="29" applyNumberFormat="1" applyFont="1" applyFill="1" applyBorder="1" applyAlignment="1"/>
    <xf numFmtId="166" fontId="7" fillId="0" borderId="0" xfId="29" applyNumberFormat="1" applyFont="1" applyFill="1" applyAlignment="1"/>
    <xf numFmtId="9" fontId="8" fillId="0" borderId="0" xfId="29" applyFont="1" applyFill="1" applyAlignment="1"/>
    <xf numFmtId="9" fontId="7" fillId="0" borderId="0" xfId="29" applyFont="1" applyFill="1" applyAlignment="1"/>
    <xf numFmtId="168" fontId="4" fillId="0" borderId="0" xfId="10" applyNumberFormat="1" applyFont="1" applyFill="1" applyAlignment="1"/>
    <xf numFmtId="168" fontId="4" fillId="0" borderId="6" xfId="10" applyNumberFormat="1" applyFont="1" applyFill="1" applyBorder="1" applyAlignment="1"/>
    <xf numFmtId="168" fontId="16" fillId="0" borderId="0" xfId="10" applyNumberFormat="1" applyFont="1" applyFill="1" applyAlignment="1"/>
    <xf numFmtId="168" fontId="75" fillId="0" borderId="0" xfId="10" applyNumberFormat="1" applyFont="1" applyFill="1" applyAlignment="1"/>
    <xf numFmtId="168" fontId="75" fillId="0" borderId="6" xfId="10" applyNumberFormat="1" applyFont="1" applyFill="1" applyBorder="1" applyAlignment="1"/>
    <xf numFmtId="168" fontId="4" fillId="0" borderId="7" xfId="10" applyNumberFormat="1" applyFont="1" applyFill="1" applyBorder="1" applyAlignment="1"/>
    <xf numFmtId="168" fontId="4" fillId="0" borderId="0" xfId="10" applyNumberFormat="1" applyFont="1" applyFill="1" applyBorder="1" applyAlignment="1"/>
    <xf numFmtId="43" fontId="16" fillId="0" borderId="0" xfId="10" applyFont="1" applyFill="1" applyAlignment="1"/>
    <xf numFmtId="168" fontId="7" fillId="0" borderId="0" xfId="10" applyNumberFormat="1" applyFont="1" applyFill="1" applyAlignment="1"/>
    <xf numFmtId="3" fontId="4" fillId="0" borderId="0" xfId="10" applyNumberFormat="1" applyFont="1" applyFill="1" applyAlignment="1"/>
    <xf numFmtId="3" fontId="4" fillId="0" borderId="0" xfId="10" applyNumberFormat="1" applyFont="1" applyFill="1" applyBorder="1" applyAlignment="1"/>
    <xf numFmtId="3" fontId="71" fillId="0" borderId="0" xfId="10" applyNumberFormat="1" applyFont="1" applyFill="1" applyAlignment="1"/>
    <xf numFmtId="3" fontId="71" fillId="0" borderId="0" xfId="10" applyNumberFormat="1" applyFont="1" applyFill="1" applyBorder="1" applyAlignment="1"/>
    <xf numFmtId="168" fontId="75" fillId="0" borderId="0" xfId="10" applyNumberFormat="1" applyFont="1" applyFill="1" applyBorder="1" applyAlignment="1"/>
    <xf numFmtId="168" fontId="87" fillId="0" borderId="0" xfId="10" applyNumberFormat="1" applyFont="1" applyFill="1" applyBorder="1" applyAlignment="1"/>
    <xf numFmtId="168" fontId="8" fillId="0" borderId="0" xfId="10" applyNumberFormat="1" applyFont="1" applyFill="1" applyAlignment="1"/>
    <xf numFmtId="168" fontId="87" fillId="0" borderId="0" xfId="10" applyNumberFormat="1" applyFont="1" applyFill="1" applyAlignment="1"/>
    <xf numFmtId="168" fontId="87" fillId="0" borderId="6" xfId="10" applyNumberFormat="1" applyFont="1" applyFill="1" applyBorder="1" applyAlignment="1">
      <alignment horizontal="left"/>
    </xf>
    <xf numFmtId="168" fontId="75" fillId="0" borderId="7" xfId="10" applyNumberFormat="1" applyFont="1" applyFill="1" applyBorder="1" applyAlignment="1"/>
    <xf numFmtId="168" fontId="87" fillId="0" borderId="7" xfId="10" applyNumberFormat="1" applyFont="1" applyFill="1" applyBorder="1" applyAlignment="1"/>
    <xf numFmtId="43" fontId="75" fillId="0" borderId="0" xfId="10" applyFont="1" applyFill="1" applyBorder="1" applyAlignment="1">
      <alignment horizontal="left"/>
    </xf>
    <xf numFmtId="168" fontId="75" fillId="0" borderId="0" xfId="10" applyNumberFormat="1" applyFont="1" applyFill="1" applyBorder="1" applyAlignment="1">
      <alignment horizontal="left"/>
    </xf>
    <xf numFmtId="168" fontId="87" fillId="0" borderId="6" xfId="10" applyNumberFormat="1" applyFont="1" applyFill="1" applyBorder="1" applyAlignment="1"/>
    <xf numFmtId="168" fontId="4" fillId="0" borderId="7" xfId="10" applyNumberFormat="1" applyFont="1" applyFill="1" applyBorder="1" applyAlignment="1">
      <alignment horizontal="left"/>
    </xf>
    <xf numFmtId="3" fontId="7" fillId="0" borderId="7" xfId="10" applyNumberFormat="1" applyFont="1" applyFill="1" applyBorder="1" applyAlignment="1"/>
    <xf numFmtId="168" fontId="7" fillId="0" borderId="7" xfId="10" applyNumberFormat="1" applyFont="1" applyFill="1" applyBorder="1" applyAlignment="1"/>
    <xf numFmtId="3" fontId="4" fillId="0" borderId="0" xfId="29" applyNumberFormat="1" applyFont="1" applyFill="1" applyBorder="1" applyAlignment="1"/>
    <xf numFmtId="3" fontId="7" fillId="0" borderId="3" xfId="29" applyNumberFormat="1" applyFont="1" applyFill="1" applyBorder="1" applyAlignment="1"/>
    <xf numFmtId="169" fontId="4" fillId="0" borderId="0" xfId="10" applyNumberFormat="1" applyFont="1" applyFill="1" applyBorder="1" applyAlignment="1"/>
    <xf numFmtId="173" fontId="37" fillId="0" borderId="0" xfId="18" applyNumberFormat="1" applyFont="1"/>
    <xf numFmtId="173" fontId="7" fillId="0" borderId="3" xfId="29" applyNumberFormat="1" applyFont="1" applyFill="1" applyBorder="1" applyAlignment="1"/>
    <xf numFmtId="3" fontId="4" fillId="0" borderId="0" xfId="29" applyNumberFormat="1" applyFont="1" applyFill="1" applyAlignment="1"/>
    <xf numFmtId="166" fontId="8" fillId="0" borderId="0" xfId="29" applyNumberFormat="1" applyFont="1" applyFill="1" applyAlignment="1"/>
    <xf numFmtId="10" fontId="7" fillId="0" borderId="0" xfId="29" applyNumberFormat="1" applyFont="1" applyFill="1" applyAlignment="1"/>
    <xf numFmtId="173" fontId="7" fillId="0" borderId="0" xfId="29" applyNumberFormat="1" applyFont="1" applyFill="1" applyBorder="1" applyAlignment="1"/>
    <xf numFmtId="173" fontId="4" fillId="0" borderId="0" xfId="29" applyNumberFormat="1" applyFont="1" applyFill="1" applyBorder="1" applyAlignment="1"/>
    <xf numFmtId="173" fontId="7" fillId="0" borderId="0" xfId="29" applyNumberFormat="1" applyFont="1" applyFill="1" applyAlignment="1"/>
    <xf numFmtId="173" fontId="7" fillId="0" borderId="0" xfId="0" applyNumberFormat="1" applyFont="1"/>
    <xf numFmtId="4" fontId="15" fillId="0" borderId="0" xfId="18" applyNumberFormat="1" applyFont="1"/>
    <xf numFmtId="168" fontId="7" fillId="0" borderId="6" xfId="10" applyNumberFormat="1" applyFont="1" applyFill="1" applyBorder="1" applyAlignment="1"/>
    <xf numFmtId="173" fontId="7" fillId="0" borderId="0" xfId="10" applyNumberFormat="1" applyFont="1" applyFill="1" applyBorder="1" applyAlignment="1"/>
    <xf numFmtId="169" fontId="77" fillId="17" borderId="0" xfId="10" applyNumberFormat="1" applyFont="1" applyFill="1" applyBorder="1" applyAlignment="1">
      <alignment horizontal="right"/>
    </xf>
    <xf numFmtId="169" fontId="8" fillId="17" borderId="0" xfId="10" applyNumberFormat="1" applyFont="1" applyFill="1" applyBorder="1" applyAlignment="1">
      <alignment horizontal="right"/>
    </xf>
    <xf numFmtId="0" fontId="4" fillId="17" borderId="0" xfId="21" applyFont="1" applyFill="1"/>
    <xf numFmtId="169" fontId="4" fillId="17" borderId="0" xfId="12" applyNumberFormat="1" applyFont="1" applyFill="1" applyBorder="1"/>
    <xf numFmtId="168" fontId="7" fillId="17" borderId="0" xfId="12" applyNumberFormat="1" applyFont="1" applyFill="1" applyBorder="1"/>
    <xf numFmtId="168" fontId="4" fillId="17" borderId="0" xfId="12" applyNumberFormat="1" applyFont="1" applyFill="1" applyBorder="1"/>
    <xf numFmtId="166" fontId="7" fillId="17" borderId="0" xfId="32" applyNumberFormat="1" applyFont="1" applyFill="1" applyBorder="1"/>
    <xf numFmtId="164" fontId="4" fillId="17" borderId="0" xfId="21" applyNumberFormat="1" applyFont="1" applyFill="1"/>
    <xf numFmtId="164" fontId="7" fillId="17" borderId="0" xfId="21" applyNumberFormat="1" applyFont="1" applyFill="1"/>
    <xf numFmtId="168" fontId="15" fillId="17" borderId="0" xfId="12" applyNumberFormat="1" applyFont="1" applyFill="1" applyBorder="1"/>
    <xf numFmtId="169" fontId="7" fillId="17" borderId="0" xfId="12" applyNumberFormat="1" applyFont="1" applyFill="1" applyBorder="1"/>
    <xf numFmtId="168" fontId="4" fillId="17" borderId="0" xfId="21" applyNumberFormat="1" applyFont="1" applyFill="1"/>
    <xf numFmtId="0" fontId="7" fillId="17" borderId="0" xfId="21" applyFont="1" applyFill="1"/>
    <xf numFmtId="166" fontId="13" fillId="17" borderId="0" xfId="32" applyNumberFormat="1" applyFont="1" applyFill="1" applyBorder="1"/>
    <xf numFmtId="43" fontId="4" fillId="17" borderId="0" xfId="12" applyFont="1" applyFill="1" applyBorder="1"/>
    <xf numFmtId="169" fontId="13" fillId="17" borderId="0" xfId="12" applyNumberFormat="1" applyFont="1" applyFill="1" applyBorder="1"/>
    <xf numFmtId="169" fontId="7" fillId="17" borderId="0" xfId="10" applyNumberFormat="1" applyFont="1" applyFill="1" applyBorder="1" applyAlignment="1">
      <alignment horizontal="right"/>
    </xf>
    <xf numFmtId="166" fontId="4" fillId="17" borderId="0" xfId="32" applyNumberFormat="1" applyFont="1" applyFill="1" applyBorder="1"/>
    <xf numFmtId="169" fontId="87" fillId="12" borderId="0" xfId="10" applyNumberFormat="1" applyFont="1" applyFill="1" applyBorder="1" applyAlignment="1">
      <alignment horizontal="right"/>
    </xf>
    <xf numFmtId="169" fontId="4" fillId="12" borderId="0" xfId="10" applyNumberFormat="1" applyFont="1" applyFill="1" applyBorder="1" applyAlignment="1">
      <alignment horizontal="right"/>
    </xf>
    <xf numFmtId="169" fontId="4" fillId="12" borderId="0" xfId="12" applyNumberFormat="1" applyFont="1" applyFill="1" applyBorder="1" applyAlignment="1">
      <alignment horizontal="right"/>
    </xf>
    <xf numFmtId="169" fontId="88" fillId="12" borderId="0" xfId="10" applyNumberFormat="1" applyFont="1" applyFill="1" applyBorder="1" applyAlignment="1">
      <alignment horizontal="right"/>
    </xf>
    <xf numFmtId="169" fontId="87" fillId="0" borderId="0" xfId="10" applyNumberFormat="1" applyFont="1" applyFill="1" applyBorder="1" applyAlignment="1">
      <alignment horizontal="right"/>
    </xf>
    <xf numFmtId="169" fontId="87" fillId="0" borderId="0" xfId="12" applyNumberFormat="1" applyFont="1" applyFill="1" applyBorder="1" applyAlignment="1">
      <alignment horizontal="right"/>
    </xf>
    <xf numFmtId="169" fontId="75" fillId="0" borderId="0" xfId="12" applyNumberFormat="1" applyFont="1" applyFill="1" applyBorder="1" applyAlignment="1">
      <alignment horizontal="right"/>
    </xf>
    <xf numFmtId="182" fontId="46" fillId="0" borderId="0" xfId="10" applyNumberFormat="1" applyFont="1" applyFill="1" applyBorder="1" applyAlignment="1">
      <alignment horizontal="right"/>
    </xf>
    <xf numFmtId="174" fontId="7" fillId="0" borderId="3" xfId="12" applyNumberFormat="1" applyFont="1" applyFill="1" applyBorder="1" applyAlignment="1">
      <alignment horizontal="right"/>
    </xf>
    <xf numFmtId="168" fontId="47" fillId="0" borderId="0" xfId="10" applyNumberFormat="1" applyFont="1" applyFill="1" applyBorder="1" applyAlignment="1">
      <alignment horizontal="right"/>
    </xf>
    <xf numFmtId="17" fontId="4" fillId="0" borderId="0" xfId="32" applyNumberFormat="1" applyFont="1" applyFill="1" applyBorder="1"/>
    <xf numFmtId="165" fontId="76" fillId="0" borderId="0" xfId="21" applyNumberFormat="1" applyFont="1"/>
    <xf numFmtId="9" fontId="4" fillId="0" borderId="0" xfId="29" applyFont="1" applyFill="1" applyBorder="1"/>
    <xf numFmtId="205" fontId="4" fillId="0" borderId="0" xfId="29" applyNumberFormat="1" applyFont="1" applyFill="1" applyBorder="1"/>
    <xf numFmtId="43" fontId="13" fillId="0" borderId="0" xfId="12" applyFont="1" applyFill="1" applyBorder="1"/>
    <xf numFmtId="165" fontId="87" fillId="0" borderId="0" xfId="21" applyNumberFormat="1" applyFont="1"/>
    <xf numFmtId="4" fontId="4" fillId="12" borderId="0" xfId="0" applyNumberFormat="1" applyFont="1" applyFill="1"/>
    <xf numFmtId="165" fontId="4" fillId="12" borderId="0" xfId="0" applyNumberFormat="1" applyFont="1" applyFill="1"/>
    <xf numFmtId="10" fontId="40" fillId="12" borderId="0" xfId="21" applyNumberFormat="1" applyFont="1" applyFill="1"/>
    <xf numFmtId="166" fontId="15" fillId="12" borderId="0" xfId="32" applyNumberFormat="1" applyFont="1" applyFill="1" applyBorder="1"/>
    <xf numFmtId="43" fontId="4" fillId="12" borderId="0" xfId="12" applyFont="1" applyFill="1" applyBorder="1"/>
    <xf numFmtId="43" fontId="7" fillId="12" borderId="0" xfId="12" applyFont="1" applyFill="1" applyBorder="1"/>
    <xf numFmtId="166" fontId="7" fillId="12" borderId="0" xfId="32" applyNumberFormat="1" applyFont="1" applyFill="1" applyBorder="1"/>
    <xf numFmtId="198" fontId="4" fillId="12" borderId="0" xfId="21" applyNumberFormat="1" applyFont="1" applyFill="1"/>
    <xf numFmtId="43" fontId="13" fillId="12" borderId="0" xfId="12" applyFont="1" applyFill="1" applyBorder="1"/>
    <xf numFmtId="177" fontId="15" fillId="12" borderId="0" xfId="32" applyNumberFormat="1" applyFont="1" applyFill="1" applyBorder="1"/>
    <xf numFmtId="14" fontId="4" fillId="12" borderId="0" xfId="21" applyNumberFormat="1" applyFont="1" applyFill="1"/>
    <xf numFmtId="166" fontId="4" fillId="12" borderId="0" xfId="32" applyNumberFormat="1" applyFont="1" applyFill="1" applyBorder="1"/>
    <xf numFmtId="43" fontId="4" fillId="12" borderId="0" xfId="21" applyNumberFormat="1" applyFont="1" applyFill="1"/>
    <xf numFmtId="0" fontId="18" fillId="12" borderId="0" xfId="21" applyFont="1" applyFill="1"/>
    <xf numFmtId="168" fontId="7" fillId="12" borderId="0" xfId="12" applyNumberFormat="1" applyFont="1" applyFill="1" applyBorder="1"/>
    <xf numFmtId="9" fontId="4" fillId="12" borderId="0" xfId="32" applyFont="1" applyFill="1" applyBorder="1"/>
    <xf numFmtId="164" fontId="4" fillId="12" borderId="0" xfId="21" applyNumberFormat="1" applyFont="1" applyFill="1"/>
    <xf numFmtId="164" fontId="7" fillId="12" borderId="0" xfId="21" applyNumberFormat="1" applyFont="1" applyFill="1"/>
    <xf numFmtId="168" fontId="15" fillId="12" borderId="0" xfId="12" applyNumberFormat="1" applyFont="1" applyFill="1" applyBorder="1"/>
    <xf numFmtId="169" fontId="7" fillId="12" borderId="0" xfId="12" applyNumberFormat="1" applyFont="1" applyFill="1" applyBorder="1"/>
    <xf numFmtId="168" fontId="4" fillId="12" borderId="0" xfId="21" applyNumberFormat="1" applyFont="1" applyFill="1"/>
    <xf numFmtId="178" fontId="7" fillId="12" borderId="0" xfId="21" applyNumberFormat="1" applyFont="1" applyFill="1"/>
    <xf numFmtId="164" fontId="13" fillId="12" borderId="0" xfId="21" applyNumberFormat="1" applyFont="1" applyFill="1"/>
    <xf numFmtId="0" fontId="13" fillId="12" borderId="0" xfId="21" applyFont="1" applyFill="1"/>
    <xf numFmtId="166" fontId="13" fillId="12" borderId="0" xfId="32" applyNumberFormat="1" applyFont="1" applyFill="1" applyBorder="1"/>
    <xf numFmtId="168" fontId="13" fillId="12" borderId="0" xfId="12" applyNumberFormat="1" applyFont="1" applyFill="1" applyBorder="1"/>
    <xf numFmtId="169" fontId="4" fillId="12" borderId="0" xfId="12" applyNumberFormat="1" applyFont="1" applyFill="1" applyBorder="1"/>
    <xf numFmtId="0" fontId="3" fillId="12" borderId="0" xfId="0" applyFont="1" applyFill="1"/>
    <xf numFmtId="166" fontId="4" fillId="12" borderId="0" xfId="29" applyNumberFormat="1" applyFont="1" applyFill="1" applyBorder="1"/>
    <xf numFmtId="169" fontId="77" fillId="12" borderId="0" xfId="10" applyNumberFormat="1" applyFont="1" applyFill="1" applyBorder="1" applyAlignment="1">
      <alignment horizontal="right"/>
    </xf>
    <xf numFmtId="169" fontId="8" fillId="12" borderId="0" xfId="10" applyNumberFormat="1" applyFont="1" applyFill="1" applyBorder="1" applyAlignment="1">
      <alignment horizontal="right"/>
    </xf>
    <xf numFmtId="169" fontId="76" fillId="12" borderId="0" xfId="10" applyNumberFormat="1" applyFont="1" applyFill="1" applyBorder="1" applyAlignment="1">
      <alignment horizontal="right"/>
    </xf>
    <xf numFmtId="169" fontId="4" fillId="12" borderId="0" xfId="21" applyNumberFormat="1" applyFont="1" applyFill="1"/>
    <xf numFmtId="169" fontId="46" fillId="12" borderId="0" xfId="10" applyNumberFormat="1" applyFont="1" applyFill="1" applyBorder="1" applyAlignment="1">
      <alignment horizontal="right"/>
    </xf>
    <xf numFmtId="0" fontId="44" fillId="12" borderId="0" xfId="21" applyFont="1" applyFill="1"/>
    <xf numFmtId="165" fontId="4" fillId="12" borderId="0" xfId="21" applyNumberFormat="1" applyFont="1" applyFill="1"/>
    <xf numFmtId="168" fontId="8" fillId="12" borderId="0" xfId="12" applyNumberFormat="1" applyFont="1" applyFill="1" applyBorder="1" applyAlignment="1">
      <alignment horizontal="right"/>
    </xf>
    <xf numFmtId="0" fontId="7" fillId="12" borderId="0" xfId="18" applyFont="1" applyFill="1" applyAlignment="1">
      <alignment horizontal="left"/>
    </xf>
    <xf numFmtId="3" fontId="4" fillId="12" borderId="0" xfId="18" applyNumberFormat="1" applyFont="1" applyFill="1" applyAlignment="1">
      <alignment horizontal="left"/>
    </xf>
    <xf numFmtId="173" fontId="4" fillId="12" borderId="0" xfId="18" applyNumberFormat="1" applyFont="1" applyFill="1" applyAlignment="1">
      <alignment horizontal="left"/>
    </xf>
    <xf numFmtId="173" fontId="4" fillId="12" borderId="3" xfId="18" applyNumberFormat="1" applyFont="1" applyFill="1" applyBorder="1" applyAlignment="1">
      <alignment horizontal="left"/>
    </xf>
    <xf numFmtId="166" fontId="4" fillId="12" borderId="0" xfId="12" applyNumberFormat="1" applyFont="1" applyFill="1" applyBorder="1"/>
    <xf numFmtId="166" fontId="17" fillId="12" borderId="0" xfId="32" applyNumberFormat="1" applyFont="1" applyFill="1" applyBorder="1"/>
    <xf numFmtId="164" fontId="15" fillId="12" borderId="0" xfId="32" applyNumberFormat="1" applyFont="1" applyFill="1" applyBorder="1" applyAlignment="1">
      <alignment horizontal="left"/>
    </xf>
    <xf numFmtId="166" fontId="4" fillId="12" borderId="0" xfId="32" applyNumberFormat="1" applyFont="1" applyFill="1" applyBorder="1" applyAlignment="1">
      <alignment horizontal="right"/>
    </xf>
    <xf numFmtId="166" fontId="16" fillId="12" borderId="0" xfId="32" applyNumberFormat="1" applyFont="1" applyFill="1" applyBorder="1" applyAlignment="1">
      <alignment horizontal="right"/>
    </xf>
    <xf numFmtId="169" fontId="16" fillId="12" borderId="0" xfId="12" applyNumberFormat="1" applyFont="1" applyFill="1" applyBorder="1" applyAlignment="1">
      <alignment horizontal="right"/>
    </xf>
    <xf numFmtId="164" fontId="47" fillId="12" borderId="0" xfId="32" applyNumberFormat="1" applyFont="1" applyFill="1" applyBorder="1" applyAlignment="1">
      <alignment horizontal="left"/>
    </xf>
    <xf numFmtId="166" fontId="47" fillId="12" borderId="0" xfId="32" applyNumberFormat="1" applyFont="1" applyFill="1" applyBorder="1" applyAlignment="1">
      <alignment horizontal="right"/>
    </xf>
    <xf numFmtId="169" fontId="47" fillId="12" borderId="0" xfId="12" applyNumberFormat="1" applyFont="1" applyFill="1" applyBorder="1" applyAlignment="1">
      <alignment horizontal="right"/>
    </xf>
    <xf numFmtId="0" fontId="47" fillId="12" borderId="0" xfId="0" applyFont="1" applyFill="1" applyAlignment="1">
      <alignment horizontal="right"/>
    </xf>
    <xf numFmtId="169" fontId="15" fillId="12" borderId="0" xfId="12" applyNumberFormat="1" applyFont="1" applyFill="1" applyBorder="1" applyAlignment="1">
      <alignment horizontal="right"/>
    </xf>
    <xf numFmtId="0" fontId="15" fillId="12" borderId="0" xfId="0" applyFont="1" applyFill="1" applyAlignment="1">
      <alignment horizontal="right"/>
    </xf>
    <xf numFmtId="9" fontId="4" fillId="12" borderId="0" xfId="29" applyFont="1" applyFill="1" applyBorder="1"/>
    <xf numFmtId="168" fontId="47" fillId="12" borderId="0" xfId="10" applyNumberFormat="1" applyFont="1" applyFill="1" applyBorder="1" applyAlignment="1">
      <alignment horizontal="right"/>
    </xf>
    <xf numFmtId="166" fontId="20" fillId="12" borderId="0" xfId="32" applyNumberFormat="1" applyFont="1" applyFill="1" applyBorder="1" applyAlignment="1">
      <alignment horizontal="right"/>
    </xf>
    <xf numFmtId="43" fontId="20" fillId="12" borderId="0" xfId="12" applyFont="1" applyFill="1" applyBorder="1" applyAlignment="1">
      <alignment horizontal="right"/>
    </xf>
    <xf numFmtId="169" fontId="20" fillId="12" borderId="0" xfId="12" applyNumberFormat="1" applyFont="1" applyFill="1" applyBorder="1" applyAlignment="1">
      <alignment horizontal="right"/>
    </xf>
    <xf numFmtId="9" fontId="4" fillId="12" borderId="0" xfId="29" applyFont="1" applyFill="1" applyBorder="1" applyAlignment="1">
      <alignment horizontal="right"/>
    </xf>
    <xf numFmtId="165" fontId="76" fillId="12" borderId="0" xfId="21" applyNumberFormat="1" applyFont="1" applyFill="1"/>
    <xf numFmtId="166" fontId="16" fillId="12" borderId="0" xfId="32" applyNumberFormat="1" applyFont="1" applyFill="1" applyBorder="1"/>
    <xf numFmtId="197" fontId="4" fillId="12" borderId="0" xfId="12" applyNumberFormat="1" applyFont="1" applyFill="1" applyBorder="1"/>
    <xf numFmtId="9" fontId="15" fillId="12" borderId="0" xfId="32" applyFont="1" applyFill="1" applyBorder="1"/>
    <xf numFmtId="168" fontId="15" fillId="12" borderId="0" xfId="12" applyNumberFormat="1" applyFont="1" applyFill="1" applyBorder="1" applyAlignment="1">
      <alignment horizontal="right"/>
    </xf>
    <xf numFmtId="10" fontId="15" fillId="12" borderId="0" xfId="32" applyNumberFormat="1" applyFont="1" applyFill="1" applyBorder="1" applyAlignment="1">
      <alignment horizontal="right"/>
    </xf>
    <xf numFmtId="164" fontId="4" fillId="12" borderId="0" xfId="32" applyNumberFormat="1" applyFont="1" applyFill="1" applyBorder="1" applyAlignment="1">
      <alignment horizontal="left"/>
    </xf>
    <xf numFmtId="164" fontId="7" fillId="12" borderId="0" xfId="32" applyNumberFormat="1" applyFont="1" applyFill="1" applyBorder="1" applyAlignment="1">
      <alignment horizontal="left"/>
    </xf>
    <xf numFmtId="168" fontId="7" fillId="12" borderId="0" xfId="12" applyNumberFormat="1" applyFont="1" applyFill="1" applyBorder="1" applyAlignment="1">
      <alignment horizontal="right"/>
    </xf>
    <xf numFmtId="169" fontId="7" fillId="12" borderId="0" xfId="12" applyNumberFormat="1" applyFont="1" applyFill="1" applyBorder="1" applyAlignment="1">
      <alignment horizontal="right"/>
    </xf>
    <xf numFmtId="43" fontId="7" fillId="12" borderId="0" xfId="12" applyFont="1" applyFill="1" applyBorder="1" applyAlignment="1">
      <alignment horizontal="right"/>
    </xf>
    <xf numFmtId="43" fontId="4" fillId="12" borderId="0" xfId="12" applyFont="1" applyFill="1" applyBorder="1" applyAlignment="1">
      <alignment horizontal="right"/>
    </xf>
    <xf numFmtId="164" fontId="19" fillId="12" borderId="0" xfId="32" applyNumberFormat="1" applyFont="1" applyFill="1" applyBorder="1" applyAlignment="1">
      <alignment horizontal="left"/>
    </xf>
    <xf numFmtId="166" fontId="46" fillId="12" borderId="0" xfId="32" applyNumberFormat="1" applyFont="1" applyFill="1" applyBorder="1" applyAlignment="1">
      <alignment horizontal="right"/>
    </xf>
    <xf numFmtId="9" fontId="7" fillId="12" borderId="0" xfId="32" applyFont="1" applyFill="1" applyBorder="1" applyAlignment="1">
      <alignment horizontal="right"/>
    </xf>
    <xf numFmtId="164" fontId="8" fillId="12" borderId="0" xfId="32" applyNumberFormat="1" applyFont="1" applyFill="1" applyBorder="1" applyAlignment="1">
      <alignment horizontal="right"/>
    </xf>
    <xf numFmtId="166" fontId="8" fillId="12" borderId="0" xfId="32" applyNumberFormat="1" applyFont="1" applyFill="1" applyBorder="1" applyAlignment="1">
      <alignment horizontal="right"/>
    </xf>
    <xf numFmtId="176" fontId="8" fillId="12" borderId="0" xfId="32" applyNumberFormat="1" applyFont="1" applyFill="1" applyBorder="1" applyAlignment="1">
      <alignment horizontal="right"/>
    </xf>
    <xf numFmtId="166" fontId="19" fillId="12" borderId="0" xfId="32" applyNumberFormat="1" applyFont="1" applyFill="1" applyBorder="1" applyAlignment="1">
      <alignment horizontal="right"/>
    </xf>
    <xf numFmtId="169" fontId="84" fillId="12" borderId="0" xfId="12" applyNumberFormat="1" applyFont="1" applyFill="1" applyBorder="1" applyAlignment="1">
      <alignment horizontal="right"/>
    </xf>
    <xf numFmtId="168" fontId="84" fillId="12" borderId="0" xfId="12" applyNumberFormat="1" applyFont="1" applyFill="1" applyBorder="1" applyAlignment="1">
      <alignment horizontal="right"/>
    </xf>
    <xf numFmtId="169" fontId="84" fillId="12" borderId="10" xfId="12" applyNumberFormat="1" applyFont="1" applyFill="1" applyBorder="1" applyAlignment="1">
      <alignment horizontal="right"/>
    </xf>
    <xf numFmtId="10" fontId="15" fillId="12" borderId="0" xfId="32" applyNumberFormat="1" applyFont="1" applyFill="1" applyBorder="1" applyAlignment="1">
      <alignment horizontal="left"/>
    </xf>
    <xf numFmtId="166" fontId="7" fillId="12" borderId="0" xfId="32" applyNumberFormat="1" applyFont="1" applyFill="1" applyBorder="1" applyAlignment="1">
      <alignment horizontal="left"/>
    </xf>
    <xf numFmtId="168" fontId="7" fillId="12" borderId="0" xfId="10" applyNumberFormat="1" applyFont="1" applyFill="1" applyBorder="1" applyAlignment="1">
      <alignment horizontal="right"/>
    </xf>
    <xf numFmtId="166" fontId="15" fillId="12" borderId="0" xfId="32" applyNumberFormat="1" applyFont="1" applyFill="1" applyBorder="1" applyAlignment="1">
      <alignment horizontal="left"/>
    </xf>
    <xf numFmtId="10" fontId="4" fillId="12" borderId="0" xfId="29" applyNumberFormat="1" applyFont="1" applyFill="1" applyBorder="1" applyAlignment="1">
      <alignment horizontal="right"/>
    </xf>
    <xf numFmtId="166" fontId="4" fillId="12" borderId="0" xfId="32" applyNumberFormat="1" applyFont="1" applyFill="1" applyBorder="1" applyAlignment="1">
      <alignment horizontal="left"/>
    </xf>
    <xf numFmtId="169" fontId="75" fillId="12" borderId="0" xfId="10" applyNumberFormat="1" applyFont="1" applyFill="1" applyBorder="1" applyAlignment="1">
      <alignment horizontal="right"/>
    </xf>
    <xf numFmtId="166" fontId="16" fillId="12" borderId="0" xfId="32" applyNumberFormat="1" applyFont="1" applyFill="1" applyBorder="1" applyAlignment="1">
      <alignment horizontal="left"/>
    </xf>
    <xf numFmtId="3" fontId="7" fillId="12" borderId="0" xfId="18" applyNumberFormat="1" applyFont="1" applyFill="1" applyAlignment="1">
      <alignment horizontal="left"/>
    </xf>
    <xf numFmtId="173" fontId="7" fillId="12" borderId="0" xfId="18" applyNumberFormat="1" applyFont="1" applyFill="1" applyAlignment="1">
      <alignment horizontal="left"/>
    </xf>
    <xf numFmtId="173" fontId="76" fillId="12" borderId="3" xfId="18" applyNumberFormat="1" applyFont="1" applyFill="1" applyBorder="1"/>
    <xf numFmtId="173" fontId="8" fillId="12" borderId="3" xfId="18" applyNumberFormat="1" applyFont="1" applyFill="1" applyBorder="1"/>
    <xf numFmtId="173" fontId="77" fillId="12" borderId="3" xfId="18" applyNumberFormat="1" applyFont="1" applyFill="1" applyBorder="1"/>
    <xf numFmtId="173" fontId="37" fillId="12" borderId="3" xfId="18" applyNumberFormat="1" applyFont="1" applyFill="1" applyBorder="1"/>
    <xf numFmtId="173" fontId="4" fillId="12" borderId="0" xfId="18" quotePrefix="1" applyNumberFormat="1" applyFont="1" applyFill="1" applyAlignment="1">
      <alignment horizontal="left"/>
    </xf>
    <xf numFmtId="173" fontId="77" fillId="12" borderId="0" xfId="18" applyNumberFormat="1" applyFont="1" applyFill="1"/>
    <xf numFmtId="173" fontId="8" fillId="12" borderId="0" xfId="18" applyNumberFormat="1" applyFont="1" applyFill="1"/>
    <xf numFmtId="173" fontId="76" fillId="12" borderId="0" xfId="18" applyNumberFormat="1" applyFont="1" applyFill="1"/>
    <xf numFmtId="10" fontId="4" fillId="12" borderId="9" xfId="29" applyNumberFormat="1" applyFont="1" applyFill="1" applyBorder="1" applyAlignment="1"/>
    <xf numFmtId="165" fontId="4" fillId="12" borderId="0" xfId="22" applyNumberFormat="1" applyFill="1" applyAlignment="1">
      <alignment horizontal="left"/>
    </xf>
    <xf numFmtId="164" fontId="4" fillId="12" borderId="0" xfId="29" applyNumberFormat="1" applyFont="1" applyFill="1" applyBorder="1" applyAlignment="1">
      <alignment horizontal="right"/>
    </xf>
    <xf numFmtId="167" fontId="4" fillId="12" borderId="0" xfId="29" applyNumberFormat="1" applyFont="1" applyFill="1" applyBorder="1" applyAlignment="1">
      <alignment horizontal="right"/>
    </xf>
    <xf numFmtId="168" fontId="76" fillId="12" borderId="0" xfId="10" applyNumberFormat="1" applyFont="1" applyFill="1" applyBorder="1" applyAlignment="1">
      <alignment horizontal="right"/>
    </xf>
    <xf numFmtId="168" fontId="4" fillId="12" borderId="0" xfId="10" applyNumberFormat="1" applyFont="1" applyFill="1"/>
    <xf numFmtId="168" fontId="7" fillId="12" borderId="0" xfId="10" applyNumberFormat="1" applyFont="1" applyFill="1" applyBorder="1" applyAlignment="1">
      <alignment horizontal="left"/>
    </xf>
    <xf numFmtId="168" fontId="8" fillId="12" borderId="0" xfId="10" applyNumberFormat="1" applyFont="1" applyFill="1" applyBorder="1" applyAlignment="1">
      <alignment horizontal="right"/>
    </xf>
    <xf numFmtId="1" fontId="11" fillId="12" borderId="0" xfId="22" applyNumberFormat="1" applyFont="1" applyFill="1" applyAlignment="1">
      <alignment horizontal="left"/>
    </xf>
    <xf numFmtId="168" fontId="11" fillId="12" borderId="0" xfId="10" applyNumberFormat="1" applyFont="1" applyFill="1" applyBorder="1" applyAlignment="1">
      <alignment horizontal="right"/>
    </xf>
    <xf numFmtId="43" fontId="11" fillId="12" borderId="0" xfId="10" applyFont="1" applyFill="1" applyBorder="1" applyAlignment="1">
      <alignment horizontal="right"/>
    </xf>
    <xf numFmtId="169" fontId="11" fillId="12" borderId="0" xfId="10" applyNumberFormat="1" applyFont="1" applyFill="1" applyBorder="1" applyAlignment="1">
      <alignment horizontal="right"/>
    </xf>
    <xf numFmtId="181" fontId="11" fillId="12" borderId="0" xfId="10" applyNumberFormat="1" applyFont="1" applyFill="1" applyBorder="1" applyAlignment="1">
      <alignment horizontal="right"/>
    </xf>
    <xf numFmtId="168" fontId="4" fillId="12" borderId="0" xfId="0" applyNumberFormat="1" applyFont="1" applyFill="1"/>
    <xf numFmtId="165" fontId="13" fillId="12" borderId="0" xfId="22" applyNumberFormat="1" applyFont="1" applyFill="1" applyAlignment="1">
      <alignment horizontal="left"/>
    </xf>
    <xf numFmtId="165" fontId="4" fillId="12" borderId="0" xfId="22" applyNumberFormat="1" applyFill="1" applyAlignment="1">
      <alignment horizontal="right"/>
    </xf>
    <xf numFmtId="165" fontId="15" fillId="12" borderId="0" xfId="22" applyNumberFormat="1" applyFont="1" applyFill="1" applyAlignment="1">
      <alignment horizontal="left"/>
    </xf>
    <xf numFmtId="166" fontId="15" fillId="12" borderId="0" xfId="29" applyNumberFormat="1" applyFont="1" applyFill="1" applyBorder="1" applyAlignment="1">
      <alignment horizontal="right"/>
    </xf>
    <xf numFmtId="1" fontId="4" fillId="12" borderId="0" xfId="22" applyNumberFormat="1" applyFill="1" applyAlignment="1">
      <alignment horizontal="right"/>
    </xf>
    <xf numFmtId="170" fontId="4" fillId="12" borderId="0" xfId="29" applyNumberFormat="1" applyFont="1" applyFill="1" applyBorder="1" applyAlignment="1">
      <alignment horizontal="right"/>
    </xf>
    <xf numFmtId="166" fontId="15" fillId="12" borderId="0" xfId="29" applyNumberFormat="1" applyFont="1" applyFill="1" applyBorder="1" applyAlignment="1">
      <alignment horizontal="left"/>
    </xf>
    <xf numFmtId="164" fontId="7" fillId="12" borderId="0" xfId="22" applyNumberFormat="1" applyFont="1" applyFill="1" applyAlignment="1">
      <alignment horizontal="right"/>
    </xf>
    <xf numFmtId="164" fontId="4" fillId="12" borderId="0" xfId="22" applyNumberFormat="1" applyFill="1" applyAlignment="1">
      <alignment horizontal="right"/>
    </xf>
    <xf numFmtId="164" fontId="4" fillId="12" borderId="0" xfId="22" applyNumberFormat="1" applyFill="1" applyAlignment="1">
      <alignment horizontal="left"/>
    </xf>
    <xf numFmtId="165" fontId="7" fillId="12" borderId="0" xfId="22" applyNumberFormat="1" applyFont="1" applyFill="1" applyAlignment="1">
      <alignment horizontal="left"/>
    </xf>
    <xf numFmtId="166" fontId="4" fillId="12" borderId="0" xfId="29" applyNumberFormat="1" applyFont="1" applyFill="1"/>
    <xf numFmtId="165" fontId="4" fillId="12" borderId="3" xfId="22" applyNumberFormat="1" applyFill="1" applyBorder="1" applyAlignment="1">
      <alignment horizontal="left"/>
    </xf>
    <xf numFmtId="169" fontId="4" fillId="12" borderId="3" xfId="10" applyNumberFormat="1" applyFont="1" applyFill="1" applyBorder="1" applyAlignment="1">
      <alignment horizontal="right"/>
    </xf>
    <xf numFmtId="168" fontId="49" fillId="12" borderId="0" xfId="10" applyNumberFormat="1" applyFont="1" applyFill="1" applyBorder="1" applyAlignment="1">
      <alignment horizontal="right"/>
    </xf>
    <xf numFmtId="0" fontId="58" fillId="12" borderId="0" xfId="0" applyFont="1" applyFill="1"/>
    <xf numFmtId="168" fontId="58" fillId="12" borderId="0" xfId="10" applyNumberFormat="1" applyFont="1" applyFill="1" applyBorder="1" applyAlignment="1">
      <alignment horizontal="right"/>
    </xf>
    <xf numFmtId="43" fontId="58" fillId="12" borderId="0" xfId="10" applyFont="1" applyFill="1" applyBorder="1" applyAlignment="1">
      <alignment horizontal="right"/>
    </xf>
    <xf numFmtId="168" fontId="9" fillId="12" borderId="0" xfId="10" applyNumberFormat="1" applyFont="1" applyFill="1" applyBorder="1" applyAlignment="1">
      <alignment horizontal="right"/>
    </xf>
    <xf numFmtId="0" fontId="13" fillId="12" borderId="0" xfId="0" applyFont="1" applyFill="1"/>
    <xf numFmtId="0" fontId="7" fillId="12" borderId="0" xfId="0" applyFont="1" applyFill="1"/>
    <xf numFmtId="0" fontId="7" fillId="12" borderId="3" xfId="0" applyFont="1" applyFill="1" applyBorder="1"/>
    <xf numFmtId="168" fontId="4" fillId="12" borderId="3" xfId="10" applyNumberFormat="1" applyFont="1" applyFill="1" applyBorder="1" applyAlignment="1">
      <alignment horizontal="right"/>
    </xf>
    <xf numFmtId="166" fontId="19" fillId="12" borderId="0" xfId="29" applyNumberFormat="1" applyFont="1" applyFill="1" applyBorder="1" applyAlignment="1">
      <alignment horizontal="right"/>
    </xf>
    <xf numFmtId="43" fontId="4" fillId="12" borderId="0" xfId="10" applyFont="1" applyFill="1" applyBorder="1" applyAlignment="1">
      <alignment horizontal="left"/>
    </xf>
    <xf numFmtId="169" fontId="49" fillId="12" borderId="0" xfId="10" applyNumberFormat="1" applyFont="1" applyFill="1" applyBorder="1" applyAlignment="1"/>
    <xf numFmtId="169" fontId="76" fillId="12" borderId="0" xfId="10" applyNumberFormat="1" applyFont="1" applyFill="1" applyBorder="1" applyAlignment="1"/>
    <xf numFmtId="169" fontId="7" fillId="12" borderId="0" xfId="10" applyNumberFormat="1" applyFont="1" applyFill="1" applyBorder="1" applyAlignment="1"/>
    <xf numFmtId="0" fontId="11" fillId="12" borderId="0" xfId="0" applyFont="1" applyFill="1"/>
    <xf numFmtId="169" fontId="11" fillId="12" borderId="0" xfId="0" applyNumberFormat="1" applyFont="1" applyFill="1"/>
    <xf numFmtId="168" fontId="23" fillId="12" borderId="0" xfId="10" applyNumberFormat="1" applyFont="1" applyFill="1" applyBorder="1" applyAlignment="1">
      <alignment horizontal="right"/>
    </xf>
    <xf numFmtId="0" fontId="22" fillId="12" borderId="0" xfId="0" applyFont="1" applyFill="1"/>
    <xf numFmtId="0" fontId="39" fillId="12" borderId="0" xfId="0" applyFont="1" applyFill="1"/>
    <xf numFmtId="168" fontId="9" fillId="12" borderId="0" xfId="10" applyNumberFormat="1" applyFont="1" applyFill="1" applyBorder="1"/>
    <xf numFmtId="168" fontId="4" fillId="12" borderId="0" xfId="10" applyNumberFormat="1" applyFont="1" applyFill="1" applyBorder="1"/>
    <xf numFmtId="168" fontId="16" fillId="12" borderId="0" xfId="10" applyNumberFormat="1" applyFont="1" applyFill="1" applyBorder="1"/>
    <xf numFmtId="168" fontId="7" fillId="12" borderId="0" xfId="10" applyNumberFormat="1" applyFont="1" applyFill="1" applyBorder="1"/>
    <xf numFmtId="165" fontId="9" fillId="12" borderId="0" xfId="22" applyNumberFormat="1" applyFont="1" applyFill="1" applyAlignment="1">
      <alignment horizontal="right"/>
    </xf>
    <xf numFmtId="168" fontId="37" fillId="12" borderId="0" xfId="10" applyNumberFormat="1" applyFont="1" applyFill="1" applyBorder="1" applyAlignment="1">
      <alignment horizontal="right"/>
    </xf>
    <xf numFmtId="43" fontId="4" fillId="12" borderId="0" xfId="10" applyFont="1" applyFill="1" applyBorder="1" applyAlignment="1">
      <alignment horizontal="right"/>
    </xf>
    <xf numFmtId="9" fontId="8" fillId="12" borderId="0" xfId="29" applyFont="1" applyFill="1" applyBorder="1" applyAlignment="1">
      <alignment horizontal="right"/>
    </xf>
    <xf numFmtId="166" fontId="8" fillId="12" borderId="0" xfId="29" applyNumberFormat="1" applyFont="1" applyFill="1"/>
    <xf numFmtId="168" fontId="8" fillId="12" borderId="0" xfId="10" applyNumberFormat="1" applyFont="1" applyFill="1"/>
    <xf numFmtId="168" fontId="9" fillId="12" borderId="0" xfId="10" applyNumberFormat="1" applyFont="1" applyFill="1"/>
    <xf numFmtId="168" fontId="8" fillId="12" borderId="0" xfId="10" applyNumberFormat="1" applyFont="1" applyFill="1" applyBorder="1"/>
    <xf numFmtId="44" fontId="9" fillId="12" borderId="0" xfId="15" applyFont="1" applyFill="1"/>
    <xf numFmtId="9" fontId="84" fillId="12" borderId="0" xfId="0" applyNumberFormat="1" applyFont="1" applyFill="1"/>
    <xf numFmtId="166" fontId="4" fillId="12" borderId="0" xfId="29" applyNumberFormat="1" applyFont="1" applyFill="1" applyBorder="1" applyAlignment="1">
      <alignment horizontal="left"/>
    </xf>
    <xf numFmtId="9" fontId="26" fillId="12" borderId="0" xfId="29" applyFont="1" applyFill="1"/>
    <xf numFmtId="168" fontId="7" fillId="12" borderId="0" xfId="10" applyNumberFormat="1" applyFont="1" applyFill="1"/>
    <xf numFmtId="168" fontId="16" fillId="12" borderId="0" xfId="10" applyNumberFormat="1" applyFont="1" applyFill="1"/>
    <xf numFmtId="168" fontId="44" fillId="12" borderId="0" xfId="10" applyNumberFormat="1" applyFont="1" applyFill="1" applyBorder="1"/>
    <xf numFmtId="43" fontId="44" fillId="12" borderId="0" xfId="10" applyFont="1" applyFill="1" applyBorder="1"/>
    <xf numFmtId="43" fontId="4" fillId="12" borderId="0" xfId="10" applyFont="1" applyFill="1"/>
    <xf numFmtId="43" fontId="4" fillId="12" borderId="0" xfId="10" applyFont="1" applyFill="1" applyBorder="1"/>
    <xf numFmtId="168" fontId="7" fillId="12" borderId="3" xfId="10" applyNumberFormat="1" applyFont="1" applyFill="1" applyBorder="1" applyAlignment="1">
      <alignment horizontal="right"/>
    </xf>
    <xf numFmtId="166" fontId="54" fillId="12" borderId="0" xfId="29" applyNumberFormat="1" applyFont="1" applyFill="1" applyBorder="1" applyAlignment="1">
      <alignment horizontal="right"/>
    </xf>
    <xf numFmtId="166" fontId="87" fillId="12" borderId="0" xfId="29" applyNumberFormat="1" applyFont="1" applyFill="1" applyBorder="1" applyAlignment="1">
      <alignment horizontal="right"/>
    </xf>
    <xf numFmtId="166" fontId="75" fillId="12" borderId="0" xfId="29" applyNumberFormat="1" applyFont="1" applyFill="1" applyBorder="1" applyAlignment="1">
      <alignment horizontal="right"/>
    </xf>
    <xf numFmtId="166" fontId="96" fillId="12" borderId="0" xfId="29" applyNumberFormat="1" applyFont="1" applyFill="1" applyBorder="1" applyAlignment="1">
      <alignment horizontal="right"/>
    </xf>
    <xf numFmtId="166" fontId="81" fillId="12" borderId="0" xfId="29" applyNumberFormat="1" applyFont="1" applyFill="1" applyBorder="1" applyAlignment="1">
      <alignment horizontal="right"/>
    </xf>
    <xf numFmtId="169" fontId="87" fillId="12" borderId="0" xfId="10" applyNumberFormat="1" applyFont="1" applyFill="1"/>
    <xf numFmtId="168" fontId="87" fillId="12" borderId="0" xfId="10" applyNumberFormat="1" applyFont="1" applyFill="1" applyBorder="1" applyAlignment="1">
      <alignment horizontal="right"/>
    </xf>
    <xf numFmtId="43" fontId="55" fillId="12" borderId="0" xfId="10" applyFont="1" applyFill="1" applyBorder="1" applyAlignment="1">
      <alignment horizontal="right"/>
    </xf>
    <xf numFmtId="169" fontId="7" fillId="12" borderId="3" xfId="10" applyNumberFormat="1" applyFont="1" applyFill="1" applyBorder="1" applyAlignment="1">
      <alignment horizontal="right"/>
    </xf>
    <xf numFmtId="169" fontId="77" fillId="12" borderId="3" xfId="10" applyNumberFormat="1" applyFont="1" applyFill="1" applyBorder="1" applyAlignment="1">
      <alignment horizontal="right"/>
    </xf>
    <xf numFmtId="9" fontId="75" fillId="12" borderId="0" xfId="0" applyNumberFormat="1" applyFont="1" applyFill="1"/>
    <xf numFmtId="10" fontId="4" fillId="12" borderId="0" xfId="0" applyNumberFormat="1" applyFont="1" applyFill="1"/>
    <xf numFmtId="10" fontId="44" fillId="12" borderId="0" xfId="0" applyNumberFormat="1" applyFont="1" applyFill="1"/>
    <xf numFmtId="168" fontId="0" fillId="12" borderId="0" xfId="0" applyNumberFormat="1" applyFill="1"/>
    <xf numFmtId="164" fontId="0" fillId="12" borderId="0" xfId="0" applyNumberFormat="1" applyFill="1"/>
    <xf numFmtId="168" fontId="0" fillId="12" borderId="0" xfId="10" applyNumberFormat="1" applyFont="1" applyFill="1"/>
    <xf numFmtId="9" fontId="0" fillId="12" borderId="0" xfId="29" applyFont="1" applyFill="1"/>
    <xf numFmtId="166" fontId="66" fillId="12" borderId="0" xfId="29" applyNumberFormat="1" applyFont="1" applyFill="1" applyBorder="1" applyAlignment="1">
      <alignment horizontal="right"/>
    </xf>
    <xf numFmtId="169" fontId="4" fillId="12" borderId="0" xfId="10" applyNumberFormat="1" applyFont="1" applyFill="1"/>
    <xf numFmtId="169" fontId="78" fillId="12" borderId="0" xfId="10" applyNumberFormat="1" applyFont="1" applyFill="1" applyBorder="1" applyAlignment="1">
      <alignment horizontal="left"/>
    </xf>
    <xf numFmtId="168" fontId="7" fillId="12" borderId="7" xfId="10" applyNumberFormat="1" applyFont="1" applyFill="1" applyBorder="1" applyAlignment="1">
      <alignment horizontal="right"/>
    </xf>
    <xf numFmtId="168" fontId="4" fillId="12" borderId="6" xfId="10" applyNumberFormat="1" applyFont="1" applyFill="1" applyBorder="1" applyAlignment="1">
      <alignment horizontal="right"/>
    </xf>
    <xf numFmtId="166" fontId="75" fillId="0" borderId="0" xfId="0" applyNumberFormat="1" applyFont="1"/>
    <xf numFmtId="168" fontId="75" fillId="0" borderId="0" xfId="10" applyNumberFormat="1" applyFont="1" applyFill="1" applyAlignment="1">
      <alignment horizontal="right"/>
    </xf>
    <xf numFmtId="168" fontId="87" fillId="0" borderId="0" xfId="10" applyNumberFormat="1" applyFont="1" applyFill="1" applyBorder="1" applyAlignment="1">
      <alignment horizontal="right"/>
    </xf>
    <xf numFmtId="168" fontId="75" fillId="0" borderId="0" xfId="10" applyNumberFormat="1" applyFont="1" applyFill="1" applyBorder="1" applyAlignment="1">
      <alignment horizontal="right"/>
    </xf>
    <xf numFmtId="168" fontId="7" fillId="18" borderId="3" xfId="10" applyNumberFormat="1" applyFont="1" applyFill="1" applyBorder="1" applyAlignment="1">
      <alignment horizontal="right"/>
    </xf>
    <xf numFmtId="169" fontId="7" fillId="18" borderId="3" xfId="10" applyNumberFormat="1" applyFont="1" applyFill="1" applyBorder="1" applyAlignment="1">
      <alignment horizontal="right"/>
    </xf>
    <xf numFmtId="168" fontId="4" fillId="18" borderId="0" xfId="10" applyNumberFormat="1" applyFont="1" applyFill="1" applyBorder="1" applyAlignment="1">
      <alignment horizontal="right"/>
    </xf>
    <xf numFmtId="3" fontId="4" fillId="0" borderId="7" xfId="18" applyNumberFormat="1" applyFont="1" applyBorder="1" applyAlignment="1">
      <alignment horizontal="left"/>
    </xf>
    <xf numFmtId="0" fontId="15" fillId="11" borderId="7" xfId="0" applyFont="1" applyFill="1" applyBorder="1"/>
    <xf numFmtId="166" fontId="15" fillId="12" borderId="7" xfId="29" applyNumberFormat="1" applyFont="1" applyFill="1" applyBorder="1" applyAlignment="1"/>
    <xf numFmtId="166" fontId="15" fillId="6" borderId="7" xfId="29" applyNumberFormat="1" applyFont="1" applyFill="1" applyBorder="1" applyAlignment="1"/>
    <xf numFmtId="3" fontId="4" fillId="11" borderId="7" xfId="18" applyNumberFormat="1" applyFont="1" applyFill="1" applyBorder="1" applyAlignment="1">
      <alignment horizontal="left"/>
    </xf>
    <xf numFmtId="3" fontId="4" fillId="11" borderId="7" xfId="18" applyNumberFormat="1" applyFont="1" applyFill="1" applyBorder="1" applyAlignment="1">
      <alignment horizontal="right"/>
    </xf>
    <xf numFmtId="0" fontId="0" fillId="0" borderId="7" xfId="0" applyBorder="1"/>
    <xf numFmtId="166" fontId="71" fillId="12" borderId="0" xfId="32" applyNumberFormat="1" applyFont="1" applyFill="1" applyBorder="1"/>
    <xf numFmtId="166" fontId="17" fillId="12" borderId="0" xfId="29" applyNumberFormat="1" applyFont="1" applyFill="1" applyBorder="1" applyAlignment="1">
      <alignment horizontal="right"/>
    </xf>
    <xf numFmtId="164" fontId="7" fillId="12" borderId="0" xfId="29" applyNumberFormat="1" applyFont="1" applyFill="1" applyBorder="1" applyAlignment="1">
      <alignment horizontal="right"/>
    </xf>
    <xf numFmtId="3" fontId="4" fillId="12" borderId="0" xfId="18" applyNumberFormat="1" applyFont="1" applyFill="1" applyAlignment="1">
      <alignment horizontal="center"/>
    </xf>
    <xf numFmtId="3" fontId="7" fillId="12" borderId="3" xfId="18" applyNumberFormat="1" applyFont="1" applyFill="1" applyBorder="1" applyAlignment="1">
      <alignment horizontal="left"/>
    </xf>
    <xf numFmtId="3" fontId="7" fillId="12" borderId="3" xfId="18" applyNumberFormat="1" applyFont="1" applyFill="1" applyBorder="1" applyAlignment="1">
      <alignment horizontal="center"/>
    </xf>
    <xf numFmtId="3" fontId="15" fillId="12" borderId="0" xfId="18" applyNumberFormat="1" applyFont="1" applyFill="1" applyAlignment="1">
      <alignment horizontal="left"/>
    </xf>
    <xf numFmtId="173" fontId="15" fillId="12" borderId="0" xfId="18" quotePrefix="1" applyNumberFormat="1" applyFont="1" applyFill="1" applyAlignment="1">
      <alignment horizontal="left"/>
    </xf>
    <xf numFmtId="2" fontId="4" fillId="12" borderId="0" xfId="18" applyNumberFormat="1" applyFont="1" applyFill="1" applyAlignment="1">
      <alignment horizontal="center"/>
    </xf>
    <xf numFmtId="3" fontId="7" fillId="12" borderId="0" xfId="18" applyNumberFormat="1" applyFont="1" applyFill="1" applyAlignment="1">
      <alignment horizontal="center"/>
    </xf>
    <xf numFmtId="10" fontId="15" fillId="12" borderId="0" xfId="29" applyNumberFormat="1" applyFont="1" applyFill="1" applyAlignment="1">
      <alignment horizontal="left"/>
    </xf>
    <xf numFmtId="10" fontId="4" fillId="12" borderId="0" xfId="29" applyNumberFormat="1" applyFont="1" applyFill="1" applyAlignment="1">
      <alignment horizontal="center"/>
    </xf>
    <xf numFmtId="173" fontId="7" fillId="12" borderId="3" xfId="18" applyNumberFormat="1" applyFont="1" applyFill="1" applyBorder="1" applyAlignment="1">
      <alignment horizontal="left"/>
    </xf>
    <xf numFmtId="173" fontId="7" fillId="12" borderId="3" xfId="18" applyNumberFormat="1" applyFont="1" applyFill="1" applyBorder="1" applyAlignment="1">
      <alignment horizontal="center"/>
    </xf>
    <xf numFmtId="9" fontId="4" fillId="12" borderId="0" xfId="29" quotePrefix="1" applyFont="1" applyFill="1" applyAlignment="1">
      <alignment horizontal="left"/>
    </xf>
    <xf numFmtId="9" fontId="4" fillId="12" borderId="0" xfId="29" applyFont="1" applyFill="1" applyAlignment="1">
      <alignment horizontal="center"/>
    </xf>
    <xf numFmtId="173" fontId="4" fillId="12" borderId="0" xfId="18" applyNumberFormat="1" applyFont="1" applyFill="1" applyAlignment="1">
      <alignment horizontal="center"/>
    </xf>
    <xf numFmtId="166" fontId="8" fillId="12" borderId="0" xfId="29" applyNumberFormat="1" applyFont="1" applyFill="1" applyAlignment="1">
      <alignment horizontal="left"/>
    </xf>
    <xf numFmtId="166" fontId="8" fillId="12" borderId="0" xfId="29" applyNumberFormat="1" applyFont="1" applyFill="1" applyAlignment="1">
      <alignment horizontal="center"/>
    </xf>
    <xf numFmtId="10" fontId="76" fillId="12" borderId="0" xfId="29" applyNumberFormat="1" applyFont="1" applyFill="1" applyAlignment="1"/>
    <xf numFmtId="173" fontId="37" fillId="12" borderId="3" xfId="18" applyNumberFormat="1" applyFont="1" applyFill="1" applyBorder="1" applyAlignment="1">
      <alignment horizontal="center"/>
    </xf>
    <xf numFmtId="173" fontId="37" fillId="12" borderId="0" xfId="18" applyNumberFormat="1" applyFont="1" applyFill="1" applyAlignment="1">
      <alignment horizontal="center"/>
    </xf>
    <xf numFmtId="173" fontId="15" fillId="12" borderId="0" xfId="18" applyNumberFormat="1" applyFont="1" applyFill="1" applyAlignment="1">
      <alignment horizontal="center"/>
    </xf>
    <xf numFmtId="3" fontId="81" fillId="12" borderId="0" xfId="18" applyNumberFormat="1" applyFont="1" applyFill="1" applyAlignment="1">
      <alignment horizontal="left"/>
    </xf>
    <xf numFmtId="4" fontId="4" fillId="12" borderId="3" xfId="18" applyNumberFormat="1" applyFont="1" applyFill="1" applyBorder="1"/>
    <xf numFmtId="4" fontId="7" fillId="12" borderId="3" xfId="18" applyNumberFormat="1" applyFont="1" applyFill="1" applyBorder="1"/>
    <xf numFmtId="183" fontId="37" fillId="12" borderId="3" xfId="18" applyNumberFormat="1" applyFont="1" applyFill="1" applyBorder="1" applyAlignment="1">
      <alignment horizontal="center"/>
    </xf>
    <xf numFmtId="3" fontId="15" fillId="12" borderId="0" xfId="18" quotePrefix="1" applyNumberFormat="1" applyFont="1" applyFill="1" applyAlignment="1">
      <alignment horizontal="left"/>
    </xf>
    <xf numFmtId="3" fontId="15" fillId="12" borderId="0" xfId="18" applyNumberFormat="1" applyFont="1" applyFill="1" applyAlignment="1">
      <alignment horizontal="center"/>
    </xf>
    <xf numFmtId="3" fontId="15" fillId="12" borderId="0" xfId="18" applyNumberFormat="1" applyFont="1" applyFill="1"/>
    <xf numFmtId="183" fontId="4" fillId="12" borderId="0" xfId="18" applyNumberFormat="1" applyFont="1" applyFill="1" applyAlignment="1">
      <alignment horizontal="center"/>
    </xf>
    <xf numFmtId="9" fontId="15" fillId="12" borderId="0" xfId="29" quotePrefix="1" applyFont="1" applyFill="1" applyAlignment="1">
      <alignment horizontal="left"/>
    </xf>
    <xf numFmtId="9" fontId="15" fillId="12" borderId="0" xfId="29" applyFont="1" applyFill="1" applyAlignment="1">
      <alignment horizontal="center"/>
    </xf>
    <xf numFmtId="9" fontId="15" fillId="12" borderId="0" xfId="29" applyFont="1" applyFill="1" applyAlignment="1"/>
    <xf numFmtId="175" fontId="15" fillId="12" borderId="0" xfId="10" applyNumberFormat="1" applyFont="1" applyFill="1" applyAlignment="1"/>
    <xf numFmtId="166" fontId="4" fillId="12" borderId="0" xfId="29" applyNumberFormat="1" applyFont="1" applyFill="1" applyAlignment="1">
      <alignment horizontal="left"/>
    </xf>
    <xf numFmtId="166" fontId="4" fillId="12" borderId="0" xfId="29" applyNumberFormat="1" applyFont="1" applyFill="1" applyAlignment="1">
      <alignment horizontal="center"/>
    </xf>
    <xf numFmtId="43" fontId="4" fillId="12" borderId="0" xfId="10" applyFont="1" applyFill="1" applyAlignment="1"/>
    <xf numFmtId="173" fontId="77" fillId="12" borderId="6" xfId="10" applyNumberFormat="1" applyFont="1" applyFill="1" applyBorder="1" applyAlignment="1"/>
    <xf numFmtId="169" fontId="77" fillId="12" borderId="6" xfId="10" applyNumberFormat="1" applyFont="1" applyFill="1" applyBorder="1" applyAlignment="1"/>
    <xf numFmtId="0" fontId="15" fillId="12" borderId="7" xfId="0" applyFont="1" applyFill="1" applyBorder="1"/>
    <xf numFmtId="166" fontId="8" fillId="12" borderId="0" xfId="29" applyNumberFormat="1" applyFont="1" applyFill="1" applyBorder="1" applyAlignment="1"/>
    <xf numFmtId="166" fontId="76" fillId="12" borderId="0" xfId="29" applyNumberFormat="1" applyFont="1" applyFill="1" applyBorder="1" applyAlignment="1"/>
    <xf numFmtId="166" fontId="4" fillId="12" borderId="0" xfId="0" applyNumberFormat="1" applyFont="1" applyFill="1"/>
    <xf numFmtId="0" fontId="4" fillId="12" borderId="7" xfId="0" applyFont="1" applyFill="1" applyBorder="1"/>
    <xf numFmtId="9" fontId="4" fillId="12" borderId="7" xfId="29" applyFont="1" applyFill="1" applyBorder="1" applyAlignment="1"/>
    <xf numFmtId="0" fontId="77" fillId="12" borderId="6" xfId="10" applyNumberFormat="1" applyFont="1" applyFill="1" applyBorder="1" applyAlignment="1"/>
    <xf numFmtId="165" fontId="77" fillId="12" borderId="6" xfId="10" applyNumberFormat="1" applyFont="1" applyFill="1" applyBorder="1" applyAlignment="1"/>
    <xf numFmtId="0" fontId="7" fillId="12" borderId="6" xfId="0" applyFont="1" applyFill="1" applyBorder="1"/>
    <xf numFmtId="169" fontId="4" fillId="12" borderId="6" xfId="10" applyNumberFormat="1" applyFont="1" applyFill="1" applyBorder="1" applyAlignment="1"/>
    <xf numFmtId="168" fontId="85" fillId="12" borderId="6" xfId="10" applyNumberFormat="1" applyFont="1" applyFill="1" applyBorder="1" applyAlignment="1"/>
    <xf numFmtId="169" fontId="77" fillId="12" borderId="3" xfId="10" applyNumberFormat="1" applyFont="1" applyFill="1" applyBorder="1" applyAlignment="1"/>
    <xf numFmtId="166" fontId="4" fillId="12" borderId="7" xfId="29" quotePrefix="1" applyNumberFormat="1" applyFont="1" applyFill="1" applyBorder="1" applyAlignment="1">
      <alignment horizontal="left"/>
    </xf>
    <xf numFmtId="9" fontId="4" fillId="12" borderId="0" xfId="18" applyNumberFormat="1" applyFont="1" applyFill="1"/>
    <xf numFmtId="9" fontId="7" fillId="12" borderId="0" xfId="29" applyFont="1" applyFill="1" applyAlignment="1">
      <alignment horizontal="left"/>
    </xf>
    <xf numFmtId="166" fontId="77" fillId="12" borderId="0" xfId="29" applyNumberFormat="1" applyFont="1" applyFill="1" applyBorder="1" applyAlignment="1"/>
    <xf numFmtId="9" fontId="76" fillId="12" borderId="0" xfId="29" applyFont="1" applyFill="1" applyAlignment="1"/>
    <xf numFmtId="166" fontId="76" fillId="12" borderId="0" xfId="29" applyNumberFormat="1" applyFont="1" applyFill="1" applyAlignment="1"/>
    <xf numFmtId="166" fontId="77" fillId="12" borderId="0" xfId="29" applyNumberFormat="1" applyFont="1" applyFill="1" applyAlignment="1"/>
    <xf numFmtId="9" fontId="7" fillId="12" borderId="0" xfId="18" applyNumberFormat="1" applyFont="1" applyFill="1"/>
    <xf numFmtId="168" fontId="4" fillId="12" borderId="0" xfId="10" applyNumberFormat="1" applyFont="1" applyFill="1" applyAlignment="1">
      <alignment horizontal="right"/>
    </xf>
    <xf numFmtId="9" fontId="75" fillId="12" borderId="0" xfId="29" applyFont="1" applyFill="1" applyAlignment="1"/>
    <xf numFmtId="166" fontId="7" fillId="12" borderId="0" xfId="29" applyNumberFormat="1" applyFont="1" applyFill="1" applyAlignment="1">
      <alignment horizontal="left"/>
    </xf>
    <xf numFmtId="3" fontId="64" fillId="12" borderId="0" xfId="18" applyNumberFormat="1" applyFont="1" applyFill="1" applyAlignment="1">
      <alignment horizontal="center"/>
    </xf>
    <xf numFmtId="3" fontId="64" fillId="12" borderId="0" xfId="18" applyNumberFormat="1" applyFont="1" applyFill="1"/>
    <xf numFmtId="166" fontId="4" fillId="12" borderId="0" xfId="29" quotePrefix="1" applyNumberFormat="1" applyFont="1" applyFill="1" applyAlignment="1">
      <alignment horizontal="left"/>
    </xf>
    <xf numFmtId="168" fontId="4" fillId="12" borderId="0" xfId="10" applyNumberFormat="1" applyFont="1" applyFill="1" applyAlignment="1">
      <alignment horizontal="center"/>
    </xf>
    <xf numFmtId="166" fontId="65" fillId="12" borderId="6" xfId="29" applyNumberFormat="1" applyFont="1" applyFill="1" applyBorder="1" applyAlignment="1">
      <alignment horizontal="left"/>
    </xf>
    <xf numFmtId="3" fontId="76" fillId="12" borderId="0" xfId="10" applyNumberFormat="1" applyFont="1" applyFill="1" applyAlignment="1"/>
    <xf numFmtId="168" fontId="76" fillId="12" borderId="7" xfId="10" applyNumberFormat="1" applyFont="1" applyFill="1" applyBorder="1" applyAlignment="1"/>
    <xf numFmtId="166" fontId="4" fillId="12" borderId="7" xfId="29" applyNumberFormat="1" applyFont="1" applyFill="1" applyBorder="1" applyAlignment="1">
      <alignment horizontal="left"/>
    </xf>
    <xf numFmtId="168" fontId="4" fillId="12" borderId="7" xfId="10" applyNumberFormat="1" applyFont="1" applyFill="1" applyBorder="1" applyAlignment="1">
      <alignment horizontal="right"/>
    </xf>
    <xf numFmtId="168" fontId="4" fillId="12" borderId="0" xfId="10" applyNumberFormat="1" applyFont="1" applyFill="1" applyBorder="1" applyAlignment="1">
      <alignment horizontal="center"/>
    </xf>
    <xf numFmtId="166" fontId="4" fillId="12" borderId="6" xfId="29" applyNumberFormat="1" applyFont="1" applyFill="1" applyBorder="1" applyAlignment="1">
      <alignment horizontal="left"/>
    </xf>
    <xf numFmtId="168" fontId="4" fillId="12" borderId="6" xfId="10" applyNumberFormat="1" applyFont="1" applyFill="1" applyBorder="1" applyAlignment="1">
      <alignment horizontal="center"/>
    </xf>
    <xf numFmtId="168" fontId="4" fillId="12" borderId="7" xfId="10" applyNumberFormat="1" applyFont="1" applyFill="1" applyBorder="1" applyAlignment="1">
      <alignment horizontal="center"/>
    </xf>
    <xf numFmtId="166" fontId="7" fillId="12" borderId="0" xfId="29" applyNumberFormat="1" applyFont="1" applyFill="1" applyBorder="1" applyAlignment="1">
      <alignment horizontal="left"/>
    </xf>
    <xf numFmtId="0" fontId="7" fillId="12" borderId="0" xfId="10" applyNumberFormat="1" applyFont="1" applyFill="1" applyAlignment="1">
      <alignment horizontal="right"/>
    </xf>
    <xf numFmtId="3" fontId="7" fillId="12" borderId="0" xfId="10" applyNumberFormat="1" applyFont="1" applyFill="1" applyAlignment="1">
      <alignment horizontal="right"/>
    </xf>
    <xf numFmtId="3" fontId="7" fillId="12" borderId="0" xfId="10" applyNumberFormat="1" applyFont="1" applyFill="1" applyAlignment="1"/>
    <xf numFmtId="0" fontId="7" fillId="12" borderId="0" xfId="10" applyNumberFormat="1" applyFont="1" applyFill="1" applyAlignment="1"/>
    <xf numFmtId="0" fontId="4" fillId="12" borderId="0" xfId="10" applyNumberFormat="1" applyFont="1" applyFill="1" applyAlignment="1">
      <alignment horizontal="right"/>
    </xf>
    <xf numFmtId="3" fontId="4" fillId="12" borderId="0" xfId="10" applyNumberFormat="1" applyFont="1" applyFill="1" applyAlignment="1">
      <alignment horizontal="right"/>
    </xf>
    <xf numFmtId="3" fontId="76" fillId="12" borderId="0" xfId="10" applyNumberFormat="1" applyFont="1" applyFill="1" applyBorder="1" applyAlignment="1"/>
    <xf numFmtId="43" fontId="4" fillId="12" borderId="6" xfId="10" applyFont="1" applyFill="1" applyBorder="1" applyAlignment="1">
      <alignment horizontal="left"/>
    </xf>
    <xf numFmtId="43" fontId="4" fillId="12" borderId="7" xfId="10" applyFont="1" applyFill="1" applyBorder="1" applyAlignment="1">
      <alignment horizontal="left"/>
    </xf>
    <xf numFmtId="166" fontId="7" fillId="12" borderId="7" xfId="29" applyNumberFormat="1" applyFont="1" applyFill="1" applyBorder="1" applyAlignment="1">
      <alignment horizontal="left"/>
    </xf>
    <xf numFmtId="168" fontId="7" fillId="12" borderId="7" xfId="10" applyNumberFormat="1" applyFont="1" applyFill="1" applyBorder="1" applyAlignment="1">
      <alignment horizontal="center"/>
    </xf>
    <xf numFmtId="168" fontId="37" fillId="12" borderId="7" xfId="10" applyNumberFormat="1" applyFont="1" applyFill="1" applyBorder="1" applyAlignment="1"/>
    <xf numFmtId="168" fontId="77" fillId="12" borderId="7" xfId="10" applyNumberFormat="1" applyFont="1" applyFill="1" applyBorder="1" applyAlignment="1"/>
    <xf numFmtId="3" fontId="8" fillId="12" borderId="0" xfId="10" applyNumberFormat="1" applyFont="1" applyFill="1" applyBorder="1" applyAlignment="1"/>
    <xf numFmtId="166" fontId="18" fillId="12" borderId="0" xfId="29" applyNumberFormat="1" applyFont="1" applyFill="1" applyBorder="1" applyAlignment="1">
      <alignment horizontal="left"/>
    </xf>
    <xf numFmtId="166" fontId="7" fillId="12" borderId="6" xfId="29" applyNumberFormat="1" applyFont="1" applyFill="1" applyBorder="1" applyAlignment="1">
      <alignment horizontal="left"/>
    </xf>
    <xf numFmtId="166" fontId="4" fillId="12" borderId="6" xfId="29" applyNumberFormat="1" applyFont="1" applyFill="1" applyBorder="1" applyAlignment="1">
      <alignment horizontal="center"/>
    </xf>
    <xf numFmtId="166" fontId="4" fillId="12" borderId="0" xfId="29" applyNumberFormat="1" applyFont="1" applyFill="1" applyBorder="1" applyAlignment="1">
      <alignment horizontal="center"/>
    </xf>
    <xf numFmtId="166" fontId="7" fillId="12" borderId="3" xfId="29" applyNumberFormat="1" applyFont="1" applyFill="1" applyBorder="1" applyAlignment="1">
      <alignment horizontal="left"/>
    </xf>
    <xf numFmtId="3" fontId="77" fillId="12" borderId="3" xfId="29" applyNumberFormat="1" applyFont="1" applyFill="1" applyBorder="1" applyAlignment="1">
      <alignment horizontal="right"/>
    </xf>
    <xf numFmtId="3" fontId="7" fillId="12" borderId="3" xfId="29" applyNumberFormat="1" applyFont="1" applyFill="1" applyBorder="1" applyAlignment="1">
      <alignment horizontal="right"/>
    </xf>
    <xf numFmtId="168" fontId="7" fillId="12" borderId="0" xfId="10" applyNumberFormat="1" applyFont="1" applyFill="1" applyBorder="1" applyAlignment="1">
      <alignment horizontal="center"/>
    </xf>
    <xf numFmtId="166" fontId="7" fillId="12" borderId="0" xfId="29" applyNumberFormat="1" applyFont="1" applyFill="1" applyBorder="1" applyAlignment="1">
      <alignment horizontal="right"/>
    </xf>
    <xf numFmtId="3" fontId="8" fillId="12" borderId="0" xfId="29" applyNumberFormat="1" applyFont="1" applyFill="1" applyBorder="1" applyAlignment="1">
      <alignment horizontal="right"/>
    </xf>
    <xf numFmtId="166" fontId="4" fillId="12" borderId="0" xfId="29" quotePrefix="1" applyNumberFormat="1" applyFont="1" applyFill="1" applyBorder="1" applyAlignment="1">
      <alignment horizontal="left"/>
    </xf>
    <xf numFmtId="3" fontId="77" fillId="12" borderId="3" xfId="18" applyNumberFormat="1" applyFont="1" applyFill="1" applyBorder="1"/>
    <xf numFmtId="9" fontId="7" fillId="12" borderId="3" xfId="18" applyNumberFormat="1" applyFont="1" applyFill="1" applyBorder="1"/>
    <xf numFmtId="9" fontId="7" fillId="12" borderId="3" xfId="29" applyFont="1" applyFill="1" applyBorder="1" applyAlignment="1"/>
    <xf numFmtId="173" fontId="77" fillId="12" borderId="3" xfId="29" applyNumberFormat="1" applyFont="1" applyFill="1" applyBorder="1" applyAlignment="1"/>
    <xf numFmtId="2" fontId="4" fillId="12" borderId="0" xfId="18" applyNumberFormat="1" applyFont="1" applyFill="1"/>
    <xf numFmtId="166" fontId="76" fillId="12" borderId="9" xfId="29" applyNumberFormat="1" applyFont="1" applyFill="1" applyBorder="1" applyAlignment="1"/>
    <xf numFmtId="10" fontId="16" fillId="12" borderId="0" xfId="29" applyNumberFormat="1" applyFont="1" applyFill="1" applyAlignment="1"/>
    <xf numFmtId="3" fontId="63" fillId="12" borderId="0" xfId="18" applyNumberFormat="1" applyFont="1" applyFill="1" applyAlignment="1">
      <alignment horizontal="left"/>
    </xf>
    <xf numFmtId="10" fontId="63" fillId="12" borderId="0" xfId="29" applyNumberFormat="1" applyFont="1" applyFill="1" applyAlignment="1"/>
    <xf numFmtId="43" fontId="7" fillId="12" borderId="0" xfId="10" applyFont="1" applyFill="1" applyAlignment="1"/>
    <xf numFmtId="173" fontId="77" fillId="12" borderId="0" xfId="10" applyNumberFormat="1" applyFont="1" applyFill="1" applyBorder="1" applyAlignment="1"/>
    <xf numFmtId="173" fontId="77" fillId="12" borderId="0" xfId="29" applyNumberFormat="1" applyFont="1" applyFill="1" applyBorder="1" applyAlignment="1"/>
    <xf numFmtId="173" fontId="76" fillId="12" borderId="0" xfId="29" applyNumberFormat="1" applyFont="1" applyFill="1" applyBorder="1" applyAlignment="1"/>
    <xf numFmtId="173" fontId="7" fillId="12" borderId="0" xfId="29" applyNumberFormat="1" applyFont="1" applyFill="1" applyBorder="1" applyAlignment="1">
      <alignment horizontal="left"/>
    </xf>
    <xf numFmtId="173" fontId="4" fillId="12" borderId="0" xfId="29" applyNumberFormat="1" applyFont="1" applyFill="1" applyBorder="1" applyAlignment="1">
      <alignment horizontal="center"/>
    </xf>
    <xf numFmtId="173" fontId="4" fillId="12" borderId="0" xfId="29" quotePrefix="1" applyNumberFormat="1" applyFont="1" applyFill="1" applyAlignment="1">
      <alignment horizontal="left"/>
    </xf>
    <xf numFmtId="173" fontId="4" fillId="12" borderId="0" xfId="29" applyNumberFormat="1" applyFont="1" applyFill="1" applyAlignment="1">
      <alignment horizontal="center"/>
    </xf>
    <xf numFmtId="173" fontId="4" fillId="12" borderId="0" xfId="29" applyNumberFormat="1" applyFont="1" applyFill="1" applyAlignment="1">
      <alignment horizontal="left"/>
    </xf>
    <xf numFmtId="173" fontId="7" fillId="12" borderId="0" xfId="29" applyNumberFormat="1" applyFont="1" applyFill="1" applyAlignment="1">
      <alignment horizontal="left"/>
    </xf>
    <xf numFmtId="173" fontId="37" fillId="12" borderId="0" xfId="0" applyNumberFormat="1" applyFont="1" applyFill="1"/>
    <xf numFmtId="173" fontId="23" fillId="12" borderId="0" xfId="18" applyNumberFormat="1" applyFont="1" applyFill="1"/>
    <xf numFmtId="173" fontId="7" fillId="12" borderId="0" xfId="18" quotePrefix="1" applyNumberFormat="1" applyFont="1" applyFill="1" applyAlignment="1">
      <alignment horizontal="left"/>
    </xf>
    <xf numFmtId="173" fontId="7" fillId="12" borderId="0" xfId="18" applyNumberFormat="1" applyFont="1" applyFill="1" applyAlignment="1">
      <alignment horizontal="center"/>
    </xf>
    <xf numFmtId="173" fontId="4" fillId="12" borderId="0" xfId="29" applyNumberFormat="1" applyFont="1" applyFill="1" applyAlignment="1">
      <alignment horizontal="left" indent="1"/>
    </xf>
    <xf numFmtId="173" fontId="15" fillId="12" borderId="0" xfId="29" applyNumberFormat="1" applyFont="1" applyFill="1" applyAlignment="1">
      <alignment horizontal="left" indent="1"/>
    </xf>
    <xf numFmtId="169" fontId="8" fillId="12" borderId="0" xfId="10" applyNumberFormat="1" applyFont="1" applyFill="1" applyBorder="1" applyAlignment="1"/>
    <xf numFmtId="169" fontId="77" fillId="12" borderId="0" xfId="10" applyNumberFormat="1" applyFont="1" applyFill="1" applyBorder="1" applyAlignment="1"/>
    <xf numFmtId="173" fontId="7" fillId="12" borderId="0" xfId="29" applyNumberFormat="1" applyFont="1" applyFill="1" applyAlignment="1">
      <alignment horizontal="center"/>
    </xf>
    <xf numFmtId="168" fontId="82" fillId="12" borderId="6" xfId="10" applyNumberFormat="1" applyFont="1" applyFill="1" applyBorder="1" applyAlignment="1"/>
    <xf numFmtId="173" fontId="15" fillId="12" borderId="0" xfId="18" applyNumberFormat="1" applyFont="1" applyFill="1" applyAlignment="1">
      <alignment horizontal="left"/>
    </xf>
    <xf numFmtId="10" fontId="83" fillId="12" borderId="0" xfId="29" applyNumberFormat="1" applyFont="1" applyFill="1" applyAlignment="1"/>
    <xf numFmtId="10" fontId="4" fillId="12" borderId="0" xfId="18" applyNumberFormat="1" applyFont="1" applyFill="1"/>
    <xf numFmtId="173" fontId="77" fillId="12" borderId="6" xfId="18" applyNumberFormat="1" applyFont="1" applyFill="1" applyBorder="1"/>
    <xf numFmtId="173" fontId="4" fillId="12" borderId="0" xfId="18" quotePrefix="1" applyNumberFormat="1" applyFont="1" applyFill="1"/>
    <xf numFmtId="184" fontId="4" fillId="12" borderId="0" xfId="18" quotePrefix="1" applyNumberFormat="1" applyFont="1" applyFill="1" applyAlignment="1">
      <alignment horizontal="left"/>
    </xf>
    <xf numFmtId="169" fontId="8" fillId="12" borderId="0" xfId="10" applyNumberFormat="1" applyFont="1" applyFill="1" applyAlignment="1">
      <alignment horizontal="center"/>
    </xf>
    <xf numFmtId="169" fontId="8" fillId="12" borderId="0" xfId="10" applyNumberFormat="1" applyFont="1" applyFill="1" applyAlignment="1"/>
    <xf numFmtId="169" fontId="76" fillId="12" borderId="0" xfId="10" applyNumberFormat="1" applyFont="1" applyFill="1" applyAlignment="1"/>
    <xf numFmtId="9" fontId="4" fillId="12" borderId="0" xfId="29" applyFont="1" applyFill="1" applyAlignment="1">
      <alignment horizontal="left"/>
    </xf>
    <xf numFmtId="3" fontId="8" fillId="12" borderId="0" xfId="18" applyNumberFormat="1" applyFont="1" applyFill="1"/>
    <xf numFmtId="168" fontId="10" fillId="12" borderId="0" xfId="10" applyNumberFormat="1" applyFont="1" applyFill="1" applyBorder="1" applyAlignment="1">
      <alignment horizontal="right"/>
    </xf>
    <xf numFmtId="3" fontId="7" fillId="12" borderId="0" xfId="22" applyNumberFormat="1" applyFont="1" applyFill="1" applyAlignment="1">
      <alignment horizontal="left"/>
    </xf>
    <xf numFmtId="3" fontId="4" fillId="12" borderId="0" xfId="22" applyNumberFormat="1" applyFill="1" applyAlignment="1">
      <alignment horizontal="left"/>
    </xf>
    <xf numFmtId="169" fontId="9" fillId="12" borderId="0" xfId="10" applyNumberFormat="1" applyFont="1" applyFill="1" applyBorder="1" applyAlignment="1">
      <alignment horizontal="right"/>
    </xf>
    <xf numFmtId="182" fontId="4" fillId="12" borderId="0" xfId="10" applyNumberFormat="1" applyFont="1" applyFill="1" applyBorder="1" applyAlignment="1">
      <alignment horizontal="left"/>
    </xf>
    <xf numFmtId="182" fontId="11" fillId="12" borderId="0" xfId="10" applyNumberFormat="1" applyFont="1" applyFill="1" applyBorder="1" applyAlignment="1">
      <alignment horizontal="right"/>
    </xf>
    <xf numFmtId="169" fontId="7" fillId="12" borderId="0" xfId="10" applyNumberFormat="1" applyFont="1" applyFill="1"/>
    <xf numFmtId="166" fontId="15" fillId="12" borderId="0" xfId="29" applyNumberFormat="1" applyFont="1" applyFill="1"/>
    <xf numFmtId="1" fontId="4" fillId="12" borderId="0" xfId="22" applyNumberFormat="1" applyFill="1" applyAlignment="1">
      <alignment horizontal="left"/>
    </xf>
    <xf numFmtId="1" fontId="7" fillId="12" borderId="2" xfId="22" applyNumberFormat="1" applyFont="1" applyFill="1" applyBorder="1" applyAlignment="1">
      <alignment horizontal="right"/>
    </xf>
    <xf numFmtId="9" fontId="4" fillId="12" borderId="0" xfId="29" applyFont="1" applyFill="1"/>
    <xf numFmtId="1" fontId="6" fillId="12" borderId="0" xfId="22" applyNumberFormat="1" applyFont="1" applyFill="1" applyAlignment="1">
      <alignment horizontal="left"/>
    </xf>
    <xf numFmtId="168" fontId="6" fillId="12" borderId="0" xfId="10" applyNumberFormat="1" applyFont="1" applyFill="1" applyBorder="1" applyAlignment="1">
      <alignment horizontal="right"/>
    </xf>
    <xf numFmtId="169" fontId="6" fillId="12" borderId="0" xfId="10" applyNumberFormat="1" applyFont="1" applyFill="1" applyBorder="1" applyAlignment="1">
      <alignment horizontal="right"/>
    </xf>
    <xf numFmtId="2" fontId="0" fillId="0" borderId="0" xfId="0" applyNumberFormat="1"/>
    <xf numFmtId="43" fontId="7" fillId="0" borderId="0" xfId="18" applyNumberFormat="1" applyFont="1" applyAlignment="1">
      <alignment horizontal="right"/>
    </xf>
    <xf numFmtId="196" fontId="0" fillId="0" borderId="0" xfId="0" applyNumberFormat="1"/>
    <xf numFmtId="166" fontId="90" fillId="0" borderId="0" xfId="29" applyNumberFormat="1" applyFont="1" applyAlignment="1">
      <alignment horizontal="right"/>
    </xf>
    <xf numFmtId="173" fontId="88" fillId="12" borderId="6" xfId="10" applyNumberFormat="1" applyFont="1" applyFill="1" applyBorder="1" applyAlignment="1"/>
    <xf numFmtId="168" fontId="97" fillId="12" borderId="6" xfId="10" applyNumberFormat="1" applyFont="1" applyFill="1" applyBorder="1" applyAlignment="1"/>
    <xf numFmtId="166" fontId="4" fillId="4" borderId="0" xfId="29" applyNumberFormat="1" applyFont="1" applyFill="1" applyBorder="1" applyAlignment="1"/>
    <xf numFmtId="3" fontId="7" fillId="12" borderId="12" xfId="18" applyNumberFormat="1" applyFont="1" applyFill="1" applyBorder="1"/>
    <xf numFmtId="173" fontId="7" fillId="12" borderId="12" xfId="18" applyNumberFormat="1" applyFont="1" applyFill="1" applyBorder="1"/>
    <xf numFmtId="10" fontId="76" fillId="12" borderId="0" xfId="29" applyNumberFormat="1" applyFont="1" applyFill="1" applyBorder="1" applyAlignment="1"/>
    <xf numFmtId="173" fontId="77" fillId="12" borderId="12" xfId="18" applyNumberFormat="1" applyFont="1" applyFill="1" applyBorder="1"/>
    <xf numFmtId="166" fontId="15" fillId="12" borderId="0" xfId="29" applyNumberFormat="1" applyFont="1" applyFill="1" applyBorder="1" applyAlignment="1"/>
    <xf numFmtId="43" fontId="75" fillId="12" borderId="0" xfId="10" applyFont="1" applyFill="1" applyBorder="1" applyAlignment="1"/>
    <xf numFmtId="4" fontId="7" fillId="12" borderId="12" xfId="18" applyNumberFormat="1" applyFont="1" applyFill="1" applyBorder="1"/>
    <xf numFmtId="10" fontId="15" fillId="12" borderId="0" xfId="29" applyNumberFormat="1" applyFont="1" applyFill="1" applyBorder="1" applyAlignment="1"/>
    <xf numFmtId="175" fontId="15" fillId="12" borderId="0" xfId="10" applyNumberFormat="1" applyFont="1" applyFill="1" applyBorder="1" applyAlignment="1"/>
    <xf numFmtId="166" fontId="4" fillId="12" borderId="13" xfId="29" applyNumberFormat="1" applyFont="1" applyFill="1" applyBorder="1" applyAlignment="1"/>
    <xf numFmtId="43" fontId="15" fillId="12" borderId="0" xfId="10" applyFont="1" applyFill="1" applyBorder="1" applyAlignment="1"/>
    <xf numFmtId="166" fontId="15" fillId="12" borderId="13" xfId="29" applyNumberFormat="1" applyFont="1" applyFill="1" applyBorder="1" applyAlignment="1"/>
    <xf numFmtId="169" fontId="77" fillId="12" borderId="12" xfId="10" applyNumberFormat="1" applyFont="1" applyFill="1" applyBorder="1" applyAlignment="1"/>
    <xf numFmtId="166" fontId="7" fillId="12" borderId="0" xfId="29" applyNumberFormat="1" applyFont="1" applyFill="1" applyBorder="1" applyAlignment="1"/>
    <xf numFmtId="9" fontId="7" fillId="12" borderId="0" xfId="29" applyFont="1" applyFill="1" applyBorder="1" applyAlignment="1"/>
    <xf numFmtId="9" fontId="75" fillId="12" borderId="0" xfId="29" applyFont="1" applyFill="1" applyBorder="1" applyAlignment="1"/>
    <xf numFmtId="168" fontId="76" fillId="12" borderId="13" xfId="10" applyNumberFormat="1" applyFont="1" applyFill="1" applyBorder="1" applyAlignment="1"/>
    <xf numFmtId="168" fontId="4" fillId="12" borderId="13" xfId="10" applyNumberFormat="1" applyFont="1" applyFill="1" applyBorder="1" applyAlignment="1"/>
    <xf numFmtId="3" fontId="4" fillId="12" borderId="0" xfId="10" applyNumberFormat="1" applyFont="1" applyFill="1" applyBorder="1" applyAlignment="1"/>
    <xf numFmtId="168" fontId="4" fillId="12" borderId="13" xfId="10" applyNumberFormat="1" applyFont="1" applyFill="1" applyBorder="1" applyAlignment="1">
      <alignment horizontal="left"/>
    </xf>
    <xf numFmtId="168" fontId="7" fillId="12" borderId="13" xfId="10" applyNumberFormat="1" applyFont="1" applyFill="1" applyBorder="1" applyAlignment="1"/>
    <xf numFmtId="168" fontId="18" fillId="12" borderId="0" xfId="10" applyNumberFormat="1" applyFont="1" applyFill="1" applyBorder="1" applyAlignment="1"/>
    <xf numFmtId="3" fontId="77" fillId="12" borderId="12" xfId="18" applyNumberFormat="1" applyFont="1" applyFill="1" applyBorder="1"/>
    <xf numFmtId="9" fontId="76" fillId="12" borderId="0" xfId="29" applyFont="1" applyFill="1" applyBorder="1" applyAlignment="1"/>
    <xf numFmtId="10" fontId="7" fillId="12" borderId="0" xfId="29" applyNumberFormat="1" applyFont="1" applyFill="1" applyBorder="1" applyAlignment="1"/>
    <xf numFmtId="10" fontId="16" fillId="12" borderId="0" xfId="29" applyNumberFormat="1" applyFont="1" applyFill="1" applyBorder="1" applyAlignment="1"/>
    <xf numFmtId="10" fontId="63" fillId="12" borderId="0" xfId="29" applyNumberFormat="1" applyFont="1" applyFill="1" applyBorder="1" applyAlignment="1"/>
    <xf numFmtId="43" fontId="7" fillId="12" borderId="0" xfId="10" applyFont="1" applyFill="1" applyBorder="1" applyAlignment="1"/>
    <xf numFmtId="10" fontId="4" fillId="12" borderId="14" xfId="29" applyNumberFormat="1" applyFont="1" applyFill="1" applyBorder="1" applyAlignment="1"/>
    <xf numFmtId="1" fontId="7" fillId="4" borderId="15" xfId="22" applyNumberFormat="1" applyFont="1" applyFill="1" applyBorder="1" applyAlignment="1">
      <alignment horizontal="right"/>
    </xf>
    <xf numFmtId="164" fontId="7" fillId="5" borderId="16" xfId="32" applyNumberFormat="1" applyFont="1" applyFill="1" applyBorder="1" applyAlignment="1">
      <alignment horizontal="right"/>
    </xf>
    <xf numFmtId="173" fontId="77" fillId="11" borderId="16" xfId="18" applyNumberFormat="1" applyFont="1" applyFill="1" applyBorder="1"/>
    <xf numFmtId="167" fontId="7" fillId="5" borderId="16" xfId="32" applyNumberFormat="1" applyFont="1" applyFill="1" applyBorder="1" applyAlignment="1">
      <alignment horizontal="right"/>
    </xf>
    <xf numFmtId="174" fontId="7" fillId="0" borderId="16" xfId="12" applyNumberFormat="1" applyFont="1" applyFill="1" applyBorder="1" applyAlignment="1">
      <alignment horizontal="right"/>
    </xf>
    <xf numFmtId="173" fontId="77" fillId="12" borderId="16" xfId="18" applyNumberFormat="1" applyFont="1" applyFill="1" applyBorder="1"/>
    <xf numFmtId="196" fontId="15" fillId="12" borderId="0" xfId="32" applyNumberFormat="1" applyFont="1" applyFill="1" applyBorder="1" applyAlignment="1">
      <alignment horizontal="right"/>
    </xf>
    <xf numFmtId="166" fontId="0" fillId="0" borderId="0" xfId="29" applyNumberFormat="1" applyFont="1" applyBorder="1"/>
    <xf numFmtId="180" fontId="5" fillId="3" borderId="0" xfId="10" applyNumberFormat="1" applyFont="1" applyFill="1" applyBorder="1"/>
    <xf numFmtId="169" fontId="7" fillId="7" borderId="16" xfId="10" applyNumberFormat="1" applyFont="1" applyFill="1" applyBorder="1" applyAlignment="1">
      <alignment horizontal="right"/>
    </xf>
    <xf numFmtId="169" fontId="7" fillId="5" borderId="16" xfId="10" applyNumberFormat="1" applyFont="1" applyFill="1" applyBorder="1" applyAlignment="1">
      <alignment horizontal="right"/>
    </xf>
    <xf numFmtId="168" fontId="7" fillId="5" borderId="16" xfId="10" applyNumberFormat="1" applyFont="1" applyFill="1" applyBorder="1" applyAlignment="1">
      <alignment horizontal="right"/>
    </xf>
    <xf numFmtId="168" fontId="77" fillId="6" borderId="16" xfId="10" applyNumberFormat="1" applyFont="1" applyFill="1" applyBorder="1" applyAlignment="1">
      <alignment horizontal="right"/>
    </xf>
    <xf numFmtId="169" fontId="4" fillId="12" borderId="16" xfId="10" applyNumberFormat="1" applyFont="1" applyFill="1" applyBorder="1" applyAlignment="1">
      <alignment horizontal="right"/>
    </xf>
    <xf numFmtId="168" fontId="4" fillId="12" borderId="16" xfId="10" applyNumberFormat="1" applyFont="1" applyFill="1" applyBorder="1" applyAlignment="1">
      <alignment horizontal="right"/>
    </xf>
    <xf numFmtId="169" fontId="7" fillId="12" borderId="16" xfId="10" applyNumberFormat="1" applyFont="1" applyFill="1" applyBorder="1" applyAlignment="1"/>
    <xf numFmtId="169" fontId="23" fillId="12" borderId="0" xfId="10" applyNumberFormat="1" applyFont="1" applyFill="1" applyBorder="1" applyAlignment="1">
      <alignment horizontal="right"/>
    </xf>
    <xf numFmtId="169" fontId="77" fillId="12" borderId="16" xfId="10" applyNumberFormat="1" applyFont="1" applyFill="1" applyBorder="1" applyAlignment="1">
      <alignment horizontal="right"/>
    </xf>
    <xf numFmtId="166" fontId="8" fillId="12" borderId="0" xfId="29" applyNumberFormat="1" applyFont="1" applyFill="1" applyBorder="1"/>
    <xf numFmtId="44" fontId="9" fillId="12" borderId="0" xfId="15" applyFont="1" applyFill="1" applyBorder="1"/>
    <xf numFmtId="9" fontId="26" fillId="12" borderId="0" xfId="29" applyFont="1" applyFill="1" applyBorder="1"/>
    <xf numFmtId="168" fontId="0" fillId="0" borderId="0" xfId="10" applyNumberFormat="1" applyFont="1" applyBorder="1"/>
    <xf numFmtId="9" fontId="0" fillId="0" borderId="0" xfId="29" applyFont="1" applyBorder="1"/>
    <xf numFmtId="43" fontId="87" fillId="12" borderId="0" xfId="10" applyFont="1" applyFill="1" applyBorder="1" applyAlignment="1">
      <alignment horizontal="right"/>
    </xf>
    <xf numFmtId="9" fontId="4" fillId="4" borderId="0" xfId="29" applyFont="1" applyFill="1" applyAlignment="1"/>
    <xf numFmtId="9" fontId="4" fillId="4" borderId="8" xfId="29" applyFont="1" applyFill="1" applyBorder="1" applyAlignment="1"/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5" fontId="4" fillId="0" borderId="13" xfId="22" applyNumberFormat="1" applyBorder="1" applyAlignment="1">
      <alignment horizontal="right"/>
    </xf>
    <xf numFmtId="43" fontId="4" fillId="12" borderId="0" xfId="0" applyNumberFormat="1" applyFont="1" applyFill="1"/>
    <xf numFmtId="43" fontId="7" fillId="12" borderId="0" xfId="10" applyFont="1" applyFill="1" applyBorder="1" applyAlignment="1">
      <alignment horizontal="right"/>
    </xf>
    <xf numFmtId="43" fontId="9" fillId="12" borderId="0" xfId="10" applyFont="1" applyFill="1" applyBorder="1" applyAlignment="1">
      <alignment horizontal="right"/>
    </xf>
    <xf numFmtId="2" fontId="4" fillId="12" borderId="0" xfId="22" applyNumberFormat="1" applyFill="1" applyAlignment="1">
      <alignment horizontal="right"/>
    </xf>
    <xf numFmtId="169" fontId="4" fillId="3" borderId="0" xfId="0" applyNumberFormat="1" applyFont="1" applyFill="1"/>
    <xf numFmtId="169" fontId="5" fillId="3" borderId="0" xfId="0" applyNumberFormat="1" applyFont="1" applyFill="1"/>
    <xf numFmtId="169" fontId="50" fillId="3" borderId="0" xfId="0" applyNumberFormat="1" applyFont="1" applyFill="1" applyAlignment="1">
      <alignment horizontal="center"/>
    </xf>
    <xf numFmtId="169" fontId="7" fillId="4" borderId="0" xfId="22" applyNumberFormat="1" applyFont="1" applyFill="1" applyAlignment="1">
      <alignment horizontal="right"/>
    </xf>
    <xf numFmtId="169" fontId="4" fillId="0" borderId="0" xfId="29" applyNumberFormat="1" applyFont="1" applyFill="1" applyBorder="1" applyAlignment="1">
      <alignment horizontal="right"/>
    </xf>
    <xf numFmtId="169" fontId="10" fillId="0" borderId="0" xfId="10" applyNumberFormat="1" applyFont="1" applyFill="1" applyBorder="1" applyAlignment="1">
      <alignment horizontal="right"/>
    </xf>
    <xf numFmtId="169" fontId="4" fillId="6" borderId="0" xfId="10" applyNumberFormat="1" applyFont="1" applyFill="1" applyBorder="1" applyAlignment="1">
      <alignment horizontal="right"/>
    </xf>
    <xf numFmtId="169" fontId="9" fillId="0" borderId="0" xfId="10" applyNumberFormat="1" applyFont="1" applyFill="1" applyBorder="1" applyAlignment="1">
      <alignment horizontal="right"/>
    </xf>
    <xf numFmtId="169" fontId="0" fillId="0" borderId="0" xfId="0" applyNumberFormat="1"/>
    <xf numFmtId="9" fontId="4" fillId="0" borderId="0" xfId="29" applyFont="1" applyBorder="1"/>
    <xf numFmtId="9" fontId="7" fillId="12" borderId="12" xfId="29" applyFont="1" applyFill="1" applyBorder="1" applyAlignment="1"/>
    <xf numFmtId="166" fontId="7" fillId="12" borderId="3" xfId="29" applyNumberFormat="1" applyFont="1" applyFill="1" applyBorder="1" applyAlignment="1"/>
    <xf numFmtId="3" fontId="7" fillId="12" borderId="17" xfId="18" applyNumberFormat="1" applyFont="1" applyFill="1" applyBorder="1"/>
    <xf numFmtId="166" fontId="7" fillId="12" borderId="17" xfId="29" applyNumberFormat="1" applyFont="1" applyFill="1" applyBorder="1" applyAlignment="1"/>
    <xf numFmtId="173" fontId="7" fillId="12" borderId="17" xfId="18" applyNumberFormat="1" applyFont="1" applyFill="1" applyBorder="1"/>
    <xf numFmtId="10" fontId="8" fillId="12" borderId="0" xfId="29" applyNumberFormat="1" applyFont="1" applyFill="1" applyBorder="1" applyAlignment="1"/>
    <xf numFmtId="173" fontId="37" fillId="12" borderId="17" xfId="18" applyNumberFormat="1" applyFont="1" applyFill="1" applyBorder="1"/>
    <xf numFmtId="4" fontId="4" fillId="12" borderId="17" xfId="18" applyNumberFormat="1" applyFont="1" applyFill="1" applyBorder="1"/>
    <xf numFmtId="2" fontId="15" fillId="12" borderId="0" xfId="29" applyNumberFormat="1" applyFont="1" applyFill="1" applyBorder="1" applyAlignment="1"/>
    <xf numFmtId="9" fontId="4" fillId="4" borderId="0" xfId="29" applyFont="1" applyFill="1" applyBorder="1" applyAlignment="1"/>
    <xf numFmtId="166" fontId="4" fillId="12" borderId="18" xfId="29" applyNumberFormat="1" applyFont="1" applyFill="1" applyBorder="1" applyAlignment="1"/>
    <xf numFmtId="166" fontId="15" fillId="12" borderId="18" xfId="29" applyNumberFormat="1" applyFont="1" applyFill="1" applyBorder="1" applyAlignment="1"/>
    <xf numFmtId="169" fontId="77" fillId="12" borderId="17" xfId="10" applyNumberFormat="1" applyFont="1" applyFill="1" applyBorder="1" applyAlignment="1"/>
    <xf numFmtId="9" fontId="8" fillId="12" borderId="0" xfId="29" applyFont="1" applyFill="1" applyBorder="1" applyAlignment="1"/>
    <xf numFmtId="166" fontId="84" fillId="12" borderId="0" xfId="29" applyNumberFormat="1" applyFont="1" applyFill="1" applyBorder="1" applyAlignment="1"/>
    <xf numFmtId="166" fontId="19" fillId="12" borderId="0" xfId="29" applyNumberFormat="1" applyFont="1" applyFill="1" applyBorder="1" applyAlignment="1"/>
    <xf numFmtId="168" fontId="4" fillId="12" borderId="18" xfId="10" applyNumberFormat="1" applyFont="1" applyFill="1" applyBorder="1" applyAlignment="1"/>
    <xf numFmtId="168" fontId="8" fillId="12" borderId="18" xfId="10" applyNumberFormat="1" applyFont="1" applyFill="1" applyBorder="1" applyAlignment="1"/>
    <xf numFmtId="3" fontId="7" fillId="12" borderId="18" xfId="10" applyNumberFormat="1" applyFont="1" applyFill="1" applyBorder="1" applyAlignment="1"/>
    <xf numFmtId="3" fontId="7" fillId="12" borderId="17" xfId="29" applyNumberFormat="1" applyFont="1" applyFill="1" applyBorder="1" applyAlignment="1"/>
    <xf numFmtId="173" fontId="77" fillId="12" borderId="17" xfId="29" applyNumberFormat="1" applyFont="1" applyFill="1" applyBorder="1" applyAlignment="1"/>
    <xf numFmtId="168" fontId="7" fillId="12" borderId="18" xfId="10" applyNumberFormat="1" applyFont="1" applyFill="1" applyBorder="1" applyAlignment="1"/>
    <xf numFmtId="173" fontId="7" fillId="0" borderId="17" xfId="18" applyNumberFormat="1" applyFont="1" applyBorder="1"/>
    <xf numFmtId="3" fontId="78" fillId="12" borderId="12" xfId="29" applyNumberFormat="1" applyFont="1" applyFill="1" applyBorder="1" applyAlignment="1"/>
    <xf numFmtId="43" fontId="6" fillId="3" borderId="0" xfId="10" applyFont="1" applyFill="1" applyBorder="1"/>
    <xf numFmtId="1" fontId="7" fillId="4" borderId="19" xfId="22" applyNumberFormat="1" applyFont="1" applyFill="1" applyBorder="1" applyAlignment="1">
      <alignment horizontal="right"/>
    </xf>
    <xf numFmtId="10" fontId="4" fillId="12" borderId="3" xfId="29" applyNumberFormat="1" applyFont="1" applyFill="1" applyBorder="1" applyAlignment="1"/>
    <xf numFmtId="165" fontId="4" fillId="0" borderId="0" xfId="0" applyNumberFormat="1" applyFont="1"/>
    <xf numFmtId="166" fontId="0" fillId="0" borderId="0" xfId="29" applyNumberFormat="1" applyFont="1" applyFill="1" applyBorder="1"/>
    <xf numFmtId="169" fontId="9" fillId="0" borderId="6" xfId="10" applyNumberFormat="1" applyFont="1" applyFill="1" applyBorder="1" applyAlignment="1">
      <alignment horizontal="right"/>
    </xf>
    <xf numFmtId="169" fontId="10" fillId="12" borderId="0" xfId="10" applyNumberFormat="1" applyFont="1" applyFill="1" applyBorder="1" applyAlignment="1">
      <alignment horizontal="right"/>
    </xf>
    <xf numFmtId="169" fontId="7" fillId="12" borderId="0" xfId="10" applyNumberFormat="1" applyFont="1" applyFill="1" applyBorder="1"/>
    <xf numFmtId="169" fontId="4" fillId="12" borderId="0" xfId="10" applyNumberFormat="1" applyFont="1" applyFill="1" applyBorder="1"/>
    <xf numFmtId="169" fontId="15" fillId="12" borderId="0" xfId="29" applyNumberFormat="1" applyFont="1" applyFill="1" applyBorder="1"/>
    <xf numFmtId="169" fontId="15" fillId="12" borderId="0" xfId="29" applyNumberFormat="1" applyFont="1" applyFill="1"/>
    <xf numFmtId="0" fontId="4" fillId="19" borderId="0" xfId="0" applyFont="1" applyFill="1"/>
    <xf numFmtId="168" fontId="4" fillId="0" borderId="16" xfId="10" applyNumberFormat="1" applyFont="1" applyFill="1" applyBorder="1" applyAlignment="1">
      <alignment horizontal="right"/>
    </xf>
    <xf numFmtId="169" fontId="4" fillId="0" borderId="0" xfId="10" applyNumberFormat="1" applyFont="1" applyFill="1" applyBorder="1" applyAlignment="1">
      <alignment horizontal="left"/>
    </xf>
    <xf numFmtId="169" fontId="4" fillId="0" borderId="0" xfId="0" applyNumberFormat="1" applyFont="1"/>
    <xf numFmtId="168" fontId="7" fillId="0" borderId="16" xfId="10" applyNumberFormat="1" applyFont="1" applyFill="1" applyBorder="1" applyAlignment="1">
      <alignment horizontal="right"/>
    </xf>
    <xf numFmtId="166" fontId="8" fillId="0" borderId="0" xfId="29" applyNumberFormat="1" applyFont="1" applyFill="1" applyBorder="1"/>
    <xf numFmtId="44" fontId="9" fillId="0" borderId="0" xfId="15" applyFont="1" applyFill="1" applyBorder="1"/>
    <xf numFmtId="9" fontId="26" fillId="0" borderId="0" xfId="29" applyFont="1" applyFill="1" applyBorder="1"/>
    <xf numFmtId="169" fontId="77" fillId="6" borderId="16" xfId="10" applyNumberFormat="1" applyFont="1" applyFill="1" applyBorder="1" applyAlignment="1">
      <alignment horizontal="right"/>
    </xf>
    <xf numFmtId="43" fontId="4" fillId="12" borderId="3" xfId="10" applyFont="1" applyFill="1" applyBorder="1" applyAlignment="1">
      <alignment horizontal="right"/>
    </xf>
    <xf numFmtId="43" fontId="7" fillId="18" borderId="3" xfId="10" applyFont="1" applyFill="1" applyBorder="1" applyAlignment="1">
      <alignment horizontal="right"/>
    </xf>
    <xf numFmtId="43" fontId="7" fillId="12" borderId="7" xfId="10" applyFont="1" applyFill="1" applyBorder="1" applyAlignment="1">
      <alignment horizontal="right"/>
    </xf>
    <xf numFmtId="43" fontId="4" fillId="12" borderId="6" xfId="10" applyFont="1" applyFill="1" applyBorder="1" applyAlignment="1">
      <alignment horizontal="right"/>
    </xf>
    <xf numFmtId="2" fontId="4" fillId="12" borderId="0" xfId="32" applyNumberFormat="1" applyFont="1" applyFill="1" applyBorder="1" applyAlignment="1">
      <alignment horizontal="right"/>
    </xf>
    <xf numFmtId="168" fontId="91" fillId="0" borderId="0" xfId="10" applyNumberFormat="1" applyFont="1" applyAlignment="1">
      <alignment horizontal="right"/>
    </xf>
    <xf numFmtId="168" fontId="90" fillId="0" borderId="0" xfId="10" applyNumberFormat="1" applyFont="1" applyAlignment="1">
      <alignment horizontal="right"/>
    </xf>
    <xf numFmtId="9" fontId="7" fillId="12" borderId="17" xfId="29" applyFont="1" applyFill="1" applyBorder="1" applyAlignment="1"/>
    <xf numFmtId="2" fontId="8" fillId="12" borderId="0" xfId="29" applyNumberFormat="1" applyFont="1" applyFill="1" applyBorder="1" applyAlignment="1"/>
    <xf numFmtId="173" fontId="77" fillId="12" borderId="17" xfId="18" applyNumberFormat="1" applyFont="1" applyFill="1" applyBorder="1"/>
    <xf numFmtId="4" fontId="7" fillId="12" borderId="17" xfId="18" applyNumberFormat="1" applyFont="1" applyFill="1" applyBorder="1"/>
    <xf numFmtId="9" fontId="7" fillId="0" borderId="0" xfId="29" applyFont="1" applyFill="1" applyBorder="1" applyAlignment="1"/>
    <xf numFmtId="166" fontId="78" fillId="0" borderId="0" xfId="29" applyNumberFormat="1" applyFont="1" applyFill="1" applyBorder="1" applyAlignment="1"/>
    <xf numFmtId="166" fontId="75" fillId="0" borderId="0" xfId="29" applyNumberFormat="1" applyFont="1" applyFill="1" applyBorder="1" applyAlignment="1"/>
    <xf numFmtId="168" fontId="4" fillId="12" borderId="18" xfId="10" applyNumberFormat="1" applyFont="1" applyFill="1" applyBorder="1" applyAlignment="1">
      <alignment horizontal="left"/>
    </xf>
    <xf numFmtId="3" fontId="77" fillId="12" borderId="17" xfId="18" applyNumberFormat="1" applyFont="1" applyFill="1" applyBorder="1"/>
    <xf numFmtId="10" fontId="7" fillId="0" borderId="0" xfId="29" applyNumberFormat="1" applyFont="1" applyFill="1" applyBorder="1" applyAlignment="1"/>
    <xf numFmtId="169" fontId="16" fillId="12" borderId="0" xfId="10" applyNumberFormat="1" applyFont="1" applyFill="1" applyBorder="1" applyAlignment="1"/>
    <xf numFmtId="169" fontId="75" fillId="12" borderId="0" xfId="10" applyNumberFormat="1" applyFont="1" applyFill="1" applyBorder="1" applyAlignment="1"/>
    <xf numFmtId="10" fontId="8" fillId="0" borderId="0" xfId="29" applyNumberFormat="1" applyFont="1" applyFill="1" applyBorder="1" applyAlignment="1"/>
    <xf numFmtId="173" fontId="37" fillId="0" borderId="17" xfId="18" applyNumberFormat="1" applyFont="1" applyBorder="1"/>
    <xf numFmtId="173" fontId="77" fillId="0" borderId="6" xfId="10" applyNumberFormat="1" applyFont="1" applyFill="1" applyBorder="1" applyAlignment="1"/>
    <xf numFmtId="166" fontId="76" fillId="0" borderId="0" xfId="29" applyNumberFormat="1" applyFont="1" applyFill="1" applyBorder="1" applyAlignment="1"/>
    <xf numFmtId="166" fontId="4" fillId="0" borderId="18" xfId="29" applyNumberFormat="1" applyFont="1" applyFill="1" applyBorder="1" applyAlignment="1"/>
    <xf numFmtId="165" fontId="77" fillId="0" borderId="6" xfId="10" applyNumberFormat="1" applyFont="1" applyFill="1" applyBorder="1" applyAlignment="1"/>
    <xf numFmtId="169" fontId="77" fillId="0" borderId="17" xfId="10" applyNumberFormat="1" applyFont="1" applyFill="1" applyBorder="1" applyAlignment="1"/>
    <xf numFmtId="166" fontId="15" fillId="0" borderId="0" xfId="29" applyNumberFormat="1" applyFont="1" applyFill="1" applyBorder="1" applyAlignment="1"/>
    <xf numFmtId="166" fontId="7" fillId="0" borderId="0" xfId="29" applyNumberFormat="1" applyFont="1" applyFill="1" applyBorder="1" applyAlignment="1"/>
    <xf numFmtId="9" fontId="8" fillId="0" borderId="0" xfId="29" applyFont="1" applyFill="1" applyBorder="1" applyAlignment="1"/>
    <xf numFmtId="166" fontId="84" fillId="0" borderId="0" xfId="29" applyNumberFormat="1" applyFont="1" applyFill="1" applyBorder="1" applyAlignment="1"/>
    <xf numFmtId="166" fontId="19" fillId="0" borderId="0" xfId="29" applyNumberFormat="1" applyFont="1" applyFill="1" applyBorder="1" applyAlignment="1"/>
    <xf numFmtId="168" fontId="76" fillId="0" borderId="0" xfId="10" applyNumberFormat="1" applyFont="1" applyFill="1" applyBorder="1" applyAlignment="1"/>
    <xf numFmtId="168" fontId="4" fillId="0" borderId="18" xfId="10" applyNumberFormat="1" applyFont="1" applyFill="1" applyBorder="1" applyAlignment="1"/>
    <xf numFmtId="168" fontId="7" fillId="0" borderId="0" xfId="10" applyNumberFormat="1" applyFont="1" applyFill="1" applyBorder="1" applyAlignment="1"/>
    <xf numFmtId="168" fontId="76" fillId="0" borderId="6" xfId="10" applyNumberFormat="1" applyFont="1" applyFill="1" applyBorder="1" applyAlignment="1"/>
    <xf numFmtId="168" fontId="8" fillId="0" borderId="0" xfId="10" applyNumberFormat="1" applyFont="1" applyFill="1" applyBorder="1" applyAlignment="1"/>
    <xf numFmtId="168" fontId="8" fillId="0" borderId="18" xfId="10" applyNumberFormat="1" applyFont="1" applyFill="1" applyBorder="1" applyAlignment="1"/>
    <xf numFmtId="168" fontId="8" fillId="0" borderId="6" xfId="10" applyNumberFormat="1" applyFont="1" applyFill="1" applyBorder="1" applyAlignment="1"/>
    <xf numFmtId="3" fontId="7" fillId="0" borderId="18" xfId="10" applyNumberFormat="1" applyFont="1" applyFill="1" applyBorder="1" applyAlignment="1"/>
    <xf numFmtId="3" fontId="7" fillId="0" borderId="17" xfId="29" applyNumberFormat="1" applyFont="1" applyFill="1" applyBorder="1" applyAlignment="1"/>
    <xf numFmtId="3" fontId="7" fillId="0" borderId="17" xfId="18" applyNumberFormat="1" applyFont="1" applyBorder="1"/>
    <xf numFmtId="173" fontId="77" fillId="0" borderId="0" xfId="29" applyNumberFormat="1" applyFont="1" applyFill="1" applyBorder="1" applyAlignment="1"/>
    <xf numFmtId="173" fontId="37" fillId="0" borderId="0" xfId="0" applyNumberFormat="1" applyFont="1"/>
    <xf numFmtId="173" fontId="88" fillId="0" borderId="0" xfId="18" applyNumberFormat="1" applyFont="1"/>
    <xf numFmtId="173" fontId="88" fillId="0" borderId="6" xfId="10" applyNumberFormat="1" applyFont="1" applyFill="1" applyBorder="1" applyAlignment="1"/>
    <xf numFmtId="168" fontId="7" fillId="0" borderId="18" xfId="10" applyNumberFormat="1" applyFont="1" applyFill="1" applyBorder="1" applyAlignment="1"/>
    <xf numFmtId="173" fontId="77" fillId="0" borderId="0" xfId="10" applyNumberFormat="1" applyFont="1" applyFill="1" applyBorder="1" applyAlignment="1"/>
    <xf numFmtId="43" fontId="76" fillId="12" borderId="0" xfId="10" applyFont="1" applyFill="1" applyBorder="1" applyAlignment="1">
      <alignment horizontal="right"/>
    </xf>
    <xf numFmtId="43" fontId="7" fillId="7" borderId="17" xfId="10" applyFont="1" applyFill="1" applyBorder="1" applyAlignment="1">
      <alignment horizontal="right"/>
    </xf>
    <xf numFmtId="43" fontId="7" fillId="5" borderId="17" xfId="10" applyFont="1" applyFill="1" applyBorder="1" applyAlignment="1">
      <alignment horizontal="right"/>
    </xf>
    <xf numFmtId="43" fontId="7" fillId="12" borderId="18" xfId="10" applyFont="1" applyFill="1" applyBorder="1" applyAlignment="1">
      <alignment horizontal="right"/>
    </xf>
    <xf numFmtId="43" fontId="76" fillId="0" borderId="0" xfId="10" applyFont="1" applyFill="1" applyBorder="1" applyAlignment="1">
      <alignment horizontal="right"/>
    </xf>
    <xf numFmtId="43" fontId="8" fillId="12" borderId="0" xfId="10" applyFont="1" applyFill="1" applyBorder="1" applyAlignment="1">
      <alignment horizontal="right"/>
    </xf>
    <xf numFmtId="168" fontId="77" fillId="6" borderId="17" xfId="10" applyNumberFormat="1" applyFont="1" applyFill="1" applyBorder="1" applyAlignment="1">
      <alignment horizontal="right"/>
    </xf>
    <xf numFmtId="168" fontId="4" fillId="12" borderId="17" xfId="10" applyNumberFormat="1" applyFont="1" applyFill="1" applyBorder="1" applyAlignment="1">
      <alignment horizontal="right"/>
    </xf>
    <xf numFmtId="169" fontId="77" fillId="6" borderId="17" xfId="10" applyNumberFormat="1" applyFont="1" applyFill="1" applyBorder="1" applyAlignment="1">
      <alignment horizontal="right"/>
    </xf>
    <xf numFmtId="169" fontId="7" fillId="5" borderId="17" xfId="10" applyNumberFormat="1" applyFont="1" applyFill="1" applyBorder="1" applyAlignment="1">
      <alignment horizontal="right"/>
    </xf>
    <xf numFmtId="169" fontId="4" fillId="12" borderId="17" xfId="10" applyNumberFormat="1" applyFont="1" applyFill="1" applyBorder="1" applyAlignment="1">
      <alignment horizontal="right"/>
    </xf>
    <xf numFmtId="169" fontId="87" fillId="12" borderId="0" xfId="10" applyNumberFormat="1" applyFont="1" applyFill="1" applyBorder="1"/>
    <xf numFmtId="168" fontId="7" fillId="5" borderId="17" xfId="10" applyNumberFormat="1" applyFont="1" applyFill="1" applyBorder="1" applyAlignment="1">
      <alignment horizontal="right"/>
    </xf>
    <xf numFmtId="169" fontId="7" fillId="12" borderId="17" xfId="10" applyNumberFormat="1" applyFont="1" applyFill="1" applyBorder="1" applyAlignment="1"/>
    <xf numFmtId="169" fontId="7" fillId="0" borderId="17" xfId="10" applyNumberFormat="1" applyFont="1" applyFill="1" applyBorder="1" applyAlignment="1">
      <alignment horizontal="right"/>
    </xf>
    <xf numFmtId="175" fontId="4" fillId="12" borderId="0" xfId="22" applyNumberFormat="1" applyFill="1" applyAlignment="1">
      <alignment horizontal="right"/>
    </xf>
    <xf numFmtId="164" fontId="7" fillId="5" borderId="17" xfId="32" applyNumberFormat="1" applyFont="1" applyFill="1" applyBorder="1" applyAlignment="1">
      <alignment horizontal="right"/>
    </xf>
    <xf numFmtId="173" fontId="77" fillId="11" borderId="17" xfId="18" applyNumberFormat="1" applyFont="1" applyFill="1" applyBorder="1"/>
    <xf numFmtId="167" fontId="7" fillId="5" borderId="17" xfId="32" applyNumberFormat="1" applyFont="1" applyFill="1" applyBorder="1" applyAlignment="1">
      <alignment horizontal="right"/>
    </xf>
    <xf numFmtId="174" fontId="7" fillId="0" borderId="17" xfId="12" applyNumberFormat="1" applyFont="1" applyFill="1" applyBorder="1" applyAlignment="1">
      <alignment horizontal="right"/>
    </xf>
    <xf numFmtId="17" fontId="4" fillId="12" borderId="0" xfId="32" applyNumberFormat="1" applyFont="1" applyFill="1" applyBorder="1"/>
    <xf numFmtId="165" fontId="0" fillId="12" borderId="0" xfId="0" applyNumberFormat="1" applyFill="1"/>
    <xf numFmtId="166" fontId="0" fillId="12" borderId="0" xfId="29" applyNumberFormat="1" applyFont="1" applyFill="1" applyBorder="1"/>
    <xf numFmtId="1" fontId="7" fillId="4" borderId="20" xfId="22" applyNumberFormat="1" applyFont="1" applyFill="1" applyBorder="1" applyAlignment="1">
      <alignment horizontal="right"/>
    </xf>
    <xf numFmtId="168" fontId="4" fillId="0" borderId="20" xfId="10" applyNumberFormat="1" applyFont="1" applyFill="1" applyBorder="1" applyAlignment="1">
      <alignment horizontal="right"/>
    </xf>
    <xf numFmtId="169" fontId="4" fillId="0" borderId="20" xfId="10" applyNumberFormat="1" applyFont="1" applyFill="1" applyBorder="1" applyAlignment="1">
      <alignment horizontal="right"/>
    </xf>
    <xf numFmtId="0" fontId="0" fillId="12" borderId="20" xfId="0" applyFill="1" applyBorder="1"/>
    <xf numFmtId="0" fontId="4" fillId="12" borderId="20" xfId="0" applyFont="1" applyFill="1" applyBorder="1"/>
    <xf numFmtId="0" fontId="0" fillId="0" borderId="20" xfId="0" applyBorder="1"/>
    <xf numFmtId="169" fontId="7" fillId="7" borderId="17" xfId="10" applyNumberFormat="1" applyFont="1" applyFill="1" applyBorder="1" applyAlignment="1">
      <alignment horizontal="right"/>
    </xf>
    <xf numFmtId="43" fontId="87" fillId="0" borderId="0" xfId="10" applyFont="1" applyFill="1" applyBorder="1" applyAlignment="1">
      <alignment horizontal="right"/>
    </xf>
    <xf numFmtId="0" fontId="4" fillId="3" borderId="20" xfId="0" applyFont="1" applyFill="1" applyBorder="1"/>
    <xf numFmtId="180" fontId="5" fillId="3" borderId="20" xfId="10" applyNumberFormat="1" applyFont="1" applyFill="1" applyBorder="1"/>
    <xf numFmtId="165" fontId="6" fillId="3" borderId="20" xfId="0" applyNumberFormat="1" applyFont="1" applyFill="1" applyBorder="1"/>
    <xf numFmtId="43" fontId="4" fillId="0" borderId="20" xfId="10" applyFont="1" applyFill="1" applyBorder="1" applyAlignment="1">
      <alignment horizontal="right"/>
    </xf>
    <xf numFmtId="168" fontId="7" fillId="0" borderId="20" xfId="10" applyNumberFormat="1" applyFont="1" applyFill="1" applyBorder="1" applyAlignment="1">
      <alignment horizontal="right"/>
    </xf>
    <xf numFmtId="43" fontId="7" fillId="12" borderId="20" xfId="10" applyFont="1" applyFill="1" applyBorder="1" applyAlignment="1">
      <alignment horizontal="right"/>
    </xf>
    <xf numFmtId="165" fontId="4" fillId="4" borderId="20" xfId="22" applyNumberFormat="1" applyFill="1" applyBorder="1" applyAlignment="1">
      <alignment horizontal="left"/>
    </xf>
    <xf numFmtId="169" fontId="76" fillId="12" borderId="20" xfId="10" applyNumberFormat="1" applyFont="1" applyFill="1" applyBorder="1" applyAlignment="1">
      <alignment horizontal="right"/>
    </xf>
    <xf numFmtId="169" fontId="7" fillId="0" borderId="20" xfId="10" applyNumberFormat="1" applyFont="1" applyFill="1" applyBorder="1" applyAlignment="1">
      <alignment horizontal="right"/>
    </xf>
    <xf numFmtId="166" fontId="4" fillId="0" borderId="20" xfId="29" applyNumberFormat="1" applyFont="1" applyFill="1" applyBorder="1" applyAlignment="1"/>
    <xf numFmtId="169" fontId="7" fillId="0" borderId="20" xfId="10" applyNumberFormat="1" applyFont="1" applyFill="1" applyBorder="1" applyAlignment="1"/>
    <xf numFmtId="168" fontId="4" fillId="0" borderId="20" xfId="10" applyNumberFormat="1" applyFont="1" applyFill="1" applyBorder="1" applyAlignment="1">
      <alignment horizontal="left"/>
    </xf>
    <xf numFmtId="168" fontId="9" fillId="0" borderId="20" xfId="10" applyNumberFormat="1" applyFont="1" applyFill="1" applyBorder="1"/>
    <xf numFmtId="168" fontId="4" fillId="12" borderId="20" xfId="10" applyNumberFormat="1" applyFont="1" applyFill="1" applyBorder="1"/>
    <xf numFmtId="168" fontId="7" fillId="12" borderId="20" xfId="10" applyNumberFormat="1" applyFont="1" applyFill="1" applyBorder="1"/>
    <xf numFmtId="168" fontId="16" fillId="12" borderId="20" xfId="10" applyNumberFormat="1" applyFont="1" applyFill="1" applyBorder="1"/>
    <xf numFmtId="168" fontId="44" fillId="12" borderId="20" xfId="10" applyNumberFormat="1" applyFont="1" applyFill="1" applyBorder="1"/>
    <xf numFmtId="43" fontId="4" fillId="12" borderId="20" xfId="10" applyFont="1" applyFill="1" applyBorder="1"/>
    <xf numFmtId="166" fontId="4" fillId="12" borderId="20" xfId="29" applyNumberFormat="1" applyFont="1" applyFill="1" applyBorder="1"/>
    <xf numFmtId="0" fontId="4" fillId="2" borderId="20" xfId="0" applyFont="1" applyFill="1" applyBorder="1"/>
    <xf numFmtId="168" fontId="4" fillId="12" borderId="20" xfId="10" applyNumberFormat="1" applyFont="1" applyFill="1" applyBorder="1" applyAlignment="1">
      <alignment horizontal="right"/>
    </xf>
    <xf numFmtId="169" fontId="10" fillId="0" borderId="20" xfId="10" applyNumberFormat="1" applyFont="1" applyFill="1" applyBorder="1" applyAlignment="1">
      <alignment horizontal="right"/>
    </xf>
    <xf numFmtId="169" fontId="10" fillId="6" borderId="0" xfId="10" applyNumberFormat="1" applyFont="1" applyFill="1" applyBorder="1" applyAlignment="1">
      <alignment horizontal="right"/>
    </xf>
    <xf numFmtId="168" fontId="7" fillId="18" borderId="17" xfId="10" applyNumberFormat="1" applyFont="1" applyFill="1" applyBorder="1" applyAlignment="1">
      <alignment horizontal="right"/>
    </xf>
    <xf numFmtId="169" fontId="7" fillId="0" borderId="3" xfId="10" applyNumberFormat="1" applyFont="1" applyFill="1" applyBorder="1" applyAlignment="1">
      <alignment horizontal="right"/>
    </xf>
    <xf numFmtId="43" fontId="87" fillId="12" borderId="6" xfId="10" applyFont="1" applyFill="1" applyBorder="1" applyAlignment="1">
      <alignment horizontal="right"/>
    </xf>
    <xf numFmtId="166" fontId="19" fillId="0" borderId="0" xfId="29" applyNumberFormat="1" applyFont="1" applyFill="1" applyAlignment="1"/>
    <xf numFmtId="166" fontId="75" fillId="0" borderId="0" xfId="29" applyNumberFormat="1" applyFont="1" applyFill="1" applyAlignment="1"/>
    <xf numFmtId="169" fontId="78" fillId="0" borderId="0" xfId="10" applyNumberFormat="1" applyFont="1" applyFill="1" applyBorder="1" applyAlignment="1">
      <alignment horizontal="left"/>
    </xf>
    <xf numFmtId="169" fontId="77" fillId="0" borderId="0" xfId="10" applyNumberFormat="1" applyFont="1" applyFill="1" applyBorder="1" applyAlignment="1">
      <alignment horizontal="right"/>
    </xf>
    <xf numFmtId="166" fontId="71" fillId="0" borderId="0" xfId="29" applyNumberFormat="1" applyFont="1" applyFill="1" applyAlignment="1"/>
    <xf numFmtId="169" fontId="9" fillId="0" borderId="0" xfId="10" applyNumberFormat="1" applyFont="1" applyFill="1" applyBorder="1"/>
    <xf numFmtId="164" fontId="7" fillId="0" borderId="0" xfId="32" applyNumberFormat="1" applyFont="1" applyFill="1" applyBorder="1" applyAlignment="1">
      <alignment horizontal="left"/>
    </xf>
    <xf numFmtId="164" fontId="15" fillId="0" borderId="0" xfId="32" applyNumberFormat="1" applyFont="1" applyFill="1" applyBorder="1" applyAlignment="1">
      <alignment horizontal="left"/>
    </xf>
    <xf numFmtId="173" fontId="0" fillId="0" borderId="0" xfId="0" applyNumberFormat="1"/>
    <xf numFmtId="0" fontId="86" fillId="0" borderId="0" xfId="0" applyFont="1"/>
    <xf numFmtId="166" fontId="15" fillId="0" borderId="18" xfId="29" applyNumberFormat="1" applyFont="1" applyFill="1" applyBorder="1" applyAlignment="1"/>
    <xf numFmtId="168" fontId="87" fillId="0" borderId="0" xfId="10" applyNumberFormat="1" applyFont="1" applyFill="1" applyBorder="1" applyAlignment="1">
      <alignment horizontal="left"/>
    </xf>
    <xf numFmtId="3" fontId="79" fillId="0" borderId="0" xfId="18" applyNumberFormat="1" applyFont="1" applyAlignment="1">
      <alignment horizontal="right"/>
    </xf>
    <xf numFmtId="43" fontId="75" fillId="0" borderId="0" xfId="10" applyFont="1" applyFill="1" applyAlignment="1"/>
    <xf numFmtId="175" fontId="15" fillId="0" borderId="0" xfId="10" applyNumberFormat="1" applyFont="1" applyFill="1" applyAlignment="1"/>
    <xf numFmtId="166" fontId="78" fillId="0" borderId="0" xfId="29" applyNumberFormat="1" applyFont="1" applyFill="1" applyAlignment="1"/>
    <xf numFmtId="43" fontId="16" fillId="0" borderId="0" xfId="10" applyFont="1" applyFill="1" applyBorder="1" applyAlignment="1"/>
    <xf numFmtId="168" fontId="18" fillId="0" borderId="0" xfId="10" applyNumberFormat="1" applyFont="1" applyFill="1" applyAlignment="1"/>
    <xf numFmtId="3" fontId="4" fillId="0" borderId="0" xfId="29" applyNumberFormat="1" applyFont="1" applyFill="1" applyBorder="1" applyAlignment="1">
      <alignment horizontal="right"/>
    </xf>
    <xf numFmtId="9" fontId="78" fillId="0" borderId="0" xfId="29" applyFont="1" applyFill="1" applyAlignment="1"/>
    <xf numFmtId="10" fontId="16" fillId="0" borderId="0" xfId="29" applyNumberFormat="1" applyFont="1" applyFill="1" applyAlignment="1"/>
    <xf numFmtId="10" fontId="63" fillId="0" borderId="0" xfId="29" applyNumberFormat="1" applyFont="1" applyFill="1" applyAlignment="1"/>
    <xf numFmtId="173" fontId="4" fillId="0" borderId="0" xfId="29" applyNumberFormat="1" applyFont="1" applyFill="1" applyAlignment="1"/>
    <xf numFmtId="10" fontId="75" fillId="0" borderId="0" xfId="29" applyNumberFormat="1" applyFont="1" applyFill="1" applyAlignment="1"/>
    <xf numFmtId="173" fontId="78" fillId="0" borderId="0" xfId="18" applyNumberFormat="1" applyFont="1"/>
    <xf numFmtId="168" fontId="16" fillId="0" borderId="0" xfId="10" applyNumberFormat="1" applyFont="1" applyFill="1" applyBorder="1" applyAlignment="1"/>
    <xf numFmtId="169" fontId="16" fillId="0" borderId="0" xfId="10" applyNumberFormat="1" applyFont="1" applyFill="1" applyAlignment="1"/>
    <xf numFmtId="169" fontId="75" fillId="0" borderId="0" xfId="10" applyNumberFormat="1" applyFont="1" applyFill="1" applyAlignment="1"/>
    <xf numFmtId="169" fontId="4" fillId="0" borderId="0" xfId="10" applyNumberFormat="1" applyFont="1" applyFill="1" applyAlignment="1"/>
    <xf numFmtId="43" fontId="8" fillId="12" borderId="0" xfId="10" applyFont="1" applyFill="1" applyBorder="1" applyAlignment="1"/>
    <xf numFmtId="173" fontId="4" fillId="12" borderId="17" xfId="18" applyNumberFormat="1" applyFont="1" applyFill="1" applyBorder="1"/>
    <xf numFmtId="165" fontId="7" fillId="0" borderId="17" xfId="10" applyNumberFormat="1" applyFont="1" applyFill="1" applyBorder="1" applyAlignment="1"/>
    <xf numFmtId="3" fontId="71" fillId="6" borderId="0" xfId="10" applyNumberFormat="1" applyFont="1" applyFill="1" applyBorder="1" applyAlignment="1"/>
    <xf numFmtId="168" fontId="87" fillId="0" borderId="18" xfId="10" applyNumberFormat="1" applyFont="1" applyFill="1" applyBorder="1" applyAlignment="1"/>
    <xf numFmtId="173" fontId="7" fillId="12" borderId="17" xfId="29" applyNumberFormat="1" applyFont="1" applyFill="1" applyBorder="1" applyAlignment="1"/>
    <xf numFmtId="9" fontId="7" fillId="0" borderId="0" xfId="29" applyFont="1" applyBorder="1" applyAlignment="1"/>
    <xf numFmtId="3" fontId="79" fillId="13" borderId="20" xfId="18" applyNumberFormat="1" applyFont="1" applyFill="1" applyBorder="1" applyAlignment="1">
      <alignment horizontal="right"/>
    </xf>
    <xf numFmtId="3" fontId="4" fillId="4" borderId="20" xfId="18" applyNumberFormat="1" applyFont="1" applyFill="1" applyBorder="1"/>
    <xf numFmtId="173" fontId="4" fillId="12" borderId="20" xfId="18" applyNumberFormat="1" applyFont="1" applyFill="1" applyBorder="1"/>
    <xf numFmtId="173" fontId="4" fillId="0" borderId="20" xfId="18" applyNumberFormat="1" applyFont="1" applyBorder="1"/>
    <xf numFmtId="173" fontId="4" fillId="14" borderId="20" xfId="18" applyNumberFormat="1" applyFont="1" applyFill="1" applyBorder="1"/>
    <xf numFmtId="9" fontId="7" fillId="0" borderId="20" xfId="29" applyFont="1" applyFill="1" applyBorder="1" applyAlignment="1"/>
    <xf numFmtId="9" fontId="4" fillId="0" borderId="20" xfId="29" applyFont="1" applyFill="1" applyBorder="1" applyAlignment="1"/>
    <xf numFmtId="3" fontId="4" fillId="12" borderId="20" xfId="18" applyNumberFormat="1" applyFont="1" applyFill="1" applyBorder="1"/>
    <xf numFmtId="166" fontId="4" fillId="12" borderId="20" xfId="29" applyNumberFormat="1" applyFont="1" applyFill="1" applyBorder="1" applyAlignment="1"/>
    <xf numFmtId="9" fontId="4" fillId="12" borderId="20" xfId="29" applyFont="1" applyFill="1" applyBorder="1" applyAlignment="1"/>
    <xf numFmtId="3" fontId="7" fillId="12" borderId="20" xfId="18" applyNumberFormat="1" applyFont="1" applyFill="1" applyBorder="1"/>
    <xf numFmtId="10" fontId="4" fillId="12" borderId="20" xfId="29" applyNumberFormat="1" applyFont="1" applyFill="1" applyBorder="1" applyAlignment="1"/>
    <xf numFmtId="166" fontId="15" fillId="12" borderId="20" xfId="29" applyNumberFormat="1" applyFont="1" applyFill="1" applyBorder="1" applyAlignment="1"/>
    <xf numFmtId="3" fontId="4" fillId="13" borderId="20" xfId="18" applyNumberFormat="1" applyFont="1" applyFill="1" applyBorder="1"/>
    <xf numFmtId="0" fontId="15" fillId="12" borderId="20" xfId="0" applyFont="1" applyFill="1" applyBorder="1"/>
    <xf numFmtId="166" fontId="15" fillId="12" borderId="20" xfId="0" applyNumberFormat="1" applyFont="1" applyFill="1" applyBorder="1"/>
    <xf numFmtId="166" fontId="75" fillId="0" borderId="20" xfId="29" applyNumberFormat="1" applyFont="1" applyFill="1" applyBorder="1" applyAlignment="1"/>
    <xf numFmtId="3" fontId="4" fillId="0" borderId="20" xfId="18" applyNumberFormat="1" applyFont="1" applyBorder="1"/>
    <xf numFmtId="43" fontId="15" fillId="12" borderId="20" xfId="10" applyFont="1" applyFill="1" applyBorder="1" applyAlignment="1"/>
    <xf numFmtId="169" fontId="11" fillId="0" borderId="0" xfId="10" applyNumberFormat="1" applyFont="1" applyFill="1" applyBorder="1" applyAlignment="1">
      <alignment horizontal="right"/>
    </xf>
    <xf numFmtId="169" fontId="7" fillId="0" borderId="0" xfId="10" applyNumberFormat="1" applyFont="1" applyFill="1" applyBorder="1"/>
    <xf numFmtId="169" fontId="4" fillId="0" borderId="0" xfId="10" applyNumberFormat="1" applyFont="1" applyFill="1" applyBorder="1"/>
    <xf numFmtId="169" fontId="15" fillId="0" borderId="0" xfId="29" applyNumberFormat="1" applyFont="1" applyFill="1" applyBorder="1"/>
    <xf numFmtId="173" fontId="37" fillId="0" borderId="3" xfId="18" applyNumberFormat="1" applyFont="1" applyBorder="1"/>
    <xf numFmtId="173" fontId="8" fillId="0" borderId="0" xfId="18" applyNumberFormat="1" applyFont="1"/>
    <xf numFmtId="10" fontId="4" fillId="0" borderId="3" xfId="29" applyNumberFormat="1" applyFont="1" applyFill="1" applyBorder="1" applyAlignment="1"/>
    <xf numFmtId="169" fontId="88" fillId="0" borderId="0" xfId="10" applyNumberFormat="1" applyFont="1" applyFill="1" applyBorder="1" applyAlignment="1">
      <alignment horizontal="right"/>
    </xf>
    <xf numFmtId="9" fontId="7" fillId="0" borderId="0" xfId="29" applyFont="1" applyFill="1" applyBorder="1" applyAlignment="1">
      <alignment horizontal="right"/>
    </xf>
    <xf numFmtId="169" fontId="7" fillId="12" borderId="20" xfId="10" applyNumberFormat="1" applyFont="1" applyFill="1" applyBorder="1" applyAlignment="1">
      <alignment horizontal="right"/>
    </xf>
    <xf numFmtId="173" fontId="88" fillId="0" borderId="3" xfId="18" applyNumberFormat="1" applyFont="1" applyBorder="1"/>
    <xf numFmtId="168" fontId="76" fillId="0" borderId="0" xfId="10" applyNumberFormat="1" applyFont="1" applyFill="1" applyBorder="1" applyAlignment="1">
      <alignment horizontal="right"/>
    </xf>
    <xf numFmtId="168" fontId="77" fillId="0" borderId="3" xfId="10" applyNumberFormat="1" applyFont="1" applyFill="1" applyBorder="1" applyAlignment="1">
      <alignment horizontal="right"/>
    </xf>
    <xf numFmtId="168" fontId="4" fillId="0" borderId="3" xfId="10" applyNumberFormat="1" applyFont="1" applyFill="1" applyBorder="1" applyAlignment="1">
      <alignment horizontal="right"/>
    </xf>
    <xf numFmtId="169" fontId="4" fillId="0" borderId="3" xfId="10" applyNumberFormat="1" applyFont="1" applyFill="1" applyBorder="1" applyAlignment="1">
      <alignment horizontal="right"/>
    </xf>
    <xf numFmtId="168" fontId="49" fillId="0" borderId="0" xfId="10" applyNumberFormat="1" applyFont="1" applyFill="1" applyBorder="1" applyAlignment="1">
      <alignment horizontal="right"/>
    </xf>
    <xf numFmtId="43" fontId="58" fillId="0" borderId="0" xfId="10" applyFont="1" applyFill="1" applyBorder="1" applyAlignment="1">
      <alignment horizontal="right"/>
    </xf>
    <xf numFmtId="168" fontId="58" fillId="0" borderId="0" xfId="10" applyNumberFormat="1" applyFont="1" applyFill="1" applyBorder="1" applyAlignment="1">
      <alignment horizontal="right"/>
    </xf>
    <xf numFmtId="166" fontId="19" fillId="0" borderId="0" xfId="29" applyNumberFormat="1" applyFont="1" applyFill="1" applyBorder="1" applyAlignment="1">
      <alignment horizontal="right"/>
    </xf>
    <xf numFmtId="169" fontId="49" fillId="0" borderId="0" xfId="10" applyNumberFormat="1" applyFont="1" applyFill="1" applyBorder="1" applyAlignment="1"/>
    <xf numFmtId="169" fontId="76" fillId="0" borderId="0" xfId="10" applyNumberFormat="1" applyFont="1" applyFill="1" applyBorder="1" applyAlignment="1"/>
    <xf numFmtId="169" fontId="11" fillId="0" borderId="0" xfId="0" applyNumberFormat="1" applyFont="1"/>
    <xf numFmtId="10" fontId="15" fillId="0" borderId="0" xfId="29" applyNumberFormat="1" applyFont="1" applyFill="1" applyBorder="1" applyAlignment="1">
      <alignment horizontal="right"/>
    </xf>
    <xf numFmtId="168" fontId="7" fillId="0" borderId="3" xfId="10" applyNumberFormat="1" applyFont="1" applyFill="1" applyBorder="1" applyAlignment="1">
      <alignment horizontal="right"/>
    </xf>
    <xf numFmtId="165" fontId="4" fillId="0" borderId="7" xfId="22" applyNumberFormat="1" applyBorder="1" applyAlignment="1">
      <alignment horizontal="right"/>
    </xf>
    <xf numFmtId="168" fontId="7" fillId="12" borderId="20" xfId="10" applyNumberFormat="1" applyFont="1" applyFill="1" applyBorder="1" applyAlignment="1">
      <alignment horizontal="right"/>
    </xf>
    <xf numFmtId="168" fontId="8" fillId="12" borderId="20" xfId="10" applyNumberFormat="1" applyFont="1" applyFill="1" applyBorder="1" applyAlignment="1">
      <alignment horizontal="right"/>
    </xf>
    <xf numFmtId="165" fontId="4" fillId="12" borderId="20" xfId="22" applyNumberFormat="1" applyFill="1" applyBorder="1" applyAlignment="1">
      <alignment horizontal="left"/>
    </xf>
    <xf numFmtId="168" fontId="9" fillId="12" borderId="20" xfId="10" applyNumberFormat="1" applyFont="1" applyFill="1" applyBorder="1"/>
    <xf numFmtId="166" fontId="8" fillId="12" borderId="20" xfId="29" applyNumberFormat="1" applyFont="1" applyFill="1" applyBorder="1"/>
    <xf numFmtId="168" fontId="4" fillId="12" borderId="20" xfId="0" applyNumberFormat="1" applyFont="1" applyFill="1" applyBorder="1"/>
    <xf numFmtId="44" fontId="9" fillId="12" borderId="20" xfId="15" applyFont="1" applyFill="1" applyBorder="1"/>
    <xf numFmtId="9" fontId="75" fillId="12" borderId="20" xfId="0" applyNumberFormat="1" applyFont="1" applyFill="1" applyBorder="1"/>
    <xf numFmtId="168" fontId="4" fillId="18" borderId="20" xfId="10" applyNumberFormat="1" applyFont="1" applyFill="1" applyBorder="1" applyAlignment="1">
      <alignment horizontal="right"/>
    </xf>
    <xf numFmtId="9" fontId="26" fillId="12" borderId="20" xfId="29" applyFont="1" applyFill="1" applyBorder="1"/>
    <xf numFmtId="10" fontId="4" fillId="12" borderId="20" xfId="0" applyNumberFormat="1" applyFont="1" applyFill="1" applyBorder="1"/>
    <xf numFmtId="10" fontId="44" fillId="12" borderId="20" xfId="0" applyNumberFormat="1" applyFont="1" applyFill="1" applyBorder="1"/>
    <xf numFmtId="168" fontId="0" fillId="12" borderId="20" xfId="0" applyNumberFormat="1" applyFill="1" applyBorder="1"/>
    <xf numFmtId="164" fontId="0" fillId="12" borderId="20" xfId="0" applyNumberFormat="1" applyFill="1" applyBorder="1"/>
    <xf numFmtId="168" fontId="0" fillId="12" borderId="20" xfId="10" applyNumberFormat="1" applyFont="1" applyFill="1" applyBorder="1"/>
    <xf numFmtId="9" fontId="0" fillId="12" borderId="20" xfId="29" applyFont="1" applyFill="1" applyBorder="1"/>
    <xf numFmtId="169" fontId="87" fillId="0" borderId="0" xfId="10" applyNumberFormat="1" applyFont="1" applyFill="1"/>
    <xf numFmtId="169" fontId="7" fillId="5" borderId="22" xfId="10" applyNumberFormat="1" applyFont="1" applyFill="1" applyBorder="1" applyAlignment="1">
      <alignment horizontal="right"/>
    </xf>
    <xf numFmtId="168" fontId="16" fillId="0" borderId="18" xfId="10" applyNumberFormat="1" applyFont="1" applyFill="1" applyBorder="1" applyAlignment="1"/>
    <xf numFmtId="168" fontId="75" fillId="0" borderId="18" xfId="10" applyNumberFormat="1" applyFont="1" applyFill="1" applyBorder="1" applyAlignment="1"/>
    <xf numFmtId="168" fontId="87" fillId="0" borderId="0" xfId="10" applyNumberFormat="1" applyFont="1" applyAlignment="1"/>
    <xf numFmtId="165" fontId="4" fillId="12" borderId="0" xfId="29" applyNumberFormat="1" applyFont="1" applyFill="1" applyAlignment="1"/>
    <xf numFmtId="1" fontId="4" fillId="12" borderId="0" xfId="29" applyNumberFormat="1" applyFont="1" applyFill="1" applyAlignment="1"/>
    <xf numFmtId="1" fontId="4" fillId="0" borderId="0" xfId="18" applyNumberFormat="1" applyFont="1"/>
    <xf numFmtId="1" fontId="4" fillId="0" borderId="0" xfId="29" applyNumberFormat="1" applyFont="1" applyAlignment="1"/>
    <xf numFmtId="1" fontId="87" fillId="12" borderId="0" xfId="29" applyNumberFormat="1" applyFont="1" applyFill="1" applyBorder="1" applyAlignment="1"/>
    <xf numFmtId="166" fontId="87" fillId="12" borderId="0" xfId="29" applyNumberFormat="1" applyFont="1" applyFill="1" applyBorder="1" applyAlignment="1"/>
    <xf numFmtId="165" fontId="4" fillId="12" borderId="0" xfId="29" applyNumberFormat="1" applyFont="1" applyFill="1" applyBorder="1" applyAlignment="1"/>
    <xf numFmtId="1" fontId="4" fillId="12" borderId="0" xfId="29" applyNumberFormat="1" applyFont="1" applyFill="1" applyBorder="1" applyAlignment="1"/>
    <xf numFmtId="165" fontId="87" fillId="0" borderId="0" xfId="29" applyNumberFormat="1" applyFont="1" applyAlignment="1"/>
    <xf numFmtId="165" fontId="87" fillId="12" borderId="0" xfId="29" applyNumberFormat="1" applyFont="1" applyFill="1" applyAlignment="1"/>
    <xf numFmtId="1" fontId="87" fillId="0" borderId="0" xfId="29" applyNumberFormat="1" applyFont="1" applyAlignment="1"/>
    <xf numFmtId="1" fontId="87" fillId="12" borderId="0" xfId="29" applyNumberFormat="1" applyFont="1" applyFill="1" applyAlignment="1"/>
    <xf numFmtId="166" fontId="87" fillId="0" borderId="0" xfId="29" applyNumberFormat="1" applyFont="1" applyAlignment="1"/>
    <xf numFmtId="166" fontId="87" fillId="12" borderId="0" xfId="29" applyNumberFormat="1" applyFont="1" applyFill="1" applyAlignment="1"/>
    <xf numFmtId="165" fontId="87" fillId="12" borderId="0" xfId="29" applyNumberFormat="1" applyFont="1" applyFill="1" applyBorder="1" applyAlignment="1"/>
    <xf numFmtId="2" fontId="4" fillId="12" borderId="0" xfId="29" applyNumberFormat="1" applyFont="1" applyFill="1" applyAlignment="1"/>
    <xf numFmtId="0" fontId="92" fillId="0" borderId="0" xfId="24" applyFont="1"/>
    <xf numFmtId="3" fontId="92" fillId="0" borderId="0" xfId="24" applyNumberFormat="1" applyFont="1" applyAlignment="1">
      <alignment horizontal="center"/>
    </xf>
    <xf numFmtId="0" fontId="90" fillId="0" borderId="0" xfId="24" applyFont="1"/>
    <xf numFmtId="3" fontId="90" fillId="0" borderId="0" xfId="24" applyNumberFormat="1" applyFont="1" applyAlignment="1">
      <alignment horizontal="center"/>
    </xf>
    <xf numFmtId="173" fontId="90" fillId="0" borderId="0" xfId="24" applyNumberFormat="1" applyFont="1" applyAlignment="1">
      <alignment horizontal="center"/>
    </xf>
    <xf numFmtId="0" fontId="91" fillId="0" borderId="0" xfId="25" applyFont="1"/>
    <xf numFmtId="3" fontId="95" fillId="0" borderId="0" xfId="25" applyNumberFormat="1" applyFont="1" applyAlignment="1">
      <alignment horizontal="left"/>
    </xf>
    <xf numFmtId="4" fontId="100" fillId="0" borderId="0" xfId="25" applyNumberFormat="1" applyFont="1" applyAlignment="1">
      <alignment horizontal="center"/>
    </xf>
    <xf numFmtId="3" fontId="90" fillId="0" borderId="0" xfId="25" applyNumberFormat="1" applyFont="1" applyAlignment="1">
      <alignment horizontal="left"/>
    </xf>
    <xf numFmtId="4" fontId="101" fillId="0" borderId="0" xfId="25" applyNumberFormat="1" applyFont="1" applyAlignment="1">
      <alignment horizontal="center"/>
    </xf>
    <xf numFmtId="0" fontId="90" fillId="0" borderId="0" xfId="25" applyFont="1"/>
    <xf numFmtId="0" fontId="90" fillId="0" borderId="0" xfId="25" applyFont="1" applyAlignment="1">
      <alignment horizontal="left"/>
    </xf>
    <xf numFmtId="0" fontId="90" fillId="0" borderId="0" xfId="25" applyFont="1" applyAlignment="1">
      <alignment horizontal="center"/>
    </xf>
    <xf numFmtId="0" fontId="90" fillId="0" borderId="0" xfId="24" applyFont="1" applyAlignment="1">
      <alignment horizontal="center"/>
    </xf>
    <xf numFmtId="9" fontId="90" fillId="0" borderId="0" xfId="29" applyFont="1" applyAlignment="1">
      <alignment horizontal="center"/>
    </xf>
    <xf numFmtId="0" fontId="89" fillId="15" borderId="0" xfId="24" applyFont="1" applyFill="1"/>
    <xf numFmtId="3" fontId="90" fillId="0" borderId="0" xfId="25" applyNumberFormat="1" applyFont="1" applyAlignment="1">
      <alignment horizontal="center"/>
    </xf>
    <xf numFmtId="0" fontId="91" fillId="0" borderId="6" xfId="25" applyFont="1" applyBorder="1"/>
    <xf numFmtId="3" fontId="102" fillId="0" borderId="6" xfId="31" applyNumberFormat="1" applyFont="1" applyBorder="1" applyAlignment="1">
      <alignment horizontal="center"/>
    </xf>
    <xf numFmtId="3" fontId="102" fillId="0" borderId="0" xfId="31" applyNumberFormat="1" applyFont="1" applyBorder="1" applyAlignment="1">
      <alignment horizontal="center"/>
    </xf>
    <xf numFmtId="0" fontId="89" fillId="16" borderId="3" xfId="25" applyFont="1" applyFill="1" applyBorder="1"/>
    <xf numFmtId="3" fontId="89" fillId="16" borderId="3" xfId="25" applyNumberFormat="1" applyFont="1" applyFill="1" applyBorder="1" applyAlignment="1">
      <alignment horizontal="right"/>
    </xf>
    <xf numFmtId="3" fontId="91" fillId="0" borderId="0" xfId="23" applyNumberFormat="1" applyFont="1" applyAlignment="1">
      <alignment horizontal="left"/>
    </xf>
    <xf numFmtId="168" fontId="90" fillId="0" borderId="0" xfId="26" applyNumberFormat="1" applyFont="1">
      <alignment horizontal="right"/>
    </xf>
    <xf numFmtId="3" fontId="90" fillId="0" borderId="0" xfId="0" applyNumberFormat="1" applyFont="1" applyAlignment="1">
      <alignment horizontal="left"/>
    </xf>
    <xf numFmtId="3" fontId="90" fillId="0" borderId="0" xfId="24" applyNumberFormat="1" applyFont="1" applyAlignment="1">
      <alignment horizontal="right"/>
    </xf>
    <xf numFmtId="0" fontId="91" fillId="0" borderId="0" xfId="25" applyFont="1" applyAlignment="1">
      <alignment horizontal="left"/>
    </xf>
    <xf numFmtId="168" fontId="91" fillId="0" borderId="0" xfId="26" applyNumberFormat="1" applyFont="1">
      <alignment horizontal="right"/>
    </xf>
    <xf numFmtId="3" fontId="90" fillId="0" borderId="0" xfId="23" applyNumberFormat="1" applyFont="1"/>
    <xf numFmtId="3" fontId="91" fillId="0" borderId="0" xfId="25" applyNumberFormat="1" applyFont="1"/>
    <xf numFmtId="168" fontId="91" fillId="0" borderId="0" xfId="10" applyNumberFormat="1" applyFont="1" applyBorder="1" applyAlignment="1">
      <alignment horizontal="right"/>
    </xf>
    <xf numFmtId="3" fontId="90" fillId="0" borderId="0" xfId="23" applyNumberFormat="1" applyFont="1" applyAlignment="1">
      <alignment horizontal="left"/>
    </xf>
    <xf numFmtId="168" fontId="94" fillId="0" borderId="0" xfId="10" applyNumberFormat="1" applyFont="1" applyFill="1" applyBorder="1" applyAlignment="1">
      <alignment horizontal="right"/>
    </xf>
    <xf numFmtId="168" fontId="90" fillId="0" borderId="0" xfId="10" applyNumberFormat="1" applyFont="1" applyFill="1" applyBorder="1" applyAlignment="1">
      <alignment horizontal="right"/>
    </xf>
    <xf numFmtId="168" fontId="90" fillId="0" borderId="0" xfId="24" applyNumberFormat="1" applyFont="1"/>
    <xf numFmtId="3" fontId="90" fillId="0" borderId="0" xfId="25" applyNumberFormat="1" applyFont="1"/>
    <xf numFmtId="168" fontId="90" fillId="0" borderId="0" xfId="10" applyNumberFormat="1" applyFont="1" applyFill="1" applyAlignment="1">
      <alignment horizontal="right"/>
    </xf>
    <xf numFmtId="0" fontId="91" fillId="6" borderId="0" xfId="25" applyFont="1" applyFill="1" applyAlignment="1">
      <alignment horizontal="left"/>
    </xf>
    <xf numFmtId="168" fontId="91" fillId="6" borderId="0" xfId="26" applyNumberFormat="1" applyFont="1" applyFill="1">
      <alignment horizontal="right"/>
    </xf>
    <xf numFmtId="168" fontId="103" fillId="0" borderId="0" xfId="10" applyNumberFormat="1" applyFont="1" applyFill="1" applyBorder="1" applyAlignment="1">
      <alignment horizontal="right"/>
    </xf>
    <xf numFmtId="0" fontId="90" fillId="0" borderId="0" xfId="24" applyFont="1" applyAlignment="1">
      <alignment horizontal="left"/>
    </xf>
    <xf numFmtId="0" fontId="90" fillId="0" borderId="0" xfId="24" applyFont="1" applyAlignment="1">
      <alignment horizontal="right"/>
    </xf>
    <xf numFmtId="168" fontId="90" fillId="0" borderId="0" xfId="24" applyNumberFormat="1" applyFont="1" applyAlignment="1">
      <alignment horizontal="right"/>
    </xf>
    <xf numFmtId="0" fontId="91" fillId="12" borderId="0" xfId="25" applyFont="1" applyFill="1" applyAlignment="1">
      <alignment horizontal="left"/>
    </xf>
    <xf numFmtId="0" fontId="90" fillId="12" borderId="0" xfId="25" applyFont="1" applyFill="1" applyAlignment="1">
      <alignment horizontal="right"/>
    </xf>
    <xf numFmtId="3" fontId="94" fillId="0" borderId="1" xfId="25" applyNumberFormat="1" applyFont="1" applyBorder="1"/>
    <xf numFmtId="168" fontId="90" fillId="0" borderId="6" xfId="10" applyNumberFormat="1" applyFont="1" applyFill="1" applyBorder="1" applyAlignment="1">
      <alignment horizontal="right"/>
    </xf>
    <xf numFmtId="0" fontId="90" fillId="0" borderId="0" xfId="23" applyFont="1" applyAlignment="1">
      <alignment horizontal="left"/>
    </xf>
    <xf numFmtId="172" fontId="90" fillId="0" borderId="0" xfId="14" applyNumberFormat="1" applyFont="1" applyAlignment="1">
      <alignment horizontal="right"/>
    </xf>
    <xf numFmtId="169" fontId="90" fillId="0" borderId="0" xfId="14" applyNumberFormat="1" applyFont="1" applyAlignment="1">
      <alignment horizontal="right"/>
    </xf>
    <xf numFmtId="37" fontId="90" fillId="0" borderId="0" xfId="27" applyNumberFormat="1" applyFont="1" applyBorder="1" applyAlignment="1">
      <alignment horizontal="center"/>
    </xf>
    <xf numFmtId="43" fontId="90" fillId="0" borderId="0" xfId="10" applyFont="1" applyBorder="1" applyAlignment="1">
      <alignment horizontal="right"/>
    </xf>
    <xf numFmtId="168" fontId="90" fillId="6" borderId="0" xfId="27" applyNumberFormat="1" applyFont="1" applyFill="1" applyBorder="1">
      <alignment horizontal="right"/>
    </xf>
    <xf numFmtId="172" fontId="91" fillId="12" borderId="0" xfId="25" applyNumberFormat="1" applyFont="1" applyFill="1" applyAlignment="1">
      <alignment horizontal="right"/>
    </xf>
    <xf numFmtId="168" fontId="91" fillId="6" borderId="0" xfId="27" applyNumberFormat="1" applyFont="1" applyFill="1" applyBorder="1">
      <alignment horizontal="right"/>
    </xf>
    <xf numFmtId="166" fontId="90" fillId="6" borderId="0" xfId="29" applyNumberFormat="1" applyFont="1" applyFill="1" applyAlignment="1">
      <alignment horizontal="right"/>
    </xf>
    <xf numFmtId="10" fontId="90" fillId="6" borderId="0" xfId="29" applyNumberFormat="1" applyFont="1" applyFill="1" applyAlignment="1">
      <alignment horizontal="right"/>
    </xf>
    <xf numFmtId="169" fontId="90" fillId="6" borderId="0" xfId="10" applyNumberFormat="1" applyFont="1" applyFill="1" applyAlignment="1">
      <alignment horizontal="right"/>
    </xf>
    <xf numFmtId="168" fontId="90" fillId="6" borderId="0" xfId="10" applyNumberFormat="1" applyFont="1" applyFill="1" applyAlignment="1">
      <alignment horizontal="right"/>
    </xf>
    <xf numFmtId="0" fontId="90" fillId="6" borderId="0" xfId="25" applyFont="1" applyFill="1" applyAlignment="1">
      <alignment horizontal="left"/>
    </xf>
    <xf numFmtId="166" fontId="90" fillId="6" borderId="0" xfId="31" applyNumberFormat="1" applyFont="1" applyFill="1" applyAlignment="1">
      <alignment horizontal="right"/>
    </xf>
    <xf numFmtId="10" fontId="90" fillId="0" borderId="0" xfId="29" applyNumberFormat="1" applyFont="1" applyAlignment="1">
      <alignment horizontal="right"/>
    </xf>
    <xf numFmtId="0" fontId="90" fillId="0" borderId="6" xfId="24" applyFont="1" applyBorder="1"/>
    <xf numFmtId="168" fontId="90" fillId="6" borderId="6" xfId="10" applyNumberFormat="1" applyFont="1" applyFill="1" applyBorder="1" applyAlignment="1">
      <alignment horizontal="right"/>
    </xf>
    <xf numFmtId="168" fontId="90" fillId="6" borderId="0" xfId="10" applyNumberFormat="1" applyFont="1" applyFill="1" applyBorder="1" applyAlignment="1">
      <alignment horizontal="right"/>
    </xf>
    <xf numFmtId="1" fontId="90" fillId="0" borderId="0" xfId="29" applyNumberFormat="1" applyFont="1" applyAlignment="1">
      <alignment horizontal="right"/>
    </xf>
    <xf numFmtId="0" fontId="90" fillId="12" borderId="0" xfId="25" applyFont="1" applyFill="1" applyAlignment="1">
      <alignment horizontal="left"/>
    </xf>
    <xf numFmtId="169" fontId="90" fillId="12" borderId="0" xfId="10" applyNumberFormat="1" applyFont="1" applyFill="1" applyAlignment="1">
      <alignment horizontal="right"/>
    </xf>
    <xf numFmtId="173" fontId="90" fillId="6" borderId="0" xfId="24" applyNumberFormat="1" applyFont="1" applyFill="1" applyAlignment="1">
      <alignment horizontal="right"/>
    </xf>
    <xf numFmtId="172" fontId="91" fillId="0" borderId="0" xfId="25" applyNumberFormat="1" applyFont="1"/>
    <xf numFmtId="4" fontId="90" fillId="6" borderId="0" xfId="24" applyNumberFormat="1" applyFont="1" applyFill="1" applyAlignment="1">
      <alignment horizontal="right"/>
    </xf>
    <xf numFmtId="3" fontId="90" fillId="0" borderId="6" xfId="24" applyNumberFormat="1" applyFont="1" applyBorder="1" applyAlignment="1">
      <alignment horizontal="center"/>
    </xf>
    <xf numFmtId="168" fontId="90" fillId="6" borderId="7" xfId="10" applyNumberFormat="1" applyFont="1" applyFill="1" applyBorder="1" applyAlignment="1">
      <alignment horizontal="right"/>
    </xf>
    <xf numFmtId="0" fontId="90" fillId="0" borderId="6" xfId="24" applyFont="1" applyBorder="1" applyAlignment="1">
      <alignment horizontal="left"/>
    </xf>
    <xf numFmtId="9" fontId="90" fillId="6" borderId="6" xfId="31" applyFont="1" applyFill="1" applyBorder="1" applyAlignment="1">
      <alignment horizontal="right"/>
    </xf>
    <xf numFmtId="10" fontId="104" fillId="11" borderId="0" xfId="21" applyNumberFormat="1" applyFont="1" applyFill="1"/>
    <xf numFmtId="169" fontId="90" fillId="6" borderId="0" xfId="25" applyNumberFormat="1" applyFont="1" applyFill="1" applyAlignment="1">
      <alignment horizontal="center"/>
    </xf>
    <xf numFmtId="1" fontId="90" fillId="0" borderId="0" xfId="24" applyNumberFormat="1" applyFont="1"/>
    <xf numFmtId="169" fontId="90" fillId="6" borderId="0" xfId="10" applyNumberFormat="1" applyFont="1" applyFill="1" applyAlignment="1">
      <alignment horizontal="center"/>
    </xf>
    <xf numFmtId="169" fontId="90" fillId="6" borderId="0" xfId="10" applyNumberFormat="1" applyFont="1" applyFill="1" applyBorder="1" applyAlignment="1">
      <alignment horizontal="center"/>
    </xf>
    <xf numFmtId="3" fontId="91" fillId="0" borderId="0" xfId="25" applyNumberFormat="1" applyFont="1" applyAlignment="1">
      <alignment horizontal="right"/>
    </xf>
    <xf numFmtId="43" fontId="90" fillId="0" borderId="0" xfId="24" applyNumberFormat="1" applyFont="1" applyAlignment="1">
      <alignment horizontal="center"/>
    </xf>
    <xf numFmtId="9" fontId="90" fillId="0" borderId="0" xfId="29" applyFont="1" applyBorder="1" applyAlignment="1">
      <alignment horizontal="center"/>
    </xf>
    <xf numFmtId="1" fontId="75" fillId="0" borderId="0" xfId="29" applyNumberFormat="1" applyFont="1" applyFill="1" applyAlignment="1"/>
    <xf numFmtId="1" fontId="75" fillId="0" borderId="0" xfId="18" applyNumberFormat="1" applyFont="1"/>
    <xf numFmtId="164" fontId="7" fillId="5" borderId="23" xfId="32" applyNumberFormat="1" applyFont="1" applyFill="1" applyBorder="1" applyAlignment="1">
      <alignment horizontal="right"/>
    </xf>
    <xf numFmtId="173" fontId="77" fillId="12" borderId="23" xfId="18" applyNumberFormat="1" applyFont="1" applyFill="1" applyBorder="1"/>
    <xf numFmtId="173" fontId="37" fillId="12" borderId="23" xfId="18" applyNumberFormat="1" applyFont="1" applyFill="1" applyBorder="1"/>
    <xf numFmtId="173" fontId="77" fillId="11" borderId="23" xfId="18" applyNumberFormat="1" applyFont="1" applyFill="1" applyBorder="1"/>
    <xf numFmtId="167" fontId="7" fillId="5" borderId="23" xfId="32" applyNumberFormat="1" applyFont="1" applyFill="1" applyBorder="1" applyAlignment="1">
      <alignment horizontal="right"/>
    </xf>
    <xf numFmtId="174" fontId="7" fillId="0" borderId="23" xfId="12" applyNumberFormat="1" applyFont="1" applyFill="1" applyBorder="1" applyAlignment="1">
      <alignment horizontal="right"/>
    </xf>
    <xf numFmtId="10" fontId="4" fillId="0" borderId="20" xfId="29" applyNumberFormat="1" applyFont="1" applyFill="1" applyBorder="1" applyAlignment="1"/>
    <xf numFmtId="166" fontId="4" fillId="0" borderId="20" xfId="29" applyNumberFormat="1" applyFont="1" applyFill="1" applyBorder="1" applyAlignment="1">
      <alignment horizontal="right"/>
    </xf>
    <xf numFmtId="169" fontId="7" fillId="5" borderId="23" xfId="10" applyNumberFormat="1" applyFont="1" applyFill="1" applyBorder="1" applyAlignment="1">
      <alignment horizontal="right"/>
    </xf>
    <xf numFmtId="169" fontId="7" fillId="7" borderId="23" xfId="10" applyNumberFormat="1" applyFont="1" applyFill="1" applyBorder="1" applyAlignment="1">
      <alignment horizontal="right"/>
    </xf>
    <xf numFmtId="165" fontId="5" fillId="3" borderId="20" xfId="0" applyNumberFormat="1" applyFont="1" applyFill="1" applyBorder="1"/>
    <xf numFmtId="165" fontId="50" fillId="3" borderId="20" xfId="0" applyNumberFormat="1" applyFont="1" applyFill="1" applyBorder="1" applyAlignment="1">
      <alignment horizontal="center"/>
    </xf>
    <xf numFmtId="164" fontId="4" fillId="0" borderId="20" xfId="29" applyNumberFormat="1" applyFont="1" applyFill="1" applyBorder="1" applyAlignment="1">
      <alignment horizontal="right"/>
    </xf>
    <xf numFmtId="169" fontId="7" fillId="7" borderId="22" xfId="10" applyNumberFormat="1" applyFont="1" applyFill="1" applyBorder="1" applyAlignment="1">
      <alignment horizontal="right"/>
    </xf>
    <xf numFmtId="169" fontId="9" fillId="0" borderId="20" xfId="10" applyNumberFormat="1" applyFont="1" applyFill="1" applyBorder="1" applyAlignment="1">
      <alignment horizontal="right"/>
    </xf>
    <xf numFmtId="182" fontId="4" fillId="0" borderId="20" xfId="10" applyNumberFormat="1" applyFont="1" applyFill="1" applyBorder="1" applyAlignment="1">
      <alignment horizontal="right"/>
    </xf>
    <xf numFmtId="168" fontId="10" fillId="0" borderId="20" xfId="10" applyNumberFormat="1" applyFont="1" applyFill="1" applyBorder="1" applyAlignment="1">
      <alignment horizontal="right"/>
    </xf>
    <xf numFmtId="43" fontId="11" fillId="0" borderId="20" xfId="10" applyFont="1" applyFill="1" applyBorder="1" applyAlignment="1">
      <alignment horizontal="right"/>
    </xf>
    <xf numFmtId="168" fontId="7" fillId="0" borderId="20" xfId="10" applyNumberFormat="1" applyFont="1" applyBorder="1"/>
    <xf numFmtId="168" fontId="4" fillId="0" borderId="20" xfId="10" applyNumberFormat="1" applyFont="1" applyFill="1" applyBorder="1"/>
    <xf numFmtId="168" fontId="4" fillId="0" borderId="20" xfId="10" applyNumberFormat="1" applyFont="1" applyBorder="1"/>
    <xf numFmtId="166" fontId="15" fillId="0" borderId="20" xfId="29" applyNumberFormat="1" applyFont="1" applyBorder="1"/>
    <xf numFmtId="169" fontId="7" fillId="0" borderId="20" xfId="10" applyNumberFormat="1" applyFont="1" applyBorder="1"/>
    <xf numFmtId="43" fontId="4" fillId="0" borderId="20" xfId="10" applyFont="1" applyFill="1" applyBorder="1"/>
    <xf numFmtId="43" fontId="7" fillId="7" borderId="23" xfId="10" applyFont="1" applyFill="1" applyBorder="1" applyAlignment="1">
      <alignment horizontal="right"/>
    </xf>
    <xf numFmtId="43" fontId="7" fillId="5" borderId="23" xfId="10" applyFont="1" applyFill="1" applyBorder="1" applyAlignment="1">
      <alignment horizontal="right"/>
    </xf>
    <xf numFmtId="43" fontId="7" fillId="12" borderId="24" xfId="10" applyFont="1" applyFill="1" applyBorder="1" applyAlignment="1">
      <alignment horizontal="right"/>
    </xf>
    <xf numFmtId="168" fontId="77" fillId="6" borderId="23" xfId="10" applyNumberFormat="1" applyFont="1" applyFill="1" applyBorder="1" applyAlignment="1">
      <alignment horizontal="right"/>
    </xf>
    <xf numFmtId="168" fontId="4" fillId="12" borderId="23" xfId="10" applyNumberFormat="1" applyFont="1" applyFill="1" applyBorder="1" applyAlignment="1">
      <alignment horizontal="right"/>
    </xf>
    <xf numFmtId="169" fontId="77" fillId="6" borderId="23" xfId="10" applyNumberFormat="1" applyFont="1" applyFill="1" applyBorder="1" applyAlignment="1">
      <alignment horizontal="right"/>
    </xf>
    <xf numFmtId="169" fontId="4" fillId="12" borderId="23" xfId="10" applyNumberFormat="1" applyFont="1" applyFill="1" applyBorder="1" applyAlignment="1">
      <alignment horizontal="right"/>
    </xf>
    <xf numFmtId="169" fontId="87" fillId="0" borderId="0" xfId="10" applyNumberFormat="1" applyFont="1" applyFill="1" applyBorder="1"/>
    <xf numFmtId="168" fontId="7" fillId="5" borderId="23" xfId="10" applyNumberFormat="1" applyFont="1" applyFill="1" applyBorder="1" applyAlignment="1">
      <alignment horizontal="right"/>
    </xf>
    <xf numFmtId="168" fontId="7" fillId="18" borderId="23" xfId="10" applyNumberFormat="1" applyFont="1" applyFill="1" applyBorder="1" applyAlignment="1">
      <alignment horizontal="right"/>
    </xf>
    <xf numFmtId="169" fontId="7" fillId="0" borderId="23" xfId="10" applyNumberFormat="1" applyFont="1" applyFill="1" applyBorder="1" applyAlignment="1"/>
    <xf numFmtId="169" fontId="7" fillId="0" borderId="23" xfId="10" applyNumberFormat="1" applyFont="1" applyFill="1" applyBorder="1" applyAlignment="1">
      <alignment horizontal="right"/>
    </xf>
    <xf numFmtId="168" fontId="0" fillId="12" borderId="0" xfId="10" applyNumberFormat="1" applyFont="1" applyFill="1" applyBorder="1"/>
    <xf numFmtId="9" fontId="0" fillId="12" borderId="0" xfId="29" applyFont="1" applyFill="1" applyBorder="1"/>
    <xf numFmtId="168" fontId="9" fillId="0" borderId="20" xfId="10" applyNumberFormat="1" applyFont="1" applyFill="1" applyBorder="1" applyAlignment="1">
      <alignment horizontal="right"/>
    </xf>
    <xf numFmtId="43" fontId="87" fillId="0" borderId="20" xfId="10" applyFont="1" applyFill="1" applyBorder="1" applyAlignment="1">
      <alignment horizontal="right"/>
    </xf>
    <xf numFmtId="169" fontId="4" fillId="0" borderId="20" xfId="10" applyNumberFormat="1" applyFont="1" applyFill="1" applyBorder="1" applyAlignment="1"/>
    <xf numFmtId="168" fontId="8" fillId="0" borderId="20" xfId="10" applyNumberFormat="1" applyFont="1" applyFill="1" applyBorder="1" applyAlignment="1">
      <alignment horizontal="right"/>
    </xf>
    <xf numFmtId="169" fontId="9" fillId="0" borderId="20" xfId="10" applyNumberFormat="1" applyFont="1" applyFill="1" applyBorder="1"/>
    <xf numFmtId="168" fontId="7" fillId="0" borderId="20" xfId="10" applyNumberFormat="1" applyFont="1" applyFill="1" applyBorder="1"/>
    <xf numFmtId="168" fontId="37" fillId="0" borderId="20" xfId="10" applyNumberFormat="1" applyFont="1" applyFill="1" applyBorder="1" applyAlignment="1">
      <alignment horizontal="right"/>
    </xf>
    <xf numFmtId="173" fontId="7" fillId="12" borderId="23" xfId="18" applyNumberFormat="1" applyFont="1" applyFill="1" applyBorder="1"/>
    <xf numFmtId="9" fontId="7" fillId="12" borderId="23" xfId="29" applyFont="1" applyFill="1" applyBorder="1" applyAlignment="1"/>
    <xf numFmtId="3" fontId="7" fillId="12" borderId="23" xfId="18" applyNumberFormat="1" applyFont="1" applyFill="1" applyBorder="1"/>
    <xf numFmtId="173" fontId="7" fillId="0" borderId="23" xfId="18" applyNumberFormat="1" applyFont="1" applyBorder="1"/>
    <xf numFmtId="4" fontId="7" fillId="12" borderId="23" xfId="18" applyNumberFormat="1" applyFont="1" applyFill="1" applyBorder="1"/>
    <xf numFmtId="166" fontId="4" fillId="12" borderId="24" xfId="29" applyNumberFormat="1" applyFont="1" applyFill="1" applyBorder="1" applyAlignment="1"/>
    <xf numFmtId="166" fontId="15" fillId="12" borderId="24" xfId="29" applyNumberFormat="1" applyFont="1" applyFill="1" applyBorder="1" applyAlignment="1"/>
    <xf numFmtId="169" fontId="77" fillId="12" borderId="23" xfId="10" applyNumberFormat="1" applyFont="1" applyFill="1" applyBorder="1" applyAlignment="1"/>
    <xf numFmtId="168" fontId="4" fillId="12" borderId="24" xfId="10" applyNumberFormat="1" applyFont="1" applyFill="1" applyBorder="1" applyAlignment="1"/>
    <xf numFmtId="168" fontId="4" fillId="12" borderId="24" xfId="10" applyNumberFormat="1" applyFont="1" applyFill="1" applyBorder="1" applyAlignment="1">
      <alignment horizontal="left"/>
    </xf>
    <xf numFmtId="168" fontId="7" fillId="12" borderId="24" xfId="10" applyNumberFormat="1" applyFont="1" applyFill="1" applyBorder="1" applyAlignment="1"/>
    <xf numFmtId="3" fontId="7" fillId="12" borderId="23" xfId="29" applyNumberFormat="1" applyFont="1" applyFill="1" applyBorder="1" applyAlignment="1"/>
    <xf numFmtId="165" fontId="77" fillId="12" borderId="0" xfId="29" applyNumberFormat="1" applyFont="1" applyFill="1" applyBorder="1" applyAlignment="1"/>
    <xf numFmtId="1" fontId="75" fillId="10" borderId="0" xfId="29" applyNumberFormat="1" applyFont="1" applyFill="1" applyBorder="1" applyAlignment="1"/>
    <xf numFmtId="9" fontId="87" fillId="12" borderId="0" xfId="29" applyFont="1" applyFill="1" applyBorder="1" applyAlignment="1"/>
    <xf numFmtId="2" fontId="87" fillId="12" borderId="0" xfId="29" applyNumberFormat="1" applyFont="1" applyFill="1" applyBorder="1" applyAlignment="1"/>
    <xf numFmtId="10" fontId="15" fillId="0" borderId="20" xfId="29" applyNumberFormat="1" applyFont="1" applyFill="1" applyBorder="1" applyAlignment="1"/>
    <xf numFmtId="166" fontId="15" fillId="0" borderId="20" xfId="29" applyNumberFormat="1" applyFont="1" applyFill="1" applyBorder="1" applyAlignment="1"/>
    <xf numFmtId="166" fontId="4" fillId="12" borderId="25" xfId="29" applyNumberFormat="1" applyFont="1" applyFill="1" applyBorder="1" applyAlignment="1"/>
    <xf numFmtId="173" fontId="7" fillId="12" borderId="21" xfId="10" applyNumberFormat="1" applyFont="1" applyFill="1" applyBorder="1" applyAlignment="1"/>
    <xf numFmtId="166" fontId="15" fillId="12" borderId="25" xfId="29" applyNumberFormat="1" applyFont="1" applyFill="1" applyBorder="1" applyAlignment="1"/>
    <xf numFmtId="166" fontId="7" fillId="0" borderId="20" xfId="29" applyNumberFormat="1" applyFont="1" applyFill="1" applyBorder="1" applyAlignment="1"/>
    <xf numFmtId="168" fontId="4" fillId="0" borderId="20" xfId="10" applyNumberFormat="1" applyFont="1" applyFill="1" applyBorder="1" applyAlignment="1"/>
    <xf numFmtId="168" fontId="4" fillId="0" borderId="21" xfId="10" applyNumberFormat="1" applyFont="1" applyFill="1" applyBorder="1" applyAlignment="1"/>
    <xf numFmtId="168" fontId="76" fillId="0" borderId="20" xfId="10" applyNumberFormat="1" applyFont="1" applyFill="1" applyBorder="1" applyAlignment="1"/>
    <xf numFmtId="168" fontId="4" fillId="0" borderId="25" xfId="10" applyNumberFormat="1" applyFont="1" applyFill="1" applyBorder="1" applyAlignment="1"/>
    <xf numFmtId="168" fontId="7" fillId="0" borderId="20" xfId="10" applyNumberFormat="1" applyFont="1" applyFill="1" applyBorder="1" applyAlignment="1"/>
    <xf numFmtId="3" fontId="4" fillId="0" borderId="20" xfId="10" applyNumberFormat="1" applyFont="1" applyFill="1" applyBorder="1" applyAlignment="1"/>
    <xf numFmtId="168" fontId="8" fillId="0" borderId="20" xfId="10" applyNumberFormat="1" applyFont="1" applyFill="1" applyBorder="1" applyAlignment="1"/>
    <xf numFmtId="3" fontId="4" fillId="0" borderId="20" xfId="29" applyNumberFormat="1" applyFont="1" applyFill="1" applyBorder="1" applyAlignment="1"/>
    <xf numFmtId="168" fontId="7" fillId="0" borderId="21" xfId="10" applyNumberFormat="1" applyFont="1" applyFill="1" applyBorder="1" applyAlignment="1"/>
    <xf numFmtId="168" fontId="7" fillId="0" borderId="25" xfId="10" applyNumberFormat="1" applyFont="1" applyFill="1" applyBorder="1" applyAlignment="1"/>
    <xf numFmtId="1" fontId="4" fillId="0" borderId="20" xfId="29" applyNumberFormat="1" applyFont="1" applyFill="1" applyBorder="1" applyAlignment="1"/>
    <xf numFmtId="166" fontId="87" fillId="0" borderId="20" xfId="29" applyNumberFormat="1" applyFont="1" applyFill="1" applyBorder="1" applyAlignment="1"/>
    <xf numFmtId="2" fontId="4" fillId="0" borderId="20" xfId="29" applyNumberFormat="1" applyFont="1" applyFill="1" applyBorder="1" applyAlignment="1"/>
    <xf numFmtId="169" fontId="76" fillId="0" borderId="20" xfId="10" applyNumberFormat="1" applyFont="1" applyFill="1" applyBorder="1" applyAlignment="1"/>
    <xf numFmtId="3" fontId="76" fillId="22" borderId="0" xfId="10" applyNumberFormat="1" applyFont="1" applyFill="1" applyBorder="1" applyAlignment="1"/>
    <xf numFmtId="166" fontId="80" fillId="22" borderId="0" xfId="29" applyNumberFormat="1" applyFont="1" applyFill="1" applyBorder="1" applyAlignment="1"/>
    <xf numFmtId="3" fontId="80" fillId="22" borderId="0" xfId="18" applyNumberFormat="1" applyFont="1" applyFill="1"/>
    <xf numFmtId="168" fontId="4" fillId="0" borderId="24" xfId="10" applyNumberFormat="1" applyFont="1" applyFill="1" applyBorder="1" applyAlignment="1"/>
    <xf numFmtId="168" fontId="7" fillId="0" borderId="24" xfId="10" applyNumberFormat="1" applyFont="1" applyFill="1" applyBorder="1" applyAlignment="1"/>
    <xf numFmtId="3" fontId="7" fillId="0" borderId="23" xfId="29" applyNumberFormat="1" applyFont="1" applyFill="1" applyBorder="1" applyAlignment="1"/>
    <xf numFmtId="165" fontId="87" fillId="0" borderId="0" xfId="29" applyNumberFormat="1" applyFont="1" applyFill="1" applyBorder="1" applyAlignment="1"/>
    <xf numFmtId="166" fontId="87" fillId="0" borderId="0" xfId="29" applyNumberFormat="1" applyFont="1" applyFill="1" applyBorder="1" applyAlignment="1"/>
    <xf numFmtId="2" fontId="4" fillId="12" borderId="0" xfId="32" applyNumberFormat="1" applyFont="1" applyFill="1" applyBorder="1"/>
    <xf numFmtId="175" fontId="4" fillId="12" borderId="0" xfId="32" applyNumberFormat="1" applyFont="1" applyFill="1" applyBorder="1"/>
    <xf numFmtId="180" fontId="4" fillId="0" borderId="0" xfId="12" applyNumberFormat="1" applyFont="1" applyFill="1" applyBorder="1"/>
    <xf numFmtId="2" fontId="4" fillId="0" borderId="0" xfId="29" applyNumberFormat="1" applyFont="1" applyAlignment="1"/>
    <xf numFmtId="3" fontId="7" fillId="0" borderId="23" xfId="18" applyNumberFormat="1" applyFont="1" applyBorder="1"/>
    <xf numFmtId="173" fontId="4" fillId="0" borderId="23" xfId="18" applyNumberFormat="1" applyFont="1" applyBorder="1"/>
    <xf numFmtId="173" fontId="4" fillId="22" borderId="0" xfId="18" applyNumberFormat="1" applyFont="1" applyFill="1"/>
    <xf numFmtId="2" fontId="15" fillId="0" borderId="0" xfId="29" applyNumberFormat="1" applyFont="1" applyFill="1" applyBorder="1" applyAlignment="1"/>
    <xf numFmtId="166" fontId="4" fillId="0" borderId="24" xfId="29" applyNumberFormat="1" applyFont="1" applyFill="1" applyBorder="1" applyAlignment="1"/>
    <xf numFmtId="168" fontId="4" fillId="22" borderId="0" xfId="10" applyNumberFormat="1" applyFont="1" applyFill="1" applyBorder="1" applyAlignment="1"/>
    <xf numFmtId="168" fontId="8" fillId="0" borderId="24" xfId="10" applyNumberFormat="1" applyFont="1" applyFill="1" applyBorder="1" applyAlignment="1"/>
    <xf numFmtId="3" fontId="7" fillId="0" borderId="24" xfId="10" applyNumberFormat="1" applyFont="1" applyFill="1" applyBorder="1" applyAlignment="1"/>
    <xf numFmtId="166" fontId="15" fillId="22" borderId="0" xfId="0" applyNumberFormat="1" applyFont="1" applyFill="1"/>
    <xf numFmtId="1" fontId="4" fillId="0" borderId="0" xfId="29" applyNumberFormat="1" applyFont="1" applyFill="1" applyBorder="1" applyAlignment="1"/>
    <xf numFmtId="2" fontId="4" fillId="0" borderId="0" xfId="29" applyNumberFormat="1" applyFont="1" applyFill="1" applyBorder="1" applyAlignment="1"/>
    <xf numFmtId="10" fontId="8" fillId="0" borderId="20" xfId="29" applyNumberFormat="1" applyFont="1" applyFill="1" applyBorder="1" applyAlignment="1"/>
    <xf numFmtId="173" fontId="7" fillId="0" borderId="22" xfId="18" applyNumberFormat="1" applyFont="1" applyBorder="1"/>
    <xf numFmtId="3" fontId="7" fillId="0" borderId="22" xfId="18" applyNumberFormat="1" applyFont="1" applyBorder="1"/>
    <xf numFmtId="175" fontId="15" fillId="0" borderId="20" xfId="10" applyNumberFormat="1" applyFont="1" applyFill="1" applyBorder="1" applyAlignment="1"/>
    <xf numFmtId="166" fontId="4" fillId="12" borderId="20" xfId="0" applyNumberFormat="1" applyFont="1" applyFill="1" applyBorder="1"/>
    <xf numFmtId="168" fontId="76" fillId="12" borderId="20" xfId="10" applyNumberFormat="1" applyFont="1" applyFill="1" applyBorder="1" applyAlignment="1"/>
    <xf numFmtId="3" fontId="7" fillId="0" borderId="22" xfId="29" applyNumberFormat="1" applyFont="1" applyFill="1" applyBorder="1" applyAlignment="1"/>
    <xf numFmtId="173" fontId="7" fillId="0" borderId="20" xfId="18" applyNumberFormat="1" applyFont="1" applyBorder="1"/>
    <xf numFmtId="173" fontId="77" fillId="0" borderId="20" xfId="29" applyNumberFormat="1" applyFont="1" applyFill="1" applyBorder="1" applyAlignment="1"/>
    <xf numFmtId="168" fontId="87" fillId="0" borderId="20" xfId="10" applyNumberFormat="1" applyFont="1" applyFill="1" applyBorder="1" applyAlignment="1"/>
    <xf numFmtId="168" fontId="16" fillId="0" borderId="20" xfId="10" applyNumberFormat="1" applyFont="1" applyFill="1" applyBorder="1" applyAlignment="1"/>
    <xf numFmtId="173" fontId="77" fillId="12" borderId="20" xfId="18" applyNumberFormat="1" applyFont="1" applyFill="1" applyBorder="1"/>
    <xf numFmtId="1" fontId="4" fillId="19" borderId="20" xfId="29" applyNumberFormat="1" applyFont="1" applyFill="1" applyBorder="1" applyAlignment="1"/>
    <xf numFmtId="166" fontId="75" fillId="19" borderId="20" xfId="29" applyNumberFormat="1" applyFont="1" applyFill="1" applyBorder="1" applyAlignment="1"/>
    <xf numFmtId="165" fontId="87" fillId="19" borderId="20" xfId="29" applyNumberFormat="1" applyFont="1" applyFill="1" applyBorder="1" applyAlignment="1"/>
    <xf numFmtId="1" fontId="87" fillId="19" borderId="20" xfId="29" applyNumberFormat="1" applyFont="1" applyFill="1" applyBorder="1" applyAlignment="1"/>
    <xf numFmtId="0" fontId="4" fillId="0" borderId="20" xfId="0" applyFont="1" applyBorder="1"/>
    <xf numFmtId="167" fontId="4" fillId="12" borderId="20" xfId="29" applyNumberFormat="1" applyFont="1" applyFill="1" applyBorder="1" applyAlignment="1">
      <alignment horizontal="right"/>
    </xf>
    <xf numFmtId="43" fontId="7" fillId="5" borderId="22" xfId="10" applyFont="1" applyFill="1" applyBorder="1" applyAlignment="1">
      <alignment horizontal="right"/>
    </xf>
    <xf numFmtId="43" fontId="77" fillId="12" borderId="20" xfId="10" applyFont="1" applyFill="1" applyBorder="1" applyAlignment="1">
      <alignment horizontal="right"/>
    </xf>
    <xf numFmtId="168" fontId="4" fillId="12" borderId="22" xfId="10" applyNumberFormat="1" applyFont="1" applyFill="1" applyBorder="1" applyAlignment="1">
      <alignment horizontal="right"/>
    </xf>
    <xf numFmtId="168" fontId="4" fillId="0" borderId="22" xfId="10" applyNumberFormat="1" applyFont="1" applyFill="1" applyBorder="1" applyAlignment="1">
      <alignment horizontal="right"/>
    </xf>
    <xf numFmtId="165" fontId="4" fillId="0" borderId="20" xfId="22" applyNumberFormat="1" applyBorder="1" applyAlignment="1">
      <alignment horizontal="right"/>
    </xf>
    <xf numFmtId="169" fontId="4" fillId="12" borderId="22" xfId="10" applyNumberFormat="1" applyFont="1" applyFill="1" applyBorder="1" applyAlignment="1">
      <alignment horizontal="right"/>
    </xf>
    <xf numFmtId="169" fontId="87" fillId="0" borderId="20" xfId="10" applyNumberFormat="1" applyFont="1" applyFill="1" applyBorder="1"/>
    <xf numFmtId="168" fontId="7" fillId="5" borderId="22" xfId="10" applyNumberFormat="1" applyFont="1" applyFill="1" applyBorder="1" applyAlignment="1">
      <alignment horizontal="right"/>
    </xf>
    <xf numFmtId="169" fontId="7" fillId="18" borderId="22" xfId="10" applyNumberFormat="1" applyFont="1" applyFill="1" applyBorder="1" applyAlignment="1">
      <alignment horizontal="right"/>
    </xf>
    <xf numFmtId="165" fontId="4" fillId="0" borderId="20" xfId="22" applyNumberFormat="1" applyBorder="1" applyAlignment="1">
      <alignment horizontal="left"/>
    </xf>
    <xf numFmtId="169" fontId="7" fillId="0" borderId="22" xfId="10" applyNumberFormat="1" applyFont="1" applyFill="1" applyBorder="1" applyAlignment="1"/>
    <xf numFmtId="0" fontId="11" fillId="0" borderId="20" xfId="0" applyFont="1" applyBorder="1"/>
    <xf numFmtId="165" fontId="76" fillId="0" borderId="20" xfId="22" applyNumberFormat="1" applyFont="1" applyBorder="1" applyAlignment="1">
      <alignment horizontal="right"/>
    </xf>
    <xf numFmtId="9" fontId="8" fillId="0" borderId="20" xfId="29" applyFont="1" applyFill="1" applyBorder="1" applyAlignment="1">
      <alignment horizontal="right"/>
    </xf>
    <xf numFmtId="168" fontId="7" fillId="12" borderId="24" xfId="10" applyNumberFormat="1" applyFont="1" applyFill="1" applyBorder="1" applyAlignment="1">
      <alignment horizontal="right"/>
    </xf>
    <xf numFmtId="169" fontId="7" fillId="18" borderId="23" xfId="10" applyNumberFormat="1" applyFont="1" applyFill="1" applyBorder="1" applyAlignment="1">
      <alignment horizontal="right"/>
    </xf>
    <xf numFmtId="43" fontId="7" fillId="18" borderId="23" xfId="10" applyFont="1" applyFill="1" applyBorder="1" applyAlignment="1">
      <alignment horizontal="right"/>
    </xf>
    <xf numFmtId="169" fontId="7" fillId="22" borderId="0" xfId="10" applyNumberFormat="1" applyFont="1" applyFill="1" applyBorder="1" applyAlignment="1">
      <alignment horizontal="right"/>
    </xf>
    <xf numFmtId="169" fontId="4" fillId="0" borderId="23" xfId="10" applyNumberFormat="1" applyFont="1" applyFill="1" applyBorder="1" applyAlignment="1">
      <alignment horizontal="right"/>
    </xf>
    <xf numFmtId="169" fontId="4" fillId="22" borderId="0" xfId="10" applyNumberFormat="1" applyFont="1" applyFill="1" applyBorder="1" applyAlignment="1">
      <alignment horizontal="right"/>
    </xf>
    <xf numFmtId="168" fontId="4" fillId="0" borderId="23" xfId="10" applyNumberFormat="1" applyFont="1" applyFill="1" applyBorder="1" applyAlignment="1">
      <alignment horizontal="right"/>
    </xf>
    <xf numFmtId="168" fontId="7" fillId="0" borderId="23" xfId="10" applyNumberFormat="1" applyFont="1" applyFill="1" applyBorder="1" applyAlignment="1">
      <alignment horizontal="right"/>
    </xf>
    <xf numFmtId="168" fontId="7" fillId="0" borderId="0" xfId="10" applyNumberFormat="1" applyFont="1" applyBorder="1"/>
    <xf numFmtId="168" fontId="4" fillId="0" borderId="0" xfId="10" applyNumberFormat="1" applyFont="1" applyBorder="1"/>
    <xf numFmtId="166" fontId="15" fillId="0" borderId="0" xfId="29" applyNumberFormat="1" applyFont="1" applyBorder="1"/>
    <xf numFmtId="169" fontId="7" fillId="0" borderId="0" xfId="10" applyNumberFormat="1" applyFont="1" applyBorder="1"/>
    <xf numFmtId="10" fontId="4" fillId="22" borderId="23" xfId="29" applyNumberFormat="1" applyFont="1" applyFill="1" applyBorder="1" applyAlignment="1"/>
    <xf numFmtId="168" fontId="4" fillId="22" borderId="0" xfId="12" applyNumberFormat="1" applyFont="1" applyFill="1" applyBorder="1"/>
    <xf numFmtId="180" fontId="7" fillId="0" borderId="0" xfId="12" applyNumberFormat="1" applyFont="1" applyFill="1" applyBorder="1"/>
    <xf numFmtId="166" fontId="90" fillId="6" borderId="6" xfId="31" applyNumberFormat="1" applyFont="1" applyFill="1" applyBorder="1" applyAlignment="1">
      <alignment horizontal="right"/>
    </xf>
    <xf numFmtId="1" fontId="90" fillId="0" borderId="6" xfId="29" applyNumberFormat="1" applyFont="1" applyBorder="1" applyAlignment="1">
      <alignment horizontal="right"/>
    </xf>
    <xf numFmtId="10" fontId="75" fillId="10" borderId="0" xfId="29" applyNumberFormat="1" applyFont="1" applyFill="1" applyBorder="1" applyAlignment="1"/>
    <xf numFmtId="10" fontId="4" fillId="10" borderId="0" xfId="29" applyNumberFormat="1" applyFont="1" applyFill="1" applyBorder="1" applyAlignment="1"/>
    <xf numFmtId="10" fontId="16" fillId="10" borderId="0" xfId="29" applyNumberFormat="1" applyFont="1" applyFill="1" applyAlignment="1"/>
    <xf numFmtId="10" fontId="75" fillId="10" borderId="0" xfId="29" applyNumberFormat="1" applyFont="1" applyFill="1" applyAlignment="1"/>
    <xf numFmtId="10" fontId="4" fillId="10" borderId="0" xfId="29" applyNumberFormat="1" applyFont="1" applyFill="1" applyAlignment="1"/>
    <xf numFmtId="169" fontId="76" fillId="21" borderId="20" xfId="10" applyNumberFormat="1" applyFont="1" applyFill="1" applyBorder="1" applyAlignment="1">
      <alignment horizontal="right"/>
    </xf>
    <xf numFmtId="169" fontId="4" fillId="0" borderId="26" xfId="10" applyNumberFormat="1" applyFont="1" applyFill="1" applyBorder="1" applyAlignment="1">
      <alignment horizontal="right"/>
    </xf>
    <xf numFmtId="169" fontId="76" fillId="20" borderId="20" xfId="10" applyNumberFormat="1" applyFont="1" applyFill="1" applyBorder="1" applyAlignment="1">
      <alignment horizontal="right"/>
    </xf>
    <xf numFmtId="166" fontId="75" fillId="19" borderId="0" xfId="29" applyNumberFormat="1" applyFont="1" applyFill="1" applyBorder="1" applyAlignment="1"/>
    <xf numFmtId="1" fontId="87" fillId="19" borderId="0" xfId="29" applyNumberFormat="1" applyFont="1" applyFill="1" applyBorder="1" applyAlignment="1"/>
    <xf numFmtId="173" fontId="77" fillId="21" borderId="20" xfId="29" applyNumberFormat="1" applyFont="1" applyFill="1" applyBorder="1" applyAlignment="1"/>
    <xf numFmtId="169" fontId="4" fillId="10" borderId="0" xfId="10" applyNumberFormat="1" applyFont="1" applyFill="1" applyBorder="1" applyAlignment="1">
      <alignment horizontal="right"/>
    </xf>
    <xf numFmtId="168" fontId="76" fillId="12" borderId="3" xfId="10" applyNumberFormat="1" applyFont="1" applyFill="1" applyBorder="1" applyAlignment="1">
      <alignment horizontal="right"/>
    </xf>
    <xf numFmtId="165" fontId="76" fillId="0" borderId="0" xfId="22" applyNumberFormat="1" applyFont="1" applyAlignment="1">
      <alignment horizontal="right"/>
    </xf>
    <xf numFmtId="173" fontId="7" fillId="22" borderId="23" xfId="18" applyNumberFormat="1" applyFont="1" applyFill="1" applyBorder="1"/>
    <xf numFmtId="173" fontId="77" fillId="0" borderId="23" xfId="18" applyNumberFormat="1" applyFont="1" applyBorder="1"/>
    <xf numFmtId="175" fontId="15" fillId="0" borderId="0" xfId="10" applyNumberFormat="1" applyFont="1" applyFill="1" applyBorder="1" applyAlignment="1"/>
    <xf numFmtId="169" fontId="77" fillId="12" borderId="26" xfId="10" applyNumberFormat="1" applyFont="1" applyFill="1" applyBorder="1" applyAlignment="1"/>
    <xf numFmtId="173" fontId="7" fillId="12" borderId="26" xfId="10" applyNumberFormat="1" applyFont="1" applyFill="1" applyBorder="1" applyAlignment="1"/>
    <xf numFmtId="168" fontId="4" fillId="0" borderId="26" xfId="10" applyNumberFormat="1" applyFont="1" applyFill="1" applyBorder="1" applyAlignment="1"/>
    <xf numFmtId="3" fontId="76" fillId="0" borderId="0" xfId="10" applyNumberFormat="1" applyFont="1" applyFill="1" applyBorder="1" applyAlignment="1"/>
    <xf numFmtId="168" fontId="4" fillId="0" borderId="26" xfId="10" applyNumberFormat="1" applyFont="1" applyFill="1" applyBorder="1" applyAlignment="1">
      <alignment horizontal="left"/>
    </xf>
    <xf numFmtId="168" fontId="4" fillId="0" borderId="24" xfId="10" applyNumberFormat="1" applyFont="1" applyFill="1" applyBorder="1" applyAlignment="1">
      <alignment horizontal="left"/>
    </xf>
    <xf numFmtId="168" fontId="18" fillId="0" borderId="0" xfId="10" applyNumberFormat="1" applyFont="1" applyFill="1" applyBorder="1" applyAlignment="1"/>
    <xf numFmtId="166" fontId="8" fillId="0" borderId="0" xfId="29" applyNumberFormat="1" applyFont="1" applyFill="1" applyBorder="1" applyAlignment="1"/>
    <xf numFmtId="9" fontId="76" fillId="0" borderId="0" xfId="29" applyFont="1" applyFill="1" applyBorder="1" applyAlignment="1"/>
    <xf numFmtId="10" fontId="16" fillId="0" borderId="0" xfId="29" applyNumberFormat="1" applyFont="1" applyFill="1" applyBorder="1" applyAlignment="1"/>
    <xf numFmtId="10" fontId="63" fillId="0" borderId="0" xfId="29" applyNumberFormat="1" applyFont="1" applyFill="1" applyBorder="1" applyAlignment="1"/>
    <xf numFmtId="43" fontId="7" fillId="0" borderId="0" xfId="10" applyFont="1" applyFill="1" applyBorder="1" applyAlignment="1"/>
    <xf numFmtId="3" fontId="7" fillId="0" borderId="26" xfId="18" applyNumberFormat="1" applyFont="1" applyBorder="1"/>
    <xf numFmtId="173" fontId="77" fillId="12" borderId="26" xfId="10" applyNumberFormat="1" applyFont="1" applyFill="1" applyBorder="1" applyAlignment="1"/>
    <xf numFmtId="168" fontId="7" fillId="0" borderId="26" xfId="10" applyNumberFormat="1" applyFont="1" applyFill="1" applyBorder="1" applyAlignment="1"/>
    <xf numFmtId="168" fontId="16" fillId="0" borderId="26" xfId="10" applyNumberFormat="1" applyFont="1" applyFill="1" applyBorder="1" applyAlignment="1"/>
    <xf numFmtId="10" fontId="4" fillId="0" borderId="0" xfId="18" applyNumberFormat="1" applyFont="1"/>
    <xf numFmtId="173" fontId="77" fillId="0" borderId="26" xfId="10" applyNumberFormat="1" applyFont="1" applyFill="1" applyBorder="1" applyAlignment="1"/>
    <xf numFmtId="1" fontId="76" fillId="0" borderId="0" xfId="18" applyNumberFormat="1" applyFont="1"/>
    <xf numFmtId="1" fontId="76" fillId="0" borderId="0" xfId="29" applyNumberFormat="1" applyFont="1" applyFill="1" applyBorder="1" applyAlignment="1"/>
    <xf numFmtId="1" fontId="4" fillId="19" borderId="0" xfId="29" applyNumberFormat="1" applyFont="1" applyFill="1" applyBorder="1" applyAlignment="1"/>
    <xf numFmtId="165" fontId="87" fillId="19" borderId="0" xfId="29" applyNumberFormat="1" applyFont="1" applyFill="1" applyBorder="1" applyAlignment="1"/>
    <xf numFmtId="166" fontId="87" fillId="19" borderId="0" xfId="29" applyNumberFormat="1" applyFont="1" applyFill="1" applyBorder="1" applyAlignment="1"/>
    <xf numFmtId="1" fontId="87" fillId="0" borderId="0" xfId="29" applyNumberFormat="1" applyFont="1" applyFill="1" applyBorder="1" applyAlignment="1"/>
    <xf numFmtId="165" fontId="76" fillId="0" borderId="0" xfId="29" applyNumberFormat="1" applyFont="1" applyFill="1" applyBorder="1" applyAlignment="1"/>
    <xf numFmtId="0" fontId="80" fillId="3" borderId="20" xfId="21" applyFont="1" applyFill="1" applyBorder="1"/>
    <xf numFmtId="43" fontId="4" fillId="0" borderId="20" xfId="10" applyFont="1" applyFill="1" applyBorder="1" applyAlignment="1"/>
    <xf numFmtId="173" fontId="7" fillId="21" borderId="22" xfId="18" applyNumberFormat="1" applyFont="1" applyFill="1" applyBorder="1"/>
    <xf numFmtId="173" fontId="15" fillId="0" borderId="20" xfId="18" applyNumberFormat="1" applyFont="1" applyBorder="1"/>
    <xf numFmtId="166" fontId="15" fillId="0" borderId="20" xfId="0" applyNumberFormat="1" applyFont="1" applyBorder="1"/>
    <xf numFmtId="166" fontId="4" fillId="0" borderId="25" xfId="29" applyNumberFormat="1" applyFont="1" applyFill="1" applyBorder="1" applyAlignment="1"/>
    <xf numFmtId="169" fontId="7" fillId="23" borderId="22" xfId="10" applyNumberFormat="1" applyFont="1" applyFill="1" applyBorder="1" applyAlignment="1"/>
    <xf numFmtId="9" fontId="8" fillId="0" borderId="20" xfId="29" applyFont="1" applyFill="1" applyBorder="1" applyAlignment="1"/>
    <xf numFmtId="166" fontId="84" fillId="0" borderId="20" xfId="29" applyNumberFormat="1" applyFont="1" applyFill="1" applyBorder="1" applyAlignment="1"/>
    <xf numFmtId="4" fontId="7" fillId="23" borderId="20" xfId="18" applyNumberFormat="1" applyFont="1" applyFill="1" applyBorder="1"/>
    <xf numFmtId="168" fontId="75" fillId="0" borderId="20" xfId="10" applyNumberFormat="1" applyFont="1" applyFill="1" applyBorder="1" applyAlignment="1"/>
    <xf numFmtId="3" fontId="71" fillId="0" borderId="20" xfId="10" applyNumberFormat="1" applyFont="1" applyFill="1" applyBorder="1" applyAlignment="1"/>
    <xf numFmtId="168" fontId="75" fillId="0" borderId="20" xfId="10" applyNumberFormat="1" applyFont="1" applyFill="1" applyBorder="1" applyAlignment="1">
      <alignment horizontal="right"/>
    </xf>
    <xf numFmtId="168" fontId="75" fillId="0" borderId="25" xfId="10" applyNumberFormat="1" applyFont="1" applyFill="1" applyBorder="1" applyAlignment="1"/>
    <xf numFmtId="168" fontId="75" fillId="0" borderId="21" xfId="10" applyNumberFormat="1" applyFont="1" applyFill="1" applyBorder="1" applyAlignment="1"/>
    <xf numFmtId="3" fontId="7" fillId="0" borderId="25" xfId="10" applyNumberFormat="1" applyFont="1" applyFill="1" applyBorder="1" applyAlignment="1"/>
    <xf numFmtId="3" fontId="7" fillId="23" borderId="22" xfId="18" applyNumberFormat="1" applyFont="1" applyFill="1" applyBorder="1"/>
    <xf numFmtId="173" fontId="37" fillId="0" borderId="20" xfId="18" applyNumberFormat="1" applyFont="1" applyBorder="1"/>
    <xf numFmtId="3" fontId="4" fillId="12" borderId="20" xfId="29" applyNumberFormat="1" applyFont="1" applyFill="1" applyBorder="1" applyAlignment="1"/>
    <xf numFmtId="9" fontId="7" fillId="12" borderId="20" xfId="29" applyFont="1" applyFill="1" applyBorder="1" applyAlignment="1"/>
    <xf numFmtId="166" fontId="7" fillId="12" borderId="20" xfId="29" applyNumberFormat="1" applyFont="1" applyFill="1" applyBorder="1" applyAlignment="1"/>
    <xf numFmtId="166" fontId="8" fillId="12" borderId="20" xfId="29" applyNumberFormat="1" applyFont="1" applyFill="1" applyBorder="1" applyAlignment="1"/>
    <xf numFmtId="9" fontId="8" fillId="12" borderId="20" xfId="29" applyFont="1" applyFill="1" applyBorder="1" applyAlignment="1"/>
    <xf numFmtId="10" fontId="7" fillId="12" borderId="20" xfId="29" applyNumberFormat="1" applyFont="1" applyFill="1" applyBorder="1" applyAlignment="1"/>
    <xf numFmtId="173" fontId="7" fillId="21" borderId="20" xfId="18" applyNumberFormat="1" applyFont="1" applyFill="1" applyBorder="1"/>
    <xf numFmtId="173" fontId="7" fillId="21" borderId="20" xfId="29" applyNumberFormat="1" applyFont="1" applyFill="1" applyBorder="1" applyAlignment="1"/>
    <xf numFmtId="173" fontId="7" fillId="21" borderId="20" xfId="0" applyNumberFormat="1" applyFont="1" applyFill="1" applyBorder="1"/>
    <xf numFmtId="4" fontId="15" fillId="0" borderId="20" xfId="18" applyNumberFormat="1" applyFont="1" applyBorder="1"/>
    <xf numFmtId="173" fontId="88" fillId="0" borderId="20" xfId="18" applyNumberFormat="1" applyFont="1" applyBorder="1"/>
    <xf numFmtId="173" fontId="7" fillId="23" borderId="20" xfId="0" applyNumberFormat="1" applyFont="1" applyFill="1" applyBorder="1"/>
    <xf numFmtId="173" fontId="88" fillId="0" borderId="21" xfId="10" applyNumberFormat="1" applyFont="1" applyFill="1" applyBorder="1" applyAlignment="1"/>
    <xf numFmtId="173" fontId="7" fillId="21" borderId="21" xfId="10" applyNumberFormat="1" applyFont="1" applyFill="1" applyBorder="1" applyAlignment="1"/>
    <xf numFmtId="3" fontId="7" fillId="21" borderId="20" xfId="18" applyNumberFormat="1" applyFont="1" applyFill="1" applyBorder="1"/>
    <xf numFmtId="173" fontId="7" fillId="21" borderId="21" xfId="18" applyNumberFormat="1" applyFont="1" applyFill="1" applyBorder="1"/>
    <xf numFmtId="1" fontId="75" fillId="21" borderId="20" xfId="18" applyNumberFormat="1" applyFont="1" applyFill="1" applyBorder="1"/>
    <xf numFmtId="1" fontId="4" fillId="21" borderId="20" xfId="29" applyNumberFormat="1" applyFont="1" applyFill="1" applyBorder="1" applyAlignment="1"/>
    <xf numFmtId="165" fontId="87" fillId="0" borderId="20" xfId="29" applyNumberFormat="1" applyFont="1" applyFill="1" applyBorder="1" applyAlignment="1"/>
    <xf numFmtId="165" fontId="4" fillId="21" borderId="20" xfId="29" applyNumberFormat="1" applyFont="1" applyFill="1" applyBorder="1" applyAlignment="1"/>
    <xf numFmtId="173" fontId="4" fillId="9" borderId="20" xfId="18" applyNumberFormat="1" applyFont="1" applyFill="1" applyBorder="1"/>
    <xf numFmtId="166" fontId="4" fillId="0" borderId="20" xfId="29" applyNumberFormat="1" applyFont="1" applyBorder="1" applyAlignment="1"/>
    <xf numFmtId="168" fontId="7" fillId="0" borderId="24" xfId="10" applyNumberFormat="1" applyFont="1" applyFill="1" applyBorder="1" applyAlignment="1">
      <alignment horizontal="right"/>
    </xf>
    <xf numFmtId="43" fontId="7" fillId="0" borderId="0" xfId="10" applyFont="1" applyFill="1" applyBorder="1" applyAlignment="1">
      <alignment horizontal="right"/>
    </xf>
    <xf numFmtId="43" fontId="77" fillId="12" borderId="0" xfId="10" applyFont="1" applyFill="1" applyBorder="1" applyAlignment="1">
      <alignment horizontal="right"/>
    </xf>
    <xf numFmtId="2" fontId="4" fillId="0" borderId="0" xfId="22" applyNumberFormat="1" applyAlignment="1">
      <alignment horizontal="right"/>
    </xf>
    <xf numFmtId="169" fontId="4" fillId="21" borderId="20" xfId="10" applyNumberFormat="1" applyFont="1" applyFill="1" applyBorder="1" applyAlignment="1">
      <alignment horizontal="right"/>
    </xf>
    <xf numFmtId="169" fontId="4" fillId="21" borderId="20" xfId="10" applyNumberFormat="1" applyFont="1" applyFill="1" applyBorder="1"/>
    <xf numFmtId="169" fontId="4" fillId="12" borderId="20" xfId="10" applyNumberFormat="1" applyFont="1" applyFill="1" applyBorder="1" applyAlignment="1">
      <alignment horizontal="right"/>
    </xf>
    <xf numFmtId="168" fontId="7" fillId="12" borderId="25" xfId="10" applyNumberFormat="1" applyFont="1" applyFill="1" applyBorder="1" applyAlignment="1">
      <alignment horizontal="right"/>
    </xf>
    <xf numFmtId="43" fontId="7" fillId="18" borderId="22" xfId="10" applyFont="1" applyFill="1" applyBorder="1" applyAlignment="1">
      <alignment horizontal="right"/>
    </xf>
    <xf numFmtId="180" fontId="11" fillId="19" borderId="20" xfId="10" applyNumberFormat="1" applyFont="1" applyFill="1" applyBorder="1" applyAlignment="1">
      <alignment horizontal="right"/>
    </xf>
    <xf numFmtId="168" fontId="4" fillId="0" borderId="20" xfId="0" applyNumberFormat="1" applyFont="1" applyBorder="1"/>
    <xf numFmtId="168" fontId="7" fillId="21" borderId="22" xfId="10" applyNumberFormat="1" applyFont="1" applyFill="1" applyBorder="1" applyAlignment="1">
      <alignment horizontal="right"/>
    </xf>
    <xf numFmtId="166" fontId="15" fillId="0" borderId="20" xfId="29" applyNumberFormat="1" applyFont="1" applyFill="1" applyBorder="1" applyAlignment="1">
      <alignment horizontal="right"/>
    </xf>
    <xf numFmtId="168" fontId="4" fillId="21" borderId="22" xfId="10" applyNumberFormat="1" applyFont="1" applyFill="1" applyBorder="1" applyAlignment="1">
      <alignment horizontal="right"/>
    </xf>
    <xf numFmtId="170" fontId="4" fillId="0" borderId="20" xfId="29" applyNumberFormat="1" applyFont="1" applyFill="1" applyBorder="1" applyAlignment="1">
      <alignment horizontal="right"/>
    </xf>
    <xf numFmtId="1" fontId="4" fillId="0" borderId="20" xfId="22" applyNumberFormat="1" applyBorder="1" applyAlignment="1">
      <alignment horizontal="right"/>
    </xf>
    <xf numFmtId="164" fontId="7" fillId="0" borderId="20" xfId="22" applyNumberFormat="1" applyFont="1" applyBorder="1" applyAlignment="1">
      <alignment horizontal="right"/>
    </xf>
    <xf numFmtId="164" fontId="4" fillId="0" borderId="20" xfId="22" applyNumberFormat="1" applyBorder="1" applyAlignment="1">
      <alignment horizontal="right"/>
    </xf>
    <xf numFmtId="168" fontId="76" fillId="12" borderId="22" xfId="10" applyNumberFormat="1" applyFont="1" applyFill="1" applyBorder="1" applyAlignment="1">
      <alignment horizontal="right"/>
    </xf>
    <xf numFmtId="168" fontId="7" fillId="18" borderId="22" xfId="10" applyNumberFormat="1" applyFont="1" applyFill="1" applyBorder="1" applyAlignment="1">
      <alignment horizontal="right"/>
    </xf>
    <xf numFmtId="166" fontId="19" fillId="0" borderId="20" xfId="29" applyNumberFormat="1" applyFont="1" applyFill="1" applyBorder="1" applyAlignment="1">
      <alignment horizontal="right"/>
    </xf>
    <xf numFmtId="43" fontId="4" fillId="12" borderId="20" xfId="10" applyFont="1" applyFill="1" applyBorder="1" applyAlignment="1">
      <alignment horizontal="left"/>
    </xf>
    <xf numFmtId="168" fontId="4" fillId="12" borderId="20" xfId="10" applyNumberFormat="1" applyFont="1" applyFill="1" applyBorder="1" applyAlignment="1">
      <alignment horizontal="left"/>
    </xf>
    <xf numFmtId="169" fontId="49" fillId="0" borderId="20" xfId="10" applyNumberFormat="1" applyFont="1" applyFill="1" applyBorder="1" applyAlignment="1"/>
    <xf numFmtId="10" fontId="15" fillId="0" borderId="20" xfId="29" applyNumberFormat="1" applyFont="1" applyFill="1" applyBorder="1" applyAlignment="1">
      <alignment horizontal="right"/>
    </xf>
    <xf numFmtId="169" fontId="4" fillId="0" borderId="20" xfId="0" applyNumberFormat="1" applyFont="1" applyBorder="1"/>
    <xf numFmtId="165" fontId="4" fillId="19" borderId="20" xfId="22" applyNumberFormat="1" applyFill="1" applyBorder="1" applyAlignment="1">
      <alignment horizontal="right"/>
    </xf>
    <xf numFmtId="168" fontId="7" fillId="0" borderId="22" xfId="10" applyNumberFormat="1" applyFont="1" applyFill="1" applyBorder="1" applyAlignment="1">
      <alignment horizontal="right"/>
    </xf>
    <xf numFmtId="169" fontId="10" fillId="6" borderId="20" xfId="10" applyNumberFormat="1" applyFont="1" applyFill="1" applyBorder="1" applyAlignment="1">
      <alignment horizontal="right"/>
    </xf>
    <xf numFmtId="169" fontId="4" fillId="6" borderId="20" xfId="10" applyNumberFormat="1" applyFont="1" applyFill="1" applyBorder="1" applyAlignment="1">
      <alignment horizontal="right"/>
    </xf>
    <xf numFmtId="169" fontId="10" fillId="21" borderId="20" xfId="10" applyNumberFormat="1" applyFont="1" applyFill="1" applyBorder="1" applyAlignment="1">
      <alignment horizontal="right"/>
    </xf>
    <xf numFmtId="180" fontId="11" fillId="12" borderId="20" xfId="10" applyNumberFormat="1" applyFont="1" applyFill="1" applyBorder="1" applyAlignment="1">
      <alignment horizontal="right"/>
    </xf>
    <xf numFmtId="0" fontId="4" fillId="3" borderId="20" xfId="21" applyFont="1" applyFill="1" applyBorder="1"/>
    <xf numFmtId="165" fontId="6" fillId="3" borderId="20" xfId="21" applyNumberFormat="1" applyFont="1" applyFill="1" applyBorder="1"/>
    <xf numFmtId="164" fontId="43" fillId="12" borderId="20" xfId="32" applyNumberFormat="1" applyFont="1" applyFill="1" applyBorder="1" applyAlignment="1">
      <alignment horizontal="right"/>
    </xf>
    <xf numFmtId="167" fontId="7" fillId="5" borderId="22" xfId="32" applyNumberFormat="1" applyFont="1" applyFill="1" applyBorder="1" applyAlignment="1">
      <alignment horizontal="right"/>
    </xf>
    <xf numFmtId="166" fontId="15" fillId="12" borderId="20" xfId="32" applyNumberFormat="1" applyFont="1" applyFill="1" applyBorder="1" applyAlignment="1">
      <alignment horizontal="right"/>
    </xf>
    <xf numFmtId="168" fontId="4" fillId="12" borderId="20" xfId="12" applyNumberFormat="1" applyFont="1" applyFill="1" applyBorder="1" applyAlignment="1">
      <alignment horizontal="right"/>
    </xf>
    <xf numFmtId="166" fontId="7" fillId="12" borderId="20" xfId="32" applyNumberFormat="1" applyFont="1" applyFill="1" applyBorder="1" applyAlignment="1">
      <alignment horizontal="right"/>
    </xf>
    <xf numFmtId="10" fontId="4" fillId="12" borderId="20" xfId="32" applyNumberFormat="1" applyFont="1" applyFill="1" applyBorder="1" applyAlignment="1">
      <alignment horizontal="right"/>
    </xf>
    <xf numFmtId="0" fontId="7" fillId="12" borderId="20" xfId="18" applyFont="1" applyFill="1" applyBorder="1" applyAlignment="1">
      <alignment horizontal="center"/>
    </xf>
    <xf numFmtId="3" fontId="4" fillId="12" borderId="20" xfId="18" applyNumberFormat="1" applyFont="1" applyFill="1" applyBorder="1" applyAlignment="1">
      <alignment horizontal="right"/>
    </xf>
    <xf numFmtId="173" fontId="4" fillId="12" borderId="20" xfId="18" applyNumberFormat="1" applyFont="1" applyFill="1" applyBorder="1" applyAlignment="1">
      <alignment horizontal="right"/>
    </xf>
    <xf numFmtId="173" fontId="77" fillId="21" borderId="22" xfId="18" applyNumberFormat="1" applyFont="1" applyFill="1" applyBorder="1"/>
    <xf numFmtId="173" fontId="4" fillId="12" borderId="22" xfId="18" applyNumberFormat="1" applyFont="1" applyFill="1" applyBorder="1" applyAlignment="1">
      <alignment horizontal="right"/>
    </xf>
    <xf numFmtId="10" fontId="4" fillId="6" borderId="20" xfId="32" applyNumberFormat="1" applyFont="1" applyFill="1" applyBorder="1" applyAlignment="1">
      <alignment horizontal="right"/>
    </xf>
    <xf numFmtId="168" fontId="7" fillId="6" borderId="20" xfId="10" applyNumberFormat="1" applyFont="1" applyFill="1" applyBorder="1" applyAlignment="1">
      <alignment horizontal="right"/>
    </xf>
    <xf numFmtId="166" fontId="56" fillId="6" borderId="20" xfId="32" applyNumberFormat="1" applyFont="1" applyFill="1" applyBorder="1" applyAlignment="1">
      <alignment horizontal="right"/>
    </xf>
    <xf numFmtId="169" fontId="7" fillId="6" borderId="20" xfId="10" applyNumberFormat="1" applyFont="1" applyFill="1" applyBorder="1" applyAlignment="1">
      <alignment horizontal="right"/>
    </xf>
    <xf numFmtId="166" fontId="4" fillId="6" borderId="20" xfId="32" applyNumberFormat="1" applyFont="1" applyFill="1" applyBorder="1" applyAlignment="1">
      <alignment horizontal="right"/>
    </xf>
    <xf numFmtId="168" fontId="7" fillId="0" borderId="20" xfId="12" applyNumberFormat="1" applyFont="1" applyFill="1" applyBorder="1" applyAlignment="1">
      <alignment horizontal="right"/>
    </xf>
    <xf numFmtId="10" fontId="4" fillId="0" borderId="20" xfId="29" applyNumberFormat="1" applyFont="1" applyFill="1" applyBorder="1" applyAlignment="1">
      <alignment horizontal="right"/>
    </xf>
    <xf numFmtId="168" fontId="4" fillId="0" borderId="20" xfId="12" applyNumberFormat="1" applyFont="1" applyFill="1" applyBorder="1" applyAlignment="1">
      <alignment horizontal="right"/>
    </xf>
    <xf numFmtId="10" fontId="15" fillId="0" borderId="20" xfId="32" applyNumberFormat="1" applyFont="1" applyFill="1" applyBorder="1" applyAlignment="1">
      <alignment horizontal="right"/>
    </xf>
    <xf numFmtId="166" fontId="15" fillId="0" borderId="20" xfId="32" applyNumberFormat="1" applyFont="1" applyFill="1" applyBorder="1" applyAlignment="1">
      <alignment horizontal="right"/>
    </xf>
    <xf numFmtId="166" fontId="19" fillId="0" borderId="20" xfId="32" applyNumberFormat="1" applyFont="1" applyFill="1" applyBorder="1" applyAlignment="1">
      <alignment horizontal="right"/>
    </xf>
    <xf numFmtId="169" fontId="87" fillId="21" borderId="20" xfId="10" applyNumberFormat="1" applyFont="1" applyFill="1" applyBorder="1" applyAlignment="1">
      <alignment horizontal="right"/>
    </xf>
    <xf numFmtId="169" fontId="87" fillId="0" borderId="20" xfId="10" applyNumberFormat="1" applyFont="1" applyFill="1" applyBorder="1" applyAlignment="1">
      <alignment horizontal="right"/>
    </xf>
    <xf numFmtId="169" fontId="7" fillId="0" borderId="20" xfId="12" applyNumberFormat="1" applyFont="1" applyFill="1" applyBorder="1" applyAlignment="1">
      <alignment horizontal="right"/>
    </xf>
    <xf numFmtId="182" fontId="46" fillId="0" borderId="20" xfId="10" applyNumberFormat="1" applyFont="1" applyFill="1" applyBorder="1" applyAlignment="1">
      <alignment horizontal="right"/>
    </xf>
    <xf numFmtId="169" fontId="8" fillId="0" borderId="20" xfId="10" applyNumberFormat="1" applyFont="1" applyFill="1" applyBorder="1" applyAlignment="1">
      <alignment horizontal="right"/>
    </xf>
    <xf numFmtId="164" fontId="8" fillId="0" borderId="20" xfId="32" applyNumberFormat="1" applyFont="1" applyFill="1" applyBorder="1" applyAlignment="1">
      <alignment horizontal="right"/>
    </xf>
    <xf numFmtId="174" fontId="7" fillId="0" borderId="22" xfId="12" applyNumberFormat="1" applyFont="1" applyFill="1" applyBorder="1" applyAlignment="1">
      <alignment horizontal="right"/>
    </xf>
    <xf numFmtId="0" fontId="4" fillId="0" borderId="20" xfId="21" applyFont="1" applyBorder="1"/>
    <xf numFmtId="166" fontId="16" fillId="0" borderId="20" xfId="32" applyNumberFormat="1" applyFont="1" applyFill="1" applyBorder="1" applyAlignment="1">
      <alignment horizontal="right"/>
    </xf>
    <xf numFmtId="166" fontId="47" fillId="0" borderId="20" xfId="32" applyNumberFormat="1" applyFont="1" applyFill="1" applyBorder="1" applyAlignment="1">
      <alignment horizontal="right"/>
    </xf>
    <xf numFmtId="17" fontId="4" fillId="0" borderId="20" xfId="32" applyNumberFormat="1" applyFont="1" applyFill="1" applyBorder="1"/>
    <xf numFmtId="169" fontId="4" fillId="21" borderId="20" xfId="12" applyNumberFormat="1" applyFont="1" applyFill="1" applyBorder="1" applyAlignment="1">
      <alignment horizontal="right"/>
    </xf>
    <xf numFmtId="165" fontId="4" fillId="0" borderId="20" xfId="21" applyNumberFormat="1" applyFont="1" applyBorder="1"/>
    <xf numFmtId="166" fontId="16" fillId="0" borderId="20" xfId="32" applyNumberFormat="1" applyFont="1" applyFill="1" applyBorder="1"/>
    <xf numFmtId="168" fontId="7" fillId="0" borderId="20" xfId="12" applyNumberFormat="1" applyFont="1" applyFill="1" applyBorder="1"/>
    <xf numFmtId="168" fontId="4" fillId="0" borderId="20" xfId="12" applyNumberFormat="1" applyFont="1" applyFill="1" applyBorder="1"/>
    <xf numFmtId="169" fontId="4" fillId="0" borderId="20" xfId="12" applyNumberFormat="1" applyFont="1" applyFill="1" applyBorder="1"/>
    <xf numFmtId="197" fontId="4" fillId="0" borderId="20" xfId="12" applyNumberFormat="1" applyFont="1" applyFill="1" applyBorder="1"/>
    <xf numFmtId="166" fontId="4" fillId="0" borderId="20" xfId="29" applyNumberFormat="1" applyFont="1" applyFill="1" applyBorder="1"/>
    <xf numFmtId="166" fontId="15" fillId="0" borderId="20" xfId="32" applyNumberFormat="1" applyFont="1" applyFill="1" applyBorder="1"/>
    <xf numFmtId="43" fontId="4" fillId="0" borderId="20" xfId="12" applyFont="1" applyFill="1" applyBorder="1"/>
    <xf numFmtId="166" fontId="15" fillId="12" borderId="20" xfId="32" applyNumberFormat="1" applyFont="1" applyFill="1" applyBorder="1"/>
    <xf numFmtId="43" fontId="13" fillId="0" borderId="20" xfId="12" applyFont="1" applyFill="1" applyBorder="1"/>
    <xf numFmtId="168" fontId="7" fillId="17" borderId="20" xfId="12" applyNumberFormat="1" applyFont="1" applyFill="1" applyBorder="1"/>
    <xf numFmtId="168" fontId="4" fillId="17" borderId="20" xfId="12" applyNumberFormat="1" applyFont="1" applyFill="1" applyBorder="1"/>
    <xf numFmtId="164" fontId="4" fillId="17" borderId="20" xfId="21" applyNumberFormat="1" applyFont="1" applyFill="1" applyBorder="1"/>
    <xf numFmtId="164" fontId="7" fillId="17" borderId="20" xfId="21" applyNumberFormat="1" applyFont="1" applyFill="1" applyBorder="1"/>
    <xf numFmtId="168" fontId="15" fillId="17" borderId="20" xfId="12" applyNumberFormat="1" applyFont="1" applyFill="1" applyBorder="1"/>
    <xf numFmtId="169" fontId="7" fillId="17" borderId="20" xfId="12" applyNumberFormat="1" applyFont="1" applyFill="1" applyBorder="1"/>
    <xf numFmtId="0" fontId="4" fillId="17" borderId="20" xfId="21" applyFont="1" applyFill="1" applyBorder="1"/>
    <xf numFmtId="166" fontId="7" fillId="17" borderId="20" xfId="32" applyNumberFormat="1" applyFont="1" applyFill="1" applyBorder="1"/>
    <xf numFmtId="168" fontId="4" fillId="17" borderId="20" xfId="21" applyNumberFormat="1" applyFont="1" applyFill="1" applyBorder="1"/>
    <xf numFmtId="0" fontId="7" fillId="17" borderId="20" xfId="21" applyFont="1" applyFill="1" applyBorder="1"/>
    <xf numFmtId="169" fontId="13" fillId="17" borderId="20" xfId="12" applyNumberFormat="1" applyFont="1" applyFill="1" applyBorder="1"/>
    <xf numFmtId="169" fontId="13" fillId="0" borderId="20" xfId="12" applyNumberFormat="1" applyFont="1" applyFill="1" applyBorder="1"/>
    <xf numFmtId="9" fontId="7" fillId="0" borderId="20" xfId="32" applyFont="1" applyFill="1" applyBorder="1"/>
    <xf numFmtId="169" fontId="7" fillId="0" borderId="20" xfId="12" applyNumberFormat="1" applyFont="1" applyFill="1" applyBorder="1"/>
    <xf numFmtId="169" fontId="4" fillId="17" borderId="20" xfId="12" applyNumberFormat="1" applyFont="1" applyFill="1" applyBorder="1"/>
    <xf numFmtId="166" fontId="7" fillId="0" borderId="20" xfId="32" applyNumberFormat="1" applyFont="1" applyFill="1" applyBorder="1"/>
    <xf numFmtId="164" fontId="7" fillId="0" borderId="20" xfId="21" applyNumberFormat="1" applyFont="1" applyBorder="1"/>
    <xf numFmtId="43" fontId="4" fillId="0" borderId="20" xfId="21" applyNumberFormat="1" applyFont="1" applyBorder="1"/>
    <xf numFmtId="168" fontId="7" fillId="21" borderId="20" xfId="12" applyNumberFormat="1" applyFont="1" applyFill="1" applyBorder="1"/>
    <xf numFmtId="0" fontId="4" fillId="12" borderId="20" xfId="21" applyFont="1" applyFill="1" applyBorder="1"/>
    <xf numFmtId="166" fontId="4" fillId="12" borderId="20" xfId="32" applyNumberFormat="1" applyFont="1" applyFill="1" applyBorder="1"/>
    <xf numFmtId="166" fontId="7" fillId="12" borderId="20" xfId="32" applyNumberFormat="1" applyFont="1" applyFill="1" applyBorder="1"/>
    <xf numFmtId="168" fontId="4" fillId="12" borderId="20" xfId="12" applyNumberFormat="1" applyFont="1" applyFill="1" applyBorder="1"/>
    <xf numFmtId="169" fontId="46" fillId="0" borderId="20" xfId="10" applyNumberFormat="1" applyFont="1" applyFill="1" applyBorder="1" applyAlignment="1">
      <alignment horizontal="right"/>
    </xf>
    <xf numFmtId="0" fontId="4" fillId="0" borderId="20" xfId="21" applyFont="1" applyBorder="1" applyAlignment="1">
      <alignment horizontal="right"/>
    </xf>
    <xf numFmtId="0" fontId="44" fillId="0" borderId="20" xfId="21" applyFont="1" applyBorder="1"/>
    <xf numFmtId="168" fontId="8" fillId="0" borderId="20" xfId="12" applyNumberFormat="1" applyFont="1" applyFill="1" applyBorder="1" applyAlignment="1">
      <alignment horizontal="right"/>
    </xf>
    <xf numFmtId="165" fontId="4" fillId="0" borderId="20" xfId="0" applyNumberFormat="1" applyFont="1" applyBorder="1"/>
    <xf numFmtId="165" fontId="0" fillId="0" borderId="20" xfId="0" applyNumberFormat="1" applyBorder="1"/>
    <xf numFmtId="166" fontId="0" fillId="0" borderId="20" xfId="29" applyNumberFormat="1" applyFont="1" applyBorder="1"/>
    <xf numFmtId="43" fontId="87" fillId="0" borderId="26" xfId="10" applyFont="1" applyFill="1" applyBorder="1" applyAlignment="1">
      <alignment horizontal="right"/>
    </xf>
    <xf numFmtId="166" fontId="75" fillId="10" borderId="0" xfId="29" applyNumberFormat="1" applyFont="1" applyFill="1" applyAlignment="1"/>
    <xf numFmtId="166" fontId="71" fillId="12" borderId="0" xfId="29" applyNumberFormat="1" applyFont="1" applyFill="1" applyAlignment="1"/>
    <xf numFmtId="49" fontId="106" fillId="0" borderId="0" xfId="0" applyNumberFormat="1" applyFont="1"/>
    <xf numFmtId="49" fontId="106" fillId="0" borderId="0" xfId="0" applyNumberFormat="1" applyFont="1" applyAlignment="1"/>
    <xf numFmtId="49" fontId="107" fillId="0" borderId="0" xfId="0" applyNumberFormat="1" applyFont="1" applyAlignment="1"/>
    <xf numFmtId="49" fontId="3" fillId="0" borderId="0" xfId="0" applyNumberFormat="1" applyFont="1" applyAlignment="1"/>
    <xf numFmtId="49" fontId="108" fillId="0" borderId="0" xfId="0" applyNumberFormat="1" applyFont="1" applyAlignment="1"/>
    <xf numFmtId="49" fontId="3" fillId="0" borderId="11" xfId="0" applyNumberFormat="1" applyFont="1" applyBorder="1" applyAlignment="1"/>
    <xf numFmtId="49" fontId="3" fillId="0" borderId="11" xfId="0" applyNumberFormat="1" applyFont="1" applyBorder="1" applyAlignment="1"/>
    <xf numFmtId="49" fontId="3" fillId="0" borderId="0" xfId="0" applyNumberFormat="1" applyFont="1" applyAlignment="1">
      <alignment horizontal="left" vertical="center"/>
    </xf>
    <xf numFmtId="2" fontId="106" fillId="0" borderId="0" xfId="0" applyNumberFormat="1" applyFont="1"/>
    <xf numFmtId="49" fontId="109" fillId="24" borderId="0" xfId="0" applyNumberFormat="1" applyFont="1" applyFill="1" applyAlignment="1">
      <alignment wrapText="1"/>
    </xf>
    <xf numFmtId="0" fontId="0" fillId="24" borderId="0" xfId="0" applyFill="1"/>
    <xf numFmtId="49" fontId="110" fillId="24" borderId="0" xfId="0" applyNumberFormat="1" applyFont="1" applyFill="1" applyAlignment="1">
      <alignment wrapText="1"/>
    </xf>
    <xf numFmtId="173" fontId="77" fillId="21" borderId="23" xfId="40" applyNumberFormat="1" applyFont="1" applyFill="1" applyBorder="1"/>
    <xf numFmtId="169" fontId="76" fillId="21" borderId="0" xfId="40" applyNumberFormat="1" applyFont="1" applyFill="1" applyBorder="1" applyAlignment="1">
      <alignment horizontal="right"/>
    </xf>
    <xf numFmtId="169" fontId="76" fillId="22" borderId="0" xfId="40" applyNumberFormat="1" applyFont="1" applyFill="1" applyBorder="1" applyAlignment="1">
      <alignment horizontal="right"/>
    </xf>
    <xf numFmtId="169" fontId="77" fillId="21" borderId="0" xfId="40" applyNumberFormat="1" applyFont="1" applyFill="1" applyBorder="1" applyAlignment="1">
      <alignment horizontal="right"/>
    </xf>
    <xf numFmtId="169" fontId="76" fillId="21" borderId="20" xfId="40" applyNumberFormat="1" applyFont="1" applyFill="1" applyBorder="1" applyAlignment="1">
      <alignment horizontal="right"/>
    </xf>
    <xf numFmtId="169" fontId="76" fillId="23" borderId="0" xfId="40" applyNumberFormat="1" applyFont="1" applyFill="1" applyBorder="1" applyAlignment="1">
      <alignment horizontal="right"/>
    </xf>
    <xf numFmtId="43" fontId="76" fillId="21" borderId="0" xfId="40" applyNumberFormat="1" applyFont="1" applyFill="1" applyBorder="1" applyAlignment="1">
      <alignment horizontal="right"/>
    </xf>
    <xf numFmtId="168" fontId="76" fillId="21" borderId="0" xfId="40" applyNumberFormat="1" applyFont="1" applyFill="1" applyBorder="1" applyAlignment="1">
      <alignment horizontal="right"/>
    </xf>
    <xf numFmtId="168" fontId="77" fillId="21" borderId="23" xfId="40" applyNumberFormat="1" applyFont="1" applyFill="1" applyBorder="1" applyAlignment="1">
      <alignment horizontal="right"/>
    </xf>
    <xf numFmtId="43" fontId="77" fillId="21" borderId="23" xfId="40" applyNumberFormat="1" applyFont="1" applyFill="1" applyBorder="1" applyAlignment="1">
      <alignment horizontal="right"/>
    </xf>
    <xf numFmtId="169" fontId="77" fillId="21" borderId="23" xfId="40" applyNumberFormat="1" applyFont="1" applyFill="1" applyBorder="1" applyAlignment="1">
      <alignment horizontal="right"/>
    </xf>
    <xf numFmtId="168" fontId="76" fillId="23" borderId="0" xfId="40" applyNumberFormat="1" applyFont="1" applyFill="1" applyBorder="1" applyAlignment="1">
      <alignment horizontal="right"/>
    </xf>
    <xf numFmtId="169" fontId="77" fillId="23" borderId="0" xfId="40" applyNumberFormat="1" applyFont="1" applyFill="1" applyBorder="1" applyAlignment="1">
      <alignment horizontal="right"/>
    </xf>
    <xf numFmtId="168" fontId="76" fillId="21" borderId="20" xfId="40" applyNumberFormat="1" applyFont="1" applyFill="1" applyBorder="1" applyAlignment="1">
      <alignment horizontal="right"/>
    </xf>
    <xf numFmtId="168" fontId="76" fillId="23" borderId="20" xfId="40" applyNumberFormat="1" applyFont="1" applyFill="1" applyBorder="1" applyAlignment="1">
      <alignment horizontal="right"/>
    </xf>
    <xf numFmtId="169" fontId="77" fillId="21" borderId="20" xfId="40" applyNumberFormat="1" applyFont="1" applyFill="1" applyBorder="1" applyAlignment="1">
      <alignment horizontal="right"/>
    </xf>
    <xf numFmtId="10" fontId="76" fillId="21" borderId="0" xfId="40" applyNumberFormat="1" applyFont="1" applyFill="1" applyBorder="1" applyAlignment="1"/>
    <xf numFmtId="173" fontId="77" fillId="21" borderId="17" xfId="40" applyNumberFormat="1" applyFont="1" applyFill="1" applyBorder="1"/>
    <xf numFmtId="173" fontId="77" fillId="21" borderId="6" xfId="40" applyNumberFormat="1" applyFont="1" applyFill="1" applyBorder="1" applyAlignment="1"/>
    <xf numFmtId="166" fontId="76" fillId="21" borderId="0" xfId="40" applyNumberFormat="1" applyFont="1" applyFill="1" applyBorder="1" applyAlignment="1"/>
    <xf numFmtId="168" fontId="77" fillId="21" borderId="6" xfId="40" applyNumberFormat="1" applyFont="1" applyFill="1" applyBorder="1" applyAlignment="1"/>
    <xf numFmtId="169" fontId="77" fillId="23" borderId="23" xfId="40" applyNumberFormat="1" applyFont="1" applyFill="1" applyBorder="1" applyAlignment="1"/>
    <xf numFmtId="173" fontId="77" fillId="23" borderId="23" xfId="40" applyNumberFormat="1" applyFont="1" applyFill="1" applyBorder="1" applyAlignment="1"/>
    <xf numFmtId="173" fontId="77" fillId="21" borderId="0" xfId="40" applyNumberFormat="1" applyFont="1" applyFill="1" applyBorder="1" applyAlignment="1"/>
    <xf numFmtId="173" fontId="77" fillId="21" borderId="0" xfId="40" applyNumberFormat="1" applyFont="1" applyFill="1" applyBorder="1"/>
    <xf numFmtId="173" fontId="77" fillId="23" borderId="0" xfId="40" applyNumberFormat="1" applyFont="1" applyFill="1" applyBorder="1" applyAlignment="1"/>
    <xf numFmtId="173" fontId="77" fillId="23" borderId="0" xfId="40" applyNumberFormat="1" applyFont="1" applyFill="1" applyBorder="1"/>
    <xf numFmtId="168" fontId="76" fillId="21" borderId="0" xfId="40" applyNumberFormat="1" applyFont="1" applyFill="1" applyBorder="1" applyAlignment="1"/>
    <xf numFmtId="165" fontId="77" fillId="21" borderId="6" xfId="40" applyNumberFormat="1" applyFont="1" applyFill="1" applyBorder="1" applyAlignment="1"/>
    <xf numFmtId="173" fontId="77" fillId="23" borderId="0" xfId="40" applyNumberFormat="1" applyFont="1" applyFill="1"/>
    <xf numFmtId="3" fontId="77" fillId="23" borderId="23" xfId="40" applyNumberFormat="1" applyFont="1" applyFill="1" applyBorder="1"/>
    <xf numFmtId="10" fontId="76" fillId="21" borderId="20" xfId="29" applyNumberFormat="1" applyFont="1" applyFill="1" applyBorder="1" applyAlignment="1"/>
    <xf numFmtId="173" fontId="77" fillId="21" borderId="21" xfId="40" applyNumberFormat="1" applyFont="1" applyFill="1" applyBorder="1" applyAlignment="1"/>
    <xf numFmtId="166" fontId="76" fillId="21" borderId="20" xfId="40" applyNumberFormat="1" applyFont="1" applyFill="1" applyBorder="1" applyAlignment="1"/>
    <xf numFmtId="165" fontId="77" fillId="21" borderId="21" xfId="40" applyNumberFormat="1" applyFont="1" applyFill="1" applyBorder="1" applyAlignment="1"/>
    <xf numFmtId="173" fontId="77" fillId="21" borderId="20" xfId="18" applyNumberFormat="1" applyFont="1" applyFill="1" applyBorder="1"/>
    <xf numFmtId="173" fontId="77" fillId="21" borderId="20" xfId="40" applyNumberFormat="1" applyFont="1" applyFill="1" applyBorder="1" applyAlignment="1"/>
  </cellXfs>
  <cellStyles count="43">
    <cellStyle name=" 1" xfId="1" xr:uid="{00000000-0005-0000-0000-000000000000}"/>
    <cellStyle name="_MWA RR_1-pager " xfId="2" xr:uid="{00000000-0005-0000-0000-000005000000}"/>
    <cellStyle name="_RRS1_1_1-pager " xfId="3" xr:uid="{00000000-0005-0000-0000-000007000000}"/>
    <cellStyle name="_RRS10_1_1-pager " xfId="4" xr:uid="{00000000-0005-0000-0000-000009000000}"/>
    <cellStyle name="_SUMMARY " xfId="5" xr:uid="{00000000-0005-0000-0000-00000D000000}"/>
    <cellStyle name="_SUMMARY _1-pager " xfId="6" xr:uid="{00000000-0005-0000-0000-00000F000000}"/>
    <cellStyle name="0_Capex &amp; Depreciation " xfId="7" xr:uid="{00000000-0005-0000-0000-000012000000}"/>
    <cellStyle name="0_Valuing BP " xfId="8" xr:uid="{00000000-0005-0000-0000-000014000000}"/>
    <cellStyle name="c_HardInc " xfId="9" xr:uid="{00000000-0005-0000-0000-000016000000}"/>
    <cellStyle name="Comma" xfId="10" builtinId="3"/>
    <cellStyle name="Comma 2" xfId="11" xr:uid="{00000000-0005-0000-0000-00001A000000}"/>
    <cellStyle name="Comma 3" xfId="12" xr:uid="{00000000-0005-0000-0000-00001B000000}"/>
    <cellStyle name="Comma 5" xfId="13" xr:uid="{00000000-0005-0000-0000-00001D000000}"/>
    <cellStyle name="Comma_GFF Financial summary" xfId="14" xr:uid="{00000000-0005-0000-0000-00001E000000}"/>
    <cellStyle name="Currency" xfId="15" builtinId="4"/>
    <cellStyle name="Hyperlink" xfId="40" builtinId="8"/>
    <cellStyle name="Millares_2AV_M_M " xfId="16" xr:uid="{00000000-0005-0000-0000-00002C000000}"/>
    <cellStyle name="Moneda [0]_2AV_M_M " xfId="17" xr:uid="{00000000-0005-0000-0000-00002D000000}"/>
    <cellStyle name="Normal" xfId="0" builtinId="0" customBuiltin="1"/>
    <cellStyle name="Normal - Style1" xfId="18" xr:uid="{00000000-0005-0000-0000-00002F000000}"/>
    <cellStyle name="Normal 2" xfId="19" xr:uid="{00000000-0005-0000-0000-000030000000}"/>
    <cellStyle name="Normal 3" xfId="20" xr:uid="{00000000-0005-0000-0000-000032000000}"/>
    <cellStyle name="Normal 4" xfId="21" xr:uid="{00000000-0005-0000-0000-000033000000}"/>
    <cellStyle name="Normal 7" xfId="41" xr:uid="{BFD146C9-448D-49D7-AE92-DFB2DD33D8F7}"/>
    <cellStyle name="Normal_Book2" xfId="22" xr:uid="{00000000-0005-0000-0000-000038000000}"/>
    <cellStyle name="Normal_Csa-em 2" xfId="23" xr:uid="{00000000-0005-0000-0000-000039000000}"/>
    <cellStyle name="Normal_GFF Financial summary" xfId="24" xr:uid="{00000000-0005-0000-0000-00003B000000}"/>
    <cellStyle name="Normal_TravelSky-em2" xfId="25" xr:uid="{00000000-0005-0000-0000-000040000000}"/>
    <cellStyle name="Number: 0 dec_Table B2-3" xfId="26" xr:uid="{00000000-0005-0000-0000-000042000000}"/>
    <cellStyle name="Number: 1 dec" xfId="27" xr:uid="{00000000-0005-0000-0000-000043000000}"/>
    <cellStyle name="p " xfId="28" xr:uid="{00000000-0005-0000-0000-000044000000}"/>
    <cellStyle name="Percent" xfId="29" builtinId="5"/>
    <cellStyle name="Percent 2" xfId="30" xr:uid="{00000000-0005-0000-0000-000046000000}"/>
    <cellStyle name="Percent 3" xfId="31" xr:uid="{00000000-0005-0000-0000-000047000000}"/>
    <cellStyle name="Percent 4" xfId="32" xr:uid="{00000000-0005-0000-0000-000048000000}"/>
    <cellStyle name="Percent 5" xfId="33" xr:uid="{00000000-0005-0000-0000-000049000000}"/>
    <cellStyle name="Percent 7" xfId="39" xr:uid="{00B950B2-387C-458C-A40F-F57D5F88A822}"/>
    <cellStyle name="Percent 8" xfId="42" xr:uid="{D1DB83B0-04E3-4BF2-A164-ECB816F63A8C}"/>
    <cellStyle name="s_HardInc " xfId="34" xr:uid="{00000000-0005-0000-0000-00004D000000}"/>
    <cellStyle name="s_Valuation " xfId="35" xr:uid="{00000000-0005-0000-0000-000050000000}"/>
    <cellStyle name="ssp " xfId="36" xr:uid="{00000000-0005-0000-0000-000053000000}"/>
    <cellStyle name="뷭?_BOOKSHIP_상세일정 (2) (2) " xfId="37" xr:uid="{00000000-0005-0000-0000-000056000000}"/>
    <cellStyle name="표준_0N-HANDLING " xfId="38" xr:uid="{00000000-0005-0000-0000-000057000000}"/>
  </cellStyles>
  <dxfs count="0"/>
  <tableStyles count="1" defaultTableStyle="TableStyleMedium2" defaultPivotStyle="PivotStyleLight16">
    <tableStyle name="Invisible" pivot="0" table="0" count="0" xr9:uid="{D90F90D5-4F0C-4BF6-9FDA-966B5B618D1D}"/>
  </tableStyles>
  <colors>
    <mruColors>
      <color rgb="FF0000FF"/>
      <color rgb="FF66FF99"/>
      <color rgb="FFFFFF99"/>
      <color rgb="FFFF7C80"/>
      <color rgb="FF99CCFF"/>
      <color rgb="FFCCFFFF"/>
      <color rgb="FF66FF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2722659667541563E-2"/>
          <c:y val="3.5893117526975798E-2"/>
          <c:w val="0.89936089238845141"/>
          <c:h val="0.71475138524351134"/>
        </c:manualLayout>
      </c:layout>
      <c:barChart>
        <c:barDir val="col"/>
        <c:grouping val="clustered"/>
        <c:varyColors val="0"/>
        <c:ser>
          <c:idx val="0"/>
          <c:order val="0"/>
          <c:tx>
            <c:v>JBH Aust</c:v>
          </c:tx>
          <c:spPr>
            <a:solidFill>
              <a:srgbClr val="005AA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Drivers!$Q$2:$AY$2</c:f>
              <c:strCache>
                <c:ptCount val="11"/>
                <c:pt idx="0">
                  <c:v>FY18</c:v>
                </c:pt>
                <c:pt idx="1">
                  <c:v>FY19</c:v>
                </c:pt>
                <c:pt idx="2">
                  <c:v>FY20</c:v>
                </c:pt>
                <c:pt idx="3">
                  <c:v>FY21</c:v>
                </c:pt>
                <c:pt idx="4">
                  <c:v>FY22</c:v>
                </c:pt>
                <c:pt idx="5">
                  <c:v>FY23</c:v>
                </c:pt>
                <c:pt idx="6">
                  <c:v>FY24</c:v>
                </c:pt>
                <c:pt idx="7">
                  <c:v>FY25</c:v>
                </c:pt>
                <c:pt idx="8">
                  <c:v>FY26E</c:v>
                </c:pt>
                <c:pt idx="9">
                  <c:v>FY27E</c:v>
                </c:pt>
                <c:pt idx="10">
                  <c:v>FY28E</c:v>
                </c:pt>
              </c:strCache>
            </c:strRef>
          </c:cat>
          <c:val>
            <c:numRef>
              <c:f>Drivers!$Q$73:$AY$73</c:f>
              <c:numCache>
                <c:formatCode>0.0%</c:formatCode>
                <c:ptCount val="11"/>
                <c:pt idx="0">
                  <c:v>6.2E-2</c:v>
                </c:pt>
                <c:pt idx="1">
                  <c:v>2.8000000000000001E-2</c:v>
                </c:pt>
                <c:pt idx="2">
                  <c:v>0.122</c:v>
                </c:pt>
                <c:pt idx="3">
                  <c:v>0.12</c:v>
                </c:pt>
                <c:pt idx="4">
                  <c:v>3.4000000000000002E-2</c:v>
                </c:pt>
                <c:pt idx="5">
                  <c:v>4.8000000000000001E-2</c:v>
                </c:pt>
                <c:pt idx="6">
                  <c:v>6.0000000000000001E-3</c:v>
                </c:pt>
                <c:pt idx="7">
                  <c:v>7.1999999999999995E-2</c:v>
                </c:pt>
                <c:pt idx="8">
                  <c:v>3.7499999999999999E-2</c:v>
                </c:pt>
                <c:pt idx="9">
                  <c:v>0.04</c:v>
                </c:pt>
                <c:pt idx="1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6-40E6-AB69-0F3E6B25B2A9}"/>
            </c:ext>
          </c:extLst>
        </c:ser>
        <c:ser>
          <c:idx val="1"/>
          <c:order val="1"/>
          <c:tx>
            <c:v>TGG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Drivers!$Q$2:$AY$2</c:f>
              <c:strCache>
                <c:ptCount val="11"/>
                <c:pt idx="0">
                  <c:v>FY18</c:v>
                </c:pt>
                <c:pt idx="1">
                  <c:v>FY19</c:v>
                </c:pt>
                <c:pt idx="2">
                  <c:v>FY20</c:v>
                </c:pt>
                <c:pt idx="3">
                  <c:v>FY21</c:v>
                </c:pt>
                <c:pt idx="4">
                  <c:v>FY22</c:v>
                </c:pt>
                <c:pt idx="5">
                  <c:v>FY23</c:v>
                </c:pt>
                <c:pt idx="6">
                  <c:v>FY24</c:v>
                </c:pt>
                <c:pt idx="7">
                  <c:v>FY25</c:v>
                </c:pt>
                <c:pt idx="8">
                  <c:v>FY26E</c:v>
                </c:pt>
                <c:pt idx="9">
                  <c:v>FY27E</c:v>
                </c:pt>
                <c:pt idx="10">
                  <c:v>FY28E</c:v>
                </c:pt>
              </c:strCache>
            </c:strRef>
          </c:cat>
          <c:val>
            <c:numRef>
              <c:f>Drivers!$Q$309:$AV$309</c:f>
              <c:numCache>
                <c:formatCode>0.0%</c:formatCode>
                <c:ptCount val="10"/>
                <c:pt idx="0">
                  <c:v>8.9999999999999993E-3</c:v>
                </c:pt>
                <c:pt idx="1">
                  <c:v>8.9999999999999993E-3</c:v>
                </c:pt>
                <c:pt idx="2">
                  <c:v>0.108</c:v>
                </c:pt>
                <c:pt idx="3">
                  <c:v>0.13700000000000001</c:v>
                </c:pt>
                <c:pt idx="4">
                  <c:v>2.7E-2</c:v>
                </c:pt>
                <c:pt idx="5">
                  <c:v>8.0000000000000002E-3</c:v>
                </c:pt>
                <c:pt idx="6">
                  <c:v>-4.8000000000000001E-2</c:v>
                </c:pt>
                <c:pt idx="7">
                  <c:v>6.5000000000000002E-2</c:v>
                </c:pt>
                <c:pt idx="8">
                  <c:v>3.2500000000000001E-2</c:v>
                </c:pt>
                <c:pt idx="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C91-4ABA-AED9-790044936D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3332096"/>
        <c:axId val="253618432"/>
      </c:barChart>
      <c:catAx>
        <c:axId val="233332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15875">
            <a:solidFill>
              <a:srgbClr val="808080"/>
            </a:solidFill>
          </a:ln>
        </c:spPr>
        <c:crossAx val="253618432"/>
        <c:crosses val="autoZero"/>
        <c:auto val="1"/>
        <c:lblAlgn val="ctr"/>
        <c:lblOffset val="100"/>
        <c:noMultiLvlLbl val="0"/>
      </c:catAx>
      <c:valAx>
        <c:axId val="253618432"/>
        <c:scaling>
          <c:orientation val="minMax"/>
        </c:scaling>
        <c:delete val="0"/>
        <c:axPos val="l"/>
        <c:majorGridlines>
          <c:spPr>
            <a:ln>
              <a:solidFill>
                <a:srgbClr val="C0C0C0"/>
              </a:solidFill>
            </a:ln>
          </c:spPr>
        </c:majorGridlines>
        <c:numFmt formatCode="0.0%" sourceLinked="1"/>
        <c:majorTickMark val="out"/>
        <c:minorTickMark val="none"/>
        <c:tickLblPos val="nextTo"/>
        <c:spPr>
          <a:ln>
            <a:noFill/>
          </a:ln>
        </c:spPr>
        <c:crossAx val="23333209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</c:legend>
    <c:plotVisOnly val="1"/>
    <c:dispBlanksAs val="gap"/>
    <c:showDLblsOverMax val="0"/>
    <c:extLst/>
  </c:chart>
  <c:spPr>
    <a:solidFill>
      <a:srgbClr val="FFFFFF"/>
    </a:solidFill>
    <a:ln>
      <a:noFill/>
    </a:ln>
  </c:spPr>
  <c:txPr>
    <a:bodyPr/>
    <a:lstStyle/>
    <a:p>
      <a:pPr>
        <a:defRPr sz="900">
          <a:latin typeface="Roboto Condensed" panose="02000000000000000000" pitchFamily="2" charset="0"/>
          <a:ea typeface="Roboto Condensed" panose="02000000000000000000" pitchFamily="2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https://www.google.com.au/imgres?imgurl=https%3A%2F%2Fwww.jbhifi.com.au%2FGlobal%2Fimages%2Flogos%2F3-JB_HORIZONTAL_CMYK_notag-nobracket.jpg&amp;imgrefurl=https%3A%2F%2Fwww.jbhifi.com.au%2Ffeatures%2Flogos%2F&amp;docid=ZaGDhDBjRDyTeM&amp;tbnid=dW440eSVuWcRTM%3A&amp;vet=10ahUKEwil_smAr7rVAhWMvI8KHdAwCKYQMwg-KAAwAA..i&amp;w=8258&amp;h=2012&amp;hl=en&amp;bih=985&amp;biw=1455&amp;q=jb%20hifi&amp;ved=0ahUKEwil_smAr7rVAhWMvI8KHdAwCKYQMwg-KAAwAA&amp;iact=mrc&amp;uact=8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0</xdr:rowOff>
    </xdr:from>
    <xdr:to>
      <xdr:col>2</xdr:col>
      <xdr:colOff>406618</xdr:colOff>
      <xdr:row>1</xdr:row>
      <xdr:rowOff>5756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E04A80-EB10-1F66-DE1E-C5E13C5690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0"/>
          <a:ext cx="1562318" cy="295316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180</xdr:row>
      <xdr:rowOff>2</xdr:rowOff>
    </xdr:from>
    <xdr:to>
      <xdr:col>10</xdr:col>
      <xdr:colOff>527050</xdr:colOff>
      <xdr:row>204</xdr:row>
      <xdr:rowOff>62867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C78FBD-25DC-5655-0AC4-D86A5C8BD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30540962"/>
          <a:ext cx="6496050" cy="4086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</xdr:col>
      <xdr:colOff>326003</xdr:colOff>
      <xdr:row>20</xdr:row>
      <xdr:rowOff>127221</xdr:rowOff>
    </xdr:to>
    <xdr:sp macro="" textlink="">
      <xdr:nvSpPr>
        <xdr:cNvPr id="6560960" name="AutoShape 76801" descr="Image result for jb hif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01C6400}"/>
            </a:ext>
          </a:extLst>
        </xdr:cNvPr>
        <xdr:cNvSpPr>
          <a:spLocks noChangeAspect="1" noChangeArrowheads="1"/>
        </xdr:cNvSpPr>
      </xdr:nvSpPr>
      <xdr:spPr bwMode="auto">
        <a:xfrm>
          <a:off x="333955" y="3411110"/>
          <a:ext cx="326003" cy="2862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1224501</xdr:colOff>
      <xdr:row>6</xdr:row>
      <xdr:rowOff>63610</xdr:rowOff>
    </xdr:to>
    <xdr:pic>
      <xdr:nvPicPr>
        <xdr:cNvPr id="6560961" name="Picture 1">
          <a:extLst>
            <a:ext uri="{FF2B5EF4-FFF2-40B4-BE49-F238E27FC236}">
              <a16:creationId xmlns:a16="http://schemas.microsoft.com/office/drawing/2014/main" id="{00000000-0008-0000-0000-0000C11C6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737"/>
          <a:ext cx="1558456" cy="811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23854</xdr:colOff>
      <xdr:row>6</xdr:row>
      <xdr:rowOff>71562</xdr:rowOff>
    </xdr:from>
    <xdr:to>
      <xdr:col>1</xdr:col>
      <xdr:colOff>930303</xdr:colOff>
      <xdr:row>14</xdr:row>
      <xdr:rowOff>68911</xdr:rowOff>
    </xdr:to>
    <xdr:pic>
      <xdr:nvPicPr>
        <xdr:cNvPr id="6560962" name="Picture 2">
          <a:extLst>
            <a:ext uri="{FF2B5EF4-FFF2-40B4-BE49-F238E27FC236}">
              <a16:creationId xmlns:a16="http://schemas.microsoft.com/office/drawing/2014/main" id="{00000000-0008-0000-0000-0000C21C6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54" y="1351722"/>
          <a:ext cx="1240403" cy="1272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103</xdr:row>
      <xdr:rowOff>47624</xdr:rowOff>
    </xdr:from>
    <xdr:to>
      <xdr:col>1</xdr:col>
      <xdr:colOff>2400300</xdr:colOff>
      <xdr:row>103</xdr:row>
      <xdr:rowOff>361949</xdr:rowOff>
    </xdr:to>
    <xdr:sp macro="[0]!Avgcashv2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09600" y="16316324"/>
          <a:ext cx="2400300" cy="314325"/>
        </a:xfrm>
        <a:prstGeom prst="rect">
          <a:avLst/>
        </a:prstGeom>
        <a:solidFill>
          <a:srgbClr val="FF7C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00FF"/>
              </a:solidFill>
            </a:rPr>
            <a:t>Hard Code Avg Cash</a:t>
          </a:r>
        </a:p>
      </xdr:txBody>
    </xdr:sp>
    <xdr:clientData/>
  </xdr:twoCellAnchor>
  <xdr:twoCellAnchor>
    <xdr:from>
      <xdr:col>1</xdr:col>
      <xdr:colOff>9525</xdr:colOff>
      <xdr:row>93</xdr:row>
      <xdr:rowOff>38100</xdr:rowOff>
    </xdr:from>
    <xdr:to>
      <xdr:col>1</xdr:col>
      <xdr:colOff>2486025</xdr:colOff>
      <xdr:row>93</xdr:row>
      <xdr:rowOff>285750</xdr:rowOff>
    </xdr:to>
    <xdr:sp macro="[0]!Avgdebt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19125" y="15173325"/>
          <a:ext cx="2476500" cy="247650"/>
        </a:xfrm>
        <a:prstGeom prst="rect">
          <a:avLst/>
        </a:prstGeom>
        <a:solidFill>
          <a:srgbClr val="FF7C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00FF"/>
              </a:solidFill>
            </a:rPr>
            <a:t>Hard</a:t>
          </a:r>
          <a:r>
            <a:rPr lang="en-US" sz="1100" baseline="0">
              <a:solidFill>
                <a:srgbClr val="0000FF"/>
              </a:solidFill>
            </a:rPr>
            <a:t> Code Avg Debt</a:t>
          </a:r>
          <a:endParaRPr lang="en-US" sz="1100">
            <a:solidFill>
              <a:srgbClr val="0000FF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94</xdr:col>
      <xdr:colOff>92765</xdr:colOff>
      <xdr:row>67</xdr:row>
      <xdr:rowOff>139148</xdr:rowOff>
    </xdr:from>
    <xdr:to>
      <xdr:col>104</xdr:col>
      <xdr:colOff>139147</xdr:colOff>
      <xdr:row>84</xdr:row>
      <xdr:rowOff>66261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4E3CBA-B3F6-4CC1-8E6B-EDF115AFC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TEMPLATE/Excel/LINKTA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ing"/>
      <sheetName val="Insurance"/>
      <sheetName val="Banks"/>
      <sheetName val="Oils"/>
      <sheetName val="General Europe"/>
      <sheetName val="General UK"/>
      <sheetName val="Latest_Chart"/>
      <sheetName val="Add4Sheet"/>
      <sheetName val="Module2"/>
      <sheetName val="Module1"/>
      <sheetName val="LINKTAB"/>
      <sheetName val="Model"/>
      <sheetName val="P"/>
      <sheetName val="Market_Share"/>
      <sheetName val="Assumptions"/>
      <sheetName val="Summary"/>
      <sheetName val="Balance Sheet"/>
      <sheetName val="Consol_Income"/>
      <sheetName val="Rate Case"/>
      <sheetName val="Sheet9"/>
      <sheetName val="Leases"/>
      <sheetName val="CFOld"/>
      <sheetName val="PLOld"/>
      <sheetName val="Headline"/>
      <sheetName val="MTT old"/>
      <sheetName val="Graph"/>
      <sheetName val="Income"/>
      <sheetName val="Financial Summary"/>
      <sheetName val="Consolidated"/>
      <sheetName val="Exclusion List"/>
      <sheetName val="BizJet Deliveries"/>
      <sheetName val="Cash flow"/>
      <sheetName val="Profit &amp; Loss"/>
      <sheetName val="Inputs, sensitivity &amp; val"/>
      <sheetName val="c1"/>
      <sheetName val="DOMNETREV1002B"/>
      <sheetName val="Monthly figures"/>
      <sheetName val="Sainsbury"/>
      <sheetName val="Working capital"/>
      <sheetName val="CENMODEL"/>
      <sheetName val="Customize Your Statement"/>
      <sheetName val="KQ"/>
      <sheetName val="Presentation Tables"/>
      <sheetName val="BS"/>
      <sheetName val="CLS"/>
      <sheetName val="Ratios_NEW"/>
      <sheetName val="Ratios"/>
      <sheetName val="Interims"/>
      <sheetName val="Traffic"/>
      <sheetName val="P&amp;L"/>
      <sheetName val="Quarters"/>
      <sheetName val="Valuation"/>
      <sheetName val="Bal Sheet &amp; Cash Flow"/>
      <sheetName val="NKEANNL"/>
      <sheetName val="NKEQTRIN"/>
      <sheetName val="NKEBALST"/>
      <sheetName val="Revenue at Risk"/>
      <sheetName val="variables"/>
      <sheetName val="Table"/>
      <sheetName val="Valuation Summary"/>
      <sheetName val="Control"/>
      <sheetName val="Summary Output (Old to New)"/>
      <sheetName val="Express"/>
      <sheetName val="LINKTAB.XLS"/>
      <sheetName val="[LINKTAB.XLS]_TEMPLATE_Excel__2"/>
      <sheetName val="[LINKTAB.XLS]_U_TEMPLATE_Exce_2"/>
      <sheetName val="[LINKTAB.XLS]_C_U_TEMPLATE_Ex_2"/>
      <sheetName val="[LINKTAB.XLS]_TEMPLATE_Excel__5"/>
      <sheetName val="[LINKTAB.XLS]_TEMPLATE_Excel__3"/>
      <sheetName val="[LINKTAB.XLS]_TEMPLATE_Excel__4"/>
      <sheetName val="[LINKTAB.XLS]_TEMPLATE_Excel__6"/>
      <sheetName val="[LINKTAB.XLS]_U_TEMPLATE_Exce_3"/>
      <sheetName val="[LINKTAB.XLS]_C_U_TEMPLATE_Ex_3"/>
      <sheetName val="[LINKTAB.XLS]_TEMPLATE_Excel__7"/>
      <sheetName val="[LINKTAB.XLS]_U_TEMPLATE_Exce_4"/>
      <sheetName val="[LINKTAB.XLS]_C_U_TEMPLATE_Ex_4"/>
      <sheetName val="[LINKTAB.XLS]_TEMPLATE_Excel__8"/>
      <sheetName val="[LINKTAB.XLS]_U_TEMPLATE_Exce_5"/>
      <sheetName val="[LINKTAB.XLS]_C_U_TEMPLATE_Ex_5"/>
    </sheetNames>
    <definedNames>
      <definedName name="Download_series"/>
      <definedName name="Update_This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ss, Mac (Research)" id="{5B302CFF-DAFD-4774-8193-C1B03DC72F6E}" userId="S::Mac.Ross@morganstanley.com::07c43cdc-988d-433d-957a-cbd611737696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_NewOffice365">
    <a:dk1>
      <a:sysClr val="windowText" lastClr="000000"/>
    </a:dk1>
    <a:lt1>
      <a:sysClr val="window" lastClr="FFFFFF"/>
    </a:lt1>
    <a:dk2>
      <a:srgbClr val="003366"/>
    </a:dk2>
    <a:lt2>
      <a:srgbClr val="C6D9E2"/>
    </a:lt2>
    <a:accent1>
      <a:srgbClr val="005AA4"/>
    </a:accent1>
    <a:accent2>
      <a:srgbClr val="D0B86A"/>
    </a:accent2>
    <a:accent3>
      <a:srgbClr val="226B5A"/>
    </a:accent3>
    <a:accent4>
      <a:srgbClr val="00A1E2"/>
    </a:accent4>
    <a:accent5>
      <a:srgbClr val="873246"/>
    </a:accent5>
    <a:accent6>
      <a:srgbClr val="6769E2"/>
    </a:accent6>
    <a:hlink>
      <a:srgbClr val="0000FF"/>
    </a:hlink>
    <a:folHlink>
      <a:srgbClr val="800080"/>
    </a:folHlink>
  </a:clrScheme>
  <a:fontScheme name="Rothschild">
    <a:majorFont>
      <a:latin typeface="Georg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Arial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Rothschild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7500"/>
              <a:satMod val="137000"/>
            </a:schemeClr>
          </a:gs>
          <a:gs pos="55000">
            <a:schemeClr val="phClr">
              <a:shade val="69000"/>
              <a:satMod val="137000"/>
            </a:schemeClr>
          </a:gs>
          <a:gs pos="100000">
            <a:schemeClr val="phClr">
              <a:shade val="98000"/>
              <a:satMod val="137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48000" cap="flat" cmpd="thickThin" algn="ctr">
        <a:solidFill>
          <a:schemeClr val="phClr"/>
        </a:solidFill>
        <a:prstDash val="solid"/>
      </a:ln>
      <a:ln w="48500" cap="flat" cmpd="thickThin" algn="ctr">
        <a:solidFill>
          <a:schemeClr val="phClr"/>
        </a:solidFill>
        <a:prstDash val="solid"/>
      </a:ln>
    </a:lnStyleLst>
    <a:effectStyleLst>
      <a:effectStyle>
        <a:effectLst>
          <a:outerShdw blurRad="45000" dist="25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800000"/>
          </a:lightRig>
        </a:scene3d>
        <a:sp3d prstMaterial="matte">
          <a:bevelT h="200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8000"/>
              <a:satMod val="300000"/>
            </a:schemeClr>
          </a:gs>
          <a:gs pos="12000">
            <a:schemeClr val="phClr">
              <a:tint val="48000"/>
              <a:satMod val="300000"/>
            </a:schemeClr>
          </a:gs>
          <a:gs pos="20000">
            <a:schemeClr val="phClr">
              <a:tint val="49000"/>
              <a:satMod val="30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10000" t="-25000" r="10000" b="125000"/>
        </a:path>
      </a:gradFill>
      <a:blipFill>
        <a:blip xmlns:r="http://schemas.openxmlformats.org/officeDocument/2006/relationships">
          <a:duotone>
            <a:schemeClr val="phClr">
              <a:shade val="75000"/>
              <a:satMod val="105000"/>
            </a:schemeClr>
            <a:schemeClr val="phClr">
              <a:tint val="95000"/>
              <a:satMod val="105000"/>
            </a:schemeClr>
          </a:duotone>
        </a:blip>
        <a:tile tx="0" ty="0" sx="38000" sy="38000" flip="none" algn="tl"/>
      </a:blip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N73" dT="2024-08-12T02:28:35.80" personId="{5B302CFF-DAFD-4774-8193-C1B03DC72F6E}" id="{491E99F4-E287-4269-9DB6-088F72543A60}">
    <text>July +5.6%</text>
  </threadedComment>
  <threadedComment ref="AQ73" dT="2024-07-19T05:50:57.33" personId="{5B302CFF-DAFD-4774-8193-C1B03DC72F6E}" id="{F7E2C6EB-0398-4E93-83AF-FAB65CED4C90}">
    <text>Increased from 3%, incorp PC analysis</text>
  </threadedComment>
  <threadedComment ref="AS73" dT="2024-07-19T05:51:03.69" personId="{5B302CFF-DAFD-4774-8193-C1B03DC72F6E}" id="{26DF80DC-8BD3-41D2-BAD0-60F6BB280F79}">
    <text xml:space="preserve">Increased from 3%, incorp PC analysis
</text>
  </threadedComment>
  <threadedComment ref="AN79" dT="2024-08-12T02:28:51.43" personId="{5B302CFF-DAFD-4774-8193-C1B03DC72F6E}" id="{C71405CC-EDDE-4177-80D1-8B534F102CE8}">
    <text>July -4.9%</text>
  </threadedComment>
  <threadedComment ref="AS254" dT="2024-07-19T05:53:22.13" personId="{5B302CFF-DAFD-4774-8193-C1B03DC72F6E}" id="{D9163FC9-B71C-47D1-875C-148F7C77625D}">
    <text>Mix shift to PC</text>
  </threadedComment>
  <threadedComment ref="AN309" dT="2024-08-12T03:02:59.96" personId="{5B302CFF-DAFD-4774-8193-C1B03DC72F6E}" id="{D43F2BEE-D81D-4145-958C-D6470FB0E238}">
    <text>+2.7% July.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8" row="12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BAA19E7-37DC-48ED-997F-D46627BD8F5A}">
  <we:reference id="wa200004907" version="1.0.12.0" store="en-US" storeType="OMEX"/>
  <we:alternateReferences>
    <we:reference id="wa200004907" version="1.0.12.0" store="wa200004907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FE51242-54A5-4324-9D29-F114DE5FDB8A}">
  <we:reference id="66cfb7aa-c8b5-4285-ae4a-6140b6c8d0d6" version="1.0.14.0" store="EXCatalog" storeType="EXCatalog"/>
  <we:alternateReferences/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ulia.de.sterke@morganstanley.com" TargetMode="External"/><Relationship Id="rId2" Type="http://schemas.openxmlformats.org/officeDocument/2006/relationships/hyperlink" Target="mailto:mac.ross@morganstanley.com" TargetMode="External"/><Relationship Id="rId1" Type="http://schemas.openxmlformats.org/officeDocument/2006/relationships/hyperlink" Target="mailto:melinda.baxter@morganstanley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60B3-3580-4470-8121-5405785B8F93}">
  <dimension ref="B2:B9"/>
  <sheetViews>
    <sheetView showGridLines="0" showRowColHeaders="0" tabSelected="1" workbookViewId="0">
      <selection activeCell="Z1" sqref="Z1"/>
    </sheetView>
  </sheetViews>
  <sheetFormatPr defaultRowHeight="13.2"/>
  <cols>
    <col min="1" max="1" width="8.88671875" style="1891"/>
    <col min="2" max="2" width="101.109375" style="1891" customWidth="1"/>
    <col min="3" max="16384" width="8.88671875" style="1891"/>
  </cols>
  <sheetData>
    <row r="2" spans="2:2" ht="52.2">
      <c r="B2" s="1890" t="s">
        <v>1391</v>
      </c>
    </row>
    <row r="3" spans="2:2" ht="17.399999999999999">
      <c r="B3" s="1890"/>
    </row>
    <row r="4" spans="2:2" ht="17.399999999999999">
      <c r="B4" s="1890"/>
    </row>
    <row r="5" spans="2:2" ht="17.399999999999999">
      <c r="B5" s="1890" t="s">
        <v>1392</v>
      </c>
    </row>
    <row r="6" spans="2:2" ht="17.399999999999999">
      <c r="B6" s="1890" t="s">
        <v>1393</v>
      </c>
    </row>
    <row r="7" spans="2:2" ht="17.399999999999999">
      <c r="B7" s="1890" t="s">
        <v>1394</v>
      </c>
    </row>
    <row r="8" spans="2:2" ht="17.399999999999999">
      <c r="B8" s="1890"/>
    </row>
    <row r="9" spans="2:2" ht="34.799999999999997">
      <c r="B9" s="1892" t="s">
        <v>1395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04A0-C418-41C2-99DE-060C01335320}">
  <dimension ref="A1:H433"/>
  <sheetViews>
    <sheetView showGridLines="0" workbookViewId="0">
      <selection activeCell="Z1" sqref="Z1"/>
    </sheetView>
  </sheetViews>
  <sheetFormatPr defaultRowHeight="13.2"/>
  <sheetData>
    <row r="1" spans="1:8" ht="23.25" customHeight="1">
      <c r="A1" s="1888"/>
      <c r="B1" s="1884"/>
      <c r="C1" s="1884"/>
      <c r="D1" s="1884"/>
      <c r="E1" s="1884"/>
      <c r="F1" s="1884"/>
      <c r="G1" s="1884"/>
      <c r="H1" s="1884"/>
    </row>
    <row r="2" spans="1:8">
      <c r="A2" s="1882" t="s">
        <v>982</v>
      </c>
      <c r="B2" s="1884"/>
      <c r="C2" s="1884"/>
      <c r="D2" s="1884"/>
      <c r="E2" s="1884"/>
      <c r="F2" s="1884"/>
      <c r="G2" s="1884"/>
      <c r="H2" s="1884"/>
    </row>
    <row r="3" spans="1:8">
      <c r="A3" s="1882" t="s">
        <v>983</v>
      </c>
      <c r="B3" s="1884"/>
      <c r="C3" s="1884"/>
      <c r="D3" s="1884"/>
      <c r="E3" s="1884"/>
      <c r="F3" s="1884"/>
      <c r="G3" s="1884"/>
      <c r="H3" s="1884"/>
    </row>
    <row r="4" spans="1:8">
      <c r="A4" s="1882" t="s">
        <v>984</v>
      </c>
      <c r="B4" s="1884"/>
      <c r="C4" s="1884"/>
      <c r="D4" s="1884"/>
      <c r="E4" s="1884"/>
      <c r="F4" s="1884"/>
      <c r="G4" s="1884"/>
      <c r="H4" s="1884"/>
    </row>
    <row r="5" spans="1:8">
      <c r="A5" s="1882" t="s">
        <v>985</v>
      </c>
      <c r="B5" s="1884"/>
      <c r="C5" s="1884"/>
      <c r="D5" s="1884"/>
      <c r="E5" s="1884"/>
      <c r="F5" s="1884"/>
      <c r="G5" s="1884"/>
      <c r="H5" s="1884"/>
    </row>
    <row r="6" spans="1:8">
      <c r="A6" s="1882"/>
      <c r="B6" s="1884"/>
      <c r="C6" s="1884"/>
      <c r="D6" s="1884"/>
      <c r="E6" s="1884"/>
      <c r="F6" s="1884"/>
      <c r="G6" s="1884"/>
      <c r="H6" s="1884"/>
    </row>
    <row r="7" spans="1:8">
      <c r="A7" s="1882" t="s">
        <v>986</v>
      </c>
      <c r="B7" s="1884"/>
      <c r="C7" s="1884"/>
      <c r="D7" s="1884"/>
      <c r="E7" s="1884"/>
      <c r="F7" s="1884"/>
      <c r="G7" s="1884"/>
      <c r="H7" s="1884"/>
    </row>
    <row r="8" spans="1:8">
      <c r="A8" s="1882" t="s">
        <v>987</v>
      </c>
      <c r="B8" s="1884"/>
      <c r="C8" s="1884"/>
      <c r="D8" s="1884"/>
      <c r="E8" s="1884"/>
      <c r="F8" s="1884"/>
      <c r="G8" s="1884"/>
      <c r="H8" s="1884"/>
    </row>
    <row r="9" spans="1:8">
      <c r="A9" s="1882"/>
      <c r="B9" s="1884"/>
      <c r="C9" s="1884"/>
      <c r="D9" s="1884"/>
      <c r="E9" s="1884"/>
      <c r="F9" s="1884"/>
      <c r="G9" s="1884"/>
      <c r="H9" s="1884"/>
    </row>
    <row r="10" spans="1:8">
      <c r="A10" s="1882" t="s">
        <v>988</v>
      </c>
      <c r="B10" s="1884"/>
      <c r="C10" s="1884"/>
      <c r="D10" s="1884"/>
      <c r="E10" s="1884"/>
      <c r="F10" s="1884"/>
      <c r="G10" s="1884"/>
      <c r="H10" s="1884"/>
    </row>
    <row r="11" spans="1:8">
      <c r="A11" s="1882" t="s">
        <v>989</v>
      </c>
      <c r="B11" s="1884"/>
      <c r="C11" s="1884"/>
      <c r="D11" s="1884"/>
      <c r="E11" s="1884"/>
      <c r="F11" s="1884"/>
      <c r="G11" s="1884"/>
      <c r="H11" s="1884"/>
    </row>
    <row r="12" spans="1:8">
      <c r="A12" s="1882" t="s">
        <v>990</v>
      </c>
      <c r="B12" s="1884"/>
      <c r="C12" s="1884"/>
      <c r="D12" s="1884"/>
      <c r="E12" s="1884"/>
      <c r="F12" s="1884"/>
      <c r="G12" s="1884"/>
      <c r="H12" s="1884"/>
    </row>
    <row r="13" spans="1:8">
      <c r="A13" s="1882" t="s">
        <v>991</v>
      </c>
      <c r="B13" s="1884"/>
      <c r="C13" s="1884"/>
      <c r="D13" s="1884"/>
      <c r="E13" s="1884"/>
      <c r="F13" s="1884"/>
      <c r="G13" s="1884"/>
      <c r="H13" s="1884"/>
    </row>
    <row r="14" spans="1:8">
      <c r="A14" s="1882" t="s">
        <v>992</v>
      </c>
      <c r="B14" s="1884"/>
      <c r="C14" s="1884"/>
      <c r="D14" s="1884"/>
      <c r="E14" s="1884"/>
      <c r="F14" s="1884"/>
      <c r="G14" s="1884"/>
      <c r="H14" s="1884"/>
    </row>
    <row r="15" spans="1:8">
      <c r="A15" s="1882" t="s">
        <v>993</v>
      </c>
      <c r="B15" s="1884"/>
      <c r="C15" s="1884"/>
      <c r="D15" s="1884"/>
      <c r="E15" s="1884"/>
      <c r="F15" s="1884"/>
      <c r="G15" s="1884"/>
      <c r="H15" s="1884"/>
    </row>
    <row r="16" spans="1:8">
      <c r="A16" s="1882"/>
      <c r="B16" s="1884"/>
      <c r="C16" s="1884"/>
      <c r="D16" s="1884"/>
      <c r="E16" s="1884"/>
      <c r="F16" s="1884"/>
      <c r="G16" s="1884"/>
      <c r="H16" s="1884"/>
    </row>
    <row r="17" spans="1:8">
      <c r="A17" s="1882" t="s">
        <v>994</v>
      </c>
      <c r="B17" s="1884"/>
      <c r="C17" s="1884"/>
      <c r="D17" s="1884"/>
      <c r="E17" s="1884"/>
      <c r="F17" s="1884"/>
      <c r="G17" s="1884"/>
      <c r="H17" s="1884"/>
    </row>
    <row r="18" spans="1:8">
      <c r="A18" s="1882"/>
      <c r="B18" s="1884"/>
      <c r="C18" s="1884"/>
      <c r="D18" s="1884"/>
      <c r="E18" s="1884"/>
      <c r="F18" s="1884"/>
      <c r="G18" s="1884"/>
      <c r="H18" s="1884"/>
    </row>
    <row r="19" spans="1:8">
      <c r="A19" s="1882" t="s">
        <v>995</v>
      </c>
      <c r="B19" s="1884"/>
      <c r="C19" s="1884"/>
      <c r="D19" s="1884"/>
      <c r="E19" s="1884"/>
      <c r="F19" s="1884"/>
      <c r="G19" s="1884"/>
      <c r="H19" s="1884"/>
    </row>
    <row r="20" spans="1:8">
      <c r="A20" s="1882"/>
      <c r="B20" s="1884"/>
      <c r="C20" s="1884"/>
      <c r="D20" s="1884"/>
      <c r="E20" s="1884"/>
      <c r="F20" s="1884"/>
      <c r="G20" s="1884"/>
      <c r="H20" s="1884"/>
    </row>
    <row r="21" spans="1:8">
      <c r="A21" s="1883" t="s">
        <v>996</v>
      </c>
      <c r="B21" s="1884"/>
      <c r="C21" s="1884"/>
      <c r="D21" s="1884"/>
      <c r="E21" s="1884"/>
      <c r="F21" s="1884"/>
      <c r="G21" s="1884"/>
      <c r="H21" s="1884"/>
    </row>
    <row r="22" spans="1:8">
      <c r="A22" s="1884"/>
      <c r="B22" s="1884"/>
      <c r="C22" s="1884"/>
      <c r="D22" s="1884"/>
      <c r="E22" s="1884"/>
      <c r="F22" s="1884"/>
      <c r="G22" s="1884"/>
      <c r="H22" s="1884"/>
    </row>
    <row r="23" spans="1:8">
      <c r="A23" s="1884" t="s">
        <v>997</v>
      </c>
      <c r="B23" s="1884"/>
      <c r="C23" s="1884"/>
      <c r="D23" s="1884"/>
      <c r="E23" s="1884"/>
      <c r="F23" s="1884"/>
      <c r="G23" s="1884"/>
      <c r="H23" s="1884"/>
    </row>
    <row r="24" spans="1:8">
      <c r="A24" s="1884" t="s">
        <v>998</v>
      </c>
      <c r="B24" s="1884"/>
      <c r="C24" s="1884"/>
      <c r="D24" s="1884"/>
      <c r="E24" s="1884"/>
      <c r="F24" s="1884"/>
      <c r="G24" s="1884"/>
      <c r="H24" s="1884"/>
    </row>
    <row r="25" spans="1:8">
      <c r="A25" s="1884" t="s">
        <v>999</v>
      </c>
      <c r="B25" s="1884"/>
      <c r="C25" s="1884"/>
      <c r="D25" s="1884"/>
      <c r="E25" s="1884"/>
      <c r="F25" s="1884"/>
      <c r="G25" s="1884"/>
      <c r="H25" s="1884"/>
    </row>
    <row r="26" spans="1:8">
      <c r="A26" s="1884" t="s">
        <v>1000</v>
      </c>
      <c r="B26" s="1884"/>
      <c r="C26" s="1884"/>
      <c r="D26" s="1884"/>
      <c r="E26" s="1884"/>
      <c r="F26" s="1884"/>
      <c r="G26" s="1884"/>
      <c r="H26" s="1884"/>
    </row>
    <row r="27" spans="1:8">
      <c r="A27" s="1884"/>
      <c r="B27" s="1884"/>
      <c r="C27" s="1884"/>
      <c r="D27" s="1884"/>
      <c r="E27" s="1884"/>
      <c r="F27" s="1884"/>
      <c r="G27" s="1884"/>
      <c r="H27" s="1884"/>
    </row>
    <row r="28" spans="1:8">
      <c r="A28" s="1884" t="s">
        <v>1001</v>
      </c>
      <c r="B28" s="1884"/>
      <c r="C28" s="1884"/>
      <c r="D28" s="1884"/>
      <c r="E28" s="1884"/>
      <c r="F28" s="1884"/>
      <c r="G28" s="1884"/>
      <c r="H28" s="1884"/>
    </row>
    <row r="29" spans="1:8">
      <c r="A29" s="1884" t="s">
        <v>1002</v>
      </c>
      <c r="B29" s="1884"/>
      <c r="C29" s="1884"/>
      <c r="D29" s="1884"/>
      <c r="E29" s="1884"/>
      <c r="F29" s="1884"/>
      <c r="G29" s="1884"/>
      <c r="H29" s="1884"/>
    </row>
    <row r="30" spans="1:8">
      <c r="A30" s="1884" t="s">
        <v>1003</v>
      </c>
      <c r="B30" s="1884"/>
      <c r="C30" s="1884"/>
      <c r="D30" s="1884"/>
      <c r="E30" s="1884"/>
      <c r="F30" s="1884"/>
      <c r="G30" s="1884"/>
      <c r="H30" s="1884"/>
    </row>
    <row r="31" spans="1:8">
      <c r="A31" s="1884" t="s">
        <v>1004</v>
      </c>
      <c r="B31" s="1884"/>
      <c r="C31" s="1884"/>
      <c r="D31" s="1884"/>
      <c r="E31" s="1884"/>
      <c r="F31" s="1884"/>
      <c r="G31" s="1884"/>
      <c r="H31" s="1884"/>
    </row>
    <row r="32" spans="1:8">
      <c r="A32" s="1884" t="s">
        <v>1005</v>
      </c>
      <c r="B32" s="1884"/>
      <c r="C32" s="1884"/>
      <c r="D32" s="1884"/>
      <c r="E32" s="1884"/>
      <c r="F32" s="1884"/>
      <c r="G32" s="1884"/>
      <c r="H32" s="1884"/>
    </row>
    <row r="33" spans="1:8">
      <c r="A33" s="1884" t="s">
        <v>1006</v>
      </c>
      <c r="B33" s="1884"/>
      <c r="C33" s="1884"/>
      <c r="D33" s="1884"/>
      <c r="E33" s="1884"/>
      <c r="F33" s="1884"/>
      <c r="G33" s="1884"/>
      <c r="H33" s="1884"/>
    </row>
    <row r="34" spans="1:8">
      <c r="A34" s="1884" t="s">
        <v>1007</v>
      </c>
      <c r="B34" s="1884"/>
      <c r="C34" s="1884"/>
      <c r="D34" s="1884"/>
      <c r="E34" s="1884"/>
      <c r="F34" s="1884"/>
      <c r="G34" s="1884"/>
      <c r="H34" s="1884"/>
    </row>
    <row r="35" spans="1:8">
      <c r="A35" s="1884" t="s">
        <v>1008</v>
      </c>
      <c r="B35" s="1884"/>
      <c r="C35" s="1884"/>
      <c r="D35" s="1884"/>
      <c r="E35" s="1884"/>
      <c r="F35" s="1884"/>
      <c r="G35" s="1884"/>
      <c r="H35" s="1884"/>
    </row>
    <row r="36" spans="1:8">
      <c r="A36" s="1884" t="s">
        <v>1009</v>
      </c>
      <c r="B36" s="1884"/>
      <c r="C36" s="1884"/>
      <c r="D36" s="1884"/>
      <c r="E36" s="1884"/>
      <c r="F36" s="1884"/>
      <c r="G36" s="1884"/>
      <c r="H36" s="1884"/>
    </row>
    <row r="37" spans="1:8">
      <c r="A37" s="1884" t="s">
        <v>1010</v>
      </c>
      <c r="B37" s="1884"/>
      <c r="C37" s="1884"/>
      <c r="D37" s="1884"/>
      <c r="E37" s="1884"/>
      <c r="F37" s="1884"/>
      <c r="G37" s="1884"/>
      <c r="H37" s="1884"/>
    </row>
    <row r="38" spans="1:8">
      <c r="A38" s="1884" t="s">
        <v>1011</v>
      </c>
      <c r="B38" s="1884"/>
      <c r="C38" s="1884"/>
      <c r="D38" s="1884"/>
      <c r="E38" s="1884"/>
      <c r="F38" s="1884"/>
      <c r="G38" s="1884"/>
      <c r="H38" s="1884"/>
    </row>
    <row r="39" spans="1:8">
      <c r="A39" s="1884" t="s">
        <v>1012</v>
      </c>
      <c r="B39" s="1884"/>
      <c r="C39" s="1884"/>
      <c r="D39" s="1884"/>
      <c r="E39" s="1884"/>
      <c r="F39" s="1884"/>
      <c r="G39" s="1884"/>
      <c r="H39" s="1884"/>
    </row>
    <row r="40" spans="1:8">
      <c r="A40" s="1884" t="s">
        <v>1013</v>
      </c>
      <c r="B40" s="1884"/>
      <c r="C40" s="1884"/>
      <c r="D40" s="1884"/>
      <c r="E40" s="1884"/>
      <c r="F40" s="1884"/>
      <c r="G40" s="1884"/>
      <c r="H40" s="1884"/>
    </row>
    <row r="41" spans="1:8">
      <c r="A41" s="1884" t="s">
        <v>1014</v>
      </c>
      <c r="B41" s="1884"/>
      <c r="C41" s="1884"/>
      <c r="D41" s="1884"/>
      <c r="E41" s="1884"/>
      <c r="F41" s="1884"/>
      <c r="G41" s="1884"/>
      <c r="H41" s="1884"/>
    </row>
    <row r="42" spans="1:8">
      <c r="A42" s="1884" t="s">
        <v>1015</v>
      </c>
      <c r="B42" s="1884"/>
      <c r="C42" s="1884"/>
      <c r="D42" s="1884"/>
      <c r="E42" s="1884"/>
      <c r="F42" s="1884"/>
      <c r="G42" s="1884"/>
      <c r="H42" s="1884"/>
    </row>
    <row r="43" spans="1:8">
      <c r="A43" s="1884" t="s">
        <v>1016</v>
      </c>
      <c r="B43" s="1884"/>
      <c r="C43" s="1884"/>
      <c r="D43" s="1884"/>
      <c r="E43" s="1884"/>
      <c r="F43" s="1884"/>
      <c r="G43" s="1884"/>
      <c r="H43" s="1884"/>
    </row>
    <row r="44" spans="1:8">
      <c r="A44" s="1884" t="s">
        <v>1017</v>
      </c>
      <c r="B44" s="1884"/>
      <c r="C44" s="1884"/>
      <c r="D44" s="1884"/>
      <c r="E44" s="1884"/>
      <c r="F44" s="1884"/>
      <c r="G44" s="1884"/>
      <c r="H44" s="1884"/>
    </row>
    <row r="45" spans="1:8">
      <c r="A45" s="1884" t="s">
        <v>1018</v>
      </c>
      <c r="B45" s="1884"/>
      <c r="C45" s="1884"/>
      <c r="D45" s="1884"/>
      <c r="E45" s="1884"/>
      <c r="F45" s="1884"/>
      <c r="G45" s="1884"/>
      <c r="H45" s="1884"/>
    </row>
    <row r="46" spans="1:8">
      <c r="A46" s="1884" t="s">
        <v>1019</v>
      </c>
      <c r="B46" s="1884"/>
      <c r="C46" s="1884"/>
      <c r="D46" s="1884"/>
      <c r="E46" s="1884"/>
      <c r="F46" s="1884"/>
      <c r="G46" s="1884"/>
      <c r="H46" s="1884"/>
    </row>
    <row r="47" spans="1:8">
      <c r="A47" s="1884" t="s">
        <v>1020</v>
      </c>
      <c r="B47" s="1884"/>
      <c r="C47" s="1884"/>
      <c r="D47" s="1884"/>
      <c r="E47" s="1884"/>
      <c r="F47" s="1884"/>
      <c r="G47" s="1884"/>
      <c r="H47" s="1884"/>
    </row>
    <row r="48" spans="1:8">
      <c r="A48" s="1884" t="s">
        <v>1021</v>
      </c>
      <c r="B48" s="1884"/>
      <c r="C48" s="1884"/>
      <c r="D48" s="1884"/>
      <c r="E48" s="1884"/>
      <c r="F48" s="1884"/>
      <c r="G48" s="1884"/>
      <c r="H48" s="1884"/>
    </row>
    <row r="49" spans="1:8">
      <c r="A49" s="1884" t="s">
        <v>1022</v>
      </c>
      <c r="B49" s="1884"/>
      <c r="C49" s="1884"/>
      <c r="D49" s="1884"/>
      <c r="E49" s="1884"/>
      <c r="F49" s="1884"/>
      <c r="G49" s="1884"/>
      <c r="H49" s="1884"/>
    </row>
    <row r="50" spans="1:8">
      <c r="A50" s="1884" t="s">
        <v>1023</v>
      </c>
      <c r="B50" s="1884"/>
      <c r="C50" s="1884"/>
      <c r="D50" s="1884"/>
      <c r="E50" s="1884"/>
      <c r="F50" s="1884"/>
      <c r="G50" s="1884"/>
      <c r="H50" s="1884"/>
    </row>
    <row r="51" spans="1:8">
      <c r="A51" s="1884"/>
      <c r="B51" s="1884"/>
      <c r="C51" s="1884"/>
      <c r="D51" s="1884"/>
      <c r="E51" s="1884"/>
      <c r="F51" s="1884"/>
      <c r="G51" s="1884"/>
      <c r="H51" s="1884"/>
    </row>
    <row r="52" spans="1:8">
      <c r="A52" s="1884" t="s">
        <v>1024</v>
      </c>
      <c r="B52" s="1884"/>
      <c r="C52" s="1884"/>
      <c r="D52" s="1884"/>
      <c r="E52" s="1884"/>
      <c r="F52" s="1884"/>
      <c r="G52" s="1884"/>
      <c r="H52" s="1884"/>
    </row>
    <row r="53" spans="1:8">
      <c r="A53" s="1884" t="s">
        <v>1025</v>
      </c>
      <c r="B53" s="1884"/>
      <c r="C53" s="1884"/>
      <c r="D53" s="1884"/>
      <c r="E53" s="1884"/>
      <c r="F53" s="1884"/>
      <c r="G53" s="1884"/>
      <c r="H53" s="1884"/>
    </row>
    <row r="54" spans="1:8">
      <c r="A54" s="1884" t="s">
        <v>1026</v>
      </c>
      <c r="B54" s="1884"/>
      <c r="C54" s="1884"/>
      <c r="D54" s="1884"/>
      <c r="E54" s="1884"/>
      <c r="F54" s="1884"/>
      <c r="G54" s="1884"/>
      <c r="H54" s="1884"/>
    </row>
    <row r="55" spans="1:8">
      <c r="A55" s="1884" t="s">
        <v>1027</v>
      </c>
      <c r="B55" s="1884"/>
      <c r="C55" s="1884"/>
      <c r="D55" s="1884"/>
      <c r="E55" s="1884"/>
      <c r="F55" s="1884"/>
      <c r="G55" s="1884"/>
      <c r="H55" s="1884"/>
    </row>
    <row r="56" spans="1:8">
      <c r="A56" s="1884"/>
      <c r="B56" s="1884"/>
      <c r="C56" s="1884"/>
      <c r="D56" s="1884"/>
      <c r="E56" s="1884"/>
      <c r="F56" s="1884"/>
      <c r="G56" s="1884"/>
      <c r="H56" s="1884"/>
    </row>
    <row r="57" spans="1:8">
      <c r="A57" s="1884" t="s">
        <v>1028</v>
      </c>
      <c r="B57" s="1884"/>
      <c r="C57" s="1884"/>
      <c r="D57" s="1884"/>
      <c r="E57" s="1884"/>
      <c r="F57" s="1884"/>
      <c r="G57" s="1884"/>
      <c r="H57" s="1884"/>
    </row>
    <row r="58" spans="1:8">
      <c r="A58" s="1884" t="s">
        <v>1029</v>
      </c>
      <c r="B58" s="1884"/>
      <c r="C58" s="1884"/>
      <c r="D58" s="1884"/>
      <c r="E58" s="1884"/>
      <c r="F58" s="1884"/>
      <c r="G58" s="1884"/>
      <c r="H58" s="1884"/>
    </row>
    <row r="59" spans="1:8">
      <c r="A59" s="1884" t="s">
        <v>1030</v>
      </c>
      <c r="B59" s="1884"/>
      <c r="C59" s="1884"/>
      <c r="D59" s="1884"/>
      <c r="E59" s="1884"/>
      <c r="F59" s="1884"/>
      <c r="G59" s="1884"/>
      <c r="H59" s="1884"/>
    </row>
    <row r="60" spans="1:8">
      <c r="A60" s="1884" t="s">
        <v>1031</v>
      </c>
      <c r="B60" s="1884"/>
      <c r="C60" s="1884"/>
      <c r="D60" s="1884"/>
      <c r="E60" s="1884"/>
      <c r="F60" s="1884"/>
      <c r="G60" s="1884"/>
      <c r="H60" s="1884"/>
    </row>
    <row r="61" spans="1:8">
      <c r="A61" s="1884" t="s">
        <v>1032</v>
      </c>
      <c r="B61" s="1884"/>
      <c r="C61" s="1884"/>
      <c r="D61" s="1884"/>
      <c r="E61" s="1884"/>
      <c r="F61" s="1884"/>
      <c r="G61" s="1884"/>
      <c r="H61" s="1884"/>
    </row>
    <row r="62" spans="1:8">
      <c r="A62" s="1884" t="s">
        <v>1033</v>
      </c>
      <c r="B62" s="1884"/>
      <c r="C62" s="1884"/>
      <c r="D62" s="1884"/>
      <c r="E62" s="1884"/>
      <c r="F62" s="1884"/>
      <c r="G62" s="1884"/>
      <c r="H62" s="1884"/>
    </row>
    <row r="63" spans="1:8">
      <c r="A63" s="1884"/>
      <c r="B63" s="1884"/>
      <c r="C63" s="1884"/>
      <c r="D63" s="1884"/>
      <c r="E63" s="1884"/>
      <c r="F63" s="1884"/>
      <c r="G63" s="1884"/>
      <c r="H63" s="1884"/>
    </row>
    <row r="64" spans="1:8" ht="15.6">
      <c r="A64" s="1885" t="s">
        <v>673</v>
      </c>
      <c r="B64" s="1884"/>
      <c r="C64" s="1884"/>
      <c r="D64" s="1884"/>
      <c r="E64" s="1884"/>
      <c r="F64" s="1884"/>
      <c r="G64" s="1884"/>
      <c r="H64" s="1884"/>
    </row>
    <row r="65" spans="1:8">
      <c r="A65" s="1884"/>
      <c r="B65" s="1884"/>
      <c r="C65" s="1884"/>
      <c r="D65" s="1884"/>
      <c r="E65" s="1884"/>
      <c r="F65" s="1884"/>
      <c r="G65" s="1884"/>
      <c r="H65" s="1884"/>
    </row>
    <row r="66" spans="1:8">
      <c r="A66" s="1884" t="s">
        <v>1034</v>
      </c>
      <c r="B66" s="1884"/>
      <c r="C66" s="1884"/>
      <c r="D66" s="1884"/>
      <c r="E66" s="1884"/>
      <c r="F66" s="1884"/>
      <c r="G66" s="1884"/>
      <c r="H66" s="1884"/>
    </row>
    <row r="67" spans="1:8">
      <c r="A67" s="1884" t="s">
        <v>1035</v>
      </c>
      <c r="B67" s="1884"/>
      <c r="C67" s="1884"/>
      <c r="D67" s="1884"/>
      <c r="E67" s="1884"/>
      <c r="F67" s="1884"/>
      <c r="G67" s="1884"/>
      <c r="H67" s="1884"/>
    </row>
    <row r="68" spans="1:8">
      <c r="A68" s="1884" t="s">
        <v>1036</v>
      </c>
      <c r="B68" s="1884"/>
      <c r="C68" s="1884"/>
      <c r="D68" s="1884"/>
      <c r="E68" s="1884"/>
      <c r="F68" s="1884"/>
      <c r="G68" s="1884"/>
      <c r="H68" s="1884"/>
    </row>
    <row r="69" spans="1:8">
      <c r="A69" s="1884" t="s">
        <v>1037</v>
      </c>
      <c r="B69" s="1884"/>
      <c r="C69" s="1884"/>
      <c r="D69" s="1884"/>
      <c r="E69" s="1884"/>
      <c r="F69" s="1884"/>
      <c r="G69" s="1884"/>
      <c r="H69" s="1884"/>
    </row>
    <row r="70" spans="1:8">
      <c r="A70" s="1884"/>
      <c r="B70" s="1884"/>
      <c r="C70" s="1884"/>
      <c r="D70" s="1884"/>
      <c r="E70" s="1884"/>
      <c r="F70" s="1884"/>
      <c r="G70" s="1884"/>
      <c r="H70" s="1884"/>
    </row>
    <row r="71" spans="1:8">
      <c r="A71" s="1884" t="s">
        <v>679</v>
      </c>
      <c r="B71" s="1884"/>
      <c r="C71" s="1884"/>
      <c r="D71" s="1884"/>
      <c r="E71" s="1884"/>
      <c r="F71" s="1884"/>
      <c r="G71" s="1884"/>
      <c r="H71" s="1884"/>
    </row>
    <row r="72" spans="1:8">
      <c r="A72" s="1884"/>
      <c r="B72" s="1884"/>
      <c r="C72" s="1884"/>
      <c r="D72" s="1884"/>
      <c r="E72" s="1884"/>
      <c r="F72" s="1884"/>
      <c r="G72" s="1884"/>
      <c r="H72" s="1884"/>
    </row>
    <row r="73" spans="1:8" ht="15.6">
      <c r="A73" s="1885" t="s">
        <v>674</v>
      </c>
      <c r="B73" s="1884"/>
      <c r="C73" s="1884"/>
      <c r="D73" s="1884"/>
      <c r="E73" s="1884"/>
      <c r="F73" s="1884"/>
      <c r="G73" s="1884"/>
      <c r="H73" s="1884"/>
    </row>
    <row r="74" spans="1:8">
      <c r="A74" s="1884"/>
      <c r="B74" s="1884"/>
      <c r="C74" s="1884"/>
      <c r="D74" s="1884"/>
      <c r="E74" s="1884"/>
      <c r="F74" s="1884"/>
      <c r="G74" s="1884"/>
      <c r="H74" s="1884"/>
    </row>
    <row r="75" spans="1:8">
      <c r="A75" s="1884" t="s">
        <v>1038</v>
      </c>
      <c r="B75" s="1884"/>
      <c r="C75" s="1884"/>
      <c r="D75" s="1884"/>
      <c r="E75" s="1884"/>
      <c r="F75" s="1884"/>
      <c r="G75" s="1884"/>
      <c r="H75" s="1884"/>
    </row>
    <row r="76" spans="1:8">
      <c r="A76" s="1884" t="s">
        <v>1039</v>
      </c>
      <c r="B76" s="1884"/>
      <c r="C76" s="1884"/>
      <c r="D76" s="1884"/>
      <c r="E76" s="1884"/>
      <c r="F76" s="1884"/>
      <c r="G76" s="1884"/>
      <c r="H76" s="1884"/>
    </row>
    <row r="77" spans="1:8">
      <c r="A77" s="1884" t="s">
        <v>1040</v>
      </c>
      <c r="B77" s="1884"/>
      <c r="C77" s="1884"/>
      <c r="D77" s="1884"/>
      <c r="E77" s="1884"/>
      <c r="F77" s="1884"/>
      <c r="G77" s="1884"/>
      <c r="H77" s="1884"/>
    </row>
    <row r="78" spans="1:8">
      <c r="A78" s="1884"/>
      <c r="B78" s="1884"/>
      <c r="C78" s="1884"/>
      <c r="D78" s="1884"/>
      <c r="E78" s="1884"/>
      <c r="F78" s="1884"/>
      <c r="G78" s="1884"/>
      <c r="H78" s="1884"/>
    </row>
    <row r="79" spans="1:8" ht="15.6">
      <c r="A79" s="1885" t="s">
        <v>1041</v>
      </c>
      <c r="B79" s="1884"/>
      <c r="C79" s="1884"/>
      <c r="D79" s="1884"/>
      <c r="E79" s="1884"/>
      <c r="F79" s="1884"/>
      <c r="G79" s="1884"/>
      <c r="H79" s="1884"/>
    </row>
    <row r="80" spans="1:8">
      <c r="A80" s="1884"/>
      <c r="B80" s="1884"/>
      <c r="C80" s="1884"/>
      <c r="D80" s="1884"/>
      <c r="E80" s="1884"/>
      <c r="F80" s="1884"/>
      <c r="G80" s="1884"/>
      <c r="H80" s="1884"/>
    </row>
    <row r="81" spans="1:8">
      <c r="A81" s="1884" t="s">
        <v>1042</v>
      </c>
      <c r="B81" s="1884"/>
      <c r="C81" s="1884"/>
      <c r="D81" s="1884"/>
      <c r="E81" s="1884"/>
      <c r="F81" s="1884"/>
      <c r="G81" s="1884"/>
      <c r="H81" s="1884"/>
    </row>
    <row r="82" spans="1:8">
      <c r="A82" s="1884" t="s">
        <v>1043</v>
      </c>
      <c r="B82" s="1884"/>
      <c r="C82" s="1884"/>
      <c r="D82" s="1884"/>
      <c r="E82" s="1884"/>
      <c r="F82" s="1884"/>
      <c r="G82" s="1884"/>
      <c r="H82" s="1884"/>
    </row>
    <row r="83" spans="1:8">
      <c r="A83" s="1884"/>
      <c r="B83" s="1884"/>
      <c r="C83" s="1884"/>
      <c r="D83" s="1884"/>
      <c r="E83" s="1884"/>
      <c r="F83" s="1884"/>
      <c r="G83" s="1884"/>
      <c r="H83" s="1884"/>
    </row>
    <row r="84" spans="1:8">
      <c r="A84" s="1884" t="s">
        <v>1044</v>
      </c>
      <c r="B84" s="1884"/>
      <c r="C84" s="1884"/>
      <c r="D84" s="1884"/>
      <c r="E84" s="1884"/>
      <c r="F84" s="1884"/>
      <c r="G84" s="1884"/>
      <c r="H84" s="1884"/>
    </row>
    <row r="85" spans="1:8">
      <c r="A85" s="1884" t="s">
        <v>1045</v>
      </c>
      <c r="B85" s="1884"/>
      <c r="C85" s="1884"/>
      <c r="D85" s="1884"/>
      <c r="E85" s="1884"/>
      <c r="F85" s="1884"/>
      <c r="G85" s="1884"/>
      <c r="H85" s="1884"/>
    </row>
    <row r="86" spans="1:8">
      <c r="A86" s="1884" t="s">
        <v>1046</v>
      </c>
      <c r="B86" s="1884"/>
      <c r="C86" s="1884"/>
      <c r="D86" s="1884"/>
      <c r="E86" s="1884"/>
      <c r="F86" s="1884"/>
      <c r="G86" s="1884"/>
      <c r="H86" s="1884"/>
    </row>
    <row r="87" spans="1:8">
      <c r="A87" s="1884" t="s">
        <v>1047</v>
      </c>
      <c r="B87" s="1884"/>
      <c r="C87" s="1884"/>
      <c r="D87" s="1884"/>
      <c r="E87" s="1884"/>
      <c r="F87" s="1884"/>
      <c r="G87" s="1884"/>
      <c r="H87" s="1884"/>
    </row>
    <row r="88" spans="1:8">
      <c r="A88" s="1884" t="s">
        <v>1048</v>
      </c>
      <c r="B88" s="1884"/>
      <c r="C88" s="1884"/>
      <c r="D88" s="1884"/>
      <c r="E88" s="1884"/>
      <c r="F88" s="1884"/>
      <c r="G88" s="1884"/>
      <c r="H88" s="1884"/>
    </row>
    <row r="89" spans="1:8">
      <c r="A89" s="1884" t="s">
        <v>1049</v>
      </c>
      <c r="B89" s="1884"/>
      <c r="C89" s="1884"/>
      <c r="D89" s="1884"/>
      <c r="E89" s="1884"/>
      <c r="F89" s="1884"/>
      <c r="G89" s="1884"/>
      <c r="H89" s="1884"/>
    </row>
    <row r="90" spans="1:8">
      <c r="A90" s="1884"/>
      <c r="B90" s="1884"/>
      <c r="C90" s="1884"/>
      <c r="D90" s="1884"/>
      <c r="E90" s="1884"/>
      <c r="F90" s="1884"/>
      <c r="G90" s="1884"/>
      <c r="H90" s="1884"/>
    </row>
    <row r="91" spans="1:8">
      <c r="A91" s="1884" t="s">
        <v>1050</v>
      </c>
      <c r="B91" s="1884"/>
      <c r="C91" s="1884"/>
      <c r="D91" s="1884"/>
      <c r="E91" s="1884"/>
      <c r="F91" s="1884"/>
      <c r="G91" s="1884"/>
      <c r="H91" s="1884"/>
    </row>
    <row r="92" spans="1:8">
      <c r="A92" s="1884" t="s">
        <v>1051</v>
      </c>
      <c r="B92" s="1884"/>
      <c r="C92" s="1884"/>
      <c r="D92" s="1884"/>
      <c r="E92" s="1884"/>
      <c r="F92" s="1884"/>
      <c r="G92" s="1884"/>
      <c r="H92" s="1884"/>
    </row>
    <row r="93" spans="1:8">
      <c r="A93" s="1884" t="s">
        <v>1052</v>
      </c>
      <c r="B93" s="1884"/>
      <c r="C93" s="1884"/>
      <c r="D93" s="1884"/>
      <c r="E93" s="1884"/>
      <c r="F93" s="1884"/>
      <c r="G93" s="1884"/>
      <c r="H93" s="1884"/>
    </row>
    <row r="94" spans="1:8">
      <c r="A94" s="1884" t="s">
        <v>1053</v>
      </c>
      <c r="B94" s="1884"/>
      <c r="C94" s="1884"/>
      <c r="D94" s="1884"/>
      <c r="E94" s="1884"/>
      <c r="F94" s="1884"/>
      <c r="G94" s="1884"/>
      <c r="H94" s="1884"/>
    </row>
    <row r="95" spans="1:8">
      <c r="A95" s="1884" t="s">
        <v>1054</v>
      </c>
      <c r="B95" s="1884"/>
      <c r="C95" s="1884"/>
      <c r="D95" s="1884"/>
      <c r="E95" s="1884"/>
      <c r="F95" s="1884"/>
      <c r="G95" s="1884"/>
      <c r="H95" s="1884"/>
    </row>
    <row r="96" spans="1:8">
      <c r="A96" s="1884" t="s">
        <v>1055</v>
      </c>
      <c r="B96" s="1884"/>
      <c r="C96" s="1884"/>
      <c r="D96" s="1884"/>
      <c r="E96" s="1884"/>
      <c r="F96" s="1884"/>
      <c r="G96" s="1884"/>
      <c r="H96" s="1884"/>
    </row>
    <row r="97" spans="1:8">
      <c r="A97" s="1884" t="s">
        <v>1056</v>
      </c>
      <c r="B97" s="1884"/>
      <c r="C97" s="1884"/>
      <c r="D97" s="1884"/>
      <c r="E97" s="1884"/>
      <c r="F97" s="1884"/>
      <c r="G97" s="1884"/>
      <c r="H97" s="1884"/>
    </row>
    <row r="98" spans="1:8">
      <c r="A98" s="1884"/>
      <c r="B98" s="1884"/>
      <c r="C98" s="1884"/>
      <c r="D98" s="1884"/>
      <c r="E98" s="1884"/>
      <c r="F98" s="1884"/>
      <c r="G98" s="1884"/>
      <c r="H98" s="1884"/>
    </row>
    <row r="99" spans="1:8">
      <c r="A99" s="1884" t="s">
        <v>1057</v>
      </c>
      <c r="B99" s="1884"/>
      <c r="C99" s="1884"/>
      <c r="D99" s="1884"/>
      <c r="E99" s="1884"/>
      <c r="F99" s="1884"/>
      <c r="G99" s="1884"/>
      <c r="H99" s="1884"/>
    </row>
    <row r="100" spans="1:8">
      <c r="A100" s="1884" t="s">
        <v>1058</v>
      </c>
      <c r="B100" s="1884"/>
      <c r="C100" s="1884"/>
      <c r="D100" s="1884"/>
      <c r="E100" s="1884"/>
      <c r="F100" s="1884"/>
      <c r="G100" s="1884"/>
      <c r="H100" s="1884"/>
    </row>
    <row r="101" spans="1:8">
      <c r="A101" s="1884"/>
      <c r="B101" s="1884"/>
      <c r="C101" s="1884"/>
      <c r="D101" s="1884"/>
      <c r="E101" s="1884"/>
      <c r="F101" s="1884"/>
      <c r="G101" s="1884"/>
      <c r="H101" s="1884"/>
    </row>
    <row r="102" spans="1:8" ht="15.6">
      <c r="A102" s="1885" t="s">
        <v>675</v>
      </c>
      <c r="B102" s="1884"/>
      <c r="C102" s="1884"/>
      <c r="D102" s="1884"/>
      <c r="E102" s="1884"/>
      <c r="F102" s="1884"/>
      <c r="G102" s="1884"/>
      <c r="H102" s="1884"/>
    </row>
    <row r="103" spans="1:8">
      <c r="A103" s="1884"/>
      <c r="B103" s="1884"/>
      <c r="C103" s="1884"/>
      <c r="D103" s="1884"/>
      <c r="E103" s="1884"/>
      <c r="F103" s="1884"/>
      <c r="G103" s="1884"/>
      <c r="H103" s="1884"/>
    </row>
    <row r="104" spans="1:8">
      <c r="A104" s="1884" t="s">
        <v>1059</v>
      </c>
      <c r="B104" s="1884"/>
      <c r="C104" s="1884"/>
      <c r="D104" s="1884"/>
      <c r="E104" s="1884"/>
      <c r="F104" s="1884"/>
      <c r="G104" s="1884"/>
      <c r="H104" s="1884"/>
    </row>
    <row r="105" spans="1:8">
      <c r="A105" s="1884" t="s">
        <v>1060</v>
      </c>
      <c r="B105" s="1884"/>
      <c r="C105" s="1884"/>
      <c r="D105" s="1884"/>
      <c r="E105" s="1884"/>
      <c r="F105" s="1884"/>
      <c r="G105" s="1884"/>
      <c r="H105" s="1884"/>
    </row>
    <row r="106" spans="1:8">
      <c r="A106" s="1884" t="s">
        <v>1061</v>
      </c>
      <c r="B106" s="1884"/>
      <c r="C106" s="1884"/>
      <c r="D106" s="1884"/>
      <c r="E106" s="1884"/>
      <c r="F106" s="1884"/>
      <c r="G106" s="1884"/>
      <c r="H106" s="1884"/>
    </row>
    <row r="107" spans="1:8">
      <c r="A107" s="1884" t="s">
        <v>1062</v>
      </c>
      <c r="B107" s="1884"/>
      <c r="C107" s="1884"/>
      <c r="D107" s="1884"/>
      <c r="E107" s="1884"/>
      <c r="F107" s="1884"/>
      <c r="G107" s="1884"/>
      <c r="H107" s="1884"/>
    </row>
    <row r="108" spans="1:8">
      <c r="A108" s="1884" t="s">
        <v>1063</v>
      </c>
      <c r="B108" s="1884"/>
      <c r="C108" s="1884"/>
      <c r="D108" s="1884"/>
      <c r="E108" s="1884"/>
      <c r="F108" s="1884"/>
      <c r="G108" s="1884"/>
      <c r="H108" s="1884"/>
    </row>
    <row r="109" spans="1:8">
      <c r="A109" s="1884" t="s">
        <v>1064</v>
      </c>
      <c r="B109" s="1884"/>
      <c r="C109" s="1884"/>
      <c r="D109" s="1884"/>
      <c r="E109" s="1884"/>
      <c r="F109" s="1884"/>
      <c r="G109" s="1884"/>
      <c r="H109" s="1884"/>
    </row>
    <row r="110" spans="1:8">
      <c r="A110" s="1884" t="s">
        <v>1065</v>
      </c>
      <c r="B110" s="1884"/>
      <c r="C110" s="1884"/>
      <c r="D110" s="1884"/>
      <c r="E110" s="1884"/>
      <c r="F110" s="1884"/>
      <c r="G110" s="1884"/>
      <c r="H110" s="1884"/>
    </row>
    <row r="111" spans="1:8">
      <c r="A111" s="1884" t="s">
        <v>1066</v>
      </c>
      <c r="B111" s="1884"/>
      <c r="C111" s="1884"/>
      <c r="D111" s="1884"/>
      <c r="E111" s="1884"/>
      <c r="F111" s="1884"/>
      <c r="G111" s="1884"/>
      <c r="H111" s="1884"/>
    </row>
    <row r="112" spans="1:8">
      <c r="A112" s="1884" t="s">
        <v>1067</v>
      </c>
      <c r="B112" s="1884"/>
      <c r="C112" s="1884"/>
      <c r="D112" s="1884"/>
      <c r="E112" s="1884"/>
      <c r="F112" s="1884"/>
      <c r="G112" s="1884"/>
      <c r="H112" s="1884"/>
    </row>
    <row r="113" spans="1:8">
      <c r="A113" s="1884"/>
      <c r="B113" s="1884"/>
      <c r="C113" s="1884"/>
      <c r="D113" s="1884"/>
      <c r="E113" s="1884"/>
      <c r="F113" s="1884"/>
      <c r="G113" s="1884"/>
      <c r="H113" s="1884"/>
    </row>
    <row r="114" spans="1:8" ht="15.6">
      <c r="A114" s="1885" t="s">
        <v>676</v>
      </c>
      <c r="B114" s="1884"/>
      <c r="C114" s="1884"/>
      <c r="D114" s="1884"/>
      <c r="E114" s="1884"/>
      <c r="F114" s="1884"/>
      <c r="G114" s="1884"/>
      <c r="H114" s="1884"/>
    </row>
    <row r="115" spans="1:8">
      <c r="A115" s="1884"/>
      <c r="B115" s="1884"/>
      <c r="C115" s="1884"/>
      <c r="D115" s="1884"/>
      <c r="E115" s="1884"/>
      <c r="F115" s="1884"/>
      <c r="G115" s="1884"/>
      <c r="H115" s="1884"/>
    </row>
    <row r="116" spans="1:8">
      <c r="A116" s="1884" t="s">
        <v>1068</v>
      </c>
      <c r="B116" s="1884"/>
      <c r="C116" s="1884"/>
      <c r="D116" s="1884"/>
      <c r="E116" s="1884"/>
      <c r="F116" s="1884"/>
      <c r="G116" s="1884"/>
      <c r="H116" s="1884"/>
    </row>
    <row r="117" spans="1:8">
      <c r="A117" s="1884"/>
      <c r="B117" s="1884"/>
      <c r="C117" s="1884"/>
      <c r="D117" s="1884"/>
      <c r="E117" s="1884"/>
      <c r="F117" s="1884"/>
      <c r="G117" s="1884"/>
      <c r="H117" s="1884"/>
    </row>
    <row r="118" spans="1:8">
      <c r="A118" s="1884" t="s">
        <v>1069</v>
      </c>
      <c r="B118" s="1884"/>
      <c r="C118" s="1884"/>
      <c r="D118" s="1884"/>
      <c r="E118" s="1884"/>
      <c r="F118" s="1884"/>
      <c r="G118" s="1884"/>
      <c r="H118" s="1884"/>
    </row>
    <row r="119" spans="1:8">
      <c r="A119" s="1884" t="s">
        <v>1070</v>
      </c>
      <c r="B119" s="1884"/>
      <c r="C119" s="1884"/>
      <c r="D119" s="1884"/>
      <c r="E119" s="1884"/>
      <c r="F119" s="1884"/>
      <c r="G119" s="1884"/>
      <c r="H119" s="1884"/>
    </row>
    <row r="120" spans="1:8">
      <c r="A120" s="1884"/>
      <c r="B120" s="1884"/>
      <c r="C120" s="1884"/>
      <c r="D120" s="1884"/>
      <c r="E120" s="1884"/>
      <c r="F120" s="1884"/>
      <c r="G120" s="1884"/>
      <c r="H120" s="1884"/>
    </row>
    <row r="121" spans="1:8">
      <c r="A121" s="1884" t="s">
        <v>1071</v>
      </c>
      <c r="B121" s="1884"/>
      <c r="C121" s="1884"/>
      <c r="D121" s="1884"/>
      <c r="E121" s="1884"/>
      <c r="F121" s="1884"/>
      <c r="G121" s="1884"/>
      <c r="H121" s="1884"/>
    </row>
    <row r="122" spans="1:8">
      <c r="A122" s="1884" t="s">
        <v>1072</v>
      </c>
      <c r="B122" s="1884"/>
      <c r="C122" s="1884"/>
      <c r="D122" s="1884"/>
      <c r="E122" s="1884"/>
      <c r="F122" s="1884"/>
      <c r="G122" s="1884"/>
      <c r="H122" s="1884"/>
    </row>
    <row r="123" spans="1:8">
      <c r="A123" s="1884" t="s">
        <v>1073</v>
      </c>
      <c r="B123" s="1884"/>
      <c r="C123" s="1884"/>
      <c r="D123" s="1884"/>
      <c r="E123" s="1884"/>
      <c r="F123" s="1884"/>
      <c r="G123" s="1884"/>
      <c r="H123" s="1884"/>
    </row>
    <row r="124" spans="1:8">
      <c r="A124" s="1884" t="s">
        <v>1074</v>
      </c>
      <c r="B124" s="1884"/>
      <c r="C124" s="1884"/>
      <c r="D124" s="1884"/>
      <c r="E124" s="1884"/>
      <c r="F124" s="1884"/>
      <c r="G124" s="1884"/>
      <c r="H124" s="1884"/>
    </row>
    <row r="125" spans="1:8">
      <c r="A125" s="1884" t="s">
        <v>1075</v>
      </c>
      <c r="B125" s="1884"/>
      <c r="C125" s="1884"/>
      <c r="D125" s="1884"/>
      <c r="E125" s="1884"/>
      <c r="F125" s="1884"/>
      <c r="G125" s="1884"/>
      <c r="H125" s="1884"/>
    </row>
    <row r="126" spans="1:8">
      <c r="A126" s="1884" t="s">
        <v>1076</v>
      </c>
      <c r="B126" s="1884"/>
      <c r="C126" s="1884"/>
      <c r="D126" s="1884"/>
      <c r="E126" s="1884"/>
      <c r="F126" s="1884"/>
      <c r="G126" s="1884"/>
      <c r="H126" s="1884"/>
    </row>
    <row r="127" spans="1:8">
      <c r="A127" s="1884" t="s">
        <v>1077</v>
      </c>
      <c r="B127" s="1884"/>
      <c r="C127" s="1884"/>
      <c r="D127" s="1884"/>
      <c r="E127" s="1884"/>
      <c r="F127" s="1884"/>
      <c r="G127" s="1884"/>
      <c r="H127" s="1884"/>
    </row>
    <row r="128" spans="1:8">
      <c r="A128" s="1884"/>
      <c r="B128" s="1884"/>
      <c r="C128" s="1884"/>
      <c r="D128" s="1884"/>
      <c r="E128" s="1884"/>
      <c r="F128" s="1884"/>
      <c r="G128" s="1884"/>
      <c r="H128" s="1884"/>
    </row>
    <row r="129" spans="1:8">
      <c r="A129" s="1886"/>
      <c r="B129" s="1887" t="s">
        <v>1078</v>
      </c>
      <c r="C129" s="1887"/>
      <c r="D129" s="1887" t="s">
        <v>1079</v>
      </c>
      <c r="E129" s="1887"/>
      <c r="F129" s="1887"/>
      <c r="G129" s="1887" t="s">
        <v>1080</v>
      </c>
      <c r="H129" s="1887"/>
    </row>
    <row r="130" spans="1:8">
      <c r="A130" s="1886" t="s">
        <v>1081</v>
      </c>
      <c r="B130" s="1886" t="s">
        <v>1082</v>
      </c>
      <c r="C130" s="1886" t="s">
        <v>1083</v>
      </c>
      <c r="D130" s="1886" t="s">
        <v>1082</v>
      </c>
      <c r="E130" s="1886" t="s">
        <v>1084</v>
      </c>
      <c r="F130" s="1886" t="s">
        <v>1085</v>
      </c>
      <c r="G130" s="1886" t="s">
        <v>1082</v>
      </c>
      <c r="H130" s="1886" t="s">
        <v>1086</v>
      </c>
    </row>
    <row r="131" spans="1:8">
      <c r="A131" s="1886" t="s">
        <v>1087</v>
      </c>
      <c r="B131" s="1886">
        <v>1520</v>
      </c>
      <c r="C131" s="1886">
        <v>0.41</v>
      </c>
      <c r="D131" s="1886">
        <v>425</v>
      </c>
      <c r="E131" s="1886">
        <v>0.48</v>
      </c>
      <c r="F131" s="1886">
        <v>0.28000000000000003</v>
      </c>
      <c r="G131" s="1886">
        <v>685</v>
      </c>
      <c r="H131" s="1886">
        <v>0.42</v>
      </c>
    </row>
    <row r="132" spans="1:8">
      <c r="A132" s="1886" t="s">
        <v>1088</v>
      </c>
      <c r="B132" s="1886">
        <v>1579</v>
      </c>
      <c r="C132" s="1886">
        <v>0.43</v>
      </c>
      <c r="D132" s="1886">
        <v>375</v>
      </c>
      <c r="E132" s="1886">
        <v>0.42</v>
      </c>
      <c r="F132" s="1886">
        <v>0.24</v>
      </c>
      <c r="G132" s="1886">
        <v>713</v>
      </c>
      <c r="H132" s="1886">
        <v>0.44</v>
      </c>
    </row>
    <row r="133" spans="1:8">
      <c r="A133" s="1886" t="s">
        <v>1089</v>
      </c>
      <c r="B133" s="1886">
        <v>4</v>
      </c>
      <c r="C133" s="1886">
        <v>0</v>
      </c>
      <c r="D133" s="1886">
        <v>1</v>
      </c>
      <c r="E133" s="1886">
        <v>0</v>
      </c>
      <c r="F133" s="1886">
        <v>0.25</v>
      </c>
      <c r="G133" s="1886">
        <v>1</v>
      </c>
      <c r="H133" s="1886">
        <v>0</v>
      </c>
    </row>
    <row r="134" spans="1:8">
      <c r="A134" s="1886" t="s">
        <v>1090</v>
      </c>
      <c r="B134" s="1886">
        <v>592</v>
      </c>
      <c r="C134" s="1886">
        <v>0.16</v>
      </c>
      <c r="D134" s="1886">
        <v>89</v>
      </c>
      <c r="E134" s="1886">
        <v>0.1</v>
      </c>
      <c r="F134" s="1886">
        <v>0.15</v>
      </c>
      <c r="G134" s="1886">
        <v>232</v>
      </c>
      <c r="H134" s="1886">
        <v>0.14000000000000001</v>
      </c>
    </row>
    <row r="135" spans="1:8">
      <c r="A135" s="1886" t="s">
        <v>219</v>
      </c>
      <c r="B135" s="1886">
        <v>3695</v>
      </c>
      <c r="C135" s="1886"/>
      <c r="D135" s="1886">
        <v>890</v>
      </c>
      <c r="E135" s="1886"/>
      <c r="F135" s="1886"/>
      <c r="G135" s="1886">
        <v>1631</v>
      </c>
      <c r="H135" s="1886"/>
    </row>
    <row r="136" spans="1:8">
      <c r="A136" s="1884"/>
      <c r="B136" s="1884"/>
      <c r="C136" s="1884"/>
      <c r="D136" s="1884"/>
      <c r="E136" s="1884"/>
      <c r="F136" s="1884"/>
      <c r="G136" s="1884"/>
      <c r="H136" s="1884"/>
    </row>
    <row r="137" spans="1:8">
      <c r="A137" s="1884" t="s">
        <v>1091</v>
      </c>
      <c r="B137" s="1884"/>
      <c r="C137" s="1884"/>
      <c r="D137" s="1884"/>
      <c r="E137" s="1884"/>
      <c r="F137" s="1884"/>
      <c r="G137" s="1884"/>
      <c r="H137" s="1884"/>
    </row>
    <row r="138" spans="1:8">
      <c r="A138" s="1884" t="s">
        <v>1092</v>
      </c>
      <c r="B138" s="1884"/>
      <c r="C138" s="1884"/>
      <c r="D138" s="1884"/>
      <c r="E138" s="1884"/>
      <c r="F138" s="1884"/>
      <c r="G138" s="1884"/>
      <c r="H138" s="1884"/>
    </row>
    <row r="139" spans="1:8">
      <c r="A139" s="1884" t="s">
        <v>1093</v>
      </c>
      <c r="B139" s="1884"/>
      <c r="C139" s="1884"/>
      <c r="D139" s="1884"/>
      <c r="E139" s="1884"/>
      <c r="F139" s="1884"/>
      <c r="G139" s="1884"/>
      <c r="H139" s="1884"/>
    </row>
    <row r="140" spans="1:8">
      <c r="A140" s="1884" t="s">
        <v>1094</v>
      </c>
      <c r="B140" s="1884"/>
      <c r="C140" s="1884"/>
      <c r="D140" s="1884"/>
      <c r="E140" s="1884"/>
      <c r="F140" s="1884"/>
      <c r="G140" s="1884"/>
      <c r="H140" s="1884"/>
    </row>
    <row r="141" spans="1:8">
      <c r="A141" s="1884"/>
      <c r="B141" s="1884"/>
      <c r="C141" s="1884"/>
      <c r="D141" s="1884"/>
      <c r="E141" s="1884"/>
      <c r="F141" s="1884"/>
      <c r="G141" s="1884"/>
      <c r="H141" s="1884"/>
    </row>
    <row r="142" spans="1:8" ht="15.6">
      <c r="A142" s="1885" t="s">
        <v>677</v>
      </c>
      <c r="B142" s="1884"/>
      <c r="C142" s="1884"/>
      <c r="D142" s="1884"/>
      <c r="E142" s="1884"/>
      <c r="F142" s="1884"/>
      <c r="G142" s="1884"/>
      <c r="H142" s="1884"/>
    </row>
    <row r="143" spans="1:8">
      <c r="A143" s="1884"/>
      <c r="B143" s="1884"/>
      <c r="C143" s="1884"/>
      <c r="D143" s="1884"/>
      <c r="E143" s="1884"/>
      <c r="F143" s="1884"/>
      <c r="G143" s="1884"/>
      <c r="H143" s="1884"/>
    </row>
    <row r="144" spans="1:8">
      <c r="A144" s="1884" t="s">
        <v>1095</v>
      </c>
      <c r="B144" s="1884"/>
      <c r="C144" s="1884"/>
      <c r="D144" s="1884"/>
      <c r="E144" s="1884"/>
      <c r="F144" s="1884"/>
      <c r="G144" s="1884"/>
      <c r="H144" s="1884"/>
    </row>
    <row r="145" spans="1:8">
      <c r="A145" s="1884" t="s">
        <v>1096</v>
      </c>
      <c r="B145" s="1884"/>
      <c r="C145" s="1884"/>
      <c r="D145" s="1884"/>
      <c r="E145" s="1884"/>
      <c r="F145" s="1884"/>
      <c r="G145" s="1884"/>
      <c r="H145" s="1884"/>
    </row>
    <row r="146" spans="1:8">
      <c r="A146" s="1884"/>
      <c r="B146" s="1884"/>
      <c r="C146" s="1884"/>
      <c r="D146" s="1884"/>
      <c r="E146" s="1884"/>
      <c r="F146" s="1884"/>
      <c r="G146" s="1884"/>
      <c r="H146" s="1884"/>
    </row>
    <row r="147" spans="1:8">
      <c r="A147" s="1884" t="s">
        <v>1097</v>
      </c>
      <c r="B147" s="1884"/>
      <c r="C147" s="1884"/>
      <c r="D147" s="1884"/>
      <c r="E147" s="1884"/>
      <c r="F147" s="1884"/>
      <c r="G147" s="1884"/>
      <c r="H147" s="1884"/>
    </row>
    <row r="148" spans="1:8">
      <c r="A148" s="1884" t="s">
        <v>1098</v>
      </c>
      <c r="B148" s="1884"/>
      <c r="C148" s="1884"/>
      <c r="D148" s="1884"/>
      <c r="E148" s="1884"/>
      <c r="F148" s="1884"/>
      <c r="G148" s="1884"/>
      <c r="H148" s="1884"/>
    </row>
    <row r="149" spans="1:8">
      <c r="A149" s="1884" t="s">
        <v>1099</v>
      </c>
      <c r="B149" s="1884"/>
      <c r="C149" s="1884"/>
      <c r="D149" s="1884"/>
      <c r="E149" s="1884"/>
      <c r="F149" s="1884"/>
      <c r="G149" s="1884"/>
      <c r="H149" s="1884"/>
    </row>
    <row r="150" spans="1:8">
      <c r="A150" s="1884"/>
      <c r="B150" s="1884"/>
      <c r="C150" s="1884"/>
      <c r="D150" s="1884"/>
      <c r="E150" s="1884"/>
      <c r="F150" s="1884"/>
      <c r="G150" s="1884"/>
      <c r="H150" s="1884"/>
    </row>
    <row r="151" spans="1:8">
      <c r="A151" s="1884" t="s">
        <v>1100</v>
      </c>
      <c r="B151" s="1884"/>
      <c r="C151" s="1884"/>
      <c r="D151" s="1884"/>
      <c r="E151" s="1884"/>
      <c r="F151" s="1884"/>
      <c r="G151" s="1884"/>
      <c r="H151" s="1884"/>
    </row>
    <row r="152" spans="1:8">
      <c r="A152" s="1884" t="s">
        <v>1101</v>
      </c>
      <c r="B152" s="1884"/>
      <c r="C152" s="1884"/>
      <c r="D152" s="1884"/>
      <c r="E152" s="1884"/>
      <c r="F152" s="1884"/>
      <c r="G152" s="1884"/>
      <c r="H152" s="1884"/>
    </row>
    <row r="153" spans="1:8">
      <c r="A153" s="1884" t="s">
        <v>1102</v>
      </c>
      <c r="B153" s="1884"/>
      <c r="C153" s="1884"/>
      <c r="D153" s="1884"/>
      <c r="E153" s="1884"/>
      <c r="F153" s="1884"/>
      <c r="G153" s="1884"/>
      <c r="H153" s="1884"/>
    </row>
    <row r="154" spans="1:8">
      <c r="A154" s="1884"/>
      <c r="B154" s="1884"/>
      <c r="C154" s="1884"/>
      <c r="D154" s="1884"/>
      <c r="E154" s="1884"/>
      <c r="F154" s="1884"/>
      <c r="G154" s="1884"/>
      <c r="H154" s="1884"/>
    </row>
    <row r="155" spans="1:8">
      <c r="A155" s="1884" t="s">
        <v>1103</v>
      </c>
      <c r="B155" s="1884"/>
      <c r="C155" s="1884"/>
      <c r="D155" s="1884"/>
      <c r="E155" s="1884"/>
      <c r="F155" s="1884"/>
      <c r="G155" s="1884"/>
      <c r="H155" s="1884"/>
    </row>
    <row r="156" spans="1:8">
      <c r="A156" s="1884" t="s">
        <v>1104</v>
      </c>
      <c r="B156" s="1884"/>
      <c r="C156" s="1884"/>
      <c r="D156" s="1884"/>
      <c r="E156" s="1884"/>
      <c r="F156" s="1884"/>
      <c r="G156" s="1884"/>
      <c r="H156" s="1884"/>
    </row>
    <row r="157" spans="1:8">
      <c r="A157" s="1884" t="s">
        <v>1105</v>
      </c>
      <c r="B157" s="1884"/>
      <c r="C157" s="1884"/>
      <c r="D157" s="1884"/>
      <c r="E157" s="1884"/>
      <c r="F157" s="1884"/>
      <c r="G157" s="1884"/>
      <c r="H157" s="1884"/>
    </row>
    <row r="158" spans="1:8">
      <c r="A158" s="1884"/>
      <c r="B158" s="1884"/>
      <c r="C158" s="1884"/>
      <c r="D158" s="1884"/>
      <c r="E158" s="1884"/>
      <c r="F158" s="1884"/>
      <c r="G158" s="1884"/>
      <c r="H158" s="1884"/>
    </row>
    <row r="159" spans="1:8">
      <c r="A159" s="1884" t="s">
        <v>1106</v>
      </c>
      <c r="B159" s="1884"/>
      <c r="C159" s="1884"/>
      <c r="D159" s="1884"/>
      <c r="E159" s="1884"/>
      <c r="F159" s="1884"/>
      <c r="G159" s="1884"/>
      <c r="H159" s="1884"/>
    </row>
    <row r="160" spans="1:8">
      <c r="A160" s="1884" t="s">
        <v>1107</v>
      </c>
      <c r="B160" s="1884"/>
      <c r="C160" s="1884"/>
      <c r="D160" s="1884"/>
      <c r="E160" s="1884"/>
      <c r="F160" s="1884"/>
      <c r="G160" s="1884"/>
      <c r="H160" s="1884"/>
    </row>
    <row r="161" spans="1:8">
      <c r="A161" s="1884"/>
      <c r="B161" s="1884"/>
      <c r="C161" s="1884"/>
      <c r="D161" s="1884"/>
      <c r="E161" s="1884"/>
      <c r="F161" s="1884"/>
      <c r="G161" s="1884"/>
      <c r="H161" s="1884"/>
    </row>
    <row r="162" spans="1:8" ht="15.6">
      <c r="A162" s="1885" t="s">
        <v>678</v>
      </c>
      <c r="B162" s="1884"/>
      <c r="C162" s="1884"/>
      <c r="D162" s="1884"/>
      <c r="E162" s="1884"/>
      <c r="F162" s="1884"/>
      <c r="G162" s="1884"/>
      <c r="H162" s="1884"/>
    </row>
    <row r="163" spans="1:8">
      <c r="A163" s="1884"/>
      <c r="B163" s="1884"/>
      <c r="C163" s="1884"/>
      <c r="D163" s="1884"/>
      <c r="E163" s="1884"/>
      <c r="F163" s="1884"/>
      <c r="G163" s="1884"/>
      <c r="H163" s="1884"/>
    </row>
    <row r="164" spans="1:8">
      <c r="A164" s="1884" t="s">
        <v>1108</v>
      </c>
      <c r="B164" s="1884"/>
      <c r="C164" s="1884"/>
      <c r="D164" s="1884"/>
      <c r="E164" s="1884"/>
      <c r="F164" s="1884"/>
      <c r="G164" s="1884"/>
      <c r="H164" s="1884"/>
    </row>
    <row r="165" spans="1:8">
      <c r="A165" s="1884" t="s">
        <v>1109</v>
      </c>
      <c r="B165" s="1884"/>
      <c r="C165" s="1884"/>
      <c r="D165" s="1884"/>
      <c r="E165" s="1884"/>
      <c r="F165" s="1884"/>
      <c r="G165" s="1884"/>
      <c r="H165" s="1884"/>
    </row>
    <row r="166" spans="1:8">
      <c r="A166" s="1884"/>
      <c r="B166" s="1884"/>
      <c r="C166" s="1884"/>
      <c r="D166" s="1884"/>
      <c r="E166" s="1884"/>
      <c r="F166" s="1884"/>
      <c r="G166" s="1884"/>
      <c r="H166" s="1884"/>
    </row>
    <row r="167" spans="1:8">
      <c r="A167" s="1884" t="s">
        <v>1110</v>
      </c>
      <c r="B167" s="1884"/>
      <c r="C167" s="1884"/>
      <c r="D167" s="1884"/>
      <c r="E167" s="1884"/>
      <c r="F167" s="1884"/>
      <c r="G167" s="1884"/>
      <c r="H167" s="1884"/>
    </row>
    <row r="168" spans="1:8">
      <c r="A168" s="1884" t="s">
        <v>1111</v>
      </c>
      <c r="B168" s="1884"/>
      <c r="C168" s="1884"/>
      <c r="D168" s="1884"/>
      <c r="E168" s="1884"/>
      <c r="F168" s="1884"/>
      <c r="G168" s="1884"/>
      <c r="H168" s="1884"/>
    </row>
    <row r="169" spans="1:8">
      <c r="A169" s="1884"/>
      <c r="B169" s="1884"/>
      <c r="C169" s="1884"/>
      <c r="D169" s="1884"/>
      <c r="E169" s="1884"/>
      <c r="F169" s="1884"/>
      <c r="G169" s="1884"/>
      <c r="H169" s="1884"/>
    </row>
    <row r="170" spans="1:8">
      <c r="A170" s="1884" t="s">
        <v>1112</v>
      </c>
      <c r="B170" s="1884"/>
      <c r="C170" s="1884"/>
      <c r="D170" s="1884"/>
      <c r="E170" s="1884"/>
      <c r="F170" s="1884"/>
      <c r="G170" s="1884"/>
      <c r="H170" s="1884"/>
    </row>
    <row r="171" spans="1:8">
      <c r="A171" s="1884" t="s">
        <v>1113</v>
      </c>
      <c r="B171" s="1884"/>
      <c r="C171" s="1884"/>
      <c r="D171" s="1884"/>
      <c r="E171" s="1884"/>
      <c r="F171" s="1884"/>
      <c r="G171" s="1884"/>
      <c r="H171" s="1884"/>
    </row>
    <row r="172" spans="1:8">
      <c r="A172" s="1884"/>
      <c r="B172" s="1884"/>
      <c r="C172" s="1884"/>
      <c r="D172" s="1884"/>
      <c r="E172" s="1884"/>
      <c r="F172" s="1884"/>
      <c r="G172" s="1884"/>
      <c r="H172" s="1884"/>
    </row>
    <row r="173" spans="1:8">
      <c r="A173" s="1884" t="s">
        <v>1114</v>
      </c>
      <c r="B173" s="1884"/>
      <c r="C173" s="1884"/>
      <c r="D173" s="1884"/>
      <c r="E173" s="1884"/>
      <c r="F173" s="1884"/>
      <c r="G173" s="1884"/>
      <c r="H173" s="1884"/>
    </row>
    <row r="174" spans="1:8">
      <c r="A174" s="1884" t="s">
        <v>1115</v>
      </c>
      <c r="B174" s="1884"/>
      <c r="C174" s="1884"/>
      <c r="D174" s="1884"/>
      <c r="E174" s="1884"/>
      <c r="F174" s="1884"/>
      <c r="G174" s="1884"/>
      <c r="H174" s="1884"/>
    </row>
    <row r="175" spans="1:8">
      <c r="A175" s="1884" t="s">
        <v>1116</v>
      </c>
      <c r="B175" s="1884"/>
      <c r="C175" s="1884"/>
      <c r="D175" s="1884"/>
      <c r="E175" s="1884"/>
      <c r="F175" s="1884"/>
      <c r="G175" s="1884"/>
      <c r="H175" s="1884"/>
    </row>
    <row r="176" spans="1:8">
      <c r="A176" s="1884"/>
      <c r="B176" s="1884"/>
      <c r="C176" s="1884"/>
      <c r="D176" s="1884"/>
      <c r="E176" s="1884"/>
      <c r="F176" s="1884"/>
      <c r="G176" s="1884"/>
      <c r="H176" s="1884"/>
    </row>
    <row r="177" spans="1:8">
      <c r="A177" s="1884" t="s">
        <v>679</v>
      </c>
      <c r="B177" s="1884"/>
      <c r="C177" s="1884"/>
      <c r="D177" s="1884"/>
      <c r="E177" s="1884"/>
      <c r="F177" s="1884"/>
      <c r="G177" s="1884"/>
      <c r="H177" s="1884"/>
    </row>
    <row r="178" spans="1:8">
      <c r="A178" s="1884"/>
      <c r="B178" s="1884"/>
      <c r="C178" s="1884"/>
      <c r="D178" s="1884"/>
      <c r="E178" s="1884"/>
      <c r="F178" s="1884"/>
      <c r="G178" s="1884"/>
      <c r="H178" s="1884"/>
    </row>
    <row r="179" spans="1:8" ht="15.6">
      <c r="A179" s="1885" t="s">
        <v>680</v>
      </c>
      <c r="B179" s="1884"/>
      <c r="C179" s="1884"/>
      <c r="D179" s="1884"/>
      <c r="E179" s="1884"/>
      <c r="F179" s="1884"/>
      <c r="G179" s="1884"/>
      <c r="H179" s="1884"/>
    </row>
    <row r="180" spans="1:8">
      <c r="A180" s="1884"/>
      <c r="B180" s="1884"/>
      <c r="C180" s="1884"/>
      <c r="D180" s="1884"/>
      <c r="E180" s="1884"/>
      <c r="F180" s="1884"/>
      <c r="G180" s="1884"/>
      <c r="H180" s="1884"/>
    </row>
    <row r="181" spans="1:8">
      <c r="A181" s="1884"/>
      <c r="B181" s="1884"/>
      <c r="C181" s="1884"/>
      <c r="D181" s="1884"/>
      <c r="E181" s="1884"/>
      <c r="F181" s="1884"/>
      <c r="G181" s="1884"/>
      <c r="H181" s="1884"/>
    </row>
    <row r="182" spans="1:8">
      <c r="A182" s="1884"/>
      <c r="B182" s="1884"/>
      <c r="C182" s="1884"/>
      <c r="D182" s="1884"/>
      <c r="E182" s="1884"/>
      <c r="F182" s="1884"/>
      <c r="G182" s="1884"/>
      <c r="H182" s="1884"/>
    </row>
    <row r="183" spans="1:8">
      <c r="A183" s="1884"/>
      <c r="B183" s="1884"/>
      <c r="C183" s="1884"/>
      <c r="D183" s="1884"/>
      <c r="E183" s="1884"/>
      <c r="F183" s="1884"/>
      <c r="G183" s="1884"/>
      <c r="H183" s="1884"/>
    </row>
    <row r="184" spans="1:8">
      <c r="A184" s="1884"/>
      <c r="B184" s="1884"/>
      <c r="C184" s="1884"/>
      <c r="D184" s="1884"/>
      <c r="E184" s="1884"/>
      <c r="F184" s="1884"/>
      <c r="G184" s="1884"/>
      <c r="H184" s="1884"/>
    </row>
    <row r="185" spans="1:8">
      <c r="A185" s="1884"/>
      <c r="B185" s="1884"/>
      <c r="C185" s="1884"/>
      <c r="D185" s="1884"/>
      <c r="E185" s="1884"/>
      <c r="F185" s="1884"/>
      <c r="G185" s="1884"/>
      <c r="H185" s="1884"/>
    </row>
    <row r="186" spans="1:8">
      <c r="A186" s="1884"/>
      <c r="B186" s="1884"/>
      <c r="C186" s="1884"/>
      <c r="D186" s="1884"/>
      <c r="E186" s="1884"/>
      <c r="F186" s="1884"/>
      <c r="G186" s="1884"/>
      <c r="H186" s="1884"/>
    </row>
    <row r="187" spans="1:8">
      <c r="A187" s="1884"/>
      <c r="B187" s="1884"/>
      <c r="C187" s="1884"/>
      <c r="D187" s="1884"/>
      <c r="E187" s="1884"/>
      <c r="F187" s="1884"/>
      <c r="G187" s="1884"/>
      <c r="H187" s="1884"/>
    </row>
    <row r="188" spans="1:8">
      <c r="A188" s="1884"/>
      <c r="B188" s="1884"/>
      <c r="C188" s="1884"/>
      <c r="D188" s="1884"/>
      <c r="E188" s="1884"/>
      <c r="F188" s="1884"/>
      <c r="G188" s="1884"/>
      <c r="H188" s="1884"/>
    </row>
    <row r="189" spans="1:8">
      <c r="A189" s="1884"/>
      <c r="B189" s="1884"/>
      <c r="C189" s="1884"/>
      <c r="D189" s="1884"/>
      <c r="E189" s="1884"/>
      <c r="F189" s="1884"/>
      <c r="G189" s="1884"/>
      <c r="H189" s="1884"/>
    </row>
    <row r="190" spans="1:8">
      <c r="A190" s="1884"/>
      <c r="B190" s="1884"/>
      <c r="C190" s="1884"/>
      <c r="D190" s="1884"/>
      <c r="E190" s="1884"/>
      <c r="F190" s="1884"/>
      <c r="G190" s="1884"/>
      <c r="H190" s="1884"/>
    </row>
    <row r="191" spans="1:8">
      <c r="A191" s="1884"/>
      <c r="B191" s="1884"/>
      <c r="C191" s="1884"/>
      <c r="D191" s="1884"/>
      <c r="E191" s="1884"/>
      <c r="F191" s="1884"/>
      <c r="G191" s="1884"/>
      <c r="H191" s="1884"/>
    </row>
    <row r="192" spans="1:8">
      <c r="A192" s="1884"/>
      <c r="B192" s="1884"/>
      <c r="C192" s="1884"/>
      <c r="D192" s="1884"/>
      <c r="E192" s="1884"/>
      <c r="F192" s="1884"/>
      <c r="G192" s="1884"/>
      <c r="H192" s="1884"/>
    </row>
    <row r="193" spans="1:8">
      <c r="A193" s="1884"/>
      <c r="B193" s="1884"/>
      <c r="C193" s="1884"/>
      <c r="D193" s="1884"/>
      <c r="E193" s="1884"/>
      <c r="F193" s="1884"/>
      <c r="G193" s="1884"/>
      <c r="H193" s="1884"/>
    </row>
    <row r="194" spans="1:8">
      <c r="A194" s="1884"/>
      <c r="B194" s="1884"/>
      <c r="C194" s="1884"/>
      <c r="D194" s="1884"/>
      <c r="E194" s="1884"/>
      <c r="F194" s="1884"/>
      <c r="G194" s="1884"/>
      <c r="H194" s="1884"/>
    </row>
    <row r="195" spans="1:8">
      <c r="A195" s="1884"/>
      <c r="B195" s="1884"/>
      <c r="C195" s="1884"/>
      <c r="D195" s="1884"/>
      <c r="E195" s="1884"/>
      <c r="F195" s="1884"/>
      <c r="G195" s="1884"/>
      <c r="H195" s="1884"/>
    </row>
    <row r="196" spans="1:8">
      <c r="A196" s="1884"/>
      <c r="B196" s="1884"/>
      <c r="C196" s="1884"/>
      <c r="D196" s="1884"/>
      <c r="E196" s="1884"/>
      <c r="F196" s="1884"/>
      <c r="G196" s="1884"/>
      <c r="H196" s="1884"/>
    </row>
    <row r="197" spans="1:8">
      <c r="A197" s="1884"/>
      <c r="B197" s="1884"/>
      <c r="C197" s="1884"/>
      <c r="D197" s="1884"/>
      <c r="E197" s="1884"/>
      <c r="F197" s="1884"/>
      <c r="G197" s="1884"/>
      <c r="H197" s="1884"/>
    </row>
    <row r="198" spans="1:8">
      <c r="A198" s="1884"/>
      <c r="B198" s="1884"/>
      <c r="C198" s="1884"/>
      <c r="D198" s="1884"/>
      <c r="E198" s="1884"/>
      <c r="F198" s="1884"/>
      <c r="G198" s="1884"/>
      <c r="H198" s="1884"/>
    </row>
    <row r="199" spans="1:8">
      <c r="A199" s="1884"/>
      <c r="B199" s="1884"/>
      <c r="C199" s="1884"/>
      <c r="D199" s="1884"/>
      <c r="E199" s="1884"/>
      <c r="F199" s="1884"/>
      <c r="G199" s="1884"/>
      <c r="H199" s="1884"/>
    </row>
    <row r="200" spans="1:8">
      <c r="A200" s="1884"/>
      <c r="B200" s="1884"/>
      <c r="C200" s="1884"/>
      <c r="D200" s="1884"/>
      <c r="E200" s="1884"/>
      <c r="F200" s="1884"/>
      <c r="G200" s="1884"/>
      <c r="H200" s="1884"/>
    </row>
    <row r="201" spans="1:8">
      <c r="A201" s="1884"/>
      <c r="B201" s="1884"/>
      <c r="C201" s="1884"/>
      <c r="D201" s="1884"/>
      <c r="E201" s="1884"/>
      <c r="F201" s="1884"/>
      <c r="G201" s="1884"/>
      <c r="H201" s="1884"/>
    </row>
    <row r="202" spans="1:8">
      <c r="A202" s="1884"/>
      <c r="B202" s="1884"/>
      <c r="C202" s="1884"/>
      <c r="D202" s="1884"/>
      <c r="E202" s="1884"/>
      <c r="F202" s="1884"/>
      <c r="G202" s="1884"/>
      <c r="H202" s="1884"/>
    </row>
    <row r="203" spans="1:8">
      <c r="A203" s="1884"/>
      <c r="B203" s="1884"/>
      <c r="C203" s="1884"/>
      <c r="D203" s="1884"/>
      <c r="E203" s="1884"/>
      <c r="F203" s="1884"/>
      <c r="G203" s="1884"/>
      <c r="H203" s="1884"/>
    </row>
    <row r="204" spans="1:8">
      <c r="A204" s="1884"/>
      <c r="B204" s="1884"/>
      <c r="C204" s="1884"/>
      <c r="D204" s="1884"/>
      <c r="E204" s="1884"/>
      <c r="F204" s="1884"/>
      <c r="G204" s="1884"/>
      <c r="H204" s="1884"/>
    </row>
    <row r="205" spans="1:8">
      <c r="A205" s="1884"/>
      <c r="B205" s="1884"/>
      <c r="C205" s="1884"/>
      <c r="D205" s="1884"/>
      <c r="E205" s="1884"/>
      <c r="F205" s="1884"/>
      <c r="G205" s="1884"/>
      <c r="H205" s="1884"/>
    </row>
    <row r="206" spans="1:8">
      <c r="A206" s="1884"/>
      <c r="B206" s="1884"/>
      <c r="C206" s="1884"/>
      <c r="D206" s="1884"/>
      <c r="E206" s="1884"/>
      <c r="F206" s="1884"/>
      <c r="G206" s="1884"/>
      <c r="H206" s="1884"/>
    </row>
    <row r="207" spans="1:8" ht="15.6">
      <c r="A207" s="1885" t="s">
        <v>681</v>
      </c>
      <c r="B207" s="1884"/>
      <c r="C207" s="1884"/>
      <c r="D207" s="1884"/>
      <c r="E207" s="1884"/>
      <c r="F207" s="1884"/>
      <c r="G207" s="1884"/>
      <c r="H207" s="1884"/>
    </row>
    <row r="208" spans="1:8">
      <c r="A208" s="1884"/>
      <c r="B208" s="1884"/>
      <c r="C208" s="1884"/>
      <c r="D208" s="1884"/>
      <c r="E208" s="1884"/>
      <c r="F208" s="1884"/>
      <c r="G208" s="1884"/>
      <c r="H208" s="1884"/>
    </row>
    <row r="209" spans="1:8">
      <c r="A209" s="1884" t="s">
        <v>1117</v>
      </c>
      <c r="B209" s="1884"/>
      <c r="C209" s="1884"/>
      <c r="D209" s="1884"/>
      <c r="E209" s="1884"/>
      <c r="F209" s="1884"/>
      <c r="G209" s="1884"/>
      <c r="H209" s="1884"/>
    </row>
    <row r="210" spans="1:8">
      <c r="A210" s="1884" t="s">
        <v>1118</v>
      </c>
      <c r="B210" s="1884"/>
      <c r="C210" s="1884"/>
      <c r="D210" s="1884"/>
      <c r="E210" s="1884"/>
      <c r="F210" s="1884"/>
      <c r="G210" s="1884"/>
      <c r="H210" s="1884"/>
    </row>
    <row r="211" spans="1:8">
      <c r="A211" s="1884" t="s">
        <v>1119</v>
      </c>
      <c r="B211" s="1884"/>
      <c r="C211" s="1884"/>
      <c r="D211" s="1884"/>
      <c r="E211" s="1884"/>
      <c r="F211" s="1884"/>
      <c r="G211" s="1884"/>
      <c r="H211" s="1884"/>
    </row>
    <row r="212" spans="1:8">
      <c r="A212" s="1884" t="s">
        <v>1120</v>
      </c>
      <c r="B212" s="1884"/>
      <c r="C212" s="1884"/>
      <c r="D212" s="1884"/>
      <c r="E212" s="1884"/>
      <c r="F212" s="1884"/>
      <c r="G212" s="1884"/>
      <c r="H212" s="1884"/>
    </row>
    <row r="213" spans="1:8">
      <c r="A213" s="1884" t="s">
        <v>1121</v>
      </c>
      <c r="B213" s="1884"/>
      <c r="C213" s="1884"/>
      <c r="D213" s="1884"/>
      <c r="E213" s="1884"/>
      <c r="F213" s="1884"/>
      <c r="G213" s="1884"/>
      <c r="H213" s="1884"/>
    </row>
    <row r="214" spans="1:8">
      <c r="A214" s="1884"/>
      <c r="B214" s="1884"/>
      <c r="C214" s="1884"/>
      <c r="D214" s="1884"/>
      <c r="E214" s="1884"/>
      <c r="F214" s="1884"/>
      <c r="G214" s="1884"/>
      <c r="H214" s="1884"/>
    </row>
    <row r="215" spans="1:8">
      <c r="A215" s="1884" t="s">
        <v>1122</v>
      </c>
      <c r="B215" s="1884"/>
      <c r="C215" s="1884"/>
      <c r="D215" s="1884"/>
      <c r="E215" s="1884"/>
      <c r="F215" s="1884"/>
      <c r="G215" s="1884"/>
      <c r="H215" s="1884"/>
    </row>
    <row r="216" spans="1:8">
      <c r="A216" s="1884" t="s">
        <v>1123</v>
      </c>
      <c r="B216" s="1884"/>
      <c r="C216" s="1884"/>
      <c r="D216" s="1884"/>
      <c r="E216" s="1884"/>
      <c r="F216" s="1884"/>
      <c r="G216" s="1884"/>
      <c r="H216" s="1884"/>
    </row>
    <row r="217" spans="1:8">
      <c r="A217" s="1884" t="s">
        <v>1124</v>
      </c>
      <c r="B217" s="1884"/>
      <c r="C217" s="1884"/>
      <c r="D217" s="1884"/>
      <c r="E217" s="1884"/>
      <c r="F217" s="1884"/>
      <c r="G217" s="1884"/>
      <c r="H217" s="1884"/>
    </row>
    <row r="218" spans="1:8">
      <c r="A218" s="1884"/>
      <c r="B218" s="1884"/>
      <c r="C218" s="1884"/>
      <c r="D218" s="1884"/>
      <c r="E218" s="1884"/>
      <c r="F218" s="1884"/>
      <c r="G218" s="1884"/>
      <c r="H218" s="1884"/>
    </row>
    <row r="219" spans="1:8" ht="15.6">
      <c r="A219" s="1885" t="s">
        <v>682</v>
      </c>
      <c r="B219" s="1884"/>
      <c r="C219" s="1884"/>
      <c r="D219" s="1884"/>
      <c r="E219" s="1884"/>
      <c r="F219" s="1884"/>
      <c r="G219" s="1884"/>
      <c r="H219" s="1884"/>
    </row>
    <row r="220" spans="1:8">
      <c r="A220" s="1884"/>
      <c r="B220" s="1884"/>
      <c r="C220" s="1884"/>
      <c r="D220" s="1884"/>
      <c r="E220" s="1884"/>
      <c r="F220" s="1884"/>
      <c r="G220" s="1884"/>
      <c r="H220" s="1884"/>
    </row>
    <row r="221" spans="1:8">
      <c r="A221" s="1884" t="s">
        <v>1125</v>
      </c>
      <c r="B221" s="1884"/>
      <c r="C221" s="1884"/>
      <c r="D221" s="1884"/>
      <c r="E221" s="1884"/>
      <c r="F221" s="1884"/>
      <c r="G221" s="1884"/>
      <c r="H221" s="1884"/>
    </row>
    <row r="222" spans="1:8">
      <c r="A222" s="1884" t="s">
        <v>1126</v>
      </c>
      <c r="B222" s="1884"/>
      <c r="C222" s="1884"/>
      <c r="D222" s="1884"/>
      <c r="E222" s="1884"/>
      <c r="F222" s="1884"/>
      <c r="G222" s="1884"/>
      <c r="H222" s="1884"/>
    </row>
    <row r="223" spans="1:8">
      <c r="A223" s="1884" t="s">
        <v>1127</v>
      </c>
      <c r="B223" s="1884"/>
      <c r="C223" s="1884"/>
      <c r="D223" s="1884"/>
      <c r="E223" s="1884"/>
      <c r="F223" s="1884"/>
      <c r="G223" s="1884"/>
      <c r="H223" s="1884"/>
    </row>
    <row r="224" spans="1:8">
      <c r="A224" s="1884" t="s">
        <v>1128</v>
      </c>
      <c r="B224" s="1884"/>
      <c r="C224" s="1884"/>
      <c r="D224" s="1884"/>
      <c r="E224" s="1884"/>
      <c r="F224" s="1884"/>
      <c r="G224" s="1884"/>
      <c r="H224" s="1884"/>
    </row>
    <row r="225" spans="1:8">
      <c r="A225" s="1884" t="s">
        <v>1129</v>
      </c>
      <c r="B225" s="1884"/>
      <c r="C225" s="1884"/>
      <c r="D225" s="1884"/>
      <c r="E225" s="1884"/>
      <c r="F225" s="1884"/>
      <c r="G225" s="1884"/>
      <c r="H225" s="1884"/>
    </row>
    <row r="226" spans="1:8">
      <c r="A226" s="1884" t="s">
        <v>1130</v>
      </c>
      <c r="B226" s="1884"/>
      <c r="C226" s="1884"/>
      <c r="D226" s="1884"/>
      <c r="E226" s="1884"/>
      <c r="F226" s="1884"/>
      <c r="G226" s="1884"/>
      <c r="H226" s="1884"/>
    </row>
    <row r="227" spans="1:8">
      <c r="A227" s="1884" t="s">
        <v>1131</v>
      </c>
      <c r="B227" s="1884"/>
      <c r="C227" s="1884"/>
      <c r="D227" s="1884"/>
      <c r="E227" s="1884"/>
      <c r="F227" s="1884"/>
      <c r="G227" s="1884"/>
      <c r="H227" s="1884"/>
    </row>
    <row r="228" spans="1:8">
      <c r="A228" s="1884"/>
      <c r="B228" s="1884"/>
      <c r="C228" s="1884"/>
      <c r="D228" s="1884"/>
      <c r="E228" s="1884"/>
      <c r="F228" s="1884"/>
      <c r="G228" s="1884"/>
      <c r="H228" s="1884"/>
    </row>
    <row r="229" spans="1:8">
      <c r="A229" s="1884" t="s">
        <v>1132</v>
      </c>
      <c r="B229" s="1884"/>
      <c r="C229" s="1884"/>
      <c r="D229" s="1884"/>
      <c r="E229" s="1884"/>
      <c r="F229" s="1884"/>
      <c r="G229" s="1884"/>
      <c r="H229" s="1884"/>
    </row>
    <row r="230" spans="1:8">
      <c r="A230" s="1884" t="s">
        <v>1133</v>
      </c>
      <c r="B230" s="1884"/>
      <c r="C230" s="1884"/>
      <c r="D230" s="1884"/>
      <c r="E230" s="1884"/>
      <c r="F230" s="1884"/>
      <c r="G230" s="1884"/>
      <c r="H230" s="1884"/>
    </row>
    <row r="231" spans="1:8">
      <c r="A231" s="1884" t="s">
        <v>1134</v>
      </c>
      <c r="B231" s="1884"/>
      <c r="C231" s="1884"/>
      <c r="D231" s="1884"/>
      <c r="E231" s="1884"/>
      <c r="F231" s="1884"/>
      <c r="G231" s="1884"/>
      <c r="H231" s="1884"/>
    </row>
    <row r="232" spans="1:8">
      <c r="A232" s="1884"/>
      <c r="B232" s="1884"/>
      <c r="C232" s="1884"/>
      <c r="D232" s="1884"/>
      <c r="E232" s="1884"/>
      <c r="F232" s="1884"/>
      <c r="G232" s="1884"/>
      <c r="H232" s="1884"/>
    </row>
    <row r="233" spans="1:8">
      <c r="A233" s="1884" t="s">
        <v>1135</v>
      </c>
      <c r="B233" s="1884"/>
      <c r="C233" s="1884"/>
      <c r="D233" s="1884"/>
      <c r="E233" s="1884"/>
      <c r="F233" s="1884"/>
      <c r="G233" s="1884"/>
      <c r="H233" s="1884"/>
    </row>
    <row r="234" spans="1:8">
      <c r="A234" s="1884" t="s">
        <v>1136</v>
      </c>
      <c r="B234" s="1884"/>
      <c r="C234" s="1884"/>
      <c r="D234" s="1884"/>
      <c r="E234" s="1884"/>
      <c r="F234" s="1884"/>
      <c r="G234" s="1884"/>
      <c r="H234" s="1884"/>
    </row>
    <row r="235" spans="1:8">
      <c r="A235" s="1884" t="s">
        <v>1137</v>
      </c>
      <c r="B235" s="1884"/>
      <c r="C235" s="1884"/>
      <c r="D235" s="1884"/>
      <c r="E235" s="1884"/>
      <c r="F235" s="1884"/>
      <c r="G235" s="1884"/>
      <c r="H235" s="1884"/>
    </row>
    <row r="236" spans="1:8">
      <c r="A236" s="1884" t="s">
        <v>1138</v>
      </c>
      <c r="B236" s="1884"/>
      <c r="C236" s="1884"/>
      <c r="D236" s="1884"/>
      <c r="E236" s="1884"/>
      <c r="F236" s="1884"/>
      <c r="G236" s="1884"/>
      <c r="H236" s="1884"/>
    </row>
    <row r="237" spans="1:8">
      <c r="A237" s="1884" t="s">
        <v>1139</v>
      </c>
      <c r="B237" s="1884"/>
      <c r="C237" s="1884"/>
      <c r="D237" s="1884"/>
      <c r="E237" s="1884"/>
      <c r="F237" s="1884"/>
      <c r="G237" s="1884"/>
      <c r="H237" s="1884"/>
    </row>
    <row r="238" spans="1:8">
      <c r="A238" s="1884"/>
      <c r="B238" s="1884"/>
      <c r="C238" s="1884"/>
      <c r="D238" s="1884"/>
      <c r="E238" s="1884"/>
      <c r="F238" s="1884"/>
      <c r="G238" s="1884"/>
      <c r="H238" s="1884"/>
    </row>
    <row r="239" spans="1:8">
      <c r="A239" s="1884" t="s">
        <v>1140</v>
      </c>
      <c r="B239" s="1884"/>
      <c r="C239" s="1884"/>
      <c r="D239" s="1884"/>
      <c r="E239" s="1884"/>
      <c r="F239" s="1884"/>
      <c r="G239" s="1884"/>
      <c r="H239" s="1884"/>
    </row>
    <row r="240" spans="1:8">
      <c r="A240" s="1884" t="s">
        <v>1141</v>
      </c>
      <c r="B240" s="1884"/>
      <c r="C240" s="1884"/>
      <c r="D240" s="1884"/>
      <c r="E240" s="1884"/>
      <c r="F240" s="1884"/>
      <c r="G240" s="1884"/>
      <c r="H240" s="1884"/>
    </row>
    <row r="241" spans="1:8">
      <c r="A241" s="1884" t="s">
        <v>1142</v>
      </c>
      <c r="B241" s="1884"/>
      <c r="C241" s="1884"/>
      <c r="D241" s="1884"/>
      <c r="E241" s="1884"/>
      <c r="F241" s="1884"/>
      <c r="G241" s="1884"/>
      <c r="H241" s="1884"/>
    </row>
    <row r="242" spans="1:8">
      <c r="A242" s="1884" t="s">
        <v>1143</v>
      </c>
      <c r="B242" s="1884"/>
      <c r="C242" s="1884"/>
      <c r="D242" s="1884"/>
      <c r="E242" s="1884"/>
      <c r="F242" s="1884"/>
      <c r="G242" s="1884"/>
      <c r="H242" s="1884"/>
    </row>
    <row r="243" spans="1:8">
      <c r="A243" s="1884" t="s">
        <v>1144</v>
      </c>
      <c r="B243" s="1884"/>
      <c r="C243" s="1884"/>
      <c r="D243" s="1884"/>
      <c r="E243" s="1884"/>
      <c r="F243" s="1884"/>
      <c r="G243" s="1884"/>
      <c r="H243" s="1884"/>
    </row>
    <row r="244" spans="1:8">
      <c r="A244" s="1884" t="s">
        <v>1145</v>
      </c>
      <c r="B244" s="1884"/>
      <c r="C244" s="1884"/>
      <c r="D244" s="1884"/>
      <c r="E244" s="1884"/>
      <c r="F244" s="1884"/>
      <c r="G244" s="1884"/>
      <c r="H244" s="1884"/>
    </row>
    <row r="245" spans="1:8">
      <c r="A245" s="1884"/>
      <c r="B245" s="1884"/>
      <c r="C245" s="1884"/>
      <c r="D245" s="1884"/>
      <c r="E245" s="1884"/>
      <c r="F245" s="1884"/>
      <c r="G245" s="1884"/>
      <c r="H245" s="1884"/>
    </row>
    <row r="246" spans="1:8">
      <c r="A246" s="1884" t="s">
        <v>1146</v>
      </c>
      <c r="B246" s="1884"/>
      <c r="C246" s="1884"/>
      <c r="D246" s="1884"/>
      <c r="E246" s="1884"/>
      <c r="F246" s="1884"/>
      <c r="G246" s="1884"/>
      <c r="H246" s="1884"/>
    </row>
    <row r="247" spans="1:8">
      <c r="A247" s="1884" t="s">
        <v>1147</v>
      </c>
      <c r="B247" s="1884"/>
      <c r="C247" s="1884"/>
      <c r="D247" s="1884"/>
      <c r="E247" s="1884"/>
      <c r="F247" s="1884"/>
      <c r="G247" s="1884"/>
      <c r="H247" s="1884"/>
    </row>
    <row r="248" spans="1:8">
      <c r="A248" s="1884" t="s">
        <v>1148</v>
      </c>
      <c r="B248" s="1884"/>
      <c r="C248" s="1884"/>
      <c r="D248" s="1884"/>
      <c r="E248" s="1884"/>
      <c r="F248" s="1884"/>
      <c r="G248" s="1884"/>
      <c r="H248" s="1884"/>
    </row>
    <row r="249" spans="1:8">
      <c r="A249" s="1884" t="s">
        <v>1149</v>
      </c>
      <c r="B249" s="1884"/>
      <c r="C249" s="1884"/>
      <c r="D249" s="1884"/>
      <c r="E249" s="1884"/>
      <c r="F249" s="1884"/>
      <c r="G249" s="1884"/>
      <c r="H249" s="1884"/>
    </row>
    <row r="250" spans="1:8">
      <c r="A250" s="1884" t="s">
        <v>1150</v>
      </c>
      <c r="B250" s="1884"/>
      <c r="C250" s="1884"/>
      <c r="D250" s="1884"/>
      <c r="E250" s="1884"/>
      <c r="F250" s="1884"/>
      <c r="G250" s="1884"/>
      <c r="H250" s="1884"/>
    </row>
    <row r="251" spans="1:8">
      <c r="A251" s="1884" t="s">
        <v>1151</v>
      </c>
      <c r="B251" s="1884"/>
      <c r="C251" s="1884"/>
      <c r="D251" s="1884"/>
      <c r="E251" s="1884"/>
      <c r="F251" s="1884"/>
      <c r="G251" s="1884"/>
      <c r="H251" s="1884"/>
    </row>
    <row r="252" spans="1:8">
      <c r="A252" s="1884" t="s">
        <v>1152</v>
      </c>
      <c r="B252" s="1884"/>
      <c r="C252" s="1884"/>
      <c r="D252" s="1884"/>
      <c r="E252" s="1884"/>
      <c r="F252" s="1884"/>
      <c r="G252" s="1884"/>
      <c r="H252" s="1884"/>
    </row>
    <row r="253" spans="1:8">
      <c r="A253" s="1884" t="s">
        <v>1153</v>
      </c>
      <c r="B253" s="1884"/>
      <c r="C253" s="1884"/>
      <c r="D253" s="1884"/>
      <c r="E253" s="1884"/>
      <c r="F253" s="1884"/>
      <c r="G253" s="1884"/>
      <c r="H253" s="1884"/>
    </row>
    <row r="254" spans="1:8">
      <c r="A254" s="1884" t="s">
        <v>1154</v>
      </c>
      <c r="B254" s="1884"/>
      <c r="C254" s="1884"/>
      <c r="D254" s="1884"/>
      <c r="E254" s="1884"/>
      <c r="F254" s="1884"/>
      <c r="G254" s="1884"/>
      <c r="H254" s="1884"/>
    </row>
    <row r="255" spans="1:8">
      <c r="A255" s="1884" t="s">
        <v>1155</v>
      </c>
      <c r="B255" s="1884"/>
      <c r="C255" s="1884"/>
      <c r="D255" s="1884"/>
      <c r="E255" s="1884"/>
      <c r="F255" s="1884"/>
      <c r="G255" s="1884"/>
      <c r="H255" s="1884"/>
    </row>
    <row r="256" spans="1:8">
      <c r="A256" s="1884" t="s">
        <v>1156</v>
      </c>
      <c r="B256" s="1884"/>
      <c r="C256" s="1884"/>
      <c r="D256" s="1884"/>
      <c r="E256" s="1884"/>
      <c r="F256" s="1884"/>
      <c r="G256" s="1884"/>
      <c r="H256" s="1884"/>
    </row>
    <row r="257" spans="1:8">
      <c r="A257" s="1884" t="s">
        <v>1157</v>
      </c>
      <c r="B257" s="1884"/>
      <c r="C257" s="1884"/>
      <c r="D257" s="1884"/>
      <c r="E257" s="1884"/>
      <c r="F257" s="1884"/>
      <c r="G257" s="1884"/>
      <c r="H257" s="1884"/>
    </row>
    <row r="258" spans="1:8">
      <c r="A258" s="1884" t="s">
        <v>1158</v>
      </c>
      <c r="B258" s="1884"/>
      <c r="C258" s="1884"/>
      <c r="D258" s="1884"/>
      <c r="E258" s="1884"/>
      <c r="F258" s="1884"/>
      <c r="G258" s="1884"/>
      <c r="H258" s="1884"/>
    </row>
    <row r="259" spans="1:8">
      <c r="A259" s="1884" t="s">
        <v>1159</v>
      </c>
      <c r="B259" s="1884"/>
      <c r="C259" s="1884"/>
      <c r="D259" s="1884"/>
      <c r="E259" s="1884"/>
      <c r="F259" s="1884"/>
      <c r="G259" s="1884"/>
      <c r="H259" s="1884"/>
    </row>
    <row r="260" spans="1:8">
      <c r="A260" s="1884"/>
      <c r="B260" s="1884"/>
      <c r="C260" s="1884"/>
      <c r="D260" s="1884"/>
      <c r="E260" s="1884"/>
      <c r="F260" s="1884"/>
      <c r="G260" s="1884"/>
      <c r="H260" s="1884"/>
    </row>
    <row r="261" spans="1:8">
      <c r="A261" s="1884" t="s">
        <v>1160</v>
      </c>
      <c r="B261" s="1884"/>
      <c r="C261" s="1884"/>
      <c r="D261" s="1884"/>
      <c r="E261" s="1884"/>
      <c r="F261" s="1884"/>
      <c r="G261" s="1884"/>
      <c r="H261" s="1884"/>
    </row>
    <row r="262" spans="1:8">
      <c r="A262" s="1884" t="s">
        <v>1161</v>
      </c>
      <c r="B262" s="1884"/>
      <c r="C262" s="1884"/>
      <c r="D262" s="1884"/>
      <c r="E262" s="1884"/>
      <c r="F262" s="1884"/>
      <c r="G262" s="1884"/>
      <c r="H262" s="1884"/>
    </row>
    <row r="263" spans="1:8">
      <c r="A263" s="1884"/>
      <c r="B263" s="1884"/>
      <c r="C263" s="1884"/>
      <c r="D263" s="1884"/>
      <c r="E263" s="1884"/>
      <c r="F263" s="1884"/>
      <c r="G263" s="1884"/>
      <c r="H263" s="1884"/>
    </row>
    <row r="264" spans="1:8">
      <c r="A264" s="1884" t="s">
        <v>1162</v>
      </c>
      <c r="B264" s="1884"/>
      <c r="C264" s="1884"/>
      <c r="D264" s="1884"/>
      <c r="E264" s="1884"/>
      <c r="F264" s="1884"/>
      <c r="G264" s="1884"/>
      <c r="H264" s="1884"/>
    </row>
    <row r="265" spans="1:8">
      <c r="A265" s="1884" t="s">
        <v>1163</v>
      </c>
      <c r="B265" s="1884"/>
      <c r="C265" s="1884"/>
      <c r="D265" s="1884"/>
      <c r="E265" s="1884"/>
      <c r="F265" s="1884"/>
      <c r="G265" s="1884"/>
      <c r="H265" s="1884"/>
    </row>
    <row r="266" spans="1:8">
      <c r="A266" s="1884" t="s">
        <v>1164</v>
      </c>
      <c r="B266" s="1884"/>
      <c r="C266" s="1884"/>
      <c r="D266" s="1884"/>
      <c r="E266" s="1884"/>
      <c r="F266" s="1884"/>
      <c r="G266" s="1884"/>
      <c r="H266" s="1884"/>
    </row>
    <row r="267" spans="1:8">
      <c r="A267" s="1884" t="s">
        <v>1165</v>
      </c>
      <c r="B267" s="1884"/>
      <c r="C267" s="1884"/>
      <c r="D267" s="1884"/>
      <c r="E267" s="1884"/>
      <c r="F267" s="1884"/>
      <c r="G267" s="1884"/>
      <c r="H267" s="1884"/>
    </row>
    <row r="268" spans="1:8">
      <c r="A268" s="1884" t="s">
        <v>1166</v>
      </c>
      <c r="B268" s="1884"/>
      <c r="C268" s="1884"/>
      <c r="D268" s="1884"/>
      <c r="E268" s="1884"/>
      <c r="F268" s="1884"/>
      <c r="G268" s="1884"/>
      <c r="H268" s="1884"/>
    </row>
    <row r="269" spans="1:8">
      <c r="A269" s="1884" t="s">
        <v>1167</v>
      </c>
      <c r="B269" s="1884"/>
      <c r="C269" s="1884"/>
      <c r="D269" s="1884"/>
      <c r="E269" s="1884"/>
      <c r="F269" s="1884"/>
      <c r="G269" s="1884"/>
      <c r="H269" s="1884"/>
    </row>
    <row r="270" spans="1:8">
      <c r="A270" s="1884" t="s">
        <v>1168</v>
      </c>
      <c r="B270" s="1884"/>
      <c r="C270" s="1884"/>
      <c r="D270" s="1884"/>
      <c r="E270" s="1884"/>
      <c r="F270" s="1884"/>
      <c r="G270" s="1884"/>
      <c r="H270" s="1884"/>
    </row>
    <row r="271" spans="1:8">
      <c r="A271" s="1884" t="s">
        <v>1169</v>
      </c>
      <c r="B271" s="1884"/>
      <c r="C271" s="1884"/>
      <c r="D271" s="1884"/>
      <c r="E271" s="1884"/>
      <c r="F271" s="1884"/>
      <c r="G271" s="1884"/>
      <c r="H271" s="1884"/>
    </row>
    <row r="272" spans="1:8">
      <c r="A272" s="1884" t="s">
        <v>1170</v>
      </c>
      <c r="B272" s="1884"/>
      <c r="C272" s="1884"/>
      <c r="D272" s="1884"/>
      <c r="E272" s="1884"/>
      <c r="F272" s="1884"/>
      <c r="G272" s="1884"/>
      <c r="H272" s="1884"/>
    </row>
    <row r="273" spans="1:8">
      <c r="A273" s="1884" t="s">
        <v>1171</v>
      </c>
      <c r="B273" s="1884"/>
      <c r="C273" s="1884"/>
      <c r="D273" s="1884"/>
      <c r="E273" s="1884"/>
      <c r="F273" s="1884"/>
      <c r="G273" s="1884"/>
      <c r="H273" s="1884"/>
    </row>
    <row r="274" spans="1:8">
      <c r="A274" s="1884" t="s">
        <v>1172</v>
      </c>
      <c r="B274" s="1884"/>
      <c r="C274" s="1884"/>
      <c r="D274" s="1884"/>
      <c r="E274" s="1884"/>
      <c r="F274" s="1884"/>
      <c r="G274" s="1884"/>
      <c r="H274" s="1884"/>
    </row>
    <row r="275" spans="1:8">
      <c r="A275" s="1884" t="s">
        <v>1173</v>
      </c>
      <c r="B275" s="1884"/>
      <c r="C275" s="1884"/>
      <c r="D275" s="1884"/>
      <c r="E275" s="1884"/>
      <c r="F275" s="1884"/>
      <c r="G275" s="1884"/>
      <c r="H275" s="1884"/>
    </row>
    <row r="276" spans="1:8">
      <c r="A276" s="1884" t="s">
        <v>1174</v>
      </c>
      <c r="B276" s="1884"/>
      <c r="C276" s="1884"/>
      <c r="D276" s="1884"/>
      <c r="E276" s="1884"/>
      <c r="F276" s="1884"/>
      <c r="G276" s="1884"/>
      <c r="H276" s="1884"/>
    </row>
    <row r="277" spans="1:8">
      <c r="A277" s="1884" t="s">
        <v>1175</v>
      </c>
      <c r="B277" s="1884"/>
      <c r="C277" s="1884"/>
      <c r="D277" s="1884"/>
      <c r="E277" s="1884"/>
      <c r="F277" s="1884"/>
      <c r="G277" s="1884"/>
      <c r="H277" s="1884"/>
    </row>
    <row r="278" spans="1:8">
      <c r="A278" s="1884" t="s">
        <v>1176</v>
      </c>
      <c r="B278" s="1884"/>
      <c r="C278" s="1884"/>
      <c r="D278" s="1884"/>
      <c r="E278" s="1884"/>
      <c r="F278" s="1884"/>
      <c r="G278" s="1884"/>
      <c r="H278" s="1884"/>
    </row>
    <row r="279" spans="1:8">
      <c r="A279" s="1884" t="s">
        <v>1177</v>
      </c>
      <c r="B279" s="1884"/>
      <c r="C279" s="1884"/>
      <c r="D279" s="1884"/>
      <c r="E279" s="1884"/>
      <c r="F279" s="1884"/>
      <c r="G279" s="1884"/>
      <c r="H279" s="1884"/>
    </row>
    <row r="280" spans="1:8">
      <c r="A280" s="1884"/>
      <c r="B280" s="1884"/>
      <c r="C280" s="1884"/>
      <c r="D280" s="1884"/>
      <c r="E280" s="1884"/>
      <c r="F280" s="1884"/>
      <c r="G280" s="1884"/>
      <c r="H280" s="1884"/>
    </row>
    <row r="281" spans="1:8">
      <c r="A281" s="1884" t="s">
        <v>1178</v>
      </c>
      <c r="B281" s="1884"/>
      <c r="C281" s="1884"/>
      <c r="D281" s="1884"/>
      <c r="E281" s="1884"/>
      <c r="F281" s="1884"/>
      <c r="G281" s="1884"/>
      <c r="H281" s="1884"/>
    </row>
    <row r="282" spans="1:8">
      <c r="A282" s="1884" t="s">
        <v>1179</v>
      </c>
      <c r="B282" s="1884"/>
      <c r="C282" s="1884"/>
      <c r="D282" s="1884"/>
      <c r="E282" s="1884"/>
      <c r="F282" s="1884"/>
      <c r="G282" s="1884"/>
      <c r="H282" s="1884"/>
    </row>
    <row r="283" spans="1:8">
      <c r="A283" s="1884" t="s">
        <v>1180</v>
      </c>
      <c r="B283" s="1884"/>
      <c r="C283" s="1884"/>
      <c r="D283" s="1884"/>
      <c r="E283" s="1884"/>
      <c r="F283" s="1884"/>
      <c r="G283" s="1884"/>
      <c r="H283" s="1884"/>
    </row>
    <row r="284" spans="1:8">
      <c r="A284" s="1884" t="s">
        <v>1181</v>
      </c>
      <c r="B284" s="1884"/>
      <c r="C284" s="1884"/>
      <c r="D284" s="1884"/>
      <c r="E284" s="1884"/>
      <c r="F284" s="1884"/>
      <c r="G284" s="1884"/>
      <c r="H284" s="1884"/>
    </row>
    <row r="285" spans="1:8">
      <c r="A285" s="1884" t="s">
        <v>1182</v>
      </c>
      <c r="B285" s="1884"/>
      <c r="C285" s="1884"/>
      <c r="D285" s="1884"/>
      <c r="E285" s="1884"/>
      <c r="F285" s="1884"/>
      <c r="G285" s="1884"/>
      <c r="H285" s="1884"/>
    </row>
    <row r="286" spans="1:8">
      <c r="A286" s="1884" t="s">
        <v>1183</v>
      </c>
      <c r="B286" s="1884"/>
      <c r="C286" s="1884"/>
      <c r="D286" s="1884"/>
      <c r="E286" s="1884"/>
      <c r="F286" s="1884"/>
      <c r="G286" s="1884"/>
      <c r="H286" s="1884"/>
    </row>
    <row r="287" spans="1:8">
      <c r="A287" s="1884" t="s">
        <v>1049</v>
      </c>
      <c r="B287" s="1884"/>
      <c r="C287" s="1884"/>
      <c r="D287" s="1884"/>
      <c r="E287" s="1884"/>
      <c r="F287" s="1884"/>
      <c r="G287" s="1884"/>
      <c r="H287" s="1884"/>
    </row>
    <row r="288" spans="1:8">
      <c r="A288" s="1884"/>
      <c r="B288" s="1884"/>
      <c r="C288" s="1884"/>
      <c r="D288" s="1884"/>
      <c r="E288" s="1884"/>
      <c r="F288" s="1884"/>
      <c r="G288" s="1884"/>
      <c r="H288" s="1884"/>
    </row>
    <row r="289" spans="1:8">
      <c r="A289" s="1884" t="s">
        <v>1184</v>
      </c>
      <c r="B289" s="1884"/>
      <c r="C289" s="1884"/>
      <c r="D289" s="1884"/>
      <c r="E289" s="1884"/>
      <c r="F289" s="1884"/>
      <c r="G289" s="1884"/>
      <c r="H289" s="1884"/>
    </row>
    <row r="290" spans="1:8">
      <c r="A290" s="1884" t="s">
        <v>1185</v>
      </c>
      <c r="B290" s="1884"/>
      <c r="C290" s="1884"/>
      <c r="D290" s="1884"/>
      <c r="E290" s="1884"/>
      <c r="F290" s="1884"/>
      <c r="G290" s="1884"/>
      <c r="H290" s="1884"/>
    </row>
    <row r="291" spans="1:8">
      <c r="A291" s="1884" t="s">
        <v>1186</v>
      </c>
      <c r="B291" s="1884"/>
      <c r="C291" s="1884"/>
      <c r="D291" s="1884"/>
      <c r="E291" s="1884"/>
      <c r="F291" s="1884"/>
      <c r="G291" s="1884"/>
      <c r="H291" s="1884"/>
    </row>
    <row r="292" spans="1:8">
      <c r="A292" s="1884" t="s">
        <v>1187</v>
      </c>
      <c r="B292" s="1884"/>
      <c r="C292" s="1884"/>
      <c r="D292" s="1884"/>
      <c r="E292" s="1884"/>
      <c r="F292" s="1884"/>
      <c r="G292" s="1884"/>
      <c r="H292" s="1884"/>
    </row>
    <row r="293" spans="1:8">
      <c r="A293" s="1884" t="s">
        <v>1188</v>
      </c>
      <c r="B293" s="1884"/>
      <c r="C293" s="1884"/>
      <c r="D293" s="1884"/>
      <c r="E293" s="1884"/>
      <c r="F293" s="1884"/>
      <c r="G293" s="1884"/>
      <c r="H293" s="1884"/>
    </row>
    <row r="294" spans="1:8">
      <c r="A294" s="1884" t="s">
        <v>1189</v>
      </c>
      <c r="B294" s="1884"/>
      <c r="C294" s="1884"/>
      <c r="D294" s="1884"/>
      <c r="E294" s="1884"/>
      <c r="F294" s="1884"/>
      <c r="G294" s="1884"/>
      <c r="H294" s="1884"/>
    </row>
    <row r="295" spans="1:8">
      <c r="A295" s="1884" t="s">
        <v>1190</v>
      </c>
      <c r="B295" s="1884"/>
      <c r="C295" s="1884"/>
      <c r="D295" s="1884"/>
      <c r="E295" s="1884"/>
      <c r="F295" s="1884"/>
      <c r="G295" s="1884"/>
      <c r="H295" s="1884"/>
    </row>
    <row r="296" spans="1:8">
      <c r="A296" s="1884" t="s">
        <v>1191</v>
      </c>
      <c r="B296" s="1884"/>
      <c r="C296" s="1884"/>
      <c r="D296" s="1884"/>
      <c r="E296" s="1884"/>
      <c r="F296" s="1884"/>
      <c r="G296" s="1884"/>
      <c r="H296" s="1884"/>
    </row>
    <row r="297" spans="1:8">
      <c r="A297" s="1884" t="s">
        <v>1192</v>
      </c>
      <c r="B297" s="1884"/>
      <c r="C297" s="1884"/>
      <c r="D297" s="1884"/>
      <c r="E297" s="1884"/>
      <c r="F297" s="1884"/>
      <c r="G297" s="1884"/>
      <c r="H297" s="1884"/>
    </row>
    <row r="298" spans="1:8">
      <c r="A298" s="1884"/>
      <c r="B298" s="1884"/>
      <c r="C298" s="1884"/>
      <c r="D298" s="1884"/>
      <c r="E298" s="1884"/>
      <c r="F298" s="1884"/>
      <c r="G298" s="1884"/>
      <c r="H298" s="1884"/>
    </row>
    <row r="299" spans="1:8">
      <c r="A299" s="1884" t="s">
        <v>1193</v>
      </c>
      <c r="B299" s="1884"/>
      <c r="C299" s="1884"/>
      <c r="D299" s="1884"/>
      <c r="E299" s="1884"/>
      <c r="F299" s="1884"/>
      <c r="G299" s="1884"/>
      <c r="H299" s="1884"/>
    </row>
    <row r="300" spans="1:8">
      <c r="A300" s="1884" t="s">
        <v>1194</v>
      </c>
      <c r="B300" s="1884"/>
      <c r="C300" s="1884"/>
      <c r="D300" s="1884"/>
      <c r="E300" s="1884"/>
      <c r="F300" s="1884"/>
      <c r="G300" s="1884"/>
      <c r="H300" s="1884"/>
    </row>
    <row r="301" spans="1:8">
      <c r="A301" s="1884" t="s">
        <v>1195</v>
      </c>
      <c r="B301" s="1884"/>
      <c r="C301" s="1884"/>
      <c r="D301" s="1884"/>
      <c r="E301" s="1884"/>
      <c r="F301" s="1884"/>
      <c r="G301" s="1884"/>
      <c r="H301" s="1884"/>
    </row>
    <row r="302" spans="1:8">
      <c r="A302" s="1884" t="s">
        <v>1196</v>
      </c>
      <c r="B302" s="1884"/>
      <c r="C302" s="1884"/>
      <c r="D302" s="1884"/>
      <c r="E302" s="1884"/>
      <c r="F302" s="1884"/>
      <c r="G302" s="1884"/>
      <c r="H302" s="1884"/>
    </row>
    <row r="303" spans="1:8">
      <c r="A303" s="1884" t="s">
        <v>1197</v>
      </c>
      <c r="B303" s="1884"/>
      <c r="C303" s="1884"/>
      <c r="D303" s="1884"/>
      <c r="E303" s="1884"/>
      <c r="F303" s="1884"/>
      <c r="G303" s="1884"/>
      <c r="H303" s="1884"/>
    </row>
    <row r="304" spans="1:8">
      <c r="A304" s="1884" t="s">
        <v>1198</v>
      </c>
      <c r="B304" s="1884"/>
      <c r="C304" s="1884"/>
      <c r="D304" s="1884"/>
      <c r="E304" s="1884"/>
      <c r="F304" s="1884"/>
      <c r="G304" s="1884"/>
      <c r="H304" s="1884"/>
    </row>
    <row r="305" spans="1:8">
      <c r="A305" s="1884" t="s">
        <v>1199</v>
      </c>
      <c r="B305" s="1884"/>
      <c r="C305" s="1884"/>
      <c r="D305" s="1884"/>
      <c r="E305" s="1884"/>
      <c r="F305" s="1884"/>
      <c r="G305" s="1884"/>
      <c r="H305" s="1884"/>
    </row>
    <row r="306" spans="1:8">
      <c r="A306" s="1884"/>
      <c r="B306" s="1884"/>
      <c r="C306" s="1884"/>
      <c r="D306" s="1884"/>
      <c r="E306" s="1884"/>
      <c r="F306" s="1884"/>
      <c r="G306" s="1884"/>
      <c r="H306" s="1884"/>
    </row>
    <row r="307" spans="1:8">
      <c r="A307" s="1884" t="s">
        <v>1200</v>
      </c>
      <c r="B307" s="1884"/>
      <c r="C307" s="1884"/>
      <c r="D307" s="1884"/>
      <c r="E307" s="1884"/>
      <c r="F307" s="1884"/>
      <c r="G307" s="1884"/>
      <c r="H307" s="1884"/>
    </row>
    <row r="308" spans="1:8">
      <c r="A308" s="1884" t="s">
        <v>1201</v>
      </c>
      <c r="B308" s="1884"/>
      <c r="C308" s="1884"/>
      <c r="D308" s="1884"/>
      <c r="E308" s="1884"/>
      <c r="F308" s="1884"/>
      <c r="G308" s="1884"/>
      <c r="H308" s="1884"/>
    </row>
    <row r="309" spans="1:8">
      <c r="A309" s="1884" t="s">
        <v>1202</v>
      </c>
      <c r="B309" s="1884"/>
      <c r="C309" s="1884"/>
      <c r="D309" s="1884"/>
      <c r="E309" s="1884"/>
      <c r="F309" s="1884"/>
      <c r="G309" s="1884"/>
      <c r="H309" s="1884"/>
    </row>
    <row r="310" spans="1:8">
      <c r="A310" s="1884"/>
      <c r="B310" s="1884"/>
      <c r="C310" s="1884"/>
      <c r="D310" s="1884"/>
      <c r="E310" s="1884"/>
      <c r="F310" s="1884"/>
      <c r="G310" s="1884"/>
      <c r="H310" s="1884"/>
    </row>
    <row r="311" spans="1:8">
      <c r="A311" s="1884" t="s">
        <v>1203</v>
      </c>
      <c r="B311" s="1884"/>
      <c r="C311" s="1884"/>
      <c r="D311" s="1884"/>
      <c r="E311" s="1884"/>
      <c r="F311" s="1884"/>
      <c r="G311" s="1884"/>
      <c r="H311" s="1884"/>
    </row>
    <row r="312" spans="1:8">
      <c r="A312" s="1884" t="s">
        <v>1204</v>
      </c>
      <c r="B312" s="1884"/>
      <c r="C312" s="1884"/>
      <c r="D312" s="1884"/>
      <c r="E312" s="1884"/>
      <c r="F312" s="1884"/>
      <c r="G312" s="1884"/>
      <c r="H312" s="1884"/>
    </row>
    <row r="313" spans="1:8">
      <c r="A313" s="1884"/>
      <c r="B313" s="1884"/>
      <c r="C313" s="1884"/>
      <c r="D313" s="1884"/>
      <c r="E313" s="1884"/>
      <c r="F313" s="1884"/>
      <c r="G313" s="1884"/>
      <c r="H313" s="1884"/>
    </row>
    <row r="314" spans="1:8">
      <c r="A314" s="1884" t="s">
        <v>1205</v>
      </c>
      <c r="B314" s="1884"/>
      <c r="C314" s="1884"/>
      <c r="D314" s="1884"/>
      <c r="E314" s="1884"/>
      <c r="F314" s="1884"/>
      <c r="G314" s="1884"/>
      <c r="H314" s="1884"/>
    </row>
    <row r="315" spans="1:8">
      <c r="A315" s="1884" t="s">
        <v>1206</v>
      </c>
      <c r="B315" s="1884"/>
      <c r="C315" s="1884"/>
      <c r="D315" s="1884"/>
      <c r="E315" s="1884"/>
      <c r="F315" s="1884"/>
      <c r="G315" s="1884"/>
      <c r="H315" s="1884"/>
    </row>
    <row r="316" spans="1:8">
      <c r="A316" s="1884" t="s">
        <v>1207</v>
      </c>
      <c r="B316" s="1884"/>
      <c r="C316" s="1884"/>
      <c r="D316" s="1884"/>
      <c r="E316" s="1884"/>
      <c r="F316" s="1884"/>
      <c r="G316" s="1884"/>
      <c r="H316" s="1884"/>
    </row>
    <row r="317" spans="1:8">
      <c r="A317" s="1884" t="s">
        <v>1208</v>
      </c>
      <c r="B317" s="1884"/>
      <c r="C317" s="1884"/>
      <c r="D317" s="1884"/>
      <c r="E317" s="1884"/>
      <c r="F317" s="1884"/>
      <c r="G317" s="1884"/>
      <c r="H317" s="1884"/>
    </row>
    <row r="318" spans="1:8">
      <c r="A318" s="1884" t="s">
        <v>1209</v>
      </c>
      <c r="B318" s="1884"/>
      <c r="C318" s="1884"/>
      <c r="D318" s="1884"/>
      <c r="E318" s="1884"/>
      <c r="F318" s="1884"/>
      <c r="G318" s="1884"/>
      <c r="H318" s="1884"/>
    </row>
    <row r="319" spans="1:8">
      <c r="A319" s="1884" t="s">
        <v>1210</v>
      </c>
      <c r="B319" s="1884"/>
      <c r="C319" s="1884"/>
      <c r="D319" s="1884"/>
      <c r="E319" s="1884"/>
      <c r="F319" s="1884"/>
      <c r="G319" s="1884"/>
      <c r="H319" s="1884"/>
    </row>
    <row r="320" spans="1:8">
      <c r="A320" s="1884" t="s">
        <v>1211</v>
      </c>
      <c r="B320" s="1884"/>
      <c r="C320" s="1884"/>
      <c r="D320" s="1884"/>
      <c r="E320" s="1884"/>
      <c r="F320" s="1884"/>
      <c r="G320" s="1884"/>
      <c r="H320" s="1884"/>
    </row>
    <row r="321" spans="1:8">
      <c r="A321" s="1884" t="s">
        <v>1212</v>
      </c>
      <c r="B321" s="1884"/>
      <c r="C321" s="1884"/>
      <c r="D321" s="1884"/>
      <c r="E321" s="1884"/>
      <c r="F321" s="1884"/>
      <c r="G321" s="1884"/>
      <c r="H321" s="1884"/>
    </row>
    <row r="322" spans="1:8">
      <c r="A322" s="1884" t="s">
        <v>1213</v>
      </c>
      <c r="B322" s="1884"/>
      <c r="C322" s="1884"/>
      <c r="D322" s="1884"/>
      <c r="E322" s="1884"/>
      <c r="F322" s="1884"/>
      <c r="G322" s="1884"/>
      <c r="H322" s="1884"/>
    </row>
    <row r="323" spans="1:8">
      <c r="A323" s="1884" t="s">
        <v>1214</v>
      </c>
      <c r="B323" s="1884"/>
      <c r="C323" s="1884"/>
      <c r="D323" s="1884"/>
      <c r="E323" s="1884"/>
      <c r="F323" s="1884"/>
      <c r="G323" s="1884"/>
      <c r="H323" s="1884"/>
    </row>
    <row r="324" spans="1:8">
      <c r="A324" s="1884" t="s">
        <v>1215</v>
      </c>
      <c r="B324" s="1884"/>
      <c r="C324" s="1884"/>
      <c r="D324" s="1884"/>
      <c r="E324" s="1884"/>
      <c r="F324" s="1884"/>
      <c r="G324" s="1884"/>
      <c r="H324" s="1884"/>
    </row>
    <row r="325" spans="1:8">
      <c r="A325" s="1884" t="s">
        <v>1216</v>
      </c>
      <c r="B325" s="1884"/>
      <c r="C325" s="1884"/>
      <c r="D325" s="1884"/>
      <c r="E325" s="1884"/>
      <c r="F325" s="1884"/>
      <c r="G325" s="1884"/>
      <c r="H325" s="1884"/>
    </row>
    <row r="326" spans="1:8">
      <c r="A326" s="1884" t="s">
        <v>1217</v>
      </c>
      <c r="B326" s="1884"/>
      <c r="C326" s="1884"/>
      <c r="D326" s="1884"/>
      <c r="E326" s="1884"/>
      <c r="F326" s="1884"/>
      <c r="G326" s="1884"/>
      <c r="H326" s="1884"/>
    </row>
    <row r="327" spans="1:8">
      <c r="A327" s="1884"/>
      <c r="B327" s="1884"/>
      <c r="C327" s="1884"/>
      <c r="D327" s="1884"/>
      <c r="E327" s="1884"/>
      <c r="F327" s="1884"/>
      <c r="G327" s="1884"/>
      <c r="H327" s="1884"/>
    </row>
    <row r="328" spans="1:8">
      <c r="A328" s="1884" t="s">
        <v>1218</v>
      </c>
      <c r="B328" s="1884"/>
      <c r="C328" s="1884"/>
      <c r="D328" s="1884"/>
      <c r="E328" s="1884"/>
      <c r="F328" s="1884"/>
      <c r="G328" s="1884"/>
      <c r="H328" s="1884"/>
    </row>
    <row r="329" spans="1:8">
      <c r="A329" s="1884" t="s">
        <v>1219</v>
      </c>
      <c r="B329" s="1884"/>
      <c r="C329" s="1884"/>
      <c r="D329" s="1884"/>
      <c r="E329" s="1884"/>
      <c r="F329" s="1884"/>
      <c r="G329" s="1884"/>
      <c r="H329" s="1884"/>
    </row>
    <row r="330" spans="1:8">
      <c r="A330" s="1884"/>
      <c r="B330" s="1884"/>
      <c r="C330" s="1884"/>
      <c r="D330" s="1884"/>
      <c r="E330" s="1884"/>
      <c r="F330" s="1884"/>
      <c r="G330" s="1884"/>
      <c r="H330" s="1884"/>
    </row>
    <row r="331" spans="1:8">
      <c r="A331" s="1884" t="s">
        <v>1220</v>
      </c>
      <c r="B331" s="1884"/>
      <c r="C331" s="1884"/>
      <c r="D331" s="1884"/>
      <c r="E331" s="1884"/>
      <c r="F331" s="1884"/>
      <c r="G331" s="1884"/>
      <c r="H331" s="1884"/>
    </row>
    <row r="332" spans="1:8">
      <c r="A332" s="1884" t="s">
        <v>1221</v>
      </c>
      <c r="B332" s="1884"/>
      <c r="C332" s="1884"/>
      <c r="D332" s="1884"/>
      <c r="E332" s="1884"/>
      <c r="F332" s="1884"/>
      <c r="G332" s="1884"/>
      <c r="H332" s="1884"/>
    </row>
    <row r="333" spans="1:8">
      <c r="A333" s="1884" t="s">
        <v>1222</v>
      </c>
      <c r="B333" s="1884"/>
      <c r="C333" s="1884"/>
      <c r="D333" s="1884"/>
      <c r="E333" s="1884"/>
      <c r="F333" s="1884"/>
      <c r="G333" s="1884"/>
      <c r="H333" s="1884"/>
    </row>
    <row r="334" spans="1:8">
      <c r="A334" s="1884" t="s">
        <v>1223</v>
      </c>
      <c r="B334" s="1884"/>
      <c r="C334" s="1884"/>
      <c r="D334" s="1884"/>
      <c r="E334" s="1884"/>
      <c r="F334" s="1884"/>
      <c r="G334" s="1884"/>
      <c r="H334" s="1884"/>
    </row>
    <row r="335" spans="1:8">
      <c r="A335" s="1884" t="s">
        <v>1224</v>
      </c>
      <c r="B335" s="1884"/>
      <c r="C335" s="1884"/>
      <c r="D335" s="1884"/>
      <c r="E335" s="1884"/>
      <c r="F335" s="1884"/>
      <c r="G335" s="1884"/>
      <c r="H335" s="1884"/>
    </row>
    <row r="336" spans="1:8">
      <c r="A336" s="1884" t="s">
        <v>1225</v>
      </c>
      <c r="B336" s="1884"/>
      <c r="C336" s="1884"/>
      <c r="D336" s="1884"/>
      <c r="E336" s="1884"/>
      <c r="F336" s="1884"/>
      <c r="G336" s="1884"/>
      <c r="H336" s="1884"/>
    </row>
    <row r="337" spans="1:8">
      <c r="A337" s="1884" t="s">
        <v>1226</v>
      </c>
      <c r="B337" s="1884"/>
      <c r="C337" s="1884"/>
      <c r="D337" s="1884"/>
      <c r="E337" s="1884"/>
      <c r="F337" s="1884"/>
      <c r="G337" s="1884"/>
      <c r="H337" s="1884"/>
    </row>
    <row r="338" spans="1:8">
      <c r="A338" s="1884" t="s">
        <v>1227</v>
      </c>
      <c r="B338" s="1884"/>
      <c r="C338" s="1884"/>
      <c r="D338" s="1884"/>
      <c r="E338" s="1884"/>
      <c r="F338" s="1884"/>
      <c r="G338" s="1884"/>
      <c r="H338" s="1884"/>
    </row>
    <row r="339" spans="1:8">
      <c r="A339" s="1884"/>
      <c r="B339" s="1884"/>
      <c r="C339" s="1884"/>
      <c r="D339" s="1884"/>
      <c r="E339" s="1884"/>
      <c r="F339" s="1884"/>
      <c r="G339" s="1884"/>
      <c r="H339" s="1884"/>
    </row>
    <row r="340" spans="1:8">
      <c r="A340" s="1884" t="s">
        <v>1228</v>
      </c>
      <c r="B340" s="1884"/>
      <c r="C340" s="1884"/>
      <c r="D340" s="1884"/>
      <c r="E340" s="1884"/>
      <c r="F340" s="1884"/>
      <c r="G340" s="1884"/>
      <c r="H340" s="1884"/>
    </row>
    <row r="341" spans="1:8">
      <c r="A341" s="1884" t="s">
        <v>1229</v>
      </c>
      <c r="B341" s="1884"/>
      <c r="C341" s="1884"/>
      <c r="D341" s="1884"/>
      <c r="E341" s="1884"/>
      <c r="F341" s="1884"/>
      <c r="G341" s="1884"/>
      <c r="H341" s="1884"/>
    </row>
    <row r="342" spans="1:8">
      <c r="A342" s="1884" t="s">
        <v>1230</v>
      </c>
      <c r="B342" s="1884"/>
      <c r="C342" s="1884"/>
      <c r="D342" s="1884"/>
      <c r="E342" s="1884"/>
      <c r="F342" s="1884"/>
      <c r="G342" s="1884"/>
      <c r="H342" s="1884"/>
    </row>
    <row r="343" spans="1:8">
      <c r="A343" s="1884" t="s">
        <v>1231</v>
      </c>
      <c r="B343" s="1884"/>
      <c r="C343" s="1884"/>
      <c r="D343" s="1884"/>
      <c r="E343" s="1884"/>
      <c r="F343" s="1884"/>
      <c r="G343" s="1884"/>
      <c r="H343" s="1884"/>
    </row>
    <row r="344" spans="1:8">
      <c r="A344" s="1884" t="s">
        <v>1232</v>
      </c>
      <c r="B344" s="1884"/>
      <c r="C344" s="1884"/>
      <c r="D344" s="1884"/>
      <c r="E344" s="1884"/>
      <c r="F344" s="1884"/>
      <c r="G344" s="1884"/>
      <c r="H344" s="1884"/>
    </row>
    <row r="345" spans="1:8">
      <c r="A345" s="1884" t="s">
        <v>1233</v>
      </c>
      <c r="B345" s="1884"/>
      <c r="C345" s="1884"/>
      <c r="D345" s="1884"/>
      <c r="E345" s="1884"/>
      <c r="F345" s="1884"/>
      <c r="G345" s="1884"/>
      <c r="H345" s="1884"/>
    </row>
    <row r="346" spans="1:8">
      <c r="A346" s="1884" t="s">
        <v>1234</v>
      </c>
      <c r="B346" s="1884"/>
      <c r="C346" s="1884"/>
      <c r="D346" s="1884"/>
      <c r="E346" s="1884"/>
      <c r="F346" s="1884"/>
      <c r="G346" s="1884"/>
      <c r="H346" s="1884"/>
    </row>
    <row r="347" spans="1:8">
      <c r="A347" s="1884" t="s">
        <v>1235</v>
      </c>
      <c r="B347" s="1884"/>
      <c r="C347" s="1884"/>
      <c r="D347" s="1884"/>
      <c r="E347" s="1884"/>
      <c r="F347" s="1884"/>
      <c r="G347" s="1884"/>
      <c r="H347" s="1884"/>
    </row>
    <row r="348" spans="1:8">
      <c r="A348" s="1884" t="s">
        <v>1236</v>
      </c>
      <c r="B348" s="1884"/>
      <c r="C348" s="1884"/>
      <c r="D348" s="1884"/>
      <c r="E348" s="1884"/>
      <c r="F348" s="1884"/>
      <c r="G348" s="1884"/>
      <c r="H348" s="1884"/>
    </row>
    <row r="349" spans="1:8">
      <c r="A349" s="1884" t="s">
        <v>1237</v>
      </c>
      <c r="B349" s="1884"/>
      <c r="C349" s="1884"/>
      <c r="D349" s="1884"/>
      <c r="E349" s="1884"/>
      <c r="F349" s="1884"/>
      <c r="G349" s="1884"/>
      <c r="H349" s="1884"/>
    </row>
    <row r="350" spans="1:8">
      <c r="A350" s="1884" t="s">
        <v>1238</v>
      </c>
      <c r="B350" s="1884"/>
      <c r="C350" s="1884"/>
      <c r="D350" s="1884"/>
      <c r="E350" s="1884"/>
      <c r="F350" s="1884"/>
      <c r="G350" s="1884"/>
      <c r="H350" s="1884"/>
    </row>
    <row r="351" spans="1:8">
      <c r="A351" s="1884" t="s">
        <v>1239</v>
      </c>
      <c r="B351" s="1884"/>
      <c r="C351" s="1884"/>
      <c r="D351" s="1884"/>
      <c r="E351" s="1884"/>
      <c r="F351" s="1884"/>
      <c r="G351" s="1884"/>
      <c r="H351" s="1884"/>
    </row>
    <row r="352" spans="1:8">
      <c r="A352" s="1884" t="s">
        <v>1240</v>
      </c>
      <c r="B352" s="1884"/>
      <c r="C352" s="1884"/>
      <c r="D352" s="1884"/>
      <c r="E352" s="1884"/>
      <c r="F352" s="1884"/>
      <c r="G352" s="1884"/>
      <c r="H352" s="1884"/>
    </row>
    <row r="353" spans="1:8">
      <c r="A353" s="1884" t="s">
        <v>1241</v>
      </c>
      <c r="B353" s="1884"/>
      <c r="C353" s="1884"/>
      <c r="D353" s="1884"/>
      <c r="E353" s="1884"/>
      <c r="F353" s="1884"/>
      <c r="G353" s="1884"/>
      <c r="H353" s="1884"/>
    </row>
    <row r="354" spans="1:8">
      <c r="A354" s="1884" t="s">
        <v>1242</v>
      </c>
      <c r="B354" s="1884"/>
      <c r="C354" s="1884"/>
      <c r="D354" s="1884"/>
      <c r="E354" s="1884"/>
      <c r="F354" s="1884"/>
      <c r="G354" s="1884"/>
      <c r="H354" s="1884"/>
    </row>
    <row r="355" spans="1:8">
      <c r="A355" s="1884" t="s">
        <v>1243</v>
      </c>
      <c r="B355" s="1884"/>
      <c r="C355" s="1884"/>
      <c r="D355" s="1884"/>
      <c r="E355" s="1884"/>
      <c r="F355" s="1884"/>
      <c r="G355" s="1884"/>
      <c r="H355" s="1884"/>
    </row>
    <row r="356" spans="1:8">
      <c r="A356" s="1884" t="s">
        <v>1244</v>
      </c>
      <c r="B356" s="1884"/>
      <c r="C356" s="1884"/>
      <c r="D356" s="1884"/>
      <c r="E356" s="1884"/>
      <c r="F356" s="1884"/>
      <c r="G356" s="1884"/>
      <c r="H356" s="1884"/>
    </row>
    <row r="357" spans="1:8">
      <c r="A357" s="1884" t="s">
        <v>1245</v>
      </c>
      <c r="B357" s="1884"/>
      <c r="C357" s="1884"/>
      <c r="D357" s="1884"/>
      <c r="E357" s="1884"/>
      <c r="F357" s="1884"/>
      <c r="G357" s="1884"/>
      <c r="H357" s="1884"/>
    </row>
    <row r="358" spans="1:8">
      <c r="A358" s="1884" t="s">
        <v>1246</v>
      </c>
      <c r="B358" s="1884"/>
      <c r="C358" s="1884"/>
      <c r="D358" s="1884"/>
      <c r="E358" s="1884"/>
      <c r="F358" s="1884"/>
      <c r="G358" s="1884"/>
      <c r="H358" s="1884"/>
    </row>
    <row r="359" spans="1:8">
      <c r="A359" s="1884" t="s">
        <v>1247</v>
      </c>
      <c r="B359" s="1884"/>
      <c r="C359" s="1884"/>
      <c r="D359" s="1884"/>
      <c r="E359" s="1884"/>
      <c r="F359" s="1884"/>
      <c r="G359" s="1884"/>
      <c r="H359" s="1884"/>
    </row>
    <row r="360" spans="1:8">
      <c r="A360" s="1884" t="s">
        <v>1248</v>
      </c>
      <c r="B360" s="1884"/>
      <c r="C360" s="1884"/>
      <c r="D360" s="1884"/>
      <c r="E360" s="1884"/>
      <c r="F360" s="1884"/>
      <c r="G360" s="1884"/>
      <c r="H360" s="1884"/>
    </row>
    <row r="361" spans="1:8">
      <c r="A361" s="1884" t="s">
        <v>1249</v>
      </c>
      <c r="B361" s="1884"/>
      <c r="C361" s="1884"/>
      <c r="D361" s="1884"/>
      <c r="E361" s="1884"/>
      <c r="F361" s="1884"/>
      <c r="G361" s="1884"/>
      <c r="H361" s="1884"/>
    </row>
    <row r="362" spans="1:8">
      <c r="A362" s="1884" t="s">
        <v>1250</v>
      </c>
      <c r="B362" s="1884"/>
      <c r="C362" s="1884"/>
      <c r="D362" s="1884"/>
      <c r="E362" s="1884"/>
      <c r="F362" s="1884"/>
      <c r="G362" s="1884"/>
      <c r="H362" s="1884"/>
    </row>
    <row r="363" spans="1:8">
      <c r="A363" s="1884" t="s">
        <v>1251</v>
      </c>
      <c r="B363" s="1884"/>
      <c r="C363" s="1884"/>
      <c r="D363" s="1884"/>
      <c r="E363" s="1884"/>
      <c r="F363" s="1884"/>
      <c r="G363" s="1884"/>
      <c r="H363" s="1884"/>
    </row>
    <row r="364" spans="1:8">
      <c r="A364" s="1884" t="s">
        <v>1252</v>
      </c>
      <c r="B364" s="1884"/>
      <c r="C364" s="1884"/>
      <c r="D364" s="1884"/>
      <c r="E364" s="1884"/>
      <c r="F364" s="1884"/>
      <c r="G364" s="1884"/>
      <c r="H364" s="1884"/>
    </row>
    <row r="365" spans="1:8">
      <c r="A365" s="1884" t="s">
        <v>1253</v>
      </c>
      <c r="B365" s="1884"/>
      <c r="C365" s="1884"/>
      <c r="D365" s="1884"/>
      <c r="E365" s="1884"/>
      <c r="F365" s="1884"/>
      <c r="G365" s="1884"/>
      <c r="H365" s="1884"/>
    </row>
    <row r="366" spans="1:8">
      <c r="A366" s="1884" t="s">
        <v>1254</v>
      </c>
      <c r="B366" s="1884"/>
      <c r="C366" s="1884"/>
      <c r="D366" s="1884"/>
      <c r="E366" s="1884"/>
      <c r="F366" s="1884"/>
      <c r="G366" s="1884"/>
      <c r="H366" s="1884"/>
    </row>
    <row r="367" spans="1:8">
      <c r="A367" s="1884" t="s">
        <v>1255</v>
      </c>
      <c r="B367" s="1884"/>
      <c r="C367" s="1884"/>
      <c r="D367" s="1884"/>
      <c r="E367" s="1884"/>
      <c r="F367" s="1884"/>
      <c r="G367" s="1884"/>
      <c r="H367" s="1884"/>
    </row>
    <row r="368" spans="1:8">
      <c r="A368" s="1884" t="s">
        <v>1256</v>
      </c>
      <c r="B368" s="1884"/>
      <c r="C368" s="1884"/>
      <c r="D368" s="1884"/>
      <c r="E368" s="1884"/>
      <c r="F368" s="1884"/>
      <c r="G368" s="1884"/>
      <c r="H368" s="1884"/>
    </row>
    <row r="369" spans="1:8">
      <c r="A369" s="1884" t="s">
        <v>1257</v>
      </c>
      <c r="B369" s="1884"/>
      <c r="C369" s="1884"/>
      <c r="D369" s="1884"/>
      <c r="E369" s="1884"/>
      <c r="F369" s="1884"/>
      <c r="G369" s="1884"/>
      <c r="H369" s="1884"/>
    </row>
    <row r="370" spans="1:8">
      <c r="A370" s="1884" t="s">
        <v>1258</v>
      </c>
      <c r="B370" s="1884"/>
      <c r="C370" s="1884"/>
      <c r="D370" s="1884"/>
      <c r="E370" s="1884"/>
      <c r="F370" s="1884"/>
      <c r="G370" s="1884"/>
      <c r="H370" s="1884"/>
    </row>
    <row r="371" spans="1:8">
      <c r="A371" s="1884" t="s">
        <v>1259</v>
      </c>
      <c r="B371" s="1884"/>
      <c r="C371" s="1884"/>
      <c r="D371" s="1884"/>
      <c r="E371" s="1884"/>
      <c r="F371" s="1884"/>
      <c r="G371" s="1884"/>
      <c r="H371" s="1884"/>
    </row>
    <row r="372" spans="1:8">
      <c r="A372" s="1884" t="s">
        <v>1260</v>
      </c>
      <c r="B372" s="1884"/>
      <c r="C372" s="1884"/>
      <c r="D372" s="1884"/>
      <c r="E372" s="1884"/>
      <c r="F372" s="1884"/>
      <c r="G372" s="1884"/>
      <c r="H372" s="1884"/>
    </row>
    <row r="373" spans="1:8">
      <c r="A373" s="1884" t="s">
        <v>1261</v>
      </c>
      <c r="B373" s="1884"/>
      <c r="C373" s="1884"/>
      <c r="D373" s="1884"/>
      <c r="E373" s="1884"/>
      <c r="F373" s="1884"/>
      <c r="G373" s="1884"/>
      <c r="H373" s="1884"/>
    </row>
    <row r="374" spans="1:8">
      <c r="A374" s="1884" t="s">
        <v>1262</v>
      </c>
      <c r="B374" s="1884"/>
      <c r="C374" s="1884"/>
      <c r="D374" s="1884"/>
      <c r="E374" s="1884"/>
      <c r="F374" s="1884"/>
      <c r="G374" s="1884"/>
      <c r="H374" s="1884"/>
    </row>
    <row r="375" spans="1:8">
      <c r="A375" s="1884" t="s">
        <v>1263</v>
      </c>
      <c r="B375" s="1884"/>
      <c r="C375" s="1884"/>
      <c r="D375" s="1884"/>
      <c r="E375" s="1884"/>
      <c r="F375" s="1884"/>
      <c r="G375" s="1884"/>
      <c r="H375" s="1884"/>
    </row>
    <row r="376" spans="1:8">
      <c r="A376" s="1884" t="s">
        <v>1264</v>
      </c>
      <c r="B376" s="1884"/>
      <c r="C376" s="1884"/>
      <c r="D376" s="1884"/>
      <c r="E376" s="1884"/>
      <c r="F376" s="1884"/>
      <c r="G376" s="1884"/>
      <c r="H376" s="1884"/>
    </row>
    <row r="377" spans="1:8">
      <c r="A377" s="1884" t="s">
        <v>1265</v>
      </c>
      <c r="B377" s="1884"/>
      <c r="C377" s="1884"/>
      <c r="D377" s="1884"/>
      <c r="E377" s="1884"/>
      <c r="F377" s="1884"/>
      <c r="G377" s="1884"/>
      <c r="H377" s="1884"/>
    </row>
    <row r="378" spans="1:8">
      <c r="A378" s="1884" t="s">
        <v>1266</v>
      </c>
      <c r="B378" s="1884"/>
      <c r="C378" s="1884"/>
      <c r="D378" s="1884"/>
      <c r="E378" s="1884"/>
      <c r="F378" s="1884"/>
      <c r="G378" s="1884"/>
      <c r="H378" s="1884"/>
    </row>
    <row r="379" spans="1:8">
      <c r="A379" s="1884" t="s">
        <v>1267</v>
      </c>
      <c r="B379" s="1884"/>
      <c r="C379" s="1884"/>
      <c r="D379" s="1884"/>
      <c r="E379" s="1884"/>
      <c r="F379" s="1884"/>
      <c r="G379" s="1884"/>
      <c r="H379" s="1884"/>
    </row>
    <row r="380" spans="1:8">
      <c r="A380" s="1884" t="s">
        <v>1268</v>
      </c>
      <c r="B380" s="1884"/>
      <c r="C380" s="1884"/>
      <c r="D380" s="1884"/>
      <c r="E380" s="1884"/>
      <c r="F380" s="1884"/>
      <c r="G380" s="1884"/>
      <c r="H380" s="1884"/>
    </row>
    <row r="381" spans="1:8">
      <c r="A381" s="1884" t="s">
        <v>1269</v>
      </c>
      <c r="B381" s="1884"/>
      <c r="C381" s="1884"/>
      <c r="D381" s="1884"/>
      <c r="E381" s="1884"/>
      <c r="F381" s="1884"/>
      <c r="G381" s="1884"/>
      <c r="H381" s="1884"/>
    </row>
    <row r="382" spans="1:8">
      <c r="A382" s="1884" t="s">
        <v>1270</v>
      </c>
      <c r="B382" s="1884"/>
      <c r="C382" s="1884"/>
      <c r="D382" s="1884"/>
      <c r="E382" s="1884"/>
      <c r="F382" s="1884"/>
      <c r="G382" s="1884"/>
      <c r="H382" s="1884"/>
    </row>
    <row r="383" spans="1:8">
      <c r="A383" s="1884" t="s">
        <v>1271</v>
      </c>
      <c r="B383" s="1884"/>
      <c r="C383" s="1884"/>
      <c r="D383" s="1884"/>
      <c r="E383" s="1884"/>
      <c r="F383" s="1884"/>
      <c r="G383" s="1884"/>
      <c r="H383" s="1884"/>
    </row>
    <row r="384" spans="1:8">
      <c r="A384" s="1884" t="s">
        <v>1272</v>
      </c>
      <c r="B384" s="1884"/>
      <c r="C384" s="1884"/>
      <c r="D384" s="1884"/>
      <c r="E384" s="1884"/>
      <c r="F384" s="1884"/>
      <c r="G384" s="1884"/>
      <c r="H384" s="1884"/>
    </row>
    <row r="385" spans="1:8">
      <c r="A385" s="1884" t="s">
        <v>1273</v>
      </c>
      <c r="B385" s="1884"/>
      <c r="C385" s="1884"/>
      <c r="D385" s="1884"/>
      <c r="E385" s="1884"/>
      <c r="F385" s="1884"/>
      <c r="G385" s="1884"/>
      <c r="H385" s="1884"/>
    </row>
    <row r="386" spans="1:8">
      <c r="A386" s="1884"/>
      <c r="B386" s="1884"/>
      <c r="C386" s="1884"/>
      <c r="D386" s="1884"/>
      <c r="E386" s="1884"/>
      <c r="F386" s="1884"/>
      <c r="G386" s="1884"/>
      <c r="H386" s="1884"/>
    </row>
    <row r="387" spans="1:8">
      <c r="A387" s="1884" t="s">
        <v>1274</v>
      </c>
      <c r="B387" s="1884"/>
      <c r="C387" s="1884"/>
      <c r="D387" s="1884"/>
      <c r="E387" s="1884"/>
      <c r="F387" s="1884"/>
      <c r="G387" s="1884"/>
      <c r="H387" s="1884"/>
    </row>
    <row r="388" spans="1:8">
      <c r="A388" s="1884" t="s">
        <v>1275</v>
      </c>
      <c r="B388" s="1884"/>
      <c r="C388" s="1884"/>
      <c r="D388" s="1884"/>
      <c r="E388" s="1884"/>
      <c r="F388" s="1884"/>
      <c r="G388" s="1884"/>
      <c r="H388" s="1884"/>
    </row>
    <row r="389" spans="1:8">
      <c r="A389" s="1884" t="s">
        <v>1276</v>
      </c>
      <c r="B389" s="1884"/>
      <c r="C389" s="1884"/>
      <c r="D389" s="1884"/>
      <c r="E389" s="1884"/>
      <c r="F389" s="1884"/>
      <c r="G389" s="1884"/>
      <c r="H389" s="1884"/>
    </row>
    <row r="390" spans="1:8">
      <c r="A390" s="1884" t="s">
        <v>1277</v>
      </c>
      <c r="B390" s="1884"/>
      <c r="C390" s="1884"/>
      <c r="D390" s="1884"/>
      <c r="E390" s="1884"/>
      <c r="F390" s="1884"/>
      <c r="G390" s="1884"/>
      <c r="H390" s="1884"/>
    </row>
    <row r="391" spans="1:8">
      <c r="A391" s="1884" t="s">
        <v>1278</v>
      </c>
      <c r="B391" s="1884"/>
      <c r="C391" s="1884"/>
      <c r="D391" s="1884"/>
      <c r="E391" s="1884"/>
      <c r="F391" s="1884"/>
      <c r="G391" s="1884"/>
      <c r="H391" s="1884"/>
    </row>
    <row r="392" spans="1:8">
      <c r="A392" s="1884" t="s">
        <v>1279</v>
      </c>
      <c r="B392" s="1884"/>
      <c r="C392" s="1884"/>
      <c r="D392" s="1884"/>
      <c r="E392" s="1884"/>
      <c r="F392" s="1884"/>
      <c r="G392" s="1884"/>
      <c r="H392" s="1884"/>
    </row>
    <row r="393" spans="1:8">
      <c r="A393" s="1884" t="s">
        <v>1280</v>
      </c>
      <c r="B393" s="1884"/>
      <c r="C393" s="1884"/>
      <c r="D393" s="1884"/>
      <c r="E393" s="1884"/>
      <c r="F393" s="1884"/>
      <c r="G393" s="1884"/>
      <c r="H393" s="1884"/>
    </row>
    <row r="394" spans="1:8">
      <c r="A394" s="1884" t="s">
        <v>1281</v>
      </c>
      <c r="B394" s="1884"/>
      <c r="C394" s="1884"/>
      <c r="D394" s="1884"/>
      <c r="E394" s="1884"/>
      <c r="F394" s="1884"/>
      <c r="G394" s="1884"/>
      <c r="H394" s="1884"/>
    </row>
    <row r="395" spans="1:8">
      <c r="A395" s="1884"/>
      <c r="B395" s="1884"/>
      <c r="C395" s="1884"/>
      <c r="D395" s="1884"/>
      <c r="E395" s="1884"/>
      <c r="F395" s="1884"/>
      <c r="G395" s="1884"/>
      <c r="H395" s="1884"/>
    </row>
    <row r="396" spans="1:8">
      <c r="A396" s="1884" t="s">
        <v>1274</v>
      </c>
      <c r="B396" s="1884"/>
      <c r="C396" s="1884"/>
      <c r="D396" s="1884"/>
      <c r="E396" s="1884"/>
      <c r="F396" s="1884"/>
      <c r="G396" s="1884"/>
      <c r="H396" s="1884"/>
    </row>
    <row r="397" spans="1:8">
      <c r="A397" s="1884" t="s">
        <v>1282</v>
      </c>
      <c r="B397" s="1884"/>
      <c r="C397" s="1884"/>
      <c r="D397" s="1884"/>
      <c r="E397" s="1884"/>
      <c r="F397" s="1884"/>
      <c r="G397" s="1884"/>
      <c r="H397" s="1884"/>
    </row>
    <row r="398" spans="1:8">
      <c r="A398" s="1884" t="s">
        <v>1283</v>
      </c>
      <c r="B398" s="1884"/>
      <c r="C398" s="1884"/>
      <c r="D398" s="1884"/>
      <c r="E398" s="1884"/>
      <c r="F398" s="1884"/>
      <c r="G398" s="1884"/>
      <c r="H398" s="1884"/>
    </row>
    <row r="399" spans="1:8">
      <c r="A399" s="1884" t="s">
        <v>1284</v>
      </c>
      <c r="B399" s="1884"/>
      <c r="C399" s="1884"/>
      <c r="D399" s="1884"/>
      <c r="E399" s="1884"/>
      <c r="F399" s="1884"/>
      <c r="G399" s="1884"/>
      <c r="H399" s="1884"/>
    </row>
    <row r="400" spans="1:8">
      <c r="A400" s="1884"/>
      <c r="B400" s="1884"/>
      <c r="C400" s="1884"/>
      <c r="D400" s="1884"/>
      <c r="E400" s="1884"/>
      <c r="F400" s="1884"/>
      <c r="G400" s="1884"/>
      <c r="H400" s="1884"/>
    </row>
    <row r="401" spans="1:8">
      <c r="A401" s="1884" t="s">
        <v>1285</v>
      </c>
      <c r="B401" s="1884"/>
      <c r="C401" s="1884"/>
      <c r="D401" s="1884"/>
      <c r="E401" s="1884"/>
      <c r="F401" s="1884"/>
      <c r="G401" s="1884"/>
      <c r="H401" s="1884"/>
    </row>
    <row r="402" spans="1:8">
      <c r="A402" s="1884" t="s">
        <v>1286</v>
      </c>
      <c r="B402" s="1884"/>
      <c r="C402" s="1884"/>
      <c r="D402" s="1884"/>
      <c r="E402" s="1884"/>
      <c r="F402" s="1884"/>
      <c r="G402" s="1884"/>
      <c r="H402" s="1884"/>
    </row>
    <row r="403" spans="1:8">
      <c r="A403" s="1884" t="s">
        <v>1287</v>
      </c>
      <c r="B403" s="1884"/>
      <c r="C403" s="1884"/>
      <c r="D403" s="1884"/>
      <c r="E403" s="1884"/>
      <c r="F403" s="1884"/>
      <c r="G403" s="1884"/>
      <c r="H403" s="1884"/>
    </row>
    <row r="404" spans="1:8">
      <c r="A404" s="1884" t="s">
        <v>1288</v>
      </c>
      <c r="B404" s="1884"/>
      <c r="C404" s="1884"/>
      <c r="D404" s="1884"/>
      <c r="E404" s="1884"/>
      <c r="F404" s="1884"/>
      <c r="G404" s="1884"/>
      <c r="H404" s="1884"/>
    </row>
    <row r="405" spans="1:8">
      <c r="A405" s="1884" t="s">
        <v>1289</v>
      </c>
      <c r="B405" s="1884"/>
      <c r="C405" s="1884"/>
      <c r="D405" s="1884"/>
      <c r="E405" s="1884"/>
      <c r="F405" s="1884"/>
      <c r="G405" s="1884"/>
      <c r="H405" s="1884"/>
    </row>
    <row r="406" spans="1:8">
      <c r="A406" s="1884" t="s">
        <v>1290</v>
      </c>
      <c r="B406" s="1884"/>
      <c r="C406" s="1884"/>
      <c r="D406" s="1884"/>
      <c r="E406" s="1884"/>
      <c r="F406" s="1884"/>
      <c r="G406" s="1884"/>
      <c r="H406" s="1884"/>
    </row>
    <row r="407" spans="1:8">
      <c r="A407" s="1884"/>
      <c r="B407" s="1884"/>
      <c r="C407" s="1884"/>
      <c r="D407" s="1884"/>
      <c r="E407" s="1884"/>
      <c r="F407" s="1884"/>
      <c r="G407" s="1884"/>
      <c r="H407" s="1884"/>
    </row>
    <row r="408" spans="1:8">
      <c r="A408" s="1884" t="s">
        <v>1291</v>
      </c>
      <c r="B408" s="1884"/>
      <c r="C408" s="1884"/>
      <c r="D408" s="1884"/>
      <c r="E408" s="1884"/>
      <c r="F408" s="1884"/>
      <c r="G408" s="1884"/>
      <c r="H408" s="1884"/>
    </row>
    <row r="409" spans="1:8">
      <c r="A409" s="1884" t="s">
        <v>1292</v>
      </c>
      <c r="B409" s="1884"/>
      <c r="C409" s="1884"/>
      <c r="D409" s="1884"/>
      <c r="E409" s="1884"/>
      <c r="F409" s="1884"/>
      <c r="G409" s="1884"/>
      <c r="H409" s="1884"/>
    </row>
    <row r="410" spans="1:8">
      <c r="A410" s="1884" t="s">
        <v>1293</v>
      </c>
      <c r="B410" s="1884"/>
      <c r="C410" s="1884"/>
      <c r="D410" s="1884"/>
      <c r="E410" s="1884"/>
      <c r="F410" s="1884"/>
      <c r="G410" s="1884"/>
      <c r="H410" s="1884"/>
    </row>
    <row r="411" spans="1:8">
      <c r="A411" s="1884" t="s">
        <v>1294</v>
      </c>
      <c r="B411" s="1884"/>
      <c r="C411" s="1884"/>
      <c r="D411" s="1884"/>
      <c r="E411" s="1884"/>
      <c r="F411" s="1884"/>
      <c r="G411" s="1884"/>
      <c r="H411" s="1884"/>
    </row>
    <row r="412" spans="1:8">
      <c r="A412" s="1884" t="s">
        <v>1295</v>
      </c>
      <c r="B412" s="1884"/>
      <c r="C412" s="1884"/>
      <c r="D412" s="1884"/>
      <c r="E412" s="1884"/>
      <c r="F412" s="1884"/>
      <c r="G412" s="1884"/>
      <c r="H412" s="1884"/>
    </row>
    <row r="413" spans="1:8">
      <c r="A413" s="1884"/>
      <c r="B413" s="1884"/>
      <c r="C413" s="1884"/>
      <c r="D413" s="1884"/>
      <c r="E413" s="1884"/>
      <c r="F413" s="1884"/>
      <c r="G413" s="1884"/>
      <c r="H413" s="1884"/>
    </row>
    <row r="414" spans="1:8">
      <c r="A414" s="1884" t="s">
        <v>1296</v>
      </c>
      <c r="B414" s="1884"/>
      <c r="C414" s="1884"/>
      <c r="D414" s="1884"/>
      <c r="E414" s="1884"/>
      <c r="F414" s="1884"/>
      <c r="G414" s="1884"/>
      <c r="H414" s="1884"/>
    </row>
    <row r="415" spans="1:8">
      <c r="A415" s="1884" t="s">
        <v>1297</v>
      </c>
      <c r="B415" s="1884"/>
      <c r="C415" s="1884"/>
      <c r="D415" s="1884"/>
      <c r="E415" s="1884"/>
      <c r="F415" s="1884"/>
      <c r="G415" s="1884"/>
      <c r="H415" s="1884"/>
    </row>
    <row r="416" spans="1:8">
      <c r="A416" s="1884"/>
      <c r="B416" s="1884"/>
      <c r="C416" s="1884"/>
      <c r="D416" s="1884"/>
      <c r="E416" s="1884"/>
      <c r="F416" s="1884"/>
      <c r="G416" s="1884"/>
      <c r="H416" s="1884"/>
    </row>
    <row r="417" spans="1:8">
      <c r="A417" s="1884" t="s">
        <v>1298</v>
      </c>
      <c r="B417" s="1884"/>
      <c r="C417" s="1884"/>
      <c r="D417" s="1884"/>
      <c r="E417" s="1884"/>
      <c r="F417" s="1884"/>
      <c r="G417" s="1884"/>
      <c r="H417" s="1884"/>
    </row>
    <row r="418" spans="1:8">
      <c r="A418" s="1884" t="s">
        <v>1299</v>
      </c>
      <c r="B418" s="1884"/>
      <c r="C418" s="1884"/>
      <c r="D418" s="1884"/>
      <c r="E418" s="1884"/>
      <c r="F418" s="1884"/>
      <c r="G418" s="1884"/>
      <c r="H418" s="1884"/>
    </row>
    <row r="419" spans="1:8">
      <c r="A419" s="1884"/>
      <c r="B419" s="1884"/>
      <c r="C419" s="1884"/>
      <c r="D419" s="1884"/>
      <c r="E419" s="1884"/>
      <c r="F419" s="1884"/>
      <c r="G419" s="1884"/>
      <c r="H419" s="1884"/>
    </row>
    <row r="420" spans="1:8">
      <c r="A420" s="1884" t="s">
        <v>1300</v>
      </c>
      <c r="B420" s="1884"/>
      <c r="C420" s="1884"/>
      <c r="D420" s="1884"/>
      <c r="E420" s="1884"/>
      <c r="F420" s="1884"/>
      <c r="G420" s="1884"/>
      <c r="H420" s="1884"/>
    </row>
    <row r="421" spans="1:8">
      <c r="A421" s="1884" t="s">
        <v>1301</v>
      </c>
      <c r="B421" s="1884"/>
      <c r="C421" s="1884"/>
      <c r="D421" s="1884"/>
      <c r="E421" s="1884"/>
      <c r="F421" s="1884"/>
      <c r="G421" s="1884"/>
      <c r="H421" s="1884"/>
    </row>
    <row r="422" spans="1:8">
      <c r="A422" s="1884" t="s">
        <v>1302</v>
      </c>
      <c r="B422" s="1884"/>
      <c r="C422" s="1884"/>
      <c r="D422" s="1884"/>
      <c r="E422" s="1884"/>
      <c r="F422" s="1884"/>
      <c r="G422" s="1884"/>
      <c r="H422" s="1884"/>
    </row>
    <row r="423" spans="1:8">
      <c r="A423" s="1884" t="s">
        <v>1303</v>
      </c>
      <c r="B423" s="1884"/>
      <c r="C423" s="1884"/>
      <c r="D423" s="1884"/>
      <c r="E423" s="1884"/>
      <c r="F423" s="1884"/>
      <c r="G423" s="1884"/>
      <c r="H423" s="1884"/>
    </row>
    <row r="424" spans="1:8">
      <c r="A424" s="1884"/>
      <c r="B424" s="1884"/>
      <c r="C424" s="1884"/>
      <c r="D424" s="1884"/>
      <c r="E424" s="1884"/>
      <c r="F424" s="1884"/>
      <c r="G424" s="1884"/>
      <c r="H424" s="1884"/>
    </row>
    <row r="425" spans="1:8">
      <c r="A425" s="1884" t="s">
        <v>1304</v>
      </c>
      <c r="B425" s="1884"/>
      <c r="C425" s="1884"/>
      <c r="D425" s="1884"/>
      <c r="E425" s="1884"/>
      <c r="F425" s="1884"/>
      <c r="G425" s="1884"/>
      <c r="H425" s="1884"/>
    </row>
    <row r="426" spans="1:8">
      <c r="A426" s="1884" t="s">
        <v>1305</v>
      </c>
      <c r="B426" s="1884"/>
      <c r="C426" s="1884"/>
      <c r="D426" s="1884"/>
      <c r="E426" s="1884"/>
      <c r="F426" s="1884"/>
      <c r="G426" s="1884"/>
      <c r="H426" s="1884"/>
    </row>
    <row r="427" spans="1:8">
      <c r="A427" s="1884"/>
      <c r="B427" s="1884"/>
      <c r="C427" s="1884"/>
      <c r="D427" s="1884"/>
      <c r="E427" s="1884"/>
      <c r="F427" s="1884"/>
      <c r="G427" s="1884"/>
      <c r="H427" s="1884"/>
    </row>
    <row r="428" spans="1:8">
      <c r="A428" s="1884" t="s">
        <v>1306</v>
      </c>
      <c r="B428" s="1884"/>
      <c r="C428" s="1884"/>
      <c r="D428" s="1884"/>
      <c r="E428" s="1884"/>
      <c r="F428" s="1884"/>
      <c r="G428" s="1884"/>
      <c r="H428" s="1884"/>
    </row>
    <row r="429" spans="1:8">
      <c r="A429" s="1884" t="s">
        <v>1307</v>
      </c>
      <c r="B429" s="1884"/>
      <c r="C429" s="1884"/>
      <c r="D429" s="1884"/>
      <c r="E429" s="1884"/>
      <c r="F429" s="1884"/>
      <c r="G429" s="1884"/>
      <c r="H429" s="1884"/>
    </row>
    <row r="430" spans="1:8">
      <c r="A430" s="1884" t="s">
        <v>1308</v>
      </c>
      <c r="B430" s="1884"/>
      <c r="C430" s="1884"/>
      <c r="D430" s="1884"/>
      <c r="E430" s="1884"/>
      <c r="F430" s="1884"/>
      <c r="G430" s="1884"/>
      <c r="H430" s="1884"/>
    </row>
    <row r="431" spans="1:8">
      <c r="A431" s="1884" t="s">
        <v>1309</v>
      </c>
      <c r="B431" s="1884"/>
      <c r="C431" s="1884"/>
      <c r="D431" s="1884"/>
      <c r="E431" s="1884"/>
      <c r="F431" s="1884"/>
      <c r="G431" s="1884"/>
      <c r="H431" s="1884"/>
    </row>
    <row r="433" spans="1:1">
      <c r="A433" s="259" t="s">
        <v>1310</v>
      </c>
    </row>
  </sheetData>
  <mergeCells count="3">
    <mergeCell ref="B129:C129"/>
    <mergeCell ref="D129:F129"/>
    <mergeCell ref="G129:H1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99"/>
  </sheetPr>
  <dimension ref="A1:D21"/>
  <sheetViews>
    <sheetView workbookViewId="0">
      <selection activeCell="I36" sqref="I36"/>
    </sheetView>
  </sheetViews>
  <sheetFormatPr defaultRowHeight="13.2" customHeight="1"/>
  <cols>
    <col min="1" max="1" width="4.6640625" customWidth="1"/>
    <col min="2" max="2" width="21.44140625" customWidth="1"/>
    <col min="3" max="3" width="34.88671875" customWidth="1"/>
    <col min="4" max="4" width="20.5546875" customWidth="1"/>
    <col min="6" max="6" width="8.88671875" customWidth="1"/>
  </cols>
  <sheetData>
    <row r="1" spans="1:4" ht="21.6" thickBot="1">
      <c r="A1" s="130"/>
      <c r="B1" s="131" t="s">
        <v>578</v>
      </c>
      <c r="C1" s="132" t="s">
        <v>379</v>
      </c>
      <c r="D1" s="133"/>
    </row>
    <row r="2" spans="1:4" ht="21">
      <c r="A2" s="130"/>
      <c r="B2" s="130"/>
      <c r="C2" s="131"/>
      <c r="D2" s="130"/>
    </row>
    <row r="3" spans="1:4" ht="13.5" customHeight="1">
      <c r="A3" s="130"/>
      <c r="B3" s="130"/>
      <c r="C3" s="131"/>
      <c r="D3" s="130"/>
    </row>
    <row r="4" spans="1:4" ht="21">
      <c r="A4" s="130"/>
      <c r="B4" s="131"/>
      <c r="C4" s="550" t="s">
        <v>879</v>
      </c>
      <c r="D4" s="550" t="s">
        <v>880</v>
      </c>
    </row>
    <row r="5" spans="1:4">
      <c r="A5" s="130"/>
      <c r="B5" s="130"/>
      <c r="C5" s="551" t="s">
        <v>881</v>
      </c>
      <c r="D5" s="550"/>
    </row>
    <row r="6" spans="1:4">
      <c r="A6" s="130"/>
      <c r="B6" s="130"/>
      <c r="C6" s="550"/>
      <c r="D6" s="550"/>
    </row>
    <row r="7" spans="1:4">
      <c r="A7" s="130"/>
      <c r="B7" s="130"/>
      <c r="C7" s="550" t="s">
        <v>882</v>
      </c>
      <c r="D7" s="550" t="s">
        <v>883</v>
      </c>
    </row>
    <row r="8" spans="1:4">
      <c r="A8" s="130"/>
      <c r="B8" s="130"/>
      <c r="C8" s="551" t="s">
        <v>884</v>
      </c>
      <c r="D8" s="550"/>
    </row>
    <row r="9" spans="1:4">
      <c r="A9" s="130"/>
      <c r="B9" s="130"/>
      <c r="C9" s="550"/>
      <c r="D9" s="550"/>
    </row>
    <row r="10" spans="1:4">
      <c r="A10" s="130"/>
      <c r="B10" s="130"/>
      <c r="C10" s="550" t="s">
        <v>933</v>
      </c>
      <c r="D10" s="550" t="s">
        <v>885</v>
      </c>
    </row>
    <row r="11" spans="1:4">
      <c r="A11" s="130"/>
      <c r="B11" s="130"/>
      <c r="C11" s="551" t="s">
        <v>934</v>
      </c>
      <c r="D11" s="550"/>
    </row>
    <row r="12" spans="1:4">
      <c r="A12" s="130"/>
      <c r="B12" s="130"/>
      <c r="C12" s="130"/>
      <c r="D12" s="130"/>
    </row>
    <row r="13" spans="1:4">
      <c r="A13" s="130"/>
      <c r="B13" s="130"/>
      <c r="C13" s="130"/>
      <c r="D13" s="130"/>
    </row>
    <row r="14" spans="1:4">
      <c r="A14" s="130"/>
      <c r="B14" s="130"/>
      <c r="C14" s="130"/>
      <c r="D14" s="130"/>
    </row>
    <row r="15" spans="1:4">
      <c r="A15" s="130"/>
      <c r="B15" s="130"/>
      <c r="C15" s="130"/>
      <c r="D15" s="130"/>
    </row>
    <row r="16" spans="1:4">
      <c r="A16" s="130"/>
      <c r="B16" s="130"/>
      <c r="C16" s="130"/>
      <c r="D16" s="130"/>
    </row>
    <row r="17" spans="1:4">
      <c r="A17" s="130"/>
      <c r="B17" s="130"/>
      <c r="C17" s="130"/>
      <c r="D17" s="130"/>
    </row>
    <row r="18" spans="1:4">
      <c r="A18" s="130"/>
      <c r="B18" s="130"/>
      <c r="C18" s="130"/>
      <c r="D18" s="130"/>
    </row>
    <row r="19" spans="1:4">
      <c r="A19" s="130"/>
      <c r="B19" s="130"/>
      <c r="C19" s="130"/>
      <c r="D19" s="130"/>
    </row>
    <row r="20" spans="1:4">
      <c r="A20" s="130"/>
      <c r="B20" s="130"/>
      <c r="C20" s="130"/>
      <c r="D20" s="130"/>
    </row>
    <row r="21" spans="1:4">
      <c r="A21" s="130"/>
      <c r="B21" s="130"/>
      <c r="C21" s="130"/>
      <c r="D21" s="130"/>
    </row>
  </sheetData>
  <phoneticPr fontId="61" type="noConversion"/>
  <hyperlinks>
    <hyperlink ref="C5" r:id="rId1" xr:uid="{EED5FDA4-43F6-42BB-8F43-35DDA1CC803F}"/>
    <hyperlink ref="C8" r:id="rId2" xr:uid="{BE47F857-37CD-4C38-B7DC-8944914924EC}"/>
    <hyperlink ref="C11" r:id="rId3" xr:uid="{2E947AAC-B637-40D7-9949-3BE3BAEC033C}"/>
  </hyperlinks>
  <pageMargins left="0.75" right="0.75" top="1" bottom="1" header="0.5" footer="0.5"/>
  <pageSetup paperSize="9" orientation="portrait" horizontalDpi="300" verticalDpi="300" r:id="rId4"/>
  <headerFooter alignWithMargins="0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99"/>
    <pageSetUpPr fitToPage="1"/>
  </sheetPr>
  <dimension ref="A1:AO75"/>
  <sheetViews>
    <sheetView showGridLines="0" topLeftCell="B1" zoomScaleNormal="100" workbookViewId="0">
      <selection activeCell="AS21" sqref="AS21"/>
    </sheetView>
  </sheetViews>
  <sheetFormatPr defaultColWidth="9.109375" defaultRowHeight="13.2" customHeight="1" outlineLevelCol="1"/>
  <cols>
    <col min="1" max="1" width="21.6640625" hidden="1" customWidth="1" outlineLevel="1"/>
    <col min="2" max="2" width="21.33203125" customWidth="1" collapsed="1"/>
    <col min="3" max="3" width="7.44140625" customWidth="1"/>
    <col min="4" max="4" width="7" hidden="1" customWidth="1" outlineLevel="1"/>
    <col min="5" max="14" width="6.33203125" hidden="1" customWidth="1" outlineLevel="1"/>
    <col min="15" max="15" width="7" customWidth="1" collapsed="1"/>
    <col min="16" max="19" width="8" customWidth="1"/>
    <col min="20" max="20" width="2.109375" customWidth="1"/>
    <col min="21" max="21" width="22.44140625" customWidth="1"/>
    <col min="22" max="22" width="6.5546875" customWidth="1"/>
    <col min="23" max="27" width="6.33203125" hidden="1" customWidth="1" outlineLevel="1"/>
    <col min="28" max="28" width="6.6640625" hidden="1" customWidth="1" outlineLevel="1"/>
    <col min="29" max="33" width="6.88671875" hidden="1" customWidth="1" outlineLevel="1"/>
    <col min="34" max="34" width="7" customWidth="1" collapsed="1"/>
    <col min="35" max="38" width="7" customWidth="1"/>
    <col min="39" max="40" width="9.109375" hidden="1" customWidth="1" outlineLevel="1"/>
    <col min="41" max="41" width="9.109375" collapsed="1"/>
  </cols>
  <sheetData>
    <row r="1" spans="1:39" ht="13.2" customHeight="1">
      <c r="A1" s="629"/>
      <c r="B1" s="1449"/>
      <c r="C1" s="1449"/>
      <c r="D1" s="1450" t="s">
        <v>200</v>
      </c>
      <c r="E1" s="1450" t="s">
        <v>201</v>
      </c>
      <c r="F1" s="1450" t="s">
        <v>251</v>
      </c>
      <c r="G1" s="1450" t="s">
        <v>701</v>
      </c>
      <c r="H1" s="1450" t="s">
        <v>704</v>
      </c>
      <c r="I1" s="1450" t="s">
        <v>705</v>
      </c>
      <c r="J1" s="1450" t="s">
        <v>840</v>
      </c>
      <c r="K1" s="1450" t="s">
        <v>846</v>
      </c>
      <c r="L1" s="1450" t="s">
        <v>869</v>
      </c>
      <c r="M1" s="1450" t="s">
        <v>873</v>
      </c>
      <c r="N1" s="1450" t="s">
        <v>866</v>
      </c>
      <c r="O1" s="1450" t="s">
        <v>887</v>
      </c>
      <c r="P1" s="1450" t="s">
        <v>923</v>
      </c>
      <c r="Q1" s="1450" t="s">
        <v>928</v>
      </c>
      <c r="R1" s="1450" t="s">
        <v>937</v>
      </c>
      <c r="S1" s="1450" t="s">
        <v>979</v>
      </c>
      <c r="T1" s="1449"/>
      <c r="U1" s="1449"/>
      <c r="V1" s="1449"/>
      <c r="W1" s="1450" t="s">
        <v>200</v>
      </c>
      <c r="X1" s="1450" t="s">
        <v>201</v>
      </c>
      <c r="Y1" s="1450" t="s">
        <v>251</v>
      </c>
      <c r="Z1" s="1450" t="s">
        <v>701</v>
      </c>
      <c r="AA1" s="1450" t="s">
        <v>704</v>
      </c>
      <c r="AB1" s="1450" t="s">
        <v>705</v>
      </c>
      <c r="AC1" s="1450" t="s">
        <v>840</v>
      </c>
      <c r="AD1" s="1450" t="s">
        <v>846</v>
      </c>
      <c r="AE1" s="1450" t="s">
        <v>869</v>
      </c>
      <c r="AF1" s="1450" t="s">
        <v>873</v>
      </c>
      <c r="AG1" s="1450" t="s">
        <v>866</v>
      </c>
      <c r="AH1" s="1450" t="s">
        <v>887</v>
      </c>
      <c r="AI1" s="1450" t="s">
        <v>923</v>
      </c>
      <c r="AJ1" s="1450" t="s">
        <v>928</v>
      </c>
      <c r="AK1" s="1450" t="s">
        <v>937</v>
      </c>
      <c r="AL1" s="1450" t="s">
        <v>979</v>
      </c>
      <c r="AM1" s="1451"/>
    </row>
    <row r="2" spans="1:39" ht="13.2" customHeight="1">
      <c r="A2" s="629"/>
      <c r="B2" s="1451"/>
      <c r="C2" s="1451"/>
      <c r="D2" s="1451"/>
      <c r="E2" s="1452"/>
      <c r="F2" s="1452"/>
      <c r="G2" s="1452"/>
      <c r="H2" s="1452"/>
      <c r="I2" s="552"/>
      <c r="J2" s="1452"/>
      <c r="K2" s="632"/>
      <c r="L2" s="1452"/>
      <c r="M2" s="1452"/>
      <c r="N2" s="1452"/>
      <c r="O2" s="1452"/>
      <c r="P2" s="1452"/>
      <c r="Q2" s="1452"/>
      <c r="R2" s="1452"/>
      <c r="S2" s="1452"/>
      <c r="T2" s="1452"/>
      <c r="U2" s="1451"/>
      <c r="V2" s="1451"/>
      <c r="W2" s="1451"/>
      <c r="X2" s="1452"/>
      <c r="Y2" s="1452"/>
      <c r="Z2" s="1452"/>
      <c r="AA2" s="1452"/>
      <c r="AB2" s="1452"/>
      <c r="AC2" s="1452"/>
      <c r="AD2" s="1452"/>
      <c r="AE2" s="1452"/>
      <c r="AF2" s="1452"/>
      <c r="AG2" s="1452"/>
      <c r="AH2" s="1452"/>
      <c r="AI2" s="1451"/>
      <c r="AJ2" s="1451"/>
      <c r="AK2" s="1451"/>
      <c r="AL2" s="1451"/>
      <c r="AM2" s="1451"/>
    </row>
    <row r="3" spans="1:39" ht="13.2" customHeight="1">
      <c r="A3" s="629"/>
      <c r="B3" s="1451"/>
      <c r="C3" s="1451"/>
      <c r="D3" s="1451"/>
      <c r="E3" s="1452"/>
      <c r="F3" s="1452"/>
      <c r="G3" s="1452"/>
      <c r="H3" s="1452"/>
      <c r="I3" s="552"/>
      <c r="J3" s="1452"/>
      <c r="K3" s="1452"/>
      <c r="L3" s="1452"/>
      <c r="M3" s="1452"/>
      <c r="N3" s="1452"/>
      <c r="O3" s="1452"/>
      <c r="P3" s="1453"/>
      <c r="Q3" s="1452"/>
      <c r="R3" s="1452"/>
      <c r="S3" s="1452"/>
      <c r="T3" s="1452"/>
      <c r="U3" s="1451"/>
      <c r="V3" s="1451"/>
      <c r="W3" s="1451"/>
      <c r="X3" s="1452"/>
      <c r="Y3" s="1452"/>
      <c r="Z3" s="1452"/>
      <c r="AA3" s="1452"/>
      <c r="AB3" s="1452"/>
      <c r="AC3" s="1452"/>
      <c r="AD3" s="1452"/>
      <c r="AE3" s="1452"/>
      <c r="AF3" s="1452"/>
      <c r="AG3" s="1452"/>
      <c r="AH3" s="1452"/>
      <c r="AI3" s="1451"/>
      <c r="AJ3" s="1451"/>
      <c r="AK3" s="1451"/>
      <c r="AL3" s="1451"/>
      <c r="AM3" s="1451"/>
    </row>
    <row r="4" spans="1:39" ht="13.2" customHeight="1">
      <c r="A4" s="629"/>
      <c r="B4" s="1454" t="s">
        <v>225</v>
      </c>
      <c r="C4" s="1454"/>
      <c r="D4" s="1452"/>
      <c r="E4" s="1452"/>
      <c r="F4" s="1452"/>
      <c r="G4" s="1452"/>
      <c r="H4" s="1452"/>
      <c r="I4" s="1452"/>
      <c r="J4" s="1452"/>
      <c r="K4" s="1452"/>
      <c r="L4" s="1452"/>
      <c r="M4" s="1455" t="s">
        <v>696</v>
      </c>
      <c r="N4" s="1456">
        <v>88.1</v>
      </c>
      <c r="O4" s="1457" t="s">
        <v>831</v>
      </c>
      <c r="P4" s="1458">
        <v>75.400000000000006</v>
      </c>
      <c r="Q4" s="1458"/>
      <c r="R4" s="1458"/>
      <c r="S4" s="1458"/>
      <c r="T4" s="1459"/>
      <c r="U4" s="1460" t="s">
        <v>755</v>
      </c>
      <c r="V4" s="1460"/>
      <c r="W4" s="1461"/>
      <c r="X4" s="1461"/>
      <c r="Y4" s="1462"/>
      <c r="Z4" s="1462"/>
      <c r="AA4" s="1462"/>
      <c r="AB4" s="1462"/>
      <c r="AC4" s="1462"/>
      <c r="AD4" s="1463">
        <f>P4/N4-1</f>
        <v>-0.14415437003405207</v>
      </c>
      <c r="AE4" s="1462"/>
      <c r="AF4" s="1462"/>
      <c r="AG4" s="1462"/>
      <c r="AH4" s="1451"/>
      <c r="AI4" s="1451"/>
      <c r="AJ4" s="1451"/>
      <c r="AK4" s="1451"/>
      <c r="AL4" s="1451"/>
      <c r="AM4" s="1464"/>
    </row>
    <row r="5" spans="1:39" ht="13.2" customHeight="1">
      <c r="A5" s="629"/>
      <c r="B5" s="1459"/>
      <c r="C5" s="1459"/>
      <c r="D5" s="1465"/>
      <c r="E5" s="1465"/>
      <c r="F5" s="1465"/>
      <c r="G5" s="1465"/>
      <c r="H5" s="1465"/>
      <c r="I5" s="1465"/>
      <c r="J5" s="1465"/>
      <c r="K5" s="1465"/>
      <c r="L5" s="1465"/>
      <c r="M5" s="1465"/>
      <c r="N5" s="1465"/>
      <c r="O5" s="1465"/>
      <c r="P5" s="1465"/>
      <c r="Q5" s="1465"/>
      <c r="R5" s="1465"/>
      <c r="S5" s="1465"/>
      <c r="T5" s="1459"/>
      <c r="U5" s="1459"/>
      <c r="V5" s="1459"/>
      <c r="W5" s="1461"/>
      <c r="X5" s="1461"/>
      <c r="Y5" s="1461"/>
      <c r="Z5" s="1462"/>
      <c r="AA5" s="1462"/>
      <c r="AB5" s="1462"/>
      <c r="AC5" s="1462"/>
      <c r="AD5" s="1462"/>
      <c r="AE5" s="1462"/>
      <c r="AF5" s="1462"/>
      <c r="AG5" s="1462"/>
      <c r="AH5" s="1451"/>
      <c r="AI5" s="1451"/>
      <c r="AJ5" s="1451"/>
      <c r="AK5" s="1451"/>
      <c r="AL5" s="1451"/>
      <c r="AM5" s="1451"/>
    </row>
    <row r="6" spans="1:39" ht="13.2" customHeight="1">
      <c r="A6" s="629"/>
      <c r="B6" s="1454"/>
      <c r="C6" s="1454"/>
      <c r="D6" s="1465"/>
      <c r="E6" s="1465"/>
      <c r="F6" s="1465"/>
      <c r="G6" s="1465"/>
      <c r="H6" s="1465"/>
      <c r="I6" s="1465"/>
      <c r="J6" s="1465"/>
      <c r="K6" s="1465"/>
      <c r="L6" s="1465"/>
      <c r="M6" s="1465"/>
      <c r="N6" s="1465"/>
      <c r="O6" s="1465"/>
      <c r="P6" s="1465"/>
      <c r="Q6" s="1465"/>
      <c r="R6" s="1465"/>
      <c r="S6" s="1465"/>
      <c r="T6" s="1459"/>
      <c r="U6" s="1466"/>
      <c r="V6" s="1466"/>
      <c r="W6" s="1467"/>
      <c r="X6" s="1467"/>
      <c r="Y6" s="1467"/>
      <c r="Z6" s="1467"/>
      <c r="AA6" s="1468"/>
      <c r="AB6" s="1468"/>
      <c r="AC6" s="1468"/>
      <c r="AD6" s="1468"/>
      <c r="AE6" s="1468"/>
      <c r="AF6" s="1468"/>
      <c r="AG6" s="1468"/>
      <c r="AH6" s="1451"/>
      <c r="AI6" s="1451"/>
      <c r="AJ6" s="1451"/>
      <c r="AK6" s="1451"/>
      <c r="AL6" s="1451"/>
      <c r="AM6" s="1451"/>
    </row>
    <row r="7" spans="1:39" ht="13.2" customHeight="1">
      <c r="A7" s="629"/>
      <c r="B7" s="1469" t="s">
        <v>875</v>
      </c>
      <c r="C7" s="1469"/>
      <c r="D7" s="1470" t="s">
        <v>559</v>
      </c>
      <c r="E7" s="1470" t="s">
        <v>560</v>
      </c>
      <c r="F7" s="1470" t="s">
        <v>669</v>
      </c>
      <c r="G7" s="1470" t="s">
        <v>708</v>
      </c>
      <c r="H7" s="1470" t="s">
        <v>780</v>
      </c>
      <c r="I7" s="1470" t="s">
        <v>809</v>
      </c>
      <c r="J7" s="1470" t="s">
        <v>843</v>
      </c>
      <c r="K7" s="1470" t="s">
        <v>857</v>
      </c>
      <c r="L7" s="1470" t="s">
        <v>872</v>
      </c>
      <c r="M7" s="1470" t="s">
        <v>874</v>
      </c>
      <c r="N7" s="1470" t="s">
        <v>929</v>
      </c>
      <c r="O7" s="1470" t="s">
        <v>947</v>
      </c>
      <c r="P7" s="1470" t="s">
        <v>980</v>
      </c>
      <c r="Q7" s="1470" t="s">
        <v>927</v>
      </c>
      <c r="R7" s="1470" t="s">
        <v>949</v>
      </c>
      <c r="S7" s="1470" t="s">
        <v>978</v>
      </c>
      <c r="T7" s="1459"/>
      <c r="U7" s="1469" t="s">
        <v>226</v>
      </c>
      <c r="V7" s="1469"/>
      <c r="W7" s="1470" t="str">
        <f t="shared" ref="W7:AI7" si="0">+D7</f>
        <v>2013a</v>
      </c>
      <c r="X7" s="1470" t="str">
        <f t="shared" si="0"/>
        <v>2014a</v>
      </c>
      <c r="Y7" s="1470" t="str">
        <f t="shared" si="0"/>
        <v>2015a</v>
      </c>
      <c r="Z7" s="1470" t="str">
        <f t="shared" si="0"/>
        <v>2016a</v>
      </c>
      <c r="AA7" s="1470" t="str">
        <f t="shared" si="0"/>
        <v>2017a</v>
      </c>
      <c r="AB7" s="1470" t="str">
        <f t="shared" si="0"/>
        <v>2018a</v>
      </c>
      <c r="AC7" s="1470" t="str">
        <f t="shared" si="0"/>
        <v>2019a</v>
      </c>
      <c r="AD7" s="1470" t="str">
        <f t="shared" si="0"/>
        <v>2020a</v>
      </c>
      <c r="AE7" s="1470" t="str">
        <f t="shared" si="0"/>
        <v>2021a</v>
      </c>
      <c r="AF7" s="1470" t="str">
        <f t="shared" si="0"/>
        <v>2022a</v>
      </c>
      <c r="AG7" s="1470" t="str">
        <f t="shared" si="0"/>
        <v>2023a</v>
      </c>
      <c r="AH7" s="1470" t="str">
        <f t="shared" si="0"/>
        <v>2024a</v>
      </c>
      <c r="AI7" s="1470" t="str">
        <f t="shared" si="0"/>
        <v>2025a</v>
      </c>
      <c r="AJ7" s="1470">
        <v>2026</v>
      </c>
      <c r="AK7" s="1470" t="s">
        <v>949</v>
      </c>
      <c r="AL7" s="1470" t="s">
        <v>978</v>
      </c>
      <c r="AM7" s="1451"/>
    </row>
    <row r="8" spans="1:39" ht="13.2" customHeight="1">
      <c r="A8" s="629" t="s">
        <v>457</v>
      </c>
      <c r="B8" s="1471" t="s">
        <v>228</v>
      </c>
      <c r="C8" s="1471" t="s">
        <v>227</v>
      </c>
      <c r="D8" s="1233">
        <f>VLOOKUP($A$8,'P&amp;L'!$1:$1048576,MATCH(D1,'P&amp;L'!$4:$4,FALSE),FALSE)</f>
        <v>3308.4</v>
      </c>
      <c r="E8" s="1233">
        <f>VLOOKUP($A$8,'P&amp;L'!1:1048576,MATCH(E1,'P&amp;L'!4:4,FALSE),FALSE)</f>
        <v>3483.7750000000001</v>
      </c>
      <c r="F8" s="1233">
        <f>VLOOKUP($A$8,'P&amp;L'!1:1048576,MATCH(F1,'P&amp;L'!4:4,FALSE),FALSE)</f>
        <v>3652.136</v>
      </c>
      <c r="G8" s="1233">
        <f>VLOOKUP($A$8,'P&amp;L'!1:1048576,MATCH(G1,'P&amp;L'!4:4,FALSE),FALSE)</f>
        <v>3954.4670000000001</v>
      </c>
      <c r="H8" s="1233">
        <f>VLOOKUP($A$8,'P&amp;L'!1:1048576,MATCH(H1,'P&amp;L'!4:4,FALSE),FALSE)</f>
        <v>5628</v>
      </c>
      <c r="I8" s="1233">
        <f>VLOOKUP($A$8,'P&amp;L'!1:1048576,MATCH(I1,'P&amp;L'!4:4,FALSE),FALSE)</f>
        <v>6854.3</v>
      </c>
      <c r="J8" s="1233">
        <f>VLOOKUP($A$8,'P&amp;L'!1:1048576,MATCH(J1,'P&amp;L'!4:4,FALSE),FALSE)</f>
        <v>7095.2999999999993</v>
      </c>
      <c r="K8" s="1233">
        <f>VLOOKUP($A$8,'P&amp;L'!1:1048576,MATCH(K1,'P&amp;L'!4:4,FALSE),FALSE)</f>
        <v>7918.9</v>
      </c>
      <c r="L8" s="1233">
        <f>VLOOKUP($A$8,'P&amp;L'!1:1048576,MATCH(L1,'P&amp;L'!4:4,FALSE),FALSE)</f>
        <v>8916.1</v>
      </c>
      <c r="M8" s="1233">
        <f>VLOOKUP($A$8,'P&amp;L'!1:1048576,MATCH(M1,'P&amp;L'!4:4,FALSE),FALSE)</f>
        <v>9232</v>
      </c>
      <c r="N8" s="1233">
        <f>VLOOKUP($A$8,'P&amp;L'!1:1048576,MATCH(N1,'P&amp;L'!4:4,FALSE),FALSE)</f>
        <v>9626.4</v>
      </c>
      <c r="O8" s="1233">
        <f>VLOOKUP($A$8,'P&amp;L'!1:1048576,MATCH(O1,'P&amp;L'!4:4,FALSE),FALSE)</f>
        <v>9592.4</v>
      </c>
      <c r="P8" s="1233">
        <f>VLOOKUP($A$8,'P&amp;L'!1:1048576,MATCH(P1,'P&amp;L'!4:4,FALSE),FALSE)</f>
        <v>10554.800000000001</v>
      </c>
      <c r="Q8" s="1233">
        <f>VLOOKUP($A$8,'P&amp;L'!1:1048576,MATCH(Q1,'P&amp;L'!4:4,FALSE),FALSE)</f>
        <v>11151.001227990957</v>
      </c>
      <c r="R8" s="1233">
        <f>VLOOKUP($A$8,'P&amp;L'!1:1048576,MATCH(R1,'P&amp;L'!4:4,FALSE),FALSE)</f>
        <v>11619.14795777584</v>
      </c>
      <c r="S8" s="1233">
        <f>VLOOKUP($A$8,'P&amp;L'!1:1048576,MATCH(S1,'P&amp;L'!4:4,FALSE),FALSE)</f>
        <v>12107.395214635822</v>
      </c>
      <c r="T8" s="1459"/>
      <c r="U8" s="1460" t="s">
        <v>563</v>
      </c>
      <c r="V8" s="1460" t="s">
        <v>227</v>
      </c>
      <c r="W8" s="1472">
        <f>VLOOKUP($AM$8,BS!1:1048576,MATCH(1:1,BS!4:4,FALSE),FALSE)</f>
        <v>563.65200000000004</v>
      </c>
      <c r="X8" s="1472">
        <f>VLOOKUP($AM$8,BS!1:1048576,MATCH(1:1,BS!4:4,FALSE),FALSE)</f>
        <v>578.14700000000005</v>
      </c>
      <c r="Y8" s="1472">
        <f>VLOOKUP($AM$8,BS!1:1048576,MATCH(1:1,BS!4:4,FALSE),FALSE)</f>
        <v>616.89800000000002</v>
      </c>
      <c r="Z8" s="1472">
        <f>VLOOKUP($AM$8,BS!1:1048576,MATCH(1:1,BS!4:4,FALSE),FALSE)</f>
        <v>702.51800000000003</v>
      </c>
      <c r="AA8" s="1472">
        <f>VLOOKUP($AM$8,BS!1:1048576,MATCH(1:1,BS!4:4,FALSE),FALSE)</f>
        <v>1170.7</v>
      </c>
      <c r="AB8" s="1472">
        <f>VLOOKUP($AM$8,BS!1:1048576,MATCH(1:1,BS!4:4,FALSE),FALSE)</f>
        <v>1210.5</v>
      </c>
      <c r="AC8" s="1472">
        <f>VLOOKUP($AM$8,BS!1:1048576,MATCH(1:1,BS!4:4,FALSE),FALSE)</f>
        <v>1294.9000000000001</v>
      </c>
      <c r="AD8" s="1472">
        <f>VLOOKUP($AM$8,BS!1:1048576,MATCH(1:1,BS!4:4,FALSE),FALSE)</f>
        <v>1245.8</v>
      </c>
      <c r="AE8" s="1472">
        <f>VLOOKUP($AM$8,BS!1:1048576,MATCH(1:1,BS!4:4,FALSE),FALSE)</f>
        <v>1449.3</v>
      </c>
      <c r="AF8" s="1472">
        <f>VLOOKUP($AM$8,BS!1:1048576,MATCH(1:1,BS!4:4,FALSE),FALSE)</f>
        <v>1424.7</v>
      </c>
      <c r="AG8" s="1472">
        <f>VLOOKUP($AM$8,BS!1:1048576,MATCH(1:1,BS!4:4,FALSE),FALSE)</f>
        <v>1399.3</v>
      </c>
      <c r="AH8" s="1472">
        <f>VLOOKUP($AM$8,BS!1:1048576,MATCH(1:1,BS!4:4,FALSE),FALSE)</f>
        <v>1586.3</v>
      </c>
      <c r="AI8" s="1472">
        <f>VLOOKUP($AM$8,BS!1:1048576,MATCH(1:1,BS!4:4,FALSE),FALSE)</f>
        <v>1815.5839999999985</v>
      </c>
      <c r="AJ8" s="1472">
        <f>VLOOKUP($AM$8,BS!1:1048576,MATCH(1:1,BS!4:4,FALSE),FALSE)</f>
        <v>1879.0309047990947</v>
      </c>
      <c r="AK8" s="1472">
        <f>VLOOKUP($AM$8,BS!1:1048576,MATCH(1:1,BS!4:4,FALSE),FALSE)</f>
        <v>2005.5259250963009</v>
      </c>
      <c r="AL8" s="1472">
        <f>VLOOKUP($AM$8,BS!1:1048576,MATCH(1:1,BS!4:4,FALSE),FALSE)</f>
        <v>2137.6458321178129</v>
      </c>
      <c r="AM8" s="1451" t="s">
        <v>400</v>
      </c>
    </row>
    <row r="9" spans="1:39" ht="13.2" customHeight="1">
      <c r="A9" s="629" t="s">
        <v>523</v>
      </c>
      <c r="B9" s="1473" t="s">
        <v>748</v>
      </c>
      <c r="C9" s="1473" t="s">
        <v>227</v>
      </c>
      <c r="D9" s="1234">
        <f>VLOOKUP($A$9,Drivers!$1:$1048576,MATCH(D1,Drivers!$2:$2,FALSE),FALSE)</f>
        <v>3140.817</v>
      </c>
      <c r="E9" s="1234">
        <f>VLOOKUP($A$9,Drivers!$1:$1048576,MATCH(E1,Drivers!$2:$2,FALSE),FALSE)</f>
        <v>3292.848</v>
      </c>
      <c r="F9" s="1234">
        <f>VLOOKUP($A$9,Drivers!$1:$1048576,MATCH(F1,Drivers!$2:$2,FALSE),FALSE)</f>
        <v>3456.0160000000001</v>
      </c>
      <c r="G9" s="1234">
        <f>VLOOKUP($A$9,Drivers!$1:$1048576,MATCH(G1,Drivers!$2:$2,FALSE),FALSE)</f>
        <v>3739.3580000000002</v>
      </c>
      <c r="H9" s="1234">
        <f>VLOOKUP($A$9,Drivers!$1:$1048576,MATCH(H1,Drivers!$2:$2,FALSE),FALSE)</f>
        <v>4148.6000000000004</v>
      </c>
      <c r="I9" s="1234">
        <f>VLOOKUP($A$9,Drivers!$1:$1048576,MATCH(I1,Drivers!$2:$2,FALSE),FALSE)</f>
        <v>4539.7</v>
      </c>
      <c r="J9" s="1234">
        <f>VLOOKUP($A$9,Drivers!$1:$1048576,MATCH(J1,Drivers!$2:$2,FALSE),FALSE)</f>
        <v>4726</v>
      </c>
      <c r="K9" s="1234">
        <f>VLOOKUP($A$9,Drivers!$1:$1048576,MATCH(K1,Drivers!$2:$2,FALSE),FALSE)</f>
        <v>5318.9</v>
      </c>
      <c r="L9" s="1234">
        <f>VLOOKUP($A$9,Drivers!$1:$1048576,MATCH(L1,Drivers!$2:$2,FALSE),FALSE)</f>
        <v>5956.8</v>
      </c>
      <c r="M9" s="1234">
        <f>VLOOKUP($A$9,Drivers!$1:$1048576,MATCH(M1,Drivers!$2:$2,FALSE),FALSE)</f>
        <v>6196.5</v>
      </c>
      <c r="N9" s="1234">
        <f>VLOOKUP($A$9,Drivers!$1:$1048576,MATCH(N1,Drivers!$2:$2,FALSE),FALSE)</f>
        <v>6546.1</v>
      </c>
      <c r="O9" s="1234">
        <f>VLOOKUP($A$9,Drivers!$1:$1048576,MATCH(O1,Drivers!$2:$2,FALSE),FALSE)</f>
        <v>6609.9</v>
      </c>
      <c r="P9" s="1234">
        <f>VLOOKUP($A$9,Drivers!$1:$1048576,MATCH(P1,Drivers!$2:$2,FALSE),FALSE)</f>
        <v>7103.2</v>
      </c>
      <c r="Q9" s="1234">
        <f>VLOOKUP($A$9,Drivers!$1:$1048576,MATCH(Q1,Drivers!$2:$2,FALSE),FALSE)</f>
        <v>7473.0146601941751</v>
      </c>
      <c r="R9" s="1234">
        <f>VLOOKUP($A$9,Drivers!$1:$1048576,MATCH(R1,Drivers!$2:$2,FALSE),FALSE)</f>
        <v>7807.6912976076555</v>
      </c>
      <c r="S9" s="1234">
        <f>VLOOKUP($A$9,Drivers!$1:$1048576,MATCH(S1,Drivers!$2:$2,FALSE),FALSE)</f>
        <v>8157.1784318815226</v>
      </c>
      <c r="T9" s="1459"/>
      <c r="U9" s="1460" t="s">
        <v>564</v>
      </c>
      <c r="V9" s="1460" t="s">
        <v>227</v>
      </c>
      <c r="W9" s="1472">
        <f>VLOOKUP($AM$9,BS!1:1048576,MATCH(1:1,BS!4:4,FALSE),FALSE)</f>
        <v>181.09800000000001</v>
      </c>
      <c r="X9" s="1472">
        <f>VLOOKUP($AM$9,BS!1:1048576,MATCH(1:1,BS!4:4,FALSE),FALSE)</f>
        <v>181.56399999999999</v>
      </c>
      <c r="Y9" s="1472">
        <f>VLOOKUP($AM$9,BS!1:1048576,MATCH(1:1,BS!4:4,FALSE),FALSE)</f>
        <v>176.208</v>
      </c>
      <c r="Z9" s="1472">
        <f>VLOOKUP($AM$9,BS!1:1048576,MATCH(1:1,BS!4:4,FALSE),FALSE)</f>
        <v>183.57</v>
      </c>
      <c r="AA9" s="1472">
        <f>VLOOKUP($AM$9,BS!1:1048576,MATCH(1:1,BS!4:4,FALSE),FALSE)</f>
        <v>208.2</v>
      </c>
      <c r="AB9" s="1472">
        <f>VLOOKUP($AM$9,BS!1:1048576,MATCH(1:1,BS!4:4,FALSE),FALSE)</f>
        <v>198</v>
      </c>
      <c r="AC9" s="1472">
        <f>VLOOKUP($AM$9,BS!1:1048576,MATCH(1:1,BS!4:4,FALSE),FALSE)</f>
        <v>191.5</v>
      </c>
      <c r="AD9" s="1472">
        <f>VLOOKUP($AM$9,BS!1:1048576,MATCH(1:1,BS!4:4,FALSE),FALSE)</f>
        <v>172.3</v>
      </c>
      <c r="AE9" s="1472">
        <f>VLOOKUP($AM$9,BS!1:1048576,MATCH(1:1,BS!4:4,FALSE),FALSE)</f>
        <v>169</v>
      </c>
      <c r="AF9" s="1472">
        <f>VLOOKUP($AM$9,BS!1:1048576,MATCH(1:1,BS!4:4,FALSE),FALSE)</f>
        <v>169</v>
      </c>
      <c r="AG9" s="1472">
        <f>VLOOKUP($AM$9,BS!1:1048576,MATCH(1:1,BS!4:4,FALSE),FALSE)</f>
        <v>182.8</v>
      </c>
      <c r="AH9" s="1472">
        <f>VLOOKUP($AM$9,BS!1:1048576,MATCH(1:1,BS!4:4,FALSE),FALSE)</f>
        <v>196.9</v>
      </c>
      <c r="AI9" s="1472">
        <f>VLOOKUP($AM$9,BS!1:1048576,MATCH(1:1,BS!4:4,FALSE),FALSE)</f>
        <v>224.8</v>
      </c>
      <c r="AJ9" s="1472">
        <f>VLOOKUP($AM$9,BS!1:1048576,MATCH(1:1,BS!4:4,FALSE),FALSE)</f>
        <v>240.54309407807125</v>
      </c>
      <c r="AK9" s="1472">
        <f>VLOOKUP($AM$9,BS!1:1048576,MATCH(1:1,BS!4:4,FALSE),FALSE)</f>
        <v>261.33423100093381</v>
      </c>
      <c r="AL9" s="1472">
        <f>VLOOKUP($AM$9,BS!1:1048576,MATCH(1:1,BS!4:4,FALSE),FALSE)</f>
        <v>279.2957445480593</v>
      </c>
      <c r="AM9" s="1451" t="s">
        <v>401</v>
      </c>
    </row>
    <row r="10" spans="1:39" ht="13.2" customHeight="1">
      <c r="A10" s="629" t="s">
        <v>14</v>
      </c>
      <c r="B10" s="1451" t="s">
        <v>747</v>
      </c>
      <c r="C10" s="1451" t="s">
        <v>227</v>
      </c>
      <c r="D10" s="1234">
        <f>VLOOKUP($A$10,Drivers!$1:$1048576,MATCH(D1,Drivers!$2:$2,FALSE),FALSE)</f>
        <v>167.58300000000008</v>
      </c>
      <c r="E10" s="1234">
        <f>VLOOKUP($A$10,Drivers!$1:$1048576,MATCH(E1,Drivers!$2:$2,FALSE),FALSE)</f>
        <v>190.92700000000013</v>
      </c>
      <c r="F10" s="1234">
        <f>VLOOKUP($A$10,Drivers!$1:$1048576,MATCH(F1,Drivers!$2:$2,FALSE),FALSE)</f>
        <v>196.11999999999989</v>
      </c>
      <c r="G10" s="1234">
        <f>VLOOKUP($A$10,Drivers!$1:$1048576,MATCH(G1,Drivers!$2:$2,FALSE),FALSE)</f>
        <v>215.10899999999992</v>
      </c>
      <c r="H10" s="1234">
        <f>VLOOKUP($A$10,Drivers!$1:$1048576,MATCH(H1,Drivers!$2:$2,FALSE),FALSE)</f>
        <v>221</v>
      </c>
      <c r="I10" s="1234">
        <f>VLOOKUP($A$10,Drivers!$1:$1048576,MATCH(I1,Drivers!$2:$2,FALSE),FALSE)</f>
        <v>213.30000000000018</v>
      </c>
      <c r="J10" s="1234">
        <f>VLOOKUP($A$10,Drivers!$1:$1048576,MATCH(J1,Drivers!$2:$2,FALSE),FALSE)</f>
        <v>221.39999999999964</v>
      </c>
      <c r="K10" s="1234">
        <f>VLOOKUP($A$10,Drivers!$1:$1048576,MATCH(K1,Drivers!$2:$2,FALSE),FALSE)</f>
        <v>211.19999999999982</v>
      </c>
      <c r="L10" s="1234">
        <f>VLOOKUP($A$10,Drivers!$1:$1048576,MATCH(L1,Drivers!$2:$2,FALSE),FALSE)</f>
        <v>243.60000000000036</v>
      </c>
      <c r="M10" s="1234">
        <f>VLOOKUP($A$10,Drivers!$1:$1048576,MATCH(M1,Drivers!$2:$2,FALSE),FALSE)</f>
        <v>246.09999999999991</v>
      </c>
      <c r="N10" s="1234">
        <f>VLOOKUP($A$10,Drivers!$1:$1048576,MATCH(N1,Drivers!$2:$2,FALSE),FALSE)</f>
        <v>267.29999999999927</v>
      </c>
      <c r="O10" s="1234">
        <f>VLOOKUP($A$10,Drivers!$1:$1048576,MATCH(O1,Drivers!$2:$2,FALSE),FALSE)</f>
        <v>303.39999999999998</v>
      </c>
      <c r="P10" s="1234">
        <f>VLOOKUP($A$10,Drivers!$1:$1048576,MATCH(P1,Drivers!$2:$2,FALSE),FALSE)</f>
        <v>361.40000000000055</v>
      </c>
      <c r="Q10" s="1234">
        <f>VLOOKUP($A$10,Drivers!$1:$1048576,MATCH(Q1,Drivers!$2:$2,FALSE),FALSE)</f>
        <v>440.58086357142855</v>
      </c>
      <c r="R10" s="1234">
        <f>VLOOKUP($A$10,Drivers!$1:$1048576,MATCH(R1,Drivers!$2:$2,FALSE),FALSE)</f>
        <v>476.92878481607141</v>
      </c>
      <c r="S10" s="1234">
        <f>VLOOKUP($A$10,Drivers!$1:$1048576,MATCH(S1,Drivers!$2:$2,FALSE),FALSE)</f>
        <v>500.40116226486248</v>
      </c>
      <c r="T10" s="1459"/>
      <c r="U10" s="1460" t="s">
        <v>565</v>
      </c>
      <c r="V10" s="1460" t="s">
        <v>227</v>
      </c>
      <c r="W10" s="1472">
        <f>VLOOKUP($AM$10,BS!1:1048576,MATCH(1:1,BS!4:4,FALSE),FALSE)</f>
        <v>83.712000000000003</v>
      </c>
      <c r="X10" s="1472">
        <f>VLOOKUP($AM$10,BS!1:1048576,MATCH(1:1,BS!4:4,FALSE),FALSE)</f>
        <v>85.218000000000004</v>
      </c>
      <c r="Y10" s="1472">
        <f>VLOOKUP($AM$10,BS!1:1048576,MATCH(1:1,BS!4:4,FALSE),FALSE)</f>
        <v>84.540999999999997</v>
      </c>
      <c r="Z10" s="1472">
        <f>VLOOKUP($AM$10,BS!1:1048576,MATCH(1:1,BS!4:4,FALSE),FALSE)</f>
        <v>85.59</v>
      </c>
      <c r="AA10" s="1472">
        <f>VLOOKUP($AM$10,BS!1:1048576,MATCH(1:1,BS!4:4,FALSE),FALSE)</f>
        <v>1026.5999999999999</v>
      </c>
      <c r="AB10" s="1472">
        <f>VLOOKUP($AM$10,BS!1:1048576,MATCH(1:1,BS!4:4,FALSE),FALSE)</f>
        <v>1037.3</v>
      </c>
      <c r="AC10" s="1472">
        <f>VLOOKUP($AM$10,BS!1:1048576,MATCH(1:1,BS!4:4,FALSE),FALSE)</f>
        <v>1037.3</v>
      </c>
      <c r="AD10" s="1472">
        <f>VLOOKUP($AM$10,BS!1:1048576,MATCH(1:1,BS!4:4,FALSE),FALSE)</f>
        <v>1031.4000000000001</v>
      </c>
      <c r="AE10" s="1472">
        <f>VLOOKUP($AM$10,BS!1:1048576,MATCH(1:1,BS!4:4,FALSE),FALSE)</f>
        <v>1031.4000000000001</v>
      </c>
      <c r="AF10" s="1472">
        <f>VLOOKUP($AM$10,BS!1:1048576,MATCH(1:1,BS!4:4,FALSE),FALSE)</f>
        <v>1031.4000000000001</v>
      </c>
      <c r="AG10" s="1472">
        <f>VLOOKUP($AM$10,BS!1:1048576,MATCH(1:1,BS!4:4,FALSE),FALSE)</f>
        <v>1031.4000000000001</v>
      </c>
      <c r="AH10" s="1472">
        <f>VLOOKUP($AM$10,BS!1:1048576,MATCH(1:1,BS!4:4,FALSE),FALSE)</f>
        <v>1031.4000000000001</v>
      </c>
      <c r="AI10" s="1472">
        <f>VLOOKUP($AM$10,BS!1:1048576,MATCH(1:1,BS!4:4,FALSE),FALSE)</f>
        <v>1080.7</v>
      </c>
      <c r="AJ10" s="1472">
        <f>VLOOKUP($AM$10,BS!1:1048576,MATCH(1:1,BS!4:4,FALSE),FALSE)</f>
        <v>1080.7</v>
      </c>
      <c r="AK10" s="1472">
        <f>VLOOKUP($AM$10,BS!1:1048576,MATCH(1:1,BS!4:4,FALSE),FALSE)</f>
        <v>1080.7</v>
      </c>
      <c r="AL10" s="1472">
        <f>VLOOKUP($AM$10,BS!1:1048576,MATCH(1:1,BS!4:4,FALSE),FALSE)</f>
        <v>1080.7</v>
      </c>
      <c r="AM10" s="1451" t="s">
        <v>406</v>
      </c>
    </row>
    <row r="11" spans="1:39" ht="13.2" customHeight="1">
      <c r="A11" s="629" t="s">
        <v>745</v>
      </c>
      <c r="B11" s="1451" t="s">
        <v>703</v>
      </c>
      <c r="C11" s="1451" t="s">
        <v>227</v>
      </c>
      <c r="D11" s="1474"/>
      <c r="E11" s="1474"/>
      <c r="F11" s="1474"/>
      <c r="G11" s="1474"/>
      <c r="H11" s="1234">
        <f>VLOOKUP($A$11,Drivers!$1:$1048576,MATCH(H1,Drivers!$2:$2,FALSE),FALSE)</f>
        <v>1258.4000000000001</v>
      </c>
      <c r="I11" s="1234">
        <f>VLOOKUP($A$11,Drivers!$1:$1048576,MATCH(I1,Drivers!$2:$2,FALSE),FALSE)</f>
        <v>2101.3000000000002</v>
      </c>
      <c r="J11" s="1234">
        <f>VLOOKUP($A$11,Drivers!$1:$1048576,MATCH(J1,Drivers!$2:$2,FALSE),FALSE)</f>
        <v>2147.9</v>
      </c>
      <c r="K11" s="1234">
        <f>VLOOKUP($A$11,Drivers!$1:$1048576,MATCH(K1,Drivers!$2:$2,FALSE),FALSE)</f>
        <v>2388.8000000000002</v>
      </c>
      <c r="L11" s="1234">
        <f>VLOOKUP($A$11,Drivers!$1:$1048576,MATCH(L1,Drivers!$2:$2,FALSE),FALSE)</f>
        <v>2715.7</v>
      </c>
      <c r="M11" s="1234">
        <f>VLOOKUP($A$11,Drivers!$1:$1048576,MATCH(M1,Drivers!$2:$2,FALSE),FALSE)</f>
        <v>2789.4</v>
      </c>
      <c r="N11" s="1234">
        <f>VLOOKUP($A$11,Drivers!$1:$1048576,MATCH(N1,Drivers!$2:$2,FALSE),FALSE)</f>
        <v>2813</v>
      </c>
      <c r="O11" s="1234">
        <f>VLOOKUP($A$11,Drivers!$1:$1048576,MATCH(O1,Drivers!$2:$2,FALSE),FALSE)</f>
        <v>2679.1</v>
      </c>
      <c r="P11" s="1234">
        <f>VLOOKUP($A$11,Drivers!$1:$1048576,MATCH(P1,Drivers!$2:$2,FALSE),FALSE)</f>
        <v>2865</v>
      </c>
      <c r="Q11" s="1234">
        <f>VLOOKUP($A$11,Drivers!$1:$1048576,MATCH(Q1,Drivers!$2:$2,FALSE),FALSE)</f>
        <v>2961.5357042253522</v>
      </c>
      <c r="R11" s="1234">
        <f>VLOOKUP($A$11,Drivers!$1:$1048576,MATCH(R1,Drivers!$2:$2,FALSE),FALSE)</f>
        <v>3050.381775352113</v>
      </c>
      <c r="S11" s="1234">
        <f>VLOOKUP($A$11,Drivers!$1:$1048576,MATCH(S1,Drivers!$2:$2,FALSE),FALSE)</f>
        <v>3157.1451374894368</v>
      </c>
      <c r="T11" s="1459"/>
      <c r="U11" s="1460" t="s">
        <v>566</v>
      </c>
      <c r="V11" s="1460" t="s">
        <v>227</v>
      </c>
      <c r="W11" s="1472">
        <f>W12-SUM(W8:W10)</f>
        <v>14.842000000000098</v>
      </c>
      <c r="X11" s="1472">
        <f t="shared" ref="X11:AC11" si="1">X12-SUM(X8:X10)</f>
        <v>14.912000000000035</v>
      </c>
      <c r="Y11" s="1472">
        <f t="shared" si="1"/>
        <v>17.365999999999985</v>
      </c>
      <c r="Z11" s="1472">
        <f t="shared" si="1"/>
        <v>20.702999999999975</v>
      </c>
      <c r="AA11" s="1472">
        <f t="shared" si="1"/>
        <v>46.800000000000182</v>
      </c>
      <c r="AB11" s="1472">
        <f t="shared" si="1"/>
        <v>45.899999999999636</v>
      </c>
      <c r="AC11" s="1472">
        <f t="shared" si="1"/>
        <v>43.5</v>
      </c>
      <c r="AD11" s="1472">
        <f t="shared" ref="AD11:AI11" si="2">AD12-SUM(AD8:AD10)</f>
        <v>702.80000000000018</v>
      </c>
      <c r="AE11" s="1472">
        <f t="shared" si="2"/>
        <v>605.60000000000036</v>
      </c>
      <c r="AF11" s="1472">
        <f t="shared" si="2"/>
        <v>536.29999999999927</v>
      </c>
      <c r="AG11" s="1472">
        <f t="shared" si="2"/>
        <v>621.39999999999964</v>
      </c>
      <c r="AH11" s="1472">
        <f t="shared" si="2"/>
        <v>672</v>
      </c>
      <c r="AI11" s="1472">
        <f t="shared" si="2"/>
        <v>761.60000000000036</v>
      </c>
      <c r="AJ11" s="1472">
        <f t="shared" ref="AJ11:AK11" si="3">AJ12-SUM(AJ8:AJ10)</f>
        <v>790.57600000000002</v>
      </c>
      <c r="AK11" s="1472">
        <f t="shared" si="3"/>
        <v>804.60728000000017</v>
      </c>
      <c r="AL11" s="1472">
        <f t="shared" ref="AL11" si="4">AL12-SUM(AL8:AL10)</f>
        <v>824.97849839999981</v>
      </c>
      <c r="AM11" s="1451"/>
    </row>
    <row r="12" spans="1:39" ht="13.2" customHeight="1">
      <c r="A12" s="629" t="s">
        <v>195</v>
      </c>
      <c r="B12" s="1471" t="s">
        <v>195</v>
      </c>
      <c r="C12" s="1471" t="s">
        <v>227</v>
      </c>
      <c r="D12" s="1233">
        <f>VLOOKUP($A$12,'P&amp;L'!1:1048576,MATCH(D1,'P&amp;L'!4:4,FALSE),FALSE)</f>
        <v>210.98500000000001</v>
      </c>
      <c r="E12" s="1233">
        <f>VLOOKUP($A$12,'P&amp;L'!1:1048576,MATCH(E1,'P&amp;L'!4:4,FALSE),FALSE)</f>
        <v>226.65</v>
      </c>
      <c r="F12" s="1233">
        <f>VLOOKUP($A$12,'P&amp;L'!1:1048576,MATCH(F1,'P&amp;L'!4:4,FALSE),FALSE)</f>
        <v>240.03100000000001</v>
      </c>
      <c r="G12" s="1233">
        <f>VLOOKUP($A$12,'P&amp;L'!1:1048576,MATCH(G1,'P&amp;L'!4:4,FALSE),FALSE)</f>
        <v>262.07600000000002</v>
      </c>
      <c r="H12" s="1233">
        <f>VLOOKUP($A$12,'P&amp;L'!1:1048576,MATCH(H1,'P&amp;L'!4:4,FALSE),FALSE)</f>
        <v>360.3</v>
      </c>
      <c r="I12" s="1233">
        <f>VLOOKUP($A$12,'P&amp;L'!1:1048576,MATCH(I1,'P&amp;L'!4:4,FALSE),FALSE)</f>
        <v>411.70000000000005</v>
      </c>
      <c r="J12" s="1233">
        <f>VLOOKUP($A$12,'P&amp;L'!1:1048576,MATCH(J1,'P&amp;L'!4:4,FALSE),FALSE)</f>
        <v>429.1</v>
      </c>
      <c r="K12" s="1233">
        <f>VLOOKUP($A$12,'P&amp;L'!1:1048576,MATCH(K1,'P&amp;L'!4:4,FALSE),FALSE)</f>
        <v>717.9</v>
      </c>
      <c r="L12" s="1233">
        <f>VLOOKUP($A$12,'P&amp;L'!1:1048576,MATCH(L1,'P&amp;L'!4:4,FALSE),FALSE)</f>
        <v>961.60000000000014</v>
      </c>
      <c r="M12" s="1233">
        <f>VLOOKUP($A$12,'P&amp;L'!1:1048576,MATCH(M1,'P&amp;L'!4:4,FALSE),FALSE)</f>
        <v>1013.9</v>
      </c>
      <c r="N12" s="1233">
        <f>VLOOKUP($A$12,'P&amp;L'!1:1048576,MATCH(N1,'P&amp;L'!4:4,FALSE),FALSE)</f>
        <v>993.2</v>
      </c>
      <c r="O12" s="1233">
        <f>VLOOKUP($A$12,'P&amp;L'!1:1048576,MATCH(O1,'P&amp;L'!4:4,FALSE),FALSE)</f>
        <v>884.3</v>
      </c>
      <c r="P12" s="1233">
        <f>VLOOKUP($A$12,'P&amp;L'!1:1048576,MATCH(P1,'P&amp;L'!4:4,FALSE),FALSE)</f>
        <v>966.6</v>
      </c>
      <c r="Q12" s="1233">
        <f>VLOOKUP($A$12,'P&amp;L'!1:1048576,MATCH(Q1,'P&amp;L'!4:4,FALSE),FALSE)</f>
        <v>1022.2068409588215</v>
      </c>
      <c r="R12" s="1233">
        <f>VLOOKUP($A$12,'P&amp;L'!1:1048576,MATCH(R1,'P&amp;L'!4:4,FALSE),FALSE)</f>
        <v>1042.9587994205615</v>
      </c>
      <c r="S12" s="1233">
        <f>VLOOKUP($A$12,'P&amp;L'!1:1048576,MATCH(S1,'P&amp;L'!4:4,FALSE),FALSE)</f>
        <v>1088.2740722302317</v>
      </c>
      <c r="T12" s="1459"/>
      <c r="U12" s="1475" t="s">
        <v>73</v>
      </c>
      <c r="V12" s="1475" t="s">
        <v>227</v>
      </c>
      <c r="W12" s="1476">
        <f>VLOOKUP($AM$12,BS!1:1048576,MATCH(1:1,BS!4:4,FALSE),FALSE)</f>
        <v>843.30400000000009</v>
      </c>
      <c r="X12" s="1476">
        <f>VLOOKUP($AM$12,BS!1:1048576,MATCH(1:1,BS!4:4,FALSE),FALSE)</f>
        <v>859.84100000000001</v>
      </c>
      <c r="Y12" s="1476">
        <f>VLOOKUP($AM$12,BS!1:1048576,MATCH(1:1,BS!4:4,FALSE),FALSE)</f>
        <v>895.01299999999992</v>
      </c>
      <c r="Z12" s="1476">
        <f>VLOOKUP($AM$12,BS!1:1048576,MATCH(1:1,BS!4:4,FALSE),FALSE)</f>
        <v>992.38099999999997</v>
      </c>
      <c r="AA12" s="1476">
        <f>VLOOKUP($AM$12,BS!1:1048576,MATCH(1:1,BS!4:4,FALSE),FALSE)</f>
        <v>2452.3000000000002</v>
      </c>
      <c r="AB12" s="1476">
        <f>VLOOKUP($AM$12,BS!1:1048576,MATCH(1:1,BS!4:4,FALSE),FALSE)</f>
        <v>2491.6999999999998</v>
      </c>
      <c r="AC12" s="1476">
        <f>VLOOKUP($AM$12,BS!1:1048576,MATCH(1:1,BS!4:4,FALSE),FALSE)</f>
        <v>2567.1999999999998</v>
      </c>
      <c r="AD12" s="1476">
        <f>VLOOKUP($AM$12,BS!1:1048576,MATCH(1:1,BS!4:4,FALSE),FALSE)</f>
        <v>3152.3</v>
      </c>
      <c r="AE12" s="1476">
        <f>VLOOKUP($AM$12,BS!1:1048576,MATCH(1:1,BS!4:4,FALSE),FALSE)</f>
        <v>3255.3</v>
      </c>
      <c r="AF12" s="1476">
        <f>VLOOKUP($AM$12,BS!1:1048576,MATCH(1:1,BS!4:4,FALSE),FALSE)</f>
        <v>3161.3999999999996</v>
      </c>
      <c r="AG12" s="1476">
        <f>VLOOKUP($AM$12,BS!1:1048576,MATCH(1:1,BS!4:4,FALSE),FALSE)</f>
        <v>3234.8999999999996</v>
      </c>
      <c r="AH12" s="1476">
        <f>VLOOKUP($AM$12,BS!1:1048576,MATCH(1:1,BS!4:4,FALSE),FALSE)</f>
        <v>3486.6000000000004</v>
      </c>
      <c r="AI12" s="1476">
        <f>VLOOKUP($AM$12,BS!1:1048576,MATCH(1:1,BS!4:4,FALSE),FALSE)</f>
        <v>3882.6839999999988</v>
      </c>
      <c r="AJ12" s="1476">
        <f>VLOOKUP($AM$12,BS!1:1048576,MATCH(1:1,BS!4:4,FALSE),FALSE)</f>
        <v>3990.8499988771664</v>
      </c>
      <c r="AK12" s="1476">
        <f>VLOOKUP($AM$12,BS!1:1048576,MATCH(1:1,BS!4:4,FALSE),FALSE)</f>
        <v>4152.1674360972347</v>
      </c>
      <c r="AL12" s="1476">
        <f>VLOOKUP($AM$12,BS!1:1048576,MATCH(1:1,BS!4:4,FALSE),FALSE)</f>
        <v>4322.6200750658718</v>
      </c>
      <c r="AM12" s="1451" t="s">
        <v>402</v>
      </c>
    </row>
    <row r="13" spans="1:39" ht="13.2" customHeight="1">
      <c r="A13" s="629" t="s">
        <v>385</v>
      </c>
      <c r="B13" s="1477" t="s">
        <v>314</v>
      </c>
      <c r="C13" s="1477" t="s">
        <v>227</v>
      </c>
      <c r="D13" s="1234">
        <f>VLOOKUP($A$13,'P&amp;L'!1:1048576,MATCH(D1,'P&amp;L'!4:4,FALSE),FALSE)</f>
        <v>-33.231999999999999</v>
      </c>
      <c r="E13" s="1234">
        <f>VLOOKUP($A$13,'P&amp;L'!1:1048576,MATCH(E1,'P&amp;L'!4:4,FALSE),FALSE)</f>
        <v>-35.53</v>
      </c>
      <c r="F13" s="1234">
        <f>VLOOKUP($A$13,'P&amp;L'!1:1048576,MATCH(F1,'P&amp;L'!4:4,FALSE),FALSE)</f>
        <v>-39.124000000000002</v>
      </c>
      <c r="G13" s="1234">
        <f>VLOOKUP($A$13,'P&amp;L'!1:1048576,MATCH(G1,'P&amp;L'!4:4,FALSE),FALSE)</f>
        <v>-40.901000000000003</v>
      </c>
      <c r="H13" s="1234">
        <f>VLOOKUP($A$13,'P&amp;L'!1:1048576,MATCH(H1,'P&amp;L'!4:4,FALSE),FALSE)</f>
        <v>-53.900000000000006</v>
      </c>
      <c r="I13" s="1234">
        <f>VLOOKUP($A$13,'P&amp;L'!1:1048576,MATCH(I1,'P&amp;L'!4:4,FALSE),FALSE)</f>
        <v>-61.1</v>
      </c>
      <c r="J13" s="1234">
        <f>VLOOKUP($A$13,'P&amp;L'!1:1048576,MATCH(J1,'P&amp;L'!4:4,FALSE),FALSE)</f>
        <v>-56.2</v>
      </c>
      <c r="K13" s="1234">
        <f>VLOOKUP($A$13,'P&amp;L'!1:1048576,MATCH(K1,'P&amp;L'!4:4,FALSE),FALSE)</f>
        <v>-229.3</v>
      </c>
      <c r="L13" s="1234">
        <f>VLOOKUP($A$13,'P&amp;L'!1:1048576,MATCH(L1,'P&amp;L'!4:4,FALSE),FALSE)</f>
        <v>-218.5</v>
      </c>
      <c r="M13" s="1234">
        <f>VLOOKUP($A$13,'P&amp;L'!1:1048576,MATCH(M1,'P&amp;L'!4:4,FALSE),FALSE)</f>
        <v>-219.3</v>
      </c>
      <c r="N13" s="1234">
        <f>VLOOKUP($A$13,'P&amp;L'!1:1048576,MATCH(N1,'P&amp;L'!4:4,FALSE),FALSE)</f>
        <v>-224.2</v>
      </c>
      <c r="O13" s="1234">
        <f>VLOOKUP($A$13,'P&amp;L'!1:1048576,MATCH(O1,'P&amp;L'!4:4,FALSE),FALSE)</f>
        <v>-237.1</v>
      </c>
      <c r="P13" s="1234">
        <f>VLOOKUP($A$13,'P&amp;L'!1:1048576,MATCH(P1,'P&amp;L'!4:4,FALSE),FALSE)</f>
        <v>-258.8</v>
      </c>
      <c r="Q13" s="1234">
        <f>VLOOKUP($A$13,'P&amp;L'!1:1048576,MATCH(Q1,'P&amp;L'!4:4,FALSE),FALSE)</f>
        <v>-268.46491574585639</v>
      </c>
      <c r="R13" s="1234">
        <f>VLOOKUP($A$13,'P&amp;L'!1:1048576,MATCH(R1,'P&amp;L'!4:4,FALSE),FALSE)</f>
        <v>-275.2716207182321</v>
      </c>
      <c r="S13" s="1234">
        <f>VLOOKUP($A$13,'P&amp;L'!1:1048576,MATCH(S1,'P&amp;L'!4:4,FALSE),FALSE)</f>
        <v>-282.25134577727903</v>
      </c>
      <c r="T13" s="1459"/>
      <c r="U13" s="1460" t="s">
        <v>567</v>
      </c>
      <c r="V13" s="1460" t="s">
        <v>227</v>
      </c>
      <c r="W13" s="1472">
        <f>VLOOKUP($AM$13,BS!1:1048576,MATCH(Summary!1:1,BS!4:4,FALSE),FALSE)</f>
        <v>442.37900000000002</v>
      </c>
      <c r="X13" s="1472">
        <f>VLOOKUP($AM$13,BS!1:1048576,MATCH(Summary!1:1,BS!4:4,FALSE),FALSE)</f>
        <v>352.19299999999998</v>
      </c>
      <c r="Y13" s="1472">
        <f>VLOOKUP($AM$13,BS!1:1048576,MATCH(Summary!1:1,BS!4:4,FALSE),FALSE)</f>
        <v>380.33599999999996</v>
      </c>
      <c r="Z13" s="1472">
        <f>VLOOKUP($AM$13,BS!1:1048576,MATCH(Summary!1:1,BS!4:4,FALSE),FALSE)</f>
        <v>446.83299999999997</v>
      </c>
      <c r="AA13" s="1472">
        <f>VLOOKUP($AM$13,BS!1:1048576,MATCH(Summary!1:1,BS!4:4,FALSE),FALSE)</f>
        <v>885.79999999999984</v>
      </c>
      <c r="AB13" s="1472">
        <f>VLOOKUP($AM$13,BS!1:1048576,MATCH(Summary!1:1,BS!4:4,FALSE),FALSE)</f>
        <v>917.2</v>
      </c>
      <c r="AC13" s="1472">
        <f>VLOOKUP($AM$13,BS!1:1048576,MATCH(Summary!1:1,BS!4:4,FALSE),FALSE)</f>
        <v>945.50000000000011</v>
      </c>
      <c r="AD13" s="1472">
        <f>VLOOKUP($AM$13,BS!1:1048576,MATCH(Summary!1:1,BS!4:4,FALSE),FALSE)</f>
        <v>1345.9</v>
      </c>
      <c r="AE13" s="1472">
        <f>VLOOKUP($AM$13,BS!1:1048576,MATCH(Summary!1:1,BS!4:4,FALSE),FALSE)</f>
        <v>1355.3</v>
      </c>
      <c r="AF13" s="1472">
        <f>VLOOKUP($AM$13,BS!1:1048576,MATCH(Summary!1:1,BS!4:4,FALSE),FALSE)</f>
        <v>1306.3000000000002</v>
      </c>
      <c r="AG13" s="1472">
        <f>VLOOKUP($AM$13,BS!1:1048576,MATCH(Summary!1:1,BS!4:4,FALSE),FALSE)</f>
        <v>1184.8999999999999</v>
      </c>
      <c r="AH13" s="1472">
        <f>VLOOKUP($AM$13,BS!1:1048576,MATCH(Summary!1:1,BS!4:4,FALSE),FALSE)</f>
        <v>1310.8</v>
      </c>
      <c r="AI13" s="1472">
        <f>VLOOKUP($AM$13,BS!1:1048576,MATCH(Summary!1:1,BS!4:4,FALSE),FALSE)</f>
        <v>1551</v>
      </c>
      <c r="AJ13" s="1472">
        <f>VLOOKUP($AM$13,BS!1:1048576,MATCH(Summary!1:1,BS!4:4,FALSE),FALSE)</f>
        <v>1615.0963688469376</v>
      </c>
      <c r="AK13" s="1472">
        <f>VLOOKUP($AM$13,BS!1:1048576,MATCH(Summary!1:1,BS!4:4,FALSE),FALSE)</f>
        <v>1655.8132193308745</v>
      </c>
      <c r="AL13" s="1472">
        <f>VLOOKUP($AM$13,BS!1:1048576,MATCH(Summary!1:1,BS!4:4,FALSE),FALSE)</f>
        <v>1695.7107507832081</v>
      </c>
      <c r="AM13" s="1451" t="s">
        <v>404</v>
      </c>
    </row>
    <row r="14" spans="1:39" ht="13.2" customHeight="1">
      <c r="A14" s="629" t="s">
        <v>749</v>
      </c>
      <c r="B14" s="1473" t="s">
        <v>748</v>
      </c>
      <c r="C14" s="1473" t="s">
        <v>227</v>
      </c>
      <c r="D14" s="1234">
        <f>VLOOKUP($A$14,Drivers!$1:$1048576,MATCH(D1,Drivers!$2:$2,FALSE),FALSE)</f>
        <v>175.85300000000001</v>
      </c>
      <c r="E14" s="1234">
        <f>VLOOKUP($A$14,Drivers!$1:$1048576,MATCH(E1,Drivers!$2:$2,FALSE),FALSE)</f>
        <v>188.32</v>
      </c>
      <c r="F14" s="1234">
        <f>VLOOKUP($A$14,Drivers!$1:$1048576,MATCH(F1,Drivers!$2:$2,FALSE),FALSE)</f>
        <v>199.447</v>
      </c>
      <c r="G14" s="1234">
        <f>VLOOKUP($A$14,Drivers!$1:$1048576,MATCH(G1,Drivers!$2:$2,FALSE),FALSE)</f>
        <v>220.31500000000003</v>
      </c>
      <c r="H14" s="1234">
        <f>VLOOKUP($A$14,Drivers!$1:$1048576,MATCH(H1,Drivers!$2:$2,FALSE),FALSE)</f>
        <v>262.39999999999998</v>
      </c>
      <c r="I14" s="1234">
        <f>VLOOKUP($A$14,Drivers!$1:$1048576,MATCH(I1,Drivers!$2:$2,FALSE),FALSE)</f>
        <v>292.3</v>
      </c>
      <c r="J14" s="1234">
        <f>VLOOKUP($A$14,Drivers!$1:$1048576,MATCH(J1,Drivers!$2:$2,FALSE),FALSE)</f>
        <v>301.7</v>
      </c>
      <c r="K14" s="1234">
        <f>VLOOKUP($A$14,Drivers!$1:$1048576,MATCH(K1,Drivers!$2:$2,FALSE),FALSE)</f>
        <v>391.6</v>
      </c>
      <c r="L14" s="1234">
        <f>VLOOKUP($A$14,Drivers!$1:$1048576,MATCH(L1,Drivers!$2:$2,FALSE),FALSE)</f>
        <v>523</v>
      </c>
      <c r="M14" s="1234">
        <f>VLOOKUP($A$14,Drivers!$1:$1048576,MATCH(M1,Drivers!$2:$2,FALSE),FALSE)</f>
        <v>544.9</v>
      </c>
      <c r="N14" s="1234">
        <f>VLOOKUP($A$14,Drivers!$1:$1048576,MATCH(N1,Drivers!$2:$2,FALSE),FALSE)</f>
        <v>551.9</v>
      </c>
      <c r="O14" s="1234">
        <f>VLOOKUP($A$14,Drivers!$1:$1048576,MATCH(O1,Drivers!$2:$2,FALSE),FALSE)</f>
        <v>491.2</v>
      </c>
      <c r="P14" s="1234">
        <f>VLOOKUP($A$14,Drivers!$1:$1048576,MATCH(P1,Drivers!$2:$2,FALSE),FALSE)</f>
        <v>530.29999999999995</v>
      </c>
      <c r="Q14" s="1234">
        <f>VLOOKUP($A$14,Drivers!$1:$1048576,MATCH(Q1,Drivers!$2:$2,FALSE),FALSE)</f>
        <v>564.13504907766992</v>
      </c>
      <c r="R14" s="1234">
        <f>VLOOKUP($A$14,Drivers!$1:$1048576,MATCH(R1,Drivers!$2:$2,FALSE),FALSE)</f>
        <v>572.72614614043073</v>
      </c>
      <c r="S14" s="1234">
        <f>VLOOKUP($A$14,Drivers!$1:$1048576,MATCH(S1,Drivers!$2:$2,FALSE),FALSE)</f>
        <v>601.24959173951424</v>
      </c>
      <c r="T14" s="1459"/>
      <c r="U14" s="1460" t="s">
        <v>75</v>
      </c>
      <c r="V14" s="1460" t="s">
        <v>227</v>
      </c>
      <c r="W14" s="1472">
        <f>VLOOKUP($AM$14,BS!1:1048576,MATCH(Summary!1:1,BS!4:4,FALSE),FALSE)</f>
        <v>124.331</v>
      </c>
      <c r="X14" s="1472">
        <f>VLOOKUP($AM$14,BS!1:1048576,MATCH(Summary!1:1,BS!4:4,FALSE),FALSE)</f>
        <v>179.65299999999999</v>
      </c>
      <c r="Y14" s="1472">
        <f>VLOOKUP($AM$14,BS!1:1048576,MATCH(Summary!1:1,BS!4:4,FALSE),FALSE)</f>
        <v>139.46100000000001</v>
      </c>
      <c r="Z14" s="1472">
        <f>VLOOKUP($AM$14,BS!1:1048576,MATCH(Summary!1:1,BS!4:4,FALSE),FALSE)</f>
        <v>109.736</v>
      </c>
      <c r="AA14" s="1472">
        <f>VLOOKUP($AM$14,BS!1:1048576,MATCH(Summary!1:1,BS!4:4,FALSE),FALSE)</f>
        <v>558.79999999999995</v>
      </c>
      <c r="AB14" s="1472">
        <f>VLOOKUP($AM$14,BS!1:1048576,MATCH(Summary!1:1,BS!4:4,FALSE),FALSE)</f>
        <v>469.4</v>
      </c>
      <c r="AC14" s="1472">
        <f>VLOOKUP($AM$14,BS!1:1048576,MATCH(Summary!1:1,BS!4:4,FALSE),FALSE)</f>
        <v>439.1</v>
      </c>
      <c r="AD14" s="1472">
        <f>VLOOKUP($AM$14,BS!1:1048576,MATCH(Summary!1:1,BS!4:4,FALSE),FALSE)</f>
        <v>0</v>
      </c>
      <c r="AE14" s="1472">
        <f>VLOOKUP($AM$14,BS!1:1048576,MATCH(Summary!1:1,BS!4:4,FALSE),FALSE)</f>
        <v>0</v>
      </c>
      <c r="AF14" s="1472">
        <f>VLOOKUP($AM$14,BS!1:1048576,MATCH(Summary!1:1,BS!4:4,FALSE),FALSE)</f>
        <v>59.4</v>
      </c>
      <c r="AG14" s="1472">
        <f>VLOOKUP($AM$14,BS!1:1048576,MATCH(Summary!1:1,BS!4:4,FALSE),FALSE)</f>
        <v>49.8</v>
      </c>
      <c r="AH14" s="1472">
        <f>VLOOKUP($AM$14,BS!1:1048576,MATCH(Summary!1:1,BS!4:4,FALSE),FALSE)</f>
        <v>15</v>
      </c>
      <c r="AI14" s="1472">
        <f>VLOOKUP($AM$14,BS!1:1048576,MATCH(Summary!1:1,BS!4:4,FALSE),FALSE)</f>
        <v>0</v>
      </c>
      <c r="AJ14" s="1472">
        <f>VLOOKUP($AM$14,BS!1:1048576,MATCH(Summary!1:1,BS!4:4,FALSE),FALSE)</f>
        <v>0</v>
      </c>
      <c r="AK14" s="1472">
        <f>VLOOKUP($AM$14,BS!1:1048576,MATCH(Summary!1:1,BS!4:4,FALSE),FALSE)</f>
        <v>0</v>
      </c>
      <c r="AL14" s="1472">
        <f>VLOOKUP($AM$14,BS!1:1048576,MATCH(Summary!1:1,BS!4:4,FALSE),FALSE)</f>
        <v>0</v>
      </c>
      <c r="AM14" s="1451" t="s">
        <v>403</v>
      </c>
    </row>
    <row r="15" spans="1:39" ht="13.2" customHeight="1">
      <c r="A15" s="629" t="s">
        <v>750</v>
      </c>
      <c r="B15" s="1451" t="s">
        <v>747</v>
      </c>
      <c r="C15" s="1451" t="s">
        <v>227</v>
      </c>
      <c r="D15" s="1234">
        <f>VLOOKUP($A$15,Drivers!$1:$1048576,MATCH(D1,Drivers!$2:$2,FALSE),FALSE)</f>
        <v>1.9</v>
      </c>
      <c r="E15" s="1234">
        <f>VLOOKUP($A$15,Drivers!$1:$1048576,MATCH(E1,Drivers!$2:$2,FALSE),FALSE)</f>
        <v>2.8</v>
      </c>
      <c r="F15" s="1234">
        <f>VLOOKUP($A$15,Drivers!$1:$1048576,MATCH(F1,Drivers!$2:$2,FALSE),FALSE)</f>
        <v>1.46</v>
      </c>
      <c r="G15" s="1234">
        <f>VLOOKUP($A$15,Drivers!$1:$1048576,MATCH(G1,Drivers!$2:$2,FALSE),FALSE)</f>
        <v>0.89999999999997726</v>
      </c>
      <c r="H15" s="1234">
        <f>VLOOKUP($A$15,Drivers!$1:$1048576,MATCH(H1,Drivers!$2:$2,FALSE),FALSE)</f>
        <v>-2.4999999999999645</v>
      </c>
      <c r="I15" s="1234">
        <f>VLOOKUP($A$15,Drivers!$1:$1048576,MATCH(I1,Drivers!$2:$2,FALSE),FALSE)</f>
        <v>-2.5999999999999996</v>
      </c>
      <c r="J15" s="1234">
        <f>VLOOKUP($A$15,Drivers!$1:$1048576,MATCH(J1,Drivers!$2:$2,FALSE),FALSE)</f>
        <v>-1.7</v>
      </c>
      <c r="K15" s="1234">
        <f>VLOOKUP($A$15,Drivers!$1:$1048576,MATCH(K1,Drivers!$2:$2,FALSE),FALSE)</f>
        <v>-1.4000000000000092</v>
      </c>
      <c r="L15" s="1234">
        <f>VLOOKUP($A$15,Drivers!$1:$1048576,MATCH(L1,Drivers!$2:$2,FALSE),FALSE)</f>
        <v>5.4000000000000909</v>
      </c>
      <c r="M15" s="1234">
        <f>VLOOKUP($A$15,Drivers!$1:$1048576,MATCH(M1,Drivers!$2:$2,FALSE),FALSE)</f>
        <v>8.3000000000000682</v>
      </c>
      <c r="N15" s="1234">
        <f>VLOOKUP($A$15,Drivers!$1:$1048576,MATCH(N1,Drivers!$2:$2,FALSE),FALSE)</f>
        <v>4.1000000000000227</v>
      </c>
      <c r="O15" s="1234">
        <f>VLOOKUP($A$15,Drivers!$1:$1048576,MATCH(O1,Drivers!$2:$2,FALSE),FALSE)</f>
        <v>-2.0999999999999375</v>
      </c>
      <c r="P15" s="1234">
        <f>VLOOKUP($A$15,Drivers!$1:$1048576,MATCH(P1,Drivers!$2:$2,FALSE),FALSE)</f>
        <v>-0.19999999999994245</v>
      </c>
      <c r="Q15" s="1234">
        <f>VLOOKUP($A$15,Drivers!$1:$1048576,MATCH(Q1,Drivers!$2:$2,FALSE),FALSE)</f>
        <v>4.0613276707140962</v>
      </c>
      <c r="R15" s="1234">
        <f>VLOOKUP($A$15,Drivers!$1:$1048576,MATCH(R1,Drivers!$2:$2,FALSE),FALSE)</f>
        <v>6.421993418731951</v>
      </c>
      <c r="S15" s="1234">
        <f>VLOOKUP($A$15,Drivers!$1:$1048576,MATCH(S1,Drivers!$2:$2,FALSE),FALSE)</f>
        <v>8.6730217472912887</v>
      </c>
      <c r="T15" s="1459"/>
      <c r="U15" s="1460" t="s">
        <v>568</v>
      </c>
      <c r="V15" s="1460" t="s">
        <v>227</v>
      </c>
      <c r="W15" s="1472">
        <f>W16-SUM(W13:W14)</f>
        <v>32.765999999999963</v>
      </c>
      <c r="X15" s="1472">
        <f t="shared" ref="X15:AC15" si="5">X16-SUM(X13:X14)</f>
        <v>33.361999999999966</v>
      </c>
      <c r="Y15" s="1472">
        <f t="shared" si="5"/>
        <v>31.736999999999966</v>
      </c>
      <c r="Z15" s="1472">
        <f t="shared" si="5"/>
        <v>31.110000000000014</v>
      </c>
      <c r="AA15" s="1472">
        <f t="shared" si="5"/>
        <v>154.19999999999982</v>
      </c>
      <c r="AB15" s="1472">
        <f t="shared" si="5"/>
        <v>157.5</v>
      </c>
      <c r="AC15" s="1472">
        <f t="shared" si="5"/>
        <v>138.5</v>
      </c>
      <c r="AD15" s="1472">
        <f t="shared" ref="AD15:AI15" si="6">AD16-SUM(AD13:AD14)</f>
        <v>700.7</v>
      </c>
      <c r="AE15" s="1472">
        <f t="shared" si="6"/>
        <v>591.60000000000014</v>
      </c>
      <c r="AF15" s="1472">
        <f t="shared" si="6"/>
        <v>515.39999999999986</v>
      </c>
      <c r="AG15" s="1472">
        <f t="shared" si="6"/>
        <v>580.59999999999991</v>
      </c>
      <c r="AH15" s="1472">
        <f t="shared" si="6"/>
        <v>601.70000000000005</v>
      </c>
      <c r="AI15" s="1472">
        <f t="shared" si="6"/>
        <v>709.90000000000009</v>
      </c>
      <c r="AJ15" s="1472">
        <f t="shared" ref="AJ15:AK15" si="7">AJ16-SUM(AJ13:AJ14)</f>
        <v>718.10000000000014</v>
      </c>
      <c r="AK15" s="1472">
        <f t="shared" si="7"/>
        <v>718.09999999999968</v>
      </c>
      <c r="AL15" s="1472">
        <f t="shared" ref="AL15" si="8">AL16-SUM(AL13:AL14)</f>
        <v>718.10000000000014</v>
      </c>
      <c r="AM15" s="1451"/>
    </row>
    <row r="16" spans="1:39" ht="13.2" customHeight="1">
      <c r="A16" s="629" t="s">
        <v>746</v>
      </c>
      <c r="B16" s="1451" t="s">
        <v>703</v>
      </c>
      <c r="C16" s="1451" t="s">
        <v>227</v>
      </c>
      <c r="D16" s="1234"/>
      <c r="E16" s="1234"/>
      <c r="F16" s="1234"/>
      <c r="G16" s="1234"/>
      <c r="H16" s="1234">
        <f>VLOOKUP($A$16,Drivers!$1:$1048576,MATCH(H1,Drivers!$2:$2,FALSE),FALSE)</f>
        <v>46.4</v>
      </c>
      <c r="I16" s="1234">
        <f>VLOOKUP($A$16,Drivers!$1:$1048576,MATCH(I1,Drivers!$2:$2,FALSE),FALSE)</f>
        <v>60.9</v>
      </c>
      <c r="J16" s="1234">
        <f>VLOOKUP($A$16,Drivers!$1:$1048576,MATCH(J1,Drivers!$2:$2,FALSE),FALSE)</f>
        <v>72.900000000000006</v>
      </c>
      <c r="K16" s="1234">
        <f>VLOOKUP($A$16,Drivers!$1:$1048576,MATCH(K1,Drivers!$2:$2,FALSE),FALSE)</f>
        <v>112.8</v>
      </c>
      <c r="L16" s="1234">
        <f>VLOOKUP($A$16,Drivers!$1:$1048576,MATCH(L1,Drivers!$2:$2,FALSE),FALSE)</f>
        <v>214.7</v>
      </c>
      <c r="M16" s="1234">
        <f>VLOOKUP($A$16,Drivers!$1:$1048576,MATCH(M1,Drivers!$2:$2,FALSE),FALSE)</f>
        <v>241.4</v>
      </c>
      <c r="N16" s="1234">
        <f>VLOOKUP($A$16,Drivers!$1:$1048576,MATCH(N1,Drivers!$2:$2,FALSE),FALSE)</f>
        <v>213</v>
      </c>
      <c r="O16" s="1234">
        <f>VLOOKUP($A$16,Drivers!$1:$1048576,MATCH(O1,Drivers!$2:$2,FALSE),FALSE)</f>
        <v>158.1</v>
      </c>
      <c r="P16" s="1234">
        <f>VLOOKUP($A$16,Drivers!$1:$1048576,MATCH(P1,Drivers!$2:$2,FALSE),FALSE)</f>
        <v>173.5</v>
      </c>
      <c r="Q16" s="1234">
        <f>VLOOKUP($A$16,Drivers!$1:$1048576,MATCH(Q1,Drivers!$2:$2,FALSE),FALSE)</f>
        <v>182.30674321596246</v>
      </c>
      <c r="R16" s="1234">
        <f>VLOOKUP($A$16,Drivers!$1:$1048576,MATCH(R1,Drivers!$2:$2,FALSE),FALSE)</f>
        <v>185.20306973708929</v>
      </c>
      <c r="S16" s="1234">
        <f>VLOOKUP($A$16,Drivers!$1:$1048576,MATCH(S1,Drivers!$2:$2,FALSE),FALSE)</f>
        <v>192.66406447788748</v>
      </c>
      <c r="T16" s="1459"/>
      <c r="U16" s="1475" t="s">
        <v>569</v>
      </c>
      <c r="V16" s="1475" t="s">
        <v>227</v>
      </c>
      <c r="W16" s="1476">
        <f>VLOOKUP($AM$16,BS!1:1048576,MATCH(Summary!1:1,BS!4:4,FALSE),FALSE)</f>
        <v>599.476</v>
      </c>
      <c r="X16" s="1476">
        <f>VLOOKUP($AM$16,BS!1:1048576,MATCH(Summary!1:1,BS!4:4,FALSE),FALSE)</f>
        <v>565.20799999999997</v>
      </c>
      <c r="Y16" s="1476">
        <f>VLOOKUP($AM$16,BS!1:1048576,MATCH(Summary!1:1,BS!4:4,FALSE),FALSE)</f>
        <v>551.53399999999999</v>
      </c>
      <c r="Z16" s="1476">
        <f>VLOOKUP($AM$16,BS!1:1048576,MATCH(Summary!1:1,BS!4:4,FALSE),FALSE)</f>
        <v>587.67899999999997</v>
      </c>
      <c r="AA16" s="1476">
        <f>VLOOKUP($AM$16,BS!1:1048576,MATCH(Summary!1:1,BS!4:4,FALSE),FALSE)</f>
        <v>1598.7999999999997</v>
      </c>
      <c r="AB16" s="1476">
        <f>VLOOKUP($AM$16,BS!1:1048576,MATCH(Summary!1:1,BS!4:4,FALSE),FALSE)</f>
        <v>1544.1</v>
      </c>
      <c r="AC16" s="1476">
        <f>VLOOKUP($AM$16,BS!1:1048576,MATCH(Summary!1:1,BS!4:4,FALSE),FALSE)</f>
        <v>1523.1000000000001</v>
      </c>
      <c r="AD16" s="1476">
        <f>VLOOKUP($AM$16,BS!1:1048576,MATCH(Summary!1:1,BS!4:4,FALSE),FALSE)</f>
        <v>2046.6000000000001</v>
      </c>
      <c r="AE16" s="1476">
        <f>VLOOKUP($AM$16,BS!1:1048576,MATCH(Summary!1:1,BS!4:4,FALSE),FALSE)</f>
        <v>1946.9</v>
      </c>
      <c r="AF16" s="1476">
        <f>VLOOKUP($AM$16,BS!1:1048576,MATCH(Summary!1:1,BS!4:4,FALSE),FALSE)</f>
        <v>1881.1000000000001</v>
      </c>
      <c r="AG16" s="1476">
        <f>VLOOKUP($AM$16,BS!1:1048576,MATCH(Summary!1:1,BS!4:4,FALSE),FALSE)</f>
        <v>1815.2999999999997</v>
      </c>
      <c r="AH16" s="1476">
        <f>VLOOKUP($AM$16,BS!1:1048576,MATCH(Summary!1:1,BS!4:4,FALSE),FALSE)</f>
        <v>1927.5</v>
      </c>
      <c r="AI16" s="1476">
        <f>VLOOKUP($AM$16,BS!1:1048576,MATCH(Summary!1:1,BS!4:4,FALSE),FALSE)</f>
        <v>2260.9</v>
      </c>
      <c r="AJ16" s="1476">
        <f>VLOOKUP($AM$16,BS!1:1048576,MATCH(Summary!1:1,BS!4:4,FALSE),FALSE)</f>
        <v>2333.1963688469377</v>
      </c>
      <c r="AK16" s="1476">
        <f>VLOOKUP($AM$16,BS!1:1048576,MATCH(Summary!1:1,BS!4:4,FALSE),FALSE)</f>
        <v>2373.9132193308742</v>
      </c>
      <c r="AL16" s="1476">
        <f>VLOOKUP($AM$16,BS!1:1048576,MATCH(Summary!1:1,BS!4:4,FALSE),FALSE)</f>
        <v>2413.8107507832083</v>
      </c>
      <c r="AM16" s="1451" t="s">
        <v>405</v>
      </c>
    </row>
    <row r="17" spans="1:39" ht="13.2" customHeight="1">
      <c r="A17" s="629" t="s">
        <v>384</v>
      </c>
      <c r="B17" s="1478" t="s">
        <v>165</v>
      </c>
      <c r="C17" s="1478" t="s">
        <v>227</v>
      </c>
      <c r="D17" s="1479">
        <f>VLOOKUP($A$17,'P&amp;L'!1:1048576,MATCH(D1,'P&amp;L'!4:4,FALSE),FALSE)</f>
        <v>177.75300000000001</v>
      </c>
      <c r="E17" s="1479">
        <f>VLOOKUP($A$17,'P&amp;L'!1:1048576,MATCH(E1,'P&amp;L'!4:4,FALSE),FALSE)</f>
        <v>191.12</v>
      </c>
      <c r="F17" s="1479">
        <f>VLOOKUP($A$17,'P&amp;L'!1:1048576,MATCH(F1,'P&amp;L'!4:4,FALSE),FALSE)</f>
        <v>200.90700000000001</v>
      </c>
      <c r="G17" s="1479">
        <f>VLOOKUP($A$17,'P&amp;L'!1:1048576,MATCH(G1,'P&amp;L'!4:4,FALSE),FALSE)</f>
        <v>221.17500000000001</v>
      </c>
      <c r="H17" s="1479">
        <f>VLOOKUP($A$17,'P&amp;L'!1:1048576,MATCH(H1,'P&amp;L'!4:4,FALSE),FALSE)</f>
        <v>306.39999999999998</v>
      </c>
      <c r="I17" s="1479">
        <f>VLOOKUP($A$17,'P&amp;L'!1:1048576,MATCH(I1,'P&amp;L'!4:4,FALSE),FALSE)</f>
        <v>350.59999999999997</v>
      </c>
      <c r="J17" s="1479">
        <f>VLOOKUP($A$17,'P&amp;L'!1:1048576,MATCH(J1,'P&amp;L'!4:4,FALSE),FALSE)</f>
        <v>372.90000000000003</v>
      </c>
      <c r="K17" s="1479">
        <f>VLOOKUP($A$17,'P&amp;L'!1:1048576,MATCH(K1,'P&amp;L'!4:4,FALSE),FALSE)</f>
        <v>502.90000000000003</v>
      </c>
      <c r="L17" s="1479">
        <f>VLOOKUP($A$17,'P&amp;L'!1:1048576,MATCH(L1,'P&amp;L'!4:4,FALSE),FALSE)</f>
        <v>743.1</v>
      </c>
      <c r="M17" s="1479">
        <f>VLOOKUP($A$17,'P&amp;L'!1:1048576,MATCH(M1,'P&amp;L'!4:4,FALSE),FALSE)</f>
        <v>794.59999999999991</v>
      </c>
      <c r="N17" s="1479">
        <f>VLOOKUP($A$17,'P&amp;L'!1:1048576,MATCH(N1,'P&amp;L'!4:4,FALSE),FALSE)</f>
        <v>769</v>
      </c>
      <c r="O17" s="1479">
        <f>VLOOKUP($A$17,'P&amp;L'!1:1048576,MATCH(O1,'P&amp;L'!4:4,FALSE),FALSE)</f>
        <v>647.19999999999993</v>
      </c>
      <c r="P17" s="1479">
        <f>VLOOKUP($A$17,'P&amp;L'!1:1048576,MATCH(P1,'P&amp;L'!4:4,FALSE),FALSE)</f>
        <v>707.8</v>
      </c>
      <c r="Q17" s="1479">
        <f>VLOOKUP($A$17,'P&amp;L'!1:1048576,MATCH(Q1,'P&amp;L'!4:4,FALSE),FALSE)</f>
        <v>753.74192521296516</v>
      </c>
      <c r="R17" s="1479">
        <f>VLOOKUP($A$17,'P&amp;L'!1:1048576,MATCH(R1,'P&amp;L'!4:4,FALSE),FALSE)</f>
        <v>767.68717870232945</v>
      </c>
      <c r="S17" s="1479">
        <f>VLOOKUP($A$17,'P&amp;L'!1:1048576,MATCH(S1,'P&amp;L'!4:4,FALSE),FALSE)</f>
        <v>806.02272645295261</v>
      </c>
      <c r="T17" s="1459"/>
      <c r="U17" s="1460" t="s">
        <v>570</v>
      </c>
      <c r="V17" s="1460" t="s">
        <v>227</v>
      </c>
      <c r="W17" s="1472">
        <f>VLOOKUP($AM$17,BS!1:1048576,MATCH(1:1,BS!4:4,FALSE),FALSE)</f>
        <v>0.48299999999999998</v>
      </c>
      <c r="X17" s="1472">
        <f>VLOOKUP($AM$17,BS!1:1048576,MATCH(1:1,BS!4:4,FALSE),FALSE)</f>
        <v>0</v>
      </c>
      <c r="Y17" s="1472">
        <f>VLOOKUP($AM$17,BS!1:1048576,MATCH(1:1,BS!4:4,FALSE),FALSE)</f>
        <v>0</v>
      </c>
      <c r="Z17" s="1472">
        <f>VLOOKUP($AM$17,BS!1:1048576,MATCH(1:1,BS!4:4,FALSE),FALSE)</f>
        <v>0</v>
      </c>
      <c r="AA17" s="1472">
        <f>VLOOKUP($AM$17,BS!1:1048576,MATCH(1:1,BS!4:4,FALSE),FALSE)</f>
        <v>0</v>
      </c>
      <c r="AB17" s="1472">
        <f>VLOOKUP($AM$17,BS!1:1048576,MATCH(1:1,BS!4:4,FALSE),FALSE)</f>
        <v>0</v>
      </c>
      <c r="AC17" s="1472">
        <f>VLOOKUP($AM$17,BS!1:1048576,MATCH(1:1,BS!4:4,FALSE),FALSE)</f>
        <v>0</v>
      </c>
      <c r="AD17" s="1472">
        <f>VLOOKUP($AM$17,BS!1:1048576,MATCH(1:1,BS!4:4,FALSE),FALSE)</f>
        <v>0</v>
      </c>
      <c r="AE17" s="1472">
        <f>VLOOKUP($AM$17,BS!1:1048576,MATCH(1:1,BS!4:4,FALSE),FALSE)</f>
        <v>0</v>
      </c>
      <c r="AF17" s="1472">
        <f>VLOOKUP($AM$17,BS!1:1048576,MATCH(1:1,BS!4:4,FALSE),FALSE)</f>
        <v>0</v>
      </c>
      <c r="AG17" s="1472">
        <f>VLOOKUP($AM$17,BS!1:1048576,MATCH(1:1,BS!4:4,FALSE),FALSE)</f>
        <v>0</v>
      </c>
      <c r="AH17" s="1472">
        <f>VLOOKUP($AM$17,BS!1:1048576,MATCH(1:1,BS!4:4,FALSE),FALSE)</f>
        <v>0</v>
      </c>
      <c r="AI17" s="1472">
        <f>VLOOKUP($AM$17,BS!1:1048576,MATCH(1:1,BS!4:4,FALSE),FALSE)</f>
        <v>5.2</v>
      </c>
      <c r="AJ17" s="1472">
        <f>VLOOKUP($AM$17,BS!1:1048576,MATCH(1:1,BS!4:4,FALSE),FALSE)</f>
        <v>5.7667909185082857</v>
      </c>
      <c r="AK17" s="1472">
        <f>VLOOKUP($AM$17,BS!1:1048576,MATCH(1:1,BS!4:4,FALSE),FALSE)</f>
        <v>6.350585564571821</v>
      </c>
      <c r="AL17" s="1472">
        <f>VLOOKUP($AM$17,BS!1:1048576,MATCH(1:1,BS!4:4,FALSE),FALSE)</f>
        <v>6.9518940500172635</v>
      </c>
      <c r="AM17" s="1451" t="s">
        <v>407</v>
      </c>
    </row>
    <row r="18" spans="1:39" ht="13.2" customHeight="1">
      <c r="A18" s="629" t="s">
        <v>284</v>
      </c>
      <c r="B18" s="1480" t="s">
        <v>197</v>
      </c>
      <c r="C18" s="1480" t="s">
        <v>227</v>
      </c>
      <c r="D18" s="1481">
        <f>VLOOKUP($A$18,'P&amp;L'!1:1048576,MATCH(D1,'P&amp;L'!4:4,FALSE),FALSE)</f>
        <v>-9.7010000000000005</v>
      </c>
      <c r="E18" s="1481">
        <f>VLOOKUP($A$18,'P&amp;L'!1:1048576,MATCH(E1,'P&amp;L'!4:4,FALSE),FALSE)</f>
        <v>-8.4430000000000014</v>
      </c>
      <c r="F18" s="1481">
        <f>VLOOKUP($A$18,'P&amp;L'!1:1048576,MATCH(F1,'P&amp;L'!4:4,FALSE),FALSE)</f>
        <v>-5.375</v>
      </c>
      <c r="G18" s="1481">
        <f>VLOOKUP($A$18,'P&amp;L'!1:1048576,MATCH(G1,'P&amp;L'!4:4,FALSE),FALSE)</f>
        <v>-3.3359999999999999</v>
      </c>
      <c r="H18" s="1481">
        <f>VLOOKUP($A$18,'P&amp;L'!1:1048576,MATCH(H1,'P&amp;L'!4:4,FALSE),FALSE)</f>
        <v>-9</v>
      </c>
      <c r="I18" s="1481">
        <f>VLOOKUP($A$18,'P&amp;L'!1:1048576,MATCH(I1,'P&amp;L'!4:4,FALSE),FALSE)</f>
        <v>-16.100000000000001</v>
      </c>
      <c r="J18" s="1481">
        <f>VLOOKUP($A$18,'P&amp;L'!1:1048576,MATCH(J1,'P&amp;L'!4:4,FALSE),FALSE)</f>
        <v>-13.600000000000001</v>
      </c>
      <c r="K18" s="1481">
        <f>VLOOKUP($A$18,'P&amp;L'!1:1048576,MATCH(K1,'P&amp;L'!4:4,FALSE),FALSE)</f>
        <v>-35.299999999999997</v>
      </c>
      <c r="L18" s="1481">
        <f>VLOOKUP($A$18,'P&amp;L'!1:1048576,MATCH(L1,'P&amp;L'!4:4,FALSE),FALSE)</f>
        <v>-19.7</v>
      </c>
      <c r="M18" s="1481">
        <f>VLOOKUP($A$18,'P&amp;L'!1:1048576,MATCH(M1,'P&amp;L'!4:4,FALSE),FALSE)</f>
        <v>-19.299999999999997</v>
      </c>
      <c r="N18" s="1481">
        <f>VLOOKUP($A$18,'P&amp;L'!1:1048576,MATCH(N1,'P&amp;L'!4:4,FALSE),FALSE)</f>
        <v>-21.9</v>
      </c>
      <c r="O18" s="1481">
        <f>VLOOKUP($A$18,'P&amp;L'!1:1048576,MATCH(O1,'P&amp;L'!4:4,FALSE),FALSE)</f>
        <v>-19.8</v>
      </c>
      <c r="P18" s="1481">
        <f>VLOOKUP($A$18,'P&amp;L'!1:1048576,MATCH(P1,'P&amp;L'!4:4,FALSE),FALSE)</f>
        <v>-26.099999999999998</v>
      </c>
      <c r="Q18" s="1481">
        <f>VLOOKUP($A$18,'P&amp;L'!1:1048576,MATCH(Q1,'P&amp;L'!4:4,FALSE),FALSE)</f>
        <v>-33.028899417356641</v>
      </c>
      <c r="R18" s="1481">
        <f>VLOOKUP($A$18,'P&amp;L'!1:1048576,MATCH(R1,'P&amp;L'!4:4,FALSE),FALSE)</f>
        <v>-36.039248017090742</v>
      </c>
      <c r="S18" s="1481">
        <f>VLOOKUP($A$18,'P&amp;L'!1:1048576,MATCH(S1,'P&amp;L'!4:4,FALSE),FALSE)</f>
        <v>-37.071548567227168</v>
      </c>
      <c r="T18" s="1459"/>
      <c r="U18" s="1460" t="s">
        <v>571</v>
      </c>
      <c r="V18" s="1460" t="s">
        <v>227</v>
      </c>
      <c r="W18" s="1472">
        <f>W12-W16-W17</f>
        <v>243.34500000000008</v>
      </c>
      <c r="X18" s="1472">
        <f t="shared" ref="X18:AC18" si="9">X12-X16-X17</f>
        <v>294.63300000000004</v>
      </c>
      <c r="Y18" s="1472">
        <f t="shared" si="9"/>
        <v>343.47899999999993</v>
      </c>
      <c r="Z18" s="1472">
        <f t="shared" si="9"/>
        <v>404.702</v>
      </c>
      <c r="AA18" s="1472">
        <f t="shared" si="9"/>
        <v>853.50000000000045</v>
      </c>
      <c r="AB18" s="1472">
        <f t="shared" si="9"/>
        <v>947.59999999999991</v>
      </c>
      <c r="AC18" s="1472">
        <f t="shared" si="9"/>
        <v>1044.0999999999997</v>
      </c>
      <c r="AD18" s="1472">
        <f t="shared" ref="AD18:AI18" si="10">AD12-AD16-AD17</f>
        <v>1105.7</v>
      </c>
      <c r="AE18" s="1472">
        <f t="shared" si="10"/>
        <v>1308.4000000000001</v>
      </c>
      <c r="AF18" s="1472">
        <f t="shared" si="10"/>
        <v>1280.2999999999995</v>
      </c>
      <c r="AG18" s="1472">
        <f t="shared" si="10"/>
        <v>1419.6</v>
      </c>
      <c r="AH18" s="1472">
        <f t="shared" si="10"/>
        <v>1559.1000000000004</v>
      </c>
      <c r="AI18" s="1472">
        <f t="shared" si="10"/>
        <v>1616.5839999999987</v>
      </c>
      <c r="AJ18" s="1472">
        <f t="shared" ref="AJ18:AK18" si="11">AJ12-AJ16-AJ17</f>
        <v>1651.8868391117203</v>
      </c>
      <c r="AK18" s="1472">
        <f t="shared" si="11"/>
        <v>1771.9036312017886</v>
      </c>
      <c r="AL18" s="1472">
        <f t="shared" ref="AL18" si="12">AL12-AL16-AL17</f>
        <v>1901.8574302326463</v>
      </c>
      <c r="AM18" s="1451"/>
    </row>
    <row r="19" spans="1:39" ht="13.2" customHeight="1">
      <c r="A19" s="629" t="s">
        <v>286</v>
      </c>
      <c r="B19" s="1478" t="s">
        <v>232</v>
      </c>
      <c r="C19" s="1478" t="s">
        <v>227</v>
      </c>
      <c r="D19" s="1482">
        <f>VLOOKUP($A$19,'P&amp;L'!1:1048576,MATCH(D1,'P&amp;L'!4:4,FALSE),FALSE)</f>
        <v>168.05200000000002</v>
      </c>
      <c r="E19" s="1482">
        <f>VLOOKUP($A$19,'P&amp;L'!1:1048576,MATCH(E1,'P&amp;L'!4:4,FALSE),FALSE)</f>
        <v>182.67699999999999</v>
      </c>
      <c r="F19" s="1482">
        <f>VLOOKUP($A$19,'P&amp;L'!1:1048576,MATCH(F1,'P&amp;L'!4:4,FALSE),FALSE)</f>
        <v>195.53200000000001</v>
      </c>
      <c r="G19" s="1482">
        <f>VLOOKUP($A$19,'P&amp;L'!1:1048576,MATCH(G1,'P&amp;L'!4:4,FALSE),FALSE)</f>
        <v>217.839</v>
      </c>
      <c r="H19" s="1482">
        <f>VLOOKUP($A$19,'P&amp;L'!1:1048576,MATCH(H1,'P&amp;L'!4:4,FALSE),FALSE)</f>
        <v>259.2</v>
      </c>
      <c r="I19" s="1482">
        <f>VLOOKUP($A$19,'P&amp;L'!1:1048576,MATCH(I1,'P&amp;L'!4:4,FALSE),FALSE)</f>
        <v>334.49999999999994</v>
      </c>
      <c r="J19" s="1482">
        <f>VLOOKUP($A$19,'P&amp;L'!1:1048576,MATCH(J1,'P&amp;L'!4:4,FALSE),FALSE)</f>
        <v>359.3</v>
      </c>
      <c r="K19" s="1482">
        <f>VLOOKUP($A$19,'P&amp;L'!1:1048576,MATCH(K1,'P&amp;L'!4:4,FALSE),FALSE)</f>
        <v>447.90000000000003</v>
      </c>
      <c r="L19" s="1482">
        <f>VLOOKUP($A$19,'P&amp;L'!1:1048576,MATCH(L1,'P&amp;L'!4:4,FALSE),FALSE)</f>
        <v>723.4</v>
      </c>
      <c r="M19" s="1482">
        <f>VLOOKUP($A$19,'P&amp;L'!1:1048576,MATCH(M1,'P&amp;L'!4:4,FALSE),FALSE)</f>
        <v>775.3</v>
      </c>
      <c r="N19" s="1482">
        <f>VLOOKUP($A$19,'P&amp;L'!1:1048576,MATCH(N1,'P&amp;L'!4:4,FALSE),FALSE)</f>
        <v>747.1</v>
      </c>
      <c r="O19" s="1482">
        <f>VLOOKUP($A$19,'P&amp;L'!1:1048576,MATCH(O1,'P&amp;L'!4:4,FALSE),FALSE)</f>
        <v>627.4</v>
      </c>
      <c r="P19" s="1482">
        <f>VLOOKUP($A$19,'P&amp;L'!1:1048576,MATCH(P1,'P&amp;L'!4:4,FALSE),FALSE)</f>
        <v>667.99999999999989</v>
      </c>
      <c r="Q19" s="1482">
        <f>VLOOKUP($A$19,'P&amp;L'!1:1048576,MATCH(Q1,'P&amp;L'!4:4,FALSE),FALSE)</f>
        <v>720.71302579560847</v>
      </c>
      <c r="R19" s="1482">
        <f>VLOOKUP($A$19,'P&amp;L'!1:1048576,MATCH(R1,'P&amp;L'!4:4,FALSE),FALSE)</f>
        <v>731.64793068523875</v>
      </c>
      <c r="S19" s="1482">
        <f>VLOOKUP($A$19,'P&amp;L'!1:1048576,MATCH(S1,'P&amp;L'!4:4,FALSE),FALSE)</f>
        <v>768.95117788572543</v>
      </c>
      <c r="T19" s="1459"/>
      <c r="U19" s="1460" t="s">
        <v>572</v>
      </c>
      <c r="V19" s="1460" t="s">
        <v>227</v>
      </c>
      <c r="W19" s="1472">
        <f>VLOOKUP($AM$19,BS!1:1048576,MATCH(1:1,BS!4:4,FALSE),FALSE)</f>
        <v>56.963000000000008</v>
      </c>
      <c r="X19" s="1472">
        <f>VLOOKUP($AM$19,BS!1:1048576,MATCH(1:1,BS!4:4,FALSE),FALSE)</f>
        <v>136.208</v>
      </c>
      <c r="Y19" s="1472">
        <f>VLOOKUP($AM$19,BS!1:1048576,MATCH(1:1,BS!4:4,FALSE),FALSE)</f>
        <v>90.330000000000013</v>
      </c>
      <c r="Z19" s="1472">
        <f>VLOOKUP($AM$19,BS!1:1048576,MATCH(1:1,BS!4:4,FALSE),FALSE)</f>
        <v>57.852000000000004</v>
      </c>
      <c r="AA19" s="1472">
        <f>VLOOKUP($AM$19,BS!1:1048576,MATCH(1:1,BS!4:4,FALSE),FALSE)</f>
        <v>485.99999999999994</v>
      </c>
      <c r="AB19" s="1472">
        <f>VLOOKUP($AM$19,BS!1:1048576,MATCH(1:1,BS!4:4,FALSE),FALSE)</f>
        <v>397.4</v>
      </c>
      <c r="AC19" s="1472">
        <f>VLOOKUP($AM$19,BS!1:1048576,MATCH(1:1,BS!4:4,FALSE),FALSE)</f>
        <v>319.90000000000003</v>
      </c>
      <c r="AD19" s="1472">
        <f>VLOOKUP($AM$19,BS!1:1048576,MATCH(1:1,BS!4:4,FALSE),FALSE)</f>
        <v>-251.5</v>
      </c>
      <c r="AE19" s="1472">
        <f>VLOOKUP($AM$19,BS!1:1048576,MATCH(1:1,BS!4:4,FALSE),FALSE)</f>
        <v>-263.2</v>
      </c>
      <c r="AF19" s="1472">
        <f>VLOOKUP($AM$19,BS!1:1048576,MATCH(1:1,BS!4:4,FALSE),FALSE)</f>
        <v>-66.199999999999989</v>
      </c>
      <c r="AG19" s="1472">
        <f>VLOOKUP($AM$19,BS!1:1048576,MATCH(1:1,BS!4:4,FALSE),FALSE)</f>
        <v>-127.50000000000001</v>
      </c>
      <c r="AH19" s="1472">
        <f>VLOOKUP($AM$19,BS!1:1048576,MATCH(1:1,BS!4:4,FALSE),FALSE)</f>
        <v>-302.7</v>
      </c>
      <c r="AI19" s="1472">
        <f>VLOOKUP($AM$19,BS!1:1048576,MATCH(1:1,BS!4:4,FALSE),FALSE)</f>
        <v>-284.08399999999841</v>
      </c>
      <c r="AJ19" s="1472">
        <f>VLOOKUP($AM$19,BS!1:1048576,MATCH(1:1,BS!4:4,FALSE),FALSE)</f>
        <v>-278.73729058787302</v>
      </c>
      <c r="AK19" s="1472">
        <f>VLOOKUP($AM$19,BS!1:1048576,MATCH(1:1,BS!4:4,FALSE),FALSE)</f>
        <v>-336.69984284409219</v>
      </c>
      <c r="AL19" s="1472">
        <f>VLOOKUP($AM$19,BS!1:1048576,MATCH(1:1,BS!4:4,FALSE),FALSE)</f>
        <v>-401.13494328867995</v>
      </c>
      <c r="AM19" s="1451" t="s">
        <v>414</v>
      </c>
    </row>
    <row r="20" spans="1:39" ht="13.2" customHeight="1">
      <c r="A20" s="629" t="s">
        <v>288</v>
      </c>
      <c r="B20" s="1484" t="s">
        <v>234</v>
      </c>
      <c r="C20" s="1484" t="s">
        <v>227</v>
      </c>
      <c r="D20" s="1485">
        <f>VLOOKUP($A$20,'P&amp;L'!1:1048576,MATCH(D1,'P&amp;L'!4:4,FALSE),FALSE)</f>
        <v>-51.42</v>
      </c>
      <c r="E20" s="1485">
        <f>VLOOKUP($A$20,'P&amp;L'!1:1048576,MATCH(E1,'P&amp;L'!4:4,FALSE),FALSE)</f>
        <v>-54.23</v>
      </c>
      <c r="F20" s="1485">
        <f>VLOOKUP($A$20,'P&amp;L'!1:1048576,MATCH(F1,'P&amp;L'!4:4,FALSE),FALSE)</f>
        <v>-59.021000000000001</v>
      </c>
      <c r="G20" s="1485">
        <f>VLOOKUP($A$20,'P&amp;L'!1:1048576,MATCH(G1,'P&amp;L'!4:4,FALSE),FALSE)</f>
        <v>-65.658000000000001</v>
      </c>
      <c r="H20" s="1485">
        <f>VLOOKUP($A$20,'P&amp;L'!1:1048576,MATCH(H1,'P&amp;L'!4:4,FALSE),FALSE)</f>
        <v>-86.8</v>
      </c>
      <c r="I20" s="1485">
        <f>VLOOKUP($A$20,'P&amp;L'!1:1048576,MATCH(I1,'P&amp;L'!4:4,FALSE),FALSE)</f>
        <v>-101.3</v>
      </c>
      <c r="J20" s="1485">
        <f>VLOOKUP($A$20,'P&amp;L'!1:1048576,MATCH(J1,'P&amp;L'!4:4,FALSE),FALSE)</f>
        <v>-109.5</v>
      </c>
      <c r="K20" s="1485">
        <f>VLOOKUP($A$20,'P&amp;L'!1:1048576,MATCH(K1,'P&amp;L'!4:4,FALSE),FALSE)</f>
        <v>-145.69999999999999</v>
      </c>
      <c r="L20" s="1485">
        <f>VLOOKUP($A$20,'P&amp;L'!1:1048576,MATCH(L1,'P&amp;L'!4:4,FALSE),FALSE)</f>
        <v>-213.9</v>
      </c>
      <c r="M20" s="1485">
        <f>VLOOKUP($A$20,'P&amp;L'!1:1048576,MATCH(M1,'P&amp;L'!4:4,FALSE),FALSE)</f>
        <v>-230.4</v>
      </c>
      <c r="N20" s="1485">
        <f>VLOOKUP($A$20,'P&amp;L'!1:1048576,MATCH(N1,'P&amp;L'!4:4,FALSE),FALSE)</f>
        <v>-222.5</v>
      </c>
      <c r="O20" s="1485">
        <f>VLOOKUP($A$20,'P&amp;L'!1:1048576,MATCH(O1,'P&amp;L'!4:4,FALSE),FALSE)</f>
        <v>-188.6</v>
      </c>
      <c r="P20" s="1485">
        <f>VLOOKUP($A$20,'P&amp;L'!1:1048576,MATCH(P1,'P&amp;L'!4:4,FALSE),FALSE)</f>
        <v>-205.2</v>
      </c>
      <c r="Q20" s="1485">
        <f>VLOOKUP($A$20,'P&amp;L'!1:1048576,MATCH(Q1,'P&amp;L'!4:4,FALSE),FALSE)</f>
        <v>-216.94339576537899</v>
      </c>
      <c r="R20" s="1485">
        <f>VLOOKUP($A$20,'P&amp;L'!1:1048576,MATCH(R1,'P&amp;L'!4:4,FALSE),FALSE)</f>
        <v>-220.23493527447704</v>
      </c>
      <c r="S20" s="1485">
        <f>VLOOKUP($A$20,'P&amp;L'!1:1048576,MATCH(S1,'P&amp;L'!4:4,FALSE),FALSE)</f>
        <v>-231.46366686541126</v>
      </c>
      <c r="T20" s="1459"/>
      <c r="U20" s="1486" t="s">
        <v>573</v>
      </c>
      <c r="V20" s="1486" t="s">
        <v>227</v>
      </c>
      <c r="W20" s="1487">
        <f t="shared" ref="W20:AC20" si="13">W18+W19</f>
        <v>300.30800000000011</v>
      </c>
      <c r="X20" s="1487">
        <f t="shared" si="13"/>
        <v>430.84100000000001</v>
      </c>
      <c r="Y20" s="1487">
        <f t="shared" si="13"/>
        <v>433.80899999999997</v>
      </c>
      <c r="Z20" s="1487">
        <f t="shared" si="13"/>
        <v>462.55399999999997</v>
      </c>
      <c r="AA20" s="1487">
        <f t="shared" si="13"/>
        <v>1339.5000000000005</v>
      </c>
      <c r="AB20" s="1487">
        <f t="shared" si="13"/>
        <v>1345</v>
      </c>
      <c r="AC20" s="1487">
        <f t="shared" si="13"/>
        <v>1363.9999999999998</v>
      </c>
      <c r="AD20" s="1487">
        <f t="shared" ref="AD20:AH20" si="14">AD18+AD19</f>
        <v>854.2</v>
      </c>
      <c r="AE20" s="1487">
        <f t="shared" si="14"/>
        <v>1045.2</v>
      </c>
      <c r="AF20" s="1487">
        <f t="shared" si="14"/>
        <v>1214.0999999999995</v>
      </c>
      <c r="AG20" s="1487">
        <f t="shared" si="14"/>
        <v>1292.0999999999999</v>
      </c>
      <c r="AH20" s="1487">
        <f t="shared" si="14"/>
        <v>1256.4000000000003</v>
      </c>
      <c r="AI20" s="1487">
        <f>AI18+AI19</f>
        <v>1332.5000000000002</v>
      </c>
      <c r="AJ20" s="1487">
        <f t="shared" ref="AJ20:AK20" si="15">AJ18+AJ19</f>
        <v>1373.1495485238472</v>
      </c>
      <c r="AK20" s="1487">
        <f t="shared" si="15"/>
        <v>1435.2037883576963</v>
      </c>
      <c r="AL20" s="1487">
        <f t="shared" ref="AL20" si="16">AL18+AL19</f>
        <v>1500.7224869439663</v>
      </c>
      <c r="AM20" s="1451"/>
    </row>
    <row r="21" spans="1:39" ht="13.2" customHeight="1">
      <c r="A21" s="629" t="s">
        <v>244</v>
      </c>
      <c r="B21" s="1478" t="s">
        <v>236</v>
      </c>
      <c r="C21" s="1478" t="s">
        <v>227</v>
      </c>
      <c r="D21" s="1488">
        <f>VLOOKUP($A$21,'P&amp;L'!1:1048576,MATCH(D1,'P&amp;L'!4:4,FALSE),FALSE)</f>
        <v>116.38300000000002</v>
      </c>
      <c r="E21" s="1488">
        <f>VLOOKUP($A$21,'P&amp;L'!1:1048576,MATCH(E1,'P&amp;L'!4:4,FALSE),FALSE)</f>
        <v>128.35900000000001</v>
      </c>
      <c r="F21" s="1488">
        <f>VLOOKUP($A$21,'P&amp;L'!1:1048576,MATCH(F1,'P&amp;L'!4:4,FALSE),FALSE)</f>
        <v>136.51100000000002</v>
      </c>
      <c r="G21" s="1488">
        <f>VLOOKUP($A$21,'P&amp;L'!1:1048576,MATCH(G1,'P&amp;L'!4:4,FALSE),FALSE)</f>
        <v>152.18099999999998</v>
      </c>
      <c r="H21" s="1488">
        <f>VLOOKUP($A$21,'P&amp;L'!1:1048576,MATCH(H1,'P&amp;L'!4:4,FALSE),FALSE)</f>
        <v>205.12603099999998</v>
      </c>
      <c r="I21" s="1488">
        <f>VLOOKUP($A$21,'P&amp;L'!1:1048576,MATCH(I1,'P&amp;L'!4:4,FALSE),FALSE)</f>
        <v>233.19999999999993</v>
      </c>
      <c r="J21" s="1488">
        <f>VLOOKUP($A$21,'P&amp;L'!1:1048576,MATCH(J1,'P&amp;L'!4:4,FALSE),FALSE)</f>
        <v>249.8</v>
      </c>
      <c r="K21" s="1488">
        <f>VLOOKUP($A$21,'P&amp;L'!1:1048576,MATCH(K1,'P&amp;L'!4:4,FALSE),FALSE)</f>
        <v>326.20000000000005</v>
      </c>
      <c r="L21" s="1488">
        <f>VLOOKUP($A$21,'P&amp;L'!1:1048576,MATCH(L1,'P&amp;L'!4:4,FALSE),FALSE)</f>
        <v>513.9</v>
      </c>
      <c r="M21" s="1488">
        <f>VLOOKUP($A$21,'P&amp;L'!1:1048576,MATCH(M1,'P&amp;L'!4:4,FALSE),FALSE)</f>
        <v>549</v>
      </c>
      <c r="N21" s="1488">
        <f>VLOOKUP($A$21,'P&amp;L'!1:1048576,MATCH(N1,'P&amp;L'!4:4,FALSE),FALSE)</f>
        <v>524.6</v>
      </c>
      <c r="O21" s="1488">
        <f>VLOOKUP($A$21,'P&amp;L'!1:1048576,MATCH(O1,'P&amp;L'!4:4,FALSE),FALSE)</f>
        <v>438.79999999999995</v>
      </c>
      <c r="P21" s="1488">
        <f>VLOOKUP($A$21,'P&amp;L'!1:1048576,MATCH(P1,'P&amp;L'!4:4,FALSE),FALSE)</f>
        <v>476.09999999999991</v>
      </c>
      <c r="Q21" s="1488">
        <f>VLOOKUP($A$21,'P&amp;L'!1:1048576,MATCH(Q1,'P&amp;L'!4:4,FALSE),FALSE)</f>
        <v>503.20283911172118</v>
      </c>
      <c r="R21" s="1488">
        <f>VLOOKUP($A$21,'P&amp;L'!1:1048576,MATCH(R1,'P&amp;L'!4:4,FALSE),FALSE)</f>
        <v>510.82920076469816</v>
      </c>
      <c r="S21" s="1488">
        <f>VLOOKUP($A$21,'P&amp;L'!1:1048576,MATCH(S1,'P&amp;L'!4:4,FALSE),FALSE)</f>
        <v>536.88620253486874</v>
      </c>
      <c r="T21" s="1459"/>
      <c r="U21" s="1489"/>
      <c r="V21" s="1489"/>
      <c r="W21" s="1490"/>
      <c r="X21" s="1490"/>
      <c r="Y21" s="1490"/>
      <c r="Z21" s="1490"/>
      <c r="AA21" s="1490"/>
      <c r="AB21" s="1490"/>
      <c r="AC21" s="1491"/>
      <c r="AD21" s="1491"/>
      <c r="AE21" s="1490"/>
      <c r="AF21" s="1490"/>
      <c r="AG21" s="1490"/>
      <c r="AH21" s="1483"/>
      <c r="AI21" s="1451"/>
      <c r="AJ21" s="1451"/>
      <c r="AK21" s="1451"/>
      <c r="AL21" s="1451"/>
      <c r="AM21" s="1451"/>
    </row>
    <row r="22" spans="1:39" ht="13.2" customHeight="1">
      <c r="A22" s="629" t="s">
        <v>298</v>
      </c>
      <c r="B22" s="1478" t="s">
        <v>233</v>
      </c>
      <c r="C22" s="1478" t="s">
        <v>227</v>
      </c>
      <c r="D22" s="1488">
        <f>VLOOKUP($A$22,'P&amp;L'!1:1048576,MATCH(D1,'P&amp;L'!4:4,FALSE),FALSE)</f>
        <v>116.38300000000002</v>
      </c>
      <c r="E22" s="1488">
        <f>VLOOKUP($A$22,'P&amp;L'!1:1048576,MATCH(E1,'P&amp;L'!4:4,FALSE),FALSE)</f>
        <v>128.35900000000001</v>
      </c>
      <c r="F22" s="1488">
        <f>VLOOKUP($A$22,'P&amp;L'!1:1048576,MATCH(F1,'P&amp;L'!4:4,FALSE),FALSE)</f>
        <v>136.51100000000002</v>
      </c>
      <c r="G22" s="1488">
        <f>VLOOKUP($A$22,'P&amp;L'!1:1048576,MATCH(G1,'P&amp;L'!4:4,FALSE),FALSE)</f>
        <v>152.18099999999998</v>
      </c>
      <c r="H22" s="1488">
        <f>VLOOKUP($A$22,'P&amp;L'!1:1048576,MATCH(H1,'P&amp;L'!4:4,FALSE),FALSE)</f>
        <v>172.39999999999998</v>
      </c>
      <c r="I22" s="1488">
        <f>VLOOKUP($A$22,'P&amp;L'!1:1048576,MATCH(I1,'P&amp;L'!4:4,FALSE),FALSE)</f>
        <v>233.19999999999993</v>
      </c>
      <c r="J22" s="1488">
        <f>VLOOKUP($A$22,'P&amp;L'!1:1048576,MATCH(J1,'P&amp;L'!4:4,FALSE),FALSE)</f>
        <v>249.8</v>
      </c>
      <c r="K22" s="1488">
        <f>VLOOKUP($A$22,'P&amp;L'!1:1048576,MATCH(K1,'P&amp;L'!4:4,FALSE),FALSE)</f>
        <v>302.20000000000005</v>
      </c>
      <c r="L22" s="1488">
        <f>VLOOKUP($A$22,'P&amp;L'!1:1048576,MATCH(L1,'P&amp;L'!4:4,FALSE),FALSE)</f>
        <v>509.5</v>
      </c>
      <c r="M22" s="1488">
        <f>VLOOKUP($A$22,'P&amp;L'!1:1048576,MATCH(M1,'P&amp;L'!4:4,FALSE),FALSE)</f>
        <v>544.9</v>
      </c>
      <c r="N22" s="1488">
        <f>VLOOKUP($A$22,'P&amp;L'!1:1048576,MATCH(N1,'P&amp;L'!4:4,FALSE),FALSE)</f>
        <v>524.6</v>
      </c>
      <c r="O22" s="1488">
        <f>VLOOKUP($A$22,'P&amp;L'!1:1048576,MATCH(O1,'P&amp;L'!4:4,FALSE),FALSE)</f>
        <v>438.79999999999995</v>
      </c>
      <c r="P22" s="1488">
        <f>VLOOKUP($A$22,'P&amp;L'!1:1048576,MATCH(P1,'P&amp;L'!4:4,FALSE),FALSE)</f>
        <v>462.39999999999992</v>
      </c>
      <c r="Q22" s="1488">
        <f>VLOOKUP($A$22,'P&amp;L'!1:1048576,MATCH(Q1,'P&amp;L'!4:4,FALSE),FALSE)</f>
        <v>503.20283911172118</v>
      </c>
      <c r="R22" s="1488">
        <f>VLOOKUP($A$22,'P&amp;L'!1:1048576,MATCH(R1,'P&amp;L'!4:4,FALSE),FALSE)</f>
        <v>510.82920076469816</v>
      </c>
      <c r="S22" s="1488">
        <f>VLOOKUP($A$22,'P&amp;L'!1:1048576,MATCH(S1,'P&amp;L'!4:4,FALSE),FALSE)</f>
        <v>536.88620253486874</v>
      </c>
      <c r="T22" s="1459"/>
      <c r="U22" s="1469" t="s">
        <v>229</v>
      </c>
      <c r="V22" s="1469"/>
      <c r="W22" s="1470" t="str">
        <f t="shared" ref="W22:AC22" si="17">+W7</f>
        <v>2013a</v>
      </c>
      <c r="X22" s="1470" t="str">
        <f t="shared" si="17"/>
        <v>2014a</v>
      </c>
      <c r="Y22" s="1470" t="str">
        <f t="shared" si="17"/>
        <v>2015a</v>
      </c>
      <c r="Z22" s="1470" t="str">
        <f t="shared" si="17"/>
        <v>2016a</v>
      </c>
      <c r="AA22" s="1470" t="str">
        <f t="shared" si="17"/>
        <v>2017a</v>
      </c>
      <c r="AB22" s="1470" t="str">
        <f t="shared" si="17"/>
        <v>2018a</v>
      </c>
      <c r="AC22" s="1470" t="str">
        <f t="shared" si="17"/>
        <v>2019a</v>
      </c>
      <c r="AD22" s="1470" t="str">
        <f t="shared" ref="AD22:AI22" si="18">+AD7</f>
        <v>2020a</v>
      </c>
      <c r="AE22" s="1470" t="str">
        <f t="shared" si="18"/>
        <v>2021a</v>
      </c>
      <c r="AF22" s="1470" t="str">
        <f t="shared" si="18"/>
        <v>2022a</v>
      </c>
      <c r="AG22" s="1470" t="str">
        <f t="shared" si="18"/>
        <v>2023a</v>
      </c>
      <c r="AH22" s="1470" t="str">
        <f t="shared" si="18"/>
        <v>2024a</v>
      </c>
      <c r="AI22" s="1470" t="str">
        <f t="shared" si="18"/>
        <v>2025a</v>
      </c>
      <c r="AJ22" s="1470" t="s">
        <v>927</v>
      </c>
      <c r="AK22" s="1470" t="str">
        <f>+AK7</f>
        <v>2027e</v>
      </c>
      <c r="AL22" s="1470" t="str">
        <f>+AL7</f>
        <v>2028e</v>
      </c>
      <c r="AM22" s="1451"/>
    </row>
    <row r="23" spans="1:39" ht="13.2" customHeight="1">
      <c r="A23" s="629" t="s">
        <v>415</v>
      </c>
      <c r="B23" s="1484" t="s">
        <v>235</v>
      </c>
      <c r="C23" s="1484" t="s">
        <v>917</v>
      </c>
      <c r="D23" s="1481">
        <f>VLOOKUP($A$23,'P&amp;L'!1:1048576,MATCH(D1,'P&amp;L'!4:4,FALSE),FALSE)</f>
        <v>117.02311644696492</v>
      </c>
      <c r="E23" s="1481">
        <f>VLOOKUP($A$23,'P&amp;L'!1:1048576,MATCH(E1,'P&amp;L'!4:4,FALSE),FALSE)</f>
        <v>126.88585522088553</v>
      </c>
      <c r="F23" s="1481">
        <f>VLOOKUP($A$23,'P&amp;L'!1:1048576,MATCH(F1,'P&amp;L'!4:4,FALSE),FALSE)</f>
        <v>136.46050961144377</v>
      </c>
      <c r="G23" s="1481">
        <f>VLOOKUP($A$23,'P&amp;L'!$1:$1048576,MATCH(G1,'P&amp;L'!4:4,FALSE),FALSE)</f>
        <v>152.1247138558733</v>
      </c>
      <c r="H23" s="1481">
        <f>VLOOKUP($A$23,'P&amp;L'!1:1048576,MATCH(H1,'P&amp;L'!4:4,FALSE),FALSE)</f>
        <v>182.01067524401063</v>
      </c>
      <c r="I23" s="1481">
        <f>VLOOKUP($A$23,'P&amp;L'!1:1048576,MATCH(I1,'P&amp;L'!4:4,FALSE),FALSE)</f>
        <v>201.20793787748053</v>
      </c>
      <c r="J23" s="1481">
        <f>VLOOKUP($A$23,'P&amp;L'!1:1048576,MATCH(J1,'P&amp;L'!4:4,FALSE),FALSE)</f>
        <v>215.15934539190354</v>
      </c>
      <c r="K23" s="1481">
        <f>VLOOKUP($A$23,'P&amp;L'!1:1048576,MATCH(K1,'P&amp;L'!4:4,FALSE),FALSE)</f>
        <v>281.20689655172418</v>
      </c>
      <c r="L23" s="1481">
        <f>VLOOKUP($A$23,'P&amp;L'!1:1048576,MATCH(L1,'P&amp;L'!4:4,FALSE),FALSE)</f>
        <v>444.5501730103806</v>
      </c>
      <c r="M23" s="1481">
        <f>VLOOKUP($A$23,'P&amp;L'!1:1048576,MATCH(M1,'P&amp;L'!4:4,FALSE),FALSE)</f>
        <v>480.7355516637478</v>
      </c>
      <c r="N23" s="1481">
        <f>VLOOKUP($A$23,'P&amp;L'!1:1048576,MATCH(N1,'P&amp;L'!4:4,FALSE),FALSE)</f>
        <v>477.77777777777777</v>
      </c>
      <c r="O23" s="1481">
        <f>VLOOKUP($A$23,'P&amp;L'!1:1048576,MATCH(O1,'P&amp;L'!4:4,FALSE),FALSE)</f>
        <v>400.73059360730588</v>
      </c>
      <c r="P23" s="1481">
        <f>VLOOKUP($A$23,'P&amp;L'!1:1048576,MATCH(P1,'P&amp;L'!4:4,FALSE),FALSE)</f>
        <v>434.00182315405641</v>
      </c>
      <c r="Q23" s="1481">
        <f>VLOOKUP($A$23,'P&amp;L'!1:1048576,MATCH(Q1,'P&amp;L'!4:4,FALSE),FALSE)</f>
        <v>458.56610188207895</v>
      </c>
      <c r="R23" s="1481">
        <f>VLOOKUP($A$23,'P&amp;L'!1:1048576,MATCH(R1,'P&amp;L'!4:4,FALSE),FALSE)</f>
        <v>465.51596516369722</v>
      </c>
      <c r="S23" s="1481">
        <f>VLOOKUP($A$23,'P&amp;L'!1:1048576,MATCH(S1,'P&amp;L'!4:4,FALSE),FALSE)</f>
        <v>489.26157389192753</v>
      </c>
      <c r="T23" s="1459"/>
      <c r="U23" s="1492" t="s">
        <v>230</v>
      </c>
      <c r="V23" s="1492"/>
      <c r="W23" s="1493"/>
      <c r="X23" s="1493"/>
      <c r="Y23" s="1493"/>
      <c r="Z23" s="1493"/>
      <c r="AA23" s="1493"/>
      <c r="AB23" s="1493"/>
      <c r="AC23" s="1493"/>
      <c r="AD23" s="1493"/>
      <c r="AE23" s="1493"/>
      <c r="AF23" s="1493"/>
      <c r="AG23" s="1493"/>
      <c r="AH23" s="1493"/>
      <c r="AI23" s="1493"/>
      <c r="AJ23" s="1493"/>
      <c r="AK23" s="1493"/>
      <c r="AL23" s="1493"/>
      <c r="AM23" s="1451"/>
    </row>
    <row r="24" spans="1:39" ht="13.2" customHeight="1">
      <c r="A24" s="629" t="s">
        <v>245</v>
      </c>
      <c r="B24" s="1494" t="s">
        <v>245</v>
      </c>
      <c r="C24" s="1494" t="str">
        <f>+C23</f>
        <v>Cents</v>
      </c>
      <c r="D24" s="1495">
        <f>VLOOKUP($A$24,'P&amp;L'!1:1048576,MATCH(D1,'P&amp;L'!4:4,FALSE),FALSE)</f>
        <v>72</v>
      </c>
      <c r="E24" s="1495">
        <f>VLOOKUP($A$24,'P&amp;L'!1:1048576,MATCH(E1,'P&amp;L'!4:4,FALSE),FALSE)</f>
        <v>84</v>
      </c>
      <c r="F24" s="1495">
        <f>VLOOKUP($A$24,'P&amp;L'!1:1048576,MATCH(F1,'P&amp;L'!4:4,FALSE),FALSE)</f>
        <v>90</v>
      </c>
      <c r="G24" s="1495">
        <f>VLOOKUP($A$24,'P&amp;L'!1:1048576,MATCH(G1,'P&amp;L'!4:4,FALSE),FALSE)</f>
        <v>100</v>
      </c>
      <c r="H24" s="1495">
        <f>VLOOKUP($A$24,'P&amp;L'!1:1048576,MATCH(H1,'P&amp;L'!4:4,FALSE),FALSE)</f>
        <v>118</v>
      </c>
      <c r="I24" s="1495">
        <f>VLOOKUP($A$24,'P&amp;L'!1:1048576,MATCH(I1,'P&amp;L'!4:4,FALSE),FALSE)</f>
        <v>132</v>
      </c>
      <c r="J24" s="1495">
        <f>VLOOKUP($A$24,'P&amp;L'!1:1048576,MATCH(J1,'P&amp;L'!4:4,FALSE),FALSE)</f>
        <v>142</v>
      </c>
      <c r="K24" s="1495">
        <f>VLOOKUP($A$24,'P&amp;L'!1:1048576,MATCH(K1,'P&amp;L'!4:4,FALSE),FALSE)</f>
        <v>189</v>
      </c>
      <c r="L24" s="1495">
        <f>VLOOKUP($A$24,'P&amp;L'!1:1048576,MATCH(L1,'P&amp;L'!4:4,FALSE),FALSE)</f>
        <v>287</v>
      </c>
      <c r="M24" s="1495">
        <f>VLOOKUP($A$24,'P&amp;L'!1:1048576,MATCH(M1,'P&amp;L'!4:4,FALSE),FALSE)</f>
        <v>316</v>
      </c>
      <c r="N24" s="1495">
        <f>VLOOKUP($A$24,'P&amp;L'!1:1048576,MATCH(N1,'P&amp;L'!4:4,FALSE),FALSE)</f>
        <v>312</v>
      </c>
      <c r="O24" s="1495">
        <f>VLOOKUP($A$24,'P&amp;L'!1:1048576,MATCH(O1,'P&amp;L'!4:4,FALSE),FALSE)</f>
        <v>341</v>
      </c>
      <c r="P24" s="1495">
        <f>VLOOKUP($A$24,'P&amp;L'!1:1048576,MATCH(P1,'P&amp;L'!4:4,FALSE),FALSE)</f>
        <v>375</v>
      </c>
      <c r="Q24" s="1495">
        <f>VLOOKUP($A$24,'P&amp;L'!1:1048576,MATCH(Q1,'P&amp;L'!4:4,FALSE),FALSE)</f>
        <v>354.38770505944103</v>
      </c>
      <c r="R24" s="1495">
        <f>VLOOKUP($A$24,'P&amp;L'!1:1048576,MATCH(R1,'P&amp;L'!4:4,FALSE),FALSE)</f>
        <v>359.75867794370134</v>
      </c>
      <c r="S24" s="1495">
        <f>VLOOKUP($A$24,'P&amp;L'!1:1048576,MATCH(S1,'P&amp;L'!4:4,FALSE),FALSE)</f>
        <v>378.10968938545193</v>
      </c>
      <c r="T24" s="1459"/>
      <c r="U24" s="1496" t="s">
        <v>228</v>
      </c>
      <c r="V24" s="1496" t="s">
        <v>754</v>
      </c>
      <c r="W24" s="1497"/>
      <c r="X24" s="1498">
        <f t="shared" ref="X24:AL24" si="19">(E8/D8-1)*100</f>
        <v>5.3009007375166339</v>
      </c>
      <c r="Y24" s="1498">
        <f t="shared" si="19"/>
        <v>4.8327173827241943</v>
      </c>
      <c r="Z24" s="1498">
        <f t="shared" si="19"/>
        <v>8.2781966498509441</v>
      </c>
      <c r="AA24" s="1498">
        <f t="shared" si="19"/>
        <v>42.320064878528505</v>
      </c>
      <c r="AB24" s="1498">
        <f t="shared" si="19"/>
        <v>21.789267945984371</v>
      </c>
      <c r="AC24" s="1498">
        <f t="shared" si="19"/>
        <v>3.516041025341754</v>
      </c>
      <c r="AD24" s="1498">
        <f t="shared" si="19"/>
        <v>11.607683959804383</v>
      </c>
      <c r="AE24" s="1498">
        <f t="shared" si="19"/>
        <v>12.592658071196761</v>
      </c>
      <c r="AF24" s="1498">
        <f t="shared" si="19"/>
        <v>3.5430289027713835</v>
      </c>
      <c r="AG24" s="1498">
        <f t="shared" si="19"/>
        <v>4.272097053726176</v>
      </c>
      <c r="AH24" s="1498">
        <f t="shared" si="19"/>
        <v>-0.3531953793733944</v>
      </c>
      <c r="AI24" s="1498">
        <f t="shared" si="19"/>
        <v>10.032942746340879</v>
      </c>
      <c r="AJ24" s="1498">
        <f t="shared" si="19"/>
        <v>5.6486264826520305</v>
      </c>
      <c r="AK24" s="1498">
        <f t="shared" si="19"/>
        <v>4.1982483923484137</v>
      </c>
      <c r="AL24" s="1498">
        <f t="shared" si="19"/>
        <v>4.2020917423057247</v>
      </c>
      <c r="AM24" s="1451"/>
    </row>
    <row r="25" spans="1:39" ht="13.2" customHeight="1">
      <c r="A25" s="629"/>
      <c r="B25" s="1451"/>
      <c r="C25" s="1474"/>
      <c r="D25" s="1474"/>
      <c r="E25" s="1474"/>
      <c r="F25" s="1474"/>
      <c r="G25" s="1474"/>
      <c r="H25" s="1452"/>
      <c r="I25" s="1474"/>
      <c r="J25" s="1108"/>
      <c r="K25" s="1474"/>
      <c r="L25" s="1474"/>
      <c r="M25" s="1474"/>
      <c r="N25" s="1108"/>
      <c r="O25" s="1108"/>
      <c r="P25" s="1108"/>
      <c r="Q25" s="1108"/>
      <c r="R25" s="1108"/>
      <c r="S25" s="1108"/>
      <c r="T25" s="1499"/>
      <c r="U25" s="1489" t="s">
        <v>165</v>
      </c>
      <c r="V25" s="1496" t="s">
        <v>754</v>
      </c>
      <c r="W25" s="1490"/>
      <c r="X25" s="1498">
        <f t="shared" ref="X25:AL25" si="20">(E17/D17-1)*100</f>
        <v>7.5199855979927177</v>
      </c>
      <c r="Y25" s="1498">
        <f t="shared" si="20"/>
        <v>5.1208664713269236</v>
      </c>
      <c r="Z25" s="1498">
        <f t="shared" si="20"/>
        <v>10.088249787214988</v>
      </c>
      <c r="AA25" s="1498">
        <f t="shared" si="20"/>
        <v>38.532835989600976</v>
      </c>
      <c r="AB25" s="1498">
        <f t="shared" si="20"/>
        <v>14.425587467362933</v>
      </c>
      <c r="AC25" s="1498">
        <f t="shared" si="20"/>
        <v>6.3605248146035631</v>
      </c>
      <c r="AD25" s="1498">
        <f t="shared" si="20"/>
        <v>34.861893268972906</v>
      </c>
      <c r="AE25" s="1498">
        <f t="shared" si="20"/>
        <v>47.762974746470462</v>
      </c>
      <c r="AF25" s="1498">
        <f t="shared" si="20"/>
        <v>6.9304265913066709</v>
      </c>
      <c r="AG25" s="1498">
        <f t="shared" si="20"/>
        <v>-3.2217467908381425</v>
      </c>
      <c r="AH25" s="1498">
        <f t="shared" si="20"/>
        <v>-15.838751625487657</v>
      </c>
      <c r="AI25" s="1498">
        <f t="shared" si="20"/>
        <v>9.3634116192830685</v>
      </c>
      <c r="AJ25" s="1498">
        <f t="shared" si="20"/>
        <v>6.4908060487376629</v>
      </c>
      <c r="AK25" s="1498">
        <f t="shared" si="20"/>
        <v>1.8501363693447459</v>
      </c>
      <c r="AL25" s="1498">
        <f t="shared" si="20"/>
        <v>4.9936417871956795</v>
      </c>
      <c r="AM25" s="1451"/>
    </row>
    <row r="26" spans="1:39" ht="13.2" customHeight="1">
      <c r="A26" s="629"/>
      <c r="B26" s="1454"/>
      <c r="C26" s="1454"/>
      <c r="D26" s="1500"/>
      <c r="E26" s="1500"/>
      <c r="F26" s="1500"/>
      <c r="G26" s="1500"/>
      <c r="H26" s="1500"/>
      <c r="I26" s="1500"/>
      <c r="J26" s="1500"/>
      <c r="K26" s="1500"/>
      <c r="L26" s="1500"/>
      <c r="M26" s="1500"/>
      <c r="N26" s="1500"/>
      <c r="O26" s="1500"/>
      <c r="P26" s="1500"/>
      <c r="Q26" s="1500"/>
      <c r="R26" s="1500"/>
      <c r="S26" s="1500"/>
      <c r="T26" s="1459"/>
      <c r="U26" s="1460" t="s">
        <v>195</v>
      </c>
      <c r="V26" s="1496" t="s">
        <v>754</v>
      </c>
      <c r="W26" s="1497"/>
      <c r="X26" s="1498">
        <f t="shared" ref="X26:AL26" si="21">(E12/D12-1)*100</f>
        <v>7.4246984382775993</v>
      </c>
      <c r="Y26" s="1498">
        <f t="shared" si="21"/>
        <v>5.9038164570924367</v>
      </c>
      <c r="Z26" s="1498">
        <f t="shared" si="21"/>
        <v>9.184230370243851</v>
      </c>
      <c r="AA26" s="1498">
        <f t="shared" si="21"/>
        <v>37.47920450556326</v>
      </c>
      <c r="AB26" s="1498">
        <f t="shared" si="21"/>
        <v>14.265889536497367</v>
      </c>
      <c r="AC26" s="1498">
        <f t="shared" si="21"/>
        <v>4.2263784308962826</v>
      </c>
      <c r="AD26" s="1498">
        <f t="shared" si="21"/>
        <v>67.303658820787689</v>
      </c>
      <c r="AE26" s="1498">
        <f t="shared" si="21"/>
        <v>33.946232065747338</v>
      </c>
      <c r="AF26" s="1498">
        <f t="shared" si="21"/>
        <v>5.4388519134775271</v>
      </c>
      <c r="AG26" s="1498">
        <f t="shared" si="21"/>
        <v>-2.0416214616826078</v>
      </c>
      <c r="AH26" s="1498">
        <f t="shared" si="21"/>
        <v>-10.964559001208229</v>
      </c>
      <c r="AI26" s="1498">
        <f t="shared" si="21"/>
        <v>9.3067963360850428</v>
      </c>
      <c r="AJ26" s="1498">
        <f t="shared" si="21"/>
        <v>5.7528285701243131</v>
      </c>
      <c r="AK26" s="1498">
        <f t="shared" si="21"/>
        <v>2.0301134398860832</v>
      </c>
      <c r="AL26" s="1498">
        <f t="shared" si="21"/>
        <v>4.344876598658165</v>
      </c>
      <c r="AM26" s="1451"/>
    </row>
    <row r="27" spans="1:39" ht="13.2" customHeight="1">
      <c r="A27" s="629"/>
      <c r="B27" s="1469" t="s">
        <v>876</v>
      </c>
      <c r="C27" s="1469"/>
      <c r="D27" s="1470" t="str">
        <f t="shared" ref="D27:N27" si="22">+D7</f>
        <v>2013a</v>
      </c>
      <c r="E27" s="1470" t="str">
        <f t="shared" si="22"/>
        <v>2014a</v>
      </c>
      <c r="F27" s="1470" t="str">
        <f t="shared" si="22"/>
        <v>2015a</v>
      </c>
      <c r="G27" s="1470" t="str">
        <f t="shared" si="22"/>
        <v>2016a</v>
      </c>
      <c r="H27" s="1470" t="str">
        <f t="shared" si="22"/>
        <v>2017a</v>
      </c>
      <c r="I27" s="1470" t="str">
        <f t="shared" si="22"/>
        <v>2018a</v>
      </c>
      <c r="J27" s="1470" t="str">
        <f t="shared" si="22"/>
        <v>2019a</v>
      </c>
      <c r="K27" s="1470" t="str">
        <f t="shared" si="22"/>
        <v>2020a</v>
      </c>
      <c r="L27" s="1470" t="str">
        <f t="shared" si="22"/>
        <v>2021a</v>
      </c>
      <c r="M27" s="1470" t="str">
        <f t="shared" si="22"/>
        <v>2022a</v>
      </c>
      <c r="N27" s="1470" t="str">
        <f t="shared" si="22"/>
        <v>2023a</v>
      </c>
      <c r="O27" s="1470" t="s">
        <v>947</v>
      </c>
      <c r="P27" s="1470" t="s">
        <v>980</v>
      </c>
      <c r="Q27" s="1470" t="s">
        <v>927</v>
      </c>
      <c r="R27" s="1470" t="str">
        <f>+R7</f>
        <v>2027e</v>
      </c>
      <c r="S27" s="1470" t="str">
        <f>+S7</f>
        <v>2028e</v>
      </c>
      <c r="T27" s="1499"/>
      <c r="U27" s="1460" t="s">
        <v>231</v>
      </c>
      <c r="V27" s="1496" t="s">
        <v>754</v>
      </c>
      <c r="W27" s="1497"/>
      <c r="X27" s="1498">
        <f t="shared" ref="X27:AL29" si="23">(E21/D21-1)*100</f>
        <v>10.290162652621081</v>
      </c>
      <c r="Y27" s="1498">
        <f t="shared" si="23"/>
        <v>6.3509376046868571</v>
      </c>
      <c r="Z27" s="1498">
        <f t="shared" si="23"/>
        <v>11.47892843800129</v>
      </c>
      <c r="AA27" s="1498">
        <f t="shared" si="23"/>
        <v>34.790828684264127</v>
      </c>
      <c r="AB27" s="1498">
        <f t="shared" si="23"/>
        <v>13.686204945875424</v>
      </c>
      <c r="AC27" s="1498">
        <f t="shared" si="23"/>
        <v>7.1183533447684688</v>
      </c>
      <c r="AD27" s="1498">
        <f t="shared" si="23"/>
        <v>30.584467574059261</v>
      </c>
      <c r="AE27" s="1498">
        <f t="shared" si="23"/>
        <v>57.541385652973595</v>
      </c>
      <c r="AF27" s="1498">
        <f t="shared" si="23"/>
        <v>6.8301225919439545</v>
      </c>
      <c r="AG27" s="1498">
        <f t="shared" si="23"/>
        <v>-4.4444444444444393</v>
      </c>
      <c r="AH27" s="1498">
        <f t="shared" si="23"/>
        <v>-16.355318337781178</v>
      </c>
      <c r="AI27" s="1498">
        <f t="shared" si="23"/>
        <v>8.5004557885141274</v>
      </c>
      <c r="AJ27" s="1498">
        <f t="shared" si="23"/>
        <v>5.6926778222476937</v>
      </c>
      <c r="AK27" s="1498">
        <f t="shared" si="23"/>
        <v>1.5155641145505827</v>
      </c>
      <c r="AL27" s="1498">
        <f t="shared" si="23"/>
        <v>5.1009225257999891</v>
      </c>
      <c r="AM27" s="1451"/>
    </row>
    <row r="28" spans="1:39" ht="13.2" customHeight="1">
      <c r="A28" s="629" t="s">
        <v>384</v>
      </c>
      <c r="B28" s="1460" t="s">
        <v>165</v>
      </c>
      <c r="C28" s="1460" t="s">
        <v>227</v>
      </c>
      <c r="D28" s="1501">
        <f>VLOOKUP($A$28,Drivers!1:1048576,MATCH(1:1,Drivers!2:2,FALSE),FALSE)</f>
        <v>177.75300000000001</v>
      </c>
      <c r="E28" s="1501">
        <f>VLOOKUP($A$28,Drivers!1:1048576,MATCH(1:1,Drivers!2:2,FALSE),FALSE)</f>
        <v>191.12</v>
      </c>
      <c r="F28" s="1501">
        <f>VLOOKUP($A$28,Drivers!1:1048576,MATCH(1:1,Drivers!2:2,FALSE),FALSE)</f>
        <v>200.90700000000001</v>
      </c>
      <c r="G28" s="1501">
        <f>VLOOKUP($A$28,Drivers!1:1048576,MATCH(1:1,Drivers!2:2,FALSE),FALSE)</f>
        <v>221.17500000000001</v>
      </c>
      <c r="H28" s="1501">
        <f>VLOOKUP($A$28,Drivers!1:1048576,MATCH(1:1,Drivers!2:2,FALSE),FALSE)</f>
        <v>306.39999999999998</v>
      </c>
      <c r="I28" s="1501">
        <f>VLOOKUP($A$28,Drivers!1:1048576,MATCH(1:1,Drivers!2:2,FALSE),FALSE)</f>
        <v>350.59999999999997</v>
      </c>
      <c r="J28" s="1501">
        <f>VLOOKUP($A$28,Drivers!1:1048576,MATCH(1:1,Drivers!2:2,FALSE),FALSE)</f>
        <v>372.90000000000003</v>
      </c>
      <c r="K28" s="1501">
        <f>VLOOKUP($A$28,Drivers!1:1048576,MATCH(1:1,Drivers!2:2,FALSE),FALSE)</f>
        <v>502.90000000000003</v>
      </c>
      <c r="L28" s="1501">
        <f>VLOOKUP($A$28,Drivers!1:1048576,MATCH(1:1,Drivers!2:2,FALSE),FALSE)</f>
        <v>743.1</v>
      </c>
      <c r="M28" s="1501">
        <f>VLOOKUP($A$28,Drivers!1:1048576,MATCH(1:1,Drivers!2:2,FALSE),FALSE)</f>
        <v>794.59999999999991</v>
      </c>
      <c r="N28" s="1501">
        <f>VLOOKUP($A$28,Drivers!1:1048576,MATCH(1:1,Drivers!2:2,FALSE),FALSE)</f>
        <v>769</v>
      </c>
      <c r="O28" s="1501">
        <f>VLOOKUP($A$28,Drivers!1:1048576,MATCH(1:1,Drivers!2:2,FALSE),FALSE)</f>
        <v>647.19999999999993</v>
      </c>
      <c r="P28" s="1501">
        <f>VLOOKUP($A$28,Drivers!1:1048576,MATCH(1:1,Drivers!2:2,FALSE),FALSE)</f>
        <v>707.8</v>
      </c>
      <c r="Q28" s="1501">
        <f>VLOOKUP($A$28,Drivers!1:1048576,MATCH(1:1,Drivers!2:2,FALSE),FALSE)</f>
        <v>753.74192521296516</v>
      </c>
      <c r="R28" s="1501">
        <f>VLOOKUP($A$28,Drivers!1:1048576,MATCH(1:1,Drivers!2:2,FALSE),FALSE)</f>
        <v>767.68717870232945</v>
      </c>
      <c r="S28" s="1501">
        <f>VLOOKUP($A$28,Drivers!1:1048576,MATCH(1:1,Drivers!2:2,FALSE),FALSE)</f>
        <v>806.02272645295261</v>
      </c>
      <c r="T28" s="1459"/>
      <c r="U28" s="1460" t="s">
        <v>233</v>
      </c>
      <c r="V28" s="1496" t="s">
        <v>754</v>
      </c>
      <c r="W28" s="1497"/>
      <c r="X28" s="1498">
        <f t="shared" si="23"/>
        <v>10.290162652621081</v>
      </c>
      <c r="Y28" s="1498">
        <f t="shared" si="23"/>
        <v>6.3509376046868571</v>
      </c>
      <c r="Z28" s="1498">
        <f t="shared" si="23"/>
        <v>11.47892843800129</v>
      </c>
      <c r="AA28" s="1498">
        <f t="shared" si="23"/>
        <v>13.286152673461205</v>
      </c>
      <c r="AB28" s="1498">
        <f t="shared" si="23"/>
        <v>35.26682134570764</v>
      </c>
      <c r="AC28" s="1498">
        <f t="shared" si="23"/>
        <v>7.1183533447684688</v>
      </c>
      <c r="AD28" s="1498">
        <f t="shared" si="23"/>
        <v>20.976781425140125</v>
      </c>
      <c r="AE28" s="1498">
        <f t="shared" si="23"/>
        <v>68.596955658504271</v>
      </c>
      <c r="AF28" s="1498">
        <f t="shared" si="23"/>
        <v>6.9479882237487578</v>
      </c>
      <c r="AG28" s="1498">
        <f t="shared" si="23"/>
        <v>-3.7254542117819756</v>
      </c>
      <c r="AH28" s="1498">
        <f t="shared" si="23"/>
        <v>-16.355318337781178</v>
      </c>
      <c r="AI28" s="1498">
        <f t="shared" si="23"/>
        <v>5.3783044667274238</v>
      </c>
      <c r="AJ28" s="1498">
        <f t="shared" si="23"/>
        <v>8.8241434065141178</v>
      </c>
      <c r="AK28" s="1498">
        <f t="shared" si="23"/>
        <v>1.5155641145505827</v>
      </c>
      <c r="AL28" s="1498">
        <f t="shared" si="23"/>
        <v>5.1009225257999891</v>
      </c>
      <c r="AM28" s="1451"/>
    </row>
    <row r="29" spans="1:39" ht="13.2" customHeight="1">
      <c r="A29" s="629" t="s">
        <v>385</v>
      </c>
      <c r="B29" s="1460" t="s">
        <v>314</v>
      </c>
      <c r="C29" s="1460" t="s">
        <v>227</v>
      </c>
      <c r="D29" s="1501">
        <f>VLOOKUP($A$29,Drivers!1:1048576,MATCH(1:1,Drivers!2:2,FALSE),FALSE)</f>
        <v>33.231999999999999</v>
      </c>
      <c r="E29" s="1501">
        <f>VLOOKUP($A$29,Drivers!1:1048576,MATCH(1:1,Drivers!2:2,FALSE),FALSE)</f>
        <v>35.53</v>
      </c>
      <c r="F29" s="1501">
        <f>VLOOKUP($A$29,Drivers!1:1048576,MATCH(1:1,Drivers!2:2,FALSE),FALSE)</f>
        <v>39.124000000000002</v>
      </c>
      <c r="G29" s="1501">
        <f>VLOOKUP($A$29,Drivers!1:1048576,MATCH(1:1,Drivers!2:2,FALSE),FALSE)</f>
        <v>40.901000000000003</v>
      </c>
      <c r="H29" s="1501">
        <f>VLOOKUP($A$29,Drivers!1:1048576,MATCH(1:1,Drivers!2:2,FALSE),FALSE)</f>
        <v>53.900000000000006</v>
      </c>
      <c r="I29" s="1501">
        <f>VLOOKUP($A$29,Drivers!1:1048576,MATCH(1:1,Drivers!2:2,FALSE),FALSE)</f>
        <v>61.1</v>
      </c>
      <c r="J29" s="1501">
        <f>VLOOKUP($A$29,Drivers!1:1048576,MATCH(1:1,Drivers!2:2,FALSE),FALSE)</f>
        <v>56.2</v>
      </c>
      <c r="K29" s="1501">
        <f>VLOOKUP($A$29,Drivers!1:1048576,MATCH(1:1,Drivers!2:2,FALSE),FALSE)</f>
        <v>229.3</v>
      </c>
      <c r="L29" s="1501">
        <f>VLOOKUP($A$29,Drivers!1:1048576,MATCH(1:1,Drivers!2:2,FALSE),FALSE)</f>
        <v>218.5</v>
      </c>
      <c r="M29" s="1501">
        <f>VLOOKUP($A$29,Drivers!1:1048576,MATCH(1:1,Drivers!2:2,FALSE),FALSE)</f>
        <v>219.3</v>
      </c>
      <c r="N29" s="1501">
        <f>VLOOKUP($A$29,Drivers!1:1048576,MATCH(1:1,Drivers!2:2,FALSE),FALSE)</f>
        <v>224.2</v>
      </c>
      <c r="O29" s="1501">
        <f>VLOOKUP($A$29,Drivers!1:1048576,MATCH(1:1,Drivers!2:2,FALSE),FALSE)</f>
        <v>237.1</v>
      </c>
      <c r="P29" s="1501">
        <f>VLOOKUP($A$29,Drivers!1:1048576,MATCH(1:1,Drivers!2:2,FALSE),FALSE)</f>
        <v>258.8</v>
      </c>
      <c r="Q29" s="1501">
        <f>VLOOKUP($A$29,Drivers!1:1048576,MATCH(1:1,Drivers!2:2,FALSE),FALSE)</f>
        <v>268.46491574585639</v>
      </c>
      <c r="R29" s="1501">
        <f>VLOOKUP($A$29,Drivers!1:1048576,MATCH(1:1,Drivers!2:2,FALSE),FALSE)</f>
        <v>275.2716207182321</v>
      </c>
      <c r="S29" s="1501">
        <f>VLOOKUP($A$29,Drivers!1:1048576,MATCH(1:1,Drivers!2:2,FALSE),FALSE)</f>
        <v>282.25134577727903</v>
      </c>
      <c r="T29" s="1459"/>
      <c r="U29" s="1460" t="s">
        <v>235</v>
      </c>
      <c r="V29" s="1496" t="s">
        <v>754</v>
      </c>
      <c r="W29" s="1497"/>
      <c r="X29" s="1498">
        <f t="shared" si="23"/>
        <v>8.4280260801210325</v>
      </c>
      <c r="Y29" s="1498">
        <f t="shared" si="23"/>
        <v>7.5458800146718241</v>
      </c>
      <c r="Z29" s="1498">
        <f t="shared" si="23"/>
        <v>11.478928438001311</v>
      </c>
      <c r="AA29" s="1498">
        <f t="shared" si="23"/>
        <v>19.645697684895591</v>
      </c>
      <c r="AB29" s="1498">
        <f t="shared" si="23"/>
        <v>10.547327846420718</v>
      </c>
      <c r="AC29" s="1498">
        <f t="shared" si="23"/>
        <v>6.9338256042951407</v>
      </c>
      <c r="AD29" s="1498">
        <f t="shared" si="23"/>
        <v>30.697040390933459</v>
      </c>
      <c r="AE29" s="1498">
        <f t="shared" si="23"/>
        <v>58.086511554886997</v>
      </c>
      <c r="AF29" s="1498">
        <f t="shared" si="23"/>
        <v>8.1397738321254067</v>
      </c>
      <c r="AG29" s="1498">
        <f t="shared" si="23"/>
        <v>-0.6152600688119847</v>
      </c>
      <c r="AH29" s="1498">
        <f t="shared" si="23"/>
        <v>-16.126154826377835</v>
      </c>
      <c r="AI29" s="1498">
        <f t="shared" si="23"/>
        <v>8.3026427424092617</v>
      </c>
      <c r="AJ29" s="1498">
        <f t="shared" si="23"/>
        <v>5.6599482807478951</v>
      </c>
      <c r="AK29" s="1498">
        <f t="shared" si="23"/>
        <v>1.5155641145505827</v>
      </c>
      <c r="AL29" s="1498">
        <f t="shared" si="23"/>
        <v>5.1009225257999891</v>
      </c>
      <c r="AM29" s="1451"/>
    </row>
    <row r="30" spans="1:39" ht="13.2" customHeight="1">
      <c r="A30" s="629" t="s">
        <v>288</v>
      </c>
      <c r="B30" s="1460" t="s">
        <v>258</v>
      </c>
      <c r="C30" s="1460" t="s">
        <v>227</v>
      </c>
      <c r="D30" s="1501">
        <f>VLOOKUP($A$30,'P&amp;L'!1:1048576,MATCH(1:1,'P&amp;L'!4:4,FALSE),FALSE)</f>
        <v>-51.42</v>
      </c>
      <c r="E30" s="1501">
        <f>VLOOKUP($A$30,'P&amp;L'!1:1048576,MATCH(1:1,'P&amp;L'!4:4,FALSE),FALSE)</f>
        <v>-54.23</v>
      </c>
      <c r="F30" s="1501">
        <f>VLOOKUP($A$30,'P&amp;L'!1:1048576,MATCH(1:1,'P&amp;L'!4:4,FALSE),FALSE)</f>
        <v>-59.021000000000001</v>
      </c>
      <c r="G30" s="1501">
        <f>VLOOKUP($A$30,'P&amp;L'!1:1048576,MATCH(1:1,'P&amp;L'!4:4,FALSE),FALSE)</f>
        <v>-65.658000000000001</v>
      </c>
      <c r="H30" s="1501">
        <f>VLOOKUP($A$30,'P&amp;L'!1:1048576,MATCH(1:1,'P&amp;L'!4:4,FALSE),FALSE)</f>
        <v>-86.8</v>
      </c>
      <c r="I30" s="1501">
        <f>VLOOKUP($A$30,'P&amp;L'!1:1048576,MATCH(1:1,'P&amp;L'!4:4,FALSE),FALSE)</f>
        <v>-101.3</v>
      </c>
      <c r="J30" s="1501">
        <f>VLOOKUP($A$30,'P&amp;L'!1:1048576,MATCH(1:1,'P&amp;L'!4:4,FALSE),FALSE)</f>
        <v>-109.5</v>
      </c>
      <c r="K30" s="1501">
        <f>VLOOKUP($A$30,'P&amp;L'!1:1048576,MATCH(1:1,'P&amp;L'!4:4,FALSE),FALSE)</f>
        <v>-145.69999999999999</v>
      </c>
      <c r="L30" s="1501">
        <f>VLOOKUP($A$30,'P&amp;L'!1:1048576,MATCH(1:1,'P&amp;L'!4:4,FALSE),FALSE)</f>
        <v>-213.9</v>
      </c>
      <c r="M30" s="1501">
        <f>VLOOKUP($A$30,'P&amp;L'!1:1048576,MATCH(1:1,'P&amp;L'!4:4,FALSE),FALSE)</f>
        <v>-230.4</v>
      </c>
      <c r="N30" s="1501">
        <f>VLOOKUP($A$30,'P&amp;L'!1:1048576,MATCH(1:1,'P&amp;L'!4:4,FALSE),FALSE)</f>
        <v>-222.5</v>
      </c>
      <c r="O30" s="1501">
        <f>VLOOKUP($A$30,'P&amp;L'!1:1048576,MATCH(1:1,'P&amp;L'!4:4,FALSE),FALSE)</f>
        <v>-188.6</v>
      </c>
      <c r="P30" s="1501">
        <f>VLOOKUP($A$30,'P&amp;L'!1:1048576,MATCH(1:1,'P&amp;L'!4:4,FALSE),FALSE)</f>
        <v>-205.2</v>
      </c>
      <c r="Q30" s="1501">
        <f>VLOOKUP($A$30,'P&amp;L'!1:1048576,MATCH(1:1,'P&amp;L'!4:4,FALSE),FALSE)</f>
        <v>-216.94339576537899</v>
      </c>
      <c r="R30" s="1501">
        <f>VLOOKUP($A$30,'P&amp;L'!1:1048576,MATCH(1:1,'P&amp;L'!4:4,FALSE),FALSE)</f>
        <v>-220.23493527447704</v>
      </c>
      <c r="S30" s="1501">
        <f>VLOOKUP($A$30,'P&amp;L'!1:1048576,MATCH(1:1,'P&amp;L'!4:4,FALSE),FALSE)</f>
        <v>-231.46366686541126</v>
      </c>
      <c r="T30" s="1459"/>
      <c r="U30" s="1489"/>
      <c r="V30" s="1489"/>
      <c r="W30" s="1490"/>
      <c r="X30" s="1490"/>
      <c r="Y30" s="1490"/>
      <c r="Z30" s="1490"/>
      <c r="AA30" s="1490"/>
      <c r="AB30" s="1490"/>
      <c r="AC30" s="1490"/>
      <c r="AD30" s="1490"/>
      <c r="AE30" s="1490"/>
      <c r="AF30" s="1490"/>
      <c r="AG30" s="1490"/>
      <c r="AH30" s="1490"/>
      <c r="AI30" s="1490"/>
      <c r="AJ30" s="1490"/>
      <c r="AK30" s="1490"/>
      <c r="AL30" s="1490"/>
      <c r="AM30" s="1451"/>
    </row>
    <row r="31" spans="1:39" ht="13.2" customHeight="1">
      <c r="A31" s="629" t="s">
        <v>284</v>
      </c>
      <c r="B31" s="1460" t="s">
        <v>18</v>
      </c>
      <c r="C31" s="1460" t="s">
        <v>227</v>
      </c>
      <c r="D31" s="1501">
        <f>VLOOKUP($A$31,'P&amp;L'!1:1048576,MATCH(1:1,'P&amp;L'!4:4,FALSE),FALSE)</f>
        <v>-9.7010000000000005</v>
      </c>
      <c r="E31" s="1501">
        <f>VLOOKUP($A$31,'P&amp;L'!1:1048576,MATCH(1:1,'P&amp;L'!4:4,FALSE),FALSE)</f>
        <v>-8.4430000000000014</v>
      </c>
      <c r="F31" s="1501">
        <f>VLOOKUP($A$31,'P&amp;L'!1:1048576,MATCH(1:1,'P&amp;L'!4:4,FALSE),FALSE)</f>
        <v>-5.375</v>
      </c>
      <c r="G31" s="1501">
        <f>VLOOKUP($A$31,'P&amp;L'!1:1048576,MATCH(1:1,'P&amp;L'!4:4,FALSE),FALSE)</f>
        <v>-3.3359999999999999</v>
      </c>
      <c r="H31" s="1501">
        <f>VLOOKUP($A$31,'P&amp;L'!1:1048576,MATCH(1:1,'P&amp;L'!4:4,FALSE),FALSE)</f>
        <v>-9</v>
      </c>
      <c r="I31" s="1501">
        <f>VLOOKUP($A$31,'P&amp;L'!1:1048576,MATCH(1:1,'P&amp;L'!4:4,FALSE),FALSE)</f>
        <v>-16.100000000000001</v>
      </c>
      <c r="J31" s="1501">
        <f>VLOOKUP($A$31,'P&amp;L'!1:1048576,MATCH(1:1,'P&amp;L'!4:4,FALSE),FALSE)</f>
        <v>-13.600000000000001</v>
      </c>
      <c r="K31" s="1501">
        <f>VLOOKUP($A$31,'P&amp;L'!1:1048576,MATCH(1:1,'P&amp;L'!4:4,FALSE),FALSE)</f>
        <v>-35.299999999999997</v>
      </c>
      <c r="L31" s="1501">
        <f>VLOOKUP($A$31,'P&amp;L'!1:1048576,MATCH(1:1,'P&amp;L'!4:4,FALSE),FALSE)</f>
        <v>-19.7</v>
      </c>
      <c r="M31" s="1501">
        <f>VLOOKUP($A$31,'P&amp;L'!1:1048576,MATCH(1:1,'P&amp;L'!4:4,FALSE),FALSE)</f>
        <v>-19.299999999999997</v>
      </c>
      <c r="N31" s="1501">
        <f>VLOOKUP($A$31,'P&amp;L'!1:1048576,MATCH(1:1,'P&amp;L'!4:4,FALSE),FALSE)</f>
        <v>-21.9</v>
      </c>
      <c r="O31" s="1501">
        <f>VLOOKUP($A$31,'P&amp;L'!1:1048576,MATCH(1:1,'P&amp;L'!4:4,FALSE),FALSE)</f>
        <v>-19.8</v>
      </c>
      <c r="P31" s="1501">
        <f>VLOOKUP($A$31,'P&amp;L'!1:1048576,MATCH(1:1,'P&amp;L'!4:4,FALSE),FALSE)</f>
        <v>-26.099999999999998</v>
      </c>
      <c r="Q31" s="1501">
        <f>VLOOKUP($A$31,'P&amp;L'!1:1048576,MATCH(1:1,'P&amp;L'!4:4,FALSE),FALSE)</f>
        <v>-33.028899417356641</v>
      </c>
      <c r="R31" s="1501">
        <f>VLOOKUP($A$31,'P&amp;L'!1:1048576,MATCH(1:1,'P&amp;L'!4:4,FALSE),FALSE)</f>
        <v>-36.039248017090742</v>
      </c>
      <c r="S31" s="1501">
        <f>VLOOKUP($A$31,'P&amp;L'!1:1048576,MATCH(1:1,'P&amp;L'!4:4,FALSE),FALSE)</f>
        <v>-37.071548567227168</v>
      </c>
      <c r="T31" s="1459"/>
      <c r="U31" s="1492" t="s">
        <v>642</v>
      </c>
      <c r="V31" s="1492"/>
      <c r="W31" s="1502"/>
      <c r="X31" s="1502"/>
      <c r="Y31" s="1502"/>
      <c r="Z31" s="1502"/>
      <c r="AA31" s="1502"/>
      <c r="AB31" s="1502"/>
      <c r="AC31" s="1502"/>
      <c r="AD31" s="1502"/>
      <c r="AE31" s="1502"/>
      <c r="AF31" s="1502"/>
      <c r="AG31" s="1502"/>
      <c r="AH31" s="1502"/>
      <c r="AI31" s="1502"/>
      <c r="AJ31" s="1502"/>
      <c r="AK31" s="1502"/>
      <c r="AL31" s="1502"/>
      <c r="AM31" s="1451"/>
    </row>
    <row r="32" spans="1:39" ht="13.2" customHeight="1">
      <c r="A32" s="629"/>
      <c r="B32" s="1475" t="s">
        <v>26</v>
      </c>
      <c r="C32" s="1475" t="s">
        <v>227</v>
      </c>
      <c r="D32" s="1503">
        <f t="shared" ref="D32:J32" si="24">SUM(D28:D31)</f>
        <v>149.864</v>
      </c>
      <c r="E32" s="1503">
        <f t="shared" si="24"/>
        <v>163.977</v>
      </c>
      <c r="F32" s="1503">
        <f t="shared" si="24"/>
        <v>175.63499999999999</v>
      </c>
      <c r="G32" s="1503">
        <f t="shared" si="24"/>
        <v>193.08199999999999</v>
      </c>
      <c r="H32" s="1503">
        <f t="shared" si="24"/>
        <v>264.49999999999994</v>
      </c>
      <c r="I32" s="1503">
        <f t="shared" si="24"/>
        <v>294.29999999999995</v>
      </c>
      <c r="J32" s="1503">
        <f t="shared" si="24"/>
        <v>306</v>
      </c>
      <c r="K32" s="1503">
        <f t="shared" ref="K32:P32" si="25">SUM(K28:K31)</f>
        <v>551.20000000000005</v>
      </c>
      <c r="L32" s="1503">
        <f t="shared" si="25"/>
        <v>728</v>
      </c>
      <c r="M32" s="1503">
        <f t="shared" si="25"/>
        <v>764.19999999999993</v>
      </c>
      <c r="N32" s="1503">
        <f t="shared" si="25"/>
        <v>748.80000000000007</v>
      </c>
      <c r="O32" s="1503">
        <f t="shared" si="25"/>
        <v>675.9</v>
      </c>
      <c r="P32" s="1503">
        <f t="shared" si="25"/>
        <v>735.29999999999984</v>
      </c>
      <c r="Q32" s="1503">
        <f t="shared" ref="Q32:R32" si="26">SUM(Q28:Q31)</f>
        <v>772.23454577608584</v>
      </c>
      <c r="R32" s="1503">
        <f t="shared" si="26"/>
        <v>786.68461612899375</v>
      </c>
      <c r="S32" s="1503">
        <f t="shared" ref="S32" si="27">SUM(S28:S31)</f>
        <v>819.73885679759326</v>
      </c>
      <c r="T32" s="1459"/>
      <c r="U32" s="1451" t="s">
        <v>276</v>
      </c>
      <c r="V32" s="1496" t="s">
        <v>754</v>
      </c>
      <c r="W32" s="1504">
        <f>+'P&amp;L'!AG12</f>
        <v>0.21527203482045706</v>
      </c>
      <c r="X32" s="1505">
        <f>+'P&amp;L'!AJ12</f>
        <v>0.21700052385702298</v>
      </c>
      <c r="Y32" s="1505">
        <f>+'P&amp;L'!AM12</f>
        <v>0.21857154279030139</v>
      </c>
      <c r="Z32" s="1505">
        <f>+'P&amp;L'!AP12</f>
        <v>0.21884314624448753</v>
      </c>
      <c r="AA32" s="1505">
        <f>+'P&amp;L'!AS12</f>
        <v>0.21862798862828717</v>
      </c>
      <c r="AB32" s="1505">
        <f>+'P&amp;L'!AV12</f>
        <v>0.21450768130954292</v>
      </c>
      <c r="AC32" s="1505">
        <f>+'P&amp;L'!AY12</f>
        <v>0.21510013671021652</v>
      </c>
      <c r="AD32" s="1505">
        <f>+'P&amp;L'!BB12</f>
        <v>0.21393122782204599</v>
      </c>
      <c r="AE32" s="1504">
        <f>+'P&amp;L'!BE12</f>
        <v>0.22175614898890766</v>
      </c>
      <c r="AF32" s="1504">
        <f>VLOOKUP($AM32,'P&amp;L'!$1:$1048576,MATCH(Summary!AF$1,'P&amp;L'!$4:$4,0),FALSE)</f>
        <v>0.22534662045060661</v>
      </c>
      <c r="AG32" s="1504">
        <f>VLOOKUP($AM32,'P&amp;L'!$1:$1048576,MATCH(Summary!AG$1,'P&amp;L'!$4:$4,0),FALSE)</f>
        <v>0.22672026925953628</v>
      </c>
      <c r="AH32" s="1504">
        <f>VLOOKUP($AM32,'P&amp;L'!$1:$1048576,MATCH(Summary!AH$1,'P&amp;L'!$4:$4,0),FALSE)</f>
        <v>0.22313498186063968</v>
      </c>
      <c r="AI32" s="1504">
        <f>VLOOKUP($AM32,'P&amp;L'!$1:$1048576,MATCH(Summary!AI$1,'P&amp;L'!$4:$4,0),FALSE)</f>
        <v>0.22363284950922802</v>
      </c>
      <c r="AJ32" s="1504">
        <f>VLOOKUP($AM32,'P&amp;L'!$1:$1048576,MATCH(Summary!AJ$1,'P&amp;L'!$4:$4,0),FALSE)</f>
        <v>0.22450152336975926</v>
      </c>
      <c r="AK32" s="1504">
        <f>VLOOKUP($AM32,'P&amp;L'!$1:$1048576,MATCH(Summary!AK$1,'P&amp;L'!$4:$4,0),FALSE)</f>
        <v>0.22237292902525835</v>
      </c>
      <c r="AL32" s="1504">
        <f>VLOOKUP($AM32,'P&amp;L'!$1:$1048576,MATCH(Summary!AL$1,'P&amp;L'!$4:$4,0),FALSE)</f>
        <v>0.22234796859790071</v>
      </c>
      <c r="AM32" s="1451" t="s">
        <v>1</v>
      </c>
    </row>
    <row r="33" spans="1:39" ht="13.2" customHeight="1">
      <c r="A33" s="629" t="s">
        <v>386</v>
      </c>
      <c r="B33" s="1460" t="s">
        <v>27</v>
      </c>
      <c r="C33" s="1460" t="s">
        <v>227</v>
      </c>
      <c r="D33" s="1501">
        <f>VLOOKUP($A$33,CFS!1:1048576,MATCH(1:1,CFS!4:4,FALSE),FALSE)</f>
        <v>-17.36099999999999</v>
      </c>
      <c r="E33" s="1501">
        <f>VLOOKUP($A$33,CFS!1:1048576,MATCH(1:1,CFS!4:4,FALSE),FALSE)</f>
        <v>-123.16500000000001</v>
      </c>
      <c r="F33" s="1501">
        <f>VLOOKUP($A$33,CFS!1:1048576,MATCH(1:1,CFS!4:4,FALSE),FALSE)</f>
        <v>-8.3559999999999803</v>
      </c>
      <c r="G33" s="1501">
        <f>VLOOKUP($A$33,CFS!1:1048576,MATCH(1:1,CFS!4:4,FALSE),FALSE)</f>
        <v>-24.835000000000008</v>
      </c>
      <c r="H33" s="1501">
        <f>VLOOKUP($A$33,CFS!1:1048576,MATCH(1:1,CFS!4:4,FALSE),FALSE)</f>
        <v>-149.11799999999999</v>
      </c>
      <c r="I33" s="1501">
        <f>VLOOKUP($A$33,CFS!1:1048576,MATCH(1:1,CFS!4:4,FALSE),FALSE)</f>
        <v>-21.80000000000004</v>
      </c>
      <c r="J33" s="1501">
        <f>VLOOKUP($A$33,CFS!1:1048576,MATCH(1:1,CFS!4:4,FALSE),FALSE)</f>
        <v>-37.899999999999949</v>
      </c>
      <c r="K33" s="1501">
        <f>VLOOKUP($A$33,CFS!1:1048576,MATCH(1:1,CFS!4:4,FALSE),FALSE)</f>
        <v>362.90000000000009</v>
      </c>
      <c r="L33" s="1501">
        <f>VLOOKUP($A$33,CFS!1:1048576,MATCH(1:1,CFS!4:4,FALSE),FALSE)</f>
        <v>-267.5</v>
      </c>
      <c r="M33" s="1501">
        <f>VLOOKUP($A$33,CFS!1:1048576,MATCH(1:1,CFS!4:4,FALSE),FALSE)</f>
        <v>-173.29999999999995</v>
      </c>
      <c r="N33" s="1501">
        <f>VLOOKUP($A$33,CFS!1:1048576,MATCH(1:1,CFS!4:4,FALSE),FALSE)</f>
        <v>19.399999999999835</v>
      </c>
      <c r="O33" s="1501">
        <f>VLOOKUP($A$33,CFS!1:1048576,MATCH(1:1,CFS!4:4,FALSE),FALSE)</f>
        <v>19.000000000000142</v>
      </c>
      <c r="P33" s="1501">
        <f>VLOOKUP($A$33,CFS!1:1048576,MATCH(1:1,CFS!4:4,FALSE),FALSE)</f>
        <v>-91.200000000000045</v>
      </c>
      <c r="Q33" s="1501">
        <f>VLOOKUP($A$33,CFS!1:1048576,MATCH(1:1,CFS!4:4,FALSE),FALSE)</f>
        <v>-33.997245364283856</v>
      </c>
      <c r="R33" s="1501">
        <f>VLOOKUP($A$33,CFS!1:1048576,MATCH(1:1,CFS!4:4,FALSE),FALSE)</f>
        <v>-27.815617557050189</v>
      </c>
      <c r="S33" s="1501">
        <f>VLOOKUP($A$33,CFS!1:1048576,MATCH(1:1,CFS!4:4,FALSE),FALSE)</f>
        <v>-27.78727512459082</v>
      </c>
      <c r="T33" s="1459"/>
      <c r="U33" s="1451" t="s">
        <v>751</v>
      </c>
      <c r="V33" s="1496" t="s">
        <v>754</v>
      </c>
      <c r="W33" s="1504">
        <f>+'P&amp;L'!AG47</f>
        <v>0.15149951638254144</v>
      </c>
      <c r="X33" s="1505">
        <f>+'P&amp;L'!AJ47</f>
        <v>0.15194178728534427</v>
      </c>
      <c r="Y33" s="1505">
        <f>+'P&amp;L'!AM47</f>
        <v>0.1528480867087097</v>
      </c>
      <c r="Z33" s="1505">
        <f>+'P&amp;L'!AP47</f>
        <v>0.15256973948701555</v>
      </c>
      <c r="AA33" s="1505">
        <f>+'P&amp;L'!AS47</f>
        <v>0.15460879886282874</v>
      </c>
      <c r="AB33" s="1505">
        <f>+'P&amp;L'!AV47</f>
        <v>0.15444319624177524</v>
      </c>
      <c r="AC33" s="1505">
        <f>+'P&amp;L'!AY47</f>
        <v>0.15462348315081803</v>
      </c>
      <c r="AD33" s="1505">
        <f>+'P&amp;L'!BB47</f>
        <v>0.12327469724330399</v>
      </c>
      <c r="AE33" s="1504">
        <f>+'P&amp;L'!BE47</f>
        <v>0.11390630432588235</v>
      </c>
      <c r="AF33" s="1504">
        <f>VLOOKUP($AM33,'P&amp;L'!$1:$1048576,MATCH(Summary!AF$1,'P&amp;L'!$4:$4,0),FALSE)</f>
        <v>0.11552209705372617</v>
      </c>
      <c r="AG33" s="1504">
        <f>VLOOKUP($AM33,'P&amp;L'!$1:$1048576,MATCH(Summary!AG$1,'P&amp;L'!$4:$4,0),FALSE)</f>
        <v>0.1235456660849331</v>
      </c>
      <c r="AH33" s="1504">
        <f>VLOOKUP($AM33,'P&amp;L'!$1:$1048576,MATCH(Summary!AH$1,'P&amp;L'!$4:$4,0),FALSE)</f>
        <v>0.13094741670489138</v>
      </c>
      <c r="AI33" s="1504">
        <f>VLOOKUP($AM33,'P&amp;L'!$1:$1048576,MATCH(Summary!AI$1,'P&amp;L'!$4:$4,0),FALSE)</f>
        <v>0.13205366278849434</v>
      </c>
      <c r="AJ33" s="1504">
        <f>VLOOKUP($AM33,'P&amp;L'!$1:$1048576,MATCH(Summary!AJ$1,'P&amp;L'!$4:$4,0),FALSE)</f>
        <v>0.13283201136281014</v>
      </c>
      <c r="AK33" s="1504">
        <f>VLOOKUP($AM33,'P&amp;L'!$1:$1048576,MATCH(Summary!AK$1,'P&amp;L'!$4:$4,0),FALSE)</f>
        <v>0.13261085669338948</v>
      </c>
      <c r="AL33" s="1504">
        <f>VLOOKUP($AM33,'P&amp;L'!$1:$1048576,MATCH(Summary!AL$1,'P&amp;L'!$4:$4,0),FALSE)</f>
        <v>0.13246289811513579</v>
      </c>
      <c r="AM33" s="1451" t="s">
        <v>25</v>
      </c>
    </row>
    <row r="34" spans="1:39" ht="13.2" customHeight="1">
      <c r="A34" s="629"/>
      <c r="B34" s="1460" t="s">
        <v>557</v>
      </c>
      <c r="C34" s="1460" t="s">
        <v>227</v>
      </c>
      <c r="D34" s="1501">
        <f>+CFS!M21</f>
        <v>13.751000000000175</v>
      </c>
      <c r="E34" s="1501">
        <f>+CFS!N21</f>
        <v>-8.3310000000001452</v>
      </c>
      <c r="F34" s="1501">
        <f>+CFS!O21</f>
        <v>6.6900000000003104</v>
      </c>
      <c r="G34" s="1501">
        <f>+CFS!P21</f>
        <v>13.035999999999945</v>
      </c>
      <c r="H34" s="1501">
        <f>+CFS!Q21</f>
        <v>102.71799999999979</v>
      </c>
      <c r="I34" s="1501">
        <f>+CFS!R21</f>
        <v>19.599999999999739</v>
      </c>
      <c r="J34" s="1501">
        <f>+CFS!S21</f>
        <v>33.499999999999432</v>
      </c>
      <c r="K34" s="1501">
        <f>+CFS!T21</f>
        <v>86.899999999999068</v>
      </c>
      <c r="L34" s="1501">
        <f>+CFS!U21</f>
        <v>101.5999999999998</v>
      </c>
      <c r="M34" s="1501">
        <f>+CFS!V21</f>
        <v>36.500000000000114</v>
      </c>
      <c r="N34" s="1501">
        <f>+CFS!Y21</f>
        <v>-51.799999999999613</v>
      </c>
      <c r="O34" s="1501">
        <f>+CFS!AB21</f>
        <v>57.700000000000728</v>
      </c>
      <c r="P34" s="1501">
        <f>+CFS!AE21</f>
        <v>81.199999999999477</v>
      </c>
      <c r="Q34" s="1501">
        <f>+CFS!AH21</f>
        <v>26.500000000000114</v>
      </c>
      <c r="R34" s="1501">
        <f>+CFS!AK21</f>
        <v>0</v>
      </c>
      <c r="S34" s="1501">
        <f>+CFS!AL21</f>
        <v>0</v>
      </c>
      <c r="T34" s="1459"/>
      <c r="U34" s="1460" t="s">
        <v>377</v>
      </c>
      <c r="V34" s="1496" t="s">
        <v>754</v>
      </c>
      <c r="W34" s="1504">
        <f t="shared" ref="W34:AL34" si="28">D12/D8</f>
        <v>6.3772518437915607E-2</v>
      </c>
      <c r="X34" s="1504">
        <f t="shared" si="28"/>
        <v>6.505873657167871E-2</v>
      </c>
      <c r="Y34" s="1504">
        <f t="shared" si="28"/>
        <v>6.5723456081591705E-2</v>
      </c>
      <c r="Z34" s="1505">
        <f t="shared" si="28"/>
        <v>6.6273406757471995E-2</v>
      </c>
      <c r="AA34" s="1505">
        <f t="shared" si="28"/>
        <v>6.4019189765458423E-2</v>
      </c>
      <c r="AB34" s="1505">
        <f t="shared" si="28"/>
        <v>6.0064485067767681E-2</v>
      </c>
      <c r="AC34" s="1505">
        <f t="shared" si="28"/>
        <v>6.0476653559398484E-2</v>
      </c>
      <c r="AD34" s="1505">
        <f t="shared" si="28"/>
        <v>9.0656530578741998E-2</v>
      </c>
      <c r="AE34" s="1504">
        <f t="shared" si="28"/>
        <v>0.10784984466302533</v>
      </c>
      <c r="AF34" s="1504">
        <f t="shared" si="28"/>
        <v>0.10982452339688041</v>
      </c>
      <c r="AG34" s="1504">
        <f t="shared" si="28"/>
        <v>0.10317460317460318</v>
      </c>
      <c r="AH34" s="1504">
        <f t="shared" si="28"/>
        <v>9.2187565155748302E-2</v>
      </c>
      <c r="AI34" s="1504">
        <f t="shared" si="28"/>
        <v>9.1579186720733688E-2</v>
      </c>
      <c r="AJ34" s="1504">
        <f t="shared" si="28"/>
        <v>9.166951200694913E-2</v>
      </c>
      <c r="AK34" s="1504">
        <f t="shared" si="28"/>
        <v>8.9762072331868878E-2</v>
      </c>
      <c r="AL34" s="1504">
        <f t="shared" si="28"/>
        <v>8.9885070482764923E-2</v>
      </c>
      <c r="AM34" s="1451"/>
    </row>
    <row r="35" spans="1:39" ht="13.2" customHeight="1">
      <c r="A35" s="629" t="s">
        <v>408</v>
      </c>
      <c r="B35" s="1475" t="s">
        <v>28</v>
      </c>
      <c r="C35" s="1475" t="s">
        <v>227</v>
      </c>
      <c r="D35" s="1503">
        <f t="shared" ref="D35:J35" si="29">SUM(D32:D34)</f>
        <v>146.25400000000019</v>
      </c>
      <c r="E35" s="1503">
        <f t="shared" si="29"/>
        <v>32.480999999999852</v>
      </c>
      <c r="F35" s="1503">
        <f t="shared" si="29"/>
        <v>173.96900000000031</v>
      </c>
      <c r="G35" s="1503">
        <f t="shared" si="29"/>
        <v>181.28299999999993</v>
      </c>
      <c r="H35" s="1503">
        <f t="shared" si="29"/>
        <v>218.09999999999974</v>
      </c>
      <c r="I35" s="1503">
        <f t="shared" si="29"/>
        <v>292.09999999999962</v>
      </c>
      <c r="J35" s="1503">
        <f t="shared" si="29"/>
        <v>301.59999999999945</v>
      </c>
      <c r="K35" s="1503">
        <f t="shared" ref="K35:P35" si="30">SUM(K32:K34)</f>
        <v>1000.9999999999992</v>
      </c>
      <c r="L35" s="1503">
        <f t="shared" si="30"/>
        <v>562.0999999999998</v>
      </c>
      <c r="M35" s="1503">
        <f t="shared" si="30"/>
        <v>627.40000000000009</v>
      </c>
      <c r="N35" s="1503">
        <f t="shared" si="30"/>
        <v>716.40000000000032</v>
      </c>
      <c r="O35" s="1503">
        <f t="shared" si="30"/>
        <v>752.60000000000082</v>
      </c>
      <c r="P35" s="1503">
        <f t="shared" si="30"/>
        <v>725.29999999999927</v>
      </c>
      <c r="Q35" s="1503">
        <f t="shared" ref="Q35:R35" si="31">SUM(Q32:Q34)</f>
        <v>764.73730041180204</v>
      </c>
      <c r="R35" s="1503">
        <f t="shared" si="31"/>
        <v>758.86899857194362</v>
      </c>
      <c r="S35" s="1503">
        <f t="shared" ref="S35" si="32">SUM(S32:S34)</f>
        <v>791.95158167300247</v>
      </c>
      <c r="T35" s="1459"/>
      <c r="U35" s="1489" t="s">
        <v>249</v>
      </c>
      <c r="V35" s="1496" t="s">
        <v>754</v>
      </c>
      <c r="W35" s="1504">
        <f t="shared" ref="W35:AL35" si="33">D17/D8</f>
        <v>5.3727783822996013E-2</v>
      </c>
      <c r="X35" s="1504">
        <f t="shared" si="33"/>
        <v>5.4860029709151707E-2</v>
      </c>
      <c r="Y35" s="1504">
        <f t="shared" si="33"/>
        <v>5.5010821064713916E-2</v>
      </c>
      <c r="Z35" s="1505">
        <f t="shared" si="33"/>
        <v>5.5930419952929182E-2</v>
      </c>
      <c r="AA35" s="1505">
        <f t="shared" si="33"/>
        <v>5.444207533759772E-2</v>
      </c>
      <c r="AB35" s="1505">
        <f t="shared" si="33"/>
        <v>5.1150372758706208E-2</v>
      </c>
      <c r="AC35" s="1505">
        <f t="shared" si="33"/>
        <v>5.2555917297365869E-2</v>
      </c>
      <c r="AD35" s="1505">
        <f t="shared" si="33"/>
        <v>6.3506295066233953E-2</v>
      </c>
      <c r="AE35" s="1504">
        <f t="shared" si="33"/>
        <v>8.3343614360538804E-2</v>
      </c>
      <c r="AF35" s="1504">
        <f t="shared" si="33"/>
        <v>8.6070190641247823E-2</v>
      </c>
      <c r="AG35" s="1504">
        <f t="shared" si="33"/>
        <v>7.9884484334746111E-2</v>
      </c>
      <c r="AH35" s="1504">
        <f t="shared" si="33"/>
        <v>6.7470080480380293E-2</v>
      </c>
      <c r="AI35" s="1504">
        <f t="shared" si="33"/>
        <v>6.7059536893167085E-2</v>
      </c>
      <c r="AJ35" s="1504">
        <f t="shared" si="33"/>
        <v>6.759410296906268E-2</v>
      </c>
      <c r="AK35" s="1504">
        <f t="shared" si="33"/>
        <v>6.6070866942405437E-2</v>
      </c>
      <c r="AL35" s="1504">
        <f t="shared" si="33"/>
        <v>6.6572760875816248E-2</v>
      </c>
      <c r="AM35" s="1451"/>
    </row>
    <row r="36" spans="1:39" ht="13.2" customHeight="1">
      <c r="A36" s="629" t="s">
        <v>409</v>
      </c>
      <c r="B36" s="1460" t="s">
        <v>29</v>
      </c>
      <c r="C36" s="1460" t="s">
        <v>227</v>
      </c>
      <c r="D36" s="1501">
        <f>VLOOKUP($A$36,CFS!1:1048576,MATCH(1:1,CFS!4:4,FALSE),FALSE)</f>
        <v>-35.307000000000002</v>
      </c>
      <c r="E36" s="1501">
        <f>VLOOKUP($A$36,CFS!1:1048576,MATCH(1:1,CFS!4:4,FALSE),FALSE)</f>
        <v>-35.914000000000001</v>
      </c>
      <c r="F36" s="1501">
        <f>VLOOKUP($A$36,CFS!1:1048576,MATCH(1:1,CFS!4:4,FALSE),FALSE)</f>
        <v>-42.466000000000001</v>
      </c>
      <c r="G36" s="1501">
        <f>VLOOKUP($A$36,CFS!1:1048576,MATCH(1:1,CFS!4:4,FALSE),FALSE)</f>
        <v>-52.343000000000004</v>
      </c>
      <c r="H36" s="1501">
        <f>VLOOKUP($A$36,CFS!1:1048576,MATCH(1:1,CFS!4:4,FALSE),FALSE)</f>
        <v>-49.1</v>
      </c>
      <c r="I36" s="1501">
        <f>VLOOKUP($A$36,CFS!1:1048576,MATCH(1:1,CFS!4:4,FALSE),FALSE)</f>
        <v>-54.4</v>
      </c>
      <c r="J36" s="1501">
        <f>VLOOKUP($A$36,CFS!1:1048576,MATCH(1:1,CFS!4:4,FALSE),FALSE)</f>
        <v>-59.3</v>
      </c>
      <c r="K36" s="1501">
        <f>VLOOKUP($A$36,CFS!1:1048576,MATCH(1:1,CFS!4:4,FALSE),FALSE)</f>
        <v>-43.1</v>
      </c>
      <c r="L36" s="1501">
        <f>VLOOKUP($A$36,CFS!1:1048576,MATCH(1:1,CFS!4:4,FALSE),FALSE)</f>
        <v>-57.7</v>
      </c>
      <c r="M36" s="1501">
        <f>VLOOKUP($A$36,CFS!1:1048576,MATCH(1:1,CFS!4:4,FALSE),FALSE)</f>
        <v>-57.6</v>
      </c>
      <c r="N36" s="1501">
        <f>VLOOKUP($A$36,CFS!1:1048576,MATCH(1:1,CFS!4:4,FALSE),FALSE)</f>
        <v>-72</v>
      </c>
      <c r="O36" s="1501">
        <f>VLOOKUP($A$36,CFS!1:1048576,MATCH(1:1,CFS!4:4,FALSE),FALSE)</f>
        <v>-74.5</v>
      </c>
      <c r="P36" s="1501">
        <f>VLOOKUP($A$36,CFS!1:1048576,MATCH(1:1,CFS!4:4,FALSE),FALSE)</f>
        <v>-82.3</v>
      </c>
      <c r="Q36" s="1501">
        <f>VLOOKUP($A$36,CFS!1:1048576,MATCH(1:1,CFS!4:4,FALSE),FALSE)</f>
        <v>-89.208009823927654</v>
      </c>
      <c r="R36" s="1501">
        <f>VLOOKUP($A$36,CFS!1:1048576,MATCH(1:1,CFS!4:4,FALSE),FALSE)</f>
        <v>-98.762757641094652</v>
      </c>
      <c r="S36" s="1501">
        <f>VLOOKUP($A$36,CFS!1:1048576,MATCH(1:1,CFS!4:4,FALSE),FALSE)</f>
        <v>-102.91285932440449</v>
      </c>
      <c r="T36" s="1459"/>
      <c r="U36" s="1460" t="s">
        <v>643</v>
      </c>
      <c r="V36" s="1496" t="s">
        <v>754</v>
      </c>
      <c r="W36" s="1504">
        <f t="shared" ref="W36:AL36" si="34">D21/D8</f>
        <v>3.5178031676943541E-2</v>
      </c>
      <c r="X36" s="1504">
        <f t="shared" si="34"/>
        <v>3.6844801974869217E-2</v>
      </c>
      <c r="Y36" s="1504">
        <f t="shared" si="34"/>
        <v>3.7378399928151645E-2</v>
      </c>
      <c r="Z36" s="1505">
        <f t="shared" si="34"/>
        <v>3.8483315197724494E-2</v>
      </c>
      <c r="AA36" s="1505">
        <f t="shared" si="34"/>
        <v>3.6447411336176259E-2</v>
      </c>
      <c r="AB36" s="1505">
        <f t="shared" si="34"/>
        <v>3.4022438469282046E-2</v>
      </c>
      <c r="AC36" s="1505">
        <f t="shared" si="34"/>
        <v>3.5206404239426108E-2</v>
      </c>
      <c r="AD36" s="1505">
        <f t="shared" si="34"/>
        <v>4.1192589879907572E-2</v>
      </c>
      <c r="AE36" s="1504">
        <f t="shared" si="34"/>
        <v>5.7637307791523193E-2</v>
      </c>
      <c r="AF36" s="1504">
        <f t="shared" si="34"/>
        <v>5.9467071057192372E-2</v>
      </c>
      <c r="AG36" s="1504">
        <f t="shared" si="34"/>
        <v>5.449596941743539E-2</v>
      </c>
      <c r="AH36" s="1504">
        <f t="shared" si="34"/>
        <v>4.574454776698219E-2</v>
      </c>
      <c r="AI36" s="1504">
        <f t="shared" si="34"/>
        <v>4.5107439269337163E-2</v>
      </c>
      <c r="AJ36" s="1504">
        <f t="shared" si="34"/>
        <v>4.5126247304914137E-2</v>
      </c>
      <c r="AK36" s="1504">
        <f t="shared" si="34"/>
        <v>4.3964428598470322E-2</v>
      </c>
      <c r="AL36" s="1504">
        <f t="shared" si="34"/>
        <v>4.4343658814892141E-2</v>
      </c>
      <c r="AM36" s="1451"/>
    </row>
    <row r="37" spans="1:39" ht="13.2" customHeight="1">
      <c r="A37" s="629"/>
      <c r="B37" s="1475" t="s">
        <v>30</v>
      </c>
      <c r="C37" s="1475" t="s">
        <v>227</v>
      </c>
      <c r="D37" s="1503">
        <f t="shared" ref="D37:J37" si="35">SUM(D35:D36)</f>
        <v>110.94700000000019</v>
      </c>
      <c r="E37" s="1503">
        <f t="shared" si="35"/>
        <v>-3.433000000000149</v>
      </c>
      <c r="F37" s="1503">
        <f t="shared" si="35"/>
        <v>131.5030000000003</v>
      </c>
      <c r="G37" s="1503">
        <f t="shared" si="35"/>
        <v>128.93999999999994</v>
      </c>
      <c r="H37" s="1503">
        <f t="shared" si="35"/>
        <v>168.99999999999974</v>
      </c>
      <c r="I37" s="1503">
        <f t="shared" si="35"/>
        <v>237.69999999999962</v>
      </c>
      <c r="J37" s="1503">
        <f t="shared" si="35"/>
        <v>242.29999999999944</v>
      </c>
      <c r="K37" s="1503">
        <f t="shared" ref="K37:P37" si="36">SUM(K35:K36)</f>
        <v>957.89999999999918</v>
      </c>
      <c r="L37" s="1503">
        <f t="shared" si="36"/>
        <v>504.39999999999981</v>
      </c>
      <c r="M37" s="1503">
        <f t="shared" si="36"/>
        <v>569.80000000000007</v>
      </c>
      <c r="N37" s="1503">
        <f t="shared" si="36"/>
        <v>644.40000000000032</v>
      </c>
      <c r="O37" s="1503">
        <f t="shared" si="36"/>
        <v>678.10000000000082</v>
      </c>
      <c r="P37" s="1503">
        <f t="shared" si="36"/>
        <v>642.99999999999932</v>
      </c>
      <c r="Q37" s="1503">
        <f t="shared" ref="Q37:R37" si="37">SUM(Q35:Q36)</f>
        <v>675.52929058787436</v>
      </c>
      <c r="R37" s="1503">
        <f t="shared" si="37"/>
        <v>660.10624093084903</v>
      </c>
      <c r="S37" s="1503">
        <f t="shared" ref="S37" si="38">SUM(S35:S36)</f>
        <v>689.03872234859796</v>
      </c>
      <c r="T37" s="1459"/>
      <c r="U37" s="1492" t="s">
        <v>931</v>
      </c>
      <c r="V37" s="1492"/>
      <c r="W37" s="1502"/>
      <c r="X37" s="1502"/>
      <c r="Y37" s="1502"/>
      <c r="Z37" s="1502"/>
      <c r="AA37" s="1502"/>
      <c r="AB37" s="1502"/>
      <c r="AC37" s="1502"/>
      <c r="AD37" s="1502"/>
      <c r="AE37" s="1502"/>
      <c r="AF37" s="1502"/>
      <c r="AG37" s="1502"/>
      <c r="AH37" s="1502"/>
      <c r="AI37" s="1502"/>
      <c r="AJ37" s="1502"/>
      <c r="AK37" s="1502"/>
      <c r="AL37" s="1502"/>
      <c r="AM37" s="1451"/>
    </row>
    <row r="38" spans="1:39" ht="13.2" customHeight="1">
      <c r="A38" s="629" t="s">
        <v>410</v>
      </c>
      <c r="B38" s="1460" t="s">
        <v>175</v>
      </c>
      <c r="C38" s="1460" t="s">
        <v>227</v>
      </c>
      <c r="D38" s="1501">
        <f>VLOOKUP($A$38,CFS!1:1048576,MATCH(1:1,CFS!4:4,FALSE),FALSE)</f>
        <v>-65.263000000000005</v>
      </c>
      <c r="E38" s="1501">
        <f>VLOOKUP($A$38,CFS!1:1048576,MATCH(1:1,CFS!4:4,FALSE),FALSE)</f>
        <v>-77.183000000000007</v>
      </c>
      <c r="F38" s="1501">
        <f>VLOOKUP($A$38,CFS!1:1048576,MATCH(1:1,CFS!4:4,FALSE),FALSE)</f>
        <v>-87.174000000000007</v>
      </c>
      <c r="G38" s="1501">
        <f>VLOOKUP($A$38,CFS!1:1048576,MATCH(1:1,CFS!4:4,FALSE),FALSE)</f>
        <v>-93.204999999999998</v>
      </c>
      <c r="H38" s="1501">
        <f>VLOOKUP($A$38,CFS!1:1048576,MATCH(1:1,CFS!4:4,FALSE),FALSE)</f>
        <v>-119.1</v>
      </c>
      <c r="I38" s="1501">
        <f>VLOOKUP($A$38,CFS!1:1048576,MATCH(1:1,CFS!4:4,FALSE),FALSE)</f>
        <v>-151.6</v>
      </c>
      <c r="J38" s="1501">
        <f>VLOOKUP($A$38,CFS!1:1048576,MATCH(1:1,CFS!4:4,FALSE),FALSE)</f>
        <v>-157.4</v>
      </c>
      <c r="K38" s="1501">
        <f>VLOOKUP($A$38,CFS!1:1048576,MATCH(1:1,CFS!4:4,FALSE),FALSE)</f>
        <v>-172.3</v>
      </c>
      <c r="L38" s="1501">
        <f>VLOOKUP($A$38,CFS!1:1048576,MATCH(1:1,CFS!4:4,FALSE),FALSE)</f>
        <v>-310.2</v>
      </c>
      <c r="M38" s="1501">
        <f>VLOOKUP($A$38,CFS!1:1048576,MATCH(1:1,CFS!4:4,FALSE),FALSE)</f>
        <v>-310.2</v>
      </c>
      <c r="N38" s="1501">
        <f>VLOOKUP($A$38,CFS!1:1048576,MATCH(1:1,CFS!4:4,FALSE),FALSE)</f>
        <v>-382.7</v>
      </c>
      <c r="O38" s="1501">
        <f>VLOOKUP($A$38,CFS!1:1048576,MATCH(1:1,CFS!4:4,FALSE),FALSE)</f>
        <v>-298.5</v>
      </c>
      <c r="P38" s="1501">
        <f>VLOOKUP($A$38,CFS!1:1048576,MATCH(1:1,CFS!4:4,FALSE),FALSE)</f>
        <v>-385.9</v>
      </c>
      <c r="Q38" s="1501">
        <f>VLOOKUP($A$38,CFS!1:1048576,MATCH(1:1,CFS!4:4,FALSE),FALSE)</f>
        <v>-448.2</v>
      </c>
      <c r="R38" s="1501">
        <f>VLOOKUP($A$38,CFS!1:1048576,MATCH(1:1,CFS!4:4,FALSE),FALSE)</f>
        <v>-390.81240867462964</v>
      </c>
      <c r="S38" s="1501">
        <f>VLOOKUP($A$38,CFS!1:1048576,MATCH(1:1,CFS!4:4,FALSE),FALSE)</f>
        <v>-406.93240350401027</v>
      </c>
      <c r="T38" s="1459"/>
      <c r="U38" s="1460" t="s">
        <v>15</v>
      </c>
      <c r="V38" s="1496" t="s">
        <v>754</v>
      </c>
      <c r="W38" s="1504">
        <f>D17/AVERAGE(U20:W20)</f>
        <v>0.59190231362467849</v>
      </c>
      <c r="X38" s="1504">
        <f t="shared" ref="X38:AL38" si="39">E17/AVERAGE(W20:X20)</f>
        <v>0.52279357559129525</v>
      </c>
      <c r="Y38" s="1504">
        <f t="shared" si="39"/>
        <v>0.46471288960851215</v>
      </c>
      <c r="Z38" s="1504">
        <f t="shared" si="39"/>
        <v>0.4934942651582005</v>
      </c>
      <c r="AA38" s="1504">
        <f t="shared" si="39"/>
        <v>0.34005640230536921</v>
      </c>
      <c r="AB38" s="1504">
        <f t="shared" si="39"/>
        <v>0.26120320357608484</v>
      </c>
      <c r="AC38" s="1504">
        <f t="shared" si="39"/>
        <v>0.27530454042081953</v>
      </c>
      <c r="AD38" s="1504">
        <f t="shared" si="39"/>
        <v>0.45343070958434772</v>
      </c>
      <c r="AE38" s="1504">
        <f t="shared" si="39"/>
        <v>0.78245761819521953</v>
      </c>
      <c r="AF38" s="1504">
        <f t="shared" si="39"/>
        <v>0.70340370911344241</v>
      </c>
      <c r="AG38" s="1504">
        <f t="shared" si="39"/>
        <v>0.61367807836565336</v>
      </c>
      <c r="AH38" s="1504">
        <f t="shared" si="39"/>
        <v>0.5079066117323916</v>
      </c>
      <c r="AI38" s="1504">
        <f t="shared" si="39"/>
        <v>0.54679593649812652</v>
      </c>
      <c r="AJ38" s="1504">
        <f t="shared" si="39"/>
        <v>0.55716153307747696</v>
      </c>
      <c r="AK38" s="1504">
        <f t="shared" si="39"/>
        <v>0.54671694520803138</v>
      </c>
      <c r="AL38" s="1504">
        <f t="shared" si="39"/>
        <v>0.54907559037403608</v>
      </c>
      <c r="AM38" s="1451"/>
    </row>
    <row r="39" spans="1:39" ht="13.2" customHeight="1">
      <c r="A39" s="629" t="s">
        <v>431</v>
      </c>
      <c r="B39" s="1475" t="s">
        <v>31</v>
      </c>
      <c r="C39" s="1475" t="s">
        <v>227</v>
      </c>
      <c r="D39" s="1503">
        <f t="shared" ref="D39:J39" si="40">SUM(D37:D38)</f>
        <v>45.684000000000182</v>
      </c>
      <c r="E39" s="1503">
        <f t="shared" si="40"/>
        <v>-80.616000000000156</v>
      </c>
      <c r="F39" s="1503">
        <f t="shared" si="40"/>
        <v>44.329000000000292</v>
      </c>
      <c r="G39" s="1503">
        <f t="shared" si="40"/>
        <v>35.734999999999943</v>
      </c>
      <c r="H39" s="1503">
        <f t="shared" si="40"/>
        <v>49.89999999999975</v>
      </c>
      <c r="I39" s="1503">
        <f t="shared" si="40"/>
        <v>86.099999999999625</v>
      </c>
      <c r="J39" s="1503">
        <f t="shared" si="40"/>
        <v>84.899999999999437</v>
      </c>
      <c r="K39" s="1503">
        <f t="shared" ref="K39:P39" si="41">SUM(K37:K38)</f>
        <v>785.59999999999923</v>
      </c>
      <c r="L39" s="1503">
        <f t="shared" si="41"/>
        <v>194.19999999999982</v>
      </c>
      <c r="M39" s="1503">
        <f t="shared" si="41"/>
        <v>259.60000000000008</v>
      </c>
      <c r="N39" s="1503">
        <f t="shared" si="41"/>
        <v>261.70000000000033</v>
      </c>
      <c r="O39" s="1503">
        <f t="shared" si="41"/>
        <v>379.60000000000082</v>
      </c>
      <c r="P39" s="1503">
        <f t="shared" si="41"/>
        <v>257.09999999999934</v>
      </c>
      <c r="Q39" s="1503">
        <f t="shared" ref="Q39:R39" si="42">SUM(Q37:Q38)</f>
        <v>227.32929058787437</v>
      </c>
      <c r="R39" s="1503">
        <f t="shared" si="42"/>
        <v>269.29383225621939</v>
      </c>
      <c r="S39" s="1503">
        <f t="shared" ref="S39" si="43">SUM(S37:S38)</f>
        <v>282.10631884458769</v>
      </c>
      <c r="T39" s="1459"/>
      <c r="U39" s="1460" t="s">
        <v>561</v>
      </c>
      <c r="V39" s="1460" t="s">
        <v>878</v>
      </c>
      <c r="W39" s="1506">
        <f t="shared" ref="W39:AL39" si="44">D17/-D18</f>
        <v>18.323162560560768</v>
      </c>
      <c r="X39" s="1506">
        <f t="shared" si="44"/>
        <v>22.636503612460022</v>
      </c>
      <c r="Y39" s="1506">
        <f t="shared" si="44"/>
        <v>37.378046511627907</v>
      </c>
      <c r="Z39" s="1506">
        <f t="shared" si="44"/>
        <v>66.29946043165468</v>
      </c>
      <c r="AA39" s="1506">
        <f t="shared" si="44"/>
        <v>34.044444444444444</v>
      </c>
      <c r="AB39" s="1507">
        <f t="shared" si="44"/>
        <v>21.776397515527947</v>
      </c>
      <c r="AC39" s="1507">
        <f t="shared" si="44"/>
        <v>27.419117647058822</v>
      </c>
      <c r="AD39" s="1507">
        <f t="shared" si="44"/>
        <v>14.246458923512749</v>
      </c>
      <c r="AE39" s="1507">
        <f t="shared" si="44"/>
        <v>37.72081218274112</v>
      </c>
      <c r="AF39" s="1507">
        <f t="shared" si="44"/>
        <v>41.170984455958553</v>
      </c>
      <c r="AG39" s="1507">
        <f t="shared" si="44"/>
        <v>35.114155251141554</v>
      </c>
      <c r="AH39" s="1507">
        <f t="shared" si="44"/>
        <v>32.686868686868685</v>
      </c>
      <c r="AI39" s="1507">
        <f t="shared" si="44"/>
        <v>27.118773946360154</v>
      </c>
      <c r="AJ39" s="1507">
        <f t="shared" si="44"/>
        <v>22.820679420425218</v>
      </c>
      <c r="AK39" s="1507">
        <f t="shared" si="44"/>
        <v>21.301420560669644</v>
      </c>
      <c r="AL39" s="1507">
        <f t="shared" si="44"/>
        <v>21.742353842901267</v>
      </c>
      <c r="AM39" s="1451"/>
    </row>
    <row r="40" spans="1:39" ht="13.2" customHeight="1">
      <c r="A40" s="629" t="s">
        <v>953</v>
      </c>
      <c r="B40" s="1460" t="s">
        <v>32</v>
      </c>
      <c r="C40" s="1460" t="s">
        <v>227</v>
      </c>
      <c r="D40" s="1501">
        <f>+CFS!M34</f>
        <v>1.0820000000000001</v>
      </c>
      <c r="E40" s="1501">
        <f>+CFS!N34</f>
        <v>-4.3069999999999986</v>
      </c>
      <c r="F40" s="1501">
        <f>+CFS!O34</f>
        <v>-1.8449999999999998</v>
      </c>
      <c r="G40" s="1501">
        <f>+CFS!P34</f>
        <v>-7.2259999999999991</v>
      </c>
      <c r="H40" s="1501">
        <f>+CFS!Q34</f>
        <v>395.9</v>
      </c>
      <c r="I40" s="1501">
        <f>+CFS!R34</f>
        <v>3</v>
      </c>
      <c r="J40" s="1501">
        <f>+CFS!S34</f>
        <v>1.9</v>
      </c>
      <c r="K40" s="1501">
        <f>+CFS!T34</f>
        <v>1.3</v>
      </c>
      <c r="L40" s="1501">
        <f>VLOOKUP($A$40,CFS!$1:$1048576,MATCH(Summary!L$1,CFS!$4:$4,0),FALSE)</f>
        <v>0</v>
      </c>
      <c r="M40" s="1501">
        <f>VLOOKUP($A$40,CFS!$1:$1048576,MATCH(Summary!M$1,CFS!$4:$4,0),FALSE)</f>
        <v>0</v>
      </c>
      <c r="N40" s="1501">
        <f>VLOOKUP($A$40,CFS!$1:$1048576,MATCH(Summary!N$1,CFS!$4:$4,0),FALSE)</f>
        <v>0</v>
      </c>
      <c r="O40" s="1501">
        <f>VLOOKUP($A$40,CFS!$1:$1048576,MATCH(Summary!O$1,CFS!$4:$4,0),FALSE)</f>
        <v>0</v>
      </c>
      <c r="P40" s="1501">
        <f>VLOOKUP($A$40,CFS!$1:$1048576,MATCH(Summary!P$1,CFS!$4:$4,0),FALSE)</f>
        <v>0</v>
      </c>
      <c r="Q40" s="1501">
        <f>VLOOKUP($A$40,CFS!$1:$1048576,MATCH(Summary!Q$1,CFS!$4:$4,0),FALSE)</f>
        <v>0</v>
      </c>
      <c r="R40" s="1501">
        <f>VLOOKUP($A$40,CFS!$1:$1048576,MATCH(Summary!R$1,CFS!$4:$4,0),FALSE)</f>
        <v>0</v>
      </c>
      <c r="S40" s="1501">
        <f>VLOOKUP($A$40,CFS!$1:$1048576,MATCH(Summary!S$1,CFS!$4:$4,0),FALSE)</f>
        <v>0</v>
      </c>
      <c r="T40" s="1459"/>
      <c r="U40" s="1460" t="s">
        <v>238</v>
      </c>
      <c r="V40" s="1460" t="s">
        <v>878</v>
      </c>
      <c r="W40" s="1506">
        <f t="shared" ref="W40:AL40" si="45">D36/D13</f>
        <v>1.0624398170438132</v>
      </c>
      <c r="X40" s="1506">
        <f t="shared" si="45"/>
        <v>1.0108077680833099</v>
      </c>
      <c r="Y40" s="1506">
        <f t="shared" si="45"/>
        <v>1.0854207136284633</v>
      </c>
      <c r="Z40" s="1506">
        <f t="shared" si="45"/>
        <v>1.2797486614019218</v>
      </c>
      <c r="AA40" s="1506">
        <f t="shared" si="45"/>
        <v>0.91094619666048227</v>
      </c>
      <c r="AB40" s="1506">
        <f t="shared" si="45"/>
        <v>0.89034369885433706</v>
      </c>
      <c r="AC40" s="1506">
        <f t="shared" si="45"/>
        <v>1.0551601423487544</v>
      </c>
      <c r="AD40" s="1506">
        <f t="shared" si="45"/>
        <v>0.18796336676842565</v>
      </c>
      <c r="AE40" s="1506">
        <f t="shared" si="45"/>
        <v>0.26407322654462245</v>
      </c>
      <c r="AF40" s="1506">
        <f t="shared" si="45"/>
        <v>0.26265389876880985</v>
      </c>
      <c r="AG40" s="1506">
        <f t="shared" si="45"/>
        <v>0.32114183764495985</v>
      </c>
      <c r="AH40" s="1506">
        <f t="shared" si="45"/>
        <v>0.31421341206242093</v>
      </c>
      <c r="AI40" s="1506">
        <f t="shared" si="45"/>
        <v>0.31800618238021638</v>
      </c>
      <c r="AJ40" s="1506">
        <f t="shared" si="45"/>
        <v>0.33228926608934201</v>
      </c>
      <c r="AK40" s="1506">
        <f t="shared" si="45"/>
        <v>0.35878292641793308</v>
      </c>
      <c r="AL40" s="1506">
        <f t="shared" si="45"/>
        <v>0.36461423785597014</v>
      </c>
      <c r="AM40" s="1451"/>
    </row>
    <row r="41" spans="1:39" ht="13.2" customHeight="1">
      <c r="A41" s="629"/>
      <c r="B41" s="1460" t="s">
        <v>33</v>
      </c>
      <c r="C41" s="1460" t="s">
        <v>227</v>
      </c>
      <c r="D41" s="1501">
        <f>CFS!M36+CFS!M37</f>
        <v>-0.63200000000000001</v>
      </c>
      <c r="E41" s="1501">
        <f>CFS!N36+CFS!N37</f>
        <v>-0.182</v>
      </c>
      <c r="F41" s="1501">
        <f>CFS!O36+CFS!O37</f>
        <v>-0.50800000000000001</v>
      </c>
      <c r="G41" s="1501">
        <f>CFS!P36+CFS!P37</f>
        <v>-0.13400000000000001</v>
      </c>
      <c r="H41" s="1501">
        <f>CFS!Q36+CFS!Q37</f>
        <v>-10.899999999999999</v>
      </c>
      <c r="I41" s="1501">
        <f>CFS!R36+CFS!R37</f>
        <v>-0.8</v>
      </c>
      <c r="J41" s="1501">
        <f>CFS!S36+CFS!S37</f>
        <v>-9.4</v>
      </c>
      <c r="K41" s="1501">
        <f>VLOOKUP($A$59,CFS!$1:$1048576,MATCH(Summary!K$1,CFS!$4:$4,0),FALSE)+VLOOKUP(Summary!$A$60,CFS!$1:$1048576,MATCH(Summary!K$1,CFS!$4:$4,0),FALSE)+VLOOKUP(Summary!$A$61,CFS!$1:$1048576,MATCH(Summary!K$1,CFS!$4:$4,0),FALSE)</f>
        <v>-194.8</v>
      </c>
      <c r="L41" s="1501">
        <f>VLOOKUP($A$59,CFS!$1:$1048576,MATCH(Summary!L$1,CFS!$4:$4,0),FALSE)+VLOOKUP(Summary!$A$60,CFS!$1:$1048576,MATCH(Summary!L$1,CFS!$4:$4,0),FALSE)+VLOOKUP(Summary!$A$61,CFS!$1:$1048576,MATCH(Summary!L$1,CFS!$4:$4,0),FALSE)</f>
        <v>-179.1</v>
      </c>
      <c r="M41" s="1501">
        <f>VLOOKUP($A$59,CFS!$1:$1048576,MATCH(Summary!M$1,CFS!$4:$4,0),FALSE)+VLOOKUP(Summary!$A$60,CFS!$1:$1048576,MATCH(Summary!M$1,CFS!$4:$4,0),FALSE)+VLOOKUP(Summary!$A$61,CFS!$1:$1048576,MATCH(Summary!M$1,CFS!$4:$4,0),FALSE)</f>
        <v>-456.4</v>
      </c>
      <c r="N41" s="1501">
        <f>VLOOKUP($A$59,CFS!$1:$1048576,MATCH(Summary!N$1,CFS!$4:$4,0),FALSE)+VLOOKUP(Summary!$A$60,CFS!$1:$1048576,MATCH(Summary!N$1,CFS!$4:$4,0),FALSE)+VLOOKUP(Summary!$A$61,CFS!$1:$1048576,MATCH(Summary!N$1,CFS!$4:$4,0),FALSE)</f>
        <v>-200.4</v>
      </c>
      <c r="O41" s="1501">
        <f>VLOOKUP($A$59,CFS!$1:$1048576,MATCH(Summary!O$1,CFS!$4:$4,0),FALSE)+VLOOKUP(Summary!$A$60,CFS!$1:$1048576,MATCH(Summary!O$1,CFS!$4:$4,0),FALSE)+VLOOKUP(Summary!$A$61,CFS!$1:$1048576,MATCH(Summary!O$1,CFS!$4:$4,0),FALSE)</f>
        <v>-204.6</v>
      </c>
      <c r="P41" s="1501">
        <f>VLOOKUP($A$59,CFS!$1:$1048576,MATCH(Summary!P$1,CFS!$4:$4,0),FALSE)+VLOOKUP(Summary!$A$60,CFS!$1:$1048576,MATCH(Summary!P$1,CFS!$4:$4,0),FALSE)+VLOOKUP(Summary!$A$61,CFS!$1:$1048576,MATCH(Summary!P$1,CFS!$4:$4,0),FALSE)</f>
        <v>-220.1</v>
      </c>
      <c r="Q41" s="1501">
        <f>VLOOKUP($A$59,CFS!$1:$1048576,MATCH(Summary!Q$1,CFS!$4:$4,0),FALSE)+VLOOKUP(Summary!$A$60,CFS!$1:$1048576,MATCH(Summary!Q$1,CFS!$4:$4,0),FALSE)+VLOOKUP(Summary!$A$61,CFS!$1:$1048576,MATCH(Summary!Q$1,CFS!$4:$4,0),FALSE)</f>
        <v>-232.07599999999999</v>
      </c>
      <c r="R41" s="1501">
        <f>VLOOKUP($A$59,CFS!$1:$1048576,MATCH(Summary!R$1,CFS!$4:$4,0),FALSE)+VLOOKUP(Summary!$A$60,CFS!$1:$1048576,MATCH(Summary!R$1,CFS!$4:$4,0),FALSE)+VLOOKUP(Summary!$A$61,CFS!$1:$1048576,MATCH(Summary!R$1,CFS!$4:$4,0),FALSE)</f>
        <v>-211.33127999999999</v>
      </c>
      <c r="S41" s="1501">
        <f>VLOOKUP($A$59,CFS!$1:$1048576,MATCH(Summary!S$1,CFS!$4:$4,0),FALSE)+VLOOKUP(Summary!$A$60,CFS!$1:$1048576,MATCH(Summary!S$1,CFS!$4:$4,0),FALSE)+VLOOKUP(Summary!$A$61,CFS!$1:$1048576,MATCH(Summary!S$1,CFS!$4:$4,0),FALSE)</f>
        <v>-217.67121839999999</v>
      </c>
      <c r="T41" s="1459"/>
      <c r="U41" s="1460" t="s">
        <v>16</v>
      </c>
      <c r="V41" s="1460" t="s">
        <v>754</v>
      </c>
      <c r="W41" s="1504">
        <f t="shared" ref="W41:AL41" si="46">-D36/D8</f>
        <v>1.0671926006528836E-2</v>
      </c>
      <c r="X41" s="1504">
        <f t="shared" si="46"/>
        <v>1.0308932121046853E-2</v>
      </c>
      <c r="Y41" s="1504">
        <f t="shared" si="46"/>
        <v>1.1627715944860761E-2</v>
      </c>
      <c r="Z41" s="1504">
        <f t="shared" si="46"/>
        <v>1.3236423518011404E-2</v>
      </c>
      <c r="AA41" s="1504">
        <f t="shared" si="46"/>
        <v>8.724235963041933E-3</v>
      </c>
      <c r="AB41" s="1504">
        <f t="shared" si="46"/>
        <v>7.9366237252527609E-3</v>
      </c>
      <c r="AC41" s="1504">
        <f t="shared" si="46"/>
        <v>8.3576452017532742E-3</v>
      </c>
      <c r="AD41" s="1504">
        <f t="shared" si="46"/>
        <v>5.442675119019056E-3</v>
      </c>
      <c r="AE41" s="1504">
        <f t="shared" si="46"/>
        <v>6.4714393064232122E-3</v>
      </c>
      <c r="AF41" s="1504">
        <f t="shared" si="46"/>
        <v>6.2391681109185441E-3</v>
      </c>
      <c r="AG41" s="1504">
        <f t="shared" si="46"/>
        <v>7.4794315632011974E-3</v>
      </c>
      <c r="AH41" s="1504">
        <f t="shared" si="46"/>
        <v>7.7665651974479803E-3</v>
      </c>
      <c r="AI41" s="1504">
        <f t="shared" si="46"/>
        <v>7.7974002349641856E-3</v>
      </c>
      <c r="AJ41" s="1504">
        <f t="shared" si="46"/>
        <v>8.0000000000000002E-3</v>
      </c>
      <c r="AK41" s="1504">
        <f t="shared" si="46"/>
        <v>8.5000000000000006E-3</v>
      </c>
      <c r="AL41" s="1504">
        <f t="shared" si="46"/>
        <v>8.5000000000000006E-3</v>
      </c>
      <c r="AM41" s="1451"/>
    </row>
    <row r="42" spans="1:39" ht="13.2" customHeight="1">
      <c r="A42" s="629" t="s">
        <v>430</v>
      </c>
      <c r="B42" s="1460" t="s">
        <v>34</v>
      </c>
      <c r="C42" s="1460" t="s">
        <v>227</v>
      </c>
      <c r="D42" s="1501">
        <f>VLOOKUP($A$42,CFS!1:1048576,MATCH(1:1,CFS!4:4,FALSE),FALSE)</f>
        <v>-26.21</v>
      </c>
      <c r="E42" s="1501">
        <f>VLOOKUP($A$42,CFS!1:1048576,MATCH(1:1,CFS!4:4,FALSE),FALSE)</f>
        <v>54.063000000000002</v>
      </c>
      <c r="F42" s="1501">
        <f>VLOOKUP($A$42,CFS!1:1048576,MATCH(1:1,CFS!4:4,FALSE),FALSE)</f>
        <v>-40.113</v>
      </c>
      <c r="G42" s="1501">
        <f>VLOOKUP($A$42,CFS!1:1048576,MATCH(1:1,CFS!4:4,FALSE),FALSE)</f>
        <v>-30</v>
      </c>
      <c r="H42" s="1501">
        <f>VLOOKUP($A$42,CFS!1:1048576,MATCH(1:1,CFS!4:4,FALSE),FALSE)</f>
        <v>450</v>
      </c>
      <c r="I42" s="1501">
        <f>VLOOKUP($A$42,CFS!1:1048576,MATCH(1:1,CFS!4:4,FALSE),FALSE)</f>
        <v>-89.7</v>
      </c>
      <c r="J42" s="1501">
        <f>VLOOKUP($A$42,CFS!1:1048576,MATCH(1:1,CFS!4:4,FALSE),FALSE)</f>
        <v>-30.5</v>
      </c>
      <c r="K42" s="1501">
        <f>VLOOKUP($A$42,CFS!1:1048576,MATCH(1:1,CFS!4:4,FALSE),FALSE)</f>
        <v>-440</v>
      </c>
      <c r="L42" s="1501">
        <f>VLOOKUP($A$42,CFS!1:1048576,MATCH(1:1,CFS!4:4,FALSE),FALSE)</f>
        <v>0</v>
      </c>
      <c r="M42" s="1501">
        <f>VLOOKUP($A$42,CFS!1:1048576,MATCH(1:1,CFS!4:4,FALSE),FALSE)</f>
        <v>59.4</v>
      </c>
      <c r="N42" s="1501">
        <f>VLOOKUP($A$42,CFS!1:1048576,MATCH(1:1,CFS!4:4,FALSE),FALSE)</f>
        <v>-10</v>
      </c>
      <c r="O42" s="1501">
        <f>VLOOKUP($A$42,CFS!1:1048576,MATCH(1:1,CFS!4:4,FALSE),FALSE)</f>
        <v>-34.799999999999997</v>
      </c>
      <c r="P42" s="1501">
        <f>VLOOKUP($A$42,CFS!1:1048576,MATCH(1:1,CFS!4:4,FALSE),FALSE)</f>
        <v>-16.399999999999999</v>
      </c>
      <c r="Q42" s="1501">
        <f>VLOOKUP($A$42,CFS!1:1048576,MATCH(1:1,CFS!4:4,FALSE),FALSE)</f>
        <v>0</v>
      </c>
      <c r="R42" s="1501">
        <f>VLOOKUP($A$42,CFS!1:1048576,MATCH(1:1,CFS!4:4,FALSE),FALSE)</f>
        <v>0</v>
      </c>
      <c r="S42" s="1501">
        <f>VLOOKUP($A$42,CFS!1:1048576,MATCH(1:1,CFS!4:4,FALSE),FALSE)</f>
        <v>0</v>
      </c>
      <c r="T42" s="1459"/>
      <c r="U42" s="1460" t="s">
        <v>237</v>
      </c>
      <c r="V42" s="1460" t="s">
        <v>754</v>
      </c>
      <c r="W42" s="1504">
        <f t="shared" ref="W42:AL42" si="47">-D13/D8</f>
        <v>1.0044734614919597E-2</v>
      </c>
      <c r="X42" s="1504">
        <f t="shared" si="47"/>
        <v>1.0198706862527E-2</v>
      </c>
      <c r="Y42" s="1504">
        <f t="shared" si="47"/>
        <v>1.0712635016877794E-2</v>
      </c>
      <c r="Z42" s="1504">
        <f t="shared" si="47"/>
        <v>1.0342986804542813E-2</v>
      </c>
      <c r="AA42" s="1504">
        <f t="shared" si="47"/>
        <v>9.5771144278606977E-3</v>
      </c>
      <c r="AB42" s="1504">
        <f t="shared" si="47"/>
        <v>8.9141123090614657E-3</v>
      </c>
      <c r="AC42" s="1504">
        <f t="shared" si="47"/>
        <v>7.9207362620326138E-3</v>
      </c>
      <c r="AD42" s="1504">
        <f t="shared" si="47"/>
        <v>2.8956041874502774E-2</v>
      </c>
      <c r="AE42" s="1504">
        <f t="shared" si="47"/>
        <v>2.4506230302486512E-2</v>
      </c>
      <c r="AF42" s="1504">
        <f t="shared" si="47"/>
        <v>2.3754332755632584E-2</v>
      </c>
      <c r="AG42" s="1504">
        <f t="shared" si="47"/>
        <v>2.3290118839857061E-2</v>
      </c>
      <c r="AH42" s="1504">
        <f t="shared" si="47"/>
        <v>2.4717484675367999E-2</v>
      </c>
      <c r="AI42" s="1504">
        <f t="shared" si="47"/>
        <v>2.4519649827566603E-2</v>
      </c>
      <c r="AJ42" s="1504">
        <f t="shared" si="47"/>
        <v>2.407540903788645E-2</v>
      </c>
      <c r="AK42" s="1504">
        <f t="shared" si="47"/>
        <v>2.3691205389463441E-2</v>
      </c>
      <c r="AL42" s="1504">
        <f t="shared" si="47"/>
        <v>2.3312309606948668E-2</v>
      </c>
      <c r="AM42" s="1451"/>
    </row>
    <row r="43" spans="1:39" ht="13.2" customHeight="1">
      <c r="A43" s="629"/>
      <c r="B43" s="1469" t="s">
        <v>844</v>
      </c>
      <c r="C43" s="1469"/>
      <c r="D43" s="1470" t="str">
        <f>W49</f>
        <v>2013a</v>
      </c>
      <c r="E43" s="1470" t="str">
        <f>X49</f>
        <v>2014a</v>
      </c>
      <c r="F43" s="1470" t="str">
        <f>Y49</f>
        <v>2015a</v>
      </c>
      <c r="G43" s="1470" t="str">
        <f t="shared" ref="G43:L43" si="48">G27</f>
        <v>2016a</v>
      </c>
      <c r="H43" s="1470" t="str">
        <f t="shared" si="48"/>
        <v>2017a</v>
      </c>
      <c r="I43" s="1470" t="str">
        <f t="shared" si="48"/>
        <v>2018a</v>
      </c>
      <c r="J43" s="1470" t="str">
        <f t="shared" si="48"/>
        <v>2019a</v>
      </c>
      <c r="K43" s="1470" t="str">
        <f t="shared" si="48"/>
        <v>2020a</v>
      </c>
      <c r="L43" s="1470" t="str">
        <f t="shared" si="48"/>
        <v>2021a</v>
      </c>
      <c r="M43" s="1470" t="str">
        <f>M27</f>
        <v>2022a</v>
      </c>
      <c r="N43" s="1470" t="str">
        <f>N27</f>
        <v>2023a</v>
      </c>
      <c r="O43" s="1470" t="str">
        <f>O27</f>
        <v>2024a</v>
      </c>
      <c r="P43" s="1470" t="str">
        <f>P27</f>
        <v>2025a</v>
      </c>
      <c r="Q43" s="1470" t="s">
        <v>927</v>
      </c>
      <c r="R43" s="1470" t="str">
        <f>+R27</f>
        <v>2027e</v>
      </c>
      <c r="S43" s="1470" t="str">
        <f>+S27</f>
        <v>2028e</v>
      </c>
      <c r="T43" s="1459"/>
      <c r="U43" s="1508" t="s">
        <v>574</v>
      </c>
      <c r="V43" s="1508" t="s">
        <v>878</v>
      </c>
      <c r="W43" s="1504">
        <f t="shared" ref="W43:AK43" si="49">W19/W18</f>
        <v>0.23408329737615316</v>
      </c>
      <c r="X43" s="1504">
        <f t="shared" si="49"/>
        <v>0.46229716291114703</v>
      </c>
      <c r="Y43" s="1504">
        <f t="shared" si="49"/>
        <v>0.26298551003118104</v>
      </c>
      <c r="Z43" s="1504">
        <f t="shared" si="49"/>
        <v>0.14294962713305098</v>
      </c>
      <c r="AA43" s="1504">
        <f t="shared" si="49"/>
        <v>0.56942003514938455</v>
      </c>
      <c r="AB43" s="1504">
        <f t="shared" si="49"/>
        <v>0.41937526382439849</v>
      </c>
      <c r="AC43" s="1504">
        <f t="shared" si="49"/>
        <v>0.30638827698496324</v>
      </c>
      <c r="AD43" s="1504">
        <f t="shared" si="49"/>
        <v>-0.22745771909197793</v>
      </c>
      <c r="AE43" s="1504">
        <f t="shared" si="49"/>
        <v>-0.20116172424335063</v>
      </c>
      <c r="AF43" s="1504">
        <f t="shared" si="49"/>
        <v>-5.170663125829885E-2</v>
      </c>
      <c r="AG43" s="1504">
        <f t="shared" si="49"/>
        <v>-8.9814032121724452E-2</v>
      </c>
      <c r="AH43" s="1504">
        <f t="shared" si="49"/>
        <v>-0.19415047142582254</v>
      </c>
      <c r="AI43" s="1504">
        <f t="shared" si="49"/>
        <v>-0.1757310476906852</v>
      </c>
      <c r="AJ43" s="1504">
        <f t="shared" si="49"/>
        <v>-0.16873873196892847</v>
      </c>
      <c r="AK43" s="1504">
        <f t="shared" si="49"/>
        <v>-0.19002153216184026</v>
      </c>
      <c r="AL43" s="1504">
        <f t="shared" ref="AL43" si="50">AL19/AL18</f>
        <v>-0.21091746253535459</v>
      </c>
      <c r="AM43" s="1451"/>
    </row>
    <row r="44" spans="1:39" ht="13.2" customHeight="1">
      <c r="A44" s="629" t="s">
        <v>864</v>
      </c>
      <c r="B44" s="1451" t="s">
        <v>845</v>
      </c>
      <c r="C44" s="1451" t="s">
        <v>754</v>
      </c>
      <c r="D44" s="1509"/>
      <c r="E44" s="1509"/>
      <c r="F44" s="1509"/>
      <c r="G44" s="1509"/>
      <c r="H44" s="1509"/>
      <c r="I44" s="1509">
        <f>Drivers!U73</f>
        <v>6.2E-2</v>
      </c>
      <c r="J44" s="1509">
        <f>VLOOKUP($A44,Drivers!$1:$1048576,MATCH(Summary!J$1,Drivers!$2:$2,0),FALSE)</f>
        <v>2.8000000000000001E-2</v>
      </c>
      <c r="K44" s="1509">
        <f>VLOOKUP($A44,Drivers!$1:$1048576,MATCH(Summary!K$1,Drivers!$2:$2,0),FALSE)</f>
        <v>0.122</v>
      </c>
      <c r="L44" s="1509">
        <f>VLOOKUP($A44,Drivers!$1:$1048576,MATCH(Summary!L$1,Drivers!$2:$2,0),FALSE)</f>
        <v>0.12</v>
      </c>
      <c r="M44" s="1509">
        <f>VLOOKUP($A44,Drivers!$1:$1048576,MATCH(Summary!M$1,Drivers!$2:$2,0),FALSE)</f>
        <v>3.4000000000000002E-2</v>
      </c>
      <c r="N44" s="1509">
        <f>VLOOKUP($A44,Drivers!$1:$1048576,MATCH(Summary!N$1,Drivers!$2:$2,0),FALSE)</f>
        <v>4.8000000000000001E-2</v>
      </c>
      <c r="O44" s="1509">
        <f>VLOOKUP($A44,Drivers!$1:$1048576,MATCH(Summary!O$1,Drivers!$2:$2,0),FALSE)</f>
        <v>6.0000000000000001E-3</v>
      </c>
      <c r="P44" s="1509">
        <f>VLOOKUP($A44,Drivers!$1:$1048576,MATCH(Summary!P$1,Drivers!$2:$2,0),FALSE)</f>
        <v>7.1999999999999995E-2</v>
      </c>
      <c r="Q44" s="1509">
        <f>VLOOKUP($A44,Drivers!$1:$1048576,MATCH(Summary!Q$1,Drivers!$2:$2,0),FALSE)</f>
        <v>3.7499999999999999E-2</v>
      </c>
      <c r="R44" s="1509">
        <f>VLOOKUP($A44,Drivers!$1:$1048576,MATCH(Summary!R$1,Drivers!$2:$2,0),FALSE)</f>
        <v>0.04</v>
      </c>
      <c r="S44" s="1509">
        <f>VLOOKUP($A44,Drivers!$1:$1048576,MATCH(Summary!S$1,Drivers!$2:$2,0),FALSE)</f>
        <v>0.04</v>
      </c>
      <c r="T44" s="1459"/>
      <c r="U44" s="1508" t="s">
        <v>575</v>
      </c>
      <c r="V44" s="1508" t="s">
        <v>878</v>
      </c>
      <c r="W44" s="1504">
        <f t="shared" ref="W44:AK44" si="51">W19/(W18+W19)</f>
        <v>0.18968192655540309</v>
      </c>
      <c r="X44" s="1504">
        <f t="shared" si="51"/>
        <v>0.31614447093011111</v>
      </c>
      <c r="Y44" s="1504">
        <f t="shared" si="51"/>
        <v>0.20822527886696685</v>
      </c>
      <c r="Z44" s="1504">
        <f t="shared" si="51"/>
        <v>0.12507080254413541</v>
      </c>
      <c r="AA44" s="1504">
        <f t="shared" si="51"/>
        <v>0.36282194848824173</v>
      </c>
      <c r="AB44" s="1504">
        <f t="shared" si="51"/>
        <v>0.29546468401486986</v>
      </c>
      <c r="AC44" s="1504">
        <f t="shared" si="51"/>
        <v>0.23453079178885636</v>
      </c>
      <c r="AD44" s="1504">
        <f t="shared" si="51"/>
        <v>-0.29442753453523762</v>
      </c>
      <c r="AE44" s="1504">
        <f t="shared" si="51"/>
        <v>-0.2518178339073861</v>
      </c>
      <c r="AF44" s="1504">
        <f t="shared" si="51"/>
        <v>-5.4525986327320662E-2</v>
      </c>
      <c r="AG44" s="1504">
        <f t="shared" si="51"/>
        <v>-9.8676573020664057E-2</v>
      </c>
      <c r="AH44" s="1504">
        <f t="shared" si="51"/>
        <v>-0.2409264565425023</v>
      </c>
      <c r="AI44" s="1504">
        <f t="shared" si="51"/>
        <v>-0.21319624765478301</v>
      </c>
      <c r="AJ44" s="1504">
        <f t="shared" si="51"/>
        <v>-0.202991211618224</v>
      </c>
      <c r="AK44" s="1504">
        <f t="shared" si="51"/>
        <v>-0.23460072052163256</v>
      </c>
      <c r="AL44" s="1504">
        <f t="shared" ref="AL44" si="52">AL19/(AL18+AL19)</f>
        <v>-0.26729455097693722</v>
      </c>
      <c r="AM44" s="1451"/>
    </row>
    <row r="45" spans="1:39" ht="13.2" customHeight="1">
      <c r="A45" s="629" t="s">
        <v>815</v>
      </c>
      <c r="B45" s="1451" t="s">
        <v>791</v>
      </c>
      <c r="C45" s="1451" t="s">
        <v>754</v>
      </c>
      <c r="D45" s="1510">
        <f>Drivers!P253</f>
        <v>0.21730205866817459</v>
      </c>
      <c r="E45" s="1510">
        <f>Drivers!Q253</f>
        <v>0.21913583621230018</v>
      </c>
      <c r="F45" s="1510">
        <f>Drivers!R253</f>
        <v>0.22065870065416365</v>
      </c>
      <c r="G45" s="1510">
        <f>Drivers!S253</f>
        <v>0.22084004794405881</v>
      </c>
      <c r="H45" s="1510">
        <f>Drivers!T253</f>
        <v>0.22243648459721349</v>
      </c>
      <c r="I45" s="1510">
        <f>Drivers!U253</f>
        <v>0.22171068572813182</v>
      </c>
      <c r="J45" s="1108">
        <f>VLOOKUP($A45,Drivers!$1:$1048576,MATCH(Summary!J$1,Drivers!$2:$2,0),FALSE)</f>
        <v>0.22137113838341094</v>
      </c>
      <c r="K45" s="1108">
        <f>VLOOKUP($A45,Drivers!$1:$1048576,MATCH(Summary!K$1,Drivers!$2:$2,0),FALSE)</f>
        <v>0.21978228581097597</v>
      </c>
      <c r="L45" s="1108">
        <f>VLOOKUP($A45,Drivers!$1:$1048576,MATCH(Summary!L$1,Drivers!$2:$2,0),FALSE)</f>
        <v>0.22246843943056674</v>
      </c>
      <c r="M45" s="1108">
        <f>VLOOKUP($A45,Drivers!$1:$1048576,MATCH(Summary!M$1,Drivers!$2:$2,0),FALSE)</f>
        <v>0.22394900346970065</v>
      </c>
      <c r="N45" s="1108">
        <f>VLOOKUP($A45,Drivers!$1:$1048576,MATCH(Summary!N$1,Drivers!$2:$2,0),FALSE)</f>
        <v>0.2263026840408793</v>
      </c>
      <c r="O45" s="1108">
        <f>VLOOKUP($A45,Drivers!$1:$1048576,MATCH(Summary!O$1,Drivers!$2:$2,0),FALSE)</f>
        <v>0.22206084812175678</v>
      </c>
      <c r="P45" s="1108">
        <f>VLOOKUP($A45,Drivers!$1:$1048576,MATCH(Summary!P$1,Drivers!$2:$2,0),FALSE)</f>
        <v>0.21994312422570109</v>
      </c>
      <c r="Q45" s="1108">
        <f>VLOOKUP($A45,Drivers!$1:$1048576,MATCH(Summary!Q$1,Drivers!$2:$2,0),FALSE)</f>
        <v>0.22044312422570109</v>
      </c>
      <c r="R45" s="1108">
        <f>VLOOKUP($A45,Drivers!$1:$1048576,MATCH(Summary!R$1,Drivers!$2:$2,0),FALSE)</f>
        <v>0.21794312422570108</v>
      </c>
      <c r="S45" s="1108">
        <f>VLOOKUP($A45,Drivers!$1:$1048576,MATCH(Summary!S$1,Drivers!$2:$2,0),FALSE)</f>
        <v>0.21794312422570108</v>
      </c>
      <c r="T45" s="1459"/>
      <c r="U45" s="1508" t="s">
        <v>247</v>
      </c>
      <c r="V45" s="1508" t="s">
        <v>227</v>
      </c>
      <c r="W45" s="1506">
        <f>+(W12-W16-W10)/'P&amp;L'!AG103</f>
        <v>1.6099665168471549</v>
      </c>
      <c r="X45" s="1506">
        <f>+(X12-X16-X10)/'P&amp;L'!AJ103</f>
        <v>2.0701159537766531</v>
      </c>
      <c r="Y45" s="1506">
        <f>+(Y12-Y16-Y10)/'P&amp;L'!AM103</f>
        <v>2.5884222837550097</v>
      </c>
      <c r="Z45" s="1506">
        <f>+(Z12-Z16-Z10)/'P&amp;L'!AP103</f>
        <v>3.1899397223027472</v>
      </c>
      <c r="AA45" s="1506">
        <f>+(AA12-AA16-AA10)/'P&amp;L'!AS103</f>
        <v>-1.5359361135758602</v>
      </c>
      <c r="AB45" s="1506">
        <f>+(AB12-AB16-AB10)/'P&amp;L'!AV103</f>
        <v>-0.7739430543572049</v>
      </c>
      <c r="AC45" s="1506">
        <f>+(AC12-AC16-AC10)/'P&amp;L'!AY103</f>
        <v>5.8570198105079477E-2</v>
      </c>
      <c r="AD45" s="1506">
        <f>+(AD12-AD16-AD10)/'P&amp;L'!BB103</f>
        <v>0.64051724137930999</v>
      </c>
      <c r="AE45" s="1506">
        <f>+(AE12-AE16-AE10)/'P&amp;L'!BE103</f>
        <v>2.3961937716262978</v>
      </c>
      <c r="AF45" s="1506">
        <f>+(AF12-AF16-AF10)/VLOOKUP($AM45,'P&amp;L'!$1:$1048576,MATCH(Summary!AF$1,'P&amp;L'!$4:$4,0),FALSE)</f>
        <v>2.1795096322241627</v>
      </c>
      <c r="AG45" s="1506">
        <f>+(AG12-AG16-AG10)/VLOOKUP($AM45,'P&amp;L'!$1:$1048576,MATCH(Summary!AG$1,'P&amp;L'!$4:$4,0),FALSE)</f>
        <v>3.5355191256830585</v>
      </c>
      <c r="AH45" s="1506">
        <f>+(AH12-AH16-AH10)/VLOOKUP($AM45,'P&amp;L'!$1:$1048576,MATCH(Summary!AH$1,'P&amp;L'!$4:$4,0),FALSE)</f>
        <v>4.8191780821917831</v>
      </c>
      <c r="AI45" s="1506">
        <f>+(AI12-AI16-AI10)/VLOOKUP($AM45,'P&amp;L'!$1:$1048576,MATCH(Summary!AI$1,'P&amp;L'!$4:$4,0),FALSE)</f>
        <v>4.9323974475843091</v>
      </c>
      <c r="AJ45" s="1506">
        <f>+(AJ12-AJ16-AJ10)/VLOOKUP($AM45,'P&amp;L'!$1:$1048576,MATCH(Summary!AJ$1,'P&amp;L'!$4:$4,0),FALSE)</f>
        <v>5.2577480992895778</v>
      </c>
      <c r="AK45" s="1506">
        <f>+(AK12-AK16-AK10)/VLOOKUP($AM45,'P&amp;L'!$1:$1048576,MATCH(Summary!AK$1,'P&amp;L'!$4:$4,0),FALSE)</f>
        <v>6.3567749060918555</v>
      </c>
      <c r="AL45" s="1506">
        <f>+(AL12-AL16-AL10)/VLOOKUP($AM45,'P&amp;L'!$1:$1048576,MATCH(Summary!AL$1,'P&amp;L'!$4:$4,0),FALSE)</f>
        <v>7.5465167374421922</v>
      </c>
      <c r="AM45" s="1451" t="s">
        <v>767</v>
      </c>
    </row>
    <row r="46" spans="1:39" ht="13.2" customHeight="1">
      <c r="A46" s="629" t="s">
        <v>817</v>
      </c>
      <c r="B46" s="1451" t="s">
        <v>792</v>
      </c>
      <c r="C46" s="1451" t="s">
        <v>754</v>
      </c>
      <c r="D46" s="1510">
        <f>Drivers!P271</f>
        <v>5.598957213998778E-2</v>
      </c>
      <c r="E46" s="1510">
        <f>Drivers!Q271</f>
        <v>5.719061432534997E-2</v>
      </c>
      <c r="F46" s="1510">
        <f>Drivers!R271</f>
        <v>5.7710091619946204E-2</v>
      </c>
      <c r="G46" s="1510">
        <f>Drivers!S271</f>
        <v>5.8917867719539024E-2</v>
      </c>
      <c r="H46" s="1510">
        <f>Drivers!T271</f>
        <v>6.3250253097430445E-2</v>
      </c>
      <c r="I46" s="1510">
        <f>Drivers!U271</f>
        <v>6.4387514593475345E-2</v>
      </c>
      <c r="J46" s="1108">
        <f>VLOOKUP($A46,Drivers!$1:$1048576,MATCH(Summary!J$1,Drivers!$2:$2,0),FALSE)</f>
        <v>6.383834109183241E-2</v>
      </c>
      <c r="K46" s="1108">
        <f>VLOOKUP($A46,Drivers!$1:$1048576,MATCH(Summary!K$1,Drivers!$2:$2,0),FALSE)</f>
        <v>7.3624245614694772E-2</v>
      </c>
      <c r="L46" s="1108">
        <f>VLOOKUP($A46,Drivers!$1:$1048576,MATCH(Summary!L$1,Drivers!$2:$2,0),FALSE)</f>
        <v>8.7798818157399941E-2</v>
      </c>
      <c r="M46" s="1108">
        <f>VLOOKUP($A46,Drivers!$1:$1048576,MATCH(Summary!M$1,Drivers!$2:$2,0),FALSE)</f>
        <v>8.7936738481400781E-2</v>
      </c>
      <c r="N46" s="1108">
        <f>VLOOKUP($A46,Drivers!$1:$1048576,MATCH(Summary!N$1,Drivers!$2:$2,0),FALSE)</f>
        <v>8.4309741678251171E-2</v>
      </c>
      <c r="O46" s="1108">
        <f>VLOOKUP($A46,Drivers!$1:$1048576,MATCH(Summary!O$1,Drivers!$2:$2,0),FALSE)</f>
        <v>7.4312773264345905E-2</v>
      </c>
      <c r="P46" s="1108">
        <f>VLOOKUP($A46,Drivers!$1:$1048576,MATCH(Summary!P$1,Drivers!$2:$2,0),FALSE)</f>
        <v>7.4656492848293718E-2</v>
      </c>
      <c r="Q46" s="1108">
        <f>VLOOKUP($A46,Drivers!$1:$1048576,MATCH(Summary!Q$1,Drivers!$2:$2,0),FALSE)</f>
        <v>7.5489621622528938E-2</v>
      </c>
      <c r="R46" s="1108">
        <f>VLOOKUP($A46,Drivers!$1:$1048576,MATCH(Summary!R$1,Drivers!$2:$2,0),FALSE)</f>
        <v>7.3354097172863245E-2</v>
      </c>
      <c r="S46" s="1108">
        <f>VLOOKUP($A46,Drivers!$1:$1048576,MATCH(Summary!S$1,Drivers!$2:$2,0),FALSE)</f>
        <v>7.3708034801542394E-2</v>
      </c>
      <c r="T46" s="1459"/>
      <c r="U46" s="1508" t="s">
        <v>576</v>
      </c>
      <c r="V46" s="1508" t="s">
        <v>227</v>
      </c>
      <c r="W46" s="1506">
        <f t="shared" ref="W46:AI46" si="53">+$N$4/W45</f>
        <v>54.721634939668704</v>
      </c>
      <c r="X46" s="1506">
        <f t="shared" si="53"/>
        <v>42.558002530859774</v>
      </c>
      <c r="Y46" s="1506">
        <f t="shared" si="53"/>
        <v>34.036177386092433</v>
      </c>
      <c r="Z46" s="1506">
        <f t="shared" si="53"/>
        <v>27.618076725413026</v>
      </c>
      <c r="AA46" s="1506">
        <f t="shared" si="53"/>
        <v>-57.359156556903706</v>
      </c>
      <c r="AB46" s="1506">
        <f t="shared" si="53"/>
        <v>-113.8326644370122</v>
      </c>
      <c r="AC46" s="1507">
        <f t="shared" si="53"/>
        <v>1504.1779411765308</v>
      </c>
      <c r="AD46" s="1506">
        <f t="shared" si="53"/>
        <v>137.54508748317639</v>
      </c>
      <c r="AE46" s="1506">
        <f t="shared" si="53"/>
        <v>36.766642599277972</v>
      </c>
      <c r="AF46" s="1506">
        <f t="shared" si="53"/>
        <v>40.421936520691141</v>
      </c>
      <c r="AG46" s="1506">
        <f t="shared" si="53"/>
        <v>24.91854714064916</v>
      </c>
      <c r="AH46" s="1506">
        <f t="shared" si="53"/>
        <v>18.281125639567925</v>
      </c>
      <c r="AI46" s="1506">
        <f t="shared" si="53"/>
        <v>17.861496551367296</v>
      </c>
      <c r="AJ46" s="1506">
        <f t="shared" ref="AJ46:AK46" si="54">+$N$4/AJ45</f>
        <v>16.756223070463186</v>
      </c>
      <c r="AK46" s="1506">
        <f t="shared" si="54"/>
        <v>13.85922913765148</v>
      </c>
      <c r="AL46" s="1506">
        <f t="shared" ref="AL46" si="55">+$N$4/AL45</f>
        <v>11.67426020045647</v>
      </c>
      <c r="AM46" s="1451"/>
    </row>
    <row r="47" spans="1:39" ht="13.2" customHeight="1">
      <c r="A47" s="629" t="s">
        <v>950</v>
      </c>
      <c r="B47" s="1451" t="s">
        <v>554</v>
      </c>
      <c r="C47" s="1451" t="s">
        <v>754</v>
      </c>
      <c r="D47" s="1509">
        <f>Drivers!P169</f>
        <v>7.8200147717571777E-2</v>
      </c>
      <c r="E47" s="1509">
        <f>Drivers!Q202</f>
        <v>6.5345436800963164E-2</v>
      </c>
      <c r="F47" s="1509">
        <f>Drivers!R202</f>
        <v>8.0693907360992245E-2</v>
      </c>
      <c r="G47" s="1509">
        <f>Drivers!S202</f>
        <v>9.208277576017676E-2</v>
      </c>
      <c r="H47" s="1509">
        <f>Drivers!T202</f>
        <v>8.3292688202860399E-2</v>
      </c>
      <c r="I47" s="1509">
        <f>Drivers!U202</f>
        <v>6.1882784735515894E-2</v>
      </c>
      <c r="J47" s="1509">
        <f>VLOOKUP($A47,Drivers!$1:$1048576,MATCH(Summary!J$1,Drivers!$2:$2,0),FALSE)</f>
        <v>2.8055208462133274E-2</v>
      </c>
      <c r="K47" s="1509">
        <f>VLOOKUP($A47,Drivers!$1:$1048576,MATCH(Summary!K$1,Drivers!$2:$2,0),FALSE)</f>
        <v>8.6700370441703534E-3</v>
      </c>
      <c r="L47" s="1509">
        <f>VLOOKUP($A47,Drivers!$1:$1048576,MATCH(Summary!L$1,Drivers!$2:$2,0),FALSE)</f>
        <v>2.4008894049729612E-3</v>
      </c>
      <c r="M47" s="1509">
        <f>VLOOKUP($A47,Drivers!$1:$1048576,MATCH(Summary!M$1,Drivers!$2:$2,0),FALSE)</f>
        <v>4.7902778825308356E-3</v>
      </c>
      <c r="N47" s="1509">
        <f>VLOOKUP($A47,Drivers!$1:$1048576,MATCH(Summary!N$1,Drivers!$2:$2,0),FALSE)</f>
        <v>1.1918601294157227E-2</v>
      </c>
      <c r="O47" s="1509">
        <f>VLOOKUP($A47,Drivers!$1:$1048576,MATCH(Summary!O$1,Drivers!$2:$2,0),FALSE)</f>
        <v>2.4024338170471671E-2</v>
      </c>
      <c r="P47" s="1509">
        <f>VLOOKUP($A47,Drivers!$1:$1048576,MATCH(Summary!P$1,Drivers!$2:$2,0),FALSE)</f>
        <v>2.6586699777763068E-2</v>
      </c>
      <c r="Q47" s="1509">
        <f>VLOOKUP($A47,Drivers!$1:$1048576,MATCH(Summary!Q$1,Drivers!$2:$2,0),FALSE)</f>
        <v>2.0253173717915907E-2</v>
      </c>
      <c r="R47" s="1509">
        <f>VLOOKUP($A47,Drivers!$1:$1048576,MATCH(Summary!R$1,Drivers!$2:$2,0),FALSE)</f>
        <v>1.4318204992928685E-2</v>
      </c>
      <c r="S47" s="1509">
        <f>VLOOKUP($A47,Drivers!$1:$1048576,MATCH(Summary!S$1,Drivers!$2:$2,0),FALSE)</f>
        <v>7.9671801829286348E-3</v>
      </c>
      <c r="T47" s="1459"/>
      <c r="U47" s="1508" t="s">
        <v>577</v>
      </c>
      <c r="V47" s="1508" t="s">
        <v>227</v>
      </c>
      <c r="W47" s="1506">
        <f>+W18/'P&amp;L'!AG103</f>
        <v>2.4468341829809064</v>
      </c>
      <c r="X47" s="1506">
        <f>+X18/'P&amp;L'!AJ103</f>
        <v>2.9125156928065166</v>
      </c>
      <c r="Y47" s="1506">
        <f>+Y18/'P&amp;L'!AM103</f>
        <v>3.4335195977488322</v>
      </c>
      <c r="Z47" s="1506">
        <f>+Z18/'P&amp;L'!AP103</f>
        <v>4.0455231564321199</v>
      </c>
      <c r="AA47" s="1506">
        <f>+AA18/'P&amp;L'!AS103</f>
        <v>7.573203194321211</v>
      </c>
      <c r="AB47" s="1506">
        <f>+AB18/'P&amp;L'!AV103</f>
        <v>8.1760138050043132</v>
      </c>
      <c r="AC47" s="1506">
        <f>+AC18/'P&amp;L'!AY103</f>
        <v>8.9931093884582225</v>
      </c>
      <c r="AD47" s="1506">
        <f>+AD18/'P&amp;L'!BB103</f>
        <v>9.5318965517241381</v>
      </c>
      <c r="AE47" s="1506">
        <f>+AE18/'P&amp;L'!BE103</f>
        <v>11.318339100346023</v>
      </c>
      <c r="AF47" s="1506">
        <f>+AF18/VLOOKUP($AM47,'P&amp;L'!$1:$1048576,MATCH(Summary!AF$1,'P&amp;L'!$4:$4,0),FALSE)</f>
        <v>11.211033274956213</v>
      </c>
      <c r="AG47" s="1506">
        <f>+AG18/VLOOKUP($AM47,'P&amp;L'!$1:$1048576,MATCH(Summary!AG$1,'P&amp;L'!$4:$4,0),FALSE)</f>
        <v>12.928961748633879</v>
      </c>
      <c r="AH47" s="1506">
        <f>+AH18/VLOOKUP($AM47,'P&amp;L'!$1:$1048576,MATCH(Summary!AH$1,'P&amp;L'!$4:$4,0),FALSE)</f>
        <v>14.238356164383564</v>
      </c>
      <c r="AI47" s="1506">
        <f>+AI18/VLOOKUP($AM47,'P&amp;L'!$1:$1048576,MATCH(Summary!AI$1,'P&amp;L'!$4:$4,0),FALSE)</f>
        <v>14.736408386508648</v>
      </c>
      <c r="AJ47" s="1506">
        <f>+AJ18/VLOOKUP($AM47,'P&amp;L'!$1:$1048576,MATCH(Summary!AJ$1,'P&amp;L'!$4:$4,0),FALSE)</f>
        <v>15.053557923062321</v>
      </c>
      <c r="AK47" s="1506">
        <f>+AK18/VLOOKUP($AM47,'P&amp;L'!$1:$1048576,MATCH(Summary!AK$1,'P&amp;L'!$4:$4,0),FALSE)</f>
        <v>16.147264639945838</v>
      </c>
      <c r="AL47" s="1506">
        <f>+AL18/VLOOKUP($AM47,'P&amp;L'!$1:$1048576,MATCH(Summary!AL$1,'P&amp;L'!$4:$4,0),FALSE)</f>
        <v>17.331526778679855</v>
      </c>
      <c r="AM47" s="1451" t="s">
        <v>767</v>
      </c>
    </row>
    <row r="48" spans="1:39" ht="13.2" customHeight="1">
      <c r="A48" s="629" t="s">
        <v>666</v>
      </c>
      <c r="B48" s="1511" t="s">
        <v>644</v>
      </c>
      <c r="C48" s="1511" t="s">
        <v>877</v>
      </c>
      <c r="D48" s="1512">
        <f>+Drivers!P198</f>
        <v>177</v>
      </c>
      <c r="E48" s="1512">
        <f>+Drivers!Q198</f>
        <v>182</v>
      </c>
      <c r="F48" s="1512">
        <f>+Drivers!R198</f>
        <v>187</v>
      </c>
      <c r="G48" s="1512">
        <f>+Drivers!S198</f>
        <v>194</v>
      </c>
      <c r="H48" s="1512">
        <f>+Drivers!T198</f>
        <v>201</v>
      </c>
      <c r="I48" s="1512">
        <f>+Drivers!U198</f>
        <v>208</v>
      </c>
      <c r="J48" s="1513">
        <f>VLOOKUP($A48,Drivers!$1:$1048576,MATCH(Summary!J$1,Drivers!$2:$2,0),FALSE)</f>
        <v>210</v>
      </c>
      <c r="K48" s="1514">
        <f>VLOOKUP($A48,Drivers!$1:$1048576,MATCH(Summary!K$1,Drivers!$2:$2,0),FALSE)</f>
        <v>209</v>
      </c>
      <c r="L48" s="1514">
        <f>VLOOKUP($A48,Drivers!$1:$1048576,MATCH(Summary!L$1,Drivers!$2:$2,0),FALSE)</f>
        <v>209</v>
      </c>
      <c r="M48" s="1514">
        <f>VLOOKUP($A48,Drivers!$1:$1048576,MATCH(Summary!M$1,Drivers!$2:$2,0),FALSE)</f>
        <v>213</v>
      </c>
      <c r="N48" s="1514">
        <f>VLOOKUP($A48,Drivers!$1:$1048576,MATCH(Summary!N$1,Drivers!$2:$2,0),FALSE)</f>
        <v>216</v>
      </c>
      <c r="O48" s="1514">
        <f>VLOOKUP($A48,Drivers!$1:$1048576,MATCH(Summary!O$1,Drivers!$2:$2,0),FALSE)</f>
        <v>224</v>
      </c>
      <c r="P48" s="1514">
        <f>VLOOKUP($A48,Drivers!$1:$1048576,MATCH(Summary!P$1,Drivers!$2:$2,0),FALSE)</f>
        <v>229</v>
      </c>
      <c r="Q48" s="1514">
        <f>VLOOKUP($A48,Drivers!$1:$1048576,MATCH(Summary!Q$1,Drivers!$2:$2,0),FALSE)</f>
        <v>234</v>
      </c>
      <c r="R48" s="1514">
        <f>VLOOKUP($A48,Drivers!$1:$1048576,MATCH(Summary!R$1,Drivers!$2:$2,0),FALSE)</f>
        <v>236</v>
      </c>
      <c r="S48" s="1514">
        <f>VLOOKUP($A48,Drivers!$1:$1048576,MATCH(Summary!S$1,Drivers!$2:$2,0),FALSE)</f>
        <v>238</v>
      </c>
      <c r="T48" s="1459"/>
      <c r="U48" s="1515" t="s">
        <v>562</v>
      </c>
      <c r="V48" s="1515" t="s">
        <v>227</v>
      </c>
      <c r="W48" s="1516">
        <f t="shared" ref="W48:AI48" si="56">+$N$4/W47</f>
        <v>36.005709178327052</v>
      </c>
      <c r="X48" s="1516">
        <f t="shared" si="56"/>
        <v>30.248764055621734</v>
      </c>
      <c r="Y48" s="1516">
        <f t="shared" si="56"/>
        <v>25.658802139286539</v>
      </c>
      <c r="Z48" s="1516">
        <f t="shared" si="56"/>
        <v>21.777158748906604</v>
      </c>
      <c r="AA48" s="1516">
        <f t="shared" si="56"/>
        <v>11.633122437024012</v>
      </c>
      <c r="AB48" s="1516">
        <f t="shared" si="56"/>
        <v>10.77542211903757</v>
      </c>
      <c r="AC48" s="1516">
        <f t="shared" si="56"/>
        <v>9.7963892347476325</v>
      </c>
      <c r="AD48" s="1516">
        <f t="shared" si="56"/>
        <v>9.2426517138464312</v>
      </c>
      <c r="AE48" s="1516">
        <f t="shared" si="56"/>
        <v>7.7838275756649322</v>
      </c>
      <c r="AF48" s="1516">
        <f t="shared" si="56"/>
        <v>7.8583300788877635</v>
      </c>
      <c r="AG48" s="1516">
        <f t="shared" si="56"/>
        <v>6.8141589180050719</v>
      </c>
      <c r="AH48" s="1516">
        <f t="shared" si="56"/>
        <v>6.1875120261689425</v>
      </c>
      <c r="AI48" s="1516">
        <f t="shared" si="56"/>
        <v>5.9783902352120322</v>
      </c>
      <c r="AJ48" s="1516">
        <f t="shared" ref="AJ48:AK48" si="57">+$N$4/AJ47</f>
        <v>5.8524370418125011</v>
      </c>
      <c r="AK48" s="1516">
        <f t="shared" si="57"/>
        <v>5.4560324590243106</v>
      </c>
      <c r="AL48" s="1516">
        <f t="shared" ref="AL48" si="58">+$N$4/AL47</f>
        <v>5.0832221029929707</v>
      </c>
      <c r="AM48" s="1451"/>
    </row>
    <row r="49" spans="1:39" ht="13.2" customHeight="1">
      <c r="A49" s="629"/>
      <c r="B49" s="1469" t="s">
        <v>753</v>
      </c>
      <c r="C49" s="1469"/>
      <c r="D49" s="1470"/>
      <c r="E49" s="1470" t="str">
        <f t="shared" ref="E49:P49" si="59">E43</f>
        <v>2014a</v>
      </c>
      <c r="F49" s="1470" t="str">
        <f t="shared" si="59"/>
        <v>2015a</v>
      </c>
      <c r="G49" s="1470" t="str">
        <f t="shared" si="59"/>
        <v>2016a</v>
      </c>
      <c r="H49" s="1470" t="str">
        <f t="shared" si="59"/>
        <v>2017a</v>
      </c>
      <c r="I49" s="1470" t="str">
        <f t="shared" si="59"/>
        <v>2018a</v>
      </c>
      <c r="J49" s="1470" t="str">
        <f t="shared" si="59"/>
        <v>2019a</v>
      </c>
      <c r="K49" s="1470" t="str">
        <f t="shared" si="59"/>
        <v>2020a</v>
      </c>
      <c r="L49" s="1470" t="str">
        <f t="shared" si="59"/>
        <v>2021a</v>
      </c>
      <c r="M49" s="1470" t="str">
        <f t="shared" si="59"/>
        <v>2022a</v>
      </c>
      <c r="N49" s="1470" t="str">
        <f t="shared" si="59"/>
        <v>2023a</v>
      </c>
      <c r="O49" s="1470" t="str">
        <f t="shared" si="59"/>
        <v>2024a</v>
      </c>
      <c r="P49" s="1470" t="str">
        <f t="shared" si="59"/>
        <v>2025a</v>
      </c>
      <c r="Q49" s="1470" t="s">
        <v>927</v>
      </c>
      <c r="R49" s="1470" t="str">
        <f>+R43</f>
        <v>2027e</v>
      </c>
      <c r="S49" s="1470" t="str">
        <f>+S43</f>
        <v>2028e</v>
      </c>
      <c r="T49" s="1459"/>
      <c r="U49" s="1469" t="s">
        <v>239</v>
      </c>
      <c r="V49" s="1469"/>
      <c r="W49" s="1470" t="str">
        <f t="shared" ref="W49:AI49" si="60">+D27</f>
        <v>2013a</v>
      </c>
      <c r="X49" s="1470" t="str">
        <f t="shared" si="60"/>
        <v>2014a</v>
      </c>
      <c r="Y49" s="1470" t="str">
        <f t="shared" si="60"/>
        <v>2015a</v>
      </c>
      <c r="Z49" s="1470" t="str">
        <f t="shared" si="60"/>
        <v>2016a</v>
      </c>
      <c r="AA49" s="1470" t="str">
        <f t="shared" si="60"/>
        <v>2017a</v>
      </c>
      <c r="AB49" s="1470" t="str">
        <f t="shared" si="60"/>
        <v>2018a</v>
      </c>
      <c r="AC49" s="1470" t="str">
        <f t="shared" si="60"/>
        <v>2019a</v>
      </c>
      <c r="AD49" s="1470" t="str">
        <f t="shared" si="60"/>
        <v>2020a</v>
      </c>
      <c r="AE49" s="1470" t="str">
        <f t="shared" si="60"/>
        <v>2021a</v>
      </c>
      <c r="AF49" s="1470" t="str">
        <f t="shared" si="60"/>
        <v>2022a</v>
      </c>
      <c r="AG49" s="1470" t="str">
        <f t="shared" si="60"/>
        <v>2023a</v>
      </c>
      <c r="AH49" s="1470" t="str">
        <f t="shared" si="60"/>
        <v>2024a</v>
      </c>
      <c r="AI49" s="1470" t="str">
        <f t="shared" si="60"/>
        <v>2025a</v>
      </c>
      <c r="AJ49" s="1470" t="s">
        <v>927</v>
      </c>
      <c r="AK49" s="1470" t="str">
        <f>+AK22</f>
        <v>2027e</v>
      </c>
      <c r="AL49" s="1470" t="str">
        <f>+AL22</f>
        <v>2028e</v>
      </c>
      <c r="AM49" s="1451"/>
    </row>
    <row r="50" spans="1:39" ht="13.2" customHeight="1">
      <c r="A50" s="629" t="s">
        <v>889</v>
      </c>
      <c r="B50" s="1451" t="s">
        <v>752</v>
      </c>
      <c r="C50" s="1451" t="s">
        <v>754</v>
      </c>
      <c r="D50" s="1452"/>
      <c r="E50" s="1452"/>
      <c r="F50" s="1452"/>
      <c r="G50" s="1452"/>
      <c r="H50" s="1108">
        <f>Drivers!T309</f>
        <v>-1.2999999999999999E-2</v>
      </c>
      <c r="I50" s="1108">
        <f>Drivers!U309</f>
        <v>8.9999999999999993E-3</v>
      </c>
      <c r="J50" s="1108">
        <f>Drivers!X309</f>
        <v>8.9999999999999993E-3</v>
      </c>
      <c r="K50" s="1108">
        <f>VLOOKUP($A50,Drivers!$1:$1048576,MATCH(Summary!K$1,Drivers!$2:$2,0),FALSE)</f>
        <v>0.108</v>
      </c>
      <c r="L50" s="1108">
        <f>VLOOKUP($A50,Drivers!$1:$1048576,MATCH(Summary!L$1,Drivers!$2:$2,0),FALSE)</f>
        <v>0.13700000000000001</v>
      </c>
      <c r="M50" s="1108">
        <f>VLOOKUP($A50,Drivers!$1:$1048576,MATCH(Summary!M$1,Drivers!$2:$2,0),FALSE)</f>
        <v>2.7E-2</v>
      </c>
      <c r="N50" s="1108">
        <f>VLOOKUP($A50,Drivers!$1:$1048576,MATCH(Summary!N$1,Drivers!$2:$2,0),FALSE)</f>
        <v>8.0000000000000002E-3</v>
      </c>
      <c r="O50" s="1108">
        <f>VLOOKUP($A50,Drivers!$1:$1048576,MATCH(Summary!O$1,Drivers!$2:$2,0),FALSE)</f>
        <v>-4.8000000000000001E-2</v>
      </c>
      <c r="P50" s="1108">
        <f>VLOOKUP($A50,Drivers!$1:$1048576,MATCH(Summary!P$1,Drivers!$2:$2,0),FALSE)</f>
        <v>6.5000000000000002E-2</v>
      </c>
      <c r="Q50" s="1108">
        <f>VLOOKUP($A50,Drivers!$1:$1048576,MATCH(Summary!Q$1,Drivers!$2:$2,0),FALSE)</f>
        <v>3.2500000000000001E-2</v>
      </c>
      <c r="R50" s="1108">
        <f>VLOOKUP($A50,Drivers!$1:$1048576,MATCH(Summary!R$1,Drivers!$2:$2,0),FALSE)</f>
        <v>0.03</v>
      </c>
      <c r="S50" s="1108">
        <f>VLOOKUP($A50,Drivers!$1:$1048576,MATCH(Summary!S$1,Drivers!$2:$2,0),FALSE)</f>
        <v>3.5000000000000003E-2</v>
      </c>
      <c r="T50" s="1459"/>
      <c r="U50" s="1489" t="s">
        <v>240</v>
      </c>
      <c r="V50" s="1489"/>
      <c r="W50" s="1517">
        <f>+$N$4/D23*100</f>
        <v>75.284270898670741</v>
      </c>
      <c r="X50" s="1517"/>
      <c r="Y50" s="1517">
        <f t="shared" ref="Y50:AL50" si="61">+$N$4/F23*100</f>
        <v>64.560802426178114</v>
      </c>
      <c r="Z50" s="1517">
        <f t="shared" si="61"/>
        <v>57.913009508414326</v>
      </c>
      <c r="AA50" s="1517">
        <f t="shared" si="61"/>
        <v>48.4037542753411</v>
      </c>
      <c r="AB50" s="1517">
        <f t="shared" si="61"/>
        <v>43.785548885077198</v>
      </c>
      <c r="AC50" s="1517">
        <f t="shared" si="61"/>
        <v>40.946397117694147</v>
      </c>
      <c r="AD50" s="1517">
        <f t="shared" si="61"/>
        <v>31.329245861434696</v>
      </c>
      <c r="AE50" s="1517">
        <f t="shared" si="61"/>
        <v>19.817785561393269</v>
      </c>
      <c r="AF50" s="1517">
        <f t="shared" si="61"/>
        <v>18.32608378870674</v>
      </c>
      <c r="AG50" s="1517">
        <f t="shared" si="61"/>
        <v>18.439534883720928</v>
      </c>
      <c r="AH50" s="1517">
        <f t="shared" si="61"/>
        <v>21.984845031905198</v>
      </c>
      <c r="AI50" s="1517">
        <f t="shared" si="61"/>
        <v>20.299453896240287</v>
      </c>
      <c r="AJ50" s="1517">
        <f t="shared" si="61"/>
        <v>19.212061170333751</v>
      </c>
      <c r="AK50" s="1517">
        <f t="shared" si="61"/>
        <v>18.925237068726506</v>
      </c>
      <c r="AL50" s="1517">
        <f t="shared" si="61"/>
        <v>18.006727832556152</v>
      </c>
      <c r="AM50" s="1451"/>
    </row>
    <row r="51" spans="1:39" ht="13.2" customHeight="1">
      <c r="A51" s="629" t="s">
        <v>823</v>
      </c>
      <c r="B51" s="1451" t="s">
        <v>276</v>
      </c>
      <c r="C51" s="1451" t="s">
        <v>754</v>
      </c>
      <c r="D51" s="1452"/>
      <c r="E51" s="1452"/>
      <c r="F51" s="1452"/>
      <c r="G51" s="1452"/>
      <c r="H51" s="1108">
        <f>Drivers!T334</f>
        <v>0.21265098537825811</v>
      </c>
      <c r="I51" s="1510">
        <f>Drivers!U334</f>
        <v>0.20277923190405939</v>
      </c>
      <c r="J51" s="1108">
        <f>Drivers!X334</f>
        <v>0.20610829181991711</v>
      </c>
      <c r="K51" s="1108">
        <f>VLOOKUP($A51,Drivers!$1:$1048576,MATCH(Summary!K$1,Drivers!$2:$2,0),FALSE)</f>
        <v>0.20520763563295377</v>
      </c>
      <c r="L51" s="1108">
        <f>VLOOKUP($A51,Drivers!$1:$1048576,MATCH(Summary!L$1,Drivers!$2:$2,0),FALSE)</f>
        <v>0.22410428250543141</v>
      </c>
      <c r="M51" s="1108">
        <f>VLOOKUP($A51,Drivers!$1:$1048576,MATCH(Summary!M$1,Drivers!$2:$2,0),FALSE)</f>
        <v>0.2329891732989173</v>
      </c>
      <c r="N51" s="1108">
        <f>VLOOKUP($A51,Drivers!$1:$1048576,MATCH(Summary!N$1,Drivers!$2:$2,0),FALSE)</f>
        <v>0.23405616779239247</v>
      </c>
      <c r="O51" s="1108">
        <f>VLOOKUP($A51,Drivers!$1:$1048576,MATCH(Summary!O$1,Drivers!$2:$2,0),FALSE)</f>
        <v>0.23186891120152292</v>
      </c>
      <c r="P51" s="1108">
        <f>VLOOKUP($A51,Drivers!$1:$1048576,MATCH(Summary!P$1,Drivers!$2:$2,0),FALSE)</f>
        <v>0.23469458987783595</v>
      </c>
      <c r="Q51" s="1108">
        <f>VLOOKUP($A51,Drivers!$1:$1048576,MATCH(Summary!Q$1,Drivers!$2:$2,0),FALSE)</f>
        <v>0.23569458987783595</v>
      </c>
      <c r="R51" s="1108">
        <f>VLOOKUP($A51,Drivers!$1:$1048576,MATCH(Summary!R$1,Drivers!$2:$2,0),FALSE)</f>
        <v>0.23469458987783595</v>
      </c>
      <c r="S51" s="1108">
        <f>VLOOKUP($A51,Drivers!$1:$1048576,MATCH(Summary!S$1,Drivers!$2:$2,0),FALSE)</f>
        <v>0.23469458987783595</v>
      </c>
      <c r="T51" s="1459"/>
      <c r="U51" s="1489" t="s">
        <v>241</v>
      </c>
      <c r="V51" s="1489"/>
      <c r="W51" s="1517">
        <f>+'P&amp;L'!AG168</f>
        <v>0</v>
      </c>
      <c r="X51" s="1517"/>
      <c r="Y51" s="1517">
        <f>+'P&amp;L'!AM168</f>
        <v>36.898229490774106</v>
      </c>
      <c r="Z51" s="1517">
        <f>+'P&amp;L'!AP168</f>
        <v>33.695364238236237</v>
      </c>
      <c r="AA51" s="1517">
        <f>+'P&amp;L'!AS168</f>
        <v>25.745373086039411</v>
      </c>
      <c r="AB51" s="1517">
        <f>+'P&amp;L'!AV168</f>
        <v>25.625274725042502</v>
      </c>
      <c r="AC51" s="1517">
        <f>+'P&amp;L'!AY168</f>
        <v>24.610405670473082</v>
      </c>
      <c r="AD51" s="1517">
        <f>+'P&amp;L'!BB168</f>
        <v>14.098377313274829</v>
      </c>
      <c r="AE51" s="1517">
        <f>+'P&amp;L'!BE168</f>
        <v>10.525400450499166</v>
      </c>
      <c r="AF51" s="1517">
        <f>VLOOKUP($AM51,'P&amp;L'!$1:$1048576,MATCH(Summary!AF$1,'P&amp;L'!$4:$4,0),FALSE)</f>
        <v>10.041054416806391</v>
      </c>
      <c r="AG51" s="1517">
        <f>VLOOKUP($AM51,'P&amp;L'!$1:$1048576,MATCH(Summary!AG$1,'P&amp;L'!$4:$4,0),FALSE)</f>
        <v>9.7484129340515491</v>
      </c>
      <c r="AH51" s="1517">
        <f>VLOOKUP($AM51,'P&amp;L'!$1:$1048576,MATCH(Summary!AH$1,'P&amp;L'!$4:$4,0),FALSE)</f>
        <v>10.909559794300577</v>
      </c>
      <c r="AI51" s="1517">
        <f>VLOOKUP($AM51,'P&amp;L'!$1:$1048576,MATCH(Summary!AI$1,'P&amp;L'!$4:$4,0),FALSE)</f>
        <v>9.9651600725222416</v>
      </c>
      <c r="AJ51" s="1517">
        <f>VLOOKUP($AM51,'P&amp;L'!$1:$1048576,MATCH(Summary!AJ$1,'P&amp;L'!$4:$4,0),FALSE)</f>
        <v>9.4230671720656449</v>
      </c>
      <c r="AK51" s="1517">
        <f>VLOOKUP($AM51,'P&amp;L'!$1:$1048576,MATCH(Summary!AK$1,'P&amp;L'!$4:$4,0),FALSE)</f>
        <v>9.2355745322360256</v>
      </c>
      <c r="AL51" s="1517">
        <f>VLOOKUP($AM51,'P&amp;L'!$1:$1048576,MATCH(Summary!AL$1,'P&amp;L'!$4:$4,0),FALSE)</f>
        <v>8.8510091087258917</v>
      </c>
      <c r="AM51" s="1451" t="s">
        <v>951</v>
      </c>
    </row>
    <row r="52" spans="1:39" ht="13.2" customHeight="1">
      <c r="A52" s="629" t="s">
        <v>825</v>
      </c>
      <c r="B52" s="1451" t="s">
        <v>249</v>
      </c>
      <c r="C52" s="1451" t="s">
        <v>754</v>
      </c>
      <c r="D52" s="1452"/>
      <c r="E52" s="1452"/>
      <c r="F52" s="1452"/>
      <c r="G52" s="1452"/>
      <c r="H52" s="1510">
        <f>Drivers!T351</f>
        <v>3.6872218690400506E-2</v>
      </c>
      <c r="I52" s="1510">
        <f>Drivers!U351</f>
        <v>2.8982058725550847E-2</v>
      </c>
      <c r="J52" s="1108">
        <f>Drivers!X351</f>
        <v>3.3940127566460268E-2</v>
      </c>
      <c r="K52" s="1108">
        <f>VLOOKUP($A52,Drivers!$1:$1048576,MATCH(Summary!K$1,Drivers!$2:$2,0),FALSE)</f>
        <v>4.7220361687876751E-2</v>
      </c>
      <c r="L52" s="1108">
        <f>VLOOKUP($A52,Drivers!$1:$1048576,MATCH(Summary!L$1,Drivers!$2:$2,0),FALSE)</f>
        <v>7.9058806200979492E-2</v>
      </c>
      <c r="M52" s="1108">
        <f>VLOOKUP($A52,Drivers!$1:$1048576,MATCH(Summary!M$1,Drivers!$2:$2,0),FALSE)</f>
        <v>8.6541908654190869E-2</v>
      </c>
      <c r="N52" s="1108">
        <f>VLOOKUP($A52,Drivers!$1:$1048576,MATCH(Summary!N$1,Drivers!$2:$2,0),FALSE)</f>
        <v>7.5719872022751517E-2</v>
      </c>
      <c r="O52" s="1108">
        <f>VLOOKUP($A52,Drivers!$1:$1048576,MATCH(Summary!O$1,Drivers!$2:$2,0),FALSE)</f>
        <v>5.9012354895300663E-2</v>
      </c>
      <c r="P52" s="1108">
        <f>VLOOKUP($A52,Drivers!$1:$1048576,MATCH(Summary!P$1,Drivers!$2:$2,0),FALSE)</f>
        <v>6.0558464223385691E-2</v>
      </c>
      <c r="Q52" s="1108">
        <f>VLOOKUP($A52,Drivers!$1:$1048576,MATCH(Summary!Q$1,Drivers!$2:$2,0),FALSE)</f>
        <v>6.1558178399084458E-2</v>
      </c>
      <c r="R52" s="1108">
        <f>VLOOKUP($A52,Drivers!$1:$1048576,MATCH(Summary!R$1,Drivers!$2:$2,0),FALSE)</f>
        <v>6.0714718148914604E-2</v>
      </c>
      <c r="S52" s="1108">
        <f>VLOOKUP($A52,Drivers!$1:$1048576,MATCH(Summary!S$1,Drivers!$2:$2,0),FALSE)</f>
        <v>6.1024772725872853E-2</v>
      </c>
      <c r="T52" s="1518"/>
      <c r="U52" s="1489" t="s">
        <v>665</v>
      </c>
      <c r="V52" s="1489"/>
      <c r="W52" s="1462"/>
      <c r="X52" s="1462"/>
      <c r="Y52" s="1517">
        <f>'P&amp;L'!AM167</f>
        <v>44.083675147705151</v>
      </c>
      <c r="Z52" s="1517">
        <f>'P&amp;L'!AP167</f>
        <v>39.926511938962364</v>
      </c>
      <c r="AA52" s="1517">
        <f>'P&amp;L'!AS167</f>
        <v>34.586345722967934</v>
      </c>
      <c r="AB52" s="1517">
        <f>'P&amp;L'!AV167</f>
        <v>30.091059909583571</v>
      </c>
      <c r="AC52" s="1517">
        <f>'P&amp;L'!AY167</f>
        <v>28.319455814427457</v>
      </c>
      <c r="AD52" s="1517">
        <f>'P&amp;L'!BB167</f>
        <v>20.946243942880791</v>
      </c>
      <c r="AE52" s="1517">
        <f>'P&amp;L'!BE167</f>
        <v>13.620273278428204</v>
      </c>
      <c r="AF52" s="1517">
        <f>VLOOKUP($AM52,'P&amp;L'!$1:$1048576,MATCH(Summary!AF$1,'P&amp;L'!$4:$4,0),FALSE)</f>
        <v>12.81226412433929</v>
      </c>
      <c r="AG52" s="1517">
        <f>VLOOKUP($AM52,'P&amp;L'!$1:$1048576,MATCH(Summary!AG$1,'P&amp;L'!$4:$4,0),FALSE)</f>
        <v>12.590538005331599</v>
      </c>
      <c r="AH52" s="1517">
        <f>VLOOKUP($AM52,'P&amp;L'!$1:$1048576,MATCH(Summary!AH$1,'P&amp;L'!$4:$4,0),FALSE)</f>
        <v>14.906248031674908</v>
      </c>
      <c r="AI52" s="1517">
        <f>VLOOKUP($AM52,'P&amp;L'!$1:$1048576,MATCH(Summary!AI$1,'P&amp;L'!$4:$4,0),FALSE)</f>
        <v>13.877429370551795</v>
      </c>
      <c r="AJ52" s="1517">
        <f>VLOOKUP($AM52,'P&amp;L'!$1:$1048576,MATCH(Summary!AJ$1,'P&amp;L'!$4:$4,0),FALSE)</f>
        <v>12.779339192759439</v>
      </c>
      <c r="AK52" s="1517">
        <f>VLOOKUP($AM52,'P&amp;L'!$1:$1048576,MATCH(Summary!AK$1,'P&amp;L'!$4:$4,0),FALSE)</f>
        <v>12.547198902529713</v>
      </c>
      <c r="AL52" s="1517">
        <f>VLOOKUP($AM52,'P&amp;L'!$1:$1048576,MATCH(Summary!AL$1,'P&amp;L'!$4:$4,0),FALSE)</f>
        <v>11.950436892131771</v>
      </c>
      <c r="AM52" s="1451" t="s">
        <v>952</v>
      </c>
    </row>
    <row r="53" spans="1:39" ht="13.2" customHeight="1">
      <c r="A53" s="629" t="s">
        <v>821</v>
      </c>
      <c r="B53" s="1451" t="s">
        <v>554</v>
      </c>
      <c r="C53" s="1451" t="s">
        <v>754</v>
      </c>
      <c r="D53" s="1452"/>
      <c r="E53" s="1452"/>
      <c r="F53" s="1452"/>
      <c r="G53" s="1452"/>
      <c r="H53" s="1108">
        <f>Drivers!T310</f>
        <v>4.9504950495049549E-3</v>
      </c>
      <c r="I53" s="1108">
        <f>Drivers!U310</f>
        <v>9.8522167487684609E-3</v>
      </c>
      <c r="J53" s="1108">
        <f>Drivers!X310</f>
        <v>1.9512195121951237E-2</v>
      </c>
      <c r="K53" s="1108">
        <f>VLOOKUP($A53,Drivers!$1:$1048576,MATCH(Summary!K$1,Drivers!$2:$2,0),FALSE)</f>
        <v>4.7846889952152249E-3</v>
      </c>
      <c r="L53" s="1108">
        <f>VLOOKUP($A53,Drivers!$1:$1048576,MATCH(Summary!L$1,Drivers!$2:$2,0),FALSE)</f>
        <v>0</v>
      </c>
      <c r="M53" s="1108">
        <f>VLOOKUP($A53,Drivers!$1:$1048576,MATCH(Summary!M$1,Drivers!$2:$2,0),FALSE)</f>
        <v>4.761904761904745E-3</v>
      </c>
      <c r="N53" s="1108">
        <f>VLOOKUP($A53,Drivers!$1:$1048576,MATCH(Summary!N$1,Drivers!$2:$2,0),FALSE)</f>
        <v>4.7393364928909332E-3</v>
      </c>
      <c r="O53" s="1108">
        <f>VLOOKUP($A53,Drivers!$1:$1048576,MATCH(Summary!O$1,Drivers!$2:$2,0),FALSE)</f>
        <v>0</v>
      </c>
      <c r="P53" s="1108">
        <f>VLOOKUP($A53,Drivers!$1:$1048576,MATCH(Summary!P$1,Drivers!$2:$2,0),FALSE)</f>
        <v>4.7169811320755262E-3</v>
      </c>
      <c r="Q53" s="1108">
        <f>VLOOKUP($A53,Drivers!$1:$1048576,MATCH(Summary!Q$1,Drivers!$2:$2,0),FALSE)</f>
        <v>4.6948356807512415E-3</v>
      </c>
      <c r="R53" s="1108">
        <f>VLOOKUP($A53,Drivers!$1:$1048576,MATCH(Summary!R$1,Drivers!$2:$2,0),FALSE)</f>
        <v>0</v>
      </c>
      <c r="S53" s="1108">
        <f>VLOOKUP($A53,Drivers!$1:$1048576,MATCH(Summary!S$1,Drivers!$2:$2,0),FALSE)</f>
        <v>0</v>
      </c>
      <c r="T53" s="1459"/>
      <c r="U53" s="1451" t="s">
        <v>830</v>
      </c>
      <c r="V53" s="1451"/>
      <c r="W53" s="1462"/>
      <c r="X53" s="1462"/>
      <c r="Y53" s="1462"/>
      <c r="Z53" s="1462"/>
      <c r="AA53" s="1519">
        <f>'P&amp;L'!AS166/H8</f>
        <v>1.6481979251776828</v>
      </c>
      <c r="AB53" s="1519">
        <f>'P&amp;L'!AV166/I8</f>
        <v>1.5391689310797598</v>
      </c>
      <c r="AC53" s="1519">
        <f>'P&amp;L'!AY166/J8</f>
        <v>1.4883549776894565</v>
      </c>
      <c r="AD53" s="1519">
        <f>'P&amp;L'!BB166/K8</f>
        <v>1.278109974011542</v>
      </c>
      <c r="AE53" s="1519">
        <f>'P&amp;L'!BE166/L8</f>
        <v>1.1351628036024719</v>
      </c>
      <c r="AF53" s="1519">
        <f>VLOOKUP($AM53,'P&amp;L'!$1:$1048576,MATCH(Summary!AF$1,'P&amp;L'!$4:$4,0),FALSE)/M8</f>
        <v>1.1027540157279028</v>
      </c>
      <c r="AG53" s="1519">
        <f>VLOOKUP($AM53,'P&amp;L'!$1:$1048576,MATCH(Summary!AG$1,'P&amp;L'!$4:$4,0),FALSE)/N8</f>
        <v>1.0057886360529376</v>
      </c>
      <c r="AH53" s="1519">
        <f>VLOOKUP($AM53,'P&amp;L'!$1:$1048576,MATCH(Summary!AH$1,'P&amp;L'!$4:$4,0),FALSE)/O8</f>
        <v>1.0057257543576164</v>
      </c>
      <c r="AI53" s="1519">
        <f>VLOOKUP($AM53,'P&amp;L'!$1:$1048576,MATCH(Summary!AI$1,'P&amp;L'!$4:$4,0),FALSE)/P8</f>
        <v>0.91260125498351452</v>
      </c>
      <c r="AJ53" s="1519">
        <f>VLOOKUP($AM53,'P&amp;L'!$1:$1048576,MATCH(Summary!AJ$1,'P&amp;L'!$4:$4,0),FALSE)/Q8</f>
        <v>0.86380796927195991</v>
      </c>
      <c r="AK53" s="1519">
        <f>VLOOKUP($AM53,'P&amp;L'!$1:$1048576,MATCH(Summary!AK$1,'P&amp;L'!$4:$4,0),FALSE)/R8</f>
        <v>0.82900430918893619</v>
      </c>
      <c r="AL53" s="1519">
        <f>VLOOKUP($AM53,'P&amp;L'!$1:$1048576,MATCH(Summary!AL$1,'P&amp;L'!$4:$4,0),FALSE)/S8</f>
        <v>0.79557357758142111</v>
      </c>
      <c r="AM53" s="1451" t="s">
        <v>331</v>
      </c>
    </row>
    <row r="54" spans="1:39">
      <c r="A54" s="629" t="s">
        <v>771</v>
      </c>
      <c r="B54" s="1511" t="s">
        <v>644</v>
      </c>
      <c r="C54" s="1511" t="s">
        <v>877</v>
      </c>
      <c r="D54" s="1520"/>
      <c r="E54" s="1520"/>
      <c r="F54" s="1520"/>
      <c r="G54" s="1512"/>
      <c r="H54" s="1512">
        <f>Drivers!T321</f>
        <v>102</v>
      </c>
      <c r="I54" s="1512">
        <f>Drivers!U321</f>
        <v>103</v>
      </c>
      <c r="J54" s="1512">
        <f>Drivers!X321</f>
        <v>105</v>
      </c>
      <c r="K54" s="1686">
        <f>VLOOKUP($A54,Drivers!$1:$1048576,MATCH(Summary!K$1,Drivers!$2:$2,0),FALSE)</f>
        <v>105</v>
      </c>
      <c r="L54" s="1686">
        <f>VLOOKUP($A54,Drivers!$1:$1048576,MATCH(Summary!L$1,Drivers!$2:$2,0),FALSE)</f>
        <v>105</v>
      </c>
      <c r="M54" s="1686">
        <f>VLOOKUP($A54,Drivers!$1:$1048576,MATCH(Summary!M$1,Drivers!$2:$2,0),FALSE)</f>
        <v>106</v>
      </c>
      <c r="N54" s="1686">
        <f>VLOOKUP($A54,Drivers!$1:$1048576,MATCH(Summary!N$1,Drivers!$2:$2,0),FALSE)</f>
        <v>106</v>
      </c>
      <c r="O54" s="1686">
        <f>VLOOKUP($A54,Drivers!$1:$1048576,MATCH(Summary!O$1,Drivers!$2:$2,0),FALSE)</f>
        <v>106</v>
      </c>
      <c r="P54" s="1686">
        <f>VLOOKUP($A54,Drivers!$1:$1048576,MATCH(Summary!P$1,Drivers!$2:$2,0),FALSE)</f>
        <v>107</v>
      </c>
      <c r="Q54" s="1686">
        <f>VLOOKUP($A54,Drivers!$1:$1048576,MATCH(Summary!Q$1,Drivers!$2:$2,0),FALSE)</f>
        <v>107</v>
      </c>
      <c r="R54" s="1686">
        <f>VLOOKUP($A54,Drivers!$1:$1048576,MATCH(Summary!R$1,Drivers!$2:$2,0),FALSE)</f>
        <v>107</v>
      </c>
      <c r="S54" s="1686">
        <f>VLOOKUP($A54,Drivers!$1:$1048576,MATCH(Summary!S$1,Drivers!$2:$2,0),FALSE)</f>
        <v>107</v>
      </c>
      <c r="T54" s="1459"/>
      <c r="U54" s="1522" t="s">
        <v>242</v>
      </c>
      <c r="V54" s="1522"/>
      <c r="W54" s="1685">
        <f t="shared" ref="W54:AL54" si="62">+D24/$N$4/100</f>
        <v>8.1725312145289452E-3</v>
      </c>
      <c r="X54" s="1685">
        <f t="shared" si="62"/>
        <v>9.5346197502837685E-3</v>
      </c>
      <c r="Y54" s="1685">
        <f t="shared" si="62"/>
        <v>1.0215664018161182E-2</v>
      </c>
      <c r="Z54" s="1685">
        <f t="shared" si="62"/>
        <v>1.1350737797956867E-2</v>
      </c>
      <c r="AA54" s="1685">
        <f t="shared" si="62"/>
        <v>1.3393870601589104E-2</v>
      </c>
      <c r="AB54" s="1685">
        <f t="shared" si="62"/>
        <v>1.4982973893303067E-2</v>
      </c>
      <c r="AC54" s="1685">
        <f t="shared" si="62"/>
        <v>1.6118047673098754E-2</v>
      </c>
      <c r="AD54" s="1685">
        <f t="shared" si="62"/>
        <v>2.145289443813848E-2</v>
      </c>
      <c r="AE54" s="1685">
        <f t="shared" si="62"/>
        <v>3.2576617480136211E-2</v>
      </c>
      <c r="AF54" s="1685">
        <f t="shared" si="62"/>
        <v>3.5868331441543701E-2</v>
      </c>
      <c r="AG54" s="1685">
        <f t="shared" si="62"/>
        <v>3.5414301929625427E-2</v>
      </c>
      <c r="AH54" s="1685">
        <f t="shared" si="62"/>
        <v>3.8706015891032924E-2</v>
      </c>
      <c r="AI54" s="1685">
        <f>+P24/$N$4/100</f>
        <v>4.2565266742338251E-2</v>
      </c>
      <c r="AJ54" s="1685">
        <f t="shared" si="62"/>
        <v>4.0225619189493876E-2</v>
      </c>
      <c r="AK54" s="1685">
        <f t="shared" si="62"/>
        <v>4.0835264238785626E-2</v>
      </c>
      <c r="AL54" s="1685">
        <f t="shared" si="62"/>
        <v>4.29182394308118E-2</v>
      </c>
      <c r="AM54" s="1451"/>
    </row>
    <row r="55" spans="1:39">
      <c r="A55" s="629"/>
      <c r="B55" s="1451"/>
      <c r="C55" s="1451"/>
      <c r="D55" s="1452"/>
      <c r="E55" s="1452"/>
      <c r="F55" s="1452"/>
      <c r="G55" s="1521"/>
      <c r="H55" s="1521"/>
      <c r="I55" s="1521"/>
      <c r="J55" s="1521"/>
      <c r="K55" s="1521"/>
      <c r="L55" s="1521"/>
      <c r="M55" s="1521"/>
      <c r="N55" s="1521"/>
      <c r="O55" s="1521"/>
      <c r="P55" s="1521"/>
      <c r="Q55" s="1521"/>
      <c r="R55" s="1521"/>
      <c r="S55" s="1521"/>
      <c r="T55" s="1451"/>
      <c r="U55" s="1522" t="s">
        <v>243</v>
      </c>
      <c r="V55" s="1522"/>
      <c r="W55" s="1523">
        <f t="shared" ref="W55:AL55" si="63">+D24/D23</f>
        <v>0.61526305388243974</v>
      </c>
      <c r="X55" s="1523">
        <f t="shared" si="63"/>
        <v>0.66201232480776562</v>
      </c>
      <c r="Y55" s="1523">
        <f t="shared" si="63"/>
        <v>0.65953146632872073</v>
      </c>
      <c r="Z55" s="1523">
        <f t="shared" si="63"/>
        <v>0.65735538602059407</v>
      </c>
      <c r="AA55" s="1523">
        <f t="shared" si="63"/>
        <v>0.64831362139503401</v>
      </c>
      <c r="AB55" s="1523">
        <f t="shared" si="63"/>
        <v>0.65603773584905678</v>
      </c>
      <c r="AC55" s="1523">
        <f t="shared" si="63"/>
        <v>0.65997598078462771</v>
      </c>
      <c r="AD55" s="1523">
        <f t="shared" si="63"/>
        <v>0.67210300429184533</v>
      </c>
      <c r="AE55" s="1523">
        <f t="shared" si="63"/>
        <v>0.64559641953687485</v>
      </c>
      <c r="AF55" s="1523">
        <f t="shared" si="63"/>
        <v>0.65732604735883426</v>
      </c>
      <c r="AG55" s="1523">
        <f t="shared" si="63"/>
        <v>0.65302325581395348</v>
      </c>
      <c r="AH55" s="1523">
        <f t="shared" si="63"/>
        <v>0.85094576116681875</v>
      </c>
      <c r="AI55" s="1523">
        <f t="shared" si="63"/>
        <v>0.86405166981726544</v>
      </c>
      <c r="AJ55" s="1523">
        <f t="shared" si="63"/>
        <v>0.7728170564831075</v>
      </c>
      <c r="AK55" s="1523">
        <f t="shared" si="63"/>
        <v>0.77281705648310761</v>
      </c>
      <c r="AL55" s="1523">
        <f t="shared" si="63"/>
        <v>0.77281705648310772</v>
      </c>
      <c r="AM55" s="1451"/>
    </row>
    <row r="56" spans="1:39">
      <c r="A56" s="1524" t="s">
        <v>793</v>
      </c>
      <c r="B56" s="1451"/>
      <c r="C56" s="1451"/>
      <c r="D56" s="1452"/>
      <c r="E56" s="1452"/>
      <c r="F56" s="632"/>
      <c r="G56" s="1452"/>
      <c r="H56" s="1452"/>
      <c r="I56" s="1452"/>
      <c r="J56" s="1452"/>
      <c r="K56" s="1452"/>
      <c r="L56" s="1452"/>
      <c r="M56" s="1452"/>
      <c r="N56" s="1452"/>
      <c r="O56" s="1452"/>
      <c r="P56" s="1452"/>
      <c r="Q56" s="1452"/>
      <c r="R56" s="1452"/>
      <c r="S56" s="1452"/>
      <c r="T56" s="1451"/>
      <c r="U56" s="1451"/>
      <c r="V56" s="1451"/>
      <c r="W56" s="1462"/>
      <c r="X56" s="1462"/>
      <c r="Y56" s="1462"/>
      <c r="Z56" s="1462"/>
      <c r="AA56" s="1462"/>
      <c r="AB56" s="1462"/>
      <c r="AC56" s="1462"/>
      <c r="AD56" s="1462"/>
      <c r="AE56" s="1462"/>
      <c r="AF56" s="1462"/>
      <c r="AG56" s="1462"/>
      <c r="AH56" s="1451"/>
      <c r="AI56" s="1451"/>
      <c r="AJ56" s="1451"/>
      <c r="AK56" s="1451"/>
      <c r="AL56" s="1451"/>
      <c r="AM56" s="1451"/>
    </row>
    <row r="57" spans="1:39">
      <c r="A57" s="629"/>
      <c r="B57" s="1451"/>
      <c r="C57" s="1451"/>
      <c r="D57" s="1452"/>
      <c r="E57" s="1452"/>
      <c r="F57" s="1452"/>
      <c r="G57" s="1452"/>
      <c r="H57" s="1452"/>
      <c r="I57" s="1452"/>
      <c r="J57" s="1452"/>
      <c r="K57" s="1452"/>
      <c r="L57" s="1452"/>
      <c r="M57" s="1452"/>
      <c r="N57" s="1452"/>
      <c r="O57" s="1452"/>
      <c r="P57" s="1452"/>
      <c r="Q57" s="1452"/>
      <c r="R57" s="1452"/>
      <c r="S57" s="1452"/>
      <c r="T57" s="1451"/>
      <c r="U57" s="1459"/>
      <c r="V57" s="1459"/>
      <c r="W57" s="1525"/>
      <c r="X57" s="1525"/>
      <c r="Y57" s="1525"/>
      <c r="Z57" s="1525"/>
      <c r="AA57" s="1525"/>
      <c r="AB57" s="1525"/>
      <c r="AC57" s="1525"/>
      <c r="AD57" s="1525"/>
      <c r="AE57" s="1525"/>
      <c r="AF57" s="1525"/>
      <c r="AG57" s="1525"/>
      <c r="AH57" s="1451"/>
      <c r="AI57" s="1451"/>
      <c r="AJ57" s="1451"/>
      <c r="AK57" s="1451"/>
      <c r="AL57" s="1451"/>
      <c r="AM57" s="1451"/>
    </row>
    <row r="58" spans="1:39">
      <c r="A58" s="629"/>
      <c r="B58" s="1451"/>
      <c r="C58" s="1451"/>
      <c r="D58" s="1452"/>
      <c r="E58" s="1452"/>
      <c r="F58" s="1452"/>
      <c r="G58" s="1452"/>
      <c r="H58" s="1452"/>
      <c r="I58" s="1452"/>
      <c r="J58" s="1452"/>
      <c r="K58" s="1463"/>
      <c r="L58" s="1452"/>
      <c r="M58" s="1452"/>
      <c r="N58" s="1452"/>
      <c r="O58" s="1452"/>
      <c r="P58" s="1452"/>
      <c r="Q58" s="1452"/>
      <c r="R58" s="1452"/>
      <c r="S58" s="1452"/>
      <c r="T58" s="1451"/>
      <c r="U58" s="1459"/>
      <c r="V58" s="1459"/>
      <c r="W58" s="1525"/>
      <c r="X58" s="1525"/>
      <c r="Y58" s="1525"/>
      <c r="Z58" s="1525"/>
      <c r="AA58" s="1525"/>
      <c r="AB58" s="1525"/>
      <c r="AC58" s="1525"/>
      <c r="AD58" s="1525"/>
      <c r="AE58" s="1525"/>
      <c r="AF58" s="1525"/>
      <c r="AG58" s="1525"/>
      <c r="AH58" s="1451"/>
      <c r="AI58" s="1451"/>
      <c r="AJ58" s="1451"/>
      <c r="AK58" s="1451"/>
      <c r="AL58" s="1451"/>
      <c r="AM58" s="1451"/>
    </row>
    <row r="59" spans="1:39">
      <c r="A59" s="629" t="s">
        <v>954</v>
      </c>
      <c r="B59" s="1526"/>
      <c r="C59" s="1526"/>
      <c r="D59" s="1452"/>
      <c r="E59" s="1452"/>
      <c r="F59" s="1452"/>
      <c r="G59" s="1452"/>
      <c r="H59" s="1452"/>
      <c r="I59" s="1452"/>
      <c r="J59" s="1452"/>
      <c r="K59" s="1452"/>
      <c r="L59" s="1463"/>
      <c r="M59" s="1463"/>
      <c r="N59" s="1463"/>
      <c r="O59" s="1463"/>
      <c r="P59" s="1463"/>
      <c r="Q59" s="1463"/>
      <c r="R59" s="1463"/>
      <c r="S59" s="1463"/>
      <c r="T59" s="1451"/>
      <c r="U59" s="1451"/>
      <c r="V59" s="1451"/>
      <c r="W59" s="1527"/>
      <c r="X59" s="1527"/>
      <c r="Y59" s="1528"/>
      <c r="Z59" s="1528"/>
      <c r="AA59" s="1528"/>
      <c r="AB59" s="1528"/>
      <c r="AC59" s="1528"/>
      <c r="AD59" s="1528"/>
      <c r="AE59" s="1528"/>
      <c r="AF59" s="1528"/>
      <c r="AG59" s="1528"/>
      <c r="AH59" s="1451"/>
      <c r="AI59" s="1451"/>
      <c r="AJ59" s="1451"/>
      <c r="AK59" s="1451"/>
      <c r="AL59" s="1451"/>
      <c r="AM59" s="1451"/>
    </row>
    <row r="60" spans="1:39">
      <c r="A60" s="629" t="s">
        <v>955</v>
      </c>
      <c r="B60" s="1451"/>
      <c r="C60" s="1451"/>
      <c r="D60" s="1452"/>
      <c r="E60" s="1452"/>
      <c r="F60" s="1452"/>
      <c r="G60" s="1452"/>
      <c r="H60" s="1452"/>
      <c r="I60" s="1452"/>
      <c r="J60" s="1452"/>
      <c r="K60" s="1452"/>
      <c r="L60" s="1452"/>
      <c r="M60" s="1452"/>
      <c r="N60" s="1452"/>
      <c r="O60" s="1452"/>
      <c r="P60" s="1452"/>
      <c r="Q60" s="1452"/>
      <c r="R60" s="1452"/>
      <c r="S60" s="1452"/>
      <c r="T60" s="1451"/>
      <c r="U60" s="630"/>
      <c r="V60" s="630"/>
      <c r="W60" s="1462"/>
      <c r="X60" s="1462"/>
      <c r="Y60" s="1462"/>
      <c r="Z60" s="1529"/>
      <c r="AA60" s="1529"/>
      <c r="AB60" s="1529"/>
      <c r="AC60" s="1529"/>
      <c r="AD60" s="1529"/>
      <c r="AE60" s="1529"/>
      <c r="AF60" s="1529"/>
      <c r="AG60" s="1529"/>
      <c r="AH60" s="1451"/>
      <c r="AI60" s="1451"/>
      <c r="AJ60" s="1451"/>
      <c r="AK60" s="1451"/>
      <c r="AL60" s="1451"/>
      <c r="AM60" s="1451"/>
    </row>
    <row r="61" spans="1:39">
      <c r="A61" s="629" t="s">
        <v>956</v>
      </c>
      <c r="B61" s="1451"/>
      <c r="C61" s="1451"/>
      <c r="D61" s="1452"/>
      <c r="E61" s="1452"/>
      <c r="F61" s="1452"/>
      <c r="G61" s="1452"/>
      <c r="H61" s="1452"/>
      <c r="I61" s="1452"/>
      <c r="J61" s="1452"/>
      <c r="K61" s="1452"/>
      <c r="L61" s="1452"/>
      <c r="M61" s="1452"/>
      <c r="N61" s="1452"/>
      <c r="O61" s="1452"/>
      <c r="P61" s="1452"/>
      <c r="Q61" s="1452"/>
      <c r="R61" s="1452"/>
      <c r="S61" s="1452"/>
      <c r="T61" s="1451"/>
      <c r="U61" s="1451"/>
      <c r="V61" s="1451"/>
      <c r="W61" s="1462"/>
      <c r="X61" s="1462"/>
      <c r="Y61" s="1462"/>
      <c r="Z61" s="1530"/>
      <c r="AA61" s="1530"/>
      <c r="AB61" s="1530"/>
      <c r="AC61" s="1530"/>
      <c r="AD61" s="1530"/>
      <c r="AE61" s="1530"/>
      <c r="AF61" s="1530"/>
      <c r="AG61" s="1530"/>
      <c r="AH61" s="1451"/>
      <c r="AI61" s="1451"/>
      <c r="AJ61" s="1451"/>
      <c r="AK61" s="1451"/>
      <c r="AL61" s="1451"/>
      <c r="AM61" s="1451"/>
    </row>
    <row r="62" spans="1:39">
      <c r="A62" s="629"/>
      <c r="B62" s="1451"/>
      <c r="C62" s="1451"/>
      <c r="D62" s="1452"/>
      <c r="E62" s="1452"/>
      <c r="F62" s="1452"/>
      <c r="G62" s="1452"/>
      <c r="H62" s="1452"/>
      <c r="I62" s="1452"/>
      <c r="J62" s="1452"/>
      <c r="K62" s="1452"/>
      <c r="L62" s="1452"/>
      <c r="M62" s="1452"/>
      <c r="N62" s="1452"/>
      <c r="O62" s="1452"/>
      <c r="P62" s="1452"/>
      <c r="Q62" s="1452"/>
      <c r="R62" s="1452"/>
      <c r="S62" s="1452"/>
      <c r="T62" s="1451"/>
      <c r="U62" s="1451"/>
      <c r="V62" s="1451"/>
      <c r="W62" s="1462"/>
      <c r="X62" s="1462"/>
      <c r="Y62" s="1462"/>
      <c r="Z62" s="1530"/>
      <c r="AA62" s="1530"/>
      <c r="AB62" s="1530"/>
      <c r="AC62" s="1530"/>
      <c r="AD62" s="1530"/>
      <c r="AE62" s="1530"/>
      <c r="AF62" s="1530"/>
      <c r="AG62" s="1531"/>
      <c r="AH62" s="1451"/>
      <c r="AI62" s="1451"/>
      <c r="AJ62" s="1451"/>
      <c r="AK62" s="1451"/>
      <c r="AL62" s="1451"/>
      <c r="AM62" s="1451"/>
    </row>
    <row r="63" spans="1:39">
      <c r="A63" s="629"/>
      <c r="B63" s="1451"/>
      <c r="C63" s="1451"/>
      <c r="D63" s="1452"/>
      <c r="E63" s="1452"/>
      <c r="F63" s="1452"/>
      <c r="G63" s="1452"/>
      <c r="H63" s="1452"/>
      <c r="I63" s="1452"/>
      <c r="J63" s="1452"/>
      <c r="K63" s="1452"/>
      <c r="L63" s="1452"/>
      <c r="M63" s="1452"/>
      <c r="N63" s="1452"/>
      <c r="O63" s="1452"/>
      <c r="P63" s="1452"/>
      <c r="Q63" s="1452"/>
      <c r="R63" s="1452"/>
      <c r="S63" s="1452"/>
      <c r="T63" s="1451"/>
      <c r="U63" s="1451"/>
      <c r="V63" s="1451"/>
      <c r="W63" s="1462"/>
      <c r="X63" s="1462"/>
      <c r="Y63" s="1462"/>
      <c r="Z63" s="1462"/>
      <c r="AA63" s="631"/>
      <c r="AB63" s="631"/>
      <c r="AC63" s="631"/>
      <c r="AD63" s="631"/>
      <c r="AE63" s="1530"/>
      <c r="AF63" s="1530"/>
      <c r="AG63" s="1531"/>
      <c r="AH63" s="1451"/>
      <c r="AI63" s="1451"/>
      <c r="AJ63" s="1451"/>
      <c r="AK63" s="1451"/>
      <c r="AL63" s="1451"/>
      <c r="AM63" s="1451"/>
    </row>
    <row r="64" spans="1:39">
      <c r="A64" s="629"/>
      <c r="B64" s="1451"/>
      <c r="C64" s="1451"/>
      <c r="D64" s="1452"/>
      <c r="E64" s="1452"/>
      <c r="F64" s="1452"/>
      <c r="G64" s="1452"/>
      <c r="H64" s="1452"/>
      <c r="I64" s="1452"/>
      <c r="J64" s="1452"/>
      <c r="K64" s="1452"/>
      <c r="L64" s="1452"/>
      <c r="M64" s="1452"/>
      <c r="N64" s="1452"/>
      <c r="O64" s="1452"/>
      <c r="P64" s="1452"/>
      <c r="Q64" s="1452"/>
      <c r="R64" s="1452"/>
      <c r="S64" s="1452"/>
      <c r="T64" s="1451"/>
      <c r="U64" s="1451"/>
      <c r="V64" s="1451"/>
      <c r="W64" s="1462"/>
      <c r="X64" s="1462"/>
      <c r="Y64" s="1462"/>
      <c r="Z64" s="1462"/>
      <c r="AA64" s="1462"/>
      <c r="AB64" s="1462"/>
      <c r="AC64" s="1462"/>
      <c r="AD64" s="1462"/>
      <c r="AE64" s="1531"/>
      <c r="AF64" s="1462"/>
      <c r="AG64" s="1462"/>
      <c r="AH64" s="1451"/>
      <c r="AI64" s="1451"/>
      <c r="AJ64" s="1451"/>
      <c r="AK64" s="1451"/>
      <c r="AL64" s="1451"/>
      <c r="AM64" s="1451"/>
    </row>
    <row r="65" spans="1:39">
      <c r="A65" s="629"/>
      <c r="B65" s="1451"/>
      <c r="C65" s="1451"/>
      <c r="D65" s="1452"/>
      <c r="E65" s="1452"/>
      <c r="F65" s="1452"/>
      <c r="G65" s="1452"/>
      <c r="H65" s="1452"/>
      <c r="I65" s="1452"/>
      <c r="J65" s="1452"/>
      <c r="K65" s="1452"/>
      <c r="L65" s="1452"/>
      <c r="M65" s="1452"/>
      <c r="N65" s="1452"/>
      <c r="O65" s="1452"/>
      <c r="P65" s="1452"/>
      <c r="Q65" s="1452"/>
      <c r="R65" s="1452"/>
      <c r="S65" s="1452"/>
      <c r="T65" s="1451"/>
      <c r="U65" s="1451"/>
      <c r="V65" s="1451"/>
      <c r="W65" s="1462"/>
      <c r="X65" s="1462"/>
      <c r="Y65" s="1462"/>
      <c r="Z65" s="1462"/>
      <c r="AA65" s="1462"/>
      <c r="AB65" s="1462"/>
      <c r="AC65" s="1462"/>
      <c r="AD65" s="1462"/>
      <c r="AE65" s="1462"/>
      <c r="AF65" s="1462"/>
      <c r="AG65" s="1462"/>
      <c r="AH65" s="1451"/>
      <c r="AI65" s="1451"/>
      <c r="AJ65" s="1451"/>
      <c r="AK65" s="1451"/>
      <c r="AL65" s="1451"/>
      <c r="AM65" s="1451"/>
    </row>
    <row r="66" spans="1:39">
      <c r="A66" s="629"/>
      <c r="B66" s="1451"/>
      <c r="C66" s="1451"/>
      <c r="D66" s="1452"/>
      <c r="E66" s="1452"/>
      <c r="F66" s="1452"/>
      <c r="G66" s="1452"/>
      <c r="H66" s="1452"/>
      <c r="I66" s="1452"/>
      <c r="J66" s="1452"/>
      <c r="K66" s="1452"/>
      <c r="L66" s="1452"/>
      <c r="M66" s="1452"/>
      <c r="N66" s="1452"/>
      <c r="O66" s="1452"/>
      <c r="P66" s="1452"/>
      <c r="Q66" s="1452"/>
      <c r="R66" s="1452"/>
      <c r="S66" s="1452"/>
      <c r="T66" s="1451"/>
      <c r="U66" s="1451"/>
      <c r="V66" s="1451"/>
      <c r="W66" s="1462"/>
      <c r="X66" s="1462"/>
      <c r="Y66" s="1462"/>
      <c r="Z66" s="1462"/>
      <c r="AA66" s="1462"/>
      <c r="AB66" s="1462"/>
      <c r="AC66" s="1462"/>
      <c r="AD66" s="1462"/>
      <c r="AE66" s="1462"/>
      <c r="AF66" s="1462"/>
      <c r="AG66" s="1462"/>
      <c r="AH66" s="1451"/>
      <c r="AI66" s="1451"/>
      <c r="AJ66" s="1451"/>
      <c r="AK66" s="1451"/>
      <c r="AL66" s="1451"/>
      <c r="AM66" s="1451"/>
    </row>
    <row r="67" spans="1:39">
      <c r="A67" s="629"/>
      <c r="B67" s="1451"/>
      <c r="C67" s="1451"/>
      <c r="D67" s="1452"/>
      <c r="E67" s="1452"/>
      <c r="F67" s="1452"/>
      <c r="G67" s="1452"/>
      <c r="H67" s="1452"/>
      <c r="I67" s="1452"/>
      <c r="J67" s="1452"/>
      <c r="K67" s="1452"/>
      <c r="L67" s="1452"/>
      <c r="M67" s="1452"/>
      <c r="N67" s="1452"/>
      <c r="O67" s="1452"/>
      <c r="P67" s="1452"/>
      <c r="Q67" s="1452"/>
      <c r="R67" s="1452"/>
      <c r="S67" s="1452"/>
      <c r="T67" s="1451"/>
      <c r="U67" s="1451"/>
      <c r="V67" s="1451"/>
      <c r="W67" s="1462"/>
      <c r="X67" s="1462"/>
      <c r="Y67" s="1462"/>
      <c r="Z67" s="1462"/>
      <c r="AA67" s="1462"/>
      <c r="AB67" s="1462"/>
      <c r="AC67" s="1462"/>
      <c r="AD67" s="1462"/>
      <c r="AE67" s="1462"/>
      <c r="AF67" s="1462"/>
      <c r="AG67" s="1462"/>
      <c r="AH67" s="1451"/>
      <c r="AI67" s="1451"/>
      <c r="AJ67" s="1451"/>
      <c r="AK67" s="1451"/>
      <c r="AL67" s="1451"/>
      <c r="AM67" s="1451"/>
    </row>
    <row r="68" spans="1:39">
      <c r="A68" s="629"/>
      <c r="B68" s="1451"/>
      <c r="C68" s="1451"/>
      <c r="D68" s="1452"/>
      <c r="E68" s="1452"/>
      <c r="F68" s="1452"/>
      <c r="G68" s="1452"/>
      <c r="H68" s="1463">
        <v>0.08</v>
      </c>
      <c r="I68" s="1452"/>
      <c r="J68" s="1452"/>
      <c r="K68" s="1452"/>
      <c r="L68" s="1452"/>
      <c r="M68" s="1452"/>
      <c r="N68" s="1452"/>
      <c r="O68" s="1452"/>
      <c r="P68" s="1452"/>
      <c r="Q68" s="1452"/>
      <c r="R68" s="1452"/>
      <c r="S68" s="1452"/>
      <c r="T68" s="1451"/>
      <c r="U68" s="1451"/>
      <c r="V68" s="1451"/>
      <c r="W68" s="1462"/>
      <c r="X68" s="1462"/>
      <c r="Y68" s="1462"/>
      <c r="Z68" s="1462"/>
      <c r="AA68" s="1462"/>
      <c r="AB68" s="1462"/>
      <c r="AC68" s="1462"/>
      <c r="AD68" s="1462"/>
      <c r="AE68" s="1462"/>
      <c r="AF68" s="1462"/>
      <c r="AG68" s="1462"/>
      <c r="AH68" s="1451"/>
      <c r="AI68" s="1451"/>
      <c r="AJ68" s="1451"/>
      <c r="AK68" s="1451"/>
      <c r="AL68" s="1451"/>
      <c r="AM68" s="1451"/>
    </row>
    <row r="69" spans="1:39">
      <c r="A69" s="629"/>
      <c r="B69" s="1451"/>
      <c r="C69" s="1451"/>
      <c r="D69" s="1452"/>
      <c r="E69" s="1452"/>
      <c r="F69" s="1452"/>
      <c r="G69" s="1452"/>
      <c r="H69" s="1453">
        <v>3200</v>
      </c>
      <c r="I69" s="1452"/>
      <c r="J69" s="1452"/>
      <c r="K69" s="1452"/>
      <c r="L69" s="1452"/>
      <c r="M69" s="1452"/>
      <c r="N69" s="1452"/>
      <c r="O69" s="1452"/>
      <c r="P69" s="1452"/>
      <c r="Q69" s="1452"/>
      <c r="R69" s="1452"/>
      <c r="S69" s="1452"/>
      <c r="T69" s="1451"/>
      <c r="U69" s="1451"/>
      <c r="V69" s="1451"/>
      <c r="W69" s="1462"/>
      <c r="X69" s="1462"/>
      <c r="Y69" s="1462"/>
      <c r="Z69" s="1462"/>
      <c r="AA69" s="1462"/>
      <c r="AB69" s="1462"/>
      <c r="AC69" s="1462"/>
      <c r="AD69" s="1462"/>
      <c r="AE69" s="1462"/>
      <c r="AF69" s="1462"/>
      <c r="AG69" s="1462"/>
      <c r="AH69" s="1451"/>
      <c r="AI69" s="1451"/>
      <c r="AJ69" s="1451"/>
      <c r="AK69" s="1451"/>
      <c r="AL69" s="1451"/>
      <c r="AM69" s="1451"/>
    </row>
    <row r="70" spans="1:39">
      <c r="A70" s="629"/>
      <c r="B70" s="1451"/>
      <c r="C70" s="1451"/>
      <c r="D70" s="1452"/>
      <c r="E70" s="1452"/>
      <c r="F70" s="1452"/>
      <c r="G70" s="1452"/>
      <c r="H70" s="1452">
        <f>H68*H69</f>
        <v>256</v>
      </c>
      <c r="I70" s="1452"/>
      <c r="J70" s="1452"/>
      <c r="K70" s="1452"/>
      <c r="L70" s="1452"/>
      <c r="M70" s="1452"/>
      <c r="N70" s="1452"/>
      <c r="O70" s="1452"/>
      <c r="P70" s="1452"/>
      <c r="Q70" s="1452"/>
      <c r="R70" s="1452"/>
      <c r="S70" s="1452"/>
      <c r="T70" s="1453"/>
      <c r="U70" s="1451"/>
      <c r="V70" s="1451"/>
      <c r="W70" s="1462"/>
      <c r="X70" s="1462"/>
      <c r="Y70" s="1462"/>
      <c r="Z70" s="1462"/>
      <c r="AA70" s="1462"/>
      <c r="AB70" s="1462"/>
      <c r="AC70" s="1462"/>
      <c r="AD70" s="1462"/>
      <c r="AE70" s="1462"/>
      <c r="AF70" s="1462"/>
      <c r="AG70" s="1462"/>
      <c r="AH70" s="1451"/>
      <c r="AI70" s="1451"/>
      <c r="AJ70" s="1451"/>
      <c r="AK70" s="1451"/>
      <c r="AL70" s="1451"/>
      <c r="AM70" s="1451"/>
    </row>
    <row r="71" spans="1:39">
      <c r="A71" s="629"/>
      <c r="B71" s="1451"/>
      <c r="C71" s="1451"/>
      <c r="D71" s="1452"/>
      <c r="E71" s="1452"/>
      <c r="F71" s="1452"/>
      <c r="G71" s="1452"/>
      <c r="H71" s="1452"/>
      <c r="I71" s="1452"/>
      <c r="J71" s="1452"/>
      <c r="K71" s="1452"/>
      <c r="L71" s="1452"/>
      <c r="M71" s="1452"/>
      <c r="N71" s="1452"/>
      <c r="O71" s="1452"/>
      <c r="P71" s="1452"/>
      <c r="Q71" s="1452"/>
      <c r="R71" s="1452"/>
      <c r="S71" s="1452"/>
      <c r="T71" s="1451"/>
      <c r="U71" s="1451"/>
      <c r="V71" s="1451"/>
      <c r="W71" s="1462"/>
      <c r="X71" s="1462"/>
      <c r="Y71" s="1462"/>
      <c r="Z71" s="1462"/>
      <c r="AA71" s="1462"/>
      <c r="AB71" s="1462"/>
      <c r="AC71" s="1462"/>
      <c r="AD71" s="1462"/>
      <c r="AE71" s="1462"/>
      <c r="AF71" s="1462"/>
      <c r="AG71" s="1462"/>
      <c r="AH71" s="1451"/>
      <c r="AI71" s="1451"/>
      <c r="AJ71" s="1451"/>
      <c r="AK71" s="1451"/>
      <c r="AL71" s="1451"/>
      <c r="AM71" s="1451"/>
    </row>
    <row r="72" spans="1:39">
      <c r="A72" s="629"/>
      <c r="B72" s="1451"/>
      <c r="C72" s="1451"/>
      <c r="D72" s="1452"/>
      <c r="E72" s="1452"/>
      <c r="F72" s="1452"/>
      <c r="G72" s="1452"/>
      <c r="H72" s="1452"/>
      <c r="I72" s="1452"/>
      <c r="J72" s="1452"/>
      <c r="K72" s="1452"/>
      <c r="L72" s="1452"/>
      <c r="M72" s="1452"/>
      <c r="N72" s="1452"/>
      <c r="O72" s="1452"/>
      <c r="P72" s="1452"/>
      <c r="Q72" s="1452"/>
      <c r="R72" s="1452"/>
      <c r="S72" s="1452"/>
      <c r="T72" s="1451"/>
      <c r="U72" s="1451"/>
      <c r="V72" s="1451"/>
      <c r="W72" s="1462"/>
      <c r="X72" s="1462"/>
      <c r="Y72" s="1462"/>
      <c r="Z72" s="1462"/>
      <c r="AA72" s="1462"/>
      <c r="AB72" s="1462"/>
      <c r="AC72" s="1462"/>
      <c r="AD72" s="1462"/>
      <c r="AE72" s="1462"/>
      <c r="AF72" s="1462"/>
      <c r="AG72" s="1462"/>
      <c r="AH72" s="1451"/>
      <c r="AI72" s="1451"/>
      <c r="AJ72" s="1451"/>
      <c r="AK72" s="1451"/>
      <c r="AL72" s="1451"/>
      <c r="AM72" s="1451"/>
    </row>
    <row r="73" spans="1:39">
      <c r="A73" s="629"/>
      <c r="B73" s="1451"/>
      <c r="C73" s="1451"/>
      <c r="D73" s="1452"/>
      <c r="E73" s="1452"/>
      <c r="F73" s="1452"/>
      <c r="G73" s="1452"/>
      <c r="H73" s="1452"/>
      <c r="I73" s="1452"/>
      <c r="J73" s="1452"/>
      <c r="K73" s="1452"/>
      <c r="L73" s="1452"/>
      <c r="M73" s="1452"/>
      <c r="N73" s="1452"/>
      <c r="O73" s="1452"/>
      <c r="P73" s="1452"/>
      <c r="Q73" s="1452"/>
      <c r="R73" s="1452"/>
      <c r="S73" s="1452"/>
      <c r="T73" s="1451"/>
      <c r="U73" s="1451"/>
      <c r="V73" s="1451"/>
      <c r="W73" s="1462"/>
      <c r="X73" s="1462"/>
      <c r="Y73" s="1462"/>
      <c r="Z73" s="1462"/>
      <c r="AA73" s="1462"/>
      <c r="AB73" s="1462"/>
      <c r="AC73" s="1462"/>
      <c r="AD73" s="1462"/>
      <c r="AE73" s="1462"/>
      <c r="AF73" s="1462"/>
      <c r="AG73" s="1462"/>
      <c r="AH73" s="1451"/>
      <c r="AI73" s="1451"/>
      <c r="AJ73" s="1451"/>
      <c r="AK73" s="1451"/>
      <c r="AL73" s="1451"/>
      <c r="AM73" s="1451"/>
    </row>
    <row r="74" spans="1:39">
      <c r="A74" s="629"/>
      <c r="B74" s="1451"/>
      <c r="C74" s="1451"/>
      <c r="D74" s="1452"/>
      <c r="E74" s="1452"/>
      <c r="F74" s="1452"/>
      <c r="G74" s="1452"/>
      <c r="H74" s="1452">
        <v>160</v>
      </c>
      <c r="I74" s="1452"/>
      <c r="J74" s="1452"/>
      <c r="K74" s="1452"/>
      <c r="L74" s="1452"/>
      <c r="M74" s="1452"/>
      <c r="N74" s="1452"/>
      <c r="O74" s="1452"/>
      <c r="P74" s="1452"/>
      <c r="Q74" s="1452"/>
      <c r="R74" s="1452"/>
      <c r="S74" s="1452"/>
      <c r="T74" s="1451"/>
      <c r="U74" s="1451"/>
      <c r="V74" s="1451"/>
      <c r="W74" s="1462"/>
      <c r="X74" s="1462"/>
      <c r="Y74" s="1462"/>
      <c r="Z74" s="1462"/>
      <c r="AA74" s="1462"/>
      <c r="AB74" s="1462"/>
      <c r="AC74" s="1462"/>
      <c r="AD74" s="1462"/>
      <c r="AE74" s="1462"/>
      <c r="AF74" s="1462"/>
      <c r="AG74" s="1462"/>
      <c r="AH74" s="1451"/>
      <c r="AI74" s="1451"/>
      <c r="AJ74" s="1451"/>
      <c r="AK74" s="1451"/>
      <c r="AL74" s="1451"/>
      <c r="AM74" s="1451"/>
    </row>
    <row r="75" spans="1:39">
      <c r="A75" s="629"/>
      <c r="B75" s="1451"/>
      <c r="C75" s="1451"/>
      <c r="D75" s="1452"/>
      <c r="E75" s="1452"/>
      <c r="F75" s="1452"/>
      <c r="G75" s="1452"/>
      <c r="H75" s="1452">
        <v>81.5</v>
      </c>
      <c r="I75" s="1452"/>
      <c r="J75" s="1452"/>
      <c r="K75" s="1452"/>
      <c r="L75" s="1452"/>
      <c r="M75" s="1452"/>
      <c r="N75" s="1452"/>
      <c r="O75" s="1452"/>
      <c r="P75" s="1452"/>
      <c r="Q75" s="1452"/>
      <c r="R75" s="1452"/>
      <c r="S75" s="1452"/>
      <c r="T75" s="1451"/>
      <c r="U75" s="1451"/>
      <c r="V75" s="1451"/>
      <c r="W75" s="1462"/>
      <c r="X75" s="1462"/>
      <c r="Y75" s="1462"/>
      <c r="Z75" s="1462"/>
      <c r="AA75" s="1462"/>
      <c r="AB75" s="1462"/>
      <c r="AC75" s="1462"/>
      <c r="AD75" s="1462"/>
      <c r="AE75" s="1462"/>
      <c r="AF75" s="1462"/>
      <c r="AG75" s="1462"/>
      <c r="AH75" s="1451"/>
      <c r="AI75" s="1451"/>
      <c r="AJ75" s="1451"/>
      <c r="AK75" s="1451"/>
      <c r="AL75" s="1451"/>
      <c r="AM75" s="1451"/>
    </row>
  </sheetData>
  <phoneticPr fontId="61" type="noConversion"/>
  <pageMargins left="0" right="0" top="0" bottom="0" header="0" footer="0"/>
  <pageSetup paperSize="9" scale="89" orientation="landscape" r:id="rId1"/>
  <headerFooter alignWithMargins="0"/>
  <ignoredErrors>
    <ignoredError sqref="AM47 K49:R49 AF47:AK4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>
    <tabColor rgb="FF00B050"/>
    <outlinePr summaryBelow="0"/>
  </sheetPr>
  <dimension ref="A1:CL273"/>
  <sheetViews>
    <sheetView showGridLines="0" zoomScaleNormal="100" workbookViewId="0">
      <pane xSplit="2" ySplit="4" topLeftCell="AY5" activePane="bottomRight" state="frozen"/>
      <selection activeCell="BV17" sqref="BV17"/>
      <selection pane="topRight" activeCell="BV17" sqref="BV17"/>
      <selection pane="bottomLeft" activeCell="BV17" sqref="BV17"/>
      <selection pane="bottomRight" activeCell="BT15" sqref="BT15"/>
    </sheetView>
  </sheetViews>
  <sheetFormatPr defaultRowHeight="13.2" customHeight="1" outlineLevelRow="2" outlineLevelCol="1"/>
  <cols>
    <col min="1" max="1" width="20.33203125" hidden="1" customWidth="1" outlineLevel="1"/>
    <col min="2" max="2" width="43.6640625" customWidth="1" collapsed="1"/>
    <col min="3" max="3" width="7.5546875" hidden="1" customWidth="1" outlineLevel="1"/>
    <col min="4" max="5" width="7.6640625" hidden="1" customWidth="1" outlineLevel="1"/>
    <col min="6" max="8" width="7.5546875" hidden="1" customWidth="1" outlineLevel="1"/>
    <col min="9" max="11" width="8.109375" hidden="1" customWidth="1" outlineLevel="1"/>
    <col min="12" max="12" width="7.6640625" hidden="1" customWidth="1" outlineLevel="1" collapsed="1"/>
    <col min="13" max="45" width="7.6640625" hidden="1" customWidth="1" outlineLevel="1"/>
    <col min="46" max="46" width="7.6640625" hidden="1" customWidth="1" outlineLevel="1" collapsed="1"/>
    <col min="47" max="47" width="7.6640625" hidden="1" customWidth="1" outlineLevel="1"/>
    <col min="48" max="48" width="7.6640625" customWidth="1" collapsed="1"/>
    <col min="49" max="50" width="7.6640625" hidden="1" customWidth="1" outlineLevel="1"/>
    <col min="51" max="51" width="7.6640625" customWidth="1" collapsed="1"/>
    <col min="52" max="53" width="7.6640625" hidden="1" customWidth="1" outlineLevel="1"/>
    <col min="54" max="54" width="7.6640625" customWidth="1" collapsed="1"/>
    <col min="55" max="56" width="7.6640625" hidden="1" customWidth="1" outlineLevel="1"/>
    <col min="57" max="57" width="7.6640625" customWidth="1" collapsed="1"/>
    <col min="58" max="59" width="7.6640625" hidden="1" customWidth="1" outlineLevel="1"/>
    <col min="60" max="60" width="7.6640625" customWidth="1" collapsed="1"/>
    <col min="61" max="62" width="7.6640625" hidden="1" customWidth="1" outlineLevel="1"/>
    <col min="63" max="63" width="7.6640625" customWidth="1" collapsed="1"/>
    <col min="64" max="65" width="7.6640625" customWidth="1" outlineLevel="1"/>
    <col min="66" max="66" width="7.6640625" customWidth="1"/>
    <col min="67" max="68" width="7.6640625" customWidth="1" outlineLevel="1"/>
    <col min="69" max="69" width="7.6640625" customWidth="1"/>
    <col min="70" max="70" width="7.6640625" style="1303" customWidth="1" outlineLevel="1"/>
    <col min="71" max="71" width="7.6640625" customWidth="1" outlineLevel="1"/>
    <col min="72" max="72" width="7.6640625" customWidth="1"/>
    <col min="73" max="74" width="7.6640625" hidden="1" customWidth="1" outlineLevel="1"/>
    <col min="75" max="75" width="7.6640625" customWidth="1" collapsed="1"/>
    <col min="76" max="77" width="7.6640625" hidden="1" customWidth="1" outlineLevel="1"/>
    <col min="78" max="78" width="7.6640625" customWidth="1" collapsed="1"/>
    <col min="79" max="80" width="7.6640625" hidden="1" customWidth="1" outlineLevel="1"/>
    <col min="81" max="81" width="7.6640625" customWidth="1" collapsed="1"/>
    <col min="82" max="82" width="9.33203125" customWidth="1"/>
    <col min="83" max="83" width="12" customWidth="1"/>
    <col min="84" max="84" width="29.109375" hidden="1" customWidth="1" outlineLevel="1"/>
    <col min="85" max="85" width="9.109375" hidden="1" customWidth="1" outlineLevel="1"/>
    <col min="86" max="87" width="9.33203125" hidden="1" customWidth="1" outlineLevel="1"/>
    <col min="88" max="89" width="9.109375" hidden="1" customWidth="1" outlineLevel="1"/>
    <col min="90" max="90" width="8.88671875" customWidth="1" collapsed="1"/>
    <col min="91" max="109" width="8.88671875" customWidth="1"/>
  </cols>
  <sheetData>
    <row r="1" spans="1:83" ht="18.75" customHeight="1">
      <c r="A1" s="781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156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549"/>
      <c r="BE1" s="73"/>
      <c r="BF1" s="549"/>
      <c r="BG1" s="549"/>
      <c r="BH1" s="73"/>
      <c r="BI1" s="549"/>
      <c r="BJ1" s="73"/>
      <c r="BK1" s="549"/>
      <c r="BL1" s="549"/>
      <c r="BM1" s="73"/>
      <c r="BN1" s="73"/>
      <c r="BO1" s="73"/>
      <c r="BP1" s="73"/>
      <c r="BQ1" s="73"/>
      <c r="BR1" s="1801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349"/>
      <c r="CE1" s="349"/>
    </row>
    <row r="2" spans="1:83" ht="12.75" customHeight="1">
      <c r="A2" s="781"/>
      <c r="B2" s="75" t="s">
        <v>581</v>
      </c>
      <c r="C2" s="73"/>
      <c r="D2" s="3"/>
      <c r="E2" s="3"/>
      <c r="F2" s="76"/>
      <c r="G2" s="76"/>
      <c r="H2" s="76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260"/>
      <c r="BE2" s="77"/>
      <c r="BF2" s="3"/>
      <c r="BG2" s="260"/>
      <c r="BH2" s="77"/>
      <c r="BI2" s="1208"/>
      <c r="BJ2" s="77"/>
      <c r="BK2" s="1208"/>
      <c r="BL2" s="1208"/>
      <c r="BM2" s="77"/>
      <c r="BN2" s="77"/>
      <c r="BO2" s="77"/>
      <c r="BP2" s="77"/>
      <c r="BQ2" s="77"/>
      <c r="BR2" s="1802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349"/>
      <c r="CE2" s="349"/>
    </row>
    <row r="3" spans="1:83" ht="14.1" customHeight="1">
      <c r="A3" s="781"/>
      <c r="B3" s="73"/>
      <c r="C3" s="73"/>
      <c r="D3" s="4"/>
      <c r="E3" s="4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8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260"/>
      <c r="BE3" s="73"/>
      <c r="BF3" s="4"/>
      <c r="BG3" s="260"/>
      <c r="BH3" s="73"/>
      <c r="BI3" s="4"/>
      <c r="BJ3" s="73"/>
      <c r="BK3" s="4"/>
      <c r="BL3" s="4"/>
      <c r="BM3" s="73"/>
      <c r="BN3" s="73"/>
      <c r="BO3" s="73"/>
      <c r="BP3" s="73"/>
      <c r="BQ3" s="73"/>
      <c r="BR3" s="1801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349"/>
      <c r="CE3" s="349"/>
    </row>
    <row r="4" spans="1:83" ht="12.75" customHeight="1">
      <c r="A4" s="781"/>
      <c r="B4" s="79" t="s">
        <v>661</v>
      </c>
      <c r="C4" s="20" t="s">
        <v>209</v>
      </c>
      <c r="D4" s="20" t="s">
        <v>260</v>
      </c>
      <c r="E4" s="20" t="s">
        <v>261</v>
      </c>
      <c r="F4" s="20" t="s">
        <v>210</v>
      </c>
      <c r="G4" s="20" t="s">
        <v>262</v>
      </c>
      <c r="H4" s="20" t="s">
        <v>263</v>
      </c>
      <c r="I4" s="20" t="s">
        <v>211</v>
      </c>
      <c r="J4" s="20" t="s">
        <v>264</v>
      </c>
      <c r="K4" s="20" t="s">
        <v>265</v>
      </c>
      <c r="L4" s="20" t="s">
        <v>212</v>
      </c>
      <c r="M4" s="20" t="s">
        <v>266</v>
      </c>
      <c r="N4" s="20" t="s">
        <v>267</v>
      </c>
      <c r="O4" s="20" t="s">
        <v>213</v>
      </c>
      <c r="P4" s="20" t="s">
        <v>268</v>
      </c>
      <c r="Q4" s="20" t="s">
        <v>269</v>
      </c>
      <c r="R4" s="80" t="s">
        <v>214</v>
      </c>
      <c r="S4" s="20" t="s">
        <v>270</v>
      </c>
      <c r="T4" s="20" t="s">
        <v>271</v>
      </c>
      <c r="U4" s="20" t="s">
        <v>215</v>
      </c>
      <c r="V4" s="20" t="s">
        <v>202</v>
      </c>
      <c r="W4" s="20" t="s">
        <v>203</v>
      </c>
      <c r="X4" s="20" t="s">
        <v>216</v>
      </c>
      <c r="Y4" s="20" t="s">
        <v>204</v>
      </c>
      <c r="Z4" s="20" t="s">
        <v>205</v>
      </c>
      <c r="AA4" s="20" t="s">
        <v>217</v>
      </c>
      <c r="AB4" s="20" t="s">
        <v>206</v>
      </c>
      <c r="AC4" s="20" t="s">
        <v>207</v>
      </c>
      <c r="AD4" s="20" t="s">
        <v>199</v>
      </c>
      <c r="AE4" s="20" t="s">
        <v>194</v>
      </c>
      <c r="AF4" s="20" t="s">
        <v>372</v>
      </c>
      <c r="AG4" s="20" t="s">
        <v>200</v>
      </c>
      <c r="AH4" s="20" t="s">
        <v>373</v>
      </c>
      <c r="AI4" s="20" t="s">
        <v>374</v>
      </c>
      <c r="AJ4" s="20" t="s">
        <v>201</v>
      </c>
      <c r="AK4" s="20" t="s">
        <v>663</v>
      </c>
      <c r="AL4" s="20" t="s">
        <v>668</v>
      </c>
      <c r="AM4" s="20" t="s">
        <v>251</v>
      </c>
      <c r="AN4" s="20" t="s">
        <v>683</v>
      </c>
      <c r="AO4" s="20" t="s">
        <v>707</v>
      </c>
      <c r="AP4" s="20" t="s">
        <v>701</v>
      </c>
      <c r="AQ4" s="20" t="s">
        <v>742</v>
      </c>
      <c r="AR4" s="20" t="s">
        <v>774</v>
      </c>
      <c r="AS4" s="20" t="s">
        <v>704</v>
      </c>
      <c r="AT4" s="20" t="s">
        <v>799</v>
      </c>
      <c r="AU4" s="20" t="s">
        <v>810</v>
      </c>
      <c r="AV4" s="20" t="s">
        <v>705</v>
      </c>
      <c r="AW4" s="20" t="s">
        <v>832</v>
      </c>
      <c r="AX4" s="20" t="s">
        <v>842</v>
      </c>
      <c r="AY4" s="20" t="s">
        <v>840</v>
      </c>
      <c r="AZ4" s="20" t="s">
        <v>853</v>
      </c>
      <c r="BA4" s="20" t="s">
        <v>854</v>
      </c>
      <c r="BB4" s="20" t="s">
        <v>846</v>
      </c>
      <c r="BC4" s="20" t="s">
        <v>867</v>
      </c>
      <c r="BD4" s="20" t="s">
        <v>868</v>
      </c>
      <c r="BE4" s="20" t="s">
        <v>869</v>
      </c>
      <c r="BF4" s="20" t="s">
        <v>871</v>
      </c>
      <c r="BG4" s="20" t="s">
        <v>870</v>
      </c>
      <c r="BH4" s="1141" t="s">
        <v>873</v>
      </c>
      <c r="BI4" s="1209" t="s">
        <v>920</v>
      </c>
      <c r="BJ4" s="80" t="s">
        <v>926</v>
      </c>
      <c r="BK4" s="1209" t="s">
        <v>866</v>
      </c>
      <c r="BL4" s="20" t="s">
        <v>932</v>
      </c>
      <c r="BM4" s="80" t="s">
        <v>946</v>
      </c>
      <c r="BN4" s="80" t="s">
        <v>887</v>
      </c>
      <c r="BO4" s="80" t="s">
        <v>968</v>
      </c>
      <c r="BP4" s="80" t="s">
        <v>977</v>
      </c>
      <c r="BQ4" s="80" t="s">
        <v>923</v>
      </c>
      <c r="BR4" s="1298" t="s">
        <v>899</v>
      </c>
      <c r="BS4" s="80" t="s">
        <v>900</v>
      </c>
      <c r="BT4" s="80" t="str">
        <f>Drivers!AS2</f>
        <v>FY26E</v>
      </c>
      <c r="BU4" s="80" t="s">
        <v>901</v>
      </c>
      <c r="BV4" s="80" t="s">
        <v>902</v>
      </c>
      <c r="BW4" s="80" t="str">
        <f>Drivers!AV2</f>
        <v>FY27E</v>
      </c>
      <c r="BX4" s="80" t="s">
        <v>938</v>
      </c>
      <c r="BY4" s="80" t="s">
        <v>939</v>
      </c>
      <c r="BZ4" s="80" t="str">
        <f>Drivers!AY2</f>
        <v>FY28E</v>
      </c>
      <c r="CA4" s="80" t="s">
        <v>940</v>
      </c>
      <c r="CB4" s="80" t="s">
        <v>941</v>
      </c>
      <c r="CC4" s="80" t="str">
        <f>Drivers!BB2</f>
        <v>FY29E</v>
      </c>
      <c r="CD4" s="349"/>
      <c r="CE4" s="349"/>
    </row>
    <row r="5" spans="1:83" ht="12.75" customHeight="1">
      <c r="A5" s="781"/>
      <c r="B5" s="830"/>
      <c r="C5" s="342"/>
      <c r="D5" s="340"/>
      <c r="E5" s="340"/>
      <c r="F5" s="342"/>
      <c r="G5" s="340"/>
      <c r="H5" s="340"/>
      <c r="I5" s="342"/>
      <c r="J5" s="340"/>
      <c r="K5" s="340"/>
      <c r="L5" s="342"/>
      <c r="M5" s="340"/>
      <c r="N5" s="340"/>
      <c r="O5" s="340"/>
      <c r="P5" s="340"/>
      <c r="Q5" s="340"/>
      <c r="R5" s="340"/>
      <c r="S5" s="340"/>
      <c r="T5" s="340"/>
      <c r="U5" s="340"/>
      <c r="V5" s="340"/>
      <c r="W5" s="340"/>
      <c r="X5" s="340"/>
      <c r="Y5" s="340"/>
      <c r="Z5" s="340"/>
      <c r="AA5" s="340"/>
      <c r="AB5" s="340"/>
      <c r="AC5" s="340"/>
      <c r="AD5" s="340"/>
      <c r="AE5" s="340"/>
      <c r="AF5" s="340"/>
      <c r="AG5" s="340"/>
      <c r="AH5" s="340"/>
      <c r="AI5" s="340"/>
      <c r="AJ5" s="340"/>
      <c r="AK5" s="340"/>
      <c r="AL5" s="340"/>
      <c r="AM5" s="340"/>
      <c r="AN5" s="340"/>
      <c r="AO5" s="340"/>
      <c r="AP5" s="340"/>
      <c r="AQ5" s="340"/>
      <c r="AR5" s="340"/>
      <c r="AS5" s="340"/>
      <c r="AT5" s="340"/>
      <c r="AU5" s="340"/>
      <c r="AV5" s="340"/>
      <c r="AW5" s="340"/>
      <c r="AX5" s="340"/>
      <c r="AY5" s="340"/>
      <c r="AZ5" s="340"/>
      <c r="BA5" s="340"/>
      <c r="BB5" s="340"/>
      <c r="BC5" s="340"/>
      <c r="BD5" s="340"/>
      <c r="BE5" s="340"/>
      <c r="BF5" s="340"/>
      <c r="BG5" s="340"/>
      <c r="BH5" s="340"/>
      <c r="BI5" s="340"/>
      <c r="BJ5" s="560"/>
      <c r="BK5" s="340"/>
      <c r="BL5" s="340"/>
      <c r="BM5" s="560"/>
      <c r="BN5" s="340"/>
      <c r="BO5" s="340"/>
      <c r="BP5" s="340"/>
      <c r="BQ5" s="340"/>
      <c r="BR5" s="1803"/>
      <c r="BS5" s="340"/>
      <c r="BT5" s="340"/>
      <c r="BU5" s="340"/>
      <c r="BV5" s="340"/>
      <c r="BW5" s="340"/>
      <c r="BX5" s="340"/>
      <c r="BY5" s="340"/>
      <c r="BZ5" s="340"/>
      <c r="CA5" s="340"/>
      <c r="CB5" s="340"/>
      <c r="CC5" s="340"/>
      <c r="CD5" s="349"/>
      <c r="CE5" s="349"/>
    </row>
    <row r="6" spans="1:83" ht="12.75" customHeight="1">
      <c r="A6" s="781" t="s">
        <v>457</v>
      </c>
      <c r="B6" s="82" t="s">
        <v>218</v>
      </c>
      <c r="C6" s="139">
        <f>VLOOKUP($A$6,Drivers!1:1048576,MATCH('P&amp;L'!C4,Drivers!2:2,FALSE),FALSE)</f>
        <v>355.83499999999998</v>
      </c>
      <c r="D6" s="83">
        <f>VLOOKUP($A$6,Drivers!1:1048576,MATCH('P&amp;L'!D4,Drivers!2:2,FALSE),FALSE)</f>
        <v>234.59899999999999</v>
      </c>
      <c r="E6" s="83">
        <f>VLOOKUP($A$6,Drivers!1:1048576,MATCH('P&amp;L'!E4,Drivers!2:2,FALSE),FALSE)</f>
        <v>217.75800000000004</v>
      </c>
      <c r="F6" s="139">
        <f>VLOOKUP($A$6,Drivers!1:1048576,MATCH('P&amp;L'!F4,Drivers!2:2,FALSE),FALSE)</f>
        <v>452.35700000000003</v>
      </c>
      <c r="G6" s="83">
        <f>VLOOKUP($A$6,Drivers!1:1048576,MATCH('P&amp;L'!G4,Drivers!2:2,FALSE),FALSE)</f>
        <v>376.17700000000002</v>
      </c>
      <c r="H6" s="83">
        <f>VLOOKUP($A$6,Drivers!1:1048576,MATCH('P&amp;L'!H4,Drivers!2:2,FALSE),FALSE)</f>
        <v>317.76599999999996</v>
      </c>
      <c r="I6" s="139">
        <f>VLOOKUP($A$6,Drivers!1:1048576,MATCH('P&amp;L'!I4,Drivers!2:2,FALSE),FALSE)</f>
        <v>693.94299999999998</v>
      </c>
      <c r="J6" s="83">
        <f>VLOOKUP($A$6,Drivers!1:1048576,MATCH('P&amp;L'!J4,Drivers!2:2,FALSE),FALSE)</f>
        <v>509.83600000000001</v>
      </c>
      <c r="K6" s="83">
        <f>VLOOKUP($A$6,Drivers!1:1048576,MATCH('P&amp;L'!K4,Drivers!2:2,FALSE),FALSE)</f>
        <v>435.98500000000001</v>
      </c>
      <c r="L6" s="83">
        <f>VLOOKUP($A$6,Drivers!1:1048576,MATCH('P&amp;L'!L4,Drivers!2:2,FALSE),FALSE)</f>
        <v>945.82100000000003</v>
      </c>
      <c r="M6" s="83">
        <f>VLOOKUP($A$6,Drivers!1:1048576,MATCH('P&amp;L'!M4,Drivers!2:2,FALSE),FALSE)</f>
        <v>658.89800000000002</v>
      </c>
      <c r="N6" s="83">
        <f>VLOOKUP($A$6,Drivers!1:1048576,MATCH('P&amp;L'!N4,Drivers!2:2,FALSE),FALSE)</f>
        <v>622.93899999999996</v>
      </c>
      <c r="O6" s="83">
        <f>VLOOKUP($A$6,Drivers!1:1048576,MATCH('P&amp;L'!O4,Drivers!2:2,FALSE),FALSE)</f>
        <v>1281.837</v>
      </c>
      <c r="P6" s="83">
        <f>VLOOKUP($A$6,Drivers!1:1048576,MATCH('P&amp;L'!P4,Drivers!2:2,FALSE),FALSE)</f>
        <v>988.54200000000003</v>
      </c>
      <c r="Q6" s="83">
        <f>VLOOKUP($A$6,Drivers!1:1048576,MATCH('P&amp;L'!Q4,Drivers!2:2,FALSE),FALSE)</f>
        <v>840.02200000000005</v>
      </c>
      <c r="R6" s="83">
        <f>VLOOKUP($A$6,Drivers!1:1048576,MATCH('P&amp;L'!R4,Drivers!2:2,FALSE),FALSE)</f>
        <v>1828.5640000000001</v>
      </c>
      <c r="S6" s="83">
        <f>VLOOKUP($A$6,Drivers!1:1048576,MATCH('P&amp;L'!S4,Drivers!2:2,FALSE),FALSE)</f>
        <v>1261.5650000000001</v>
      </c>
      <c r="T6" s="83">
        <f>VLOOKUP($A$6,Drivers!1:1048576,MATCH('P&amp;L'!T4,Drivers!2:2,FALSE),FALSE)</f>
        <v>1065.701</v>
      </c>
      <c r="U6" s="83">
        <f>VLOOKUP($A$6,Drivers!1:1048576,MATCH('P&amp;L'!U4,Drivers!2:2,FALSE),FALSE)</f>
        <v>2327.2660000000001</v>
      </c>
      <c r="V6" s="83">
        <f>VLOOKUP($A$6,Drivers!1:1048576,MATCH('P&amp;L'!V4,Drivers!2:2,FALSE),FALSE)</f>
        <v>1553.7739999999999</v>
      </c>
      <c r="W6" s="83">
        <f>VLOOKUP($A$6,Drivers!1:1048576,MATCH('P&amp;L'!W4,Drivers!2:2,FALSE),FALSE)</f>
        <v>1177.5460000000003</v>
      </c>
      <c r="X6" s="83">
        <f>VLOOKUP($A$6,Drivers!1:1048576,MATCH('P&amp;L'!X4,Drivers!2:2,FALSE),FALSE)</f>
        <v>2731.32</v>
      </c>
      <c r="Y6" s="83">
        <f>VLOOKUP($A$6,Drivers!1:1048576,MATCH('P&amp;L'!Y4,Drivers!2:2,FALSE),FALSE)</f>
        <v>1682.634</v>
      </c>
      <c r="Z6" s="83">
        <f>VLOOKUP($A$6,Drivers!1:1048576,MATCH('P&amp;L'!Z4,Drivers!2:2,FALSE),FALSE)</f>
        <v>1276.6190000000001</v>
      </c>
      <c r="AA6" s="83">
        <f>VLOOKUP($A$6,Drivers!1:1048576,MATCH('P&amp;L'!AA4,Drivers!2:2,FALSE),FALSE)</f>
        <v>2959.2530000000002</v>
      </c>
      <c r="AB6" s="83">
        <f>VLOOKUP($A$6,Drivers!1:1048576,MATCH('P&amp;L'!AB4,Drivers!2:2,FALSE),FALSE)</f>
        <v>1774.729</v>
      </c>
      <c r="AC6" s="83">
        <f>VLOOKUP($A$6,Drivers!1:1048576,MATCH('P&amp;L'!AC4,Drivers!2:2,FALSE),FALSE)</f>
        <v>1353.0629999999999</v>
      </c>
      <c r="AD6" s="83">
        <f>VLOOKUP($A$6,Drivers!1:1048576,MATCH('P&amp;L'!AD4,Drivers!2:2,FALSE),FALSE)</f>
        <v>3127.7919999999999</v>
      </c>
      <c r="AE6" s="83">
        <f>VLOOKUP($A$6,Drivers!1:1048576,MATCH('P&amp;L'!AE4,Drivers!2:2,FALSE),FALSE)</f>
        <v>1816.248</v>
      </c>
      <c r="AF6" s="83">
        <f>VLOOKUP($A$6,Drivers!1:1048576,MATCH('P&amp;L'!AF4,Drivers!2:2,FALSE),FALSE)</f>
        <v>1492.152</v>
      </c>
      <c r="AG6" s="83">
        <f>VLOOKUP($A$6,Drivers!1:1048576,MATCH('P&amp;L'!AG4,Drivers!2:2,FALSE),FALSE)</f>
        <v>3308.4</v>
      </c>
      <c r="AH6" s="83">
        <f>VLOOKUP($A$6,Drivers!1:1048576,MATCH('P&amp;L'!AH4,Drivers!2:2,FALSE),FALSE)</f>
        <v>1939.913</v>
      </c>
      <c r="AI6" s="83">
        <f>VLOOKUP($A$6,Drivers!1:1048576,MATCH('P&amp;L'!AI4,Drivers!2:2,FALSE),FALSE)</f>
        <v>1543.8620000000001</v>
      </c>
      <c r="AJ6" s="83">
        <f>VLOOKUP($A$6,Drivers!1:1048576,MATCH('P&amp;L'!AJ4,Drivers!2:2,FALSE),FALSE)</f>
        <v>3483.7750000000001</v>
      </c>
      <c r="AK6" s="83">
        <f>VLOOKUP($A$6,Drivers!1:1048576,MATCH('P&amp;L'!AK4,Drivers!2:2,FALSE),FALSE)</f>
        <v>1965.1479999999999</v>
      </c>
      <c r="AL6" s="83">
        <f>VLOOKUP($A$6,Drivers!1:1048576,MATCH('P&amp;L'!AL4,Drivers!2:2,FALSE),FALSE)</f>
        <v>1686.9880000000001</v>
      </c>
      <c r="AM6" s="83">
        <f>VLOOKUP($A$6,Drivers!1:1048576,MATCH('P&amp;L'!AM4,Drivers!2:2,FALSE),FALSE)</f>
        <v>3652.136</v>
      </c>
      <c r="AN6" s="83">
        <f>VLOOKUP($A$6,Drivers!1:1048576,MATCH('P&amp;L'!AN4,Drivers!2:2,FALSE),FALSE)</f>
        <v>2116.817</v>
      </c>
      <c r="AO6" s="83">
        <f>VLOOKUP($A$6,Drivers!1:1048576,MATCH('P&amp;L'!AO4,Drivers!2:2,FALSE),FALSE)</f>
        <v>1837.65</v>
      </c>
      <c r="AP6" s="83">
        <f>VLOOKUP($A$6,Drivers!1:1048576,MATCH('P&amp;L'!AP4,Drivers!2:2,FALSE),FALSE)</f>
        <v>3954.4670000000001</v>
      </c>
      <c r="AQ6" s="83">
        <f>VLOOKUP($A$6,Drivers!1:1048576,MATCH('P&amp;L'!AQ4,Drivers!2:2,FALSE),FALSE)</f>
        <v>2616.1999999999998</v>
      </c>
      <c r="AR6" s="83">
        <f>VLOOKUP($A$6,Drivers!1:1048576,MATCH('P&amp;L'!AR4,Drivers!2:2,FALSE),FALSE)</f>
        <v>3011.8000000000006</v>
      </c>
      <c r="AS6" s="83">
        <f>VLOOKUP($A$6,Drivers!1:1048576,MATCH('P&amp;L'!AS4,Drivers!2:2,FALSE),FALSE)</f>
        <v>5628</v>
      </c>
      <c r="AT6" s="83">
        <f>VLOOKUP($A$6,Drivers!1:1048576,MATCH('P&amp;L'!AT4,Drivers!2:2,FALSE),FALSE)</f>
        <v>3689.8</v>
      </c>
      <c r="AU6" s="83">
        <f>VLOOKUP($A$6,Drivers!1:1048576,MATCH('P&amp;L'!AU4,Drivers!2:2,FALSE),FALSE)</f>
        <v>3164.5</v>
      </c>
      <c r="AV6" s="83">
        <f>VLOOKUP($A$6,Drivers!1:1048576,MATCH('P&amp;L'!AV4,Drivers!2:2,FALSE),FALSE)</f>
        <v>6854.3</v>
      </c>
      <c r="AW6" s="83">
        <f>VLOOKUP($A$6,Drivers!1:1048576,MATCH('P&amp;L'!AW4,Drivers!2:2,FALSE),FALSE)</f>
        <v>3843.7</v>
      </c>
      <c r="AX6" s="83">
        <f>VLOOKUP($A$6,Drivers!1:1048576,MATCH('P&amp;L'!AX4,Drivers!2:2,FALSE),FALSE)</f>
        <v>3251.5999999999995</v>
      </c>
      <c r="AY6" s="83">
        <f>VLOOKUP($A$6,Drivers!1:1048576,MATCH('P&amp;L'!AY4,Drivers!2:2,FALSE),FALSE)</f>
        <v>7095.2999999999993</v>
      </c>
      <c r="AZ6" s="83">
        <f>VLOOKUP($A$6,Drivers!1:1048576,MATCH('P&amp;L'!AZ4,Drivers!2:2,FALSE),FALSE)</f>
        <v>3995.2</v>
      </c>
      <c r="BA6" s="83">
        <f>VLOOKUP($A$6,Drivers!1:1048576,MATCH('P&amp;L'!BA4,Drivers!2:2,FALSE),FALSE)</f>
        <v>3923.7</v>
      </c>
      <c r="BB6" s="83">
        <f>VLOOKUP($A$6,Drivers!1:1048576,MATCH('P&amp;L'!BB4,Drivers!2:2,FALSE),FALSE)</f>
        <v>7918.9</v>
      </c>
      <c r="BC6" s="83">
        <f>VLOOKUP($A$6,Drivers!1:1048576,MATCH('P&amp;L'!BC4,Drivers!2:2,FALSE),FALSE)</f>
        <v>4941.2</v>
      </c>
      <c r="BD6" s="83">
        <f>VLOOKUP($A$6,Drivers!1:1048576,MATCH('P&amp;L'!BD4,Drivers!2:2,FALSE),FALSE)</f>
        <v>3974.9000000000005</v>
      </c>
      <c r="BE6" s="83">
        <f>VLOOKUP($A$6,Drivers!1:1048576,MATCH('P&amp;L'!BE4,Drivers!2:2,FALSE),FALSE)</f>
        <v>8916.1</v>
      </c>
      <c r="BF6" s="83">
        <f>VLOOKUP($A$6,Drivers!1:1048576,MATCH('P&amp;L'!BF4,Drivers!2:2,FALSE),FALSE)</f>
        <v>4861.8</v>
      </c>
      <c r="BG6" s="83">
        <f>VLOOKUP($A$6,Drivers!1:1048576,MATCH('P&amp;L'!BG4,Drivers!2:2,FALSE),FALSE)</f>
        <v>4370.2</v>
      </c>
      <c r="BH6" s="1142">
        <f>VLOOKUP($A$6,Drivers!1:1048576,MATCH('P&amp;L'!BH4,Drivers!2:2,FALSE),FALSE)</f>
        <v>9232</v>
      </c>
      <c r="BI6" s="83">
        <f>VLOOKUP($A$6,Drivers!1:1048576,MATCH('P&amp;L'!BI4,Drivers!2:2,FALSE),FALSE)</f>
        <v>5278.5</v>
      </c>
      <c r="BJ6" s="83">
        <f>VLOOKUP($A$6,Drivers!1:1048576,MATCH('P&amp;L'!BJ4,Drivers!2:2,FALSE),FALSE)</f>
        <v>4347.8999999999996</v>
      </c>
      <c r="BK6" s="1291">
        <f>VLOOKUP($A$6,Drivers!1:1048576,MATCH('P&amp;L'!BK4,Drivers!2:2,FALSE),FALSE)</f>
        <v>9626.4</v>
      </c>
      <c r="BL6" s="83">
        <f>VLOOKUP($A$6,Drivers!1:1048576,MATCH('P&amp;L'!BL4,Drivers!2:2,FALSE),FALSE)</f>
        <v>5162.1000000000004</v>
      </c>
      <c r="BM6" s="83">
        <f>VLOOKUP($A$6,Drivers!1:1048576,MATCH('P&amp;L'!BM4,Drivers!2:2,FALSE),FALSE)</f>
        <v>4430.2999999999993</v>
      </c>
      <c r="BN6" s="1534">
        <f>VLOOKUP($A$6,Drivers!1:1048576,MATCH('P&amp;L'!BN4,Drivers!2:2,FALSE),FALSE)</f>
        <v>9592.4</v>
      </c>
      <c r="BO6" s="1534">
        <f>VLOOKUP($A$6,Drivers!1:1048576,MATCH('P&amp;L'!BO4,Drivers!2:2,FALSE),FALSE)</f>
        <v>5670.4</v>
      </c>
      <c r="BP6" s="83">
        <f>VLOOKUP($A$6,Drivers!1:1048576,MATCH('P&amp;L'!BP4,Drivers!2:2,FALSE),FALSE)</f>
        <v>4884.4000000000005</v>
      </c>
      <c r="BQ6" s="1534">
        <f>VLOOKUP($A$6,Drivers!1:1048576,MATCH('P&amp;L'!BQ4,Drivers!2:2,FALSE),FALSE)</f>
        <v>10554.800000000001</v>
      </c>
      <c r="BR6" s="1804">
        <f>VLOOKUP($A$6,Drivers!1:1048576,MATCH('P&amp;L'!BR4,Drivers!2:2,FALSE),FALSE)</f>
        <v>6085.3</v>
      </c>
      <c r="BS6" s="83">
        <f>VLOOKUP($A$6,Drivers!1:1048576,MATCH('P&amp;L'!BS4,Drivers!2:2,FALSE),FALSE)</f>
        <v>5065.7012279909559</v>
      </c>
      <c r="BT6" s="83">
        <f>VLOOKUP($A$6,Drivers!1:1048576,MATCH('P&amp;L'!BT4,Drivers!2:2,FALSE),FALSE)</f>
        <v>11151.001227990957</v>
      </c>
      <c r="BU6" s="83">
        <f>VLOOKUP($A$6,Drivers!1:1048576,MATCH('P&amp;L'!BU4,Drivers!2:2,FALSE),FALSE)</f>
        <v>6335.1832046481186</v>
      </c>
      <c r="BV6" s="83">
        <f>VLOOKUP($A$6,Drivers!1:1048576,MATCH('P&amp;L'!BV4,Drivers!2:2,FALSE),FALSE)</f>
        <v>5283.9647531277224</v>
      </c>
      <c r="BW6" s="83">
        <f>VLOOKUP($A$6,Drivers!1:1048576,MATCH('P&amp;L'!BW4,Drivers!2:2,FALSE),FALSE)</f>
        <v>11619.14795777584</v>
      </c>
      <c r="BX6" s="83">
        <f>VLOOKUP($A$6,Drivers!1:1048576,MATCH('P&amp;L'!BX4,Drivers!2:2,FALSE),FALSE)</f>
        <v>6614.2134047070213</v>
      </c>
      <c r="BY6" s="83">
        <f>VLOOKUP($A$6,Drivers!1:1048576,MATCH('P&amp;L'!BY4,Drivers!2:2,FALSE),FALSE)</f>
        <v>5493.1818099288012</v>
      </c>
      <c r="BZ6" s="83">
        <f>VLOOKUP($A$6,Drivers!1:1048576,MATCH('P&amp;L'!BZ4,Drivers!2:2,FALSE),FALSE)</f>
        <v>12107.395214635822</v>
      </c>
      <c r="CA6" s="83">
        <f>VLOOKUP($A$6,Drivers!1:1048576,MATCH('P&amp;L'!CA4,Drivers!2:2,FALSE),FALSE)</f>
        <v>6892.4851451519617</v>
      </c>
      <c r="CB6" s="83">
        <f>VLOOKUP($A$6,Drivers!1:1048576,MATCH('P&amp;L'!CB4,Drivers!2:2,FALSE),FALSE)</f>
        <v>5724.275091737778</v>
      </c>
      <c r="CC6" s="83">
        <f>VLOOKUP($A$6,Drivers!1:1048576,MATCH('P&amp;L'!CC4,Drivers!2:2,FALSE),FALSE)</f>
        <v>12616.760236889741</v>
      </c>
      <c r="CD6" s="350"/>
      <c r="CE6" s="350"/>
    </row>
    <row r="7" spans="1:83" ht="13.5" customHeight="1">
      <c r="A7" s="781"/>
      <c r="B7" s="787" t="s">
        <v>272</v>
      </c>
      <c r="C7" s="341"/>
      <c r="D7" s="341"/>
      <c r="E7" s="341"/>
      <c r="F7" s="341">
        <f>F6/C6-1</f>
        <v>0.27125493557407232</v>
      </c>
      <c r="G7" s="341">
        <f>G6/D6-1</f>
        <v>0.60348935843716323</v>
      </c>
      <c r="H7" s="341">
        <f>H6/E6-1</f>
        <v>0.45926211666161465</v>
      </c>
      <c r="I7" s="341">
        <f t="shared" ref="I7:U7" si="0">I6/F6-1</f>
        <v>0.53406048762371294</v>
      </c>
      <c r="J7" s="341">
        <f t="shared" si="0"/>
        <v>0.3553088041001975</v>
      </c>
      <c r="K7" s="341">
        <f t="shared" si="0"/>
        <v>0.37203162075237772</v>
      </c>
      <c r="L7" s="341">
        <f t="shared" si="0"/>
        <v>0.36296641078590031</v>
      </c>
      <c r="M7" s="341">
        <f t="shared" si="0"/>
        <v>0.29237244917973615</v>
      </c>
      <c r="N7" s="341">
        <f t="shared" si="0"/>
        <v>0.4288083305618311</v>
      </c>
      <c r="O7" s="341">
        <f t="shared" si="0"/>
        <v>0.35526383956372287</v>
      </c>
      <c r="P7" s="341">
        <f t="shared" si="0"/>
        <v>0.50029594869008553</v>
      </c>
      <c r="Q7" s="341">
        <f t="shared" si="0"/>
        <v>0.34848195409181337</v>
      </c>
      <c r="R7" s="341">
        <f t="shared" si="0"/>
        <v>0.42651834827673096</v>
      </c>
      <c r="S7" s="341">
        <f t="shared" si="0"/>
        <v>0.27618755702843178</v>
      </c>
      <c r="T7" s="341">
        <f t="shared" si="0"/>
        <v>0.26865843989800253</v>
      </c>
      <c r="U7" s="341">
        <f t="shared" si="0"/>
        <v>0.27272876421060466</v>
      </c>
      <c r="V7" s="341">
        <f t="shared" ref="V7" si="1">V6/T6-1</f>
        <v>0.45798305528473726</v>
      </c>
      <c r="W7" s="341">
        <f t="shared" ref="W7" si="2">W6/U6-1</f>
        <v>-0.49402174053159364</v>
      </c>
      <c r="X7" s="341">
        <f t="shared" ref="X7:AG7" si="3">X6/U6-1</f>
        <v>0.17361745498795589</v>
      </c>
      <c r="Y7" s="341">
        <f t="shared" si="3"/>
        <v>8.2933554043252089E-2</v>
      </c>
      <c r="Z7" s="341">
        <f t="shared" si="3"/>
        <v>8.4135142066636748E-2</v>
      </c>
      <c r="AA7" s="341">
        <f t="shared" si="3"/>
        <v>8.3451591172033934E-2</v>
      </c>
      <c r="AB7" s="341">
        <f t="shared" si="3"/>
        <v>5.4732639421288365E-2</v>
      </c>
      <c r="AC7" s="341">
        <f t="shared" si="3"/>
        <v>5.9880042518558607E-2</v>
      </c>
      <c r="AD7" s="341">
        <f t="shared" si="3"/>
        <v>5.6953224344116427E-2</v>
      </c>
      <c r="AE7" s="341">
        <f>AE6/AB6-1</f>
        <v>2.3394557704303098E-2</v>
      </c>
      <c r="AF7" s="341">
        <f t="shared" si="3"/>
        <v>0.10279565696497506</v>
      </c>
      <c r="AG7" s="341">
        <f t="shared" si="3"/>
        <v>5.774297012077545E-2</v>
      </c>
      <c r="AH7" s="341">
        <f>AH6/AE6-1</f>
        <v>6.8088168576097452E-2</v>
      </c>
      <c r="AI7" s="341">
        <f t="shared" ref="AI7" si="4">AI6/AF6-1</f>
        <v>3.4654646443525783E-2</v>
      </c>
      <c r="AJ7" s="341">
        <f t="shared" ref="AJ7" si="5">AJ6/AG6-1</f>
        <v>5.3009007375166339E-2</v>
      </c>
      <c r="AK7" s="341">
        <f t="shared" ref="AK7:BQ7" si="6">AK6/AH6-1</f>
        <v>1.3008315321357156E-2</v>
      </c>
      <c r="AL7" s="341">
        <f t="shared" si="6"/>
        <v>9.2706472469689549E-2</v>
      </c>
      <c r="AM7" s="341">
        <f t="shared" si="6"/>
        <v>4.8327173827241943E-2</v>
      </c>
      <c r="AN7" s="341">
        <f t="shared" si="6"/>
        <v>7.7179428724961197E-2</v>
      </c>
      <c r="AO7" s="341">
        <f t="shared" si="6"/>
        <v>8.9308281979480597E-2</v>
      </c>
      <c r="AP7" s="341">
        <f t="shared" si="6"/>
        <v>8.2781966498509441E-2</v>
      </c>
      <c r="AQ7" s="341">
        <f t="shared" si="6"/>
        <v>0.23591222103752929</v>
      </c>
      <c r="AR7" s="341">
        <f t="shared" si="6"/>
        <v>0.63894103882676268</v>
      </c>
      <c r="AS7" s="341">
        <f t="shared" si="6"/>
        <v>0.42320064878528507</v>
      </c>
      <c r="AT7" s="341">
        <f t="shared" si="6"/>
        <v>0.41036617995566105</v>
      </c>
      <c r="AU7" s="341">
        <f t="shared" si="6"/>
        <v>5.0700577727604612E-2</v>
      </c>
      <c r="AV7" s="341">
        <f t="shared" si="6"/>
        <v>0.2178926794598437</v>
      </c>
      <c r="AW7" s="341">
        <f t="shared" si="6"/>
        <v>4.1709577754891702E-2</v>
      </c>
      <c r="AX7" s="341">
        <f t="shared" si="6"/>
        <v>2.7524095433717699E-2</v>
      </c>
      <c r="AY7" s="341">
        <f t="shared" si="6"/>
        <v>3.516041025341754E-2</v>
      </c>
      <c r="AZ7" s="341">
        <f t="shared" si="6"/>
        <v>3.9415146863698958E-2</v>
      </c>
      <c r="BA7" s="341">
        <f>BA6/AX6-1</f>
        <v>0.20669824086603539</v>
      </c>
      <c r="BB7" s="341">
        <f t="shared" si="6"/>
        <v>0.11607683959804382</v>
      </c>
      <c r="BC7" s="341">
        <f t="shared" si="6"/>
        <v>0.23678414096916311</v>
      </c>
      <c r="BD7" s="341">
        <f>BD6/BA6-1</f>
        <v>1.3048907918546515E-2</v>
      </c>
      <c r="BE7" s="341">
        <f t="shared" si="6"/>
        <v>0.12592658071196761</v>
      </c>
      <c r="BF7" s="341">
        <f t="shared" si="6"/>
        <v>-1.6068971100137497E-2</v>
      </c>
      <c r="BG7" s="341">
        <f t="shared" si="6"/>
        <v>9.9449042743213534E-2</v>
      </c>
      <c r="BH7" s="341">
        <f t="shared" ref="BH7" si="7">BH6/BE6-1</f>
        <v>3.5430289027713835E-2</v>
      </c>
      <c r="BI7" s="341">
        <f t="shared" si="6"/>
        <v>8.5708996667900772E-2</v>
      </c>
      <c r="BJ7" s="84">
        <f t="shared" ref="BJ7" si="8">BJ6/BG6-1</f>
        <v>-5.1027412933046801E-3</v>
      </c>
      <c r="BK7" s="341">
        <f t="shared" si="6"/>
        <v>4.272097053726176E-2</v>
      </c>
      <c r="BL7" s="341">
        <f t="shared" si="6"/>
        <v>-2.2051719238419976E-2</v>
      </c>
      <c r="BM7" s="84">
        <f t="shared" si="6"/>
        <v>1.8951677821476887E-2</v>
      </c>
      <c r="BN7" s="341">
        <f t="shared" si="6"/>
        <v>-3.531953793733944E-3</v>
      </c>
      <c r="BO7" s="341">
        <f t="shared" si="6"/>
        <v>9.8467677883032012E-2</v>
      </c>
      <c r="BP7" s="341">
        <f>BP6/BM6-1</f>
        <v>0.10249870211949563</v>
      </c>
      <c r="BQ7" s="341">
        <f t="shared" si="6"/>
        <v>0.10032942746340878</v>
      </c>
      <c r="BR7" s="1805">
        <f>BR6/BO6-1</f>
        <v>7.3169441309255179E-2</v>
      </c>
      <c r="BS7" s="341">
        <f t="shared" ref="BS7" si="9">BS6/BP6-1</f>
        <v>3.7118423550682955E-2</v>
      </c>
      <c r="BT7" s="341">
        <f>BT6/BQ6-1</f>
        <v>5.6486264826520305E-2</v>
      </c>
      <c r="BU7" s="341">
        <f t="shared" ref="BU7" si="10">BU6/BR6-1</f>
        <v>4.106341587894069E-2</v>
      </c>
      <c r="BV7" s="341">
        <f t="shared" ref="BV7" si="11">BV6/BS6-1</f>
        <v>4.3086537344668718E-2</v>
      </c>
      <c r="BW7" s="341">
        <f>BW6/BT6-1</f>
        <v>4.1982483923484137E-2</v>
      </c>
      <c r="BX7" s="341">
        <f t="shared" ref="BX7" si="12">BX6/BU6-1</f>
        <v>4.4044535263665141E-2</v>
      </c>
      <c r="BY7" s="341">
        <f t="shared" ref="BY7" si="13">BY6/BV6-1</f>
        <v>3.9594710899091057E-2</v>
      </c>
      <c r="BZ7" s="341">
        <f>BZ6/BW6-1</f>
        <v>4.2020917423057247E-2</v>
      </c>
      <c r="CA7" s="341">
        <f t="shared" ref="CA7" si="14">CA6/BX6-1</f>
        <v>4.2071781392313046E-2</v>
      </c>
      <c r="CB7" s="341">
        <f t="shared" ref="CB7" si="15">CB6/BY6-1</f>
        <v>4.2069112183995339E-2</v>
      </c>
      <c r="CC7" s="341">
        <f>CC6/BZ6-1</f>
        <v>4.2070570360021042E-2</v>
      </c>
      <c r="CD7" s="350"/>
      <c r="CE7" s="350"/>
    </row>
    <row r="8" spans="1:83" ht="13.5" customHeight="1">
      <c r="A8" s="781"/>
      <c r="B8" s="832"/>
      <c r="C8" s="342"/>
      <c r="D8" s="342"/>
      <c r="E8" s="342"/>
      <c r="F8" s="342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439">
        <f>108.4/BF6</f>
        <v>2.2296268871611336E-2</v>
      </c>
      <c r="BG8" s="342"/>
      <c r="BH8" s="342"/>
      <c r="BI8" s="439">
        <f>108.4/BI6</f>
        <v>2.0536137160178082E-2</v>
      </c>
      <c r="BJ8" s="48">
        <f>(BJ6+BL6)/(BI6+BG6)-1</f>
        <v>-1.4374993522443535E-2</v>
      </c>
      <c r="BK8" s="439">
        <f>108.4/BK6</f>
        <v>1.1260699742375136E-2</v>
      </c>
      <c r="BL8" s="439">
        <f>108.4/BL6</f>
        <v>2.0999205749598033E-2</v>
      </c>
      <c r="BM8" s="48">
        <f>(BM6+BO6)/(BL6+BJ6)-1</f>
        <v>6.2113564668769605E-2</v>
      </c>
      <c r="BN8" s="439">
        <f>108.4/BN6</f>
        <v>1.1300612985280014E-2</v>
      </c>
      <c r="BO8" s="439">
        <f>108.4/BO6</f>
        <v>1.9116817155756211E-2</v>
      </c>
      <c r="BP8" s="342"/>
      <c r="BQ8" s="439">
        <f>108.4/BQ6</f>
        <v>1.0270208814946754E-2</v>
      </c>
      <c r="BR8" s="1806"/>
      <c r="BS8" s="342"/>
      <c r="BT8" s="342"/>
      <c r="BU8" s="342"/>
      <c r="BV8" s="342"/>
      <c r="BW8" s="342"/>
      <c r="BX8" s="342"/>
      <c r="BY8" s="342"/>
      <c r="BZ8" s="342"/>
      <c r="CA8" s="342"/>
      <c r="CB8" s="342"/>
      <c r="CC8" s="342"/>
      <c r="CD8" s="342"/>
      <c r="CE8" s="342"/>
    </row>
    <row r="9" spans="1:83" ht="13.5" customHeight="1">
      <c r="A9" s="781"/>
      <c r="B9" s="826"/>
      <c r="C9" s="343"/>
      <c r="D9" s="343"/>
      <c r="E9" s="343"/>
      <c r="F9" s="343"/>
      <c r="G9" s="343"/>
      <c r="H9" s="343"/>
      <c r="I9" s="343"/>
      <c r="J9" s="343"/>
      <c r="K9" s="343"/>
      <c r="L9" s="343"/>
      <c r="M9" s="343"/>
      <c r="N9" s="343"/>
      <c r="O9" s="343"/>
      <c r="P9" s="343"/>
      <c r="Q9" s="343"/>
      <c r="R9" s="343"/>
      <c r="S9" s="343"/>
      <c r="T9" s="343"/>
      <c r="U9" s="343"/>
      <c r="V9" s="343"/>
      <c r="W9" s="343"/>
      <c r="X9" s="343"/>
      <c r="Y9" s="343"/>
      <c r="Z9" s="343"/>
      <c r="AA9" s="343"/>
      <c r="AB9" s="343"/>
      <c r="AC9" s="343"/>
      <c r="AD9" s="343"/>
      <c r="AE9" s="343"/>
      <c r="AF9" s="343"/>
      <c r="AG9" s="343"/>
      <c r="AH9" s="343"/>
      <c r="AI9" s="343"/>
      <c r="AJ9" s="343"/>
      <c r="AK9" s="343"/>
      <c r="AL9" s="343"/>
      <c r="AM9" s="343"/>
      <c r="AN9" s="343"/>
      <c r="AO9" s="343"/>
      <c r="AP9" s="343"/>
      <c r="AQ9" s="343"/>
      <c r="AR9" s="343"/>
      <c r="AS9" s="343"/>
      <c r="AT9" s="343"/>
      <c r="AU9" s="343"/>
      <c r="AV9" s="343"/>
      <c r="AW9" s="343"/>
      <c r="AX9" s="343"/>
      <c r="AY9" s="343"/>
      <c r="AZ9" s="343"/>
      <c r="BA9" s="343"/>
      <c r="BB9" s="343"/>
      <c r="BC9" s="343"/>
      <c r="BD9" s="343"/>
      <c r="BE9" s="343"/>
      <c r="BF9" s="343"/>
      <c r="BG9" s="343"/>
      <c r="BH9" s="343"/>
      <c r="BI9" s="343"/>
      <c r="BJ9" s="561"/>
      <c r="BK9" s="343"/>
      <c r="BL9" s="343"/>
      <c r="BM9" s="561"/>
      <c r="BN9" s="343"/>
      <c r="BO9" s="343"/>
      <c r="BP9" s="343"/>
      <c r="BQ9" s="343"/>
      <c r="BR9" s="1807"/>
      <c r="BS9" s="343"/>
      <c r="BT9" s="343"/>
      <c r="BU9" s="343"/>
      <c r="BV9" s="343"/>
      <c r="BW9" s="343"/>
      <c r="BX9" s="343"/>
      <c r="BY9" s="343"/>
      <c r="BZ9" s="343"/>
      <c r="CA9" s="343"/>
      <c r="CB9" s="343"/>
      <c r="CC9" s="343"/>
      <c r="CD9" s="343"/>
      <c r="CE9" s="343"/>
    </row>
    <row r="10" spans="1:83" ht="13.5" customHeight="1">
      <c r="A10" s="781" t="s">
        <v>273</v>
      </c>
      <c r="B10" s="830" t="s">
        <v>274</v>
      </c>
      <c r="C10" s="342">
        <f t="shared" ref="C10:AG10" si="16">C11-C6</f>
        <v>-275.90100000000001</v>
      </c>
      <c r="D10" s="342">
        <f>D11-D6</f>
        <v>-180.06800000000001</v>
      </c>
      <c r="E10" s="342">
        <f>E11-E6</f>
        <v>-166.35299999999998</v>
      </c>
      <c r="F10" s="342">
        <f t="shared" si="16"/>
        <v>-346.42099999999999</v>
      </c>
      <c r="G10" s="342">
        <f t="shared" si="16"/>
        <v>-289.64100000000002</v>
      </c>
      <c r="H10" s="342">
        <f t="shared" si="16"/>
        <v>-245.62099999999992</v>
      </c>
      <c r="I10" s="342">
        <f t="shared" si="16"/>
        <v>-535.26199999999994</v>
      </c>
      <c r="J10" s="342">
        <f t="shared" si="16"/>
        <v>-395.024</v>
      </c>
      <c r="K10" s="342">
        <f t="shared" si="16"/>
        <v>-338.37099999999998</v>
      </c>
      <c r="L10" s="342">
        <f t="shared" si="16"/>
        <v>-733.39499999999998</v>
      </c>
      <c r="M10" s="342">
        <f t="shared" si="16"/>
        <v>-513.01</v>
      </c>
      <c r="N10" s="342">
        <f t="shared" si="16"/>
        <v>-485.46799999999996</v>
      </c>
      <c r="O10" s="342">
        <f t="shared" si="16"/>
        <v>-998.47799999999995</v>
      </c>
      <c r="P10" s="342">
        <f t="shared" si="16"/>
        <v>-775.23199999999997</v>
      </c>
      <c r="Q10" s="342">
        <f t="shared" si="16"/>
        <v>-653.64100000000008</v>
      </c>
      <c r="R10" s="342">
        <f t="shared" si="16"/>
        <v>-1428.873</v>
      </c>
      <c r="S10" s="342">
        <f t="shared" si="16"/>
        <v>-992.08299999999997</v>
      </c>
      <c r="T10" s="342">
        <f t="shared" si="16"/>
        <v>-831.59199999999998</v>
      </c>
      <c r="U10" s="342">
        <f t="shared" si="16"/>
        <v>-1823.675</v>
      </c>
      <c r="V10" s="342">
        <f t="shared" si="16"/>
        <v>-1225.9679999999998</v>
      </c>
      <c r="W10" s="342">
        <f t="shared" si="16"/>
        <v>-911.17399999999998</v>
      </c>
      <c r="X10" s="342">
        <f t="shared" si="16"/>
        <v>-2137.1419999999998</v>
      </c>
      <c r="Y10" s="342">
        <f t="shared" si="16"/>
        <v>-1320.1690000000001</v>
      </c>
      <c r="Z10" s="342">
        <f t="shared" si="16"/>
        <v>-987.05500000000006</v>
      </c>
      <c r="AA10" s="342">
        <f t="shared" si="16"/>
        <v>-2307.2240000000002</v>
      </c>
      <c r="AB10" s="342">
        <f t="shared" si="16"/>
        <v>-1397.7629999999999</v>
      </c>
      <c r="AC10" s="342">
        <f t="shared" si="16"/>
        <v>-1070.1990000000001</v>
      </c>
      <c r="AD10" s="342">
        <f t="shared" si="16"/>
        <v>-2467.962</v>
      </c>
      <c r="AE10" s="342">
        <f t="shared" si="16"/>
        <v>-1425.348</v>
      </c>
      <c r="AF10" s="342">
        <f t="shared" si="16"/>
        <v>-1170.846</v>
      </c>
      <c r="AG10" s="342">
        <f t="shared" si="16"/>
        <v>-2596.194</v>
      </c>
      <c r="AH10" s="342">
        <f>AH11-AH6</f>
        <v>-1520.348</v>
      </c>
      <c r="AI10" s="342">
        <f>AI11-AI6</f>
        <v>-1207.4459999999999</v>
      </c>
      <c r="AJ10" s="342">
        <f t="shared" ref="AJ10:BB10" si="17">AJ11-AJ6</f>
        <v>-2727.7939999999999</v>
      </c>
      <c r="AK10" s="342">
        <f>AK11-AK6</f>
        <v>-1537.8969999999999</v>
      </c>
      <c r="AL10" s="342">
        <f>AL11-AL6</f>
        <v>-1315.9859999999999</v>
      </c>
      <c r="AM10" s="342">
        <f t="shared" si="17"/>
        <v>-2853.8829999999998</v>
      </c>
      <c r="AN10" s="342">
        <f>AN11-AN6</f>
        <v>-1657.2449999999999</v>
      </c>
      <c r="AO10" s="342">
        <f>AO11-AO6</f>
        <v>-1431.8140000000003</v>
      </c>
      <c r="AP10" s="342">
        <f t="shared" si="17"/>
        <v>-3089.0590000000002</v>
      </c>
      <c r="AQ10" s="342">
        <f>AQ11-AQ6</f>
        <v>-2045.1</v>
      </c>
      <c r="AR10" s="342">
        <f>AR11-AR6</f>
        <v>-2352.4616800000003</v>
      </c>
      <c r="AS10" s="342">
        <f t="shared" si="17"/>
        <v>-4397.5616799999998</v>
      </c>
      <c r="AT10" s="342">
        <f t="shared" ref="AT10:AU10" si="18">AT11-AT6</f>
        <v>-2895.9</v>
      </c>
      <c r="AU10" s="342">
        <f t="shared" si="18"/>
        <v>-2488.0999999999995</v>
      </c>
      <c r="AV10" s="342">
        <f>AV11-AV6</f>
        <v>-5384</v>
      </c>
      <c r="AW10" s="342">
        <f>AW11-AW6</f>
        <v>-3015.7</v>
      </c>
      <c r="AX10" s="342">
        <f>AX11-AX6</f>
        <v>-2553.4000000000005</v>
      </c>
      <c r="AY10" s="342">
        <f t="shared" si="17"/>
        <v>-5569.1</v>
      </c>
      <c r="AZ10" s="342">
        <f>AZ11-AZ6</f>
        <v>-3135</v>
      </c>
      <c r="BA10" s="342">
        <f>BA11-BA6</f>
        <v>-3089.8</v>
      </c>
      <c r="BB10" s="342">
        <f t="shared" si="17"/>
        <v>-6224.7999999999993</v>
      </c>
      <c r="BC10" s="342">
        <f t="shared" ref="BC10:BD10" si="19">BC11-BC6</f>
        <v>-3856</v>
      </c>
      <c r="BD10" s="342">
        <f t="shared" si="19"/>
        <v>-3082.9000000000005</v>
      </c>
      <c r="BE10" s="342">
        <f t="shared" ref="BE10:BT10" si="20">BE11-BE6</f>
        <v>-6938.9000000000005</v>
      </c>
      <c r="BF10" s="342">
        <f t="shared" ref="BF10:BK10" si="21">BF11-BF6</f>
        <v>-3797.4</v>
      </c>
      <c r="BG10" s="342">
        <f t="shared" si="21"/>
        <v>-3354.2</v>
      </c>
      <c r="BH10" s="342">
        <f t="shared" si="21"/>
        <v>-7151.6</v>
      </c>
      <c r="BI10" s="342">
        <f t="shared" si="21"/>
        <v>-4076.7</v>
      </c>
      <c r="BJ10" s="81">
        <f t="shared" si="21"/>
        <v>-3367.2</v>
      </c>
      <c r="BK10" s="342">
        <f t="shared" si="21"/>
        <v>-7443.9</v>
      </c>
      <c r="BL10" s="342">
        <f t="shared" ref="BL10:BN10" si="22">BL11-BL6</f>
        <v>-4015.3</v>
      </c>
      <c r="BM10" s="81">
        <f t="shared" si="22"/>
        <v>-3436.6999999999989</v>
      </c>
      <c r="BN10" s="342">
        <f t="shared" si="22"/>
        <v>-7452</v>
      </c>
      <c r="BO10" s="342">
        <f t="shared" ref="BO10" si="23">BO11-BO6</f>
        <v>-4416.2</v>
      </c>
      <c r="BP10" s="342">
        <f>BP11-BP6</f>
        <v>-3778.2000000000007</v>
      </c>
      <c r="BQ10" s="342">
        <f t="shared" ref="BQ10" si="24">BQ11-BQ6</f>
        <v>-8194.4000000000015</v>
      </c>
      <c r="BR10" s="1806">
        <f>BR11-BR6</f>
        <v>-4727.8999999999996</v>
      </c>
      <c r="BS10" s="342">
        <f>BS11-BS6</f>
        <v>-3919.6844652089299</v>
      </c>
      <c r="BT10" s="342">
        <f t="shared" si="20"/>
        <v>-8647.5844652089309</v>
      </c>
      <c r="BU10" s="342">
        <f t="shared" ref="BU10:BW10" si="25">BU11-BU6</f>
        <v>-4935.0957063963997</v>
      </c>
      <c r="BV10" s="342">
        <f t="shared" si="25"/>
        <v>-4100.2682872309788</v>
      </c>
      <c r="BW10" s="342">
        <f t="shared" si="25"/>
        <v>-9035.3639936273776</v>
      </c>
      <c r="BX10" s="342">
        <f t="shared" ref="BX10" si="26">BX11-BX6</f>
        <v>-5153.225242137506</v>
      </c>
      <c r="BY10" s="342">
        <f t="shared" ref="BY10" si="27">BY11-BY6</f>
        <v>-4262.1152415120978</v>
      </c>
      <c r="BZ10" s="342">
        <f t="shared" ref="BZ10" si="28">BZ11-BZ6</f>
        <v>-9415.3404836496029</v>
      </c>
      <c r="CA10" s="342">
        <f t="shared" ref="CA10" si="29">CA11-CA6</f>
        <v>-5370.1559896427716</v>
      </c>
      <c r="CB10" s="342">
        <f t="shared" ref="CB10" si="30">CB11-CB6</f>
        <v>-4442.1478902132967</v>
      </c>
      <c r="CC10" s="342">
        <f t="shared" ref="CC10" si="31">CC11-CC6</f>
        <v>-9812.3038798560701</v>
      </c>
      <c r="CD10" s="342"/>
      <c r="CE10" s="342"/>
    </row>
    <row r="11" spans="1:83" ht="13.5" customHeight="1">
      <c r="A11" s="781" t="s">
        <v>482</v>
      </c>
      <c r="B11" s="826" t="s">
        <v>275</v>
      </c>
      <c r="C11" s="344">
        <f>VLOOKUP($A$11,Drivers!1:1048576,MATCH('P&amp;L'!C4,Drivers!2:2,FALSE),FALSE)</f>
        <v>79.933999999999969</v>
      </c>
      <c r="D11" s="344">
        <f>VLOOKUP($A$11,Drivers!1:1048576,MATCH('P&amp;L'!D4,Drivers!2:2,FALSE),FALSE)</f>
        <v>54.530999999999977</v>
      </c>
      <c r="E11" s="344">
        <f>VLOOKUP($A$11,Drivers!1:1048576,MATCH('P&amp;L'!E4,Drivers!2:2,FALSE),FALSE)</f>
        <v>51.405000000000058</v>
      </c>
      <c r="F11" s="344">
        <f>VLOOKUP($A$11,Drivers!1:1048576,MATCH('P&amp;L'!F4,Drivers!2:2,FALSE),FALSE)</f>
        <v>105.93600000000004</v>
      </c>
      <c r="G11" s="344">
        <f>VLOOKUP($A$11,Drivers!1:1048576,MATCH('P&amp;L'!G4,Drivers!2:2,FALSE),FALSE)</f>
        <v>86.536000000000001</v>
      </c>
      <c r="H11" s="344">
        <f>VLOOKUP($A$11,Drivers!1:1048576,MATCH('P&amp;L'!H4,Drivers!2:2,FALSE),FALSE)</f>
        <v>72.145000000000039</v>
      </c>
      <c r="I11" s="344">
        <f>VLOOKUP($A$11,Drivers!1:1048576,MATCH('P&amp;L'!I4,Drivers!2:2,FALSE),FALSE)</f>
        <v>158.68100000000004</v>
      </c>
      <c r="J11" s="344">
        <f>VLOOKUP($A$11,Drivers!1:1048576,MATCH('P&amp;L'!J4,Drivers!2:2,FALSE),FALSE)</f>
        <v>114.81200000000001</v>
      </c>
      <c r="K11" s="344">
        <f>VLOOKUP($A$11,Drivers!1:1048576,MATCH('P&amp;L'!K4,Drivers!2:2,FALSE),FALSE)</f>
        <v>97.614000000000033</v>
      </c>
      <c r="L11" s="344">
        <f>VLOOKUP($A$11,Drivers!1:1048576,MATCH('P&amp;L'!L4,Drivers!2:2,FALSE),FALSE)</f>
        <v>212.42600000000004</v>
      </c>
      <c r="M11" s="344">
        <f>VLOOKUP($A$11,Drivers!1:1048576,MATCH('P&amp;L'!M4,Drivers!2:2,FALSE),FALSE)</f>
        <v>145.88800000000003</v>
      </c>
      <c r="N11" s="344">
        <f>VLOOKUP($A$11,Drivers!1:1048576,MATCH('P&amp;L'!N4,Drivers!2:2,FALSE),FALSE)</f>
        <v>137.471</v>
      </c>
      <c r="O11" s="344">
        <f>VLOOKUP($A$11,Drivers!1:1048576,MATCH('P&amp;L'!O4,Drivers!2:2,FALSE),FALSE)</f>
        <v>283.35900000000004</v>
      </c>
      <c r="P11" s="344">
        <f>VLOOKUP($A$11,Drivers!1:1048576,MATCH('P&amp;L'!P4,Drivers!2:2,FALSE),FALSE)</f>
        <v>213.31000000000006</v>
      </c>
      <c r="Q11" s="344">
        <f>VLOOKUP($A$11,Drivers!1:1048576,MATCH('P&amp;L'!Q4,Drivers!2:2,FALSE),FALSE)</f>
        <v>186.38099999999997</v>
      </c>
      <c r="R11" s="344">
        <f>VLOOKUP($A$11,Drivers!1:1048576,MATCH('P&amp;L'!R4,Drivers!2:2,FALSE),FALSE)</f>
        <v>399.69100000000003</v>
      </c>
      <c r="S11" s="344">
        <f>VLOOKUP($A$11,Drivers!1:1048576,MATCH('P&amp;L'!S4,Drivers!2:2,FALSE),FALSE)</f>
        <v>269.48200000000008</v>
      </c>
      <c r="T11" s="344">
        <f>VLOOKUP($A$11,Drivers!1:1048576,MATCH('P&amp;L'!T4,Drivers!2:2,FALSE),FALSE)</f>
        <v>234.10900000000004</v>
      </c>
      <c r="U11" s="344">
        <f>VLOOKUP($A$11,Drivers!1:1048576,MATCH('P&amp;L'!U4,Drivers!2:2,FALSE),FALSE)</f>
        <v>503.59100000000012</v>
      </c>
      <c r="V11" s="344">
        <f>VLOOKUP($A$11,Drivers!1:1048576,MATCH('P&amp;L'!V4,Drivers!2:2,FALSE),FALSE)</f>
        <v>327.80599999999998</v>
      </c>
      <c r="W11" s="344">
        <f>VLOOKUP($A$11,Drivers!1:1048576,MATCH('P&amp;L'!W4,Drivers!2:2,FALSE),FALSE)</f>
        <v>266.37200000000036</v>
      </c>
      <c r="X11" s="344">
        <f>VLOOKUP($A$11,Drivers!1:1048576,MATCH('P&amp;L'!X4,Drivers!2:2,FALSE),FALSE)</f>
        <v>594.17800000000034</v>
      </c>
      <c r="Y11" s="344">
        <f>VLOOKUP($A$11,Drivers!1:1048576,MATCH('P&amp;L'!Y4,Drivers!2:2,FALSE),FALSE)</f>
        <v>362.46499999999997</v>
      </c>
      <c r="Z11" s="344">
        <f>VLOOKUP($A$11,Drivers!1:1048576,MATCH('P&amp;L'!Z4,Drivers!2:2,FALSE),FALSE)</f>
        <v>289.56400000000002</v>
      </c>
      <c r="AA11" s="344">
        <f>VLOOKUP($A$11,Drivers!1:1048576,MATCH('P&amp;L'!AA4,Drivers!2:2,FALSE),FALSE)</f>
        <v>652.029</v>
      </c>
      <c r="AB11" s="344">
        <f>VLOOKUP($A$11,Drivers!1:1048576,MATCH('P&amp;L'!AB4,Drivers!2:2,FALSE),FALSE)</f>
        <v>376.96600000000001</v>
      </c>
      <c r="AC11" s="344">
        <f>VLOOKUP($A$11,Drivers!1:1048576,MATCH('P&amp;L'!AC4,Drivers!2:2,FALSE),FALSE)</f>
        <v>282.86399999999992</v>
      </c>
      <c r="AD11" s="344">
        <f>VLOOKUP($A$11,Drivers!1:1048576,MATCH('P&amp;L'!AD4,Drivers!2:2,FALSE),FALSE)</f>
        <v>659.82999999999993</v>
      </c>
      <c r="AE11" s="344">
        <f>VLOOKUP($A$11,Drivers!1:1048576,MATCH('P&amp;L'!AE4,Drivers!2:2,FALSE),FALSE)</f>
        <v>390.9</v>
      </c>
      <c r="AF11" s="344">
        <f>VLOOKUP($A$11,Drivers!1:1048576,MATCH('P&amp;L'!AF4,Drivers!2:2,FALSE),FALSE)</f>
        <v>321.30600000000015</v>
      </c>
      <c r="AG11" s="344">
        <f>VLOOKUP($A$11,Drivers!1:1048576,MATCH('P&amp;L'!AG4,Drivers!2:2,FALSE),FALSE)</f>
        <v>712.20600000000013</v>
      </c>
      <c r="AH11" s="344">
        <f>VLOOKUP($A$11,Drivers!1:1048576,MATCH('P&amp;L'!AH4,Drivers!2:2,FALSE),FALSE)</f>
        <v>419.565</v>
      </c>
      <c r="AI11" s="344">
        <f>VLOOKUP($A$11,Drivers!1:1048576,MATCH('P&amp;L'!AI4,Drivers!2:2,FALSE),FALSE)</f>
        <v>336.41600000000022</v>
      </c>
      <c r="AJ11" s="344">
        <f>VLOOKUP($A$11,Drivers!1:1048576,MATCH('P&amp;L'!AJ4,Drivers!2:2,FALSE),FALSE)</f>
        <v>755.98100000000022</v>
      </c>
      <c r="AK11" s="344">
        <f>VLOOKUP($A$11,Drivers!1:1048576,MATCH('P&amp;L'!AK4,Drivers!2:2,FALSE),FALSE)</f>
        <v>427.25099999999998</v>
      </c>
      <c r="AL11" s="344">
        <f>VLOOKUP($A$11,Drivers!1:1048576,MATCH('P&amp;L'!AL4,Drivers!2:2,FALSE),FALSE)</f>
        <v>371.00200000000018</v>
      </c>
      <c r="AM11" s="344">
        <f>VLOOKUP($A$11,Drivers!1:1048576,MATCH('P&amp;L'!AM4,Drivers!2:2,FALSE),FALSE)</f>
        <v>798.25300000000016</v>
      </c>
      <c r="AN11" s="344">
        <f>VLOOKUP($A$11,Drivers!1:1048576,MATCH('P&amp;L'!AN4,Drivers!2:2,FALSE),FALSE)</f>
        <v>459.572</v>
      </c>
      <c r="AO11" s="344">
        <f>VLOOKUP($A$11,Drivers!1:1048576,MATCH('P&amp;L'!AO4,Drivers!2:2,FALSE),FALSE)</f>
        <v>405.8359999999999</v>
      </c>
      <c r="AP11" s="344">
        <f>VLOOKUP($A$11,Drivers!1:1048576,MATCH('P&amp;L'!AP4,Drivers!2:2,FALSE),FALSE)</f>
        <v>865.4079999999999</v>
      </c>
      <c r="AQ11" s="344">
        <f>VLOOKUP($A$11,Drivers!1:1048576,MATCH('P&amp;L'!AQ4,Drivers!2:2,FALSE),FALSE)</f>
        <v>571.1</v>
      </c>
      <c r="AR11" s="344">
        <f>VLOOKUP($A$11,Drivers!1:1048576,MATCH('P&amp;L'!AR4,Drivers!2:2,FALSE),FALSE)</f>
        <v>659.33832000000029</v>
      </c>
      <c r="AS11" s="344">
        <f>VLOOKUP($A$11,Drivers!1:1048576,MATCH('P&amp;L'!AS4,Drivers!2:2,FALSE),FALSE)</f>
        <v>1230.4383200000002</v>
      </c>
      <c r="AT11" s="344">
        <f>VLOOKUP($A$11,Drivers!1:1048576,MATCH('P&amp;L'!AT4,Drivers!2:2,FALSE),FALSE)</f>
        <v>793.9</v>
      </c>
      <c r="AU11" s="344">
        <f>VLOOKUP($A$11,Drivers!1:1048576,MATCH('P&amp;L'!AU4,Drivers!2:2,FALSE),FALSE)</f>
        <v>676.40000000000032</v>
      </c>
      <c r="AV11" s="344">
        <f>VLOOKUP($A$11,Drivers!1:1048576,MATCH('P&amp;L'!AV4,Drivers!2:2,FALSE),FALSE)</f>
        <v>1470.3000000000002</v>
      </c>
      <c r="AW11" s="344">
        <f>VLOOKUP($A$11,Drivers!1:1048576,MATCH('P&amp;L'!AW4,Drivers!2:2,FALSE),FALSE)</f>
        <v>828</v>
      </c>
      <c r="AX11" s="344">
        <f>VLOOKUP($A$11,Drivers!1:1048576,MATCH('P&amp;L'!AX4,Drivers!2:2,FALSE),FALSE)</f>
        <v>698.19999999999914</v>
      </c>
      <c r="AY11" s="344">
        <f>VLOOKUP($A$11,Drivers!1:1048576,MATCH('P&amp;L'!AY4,Drivers!2:2,FALSE),FALSE)</f>
        <v>1526.1999999999991</v>
      </c>
      <c r="AZ11" s="344">
        <f>VLOOKUP($A$11,Drivers!1:1048576,MATCH('P&amp;L'!AZ4,Drivers!2:2,FALSE),FALSE)</f>
        <v>860.2</v>
      </c>
      <c r="BA11" s="344">
        <f>VLOOKUP($A$11,Drivers!1:1048576,MATCH('P&amp;L'!BA4,Drivers!2:2,FALSE),FALSE)</f>
        <v>833.89999999999986</v>
      </c>
      <c r="BB11" s="344">
        <f>VLOOKUP($A$11,Drivers!1:1048576,MATCH('P&amp;L'!BB4,Drivers!2:2,FALSE),FALSE)</f>
        <v>1694.1</v>
      </c>
      <c r="BC11" s="344">
        <f>VLOOKUP($A$11,Drivers!1:1048576,MATCH('P&amp;L'!BC4,Drivers!2:2,FALSE),FALSE)</f>
        <v>1085.2</v>
      </c>
      <c r="BD11" s="344">
        <f>VLOOKUP($A$11,Drivers!1:1048576,MATCH('P&amp;L'!BD4,Drivers!2:2,FALSE),FALSE)</f>
        <v>892</v>
      </c>
      <c r="BE11" s="344">
        <f>VLOOKUP($A$11,Drivers!1:1048576,MATCH('P&amp;L'!BE4,Drivers!2:2,FALSE),FALSE)</f>
        <v>1977.1999999999998</v>
      </c>
      <c r="BF11" s="344">
        <f>VLOOKUP($A$11,Drivers!1:1048576,MATCH('P&amp;L'!BF4,Drivers!2:2,FALSE),FALSE)</f>
        <v>1064.4000000000001</v>
      </c>
      <c r="BG11" s="344">
        <f>VLOOKUP($A$11,Drivers!1:1048576,MATCH('P&amp;L'!BG4,Drivers!2:2,FALSE),FALSE)</f>
        <v>1015.9999999999999</v>
      </c>
      <c r="BH11" s="344">
        <f>VLOOKUP($A$11,Drivers!1:1048576,MATCH('P&amp;L'!BH4,Drivers!2:2,FALSE),FALSE)</f>
        <v>2080.4</v>
      </c>
      <c r="BI11" s="344">
        <f>VLOOKUP($A$11,Drivers!1:1048576,MATCH('P&amp;L'!BI4,Drivers!2:2,FALSE),FALSE)</f>
        <v>1201.8</v>
      </c>
      <c r="BJ11" s="59">
        <f>VLOOKUP($A$11,Drivers!1:1048576,MATCH('P&amp;L'!BJ4,Drivers!2:2,FALSE),FALSE)</f>
        <v>980.69999999999993</v>
      </c>
      <c r="BK11" s="344">
        <f>VLOOKUP($A$11,Drivers!1:1048576,MATCH('P&amp;L'!BK4,Drivers!2:2,FALSE),FALSE)</f>
        <v>2182.5</v>
      </c>
      <c r="BL11" s="344">
        <f>VLOOKUP($A$11,Drivers!1:1048576,MATCH('P&amp;L'!BL4,Drivers!2:2,FALSE),FALSE)</f>
        <v>1146.8</v>
      </c>
      <c r="BM11" s="59">
        <f>VLOOKUP($A$11,Drivers!1:1048576,MATCH('P&amp;L'!BM4,Drivers!2:2,FALSE),FALSE)</f>
        <v>993.60000000000014</v>
      </c>
      <c r="BN11" s="344">
        <f>VLOOKUP($A$11,Drivers!1:1048576,MATCH('P&amp;L'!BN4,Drivers!2:2,FALSE),FALSE)</f>
        <v>2140.4</v>
      </c>
      <c r="BO11" s="344">
        <f>VLOOKUP($A$11,Drivers!1:1048576,MATCH('P&amp;L'!BO4,Drivers!2:2,FALSE),FALSE)</f>
        <v>1254.2</v>
      </c>
      <c r="BP11" s="344">
        <f>VLOOKUP($A$11,Drivers!1:1048576,MATCH('P&amp;L'!BP4,Drivers!2:2,FALSE),FALSE)</f>
        <v>1106.1999999999998</v>
      </c>
      <c r="BQ11" s="344">
        <f>VLOOKUP($A$11,Drivers!1:1048576,MATCH('P&amp;L'!BQ4,Drivers!2:2,FALSE),FALSE)</f>
        <v>2360.4</v>
      </c>
      <c r="BR11" s="1396">
        <f>VLOOKUP($A$11,Drivers!1:1048576,MATCH('P&amp;L'!BR4,Drivers!2:2,FALSE),FALSE)</f>
        <v>1357.4</v>
      </c>
      <c r="BS11" s="344">
        <f>VLOOKUP($A$11,Drivers!1:1048576,MATCH('P&amp;L'!BS4,Drivers!2:2,FALSE),FALSE)</f>
        <v>1146.016762782026</v>
      </c>
      <c r="BT11" s="344">
        <f>VLOOKUP($A$11,Drivers!1:1048576,MATCH('P&amp;L'!BT4,Drivers!2:2,FALSE),FALSE)</f>
        <v>2503.4167627820261</v>
      </c>
      <c r="BU11" s="344">
        <f>VLOOKUP($A$11,Drivers!1:1048576,MATCH('P&amp;L'!BU4,Drivers!2:2,FALSE),FALSE)</f>
        <v>1400.0874982517184</v>
      </c>
      <c r="BV11" s="344">
        <f>VLOOKUP($A$11,Drivers!1:1048576,MATCH('P&amp;L'!BV4,Drivers!2:2,FALSE),FALSE)</f>
        <v>1183.6964658967436</v>
      </c>
      <c r="BW11" s="344">
        <f>VLOOKUP($A$11,Drivers!1:1048576,MATCH('P&amp;L'!BW4,Drivers!2:2,FALSE),FALSE)</f>
        <v>2583.7839641484625</v>
      </c>
      <c r="BX11" s="344">
        <f>VLOOKUP($A$11,Drivers!1:1048576,MATCH('P&amp;L'!BX4,Drivers!2:2,FALSE),FALSE)</f>
        <v>1460.9881625695152</v>
      </c>
      <c r="BY11" s="344">
        <f>VLOOKUP($A$11,Drivers!1:1048576,MATCH('P&amp;L'!BY4,Drivers!2:2,FALSE),FALSE)</f>
        <v>1231.0665684167038</v>
      </c>
      <c r="BZ11" s="344">
        <f>VLOOKUP($A$11,Drivers!1:1048576,MATCH('P&amp;L'!BZ4,Drivers!2:2,FALSE),FALSE)</f>
        <v>2692.0547309862191</v>
      </c>
      <c r="CA11" s="344">
        <f>VLOOKUP($A$11,Drivers!1:1048576,MATCH('P&amp;L'!CA4,Drivers!2:2,FALSE),FALSE)</f>
        <v>1522.3291555091898</v>
      </c>
      <c r="CB11" s="344">
        <f>VLOOKUP($A$11,Drivers!1:1048576,MATCH('P&amp;L'!CB4,Drivers!2:2,FALSE),FALSE)</f>
        <v>1282.1272015244815</v>
      </c>
      <c r="CC11" s="344">
        <f>VLOOKUP($A$11,Drivers!1:1048576,MATCH('P&amp;L'!CC4,Drivers!2:2,FALSE),FALSE)</f>
        <v>2804.4563570336713</v>
      </c>
      <c r="CD11" s="344"/>
      <c r="CE11" s="344"/>
    </row>
    <row r="12" spans="1:83" ht="13.5" customHeight="1">
      <c r="A12" s="781" t="s">
        <v>1</v>
      </c>
      <c r="B12" s="825" t="s">
        <v>276</v>
      </c>
      <c r="C12" s="345">
        <f t="shared" ref="C12:AG12" si="32">C11/C6</f>
        <v>0.22463782371042751</v>
      </c>
      <c r="D12" s="345">
        <f t="shared" si="32"/>
        <v>0.23244344605049458</v>
      </c>
      <c r="E12" s="345">
        <f t="shared" si="32"/>
        <v>0.23606480588543269</v>
      </c>
      <c r="F12" s="345">
        <f t="shared" si="32"/>
        <v>0.23418671535977123</v>
      </c>
      <c r="G12" s="345">
        <f t="shared" si="32"/>
        <v>0.23004064575984176</v>
      </c>
      <c r="H12" s="345">
        <f t="shared" si="32"/>
        <v>0.22703813497982808</v>
      </c>
      <c r="I12" s="345">
        <f t="shared" si="32"/>
        <v>0.2286657549683476</v>
      </c>
      <c r="J12" s="345">
        <f t="shared" si="32"/>
        <v>0.22519398394777931</v>
      </c>
      <c r="K12" s="345">
        <f t="shared" si="32"/>
        <v>0.22389302384256346</v>
      </c>
      <c r="L12" s="345">
        <f t="shared" si="32"/>
        <v>0.22459429426921165</v>
      </c>
      <c r="M12" s="345">
        <f t="shared" si="32"/>
        <v>0.22141211538052935</v>
      </c>
      <c r="N12" s="345">
        <f>N11/N6</f>
        <v>0.22068131871659988</v>
      </c>
      <c r="O12" s="345">
        <f t="shared" si="32"/>
        <v>0.22105696746154155</v>
      </c>
      <c r="P12" s="345">
        <f t="shared" si="32"/>
        <v>0.21578243514185544</v>
      </c>
      <c r="Q12" s="345">
        <f t="shared" si="32"/>
        <v>0.22187633181035729</v>
      </c>
      <c r="R12" s="345">
        <f t="shared" si="32"/>
        <v>0.21858190361398344</v>
      </c>
      <c r="S12" s="345">
        <f t="shared" si="32"/>
        <v>0.21360928687780659</v>
      </c>
      <c r="T12" s="345">
        <f t="shared" si="32"/>
        <v>0.21967606298577183</v>
      </c>
      <c r="U12" s="345">
        <f t="shared" si="32"/>
        <v>0.21638738330727991</v>
      </c>
      <c r="V12" s="345">
        <f t="shared" si="32"/>
        <v>0.21097405414172202</v>
      </c>
      <c r="W12" s="345">
        <f t="shared" si="32"/>
        <v>0.22620942196737986</v>
      </c>
      <c r="X12" s="345">
        <f t="shared" si="32"/>
        <v>0.21754243369506329</v>
      </c>
      <c r="Y12" s="345">
        <f t="shared" si="32"/>
        <v>0.2154152358742305</v>
      </c>
      <c r="Z12" s="345">
        <f t="shared" si="32"/>
        <v>0.22682100141075762</v>
      </c>
      <c r="AA12" s="345">
        <f t="shared" si="32"/>
        <v>0.2203356725497955</v>
      </c>
      <c r="AB12" s="345">
        <f t="shared" si="32"/>
        <v>0.21240764082854341</v>
      </c>
      <c r="AC12" s="345">
        <f t="shared" si="32"/>
        <v>0.20905456730396141</v>
      </c>
      <c r="AD12" s="345">
        <f t="shared" si="32"/>
        <v>0.21095712246850173</v>
      </c>
      <c r="AE12" s="345">
        <f t="shared" si="32"/>
        <v>0.21522391215296588</v>
      </c>
      <c r="AF12" s="345">
        <f t="shared" si="32"/>
        <v>0.2153306097502132</v>
      </c>
      <c r="AG12" s="345">
        <f t="shared" si="32"/>
        <v>0.21527203482045706</v>
      </c>
      <c r="AH12" s="345">
        <f>AH11/AH6</f>
        <v>0.21628031772558873</v>
      </c>
      <c r="AI12" s="345">
        <f>AI11/AI6</f>
        <v>0.21790548637119134</v>
      </c>
      <c r="AJ12" s="345">
        <f t="shared" ref="AJ12:BB12" si="33">AJ11/AJ6</f>
        <v>0.21700052385702298</v>
      </c>
      <c r="AK12" s="345">
        <f>AK11/AK6</f>
        <v>0.2174141591371235</v>
      </c>
      <c r="AL12" s="345">
        <f>AL11/AL6</f>
        <v>0.21991976232196089</v>
      </c>
      <c r="AM12" s="345">
        <f t="shared" si="33"/>
        <v>0.21857154279030139</v>
      </c>
      <c r="AN12" s="345">
        <f>AN11/AN6</f>
        <v>0.21710521032285737</v>
      </c>
      <c r="AO12" s="345">
        <f>AO11/AO6</f>
        <v>0.22084510108018388</v>
      </c>
      <c r="AP12" s="345">
        <f t="shared" si="33"/>
        <v>0.21884314624448753</v>
      </c>
      <c r="AQ12" s="345">
        <f>AQ11/AQ6</f>
        <v>0.21829370843207707</v>
      </c>
      <c r="AR12" s="345">
        <f>AR11/AR6</f>
        <v>0.21891836111295576</v>
      </c>
      <c r="AS12" s="345">
        <f t="shared" si="33"/>
        <v>0.21862798862828717</v>
      </c>
      <c r="AT12" s="345">
        <f t="shared" ref="AT12:AU12" si="34">AT11/AT6</f>
        <v>0.21516071331779499</v>
      </c>
      <c r="AU12" s="345">
        <f t="shared" si="34"/>
        <v>0.21374624743245388</v>
      </c>
      <c r="AV12" s="345">
        <f>AV11/AV6</f>
        <v>0.21450768130954292</v>
      </c>
      <c r="AW12" s="345">
        <f>AW11/AW6</f>
        <v>0.21541743632437496</v>
      </c>
      <c r="AX12" s="345">
        <f>AX11/AX6</f>
        <v>0.21472505843277132</v>
      </c>
      <c r="AY12" s="345">
        <f t="shared" si="33"/>
        <v>0.21510013671021652</v>
      </c>
      <c r="AZ12" s="345">
        <f>AZ11/AZ6</f>
        <v>0.21530837004405287</v>
      </c>
      <c r="BA12" s="345">
        <f>BA11/BA6</f>
        <v>0.21252899049366666</v>
      </c>
      <c r="BB12" s="345">
        <f t="shared" si="33"/>
        <v>0.21393122782204599</v>
      </c>
      <c r="BC12" s="345">
        <f t="shared" ref="BC12:BD12" si="35">BC11/BC6</f>
        <v>0.21962276370112524</v>
      </c>
      <c r="BD12" s="345">
        <f t="shared" si="35"/>
        <v>0.22440816121160279</v>
      </c>
      <c r="BE12" s="345">
        <f t="shared" ref="BE12:BW12" si="36">BE11/BE6</f>
        <v>0.22175614898890766</v>
      </c>
      <c r="BF12" s="345">
        <f t="shared" ref="BF12:BK12" si="37">BF11/BF6</f>
        <v>0.21893126002715044</v>
      </c>
      <c r="BG12" s="345">
        <f t="shared" si="37"/>
        <v>0.23248363919271428</v>
      </c>
      <c r="BH12" s="345">
        <f t="shared" si="37"/>
        <v>0.22534662045060661</v>
      </c>
      <c r="BI12" s="345">
        <f t="shared" si="37"/>
        <v>0.22767831770389313</v>
      </c>
      <c r="BJ12" s="562">
        <f t="shared" si="37"/>
        <v>0.22555716552818603</v>
      </c>
      <c r="BK12" s="345">
        <f t="shared" si="37"/>
        <v>0.22672026925953628</v>
      </c>
      <c r="BL12" s="345">
        <f t="shared" ref="BL12:BN12" si="38">BL11/BL6</f>
        <v>0.22215764901881016</v>
      </c>
      <c r="BM12" s="562">
        <f t="shared" si="38"/>
        <v>0.2242737512132362</v>
      </c>
      <c r="BN12" s="345">
        <f t="shared" si="38"/>
        <v>0.22313498186063968</v>
      </c>
      <c r="BO12" s="345">
        <f t="shared" ref="BO12" si="39">BO11/BO6</f>
        <v>0.221183690744921</v>
      </c>
      <c r="BP12" s="345">
        <f>BP11/BP6</f>
        <v>0.22647612808123815</v>
      </c>
      <c r="BQ12" s="345">
        <f t="shared" ref="BQ12" si="40">BQ11/BQ6</f>
        <v>0.22363284950922802</v>
      </c>
      <c r="BR12" s="1808">
        <f>BR11/BR6</f>
        <v>0.22306213333771549</v>
      </c>
      <c r="BS12" s="345">
        <f>BS11/BS6</f>
        <v>0.22623062656155371</v>
      </c>
      <c r="BT12" s="345">
        <f t="shared" si="36"/>
        <v>0.22450152336975926</v>
      </c>
      <c r="BU12" s="345">
        <f>BU11/BU6</f>
        <v>0.22100189576593071</v>
      </c>
      <c r="BV12" s="345">
        <f>BV11/BV6</f>
        <v>0.22401672251808294</v>
      </c>
      <c r="BW12" s="345">
        <f t="shared" si="36"/>
        <v>0.22237292902525835</v>
      </c>
      <c r="BX12" s="345">
        <f>BX11/BX6</f>
        <v>0.22088615428250311</v>
      </c>
      <c r="BY12" s="345">
        <f>BY11/BY6</f>
        <v>0.22410810546841523</v>
      </c>
      <c r="BZ12" s="345">
        <f t="shared" ref="BZ12" si="41">BZ11/BZ6</f>
        <v>0.22234796859790071</v>
      </c>
      <c r="CA12" s="345">
        <f>CA11/CA6</f>
        <v>0.22086796321642654</v>
      </c>
      <c r="CB12" s="345">
        <f>CB11/CB6</f>
        <v>0.22398071039161968</v>
      </c>
      <c r="CC12" s="345">
        <f t="shared" ref="CC12" si="42">CC11/CC6</f>
        <v>0.22228022918544582</v>
      </c>
      <c r="CD12" s="345"/>
      <c r="CE12" s="345"/>
    </row>
    <row r="13" spans="1:83" ht="13.5" customHeight="1">
      <c r="A13" s="781"/>
      <c r="B13" s="825" t="s">
        <v>17</v>
      </c>
      <c r="C13" s="345"/>
      <c r="D13" s="345"/>
      <c r="E13" s="345"/>
      <c r="F13" s="345">
        <f>F12-C12</f>
        <v>9.5488916493437215E-3</v>
      </c>
      <c r="G13" s="345">
        <f>G12-D12</f>
        <v>-2.4028002906528179E-3</v>
      </c>
      <c r="H13" s="345">
        <f>H12-E12</f>
        <v>-9.0266709056046057E-3</v>
      </c>
      <c r="I13" s="345">
        <f t="shared" ref="I13:AG13" si="43">I12-F12</f>
        <v>-5.5209603914236349E-3</v>
      </c>
      <c r="J13" s="345">
        <f t="shared" si="43"/>
        <v>-4.8466618120624472E-3</v>
      </c>
      <c r="K13" s="345">
        <f t="shared" si="43"/>
        <v>-3.1451111372646223E-3</v>
      </c>
      <c r="L13" s="345">
        <f t="shared" si="43"/>
        <v>-4.0714606991359426E-3</v>
      </c>
      <c r="M13" s="345">
        <f t="shared" si="43"/>
        <v>-3.781868567249963E-3</v>
      </c>
      <c r="N13" s="345">
        <f t="shared" si="43"/>
        <v>-3.211705125963582E-3</v>
      </c>
      <c r="O13" s="345">
        <f t="shared" si="43"/>
        <v>-3.5373268076701048E-3</v>
      </c>
      <c r="P13" s="345">
        <f t="shared" si="43"/>
        <v>-5.629680238673912E-3</v>
      </c>
      <c r="Q13" s="345">
        <f t="shared" si="43"/>
        <v>1.1950130937574133E-3</v>
      </c>
      <c r="R13" s="345">
        <f t="shared" si="43"/>
        <v>-2.4750638475581066E-3</v>
      </c>
      <c r="S13" s="345">
        <f t="shared" si="43"/>
        <v>-2.173148264048852E-3</v>
      </c>
      <c r="T13" s="345">
        <f t="shared" si="43"/>
        <v>-2.2002688245854607E-3</v>
      </c>
      <c r="U13" s="345">
        <f t="shared" si="43"/>
        <v>-2.194520306703529E-3</v>
      </c>
      <c r="V13" s="345">
        <f t="shared" si="43"/>
        <v>-2.6352327360845695E-3</v>
      </c>
      <c r="W13" s="345">
        <f t="shared" si="43"/>
        <v>6.533358981608034E-3</v>
      </c>
      <c r="X13" s="345">
        <f t="shared" si="43"/>
        <v>1.1550503877833795E-3</v>
      </c>
      <c r="Y13" s="345">
        <f t="shared" si="43"/>
        <v>4.4411817325084868E-3</v>
      </c>
      <c r="Z13" s="345">
        <f t="shared" si="43"/>
        <v>6.1157944337775216E-4</v>
      </c>
      <c r="AA13" s="345">
        <f t="shared" si="43"/>
        <v>2.7932388547322051E-3</v>
      </c>
      <c r="AB13" s="345">
        <f t="shared" si="43"/>
        <v>-3.0075950456870948E-3</v>
      </c>
      <c r="AC13" s="345">
        <f t="shared" si="43"/>
        <v>-1.7766434106796208E-2</v>
      </c>
      <c r="AD13" s="345">
        <f t="shared" si="43"/>
        <v>-9.3785500812937628E-3</v>
      </c>
      <c r="AE13" s="345">
        <f>AE12-AB12</f>
        <v>2.8162713244224702E-3</v>
      </c>
      <c r="AF13" s="345">
        <f t="shared" si="43"/>
        <v>6.276042446251795E-3</v>
      </c>
      <c r="AG13" s="345">
        <f t="shared" si="43"/>
        <v>4.3149123519553301E-3</v>
      </c>
      <c r="AH13" s="345">
        <f>AH12-AE12</f>
        <v>1.0564055726228483E-3</v>
      </c>
      <c r="AI13" s="345">
        <f t="shared" ref="AI13" si="44">AI12-AF12</f>
        <v>2.5748766209781337E-3</v>
      </c>
      <c r="AJ13" s="345">
        <f t="shared" ref="AJ13:BQ13" si="45">AJ12-AG12</f>
        <v>1.7284890365659167E-3</v>
      </c>
      <c r="AK13" s="345">
        <f t="shared" si="45"/>
        <v>1.133841411534775E-3</v>
      </c>
      <c r="AL13" s="345">
        <f t="shared" si="45"/>
        <v>2.0142759507695562E-3</v>
      </c>
      <c r="AM13" s="345">
        <f t="shared" si="45"/>
        <v>1.5710189332784064E-3</v>
      </c>
      <c r="AN13" s="345">
        <f t="shared" si="45"/>
        <v>-3.0894881426613008E-4</v>
      </c>
      <c r="AO13" s="345">
        <f t="shared" si="45"/>
        <v>9.2533875822298217E-4</v>
      </c>
      <c r="AP13" s="345">
        <f t="shared" si="45"/>
        <v>2.7160345418614229E-4</v>
      </c>
      <c r="AQ13" s="345">
        <f t="shared" si="45"/>
        <v>1.1884981092196989E-3</v>
      </c>
      <c r="AR13" s="345">
        <f t="shared" si="45"/>
        <v>-1.9267399672281138E-3</v>
      </c>
      <c r="AS13" s="345">
        <f t="shared" si="45"/>
        <v>-2.1515761620036211E-4</v>
      </c>
      <c r="AT13" s="345">
        <f t="shared" si="45"/>
        <v>-3.1329951142820833E-3</v>
      </c>
      <c r="AU13" s="345">
        <f t="shared" si="45"/>
        <v>-5.172113680501883E-3</v>
      </c>
      <c r="AV13" s="345">
        <f t="shared" si="45"/>
        <v>-4.1203073187442429E-3</v>
      </c>
      <c r="AW13" s="345">
        <f t="shared" si="45"/>
        <v>2.5672300657997305E-4</v>
      </c>
      <c r="AX13" s="345">
        <f t="shared" si="45"/>
        <v>9.7881100031743662E-4</v>
      </c>
      <c r="AY13" s="345">
        <f t="shared" si="45"/>
        <v>5.9245540067359714E-4</v>
      </c>
      <c r="AZ13" s="345">
        <f t="shared" si="45"/>
        <v>-1.0906628032208987E-4</v>
      </c>
      <c r="BA13" s="345">
        <f t="shared" si="45"/>
        <v>-2.1960679391046511E-3</v>
      </c>
      <c r="BB13" s="345">
        <f t="shared" si="45"/>
        <v>-1.1689088881705334E-3</v>
      </c>
      <c r="BC13" s="345">
        <f t="shared" si="45"/>
        <v>4.3143936570723684E-3</v>
      </c>
      <c r="BD13" s="345">
        <f t="shared" si="45"/>
        <v>1.1879170717936122E-2</v>
      </c>
      <c r="BE13" s="345">
        <f t="shared" si="45"/>
        <v>7.8249211668616758E-3</v>
      </c>
      <c r="BF13" s="345">
        <f t="shared" si="45"/>
        <v>-6.9150367397480261E-4</v>
      </c>
      <c r="BG13" s="345">
        <f t="shared" si="45"/>
        <v>8.0754779811114952E-3</v>
      </c>
      <c r="BH13" s="345">
        <f t="shared" ref="BH13" si="46">BH12-BE12</f>
        <v>3.5904714616989408E-3</v>
      </c>
      <c r="BI13" s="345">
        <f t="shared" si="45"/>
        <v>8.7470576767426922E-3</v>
      </c>
      <c r="BJ13" s="562">
        <f t="shared" ref="BJ13" si="47">BJ12-BG12</f>
        <v>-6.9264736645282543E-3</v>
      </c>
      <c r="BK13" s="345">
        <f t="shared" si="45"/>
        <v>1.3736488089296783E-3</v>
      </c>
      <c r="BL13" s="345">
        <f t="shared" si="45"/>
        <v>-5.5206686850829689E-3</v>
      </c>
      <c r="BM13" s="562">
        <f t="shared" si="45"/>
        <v>-1.2834143149498267E-3</v>
      </c>
      <c r="BN13" s="345">
        <f t="shared" si="45"/>
        <v>-3.5852873988966028E-3</v>
      </c>
      <c r="BO13" s="345">
        <f t="shared" si="45"/>
        <v>-9.7395827388915834E-4</v>
      </c>
      <c r="BP13" s="345">
        <f>BP12-BM12</f>
        <v>2.202376868001954E-3</v>
      </c>
      <c r="BQ13" s="345">
        <f t="shared" si="45"/>
        <v>4.9786764858833488E-4</v>
      </c>
      <c r="BR13" s="1808">
        <f>BR12-BO12</f>
        <v>1.8784425927944881E-3</v>
      </c>
      <c r="BS13" s="345">
        <f t="shared" ref="BS13" si="48">BS12-BP12</f>
        <v>-2.4550151968444345E-4</v>
      </c>
      <c r="BT13" s="345">
        <f>BT12-BQ12</f>
        <v>8.6867386053124385E-4</v>
      </c>
      <c r="BU13" s="345">
        <f t="shared" ref="BU13" si="49">BU12-BR12</f>
        <v>-2.0602375717847787E-3</v>
      </c>
      <c r="BV13" s="345">
        <f t="shared" ref="BV13" si="50">BV12-BS12</f>
        <v>-2.2139040434707713E-3</v>
      </c>
      <c r="BW13" s="345">
        <f>BW12-BT12</f>
        <v>-2.1285943445009115E-3</v>
      </c>
      <c r="BX13" s="345">
        <f t="shared" ref="BX13" si="51">BX12-BU12</f>
        <v>-1.1574148342760604E-4</v>
      </c>
      <c r="BY13" s="345">
        <f t="shared" ref="BY13" si="52">BY12-BV12</f>
        <v>9.138295033228605E-5</v>
      </c>
      <c r="BZ13" s="345">
        <f>BZ12-BW12</f>
        <v>-2.4960427357639814E-5</v>
      </c>
      <c r="CA13" s="345">
        <f t="shared" ref="CA13" si="53">CA12-BX12</f>
        <v>-1.8191066076561624E-5</v>
      </c>
      <c r="CB13" s="345">
        <f t="shared" ref="CB13" si="54">CB12-BY12</f>
        <v>-1.2739507679554452E-4</v>
      </c>
      <c r="CC13" s="345">
        <f>CC12-BZ12</f>
        <v>-6.7739412454886905E-5</v>
      </c>
      <c r="CD13" s="345"/>
      <c r="CE13" s="345"/>
    </row>
    <row r="14" spans="1:83">
      <c r="A14" s="781"/>
      <c r="B14" s="781"/>
      <c r="C14" s="351"/>
      <c r="D14" s="346"/>
      <c r="E14" s="346"/>
      <c r="F14" s="351"/>
      <c r="G14" s="351"/>
      <c r="H14" s="351"/>
      <c r="I14" s="351"/>
      <c r="J14" s="351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  <c r="AA14" s="351"/>
      <c r="AB14" s="351"/>
      <c r="AC14" s="351"/>
      <c r="AD14" s="351"/>
      <c r="AE14" s="351"/>
      <c r="AF14" s="351"/>
      <c r="AG14" s="351"/>
      <c r="AH14" s="351"/>
      <c r="AI14" s="351"/>
      <c r="AJ14" s="351"/>
      <c r="AK14" s="351"/>
      <c r="AL14" s="351"/>
      <c r="AM14" s="351"/>
      <c r="AN14" s="351"/>
      <c r="AO14" s="351"/>
      <c r="AP14" s="351"/>
      <c r="AQ14" s="351"/>
      <c r="AR14" s="351"/>
      <c r="AS14" s="351"/>
      <c r="AT14" s="351"/>
      <c r="AU14" s="351"/>
      <c r="AV14" s="351"/>
      <c r="AW14" s="351"/>
      <c r="AX14" s="351"/>
      <c r="AY14" s="351"/>
      <c r="AZ14" s="351"/>
      <c r="BA14" s="351"/>
      <c r="BB14" s="351"/>
      <c r="BC14" s="351"/>
      <c r="BD14" s="351"/>
      <c r="BE14" s="351"/>
      <c r="BF14" s="351"/>
      <c r="BG14" s="1106">
        <f>(BG11+BI11)/(BG6+BI6)</f>
        <v>0.22985479909210563</v>
      </c>
      <c r="BH14" s="351"/>
      <c r="BI14" s="351"/>
      <c r="BJ14" s="1106"/>
      <c r="BK14" s="351"/>
      <c r="BL14" s="351"/>
      <c r="BM14" s="1106"/>
      <c r="BN14" s="351"/>
      <c r="BO14" s="351"/>
      <c r="BP14" s="346"/>
      <c r="BQ14" s="351"/>
      <c r="BR14" s="1809"/>
      <c r="BS14" s="346"/>
      <c r="BT14" s="346"/>
      <c r="BU14" s="346"/>
      <c r="BV14" s="346"/>
      <c r="BW14" s="346"/>
      <c r="BX14" s="346"/>
      <c r="BY14" s="346"/>
      <c r="BZ14" s="346"/>
      <c r="CA14" s="346"/>
      <c r="CB14" s="346"/>
      <c r="CC14" s="346"/>
      <c r="CD14" s="351"/>
      <c r="CE14" s="351"/>
    </row>
    <row r="15" spans="1:83">
      <c r="A15" s="782"/>
      <c r="B15" s="833" t="s">
        <v>773</v>
      </c>
      <c r="C15" s="282"/>
      <c r="D15" s="283"/>
      <c r="E15" s="283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190"/>
      <c r="BK15" s="282"/>
      <c r="BL15" s="282"/>
      <c r="BM15" s="190"/>
      <c r="BN15" s="282"/>
      <c r="BO15" s="282"/>
      <c r="BP15" s="283"/>
      <c r="BQ15" s="282"/>
      <c r="BR15" s="1810"/>
      <c r="BS15" s="283"/>
      <c r="BT15" s="283"/>
      <c r="BU15" s="283"/>
      <c r="BV15" s="283"/>
      <c r="BW15" s="283"/>
      <c r="BX15" s="283"/>
      <c r="BY15" s="283"/>
      <c r="BZ15" s="283"/>
      <c r="CA15" s="283"/>
      <c r="CB15" s="283"/>
      <c r="CC15" s="283"/>
      <c r="CD15" s="282"/>
      <c r="CE15" s="282"/>
    </row>
    <row r="16" spans="1:83">
      <c r="A16" s="783"/>
      <c r="B16" s="834" t="s">
        <v>486</v>
      </c>
      <c r="C16" s="279"/>
      <c r="D16" s="347"/>
      <c r="E16" s="347"/>
      <c r="F16" s="279"/>
      <c r="G16" s="279"/>
      <c r="H16" s="279"/>
      <c r="I16" s="279"/>
      <c r="J16" s="279"/>
      <c r="K16" s="279"/>
      <c r="L16" s="279"/>
      <c r="M16" s="279"/>
      <c r="N16" s="279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93">
        <f>Y17/(Y17+Z17)</f>
        <v>0.51574315867277032</v>
      </c>
      <c r="Z16" s="293">
        <f>1-Y16</f>
        <v>0.48425684132722968</v>
      </c>
      <c r="AA16" s="279"/>
      <c r="AB16" s="293">
        <f>AB17/(AB17+AC17)</f>
        <v>0.51897306642108165</v>
      </c>
      <c r="AC16" s="293">
        <f>1-AB16</f>
        <v>0.48102693357891835</v>
      </c>
      <c r="AD16" s="279"/>
      <c r="AE16" s="293">
        <f>AE17/(AE17+AF17)</f>
        <v>0.49936021328203156</v>
      </c>
      <c r="AF16" s="293">
        <f>1-AE16</f>
        <v>0.50063978671796838</v>
      </c>
      <c r="AG16" s="293"/>
      <c r="AH16" s="293">
        <f>AH17/(AH17+AI17)</f>
        <v>0.5127159862128684</v>
      </c>
      <c r="AI16" s="293">
        <f>1-AH16</f>
        <v>0.4872840137871316</v>
      </c>
      <c r="AJ16" s="279"/>
      <c r="AK16" s="293">
        <f>AK17/(AK17+AL17)</f>
        <v>0.50049988772575149</v>
      </c>
      <c r="AL16" s="293">
        <f>1-AK16</f>
        <v>0.49950011227424851</v>
      </c>
      <c r="AM16" s="279"/>
      <c r="AN16" s="293"/>
      <c r="AO16" s="293"/>
      <c r="AP16" s="279"/>
      <c r="AQ16" s="293"/>
      <c r="AR16" s="293"/>
      <c r="AS16" s="279"/>
      <c r="AT16" s="293"/>
      <c r="AU16" s="293"/>
      <c r="AV16" s="279"/>
      <c r="AW16" s="293"/>
      <c r="AX16" s="293"/>
      <c r="AY16" s="279"/>
      <c r="AZ16" s="293"/>
      <c r="BA16" s="293"/>
      <c r="BB16" s="279"/>
      <c r="BC16" s="293"/>
      <c r="BD16" s="293"/>
      <c r="BE16" s="279"/>
      <c r="BF16" s="293"/>
      <c r="BG16" s="293"/>
      <c r="BH16" s="279"/>
      <c r="BI16" s="581"/>
      <c r="BJ16" s="179"/>
      <c r="BK16" s="581"/>
      <c r="BL16" s="581"/>
      <c r="BM16" s="179"/>
      <c r="BN16" s="581"/>
      <c r="BO16" s="581"/>
      <c r="BP16" s="347"/>
      <c r="BQ16" s="581"/>
      <c r="BR16" s="1811"/>
      <c r="BS16" s="347"/>
      <c r="BT16" s="347"/>
      <c r="BU16" s="347"/>
      <c r="BV16" s="347"/>
      <c r="BW16" s="347"/>
      <c r="BX16" s="347"/>
      <c r="BY16" s="347"/>
      <c r="BZ16" s="347"/>
      <c r="CA16" s="347"/>
      <c r="CB16" s="347"/>
      <c r="CC16" s="347"/>
      <c r="CD16" s="279"/>
      <c r="CE16" s="279"/>
    </row>
    <row r="17" spans="1:83" outlineLevel="1">
      <c r="A17" s="784"/>
      <c r="B17" s="784" t="s">
        <v>487</v>
      </c>
      <c r="C17" s="835">
        <v>42.267000000000003</v>
      </c>
      <c r="D17" s="348"/>
      <c r="E17" s="348"/>
      <c r="F17" s="835">
        <v>56.024999999999999</v>
      </c>
      <c r="G17" s="836">
        <v>42.100999999999999</v>
      </c>
      <c r="H17" s="836">
        <f>I17-G17</f>
        <v>42.629000000000005</v>
      </c>
      <c r="I17" s="835">
        <v>84.73</v>
      </c>
      <c r="J17" s="836">
        <v>58.203000000000003</v>
      </c>
      <c r="K17" s="836">
        <f>L17-J17</f>
        <v>55.718000000000004</v>
      </c>
      <c r="L17" s="837">
        <v>113.92100000000001</v>
      </c>
      <c r="M17" s="836">
        <v>70.349000000000004</v>
      </c>
      <c r="N17" s="836">
        <f>O17-M17</f>
        <v>71.671000000000006</v>
      </c>
      <c r="O17" s="837">
        <v>142.02000000000001</v>
      </c>
      <c r="P17" s="838">
        <v>100.38800000000001</v>
      </c>
      <c r="Q17" s="280">
        <f>R17-P17</f>
        <v>93.048000000000002</v>
      </c>
      <c r="R17" s="837">
        <v>193.43600000000001</v>
      </c>
      <c r="S17" s="838">
        <v>116.14</v>
      </c>
      <c r="T17" s="280">
        <f>U17-S17</f>
        <v>114.271</v>
      </c>
      <c r="U17" s="837">
        <v>230.411</v>
      </c>
      <c r="V17" s="838">
        <v>139.024</v>
      </c>
      <c r="W17" s="280">
        <f>X17-V17</f>
        <v>126.11799999999999</v>
      </c>
      <c r="X17" s="837">
        <v>265.142</v>
      </c>
      <c r="Y17" s="838">
        <v>147.92699999999999</v>
      </c>
      <c r="Z17" s="280">
        <f>AA17-Y17</f>
        <v>138.89599999999999</v>
      </c>
      <c r="AA17" s="837">
        <v>286.82299999999998</v>
      </c>
      <c r="AB17" s="838">
        <v>160.60400000000001</v>
      </c>
      <c r="AC17" s="280">
        <f>AD17-AB17</f>
        <v>148.86099999999996</v>
      </c>
      <c r="AD17" s="837">
        <v>309.46499999999997</v>
      </c>
      <c r="AE17" s="838">
        <v>168.2</v>
      </c>
      <c r="AF17" s="280">
        <f>AG17-AE17</f>
        <v>168.63100000000003</v>
      </c>
      <c r="AG17" s="837">
        <v>336.83100000000002</v>
      </c>
      <c r="AH17" s="838">
        <v>182.37</v>
      </c>
      <c r="AI17" s="280">
        <f>AJ17-AH17</f>
        <v>173.32400000000001</v>
      </c>
      <c r="AJ17" s="837">
        <v>355.69400000000002</v>
      </c>
      <c r="AK17" s="838">
        <v>187.22900000000001</v>
      </c>
      <c r="AL17" s="280">
        <f>AM17-AK17</f>
        <v>186.85499999999999</v>
      </c>
      <c r="AM17" s="837">
        <v>374.084</v>
      </c>
      <c r="AN17" s="838">
        <v>202.786</v>
      </c>
      <c r="AO17" s="280">
        <f>AP17-AN17</f>
        <v>201.78899999999999</v>
      </c>
      <c r="AP17" s="837">
        <v>404.57499999999999</v>
      </c>
      <c r="AQ17" s="838">
        <v>249.3</v>
      </c>
      <c r="AR17" s="280">
        <f>AS17-AQ17</f>
        <v>330.8</v>
      </c>
      <c r="AS17" s="837">
        <v>580.1</v>
      </c>
      <c r="AT17" s="838">
        <v>357.4</v>
      </c>
      <c r="AU17" s="280">
        <f>AV17-AT17</f>
        <v>337.70000000000005</v>
      </c>
      <c r="AV17" s="837">
        <v>695.1</v>
      </c>
      <c r="AW17" s="838">
        <v>379.3</v>
      </c>
      <c r="AX17" s="280">
        <f>AY17-AW17</f>
        <v>351.7</v>
      </c>
      <c r="AY17" s="837">
        <v>731</v>
      </c>
      <c r="AZ17" s="838">
        <v>395.7</v>
      </c>
      <c r="BA17" s="280">
        <f>BB17-AZ17</f>
        <v>390.7</v>
      </c>
      <c r="BB17" s="837">
        <v>786.4</v>
      </c>
      <c r="BC17" s="838"/>
      <c r="BD17" s="280"/>
      <c r="BE17" s="837">
        <v>845.8</v>
      </c>
      <c r="BF17" s="838">
        <v>448.3</v>
      </c>
      <c r="BG17" s="280">
        <f>BH17-BF17</f>
        <v>432.8</v>
      </c>
      <c r="BH17" s="1146">
        <v>881.1</v>
      </c>
      <c r="BI17" s="838">
        <v>504.5</v>
      </c>
      <c r="BJ17" s="1397">
        <f>BK17-BI17</f>
        <v>473.79999999999995</v>
      </c>
      <c r="BK17" s="1237">
        <v>978.3</v>
      </c>
      <c r="BL17" s="1391">
        <v>532.70000000000005</v>
      </c>
      <c r="BM17" s="1397">
        <f>BN17-BL17</f>
        <v>506.39999999999986</v>
      </c>
      <c r="BN17" s="1535">
        <v>1039.0999999999999</v>
      </c>
      <c r="BO17" s="1893">
        <v>595.20000000000005</v>
      </c>
      <c r="BP17" s="1397">
        <f>BQ17-BO17</f>
        <v>571.79999999999995</v>
      </c>
      <c r="BQ17" s="1535">
        <v>1167</v>
      </c>
      <c r="BR17" s="1812">
        <v>644.6</v>
      </c>
      <c r="BS17" s="348"/>
      <c r="BT17" s="348"/>
      <c r="BU17" s="348"/>
      <c r="BV17" s="348"/>
      <c r="BW17" s="348"/>
      <c r="BX17" s="348"/>
      <c r="BY17" s="348"/>
      <c r="BZ17" s="348"/>
      <c r="CA17" s="348"/>
      <c r="CB17" s="348"/>
      <c r="CC17" s="348"/>
      <c r="CD17" s="352"/>
      <c r="CE17" s="352"/>
    </row>
    <row r="18" spans="1:83" outlineLevel="1">
      <c r="A18" s="783"/>
      <c r="B18" s="839" t="s">
        <v>488</v>
      </c>
      <c r="C18" s="304">
        <f>C17/Drivers!F90</f>
        <v>0.1187825818146051</v>
      </c>
      <c r="D18" s="347"/>
      <c r="E18" s="347"/>
      <c r="F18" s="304">
        <f>F17/Drivers!G90</f>
        <v>0.12385129444222151</v>
      </c>
      <c r="G18" s="304">
        <f>G17/Drivers!BM90</f>
        <v>0.11191805984948573</v>
      </c>
      <c r="H18" s="304">
        <f>H17/Drivers!BN90</f>
        <v>0.13415217487081693</v>
      </c>
      <c r="I18" s="304">
        <f>I17/Drivers!H90</f>
        <v>0.12209936550984736</v>
      </c>
      <c r="J18" s="304">
        <f>J17/Drivers!BO90</f>
        <v>0.11416023976337489</v>
      </c>
      <c r="K18" s="304">
        <f>K17/Drivers!BP90</f>
        <v>0.12779797470096449</v>
      </c>
      <c r="L18" s="304">
        <f>L17/Drivers!I90</f>
        <v>0.12044668071442693</v>
      </c>
      <c r="M18" s="304">
        <f>M17/Drivers!BQ90</f>
        <v>0.10676766358374135</v>
      </c>
      <c r="N18" s="304">
        <f>N17/Drivers!BR90</f>
        <v>0.11505299876873981</v>
      </c>
      <c r="O18" s="304">
        <f>O17/Drivers!J90</f>
        <v>0.11079411812890408</v>
      </c>
      <c r="P18" s="304">
        <f>P17/Drivers!BS90</f>
        <v>0.10155157798050057</v>
      </c>
      <c r="Q18" s="304">
        <f>Q17/Drivers!BT90</f>
        <v>0.11076852749094666</v>
      </c>
      <c r="R18" s="304">
        <f>R17/Drivers!K90</f>
        <v>0.1057857422545779</v>
      </c>
      <c r="S18" s="304">
        <f>S17/Drivers!BU90</f>
        <v>9.2060258488464719E-2</v>
      </c>
      <c r="T18" s="304">
        <f>T17/Drivers!BV90</f>
        <v>0.10722613566094054</v>
      </c>
      <c r="U18" s="304">
        <f>U17/Drivers!L90</f>
        <v>9.9005012748864973E-2</v>
      </c>
      <c r="V18" s="304">
        <f>V17/Drivers!BW90</f>
        <v>8.9475045920449178E-2</v>
      </c>
      <c r="W18" s="304">
        <f>W17/Drivers!BX90</f>
        <v>0.10710239769826399</v>
      </c>
      <c r="X18" s="304">
        <f>X17/Drivers!M90</f>
        <v>9.7074674516351059E-2</v>
      </c>
      <c r="Y18" s="304">
        <f>Y17/Drivers!BY90</f>
        <v>8.7913949201074024E-2</v>
      </c>
      <c r="Z18" s="304">
        <f>Z17/Drivers!BZ90</f>
        <v>0.10879988469543378</v>
      </c>
      <c r="AA18" s="304">
        <f>AA17/Drivers!N90</f>
        <v>9.6924122405215085E-2</v>
      </c>
      <c r="AB18" s="304">
        <f>AB17/Drivers!CA90</f>
        <v>9.0494943171605363E-2</v>
      </c>
      <c r="AC18" s="304">
        <f>AC17/Drivers!CB90</f>
        <v>0.11001778926775765</v>
      </c>
      <c r="AD18" s="304">
        <f>AD17/Drivers!O90</f>
        <v>9.8940402686623657E-2</v>
      </c>
      <c r="AE18" s="304">
        <f>AE17/Drivers!CC90</f>
        <v>9.2608498398897052E-2</v>
      </c>
      <c r="AF18" s="304">
        <f>AF17/Drivers!CD90</f>
        <v>0.11301194516376349</v>
      </c>
      <c r="AG18" s="304">
        <f>AG17/Drivers!P90</f>
        <v>0.10181084512150888</v>
      </c>
      <c r="AH18" s="304">
        <f>AH17/Drivers!CE90</f>
        <v>9.4011599764313739E-2</v>
      </c>
      <c r="AI18" s="304">
        <f>AI17/Drivers!CF90</f>
        <v>0.11226316593993943</v>
      </c>
      <c r="AJ18" s="304">
        <f>AJ17/Drivers!Q90</f>
        <v>0.10210016433323048</v>
      </c>
      <c r="AK18" s="304">
        <f>AK17/Drivers!CG90</f>
        <v>9.5274757931718135E-2</v>
      </c>
      <c r="AL18" s="304">
        <f>AL17/Drivers!CH90</f>
        <v>0.11076249505035009</v>
      </c>
      <c r="AM18" s="304">
        <f>AM17/Drivers!R90</f>
        <v>0.10242882521351888</v>
      </c>
      <c r="AN18" s="304">
        <f>AN17/Drivers!CI90</f>
        <v>9.5797605555888871E-2</v>
      </c>
      <c r="AO18" s="304">
        <f>AO17/Drivers!CJ90</f>
        <v>0.10980817892416944</v>
      </c>
      <c r="AP18" s="304">
        <f>AP17/Drivers!S90</f>
        <v>0.10230835154269842</v>
      </c>
      <c r="AQ18" s="304">
        <f>AQ17/Drivers!CK90</f>
        <v>0.10594534868896351</v>
      </c>
      <c r="AR18" s="304">
        <f>AR17/Drivers!CL90</f>
        <v>0.16404661542276219</v>
      </c>
      <c r="AS18" s="304">
        <f>AS17/Drivers!T7</f>
        <v>0.10307391613361763</v>
      </c>
      <c r="AT18" s="304">
        <f>AT17/Drivers!CM90</f>
        <v>0.13799227799227798</v>
      </c>
      <c r="AU18" s="304">
        <f>AU17/Drivers!CN90</f>
        <v>0.15612575127138237</v>
      </c>
      <c r="AV18" s="304">
        <f>AV17/Drivers!U7</f>
        <v>0.10141079322469107</v>
      </c>
      <c r="AW18" s="304">
        <f>AW17/Drivers!V90</f>
        <v>0.13980833026170292</v>
      </c>
      <c r="AX18" s="304">
        <f>AX17/Drivers!W90</f>
        <v>0.15740243465807377</v>
      </c>
      <c r="AY18" s="304">
        <f>AY17/Drivers!X7</f>
        <v>0.10302594675348471</v>
      </c>
      <c r="AZ18" s="304">
        <f>AZ17/Drivers!Y90</f>
        <v>0.13895424377567861</v>
      </c>
      <c r="BA18" s="304">
        <f>BA17/Drivers!Z90</f>
        <v>0.14565314643602745</v>
      </c>
      <c r="BB18" s="304">
        <f>BB17/Drivers!AA7</f>
        <v>9.9306721893192243E-2</v>
      </c>
      <c r="BC18" s="304"/>
      <c r="BD18" s="304"/>
      <c r="BE18" s="304">
        <f>BE17/Drivers!AD7</f>
        <v>9.4862103386009575E-2</v>
      </c>
      <c r="BF18" s="304">
        <f>BF17/Drivers!AE90</f>
        <v>0.13098994857410004</v>
      </c>
      <c r="BG18" s="304">
        <f>BG17/Drivers!AF90</f>
        <v>0.14330176809482817</v>
      </c>
      <c r="BH18" s="618">
        <f>BH17/Drivers!AG7</f>
        <v>9.5439774696707114E-2</v>
      </c>
      <c r="BI18" s="618">
        <f>BI17/Drivers!AH90</f>
        <v>0.13509171241130005</v>
      </c>
      <c r="BJ18" s="563">
        <f>BJ17/Drivers!AI7</f>
        <v>0.10897214747349294</v>
      </c>
      <c r="BK18" s="618">
        <f>BK17/Drivers!AJ7</f>
        <v>0.10162677636499626</v>
      </c>
      <c r="BL18" s="567">
        <f>BL17/Drivers!AK90</f>
        <v>0.14125477301654646</v>
      </c>
      <c r="BM18" s="563">
        <f>BM17/Drivers!AL7</f>
        <v>0.11430377175360584</v>
      </c>
      <c r="BN18" s="618">
        <f>BN17/Drivers!AM7</f>
        <v>0.10832534089487511</v>
      </c>
      <c r="BO18" s="567">
        <f>BO17/Drivers!AN90</f>
        <v>0.14662626561229772</v>
      </c>
      <c r="BP18" s="563">
        <f>BP17/Drivers!AO7</f>
        <v>0.1170665793137335</v>
      </c>
      <c r="BQ18" s="618">
        <f>BQ17/Drivers!AP7</f>
        <v>0.11056580892105961</v>
      </c>
      <c r="BR18" s="1811"/>
      <c r="BS18" s="347"/>
      <c r="BT18" s="347"/>
      <c r="BU18" s="347"/>
      <c r="BV18" s="347"/>
      <c r="BW18" s="347"/>
      <c r="BX18" s="347"/>
      <c r="BY18" s="347"/>
      <c r="BZ18" s="347"/>
      <c r="CA18" s="347"/>
      <c r="CB18" s="347"/>
      <c r="CC18" s="347"/>
      <c r="CD18" s="287"/>
      <c r="CE18" s="287"/>
    </row>
    <row r="19" spans="1:83" outlineLevel="1">
      <c r="A19" s="783"/>
      <c r="B19" s="839" t="s">
        <v>452</v>
      </c>
      <c r="C19" s="263"/>
      <c r="D19" s="347"/>
      <c r="E19" s="347"/>
      <c r="F19" s="263">
        <f>F17/C17-1</f>
        <v>0.32550216480942562</v>
      </c>
      <c r="G19" s="263"/>
      <c r="H19" s="263"/>
      <c r="I19" s="263">
        <f t="shared" ref="I19:AG19" si="55">I17/F17-1</f>
        <v>0.51236055332440888</v>
      </c>
      <c r="J19" s="263">
        <f t="shared" si="55"/>
        <v>0.38246122419895023</v>
      </c>
      <c r="K19" s="263">
        <f t="shared" si="55"/>
        <v>0.30704450022285301</v>
      </c>
      <c r="L19" s="263">
        <f t="shared" si="55"/>
        <v>0.34451788032574071</v>
      </c>
      <c r="M19" s="263">
        <f t="shared" si="55"/>
        <v>0.20868340119925088</v>
      </c>
      <c r="N19" s="263">
        <f t="shared" si="55"/>
        <v>0.28631680964858752</v>
      </c>
      <c r="O19" s="263">
        <f t="shared" si="55"/>
        <v>0.24665338260724545</v>
      </c>
      <c r="P19" s="263">
        <f t="shared" si="55"/>
        <v>0.42699967305860786</v>
      </c>
      <c r="Q19" s="263">
        <f t="shared" si="55"/>
        <v>0.29826568626083061</v>
      </c>
      <c r="R19" s="263">
        <f t="shared" si="55"/>
        <v>0.3620335164061399</v>
      </c>
      <c r="S19" s="263">
        <f t="shared" si="55"/>
        <v>0.15691118460373743</v>
      </c>
      <c r="T19" s="263">
        <f t="shared" si="55"/>
        <v>0.22808657896999396</v>
      </c>
      <c r="U19" s="263">
        <f t="shared" si="55"/>
        <v>0.19114849355859298</v>
      </c>
      <c r="V19" s="263">
        <f t="shared" si="55"/>
        <v>0.19703805751679004</v>
      </c>
      <c r="W19" s="263">
        <f t="shared" si="55"/>
        <v>0.10367459810450597</v>
      </c>
      <c r="X19" s="263">
        <f t="shared" si="55"/>
        <v>0.15073499095095277</v>
      </c>
      <c r="Y19" s="263">
        <f t="shared" si="55"/>
        <v>6.4039302566463174E-2</v>
      </c>
      <c r="Z19" s="263">
        <f t="shared" si="55"/>
        <v>0.10131781347626823</v>
      </c>
      <c r="AA19" s="263">
        <f t="shared" si="55"/>
        <v>8.1771277277836063E-2</v>
      </c>
      <c r="AB19" s="263">
        <f t="shared" si="55"/>
        <v>8.5697675204661872E-2</v>
      </c>
      <c r="AC19" s="263">
        <f t="shared" si="55"/>
        <v>7.174432669047337E-2</v>
      </c>
      <c r="AD19" s="263">
        <f t="shared" si="55"/>
        <v>7.8940670727242868E-2</v>
      </c>
      <c r="AE19" s="263">
        <f t="shared" si="55"/>
        <v>4.7296455879056509E-2</v>
      </c>
      <c r="AF19" s="263">
        <f t="shared" si="55"/>
        <v>0.13280845889789861</v>
      </c>
      <c r="AG19" s="263">
        <f t="shared" si="55"/>
        <v>8.8430032475401266E-2</v>
      </c>
      <c r="AH19" s="263">
        <f t="shared" ref="AH19" si="56">AH17/AE17-1</f>
        <v>8.4244946492271211E-2</v>
      </c>
      <c r="AI19" s="263">
        <f t="shared" ref="AI19" si="57">AI17/AF17-1</f>
        <v>2.782999567102129E-2</v>
      </c>
      <c r="AJ19" s="263">
        <f t="shared" ref="AJ19:BB19" si="58">AJ17/AG17-1</f>
        <v>5.6001377545416009E-2</v>
      </c>
      <c r="AK19" s="263">
        <f t="shared" si="58"/>
        <v>2.6643636563031148E-2</v>
      </c>
      <c r="AL19" s="263">
        <f t="shared" si="58"/>
        <v>7.8067665181971169E-2</v>
      </c>
      <c r="AM19" s="263">
        <f t="shared" si="58"/>
        <v>5.1701743633572717E-2</v>
      </c>
      <c r="AN19" s="263">
        <f t="shared" si="58"/>
        <v>8.3090760512527284E-2</v>
      </c>
      <c r="AO19" s="263">
        <f t="shared" si="58"/>
        <v>7.9922934896042408E-2</v>
      </c>
      <c r="AP19" s="263">
        <f t="shared" si="58"/>
        <v>8.1508431261427816E-2</v>
      </c>
      <c r="AQ19" s="263">
        <f t="shared" si="58"/>
        <v>0.22937480891185791</v>
      </c>
      <c r="AR19" s="263">
        <f t="shared" si="58"/>
        <v>0.63933613824341284</v>
      </c>
      <c r="AS19" s="263">
        <f t="shared" si="58"/>
        <v>0.43385033677315721</v>
      </c>
      <c r="AT19" s="263">
        <f t="shared" si="58"/>
        <v>0.43361411953469697</v>
      </c>
      <c r="AU19" s="263">
        <f t="shared" si="58"/>
        <v>2.0858524788391897E-2</v>
      </c>
      <c r="AV19" s="263">
        <f t="shared" si="58"/>
        <v>0.19824168246853979</v>
      </c>
      <c r="AW19" s="263">
        <f t="shared" si="58"/>
        <v>6.1275881365417062E-2</v>
      </c>
      <c r="AX19" s="263">
        <f t="shared" si="58"/>
        <v>4.1456914421083679E-2</v>
      </c>
      <c r="AY19" s="263">
        <f t="shared" si="58"/>
        <v>5.1647245000719266E-2</v>
      </c>
      <c r="AZ19" s="263">
        <f t="shared" si="58"/>
        <v>4.3237542842077481E-2</v>
      </c>
      <c r="BA19" s="263">
        <f t="shared" si="58"/>
        <v>0.11088996303667908</v>
      </c>
      <c r="BB19" s="263">
        <f t="shared" si="58"/>
        <v>7.5786593707250383E-2</v>
      </c>
      <c r="BC19" s="263"/>
      <c r="BD19" s="263"/>
      <c r="BE19" s="263">
        <f>BE17/BB17-1</f>
        <v>7.553407934893186E-2</v>
      </c>
      <c r="BF19" s="583" t="str">
        <f>IFERROR(BF17/BC17-1,"NA")</f>
        <v>NA</v>
      </c>
      <c r="BG19" s="263" t="str">
        <f>IFERROR(BG17/BD17-1,"NA")</f>
        <v>NA</v>
      </c>
      <c r="BH19" s="284">
        <f t="shared" ref="BH19" si="59">BH17/BE17-1</f>
        <v>4.1735634901868046E-2</v>
      </c>
      <c r="BI19" s="439">
        <f>IFERROR(BI17/BF17-1,"NA")</f>
        <v>0.12536248048182008</v>
      </c>
      <c r="BJ19" s="666">
        <f>BJ17/BG17-1</f>
        <v>9.4731977818853785E-2</v>
      </c>
      <c r="BK19" s="284">
        <f>BK17/BH17-1</f>
        <v>0.11031664964249233</v>
      </c>
      <c r="BL19" s="48">
        <f>IFERROR(BL17/BI17-1,"NA")</f>
        <v>5.5896927651139849E-2</v>
      </c>
      <c r="BM19" s="666">
        <f>BM17/BJ17-1</f>
        <v>6.8805403123680664E-2</v>
      </c>
      <c r="BN19" s="284">
        <f>BN17/BK17-1</f>
        <v>6.2148625166104532E-2</v>
      </c>
      <c r="BO19" s="48">
        <f>IFERROR(BO17/BL17-1,"NA")</f>
        <v>0.1173268256054063</v>
      </c>
      <c r="BP19" s="666">
        <f>BP17/BM17-1</f>
        <v>0.12914691943127976</v>
      </c>
      <c r="BQ19" s="284">
        <f>BQ17/BN17-1</f>
        <v>0.12308728707535388</v>
      </c>
      <c r="BR19" s="1811"/>
      <c r="BS19" s="347"/>
      <c r="BT19" s="347"/>
      <c r="BU19" s="347"/>
      <c r="BV19" s="347"/>
      <c r="BW19" s="347"/>
      <c r="BX19" s="347"/>
      <c r="BY19" s="347"/>
      <c r="BZ19" s="347"/>
      <c r="CA19" s="347"/>
      <c r="CB19" s="347"/>
      <c r="CC19" s="347"/>
      <c r="CD19" s="263"/>
      <c r="CE19" s="263"/>
    </row>
    <row r="20" spans="1:83" outlineLevel="1">
      <c r="A20" s="783"/>
      <c r="B20" s="783"/>
      <c r="C20" s="279"/>
      <c r="D20" s="347"/>
      <c r="E20" s="347"/>
      <c r="F20" s="279"/>
      <c r="G20" s="279"/>
      <c r="H20" s="279"/>
      <c r="I20" s="279"/>
      <c r="J20" s="279"/>
      <c r="K20" s="279"/>
      <c r="L20" s="279"/>
      <c r="M20" s="279"/>
      <c r="N20" s="279"/>
      <c r="O20" s="279"/>
      <c r="P20" s="279"/>
      <c r="Q20" s="279"/>
      <c r="R20" s="279"/>
      <c r="S20" s="279"/>
      <c r="T20" s="279"/>
      <c r="U20" s="293"/>
      <c r="V20" s="279"/>
      <c r="W20" s="279"/>
      <c r="X20" s="293"/>
      <c r="Y20" s="279"/>
      <c r="Z20" s="279"/>
      <c r="AA20" s="293"/>
      <c r="AB20" s="279"/>
      <c r="AC20" s="279">
        <f>AC21/Z21-1</f>
        <v>0.12039594448542634</v>
      </c>
      <c r="AD20" s="293"/>
      <c r="AE20" s="279">
        <f>AE21/AB21-1</f>
        <v>7.0290783021519587E-2</v>
      </c>
      <c r="AF20" s="279">
        <f>AF21/AC21-1</f>
        <v>9.8072241191872633E-2</v>
      </c>
      <c r="AG20" s="293"/>
      <c r="AH20" s="279">
        <f>AH21/AE21-1</f>
        <v>7.1306631648063057E-2</v>
      </c>
      <c r="AI20" s="279">
        <f>AI21/AF21-1</f>
        <v>4.9613743481049521E-2</v>
      </c>
      <c r="AJ20" s="279"/>
      <c r="AK20" s="279"/>
      <c r="AL20" s="279"/>
      <c r="AM20" s="279"/>
      <c r="AN20" s="279"/>
      <c r="AO20" s="279"/>
      <c r="AP20" s="279"/>
      <c r="AQ20" s="279"/>
      <c r="AR20" s="279"/>
      <c r="AS20" s="279"/>
      <c r="AT20" s="279"/>
      <c r="AU20" s="279"/>
      <c r="AV20" s="279"/>
      <c r="AW20" s="279"/>
      <c r="AX20" s="279"/>
      <c r="AY20" s="279"/>
      <c r="AZ20" s="279"/>
      <c r="BA20" s="279"/>
      <c r="BB20" s="279"/>
      <c r="BC20" s="279"/>
      <c r="BD20" s="279"/>
      <c r="BE20" s="279"/>
      <c r="BF20" s="279"/>
      <c r="BG20" s="279"/>
      <c r="BH20" s="279"/>
      <c r="BI20" s="279"/>
      <c r="BJ20" s="179"/>
      <c r="BK20" s="279"/>
      <c r="BL20" s="179"/>
      <c r="BM20" s="179"/>
      <c r="BN20" s="279"/>
      <c r="BO20" s="179"/>
      <c r="BP20" s="179"/>
      <c r="BQ20" s="279"/>
      <c r="BR20" s="1811"/>
      <c r="BS20" s="347"/>
      <c r="BT20" s="347"/>
      <c r="BU20" s="347"/>
      <c r="BV20" s="347"/>
      <c r="BW20" s="347"/>
      <c r="BX20" s="347"/>
      <c r="BY20" s="347"/>
      <c r="BZ20" s="347"/>
      <c r="CA20" s="347"/>
      <c r="CB20" s="347"/>
      <c r="CC20" s="347"/>
      <c r="CD20" s="293"/>
      <c r="CE20" s="293"/>
    </row>
    <row r="21" spans="1:83" outlineLevel="1">
      <c r="A21" s="784"/>
      <c r="B21" s="784" t="s">
        <v>489</v>
      </c>
      <c r="C21" s="835">
        <v>9.7539999999999996</v>
      </c>
      <c r="D21" s="348"/>
      <c r="E21" s="348"/>
      <c r="F21" s="835">
        <v>14.496</v>
      </c>
      <c r="G21" s="836">
        <v>10.308999999999999</v>
      </c>
      <c r="H21" s="836">
        <f>I21-G21</f>
        <v>12.680999999999999</v>
      </c>
      <c r="I21" s="835">
        <v>22.99</v>
      </c>
      <c r="J21" s="836">
        <v>14.975</v>
      </c>
      <c r="K21" s="836">
        <f>L21-J21</f>
        <v>18.205999999999996</v>
      </c>
      <c r="L21" s="837">
        <v>33.180999999999997</v>
      </c>
      <c r="M21" s="836">
        <v>20.588999999999999</v>
      </c>
      <c r="N21" s="836">
        <f>O21-M21</f>
        <v>26.225999999999999</v>
      </c>
      <c r="O21" s="837">
        <v>46.814999999999998</v>
      </c>
      <c r="P21" s="838">
        <v>30.094999999999999</v>
      </c>
      <c r="Q21" s="280">
        <f>R21-P21</f>
        <v>34.984999999999999</v>
      </c>
      <c r="R21" s="837">
        <v>65.08</v>
      </c>
      <c r="S21" s="838">
        <v>40.338999999999999</v>
      </c>
      <c r="T21" s="280">
        <f>U21-S21</f>
        <v>44.212000000000003</v>
      </c>
      <c r="U21" s="837">
        <v>84.551000000000002</v>
      </c>
      <c r="V21" s="838">
        <v>49.198999999999998</v>
      </c>
      <c r="W21" s="280">
        <f>X21-V21</f>
        <v>51.867999999999995</v>
      </c>
      <c r="X21" s="837">
        <v>101.06699999999999</v>
      </c>
      <c r="Y21" s="838">
        <v>56.509</v>
      </c>
      <c r="Z21" s="280">
        <f>AA21-Y21</f>
        <v>58.290999999999997</v>
      </c>
      <c r="AA21" s="837">
        <v>114.8</v>
      </c>
      <c r="AB21" s="838">
        <v>64.034000000000006</v>
      </c>
      <c r="AC21" s="280">
        <f>AD21-AB21</f>
        <v>65.308999999999983</v>
      </c>
      <c r="AD21" s="837">
        <v>129.34299999999999</v>
      </c>
      <c r="AE21" s="838">
        <v>68.534999999999997</v>
      </c>
      <c r="AF21" s="280">
        <f>AG21-AE21</f>
        <v>71.713999999999999</v>
      </c>
      <c r="AG21" s="837">
        <v>140.249</v>
      </c>
      <c r="AH21" s="838">
        <v>73.421999999999997</v>
      </c>
      <c r="AI21" s="280">
        <f>AJ21-AH21</f>
        <v>75.271999999999991</v>
      </c>
      <c r="AJ21" s="837">
        <v>148.69399999999999</v>
      </c>
      <c r="AK21" s="838">
        <v>78.415999999999997</v>
      </c>
      <c r="AL21" s="838">
        <f>AM21-AK21</f>
        <v>81.800000000000011</v>
      </c>
      <c r="AM21" s="837">
        <v>160.21600000000001</v>
      </c>
      <c r="AN21" s="838">
        <v>84.903999999999996</v>
      </c>
      <c r="AO21" s="280">
        <f>AP21-AN21</f>
        <v>88.888000000000005</v>
      </c>
      <c r="AP21" s="837">
        <v>173.792</v>
      </c>
      <c r="AQ21" s="838">
        <v>101.2</v>
      </c>
      <c r="AR21" s="280">
        <f>AS21-AQ21</f>
        <v>147.39999999999998</v>
      </c>
      <c r="AS21" s="837">
        <v>248.6</v>
      </c>
      <c r="AT21" s="838">
        <v>148.4</v>
      </c>
      <c r="AU21" s="280">
        <f>AV21-AT21</f>
        <v>157.29999999999998</v>
      </c>
      <c r="AV21" s="837">
        <v>305.7</v>
      </c>
      <c r="AW21" s="838">
        <v>151.4</v>
      </c>
      <c r="AX21" s="280">
        <f>AY21-AW21</f>
        <v>154.99999999999997</v>
      </c>
      <c r="AY21" s="837">
        <v>306.39999999999998</v>
      </c>
      <c r="AZ21" s="838">
        <v>153.5</v>
      </c>
      <c r="BA21" s="280">
        <f>BB21-AZ21</f>
        <v>159.60000000000002</v>
      </c>
      <c r="BB21" s="837">
        <v>313.10000000000002</v>
      </c>
      <c r="BC21" s="838"/>
      <c r="BD21" s="280"/>
      <c r="BE21" s="837">
        <v>293.60000000000002</v>
      </c>
      <c r="BF21" s="838">
        <v>148.5</v>
      </c>
      <c r="BG21" s="280">
        <f>BH21-BF21</f>
        <v>154.30000000000001</v>
      </c>
      <c r="BH21" s="1146">
        <v>302.8</v>
      </c>
      <c r="BI21" s="838">
        <v>160</v>
      </c>
      <c r="BJ21" s="1397">
        <f>BK21-BI21</f>
        <v>161.80000000000001</v>
      </c>
      <c r="BK21" s="1190">
        <v>321.8</v>
      </c>
      <c r="BL21" s="1391">
        <v>166.6</v>
      </c>
      <c r="BM21" s="1397">
        <f>BN21-BL21</f>
        <v>161.4</v>
      </c>
      <c r="BN21" s="1536">
        <v>328</v>
      </c>
      <c r="BO21" s="1893">
        <v>170.5</v>
      </c>
      <c r="BP21" s="1397">
        <f>BQ21-BO21</f>
        <v>179.10000000000002</v>
      </c>
      <c r="BQ21" s="1536">
        <v>349.6</v>
      </c>
      <c r="BR21" s="1812">
        <v>184.7</v>
      </c>
      <c r="BS21" s="348"/>
      <c r="BT21" s="348"/>
      <c r="BU21" s="348"/>
      <c r="BV21" s="348"/>
      <c r="BW21" s="348"/>
      <c r="BX21" s="348"/>
      <c r="BY21" s="348"/>
      <c r="BZ21" s="348"/>
      <c r="CA21" s="348"/>
      <c r="CB21" s="348"/>
      <c r="CC21" s="348"/>
      <c r="CD21" s="352"/>
      <c r="CE21" s="352"/>
    </row>
    <row r="22" spans="1:83" outlineLevel="1">
      <c r="A22" s="783"/>
      <c r="B22" s="839" t="s">
        <v>488</v>
      </c>
      <c r="C22" s="304">
        <f>C21/Drivers!F7</f>
        <v>2.7411581210392458E-2</v>
      </c>
      <c r="D22" s="347"/>
      <c r="E22" s="347"/>
      <c r="F22" s="304">
        <f>F21/Drivers!G7</f>
        <v>3.2045486197848159E-2</v>
      </c>
      <c r="G22" s="304">
        <f>G21/Drivers!BM90</f>
        <v>2.7404652597048728E-2</v>
      </c>
      <c r="H22" s="304">
        <f>H21/Drivers!BN90</f>
        <v>3.9906723815637923E-2</v>
      </c>
      <c r="I22" s="304">
        <f>I21/Drivers!H7</f>
        <v>3.3129522165365168E-2</v>
      </c>
      <c r="J22" s="304">
        <f>J21/Drivers!BO90</f>
        <v>2.9372190272950516E-2</v>
      </c>
      <c r="K22" s="304">
        <f>K21/Drivers!BP90</f>
        <v>4.175831737330412E-2</v>
      </c>
      <c r="L22" s="304">
        <f>L21/Drivers!I7</f>
        <v>3.5081690933062383E-2</v>
      </c>
      <c r="M22" s="304">
        <f>M21/Drivers!BQ90</f>
        <v>3.1247628616265337E-2</v>
      </c>
      <c r="N22" s="304">
        <f>N21/Drivers!BR90</f>
        <v>4.2100430379218512E-2</v>
      </c>
      <c r="O22" s="304">
        <f>O21/Drivers!J7</f>
        <v>3.652180425436307E-2</v>
      </c>
      <c r="P22" s="304">
        <f>P21/Drivers!BS90</f>
        <v>3.0443825350870271E-2</v>
      </c>
      <c r="Q22" s="304">
        <f>Q21/Drivers!BT90</f>
        <v>4.1647718750223203E-2</v>
      </c>
      <c r="R22" s="304">
        <f>R21/Drivers!K7</f>
        <v>3.5590769587501445E-2</v>
      </c>
      <c r="S22" s="304">
        <f>S21/Drivers!BU90</f>
        <v>3.1975363932892874E-2</v>
      </c>
      <c r="T22" s="304">
        <f>T21/Drivers!BV90</f>
        <v>4.1486308073277592E-2</v>
      </c>
      <c r="U22" s="304">
        <f>U21/Drivers!L7</f>
        <v>3.6330612830677712E-2</v>
      </c>
      <c r="V22" s="304">
        <f>V21/Drivers!BW90</f>
        <v>3.1664193119462676E-2</v>
      </c>
      <c r="W22" s="304">
        <f>W21/Drivers!BX90</f>
        <v>4.4047536147207821E-2</v>
      </c>
      <c r="X22" s="304">
        <f>X21/Drivers!M7</f>
        <v>3.700298756645138E-2</v>
      </c>
      <c r="Y22" s="304">
        <f>Y21/Drivers!BY90</f>
        <v>3.3583655150199031E-2</v>
      </c>
      <c r="Z22" s="304">
        <f>Z21/Drivers!BZ90</f>
        <v>4.5660451552107552E-2</v>
      </c>
      <c r="AA22" s="304">
        <f>AA21/Drivers!N7</f>
        <v>3.8793573918823432E-2</v>
      </c>
      <c r="AB22" s="304">
        <f>AB21/Drivers!CA90</f>
        <v>3.6081001662789082E-2</v>
      </c>
      <c r="AC22" s="304">
        <f>AC21/Drivers!CB90</f>
        <v>4.826752338952435E-2</v>
      </c>
      <c r="AD22" s="304">
        <f>AD21/Drivers!O7</f>
        <v>4.1352813742090266E-2</v>
      </c>
      <c r="AE22" s="304">
        <f>AE21/Drivers!CC90</f>
        <v>3.7734384291132045E-2</v>
      </c>
      <c r="AF22" s="304">
        <f>AF21/Drivers!CD90</f>
        <v>4.8060787372868174E-2</v>
      </c>
      <c r="AG22" s="304">
        <f>AG21/Drivers!P7</f>
        <v>4.2391790593640427E-2</v>
      </c>
      <c r="AH22" s="304">
        <f>AH21/Drivers!CE90</f>
        <v>3.7848986554232841E-2</v>
      </c>
      <c r="AI22" s="304">
        <f>AI21/Drivers!CF90</f>
        <v>4.8754200379815371E-2</v>
      </c>
      <c r="AJ22" s="304">
        <f>AJ21/Drivers!Q7</f>
        <v>4.2681860912372353E-2</v>
      </c>
      <c r="AK22" s="304">
        <f>AK21/Drivers!CG90</f>
        <v>3.9903355879557165E-2</v>
      </c>
      <c r="AL22" s="304">
        <f>AL21/Drivers!CH90</f>
        <v>4.8488785930901709E-2</v>
      </c>
      <c r="AM22" s="304">
        <f>AM21/Drivers!R7</f>
        <v>4.3869122069933875E-2</v>
      </c>
      <c r="AN22" s="304">
        <f>AN21/Drivers!CI90</f>
        <v>4.0109277278101978E-2</v>
      </c>
      <c r="AO22" s="304">
        <f>AO21/Drivers!CJ90</f>
        <v>4.8370473158653712E-2</v>
      </c>
      <c r="AP22" s="304">
        <f>AP21/Drivers!S7</f>
        <v>4.3948274192198343E-2</v>
      </c>
      <c r="AQ22" s="304">
        <f>AQ21/Drivers!CK90</f>
        <v>4.3007097020951089E-2</v>
      </c>
      <c r="AR22" s="304">
        <f>AR21/Drivers!CL90</f>
        <v>7.3096950161170321E-2</v>
      </c>
      <c r="AS22" s="304">
        <f>AS21/Drivers!T7</f>
        <v>4.4171997157071784E-2</v>
      </c>
      <c r="AT22" s="304">
        <f>AT21/Drivers!CM90</f>
        <v>5.7297297297297302E-2</v>
      </c>
      <c r="AU22" s="304">
        <f>AU21/Drivers!CN90</f>
        <v>7.2723069810448446E-2</v>
      </c>
      <c r="AV22" s="304">
        <f>AV21/Drivers!U7</f>
        <v>4.4599740309003107E-2</v>
      </c>
      <c r="AW22" s="304">
        <f>AW21/Drivers!V90</f>
        <v>5.5805381496498344E-2</v>
      </c>
      <c r="AX22" s="304">
        <f>AX21/Drivers!W90</f>
        <v>6.9369853204439669E-2</v>
      </c>
      <c r="AY22" s="304">
        <f>AY21/Drivers!X7</f>
        <v>4.3183515848519441E-2</v>
      </c>
      <c r="AZ22" s="304">
        <f>AZ21/Drivers!Y90</f>
        <v>5.3903149910454057E-2</v>
      </c>
      <c r="BA22" s="304">
        <f>BA21/Drivers!Z90</f>
        <v>5.94989561586639E-2</v>
      </c>
      <c r="BB22" s="304">
        <f>BB21/Drivers!AA7</f>
        <v>3.9538319716122192E-2</v>
      </c>
      <c r="BC22" s="304"/>
      <c r="BD22" s="304"/>
      <c r="BE22" s="304">
        <f>BE21/Drivers!AD7</f>
        <v>3.2929195500274788E-2</v>
      </c>
      <c r="BF22" s="304">
        <f>BF21/Drivers!AE90</f>
        <v>4.3390603085553994E-2</v>
      </c>
      <c r="BG22" s="304">
        <f>BG21/Drivers!AF90</f>
        <v>5.1089331832328992E-2</v>
      </c>
      <c r="BH22" s="618">
        <f>BH21/Drivers!AG7</f>
        <v>3.2798960138648178E-2</v>
      </c>
      <c r="BI22" s="618">
        <f>BI21/Drivers!AH90</f>
        <v>4.2843754183960372E-2</v>
      </c>
      <c r="BJ22" s="618">
        <f>BJ21/Drivers!AI90</f>
        <v>5.2551235830978607E-2</v>
      </c>
      <c r="BK22" s="618">
        <f>BK21/Drivers!AJ90</f>
        <v>4.7230457627616171E-2</v>
      </c>
      <c r="BL22" s="567">
        <f>BL21/Drivers!AK90</f>
        <v>4.4176919813322016E-2</v>
      </c>
      <c r="BM22" s="618">
        <f>BM21/Drivers!AL90</f>
        <v>5.1366920212596687E-2</v>
      </c>
      <c r="BN22" s="618">
        <f>BN21/Drivers!AM90</f>
        <v>4.7444780350917801E-2</v>
      </c>
      <c r="BO22" s="567">
        <f>BO21/Drivers!AN90</f>
        <v>4.2002315670189444E-2</v>
      </c>
      <c r="BP22" s="618">
        <f>BP21/Drivers!AO90</f>
        <v>5.259448506739494E-2</v>
      </c>
      <c r="BQ22" s="618">
        <f>BQ21/Drivers!AP90</f>
        <v>4.6834391661977871E-2</v>
      </c>
      <c r="BR22" s="1811"/>
      <c r="BS22" s="347"/>
      <c r="BT22" s="347"/>
      <c r="BU22" s="347"/>
      <c r="BV22" s="347"/>
      <c r="BW22" s="347"/>
      <c r="BX22" s="347"/>
      <c r="BY22" s="347"/>
      <c r="BZ22" s="347"/>
      <c r="CA22" s="347"/>
      <c r="CB22" s="347"/>
      <c r="CC22" s="347"/>
      <c r="CD22" s="310"/>
      <c r="CE22" s="310"/>
    </row>
    <row r="23" spans="1:83" outlineLevel="1">
      <c r="A23" s="783"/>
      <c r="B23" s="783" t="s">
        <v>314</v>
      </c>
      <c r="C23" s="279">
        <f>Drivers!F44-C29</f>
        <v>0.98924999999999996</v>
      </c>
      <c r="D23" s="347"/>
      <c r="E23" s="347"/>
      <c r="F23" s="279">
        <f>Drivers!G44-F29</f>
        <v>2.3760000000000003</v>
      </c>
      <c r="G23" s="279"/>
      <c r="H23" s="279"/>
      <c r="I23" s="279">
        <f>Drivers!H44-I29</f>
        <v>3.9509999999999996</v>
      </c>
      <c r="J23" s="279"/>
      <c r="K23" s="279"/>
      <c r="L23" s="279">
        <f>Drivers!I44-L29</f>
        <v>5.57925</v>
      </c>
      <c r="M23" s="279"/>
      <c r="N23" s="279"/>
      <c r="O23" s="279">
        <f>Drivers!J44-O29</f>
        <v>8.1404999999999994</v>
      </c>
      <c r="P23" s="279"/>
      <c r="Q23" s="279"/>
      <c r="R23" s="279">
        <f>Drivers!K44-R29</f>
        <v>11.018249999999998</v>
      </c>
      <c r="S23" s="279">
        <f>Drivers!BU44-S29</f>
        <v>6.3563750000000034</v>
      </c>
      <c r="T23" s="279">
        <f>Drivers!BV44-T29</f>
        <v>7.7053749999999965</v>
      </c>
      <c r="U23" s="279">
        <f>Drivers!L44-U29</f>
        <v>14.06175</v>
      </c>
      <c r="V23" s="279">
        <f>Drivers!BW44-V29</f>
        <v>7.6529999999999889</v>
      </c>
      <c r="W23" s="279">
        <f>Drivers!BX44-W29</f>
        <v>9.8047500000000127</v>
      </c>
      <c r="X23" s="279">
        <f>Drivers!M44-X29</f>
        <v>17.457750000000001</v>
      </c>
      <c r="Y23" s="279">
        <f>Drivers!BY44-Y29</f>
        <v>9.7399999999999913</v>
      </c>
      <c r="Z23" s="279">
        <f>Drivers!BZ44-Z29</f>
        <v>10.447000000000006</v>
      </c>
      <c r="AA23" s="279">
        <f>Drivers!N44-AA29</f>
        <v>20.186999999999998</v>
      </c>
      <c r="AB23" s="279">
        <f>Drivers!CA44-AB29</f>
        <v>11.663</v>
      </c>
      <c r="AC23" s="279">
        <f>Drivers!CB44-AC29</f>
        <v>14.469000000000001</v>
      </c>
      <c r="AD23" s="279">
        <f>Drivers!O44-AD29</f>
        <v>23.654000000000003</v>
      </c>
      <c r="AE23" s="279">
        <f>Drivers!CC44-AE29</f>
        <v>12.700000000000008</v>
      </c>
      <c r="AF23" s="279">
        <f>Drivers!CD44-AF29</f>
        <v>13.33199999999999</v>
      </c>
      <c r="AG23" s="279">
        <f>Drivers!P44-AG29</f>
        <v>26.032</v>
      </c>
      <c r="AH23" s="279">
        <f>Drivers!CE44-AH29</f>
        <v>13.700000000000006</v>
      </c>
      <c r="AI23" s="279">
        <f>Drivers!CF44-AI29</f>
        <v>14.429999999999996</v>
      </c>
      <c r="AJ23" s="279">
        <f>Drivers!Q44-AJ29</f>
        <v>28.43</v>
      </c>
      <c r="AK23" s="279">
        <f>Drivers!CG44-AK29</f>
        <v>15.074000000000002</v>
      </c>
      <c r="AL23" s="279">
        <f>AM23-AK23</f>
        <v>16.650000000000002</v>
      </c>
      <c r="AM23" s="279">
        <f>Drivers!R44-AM29</f>
        <v>31.724000000000004</v>
      </c>
      <c r="AN23" s="279">
        <f>Drivers!CI44-AN29</f>
        <v>17.04600000000001</v>
      </c>
      <c r="AO23" s="279">
        <f>AP23-AN23</f>
        <v>18.65499999999999</v>
      </c>
      <c r="AP23" s="279">
        <f>Drivers!S44-AP29</f>
        <v>35.701000000000001</v>
      </c>
      <c r="AQ23" s="279">
        <f>Drivers!CK44-AQ29</f>
        <v>20.499999999999993</v>
      </c>
      <c r="AR23" s="279">
        <f>AS23-AQ23</f>
        <v>27.940000000000012</v>
      </c>
      <c r="AS23" s="279">
        <f>Drivers!T44-AS29</f>
        <v>48.440000000000005</v>
      </c>
      <c r="AT23" s="279">
        <f>Drivers!CM44-AT29</f>
        <v>25.099999999999994</v>
      </c>
      <c r="AU23" s="279">
        <f>AV23-AT23</f>
        <v>30.267000000000003</v>
      </c>
      <c r="AV23" s="279">
        <f>Drivers!U44-AV29</f>
        <v>55.366999999999997</v>
      </c>
      <c r="AW23" s="279">
        <f>Drivers!V44-AW29</f>
        <v>23.300000000000026</v>
      </c>
      <c r="AX23" s="279">
        <f>Drivers!W44-AX29</f>
        <v>26.880349999999979</v>
      </c>
      <c r="AY23" s="279">
        <f>Drivers!X44-AY29</f>
        <v>50.180350000000004</v>
      </c>
      <c r="AZ23" s="279">
        <f>Drivers!Y44-AZ29</f>
        <v>104.60000000000002</v>
      </c>
      <c r="BA23" s="279">
        <f>Drivers!Z44-BA29</f>
        <v>110.29999999999995</v>
      </c>
      <c r="BB23" s="279">
        <f>Drivers!AA44-BB29</f>
        <v>229.3</v>
      </c>
      <c r="BC23" s="279"/>
      <c r="BD23" s="279"/>
      <c r="BE23" s="279">
        <f>Drivers!AD44-BE29</f>
        <v>218.5</v>
      </c>
      <c r="BF23" s="279">
        <f>Drivers!AE44-BF29</f>
        <v>108.50000000000003</v>
      </c>
      <c r="BG23" s="279">
        <f>Drivers!AF44-BG29</f>
        <v>110.79999999999988</v>
      </c>
      <c r="BH23" s="279">
        <f>Drivers!AG44-BH29</f>
        <v>219.3</v>
      </c>
      <c r="BI23" s="279">
        <f ca="1">Drivers!AH44-BI29</f>
        <v>113.40000000000003</v>
      </c>
      <c r="BJ23" s="279">
        <f>Drivers!AI44-BJ29</f>
        <v>110.80000000000001</v>
      </c>
      <c r="BK23" s="279">
        <f ca="1">Drivers!AJ44-BK29</f>
        <v>224.2</v>
      </c>
      <c r="BL23" s="179">
        <f>Drivers!AK44-BL29</f>
        <v>118.5</v>
      </c>
      <c r="BM23" s="279">
        <f ca="1">Drivers!AL44-BM29</f>
        <v>118.59999999999991</v>
      </c>
      <c r="BN23" s="279">
        <f>Drivers!AM44-BN29</f>
        <v>237.1</v>
      </c>
      <c r="BO23" s="179">
        <f ca="1">Drivers!AN44-BO29</f>
        <v>125.99999999999996</v>
      </c>
      <c r="BP23" s="279">
        <f>Drivers!AO44-BP29</f>
        <v>132.80000000000007</v>
      </c>
      <c r="BQ23" s="279">
        <f ca="1">Drivers!AP44-BQ29</f>
        <v>258.8</v>
      </c>
      <c r="BR23" s="1811"/>
      <c r="BS23" s="347"/>
      <c r="BT23" s="347"/>
      <c r="BU23" s="347"/>
      <c r="BV23" s="347"/>
      <c r="BW23" s="347"/>
      <c r="BX23" s="347"/>
      <c r="BY23" s="347"/>
      <c r="BZ23" s="347"/>
      <c r="CA23" s="347"/>
      <c r="CB23" s="347"/>
      <c r="CC23" s="347"/>
      <c r="CD23" s="279"/>
      <c r="CE23" s="279"/>
    </row>
    <row r="24" spans="1:83" outlineLevel="1">
      <c r="A24" s="783"/>
      <c r="B24" s="783" t="s">
        <v>490</v>
      </c>
      <c r="C24" s="279">
        <f t="shared" ref="C24:AS24" si="60">C21-C23</f>
        <v>8.7647499999999994</v>
      </c>
      <c r="D24" s="347"/>
      <c r="E24" s="347"/>
      <c r="F24" s="279">
        <f>F21-F23</f>
        <v>12.120000000000001</v>
      </c>
      <c r="G24" s="279"/>
      <c r="H24" s="279"/>
      <c r="I24" s="279">
        <f t="shared" si="60"/>
        <v>19.038999999999998</v>
      </c>
      <c r="J24" s="279"/>
      <c r="K24" s="279"/>
      <c r="L24" s="279">
        <f t="shared" si="60"/>
        <v>27.601749999999996</v>
      </c>
      <c r="M24" s="279"/>
      <c r="N24" s="279"/>
      <c r="O24" s="279">
        <f t="shared" si="60"/>
        <v>38.674499999999995</v>
      </c>
      <c r="P24" s="279"/>
      <c r="Q24" s="279"/>
      <c r="R24" s="279">
        <f t="shared" si="60"/>
        <v>54.061750000000004</v>
      </c>
      <c r="S24" s="279">
        <f t="shared" si="60"/>
        <v>33.982624999999999</v>
      </c>
      <c r="T24" s="279">
        <f t="shared" si="60"/>
        <v>36.506625000000007</v>
      </c>
      <c r="U24" s="279">
        <f t="shared" si="60"/>
        <v>70.489249999999998</v>
      </c>
      <c r="V24" s="279">
        <f t="shared" si="60"/>
        <v>41.546000000000006</v>
      </c>
      <c r="W24" s="279">
        <f t="shared" si="60"/>
        <v>42.063249999999982</v>
      </c>
      <c r="X24" s="279">
        <f t="shared" si="60"/>
        <v>83.609249999999989</v>
      </c>
      <c r="Y24" s="279">
        <f t="shared" si="60"/>
        <v>46.769000000000005</v>
      </c>
      <c r="Z24" s="279">
        <f t="shared" si="60"/>
        <v>47.843999999999994</v>
      </c>
      <c r="AA24" s="279">
        <f t="shared" si="60"/>
        <v>94.613</v>
      </c>
      <c r="AB24" s="279">
        <f t="shared" si="60"/>
        <v>52.371000000000009</v>
      </c>
      <c r="AC24" s="279">
        <f t="shared" si="60"/>
        <v>50.839999999999982</v>
      </c>
      <c r="AD24" s="279">
        <f t="shared" si="60"/>
        <v>105.68899999999999</v>
      </c>
      <c r="AE24" s="279">
        <f t="shared" si="60"/>
        <v>55.834999999999987</v>
      </c>
      <c r="AF24" s="279">
        <f t="shared" si="60"/>
        <v>58.382000000000005</v>
      </c>
      <c r="AG24" s="279">
        <f t="shared" si="60"/>
        <v>114.217</v>
      </c>
      <c r="AH24" s="279">
        <f>AH21-AH23</f>
        <v>59.721999999999994</v>
      </c>
      <c r="AI24" s="279">
        <f>AI21-AI23</f>
        <v>60.841999999999999</v>
      </c>
      <c r="AJ24" s="279">
        <f t="shared" si="60"/>
        <v>120.26399999999998</v>
      </c>
      <c r="AK24" s="279">
        <f>AK21-AK23</f>
        <v>63.341999999999999</v>
      </c>
      <c r="AL24" s="279">
        <f>AL21-AL23</f>
        <v>65.150000000000006</v>
      </c>
      <c r="AM24" s="279">
        <f t="shared" si="60"/>
        <v>128.49200000000002</v>
      </c>
      <c r="AN24" s="279">
        <f>AN21-AN23</f>
        <v>67.85799999999999</v>
      </c>
      <c r="AO24" s="279">
        <f>AO21-AO23</f>
        <v>70.233000000000018</v>
      </c>
      <c r="AP24" s="279">
        <f t="shared" si="60"/>
        <v>138.09100000000001</v>
      </c>
      <c r="AQ24" s="279">
        <f>AQ21-AQ23</f>
        <v>80.700000000000017</v>
      </c>
      <c r="AR24" s="279">
        <f>AR21-AR23</f>
        <v>119.45999999999997</v>
      </c>
      <c r="AS24" s="279">
        <f t="shared" si="60"/>
        <v>200.16</v>
      </c>
      <c r="AT24" s="279">
        <f t="shared" ref="AT24:AY24" si="61">AT21-AT23</f>
        <v>123.30000000000001</v>
      </c>
      <c r="AU24" s="279">
        <f t="shared" si="61"/>
        <v>127.03299999999999</v>
      </c>
      <c r="AV24" s="279">
        <f t="shared" si="61"/>
        <v>250.333</v>
      </c>
      <c r="AW24" s="279">
        <f t="shared" si="61"/>
        <v>128.09999999999997</v>
      </c>
      <c r="AX24" s="279">
        <f t="shared" si="61"/>
        <v>128.11964999999998</v>
      </c>
      <c r="AY24" s="279">
        <f t="shared" si="61"/>
        <v>256.21965</v>
      </c>
      <c r="AZ24" s="279">
        <f t="shared" ref="AZ24:BA24" si="62">AZ21-AZ23</f>
        <v>48.899999999999977</v>
      </c>
      <c r="BA24" s="279">
        <f t="shared" si="62"/>
        <v>49.300000000000068</v>
      </c>
      <c r="BB24" s="279">
        <f>BB21-BB23</f>
        <v>83.800000000000011</v>
      </c>
      <c r="BC24" s="279"/>
      <c r="BD24" s="279"/>
      <c r="BE24" s="279">
        <f t="shared" ref="BE24:BK24" si="63">BE21-BE23</f>
        <v>75.100000000000023</v>
      </c>
      <c r="BF24" s="279">
        <f t="shared" si="63"/>
        <v>39.999999999999972</v>
      </c>
      <c r="BG24" s="279">
        <f t="shared" si="63"/>
        <v>43.500000000000128</v>
      </c>
      <c r="BH24" s="279">
        <f t="shared" si="63"/>
        <v>83.5</v>
      </c>
      <c r="BI24" s="279">
        <f t="shared" ca="1" si="63"/>
        <v>46.599999999999966</v>
      </c>
      <c r="BJ24" s="279">
        <f t="shared" si="63"/>
        <v>51</v>
      </c>
      <c r="BK24" s="279">
        <f t="shared" ca="1" si="63"/>
        <v>97.600000000000023</v>
      </c>
      <c r="BL24" s="179">
        <f t="shared" ref="BL24:BN24" si="64">BL21-BL23</f>
        <v>48.099999999999994</v>
      </c>
      <c r="BM24" s="279">
        <f t="shared" ca="1" si="64"/>
        <v>42.800000000000097</v>
      </c>
      <c r="BN24" s="279">
        <f t="shared" si="64"/>
        <v>90.9</v>
      </c>
      <c r="BO24" s="179">
        <f t="shared" ref="BO24:BQ24" ca="1" si="65">BO21-BO23</f>
        <v>44.500000000000043</v>
      </c>
      <c r="BP24" s="279">
        <f t="shared" si="65"/>
        <v>46.299999999999955</v>
      </c>
      <c r="BQ24" s="279">
        <f t="shared" ca="1" si="65"/>
        <v>90.800000000000011</v>
      </c>
      <c r="BR24" s="1811"/>
      <c r="BS24" s="347"/>
      <c r="BT24" s="347"/>
      <c r="BU24" s="347"/>
      <c r="BV24" s="347"/>
      <c r="BW24" s="347"/>
      <c r="BX24" s="347"/>
      <c r="BY24" s="347"/>
      <c r="BZ24" s="347"/>
      <c r="CA24" s="347"/>
      <c r="CB24" s="347"/>
      <c r="CC24" s="347"/>
      <c r="CD24" s="279"/>
      <c r="CE24" s="279"/>
    </row>
    <row r="25" spans="1:83" outlineLevel="1">
      <c r="A25" s="783"/>
      <c r="B25" s="783" t="s">
        <v>491</v>
      </c>
      <c r="C25" s="279">
        <f>Drivers!F425</f>
        <v>4.6829999999999998</v>
      </c>
      <c r="D25" s="347"/>
      <c r="E25" s="347"/>
      <c r="F25" s="279">
        <f>Drivers!G425</f>
        <v>7.1390000000000002</v>
      </c>
      <c r="G25" s="279"/>
      <c r="H25" s="279"/>
      <c r="I25" s="279">
        <f>Drivers!H425</f>
        <v>12.217000000000001</v>
      </c>
      <c r="J25" s="279"/>
      <c r="K25" s="279"/>
      <c r="L25" s="279">
        <f>Drivers!I425</f>
        <v>16.872</v>
      </c>
      <c r="M25" s="279"/>
      <c r="N25" s="279"/>
      <c r="O25" s="279">
        <f>Drivers!J425</f>
        <v>28.074000000000002</v>
      </c>
      <c r="P25" s="279"/>
      <c r="Q25" s="279"/>
      <c r="R25" s="279">
        <f>Drivers!K425</f>
        <v>38.511000000000003</v>
      </c>
      <c r="S25" s="279"/>
      <c r="T25" s="279"/>
      <c r="U25" s="279">
        <f>Drivers!L425</f>
        <v>49.805999999999997</v>
      </c>
      <c r="V25" s="279"/>
      <c r="W25" s="279"/>
      <c r="X25" s="279">
        <f>Drivers!M425</f>
        <v>58.378999999999998</v>
      </c>
      <c r="Y25" s="279"/>
      <c r="Z25" s="279"/>
      <c r="AA25" s="279">
        <f>Drivers!N425</f>
        <v>65.721999999999994</v>
      </c>
      <c r="AB25" s="279"/>
      <c r="AC25" s="279"/>
      <c r="AD25" s="279">
        <f>Drivers!O425</f>
        <v>73.224999999999994</v>
      </c>
      <c r="AE25" s="279"/>
      <c r="AF25" s="279"/>
      <c r="AG25" s="279">
        <f>Drivers!P425</f>
        <v>82.055999999999997</v>
      </c>
      <c r="AH25" s="279"/>
      <c r="AI25" s="279"/>
      <c r="AJ25" s="279">
        <f>Drivers!Q425</f>
        <v>87.114000000000004</v>
      </c>
      <c r="AK25" s="279"/>
      <c r="AL25" s="279"/>
      <c r="AM25" s="279">
        <f>Drivers!R425</f>
        <v>94.671999999999997</v>
      </c>
      <c r="AN25" s="279"/>
      <c r="AO25" s="279">
        <f>AO21/AL21-1</f>
        <v>8.6650366748166174E-2</v>
      </c>
      <c r="AP25" s="279">
        <f>Drivers!S425</f>
        <v>102.29</v>
      </c>
      <c r="AQ25" s="279"/>
      <c r="AR25" s="279"/>
      <c r="AS25" s="279">
        <f>Drivers!T425</f>
        <v>152.4</v>
      </c>
      <c r="AT25" s="279"/>
      <c r="AU25" s="279"/>
      <c r="AV25" s="279">
        <f>Drivers!U425</f>
        <v>193.1</v>
      </c>
      <c r="AW25" s="279"/>
      <c r="AX25" s="279"/>
      <c r="AY25" s="279">
        <f>Drivers!X425</f>
        <v>0</v>
      </c>
      <c r="AZ25" s="279"/>
      <c r="BA25" s="279"/>
      <c r="BB25" s="279">
        <f>Drivers!AA425</f>
        <v>0</v>
      </c>
      <c r="BC25" s="279"/>
      <c r="BD25" s="279"/>
      <c r="BE25" s="279">
        <f>Drivers!AD425</f>
        <v>0</v>
      </c>
      <c r="BF25" s="279"/>
      <c r="BG25" s="279"/>
      <c r="BH25" s="279">
        <f>Drivers!AG425</f>
        <v>0</v>
      </c>
      <c r="BI25" s="279"/>
      <c r="BJ25" s="279"/>
      <c r="BK25" s="279"/>
      <c r="BL25" s="179"/>
      <c r="BM25" s="279"/>
      <c r="BN25" s="279"/>
      <c r="BO25" s="179"/>
      <c r="BP25" s="279"/>
      <c r="BQ25" s="279"/>
      <c r="BR25" s="1811"/>
      <c r="BS25" s="347"/>
      <c r="BT25" s="347"/>
      <c r="BU25" s="347"/>
      <c r="BV25" s="347"/>
      <c r="BW25" s="347"/>
      <c r="BX25" s="347"/>
      <c r="BY25" s="347"/>
      <c r="BZ25" s="347"/>
      <c r="CA25" s="347"/>
      <c r="CB25" s="347"/>
      <c r="CC25" s="347"/>
      <c r="CD25" s="279"/>
      <c r="CE25" s="279"/>
    </row>
    <row r="26" spans="1:83" outlineLevel="1">
      <c r="A26" s="783"/>
      <c r="B26" s="783" t="s">
        <v>839</v>
      </c>
      <c r="C26" s="263">
        <f>C24/C6</f>
        <v>2.4631500555032527E-2</v>
      </c>
      <c r="D26" s="347"/>
      <c r="E26" s="347"/>
      <c r="F26" s="263">
        <f t="shared" ref="F26:AV26" si="66">F24/F6</f>
        <v>2.6792997566081656E-2</v>
      </c>
      <c r="G26" s="263"/>
      <c r="H26" s="263"/>
      <c r="I26" s="263">
        <f t="shared" si="66"/>
        <v>2.7435970965915067E-2</v>
      </c>
      <c r="J26" s="263"/>
      <c r="K26" s="263"/>
      <c r="L26" s="263">
        <f t="shared" si="66"/>
        <v>2.918284749439904E-2</v>
      </c>
      <c r="M26" s="263"/>
      <c r="N26" s="263"/>
      <c r="O26" s="263">
        <f t="shared" si="66"/>
        <v>3.017115280648007E-2</v>
      </c>
      <c r="P26" s="279"/>
      <c r="Q26" s="279"/>
      <c r="R26" s="263">
        <f t="shared" si="66"/>
        <v>2.9565139639629787E-2</v>
      </c>
      <c r="S26" s="279"/>
      <c r="T26" s="279"/>
      <c r="U26" s="263">
        <f t="shared" si="66"/>
        <v>3.0288437161888671E-2</v>
      </c>
      <c r="V26" s="279"/>
      <c r="W26" s="279"/>
      <c r="X26" s="263">
        <f t="shared" si="66"/>
        <v>3.0611297834014315E-2</v>
      </c>
      <c r="Y26" s="279"/>
      <c r="Z26" s="279"/>
      <c r="AA26" s="263">
        <f t="shared" si="66"/>
        <v>3.1971919940606629E-2</v>
      </c>
      <c r="AB26" s="279"/>
      <c r="AC26" s="279"/>
      <c r="AD26" s="263">
        <f t="shared" si="66"/>
        <v>3.3790290402942395E-2</v>
      </c>
      <c r="AE26" s="279">
        <f>AE27/AC27-1</f>
        <v>0.1576999012833169</v>
      </c>
      <c r="AF26" s="279">
        <f>AF27/AD27-1</f>
        <v>-0.50716825753322103</v>
      </c>
      <c r="AG26" s="263">
        <f t="shared" si="66"/>
        <v>3.4523334542376979E-2</v>
      </c>
      <c r="AH26" s="279">
        <f>AH27/AF27-1</f>
        <v>0.11013215859030834</v>
      </c>
      <c r="AI26" s="279">
        <f>AI27/AG27-1</f>
        <v>-0.52333051874151026</v>
      </c>
      <c r="AJ26" s="263">
        <f t="shared" si="66"/>
        <v>3.4521173152686373E-2</v>
      </c>
      <c r="AK26" s="279"/>
      <c r="AL26" s="279"/>
      <c r="AM26" s="263">
        <f t="shared" si="66"/>
        <v>3.5182698563251756E-2</v>
      </c>
      <c r="AN26" s="279"/>
      <c r="AO26" s="279"/>
      <c r="AP26" s="263">
        <f t="shared" si="66"/>
        <v>3.492025600415935E-2</v>
      </c>
      <c r="AQ26" s="279"/>
      <c r="AR26" s="279"/>
      <c r="AS26" s="263">
        <f t="shared" si="66"/>
        <v>3.5565031982942433E-2</v>
      </c>
      <c r="AT26" s="279"/>
      <c r="AU26" s="279"/>
      <c r="AV26" s="263">
        <f t="shared" si="66"/>
        <v>3.652203726128124E-2</v>
      </c>
      <c r="AW26" s="279"/>
      <c r="AX26" s="279"/>
      <c r="AY26" s="263">
        <f>AY24/AY6</f>
        <v>3.6111179231322149E-2</v>
      </c>
      <c r="AZ26" s="279"/>
      <c r="BA26" s="279"/>
      <c r="BB26" s="263">
        <f>BB24/BB6</f>
        <v>1.0582277841619419E-2</v>
      </c>
      <c r="BC26" s="279"/>
      <c r="BD26" s="279"/>
      <c r="BE26" s="263">
        <f>BE24/BE6</f>
        <v>8.4229651977882729E-3</v>
      </c>
      <c r="BF26" s="279"/>
      <c r="BG26" s="279"/>
      <c r="BH26" s="284">
        <f>BH24/BH6</f>
        <v>9.0446273830155979E-3</v>
      </c>
      <c r="BI26" s="279"/>
      <c r="BJ26" s="279"/>
      <c r="BK26" s="279"/>
      <c r="BL26" s="179"/>
      <c r="BM26" s="279"/>
      <c r="BN26" s="279"/>
      <c r="BO26" s="179"/>
      <c r="BP26" s="279"/>
      <c r="BQ26" s="279"/>
      <c r="BR26" s="1811"/>
      <c r="BS26" s="347"/>
      <c r="BT26" s="347"/>
      <c r="BU26" s="347"/>
      <c r="BV26" s="347"/>
      <c r="BW26" s="347"/>
      <c r="BX26" s="347"/>
      <c r="BY26" s="347"/>
      <c r="BZ26" s="347"/>
      <c r="CA26" s="347"/>
      <c r="CB26" s="347"/>
      <c r="CC26" s="347"/>
      <c r="CD26" s="279"/>
      <c r="CE26" s="279"/>
    </row>
    <row r="27" spans="1:83" outlineLevel="1">
      <c r="A27" s="784"/>
      <c r="B27" s="784" t="s">
        <v>492</v>
      </c>
      <c r="C27" s="835">
        <v>5.1859999999999999</v>
      </c>
      <c r="D27" s="348"/>
      <c r="E27" s="348"/>
      <c r="F27" s="835">
        <v>6.923</v>
      </c>
      <c r="G27" s="836">
        <v>5.4119999999999999</v>
      </c>
      <c r="H27" s="836">
        <f>I27-G27</f>
        <v>3.7730000000000006</v>
      </c>
      <c r="I27" s="835">
        <v>9.1850000000000005</v>
      </c>
      <c r="J27" s="836">
        <v>6.2130000000000001</v>
      </c>
      <c r="K27" s="836">
        <f>L27-J27</f>
        <v>6.0179999999999998</v>
      </c>
      <c r="L27" s="837">
        <v>12.231</v>
      </c>
      <c r="M27" s="836">
        <v>7.4969999999999999</v>
      </c>
      <c r="N27" s="836">
        <f>O27-M27</f>
        <v>8.202</v>
      </c>
      <c r="O27" s="837">
        <v>15.699</v>
      </c>
      <c r="P27" s="838">
        <v>9.4649999999999999</v>
      </c>
      <c r="Q27" s="280">
        <f>R27-P27</f>
        <v>9.5259999999999998</v>
      </c>
      <c r="R27" s="837">
        <v>18.991</v>
      </c>
      <c r="S27" s="838">
        <v>10.885</v>
      </c>
      <c r="T27" s="280">
        <f>U27-S27</f>
        <v>10.403</v>
      </c>
      <c r="U27" s="837">
        <v>21.288</v>
      </c>
      <c r="V27" s="838">
        <v>12.922000000000001</v>
      </c>
      <c r="W27" s="280">
        <f>X27-V27</f>
        <v>11.989000000000001</v>
      </c>
      <c r="X27" s="837">
        <v>24.911000000000001</v>
      </c>
      <c r="Y27" s="838">
        <v>13.712999999999999</v>
      </c>
      <c r="Z27" s="280">
        <f>AA27-Y27</f>
        <v>13.185</v>
      </c>
      <c r="AA27" s="837">
        <v>26.898</v>
      </c>
      <c r="AB27" s="838">
        <v>14.558999999999999</v>
      </c>
      <c r="AC27" s="280">
        <f>AD27-AB27</f>
        <v>12.156000000000001</v>
      </c>
      <c r="AD27" s="837">
        <v>26.715</v>
      </c>
      <c r="AE27" s="838">
        <v>14.073</v>
      </c>
      <c r="AF27" s="280">
        <f>AG27-AE27</f>
        <v>13.166</v>
      </c>
      <c r="AG27" s="837">
        <v>27.239000000000001</v>
      </c>
      <c r="AH27" s="838">
        <v>14.616</v>
      </c>
      <c r="AI27" s="280">
        <f>AJ27-AH27</f>
        <v>12.984000000000002</v>
      </c>
      <c r="AJ27" s="837">
        <v>27.6</v>
      </c>
      <c r="AK27" s="838">
        <v>13.484999999999999</v>
      </c>
      <c r="AL27" s="838">
        <f>AM27-AK27</f>
        <v>14.225999999999999</v>
      </c>
      <c r="AM27" s="837">
        <v>27.710999999999999</v>
      </c>
      <c r="AN27" s="838">
        <v>13.874000000000001</v>
      </c>
      <c r="AO27" s="280">
        <f>AP27-AN27</f>
        <v>13.299999999999999</v>
      </c>
      <c r="AP27" s="837">
        <v>27.173999999999999</v>
      </c>
      <c r="AQ27" s="838">
        <v>15.8</v>
      </c>
      <c r="AR27" s="280">
        <f>AS27-AQ27</f>
        <v>20.400000000000002</v>
      </c>
      <c r="AS27" s="837">
        <v>36.200000000000003</v>
      </c>
      <c r="AT27" s="838">
        <v>25.6</v>
      </c>
      <c r="AU27" s="280">
        <f>AV27-AT27</f>
        <v>22.6</v>
      </c>
      <c r="AV27" s="837">
        <v>48.2</v>
      </c>
      <c r="AW27" s="838">
        <v>24.6</v>
      </c>
      <c r="AX27" s="280">
        <f>AY27-AW27</f>
        <v>19.899999999999999</v>
      </c>
      <c r="AY27" s="837">
        <v>44.5</v>
      </c>
      <c r="AZ27" s="838">
        <v>21.3</v>
      </c>
      <c r="BA27" s="280">
        <f>BB27-AZ27</f>
        <v>20.400000000000002</v>
      </c>
      <c r="BB27" s="837">
        <v>41.7</v>
      </c>
      <c r="BC27" s="838"/>
      <c r="BD27" s="280"/>
      <c r="BE27" s="837">
        <v>41.3</v>
      </c>
      <c r="BF27" s="838">
        <v>20.7</v>
      </c>
      <c r="BG27" s="280">
        <f>BH27-BF27</f>
        <v>21.099999999999998</v>
      </c>
      <c r="BH27" s="1146">
        <v>41.8</v>
      </c>
      <c r="BI27" s="838">
        <v>25.2</v>
      </c>
      <c r="BJ27" s="1397">
        <f>+BK27-BI27</f>
        <v>20.8</v>
      </c>
      <c r="BK27" s="1190">
        <v>46</v>
      </c>
      <c r="BL27" s="1391">
        <v>23.9</v>
      </c>
      <c r="BM27" s="1397">
        <f>+BN27-BL27</f>
        <v>24.200000000000003</v>
      </c>
      <c r="BN27" s="1536">
        <v>48.1</v>
      </c>
      <c r="BO27" s="1893">
        <v>27.3</v>
      </c>
      <c r="BP27" s="1397">
        <f>+BQ27-BO27</f>
        <v>25.400000000000002</v>
      </c>
      <c r="BQ27" s="1536">
        <v>52.7</v>
      </c>
      <c r="BR27" s="1812">
        <v>28.7</v>
      </c>
      <c r="BS27" s="348"/>
      <c r="BT27" s="348"/>
      <c r="BU27" s="348"/>
      <c r="BV27" s="348"/>
      <c r="BW27" s="348"/>
      <c r="BX27" s="348"/>
      <c r="BY27" s="348"/>
      <c r="BZ27" s="348"/>
      <c r="CA27" s="348"/>
      <c r="CB27" s="348"/>
      <c r="CC27" s="348"/>
      <c r="CD27" s="352"/>
      <c r="CE27" s="352"/>
    </row>
    <row r="28" spans="1:83" outlineLevel="1">
      <c r="A28" s="783"/>
      <c r="B28" s="839" t="s">
        <v>488</v>
      </c>
      <c r="C28" s="304">
        <f>C27/Drivers!F90</f>
        <v>1.4574170612784015E-2</v>
      </c>
      <c r="D28" s="347"/>
      <c r="E28" s="347"/>
      <c r="F28" s="304">
        <f>F27/Drivers!G90</f>
        <v>1.53042840057742E-2</v>
      </c>
      <c r="G28" s="304">
        <f>G27/Drivers!BM90</f>
        <v>1.438684449075834E-2</v>
      </c>
      <c r="H28" s="304">
        <f>H27/Drivers!BN90</f>
        <v>1.1873516990489861E-2</v>
      </c>
      <c r="I28" s="304">
        <f>I27/Drivers!H90</f>
        <v>1.3235957420133931E-2</v>
      </c>
      <c r="J28" s="304">
        <f>J27/Drivers!BO90</f>
        <v>1.2186271663829153E-2</v>
      </c>
      <c r="K28" s="304">
        <f>K27/Drivers!BP90</f>
        <v>1.3803227175246855E-2</v>
      </c>
      <c r="L28" s="304">
        <f>L27/Drivers!I7</f>
        <v>1.2931622368291673E-2</v>
      </c>
      <c r="M28" s="304">
        <f>M27/Drivers!BQ90</f>
        <v>1.1378088869597418E-2</v>
      </c>
      <c r="N28" s="304">
        <f>N27/Drivers!BR90</f>
        <v>1.3166618240309244E-2</v>
      </c>
      <c r="O28" s="304">
        <f>O27/Drivers!J7</f>
        <v>1.2247267008207751E-2</v>
      </c>
      <c r="P28" s="304">
        <f>P27/Drivers!BS90</f>
        <v>9.5747069927226147E-3</v>
      </c>
      <c r="Q28" s="304">
        <f>Q27/Drivers!BT90</f>
        <v>1.1340179185783228E-2</v>
      </c>
      <c r="R28" s="304">
        <f>R27/Drivers!K7</f>
        <v>1.0385745317090351E-2</v>
      </c>
      <c r="S28" s="304">
        <f>S27/Drivers!BU90</f>
        <v>8.6281721512565732E-3</v>
      </c>
      <c r="T28" s="304">
        <f>T27/Drivers!BV90</f>
        <v>9.7616498436240567E-3</v>
      </c>
      <c r="U28" s="304">
        <f>U27/Drivers!L7</f>
        <v>9.147213941165298E-3</v>
      </c>
      <c r="V28" s="304">
        <f>V27/Drivers!BW90</f>
        <v>8.3165247970425574E-3</v>
      </c>
      <c r="W28" s="304">
        <f>W27/Drivers!BX90</f>
        <v>1.0181343234149662E-2</v>
      </c>
      <c r="X28" s="304">
        <f>X27/Drivers!M7</f>
        <v>9.1204985135392418E-3</v>
      </c>
      <c r="Y28" s="304">
        <f>Y27/Drivers!BY90</f>
        <v>8.1497223995236033E-3</v>
      </c>
      <c r="Z28" s="304">
        <f>Z27/Drivers!BZ90</f>
        <v>1.0328061857139834E-2</v>
      </c>
      <c r="AA28" s="304">
        <f>AA27/Drivers!N7</f>
        <v>9.0894560215027224E-3</v>
      </c>
      <c r="AB28" s="304">
        <f>AB27/Drivers!CA90</f>
        <v>8.2035060000709963E-3</v>
      </c>
      <c r="AC28" s="304">
        <f>AC27/Drivers!CB90</f>
        <v>8.9840606091512384E-3</v>
      </c>
      <c r="AD28" s="304">
        <f>AD27/Drivers!O7</f>
        <v>8.5411689779883067E-3</v>
      </c>
      <c r="AE28" s="304">
        <f>AE27/Drivers!CC90</f>
        <v>7.7483911888684802E-3</v>
      </c>
      <c r="AF28" s="304">
        <f>AF27/Drivers!N90</f>
        <v>4.4490957684253426E-3</v>
      </c>
      <c r="AG28" s="304">
        <f>AG27/Drivers!P7</f>
        <v>8.2332849715874741E-3</v>
      </c>
      <c r="AH28" s="304">
        <f>AH27/Drivers!CE90</f>
        <v>7.5345371615682935E-3</v>
      </c>
      <c r="AI28" s="304">
        <f>AI27/Drivers!CF90</f>
        <v>8.409827528583309E-3</v>
      </c>
      <c r="AJ28" s="304">
        <f>AJ27/Drivers!Q7</f>
        <v>7.9224404561144164E-3</v>
      </c>
      <c r="AK28" s="304">
        <f>AK27/Drivers!CG90</f>
        <v>6.8620785813587578E-3</v>
      </c>
      <c r="AL28" s="304">
        <f>AL27/Drivers!CH90</f>
        <v>8.4327807903790651E-3</v>
      </c>
      <c r="AM28" s="304">
        <f>AM27/Drivers!R7</f>
        <v>7.5876144809503259E-3</v>
      </c>
      <c r="AN28" s="304">
        <f>AN27/Drivers!CI90</f>
        <v>6.5541801676762806E-3</v>
      </c>
      <c r="AO28" s="304">
        <f>AO27/Drivers!CJ90</f>
        <v>7.2375044214077755E-3</v>
      </c>
      <c r="AP28" s="304">
        <f>AP27/Drivers!S7</f>
        <v>6.8717225355528315E-3</v>
      </c>
      <c r="AQ28" s="304">
        <f>AQ27/Drivers!CK90</f>
        <v>6.7145467680931542E-3</v>
      </c>
      <c r="AR28" s="304">
        <f>AR27/Drivers!CL90</f>
        <v>1.0116538556905528E-2</v>
      </c>
      <c r="AS28" s="304">
        <f>AS27/Drivers!T7</f>
        <v>6.4321250888415074E-3</v>
      </c>
      <c r="AT28" s="304">
        <f>AT27/Drivers!CM90</f>
        <v>9.8841698841698848E-3</v>
      </c>
      <c r="AU28" s="304">
        <f>AU27/Drivers!CN90</f>
        <v>1.0448451225150255E-2</v>
      </c>
      <c r="AV28" s="304">
        <f>AV27/Drivers!U7</f>
        <v>7.0320820506835123E-3</v>
      </c>
      <c r="AW28" s="304">
        <f>AW27/Drivers!V90</f>
        <v>9.0674530040545532E-3</v>
      </c>
      <c r="AX28" s="304">
        <f>AX27/Drivers!W90</f>
        <v>8.9061940565699979E-3</v>
      </c>
      <c r="AY28" s="304">
        <f>AY27/Drivers!X7</f>
        <v>6.2717573605062509E-3</v>
      </c>
      <c r="AZ28" s="304">
        <f>AZ27/Drivers!Y90</f>
        <v>7.4797204761737554E-3</v>
      </c>
      <c r="BA28" s="304">
        <f>BA27/Drivers!Z90</f>
        <v>7.605129734566062E-3</v>
      </c>
      <c r="BB28" s="304"/>
      <c r="BC28" s="304"/>
      <c r="BD28" s="304"/>
      <c r="BE28" s="304"/>
      <c r="BF28" s="304">
        <f>BF27/Drivers!AE90</f>
        <v>6.0483870967741934E-3</v>
      </c>
      <c r="BG28" s="304">
        <f>BG27/Drivers!AF90</f>
        <v>6.9862922985232763E-3</v>
      </c>
      <c r="BH28" s="618"/>
      <c r="BI28" s="618">
        <f>BI27/Drivers!AH90</f>
        <v>6.7478912839737584E-3</v>
      </c>
      <c r="BJ28" s="618">
        <f>BJ27/Drivers!AI90</f>
        <v>6.7556594887784611E-3</v>
      </c>
      <c r="BK28" s="618">
        <f>BK27/Drivers!AJ90</f>
        <v>6.7514016496903169E-3</v>
      </c>
      <c r="BL28" s="567">
        <f>BL27/Drivers!AK90</f>
        <v>6.3375053033517172E-3</v>
      </c>
      <c r="BM28" s="618">
        <f>BM27/Drivers!AL90</f>
        <v>7.7018554469940517E-3</v>
      </c>
      <c r="BN28" s="618">
        <f>BN27/Drivers!AM90</f>
        <v>6.9576034599973975E-3</v>
      </c>
      <c r="BO28" s="567">
        <f>BO27/Drivers!AN90</f>
        <v>6.7252974650801869E-3</v>
      </c>
      <c r="BP28" s="618">
        <f>BP27/Drivers!AO90</f>
        <v>7.4589610313335088E-3</v>
      </c>
      <c r="BQ28" s="618">
        <f>BQ27/Drivers!AP90</f>
        <v>7.0599898186105084E-3</v>
      </c>
      <c r="BR28" s="1811"/>
      <c r="BS28" s="347"/>
      <c r="BT28" s="347"/>
      <c r="BU28" s="347"/>
      <c r="BV28" s="347"/>
      <c r="BW28" s="347"/>
      <c r="BX28" s="347"/>
      <c r="BY28" s="347"/>
      <c r="BZ28" s="347"/>
      <c r="CA28" s="347"/>
      <c r="CB28" s="347"/>
      <c r="CC28" s="347"/>
      <c r="CD28" s="304"/>
      <c r="CE28" s="304"/>
    </row>
    <row r="29" spans="1:83" outlineLevel="1">
      <c r="A29" s="783"/>
      <c r="B29" s="783" t="s">
        <v>314</v>
      </c>
      <c r="C29" s="279">
        <f>Drivers!F44*25%</f>
        <v>0.32974999999999999</v>
      </c>
      <c r="D29" s="347"/>
      <c r="E29" s="347"/>
      <c r="F29" s="279">
        <f>Drivers!G44*25%</f>
        <v>0.79200000000000004</v>
      </c>
      <c r="G29" s="279"/>
      <c r="H29" s="279"/>
      <c r="I29" s="279">
        <f>Drivers!H44*25%</f>
        <v>1.3169999999999999</v>
      </c>
      <c r="J29" s="279"/>
      <c r="K29" s="279"/>
      <c r="L29" s="294">
        <f>Drivers!I44*25%</f>
        <v>1.85975</v>
      </c>
      <c r="M29" s="279"/>
      <c r="N29" s="279"/>
      <c r="O29" s="294">
        <f>Drivers!J44*25%</f>
        <v>2.7134999999999998</v>
      </c>
      <c r="P29" s="279"/>
      <c r="Q29" s="279"/>
      <c r="R29" s="294">
        <f>Drivers!K44*25%</f>
        <v>3.6727499999999997</v>
      </c>
      <c r="S29" s="279">
        <f>U29/2</f>
        <v>2.3436249999999998</v>
      </c>
      <c r="T29" s="279">
        <f>U29-S29</f>
        <v>2.3436249999999998</v>
      </c>
      <c r="U29" s="294">
        <f>Drivers!L44*25%</f>
        <v>4.6872499999999997</v>
      </c>
      <c r="V29" s="279">
        <f>AA29/2</f>
        <v>3.55</v>
      </c>
      <c r="W29" s="279">
        <f>X29-V29</f>
        <v>2.2692500000000004</v>
      </c>
      <c r="X29" s="294">
        <f>Drivers!M44*25%</f>
        <v>5.8192500000000003</v>
      </c>
      <c r="Y29" s="279">
        <f>AA29/2</f>
        <v>3.55</v>
      </c>
      <c r="Z29" s="279">
        <f>AD29/2</f>
        <v>3.55</v>
      </c>
      <c r="AA29" s="840">
        <v>7.1</v>
      </c>
      <c r="AB29" s="841">
        <v>3.7</v>
      </c>
      <c r="AC29" s="279">
        <f>AD29-AB29</f>
        <v>3.3999999999999995</v>
      </c>
      <c r="AD29" s="840">
        <v>7.1</v>
      </c>
      <c r="AE29" s="841">
        <v>3.4</v>
      </c>
      <c r="AF29" s="279">
        <f>AG29-AE29</f>
        <v>3.8000000000000003</v>
      </c>
      <c r="AG29" s="840">
        <v>7.2</v>
      </c>
      <c r="AH29" s="841">
        <v>3.7</v>
      </c>
      <c r="AI29" s="279">
        <f>AM29-AH29</f>
        <v>3.7</v>
      </c>
      <c r="AJ29" s="840">
        <v>7.1</v>
      </c>
      <c r="AK29" s="841">
        <f>AM29/2</f>
        <v>3.7</v>
      </c>
      <c r="AL29" s="279">
        <f>AM29-AK29</f>
        <v>3.7</v>
      </c>
      <c r="AM29" s="840">
        <v>7.4</v>
      </c>
      <c r="AN29" s="841">
        <f>AS29/2</f>
        <v>2.7300000000000004</v>
      </c>
      <c r="AO29" s="279">
        <f>AP29-AN29</f>
        <v>2.4699999999999998</v>
      </c>
      <c r="AP29" s="840">
        <v>5.2</v>
      </c>
      <c r="AQ29" s="841">
        <v>2.6</v>
      </c>
      <c r="AR29" s="279">
        <f>AS29-AQ29</f>
        <v>2.8600000000000008</v>
      </c>
      <c r="AS29" s="543">
        <f>AP29*1.05</f>
        <v>5.4600000000000009</v>
      </c>
      <c r="AT29" s="841">
        <v>5.4</v>
      </c>
      <c r="AU29" s="279">
        <f>AV29-AT29</f>
        <v>0.33300000000000107</v>
      </c>
      <c r="AV29" s="543">
        <f>AS29*1.05</f>
        <v>5.7330000000000014</v>
      </c>
      <c r="AW29" s="841">
        <v>4.4000000000000004</v>
      </c>
      <c r="AX29" s="279">
        <f>AY29-AW29</f>
        <v>1.6196500000000018</v>
      </c>
      <c r="AY29" s="543">
        <f>AV29*1.05</f>
        <v>6.0196500000000022</v>
      </c>
      <c r="AZ29" s="841">
        <v>4.5</v>
      </c>
      <c r="BA29" s="279">
        <f>BB29-AZ29</f>
        <v>-4.5</v>
      </c>
      <c r="BB29" s="543"/>
      <c r="BC29" s="841"/>
      <c r="BD29" s="279"/>
      <c r="BE29" s="543"/>
      <c r="BF29" s="279">
        <f>BN29-BD29</f>
        <v>0</v>
      </c>
      <c r="BG29" s="279">
        <f>BH29-BF29</f>
        <v>0</v>
      </c>
      <c r="BH29" s="543"/>
      <c r="BI29" s="279">
        <f t="shared" ref="BI29:BQ29" ca="1" si="67">BQ29-BG29</f>
        <v>0</v>
      </c>
      <c r="BJ29" s="279">
        <f t="shared" si="67"/>
        <v>0</v>
      </c>
      <c r="BK29" s="279">
        <f t="shared" ca="1" si="67"/>
        <v>0</v>
      </c>
      <c r="BL29" s="179">
        <f t="shared" si="67"/>
        <v>0</v>
      </c>
      <c r="BM29" s="279">
        <f t="shared" ca="1" si="67"/>
        <v>0</v>
      </c>
      <c r="BN29" s="279">
        <f t="shared" si="67"/>
        <v>0</v>
      </c>
      <c r="BO29" s="179">
        <f t="shared" ca="1" si="67"/>
        <v>0</v>
      </c>
      <c r="BP29" s="279">
        <f t="shared" si="67"/>
        <v>0</v>
      </c>
      <c r="BQ29" s="279">
        <f t="shared" ca="1" si="67"/>
        <v>0</v>
      </c>
      <c r="BR29" s="1811"/>
      <c r="BS29" s="347"/>
      <c r="BT29" s="347"/>
      <c r="BU29" s="347"/>
      <c r="BV29" s="347"/>
      <c r="BW29" s="347"/>
      <c r="BX29" s="347"/>
      <c r="BY29" s="347"/>
      <c r="BZ29" s="347"/>
      <c r="CA29" s="347"/>
      <c r="CB29" s="347"/>
      <c r="CC29" s="347"/>
      <c r="CD29" s="353"/>
      <c r="CE29" s="353"/>
    </row>
    <row r="30" spans="1:83" outlineLevel="1">
      <c r="A30" s="783"/>
      <c r="B30" s="783" t="s">
        <v>493</v>
      </c>
      <c r="C30" s="279">
        <f t="shared" ref="C30:AS30" si="68">C27-C29</f>
        <v>4.8562500000000002</v>
      </c>
      <c r="D30" s="347"/>
      <c r="E30" s="347"/>
      <c r="F30" s="279">
        <f t="shared" si="68"/>
        <v>6.1310000000000002</v>
      </c>
      <c r="G30" s="279"/>
      <c r="H30" s="279"/>
      <c r="I30" s="279">
        <f t="shared" si="68"/>
        <v>7.8680000000000003</v>
      </c>
      <c r="J30" s="279"/>
      <c r="K30" s="279"/>
      <c r="L30" s="279">
        <f t="shared" si="68"/>
        <v>10.37125</v>
      </c>
      <c r="M30" s="279"/>
      <c r="N30" s="279"/>
      <c r="O30" s="279">
        <f t="shared" si="68"/>
        <v>12.9855</v>
      </c>
      <c r="P30" s="279"/>
      <c r="Q30" s="279"/>
      <c r="R30" s="279">
        <f t="shared" si="68"/>
        <v>15.318249999999999</v>
      </c>
      <c r="S30" s="279">
        <f t="shared" si="68"/>
        <v>8.5413750000000004</v>
      </c>
      <c r="T30" s="279">
        <f t="shared" si="68"/>
        <v>8.0593750000000011</v>
      </c>
      <c r="U30" s="279">
        <f t="shared" si="68"/>
        <v>16.600750000000001</v>
      </c>
      <c r="V30" s="279">
        <f t="shared" si="68"/>
        <v>9.3719999999999999</v>
      </c>
      <c r="W30" s="279">
        <f t="shared" si="68"/>
        <v>9.7197500000000012</v>
      </c>
      <c r="X30" s="279">
        <f t="shared" si="68"/>
        <v>19.091750000000001</v>
      </c>
      <c r="Y30" s="279">
        <f t="shared" si="68"/>
        <v>10.163</v>
      </c>
      <c r="Z30" s="279">
        <f t="shared" si="68"/>
        <v>9.6350000000000016</v>
      </c>
      <c r="AA30" s="279">
        <f t="shared" si="68"/>
        <v>19.798000000000002</v>
      </c>
      <c r="AB30" s="279">
        <f t="shared" si="68"/>
        <v>10.858999999999998</v>
      </c>
      <c r="AC30" s="279">
        <f t="shared" si="68"/>
        <v>8.7560000000000002</v>
      </c>
      <c r="AD30" s="279">
        <f t="shared" si="68"/>
        <v>19.615000000000002</v>
      </c>
      <c r="AE30" s="279">
        <f t="shared" si="68"/>
        <v>10.673</v>
      </c>
      <c r="AF30" s="279">
        <f t="shared" si="68"/>
        <v>9.3659999999999997</v>
      </c>
      <c r="AG30" s="279">
        <f t="shared" si="68"/>
        <v>20.039000000000001</v>
      </c>
      <c r="AH30" s="279">
        <f>AH27-AH29</f>
        <v>10.916</v>
      </c>
      <c r="AI30" s="279">
        <f>AI27-AI29</f>
        <v>9.2840000000000025</v>
      </c>
      <c r="AJ30" s="279">
        <f t="shared" si="68"/>
        <v>20.5</v>
      </c>
      <c r="AK30" s="279">
        <f>AK27-AK29</f>
        <v>9.7850000000000001</v>
      </c>
      <c r="AL30" s="279">
        <f>AL27-AL29</f>
        <v>10.526</v>
      </c>
      <c r="AM30" s="279">
        <f t="shared" si="68"/>
        <v>20.311</v>
      </c>
      <c r="AN30" s="279">
        <f>AN27-AN29</f>
        <v>11.144</v>
      </c>
      <c r="AO30" s="279">
        <f>AO27-AO29</f>
        <v>10.829999999999998</v>
      </c>
      <c r="AP30" s="279">
        <f t="shared" si="68"/>
        <v>21.974</v>
      </c>
      <c r="AQ30" s="279">
        <f>AQ27-AQ29</f>
        <v>13.200000000000001</v>
      </c>
      <c r="AR30" s="279">
        <f>AR27-AR29</f>
        <v>17.540000000000003</v>
      </c>
      <c r="AS30" s="279">
        <f t="shared" si="68"/>
        <v>30.740000000000002</v>
      </c>
      <c r="AT30" s="279">
        <f t="shared" ref="AT30:AY30" si="69">AT27-AT29</f>
        <v>20.200000000000003</v>
      </c>
      <c r="AU30" s="279">
        <f t="shared" si="69"/>
        <v>22.266999999999999</v>
      </c>
      <c r="AV30" s="279">
        <f t="shared" si="69"/>
        <v>42.466999999999999</v>
      </c>
      <c r="AW30" s="279">
        <f t="shared" si="69"/>
        <v>20.200000000000003</v>
      </c>
      <c r="AX30" s="279">
        <f t="shared" si="69"/>
        <v>18.280349999999999</v>
      </c>
      <c r="AY30" s="279">
        <f t="shared" si="69"/>
        <v>38.480350000000001</v>
      </c>
      <c r="AZ30" s="279">
        <f t="shared" ref="AZ30:BA30" si="70">AZ27-AZ29</f>
        <v>16.8</v>
      </c>
      <c r="BA30" s="279">
        <f t="shared" si="70"/>
        <v>24.900000000000002</v>
      </c>
      <c r="BB30" s="279"/>
      <c r="BC30" s="279"/>
      <c r="BD30" s="279"/>
      <c r="BE30" s="279"/>
      <c r="BF30" s="279">
        <f>BF27-BF29</f>
        <v>20.7</v>
      </c>
      <c r="BG30" s="279">
        <f>BG27-BG29</f>
        <v>21.099999999999998</v>
      </c>
      <c r="BH30" s="279"/>
      <c r="BI30" s="279">
        <f t="shared" ref="BI30:BN30" ca="1" si="71">BI27-BI29</f>
        <v>25.2</v>
      </c>
      <c r="BJ30" s="279">
        <f t="shared" si="71"/>
        <v>20.8</v>
      </c>
      <c r="BK30" s="279">
        <f t="shared" ca="1" si="71"/>
        <v>46</v>
      </c>
      <c r="BL30" s="179">
        <f t="shared" si="71"/>
        <v>23.9</v>
      </c>
      <c r="BM30" s="279">
        <f t="shared" ca="1" si="71"/>
        <v>24.200000000000003</v>
      </c>
      <c r="BN30" s="279">
        <f t="shared" si="71"/>
        <v>48.1</v>
      </c>
      <c r="BO30" s="179">
        <f t="shared" ref="BO30:BQ30" ca="1" si="72">BO27-BO29</f>
        <v>27.3</v>
      </c>
      <c r="BP30" s="279">
        <f t="shared" si="72"/>
        <v>25.400000000000002</v>
      </c>
      <c r="BQ30" s="279">
        <f t="shared" ca="1" si="72"/>
        <v>52.7</v>
      </c>
      <c r="BR30" s="1811"/>
      <c r="BS30" s="347"/>
      <c r="BT30" s="347"/>
      <c r="BU30" s="347"/>
      <c r="BV30" s="347"/>
      <c r="BW30" s="347"/>
      <c r="BX30" s="347"/>
      <c r="BY30" s="347"/>
      <c r="BZ30" s="347"/>
      <c r="CA30" s="347"/>
      <c r="CB30" s="347"/>
      <c r="CC30" s="347"/>
      <c r="CD30" s="279"/>
      <c r="CE30" s="279"/>
    </row>
    <row r="31" spans="1:83" outlineLevel="1">
      <c r="A31" s="783"/>
      <c r="B31" s="839" t="s">
        <v>494</v>
      </c>
      <c r="C31" s="841"/>
      <c r="D31" s="347"/>
      <c r="E31" s="347"/>
      <c r="F31" s="842">
        <f>1.318+0.608</f>
        <v>1.9260000000000002</v>
      </c>
      <c r="G31" s="842"/>
      <c r="H31" s="842"/>
      <c r="I31" s="842">
        <f>1.651+1.449</f>
        <v>3.1</v>
      </c>
      <c r="J31" s="842"/>
      <c r="K31" s="842"/>
      <c r="L31" s="840">
        <f>2.664+1.754</f>
        <v>4.4180000000000001</v>
      </c>
      <c r="M31" s="840"/>
      <c r="N31" s="840"/>
      <c r="O31" s="840">
        <v>5.048</v>
      </c>
      <c r="P31" s="841"/>
      <c r="Q31" s="841"/>
      <c r="R31" s="840">
        <v>6.2160000000000002</v>
      </c>
      <c r="S31" s="841"/>
      <c r="T31" s="841"/>
      <c r="U31" s="840">
        <v>7.2949999999999999</v>
      </c>
      <c r="V31" s="841"/>
      <c r="W31" s="841"/>
      <c r="X31" s="840">
        <v>9.4403109999999995</v>
      </c>
      <c r="Y31" s="841"/>
      <c r="Z31" s="841"/>
      <c r="AA31" s="840">
        <v>6.4512109999999998</v>
      </c>
      <c r="AB31" s="841"/>
      <c r="AC31" s="841"/>
      <c r="AD31" s="840">
        <v>3.7927520000000001</v>
      </c>
      <c r="AE31" s="841"/>
      <c r="AF31" s="841"/>
      <c r="AG31" s="840">
        <v>9.3313039999999994</v>
      </c>
      <c r="AH31" s="841"/>
      <c r="AI31" s="841"/>
      <c r="AJ31" s="840">
        <v>10.779664</v>
      </c>
      <c r="AK31" s="841"/>
      <c r="AL31" s="841"/>
      <c r="AM31" s="840">
        <v>8.0363530000000001</v>
      </c>
      <c r="AN31" s="841"/>
      <c r="AO31" s="841"/>
      <c r="AP31" s="840">
        <v>9.7395029999999991</v>
      </c>
      <c r="AQ31" s="841"/>
      <c r="AR31" s="841"/>
      <c r="AS31" s="840">
        <v>11.121</v>
      </c>
      <c r="AT31" s="841"/>
      <c r="AU31" s="841"/>
      <c r="AV31" s="840">
        <v>12.146800000000001</v>
      </c>
      <c r="AW31" s="841"/>
      <c r="AX31" s="841"/>
      <c r="AY31" s="840">
        <v>12.779451999999999</v>
      </c>
      <c r="AZ31" s="841"/>
      <c r="BA31" s="841"/>
      <c r="BB31" s="840"/>
      <c r="BC31" s="841"/>
      <c r="BD31" s="841"/>
      <c r="BE31" s="840"/>
      <c r="BF31" s="841"/>
      <c r="BG31" s="841"/>
      <c r="BH31" s="840"/>
      <c r="BI31" s="841"/>
      <c r="BJ31" s="565"/>
      <c r="BK31" s="173"/>
      <c r="BL31" s="1392"/>
      <c r="BM31" s="565"/>
      <c r="BN31" s="173"/>
      <c r="BO31" s="1392"/>
      <c r="BP31" s="565"/>
      <c r="BQ31" s="173"/>
      <c r="BR31" s="1811"/>
      <c r="BS31" s="347"/>
      <c r="BT31" s="347"/>
      <c r="BU31" s="347"/>
      <c r="BV31" s="347"/>
      <c r="BW31" s="347"/>
      <c r="BX31" s="347"/>
      <c r="BY31" s="347"/>
      <c r="BZ31" s="347"/>
      <c r="CA31" s="347"/>
      <c r="CB31" s="347"/>
      <c r="CC31" s="347"/>
      <c r="CD31" s="279"/>
      <c r="CE31" s="279"/>
    </row>
    <row r="32" spans="1:83" outlineLevel="1">
      <c r="A32" s="783"/>
      <c r="B32" s="839" t="s">
        <v>452</v>
      </c>
      <c r="C32" s="279"/>
      <c r="D32" s="347"/>
      <c r="E32" s="347"/>
      <c r="F32" s="279"/>
      <c r="G32" s="279"/>
      <c r="H32" s="279"/>
      <c r="I32" s="293">
        <f>I31/F31-1</f>
        <v>0.6095534787123571</v>
      </c>
      <c r="J32" s="293"/>
      <c r="K32" s="293"/>
      <c r="L32" s="293">
        <f>L31/I31-1</f>
        <v>0.42516129032258054</v>
      </c>
      <c r="M32" s="293"/>
      <c r="N32" s="293"/>
      <c r="O32" s="293">
        <f>O31/L31-1</f>
        <v>0.14259846084200989</v>
      </c>
      <c r="P32" s="293"/>
      <c r="Q32" s="293"/>
      <c r="R32" s="293">
        <f>R31/O31-1</f>
        <v>0.23137876386687806</v>
      </c>
      <c r="S32" s="293"/>
      <c r="T32" s="293"/>
      <c r="U32" s="293">
        <f>U31/R31-1</f>
        <v>0.17358429858429858</v>
      </c>
      <c r="V32" s="293"/>
      <c r="W32" s="293"/>
      <c r="X32" s="293">
        <f>X31/U31-1</f>
        <v>0.29407964359150096</v>
      </c>
      <c r="Y32" s="293"/>
      <c r="Z32" s="293"/>
      <c r="AA32" s="293">
        <f>AA31/X31-1</f>
        <v>-0.3166315177540231</v>
      </c>
      <c r="AB32" s="293"/>
      <c r="AC32" s="293"/>
      <c r="AD32" s="293">
        <f>AD31/AA31-1</f>
        <v>-0.4120868159481994</v>
      </c>
      <c r="AE32" s="293"/>
      <c r="AF32" s="293"/>
      <c r="AG32" s="293">
        <f>AG31/AD31-1</f>
        <v>1.4602990124321336</v>
      </c>
      <c r="AH32" s="293"/>
      <c r="AI32" s="293"/>
      <c r="AJ32" s="293">
        <f>AJ31/AG31-1</f>
        <v>0.15521517678558117</v>
      </c>
      <c r="AK32" s="293"/>
      <c r="AL32" s="293"/>
      <c r="AM32" s="293">
        <f>AM31/AJ31-1</f>
        <v>-0.2544894720280706</v>
      </c>
      <c r="AN32" s="293"/>
      <c r="AO32" s="293"/>
      <c r="AP32" s="293">
        <f>AP31/AM31-1</f>
        <v>0.2119307103607817</v>
      </c>
      <c r="AQ32" s="293"/>
      <c r="AR32" s="293"/>
      <c r="AS32" s="293">
        <f>AS31/AP31-1</f>
        <v>0.14184471219938044</v>
      </c>
      <c r="AT32" s="293"/>
      <c r="AU32" s="293"/>
      <c r="AV32" s="293">
        <f>AV31/AS31-1</f>
        <v>9.2239906483229994E-2</v>
      </c>
      <c r="AW32" s="293"/>
      <c r="AX32" s="293"/>
      <c r="AY32" s="293">
        <f t="shared" ref="AY32" si="73">AY31/AV31-1</f>
        <v>5.2083841011624221E-2</v>
      </c>
      <c r="AZ32" s="293"/>
      <c r="BA32" s="293"/>
      <c r="BB32" s="293"/>
      <c r="BC32" s="293"/>
      <c r="BD32" s="293"/>
      <c r="BE32" s="293"/>
      <c r="BF32" s="293"/>
      <c r="BG32" s="293"/>
      <c r="BH32" s="581"/>
      <c r="BI32" s="581"/>
      <c r="BJ32" s="566"/>
      <c r="BK32" s="173"/>
      <c r="BL32" s="646"/>
      <c r="BM32" s="566"/>
      <c r="BN32" s="173"/>
      <c r="BO32" s="646"/>
      <c r="BP32" s="566"/>
      <c r="BQ32" s="173"/>
      <c r="BR32" s="1811"/>
      <c r="BS32" s="347"/>
      <c r="BT32" s="347"/>
      <c r="BU32" s="347"/>
      <c r="BV32" s="347"/>
      <c r="BW32" s="347"/>
      <c r="BX32" s="347"/>
      <c r="BY32" s="347"/>
      <c r="BZ32" s="347"/>
      <c r="CA32" s="347"/>
      <c r="CB32" s="347"/>
      <c r="CC32" s="347"/>
      <c r="CD32" s="354"/>
      <c r="CE32" s="354"/>
    </row>
    <row r="33" spans="1:83" outlineLevel="1">
      <c r="A33" s="783"/>
      <c r="B33" s="839" t="s">
        <v>495</v>
      </c>
      <c r="C33" s="279"/>
      <c r="D33" s="347"/>
      <c r="E33" s="347"/>
      <c r="F33" s="279">
        <f t="shared" ref="F33:AS33" si="74">F30-F31</f>
        <v>4.2050000000000001</v>
      </c>
      <c r="G33" s="279"/>
      <c r="H33" s="279"/>
      <c r="I33" s="279">
        <f t="shared" si="74"/>
        <v>4.7680000000000007</v>
      </c>
      <c r="J33" s="279"/>
      <c r="K33" s="279"/>
      <c r="L33" s="294">
        <f t="shared" si="74"/>
        <v>5.9532499999999997</v>
      </c>
      <c r="M33" s="294"/>
      <c r="N33" s="294"/>
      <c r="O33" s="294">
        <f t="shared" si="74"/>
        <v>7.9375</v>
      </c>
      <c r="P33" s="279"/>
      <c r="Q33" s="279"/>
      <c r="R33" s="294">
        <f t="shared" si="74"/>
        <v>9.102249999999998</v>
      </c>
      <c r="S33" s="279"/>
      <c r="T33" s="279"/>
      <c r="U33" s="294">
        <f t="shared" si="74"/>
        <v>9.3057500000000015</v>
      </c>
      <c r="V33" s="263">
        <f>V27/S27-1</f>
        <v>0.18713826366559494</v>
      </c>
      <c r="W33" s="263">
        <f>W27/T27-1</f>
        <v>0.15245602230125921</v>
      </c>
      <c r="X33" s="294">
        <f t="shared" si="74"/>
        <v>9.6514390000000017</v>
      </c>
      <c r="Y33" s="263">
        <f>Y27/V27-1</f>
        <v>6.1213434452870974E-2</v>
      </c>
      <c r="Z33" s="263">
        <f>Z27/W27-1</f>
        <v>9.975811160230208E-2</v>
      </c>
      <c r="AA33" s="294">
        <f t="shared" si="74"/>
        <v>13.346789000000001</v>
      </c>
      <c r="AB33" s="263">
        <f>AB27/Y27-1</f>
        <v>6.1693283745351213E-2</v>
      </c>
      <c r="AC33" s="263">
        <f>AC27/Z27-1</f>
        <v>-7.8043230944254804E-2</v>
      </c>
      <c r="AD33" s="294">
        <f t="shared" si="74"/>
        <v>15.822248000000002</v>
      </c>
      <c r="AE33" s="263">
        <f>AE27/AB27-1</f>
        <v>-3.3381413558623452E-2</v>
      </c>
      <c r="AF33" s="263">
        <f>AF27/AC27-1</f>
        <v>8.3086541625534638E-2</v>
      </c>
      <c r="AG33" s="294">
        <f t="shared" si="74"/>
        <v>10.707696000000002</v>
      </c>
      <c r="AH33" s="263">
        <f>AH27/AE27-1</f>
        <v>3.8584523555744932E-2</v>
      </c>
      <c r="AI33" s="263">
        <f>AI27/AF27-1</f>
        <v>-1.3823484733404112E-2</v>
      </c>
      <c r="AJ33" s="294">
        <f t="shared" si="74"/>
        <v>9.7203359999999996</v>
      </c>
      <c r="AK33" s="263">
        <f>AK27/AH27-1</f>
        <v>-7.7380952380952439E-2</v>
      </c>
      <c r="AL33" s="263">
        <f>AL27/AI27-1</f>
        <v>9.5656192236598603E-2</v>
      </c>
      <c r="AM33" s="294">
        <f t="shared" si="74"/>
        <v>12.274647</v>
      </c>
      <c r="AN33" s="263">
        <f>AN27/AK27-1</f>
        <v>2.884686688913618E-2</v>
      </c>
      <c r="AO33" s="263">
        <f>AO27/AL27-1</f>
        <v>-6.5092084914944448E-2</v>
      </c>
      <c r="AP33" s="294">
        <f t="shared" si="74"/>
        <v>12.234497000000001</v>
      </c>
      <c r="AQ33" s="263">
        <f>AQ27/AN27-1</f>
        <v>0.13882081591466044</v>
      </c>
      <c r="AR33" s="263">
        <f>AR27/AO27-1</f>
        <v>0.53383458646616577</v>
      </c>
      <c r="AS33" s="294">
        <f t="shared" si="74"/>
        <v>19.619</v>
      </c>
      <c r="AT33" s="263">
        <f>AT27/AQ27-1</f>
        <v>0.620253164556962</v>
      </c>
      <c r="AU33" s="263">
        <f>AU27/AR27-1</f>
        <v>0.10784313725490202</v>
      </c>
      <c r="AV33" s="294">
        <f>AV30-AV31</f>
        <v>30.3202</v>
      </c>
      <c r="AW33" s="263">
        <f>AW27/AT27-1</f>
        <v>-3.90625E-2</v>
      </c>
      <c r="AX33" s="263">
        <f>AX27/AU27-1</f>
        <v>-0.11946902654867264</v>
      </c>
      <c r="AY33" s="294">
        <f>AY30-AY31</f>
        <v>25.700898000000002</v>
      </c>
      <c r="AZ33" s="263">
        <f>AZ27/AW27-1</f>
        <v>-0.13414634146341464</v>
      </c>
      <c r="BA33" s="263">
        <f>BA27/AX27-1</f>
        <v>2.5125628140703737E-2</v>
      </c>
      <c r="BB33" s="294"/>
      <c r="BC33" s="263"/>
      <c r="BD33" s="263"/>
      <c r="BE33" s="294"/>
      <c r="BF33" s="583" t="str">
        <f>IFERROR(BF27/BC27-1,"NA")</f>
        <v>NA</v>
      </c>
      <c r="BG33" s="263" t="str">
        <f>IFERROR(BG27/BD27-1,"NA")</f>
        <v>NA</v>
      </c>
      <c r="BH33" s="294"/>
      <c r="BI33" s="439">
        <f t="shared" ref="BI33:BQ33" si="75">IFERROR(BI27/BF27-1,"NA")</f>
        <v>0.21739130434782616</v>
      </c>
      <c r="BJ33" s="439">
        <f t="shared" si="75"/>
        <v>-1.42180094786728E-2</v>
      </c>
      <c r="BK33" s="439">
        <f t="shared" si="75"/>
        <v>0.1004784688995215</v>
      </c>
      <c r="BL33" s="48">
        <f t="shared" si="75"/>
        <v>-5.1587301587301626E-2</v>
      </c>
      <c r="BM33" s="439">
        <f t="shared" si="75"/>
        <v>0.16346153846153855</v>
      </c>
      <c r="BN33" s="439">
        <f t="shared" si="75"/>
        <v>4.5652173913043548E-2</v>
      </c>
      <c r="BO33" s="48">
        <f t="shared" si="75"/>
        <v>0.14225941422594146</v>
      </c>
      <c r="BP33" s="439">
        <f t="shared" si="75"/>
        <v>4.9586776859504189E-2</v>
      </c>
      <c r="BQ33" s="439">
        <f t="shared" si="75"/>
        <v>9.563409563409575E-2</v>
      </c>
      <c r="BR33" s="1811"/>
      <c r="BS33" s="347"/>
      <c r="BT33" s="347"/>
      <c r="BU33" s="347"/>
      <c r="BV33" s="347"/>
      <c r="BW33" s="347"/>
      <c r="BX33" s="347"/>
      <c r="BY33" s="347"/>
      <c r="BZ33" s="347"/>
      <c r="CA33" s="347"/>
      <c r="CB33" s="347"/>
      <c r="CC33" s="347"/>
      <c r="CD33" s="279"/>
      <c r="CE33" s="279"/>
    </row>
    <row r="34" spans="1:83" outlineLevel="1">
      <c r="A34" s="783"/>
      <c r="B34" s="839" t="s">
        <v>452</v>
      </c>
      <c r="C34" s="279"/>
      <c r="D34" s="347"/>
      <c r="E34" s="347"/>
      <c r="F34" s="279"/>
      <c r="G34" s="279"/>
      <c r="H34" s="279"/>
      <c r="I34" s="293">
        <f>I33/F33-1</f>
        <v>0.13388822829964342</v>
      </c>
      <c r="J34" s="293"/>
      <c r="K34" s="293"/>
      <c r="L34" s="293">
        <f>L33/I33-1</f>
        <v>0.24858431208053666</v>
      </c>
      <c r="M34" s="293"/>
      <c r="N34" s="293"/>
      <c r="O34" s="293">
        <f>O33/L33-1</f>
        <v>0.33330533742073665</v>
      </c>
      <c r="P34" s="293"/>
      <c r="Q34" s="293"/>
      <c r="R34" s="293">
        <f>R33/O33-1</f>
        <v>0.14674015748031466</v>
      </c>
      <c r="S34" s="293"/>
      <c r="T34" s="293"/>
      <c r="U34" s="293">
        <f>U33/R33-1</f>
        <v>2.235710950589187E-2</v>
      </c>
      <c r="V34" s="293"/>
      <c r="W34" s="293"/>
      <c r="X34" s="293">
        <f>X33/U33-1</f>
        <v>3.7147892432098484E-2</v>
      </c>
      <c r="Y34" s="293"/>
      <c r="Z34" s="293"/>
      <c r="AA34" s="293">
        <f>AA33/X33-1</f>
        <v>0.38288072897730574</v>
      </c>
      <c r="AB34" s="293"/>
      <c r="AC34" s="293"/>
      <c r="AD34" s="293">
        <f>AD33/AA33-1</f>
        <v>0.18547225104105558</v>
      </c>
      <c r="AE34" s="293"/>
      <c r="AF34" s="293"/>
      <c r="AG34" s="293">
        <f>AG33/AD33-1</f>
        <v>-0.32325065313095835</v>
      </c>
      <c r="AH34" s="293"/>
      <c r="AI34" s="293"/>
      <c r="AJ34" s="293">
        <f>AJ33/AG33-1</f>
        <v>-9.2210313030926749E-2</v>
      </c>
      <c r="AK34" s="293"/>
      <c r="AL34" s="293"/>
      <c r="AM34" s="293">
        <f>AM33/AJ33-1</f>
        <v>0.2627801137738448</v>
      </c>
      <c r="AN34" s="293"/>
      <c r="AO34" s="293"/>
      <c r="AP34" s="293">
        <f>AP33/AM33-1</f>
        <v>-3.2709698291119027E-3</v>
      </c>
      <c r="AQ34" s="293"/>
      <c r="AR34" s="293"/>
      <c r="AS34" s="293">
        <f>AS33/AP33-1</f>
        <v>0.60358043326178423</v>
      </c>
      <c r="AT34" s="293"/>
      <c r="AU34" s="293"/>
      <c r="AV34" s="293">
        <f>AV33/AS33-1</f>
        <v>0.54545083847290887</v>
      </c>
      <c r="AW34" s="293"/>
      <c r="AX34" s="293"/>
      <c r="AY34" s="293">
        <f t="shared" ref="AY34" si="76">AY33/AV33-1</f>
        <v>-0.15235064412503863</v>
      </c>
      <c r="AZ34" s="293"/>
      <c r="BA34" s="293"/>
      <c r="BB34" s="293"/>
      <c r="BC34" s="293"/>
      <c r="BD34" s="293"/>
      <c r="BE34" s="293"/>
      <c r="BF34" s="293"/>
      <c r="BG34" s="293"/>
      <c r="BH34" s="581"/>
      <c r="BI34" s="581"/>
      <c r="BJ34" s="566"/>
      <c r="BK34" s="347"/>
      <c r="BL34" s="646"/>
      <c r="BM34" s="566"/>
      <c r="BN34" s="347"/>
      <c r="BO34" s="646"/>
      <c r="BP34" s="566"/>
      <c r="BQ34" s="347"/>
      <c r="BR34" s="1811"/>
      <c r="BS34" s="347"/>
      <c r="BT34" s="347"/>
      <c r="BU34" s="347"/>
      <c r="BV34" s="347"/>
      <c r="BW34" s="347"/>
      <c r="BX34" s="347"/>
      <c r="BY34" s="347"/>
      <c r="BZ34" s="347"/>
      <c r="CA34" s="347"/>
      <c r="CB34" s="347"/>
      <c r="CC34" s="347"/>
      <c r="CD34" s="354"/>
      <c r="CE34" s="354"/>
    </row>
    <row r="35" spans="1:83" outlineLevel="1">
      <c r="A35" s="783"/>
      <c r="B35" s="783"/>
      <c r="C35" s="279"/>
      <c r="D35" s="347"/>
      <c r="E35" s="347"/>
      <c r="F35" s="304">
        <f>F31/Drivers!G90</f>
        <v>4.257699118174362E-3</v>
      </c>
      <c r="G35" s="304"/>
      <c r="H35" s="304"/>
      <c r="I35" s="304">
        <f>I31/Drivers!H90</f>
        <v>4.4672256943293614E-3</v>
      </c>
      <c r="J35" s="304"/>
      <c r="K35" s="304"/>
      <c r="L35" s="304">
        <f>L31/Drivers!I90</f>
        <v>4.6710741250194279E-3</v>
      </c>
      <c r="M35" s="304"/>
      <c r="N35" s="304"/>
      <c r="O35" s="304">
        <f>O31/Drivers!J90</f>
        <v>3.9380982137354435E-3</v>
      </c>
      <c r="P35" s="304"/>
      <c r="Q35" s="304"/>
      <c r="R35" s="304">
        <f>R31/Drivers!K90</f>
        <v>3.3993888100170406E-3</v>
      </c>
      <c r="S35" s="304"/>
      <c r="T35" s="304"/>
      <c r="U35" s="304">
        <f>U31/Drivers!L90</f>
        <v>3.1345793733935012E-3</v>
      </c>
      <c r="V35" s="304"/>
      <c r="W35" s="304"/>
      <c r="X35" s="304">
        <f>X31/Drivers!M90</f>
        <v>3.4563181904720057E-3</v>
      </c>
      <c r="Y35" s="304"/>
      <c r="Z35" s="304"/>
      <c r="AA35" s="304">
        <f>AA31/Drivers!N90</f>
        <v>2.1800133344462265E-3</v>
      </c>
      <c r="AB35" s="304"/>
      <c r="AC35" s="304"/>
      <c r="AD35" s="304">
        <f>AD31/Drivers!O90</f>
        <v>1.2125972571066107E-3</v>
      </c>
      <c r="AE35" s="304">
        <f>AE36/AB36-1</f>
        <v>-3.1260997067448781E-2</v>
      </c>
      <c r="AF35" s="304">
        <f>AF36/AC36-1</f>
        <v>-0.13324496623114312</v>
      </c>
      <c r="AG35" s="304">
        <f>AG31/Drivers!P90</f>
        <v>2.8204884536331761E-3</v>
      </c>
      <c r="AH35" s="304">
        <f>AH36/AE36-1</f>
        <v>-8.1733971060118371E-3</v>
      </c>
      <c r="AI35" s="304">
        <f>AI36/AF36-1</f>
        <v>0.18948441596271492</v>
      </c>
      <c r="AJ35" s="304">
        <f>AJ31/Drivers!Q90</f>
        <v>3.0942480498884115E-3</v>
      </c>
      <c r="AK35" s="304"/>
      <c r="AL35" s="304"/>
      <c r="AM35" s="304">
        <f>AM31/Drivers!R90</f>
        <v>2.2004528308912923E-3</v>
      </c>
      <c r="AN35" s="304"/>
      <c r="AO35" s="304"/>
      <c r="AP35" s="304">
        <f>AP31/Drivers!S90</f>
        <v>2.4629116894893796E-3</v>
      </c>
      <c r="AQ35" s="304"/>
      <c r="AR35" s="304"/>
      <c r="AS35" s="304">
        <f>AS31/Drivers!T90</f>
        <v>2.5450842182350784E-3</v>
      </c>
      <c r="AT35" s="304"/>
      <c r="AU35" s="304"/>
      <c r="AV35" s="304">
        <f>AV31/Drivers!U90</f>
        <v>2.5556069850620664E-3</v>
      </c>
      <c r="AW35" s="304"/>
      <c r="AX35" s="304"/>
      <c r="AY35" s="304">
        <f>AY31/Drivers!X90</f>
        <v>2.5830642357601973E-3</v>
      </c>
      <c r="AZ35" s="304"/>
      <c r="BA35" s="304"/>
      <c r="BB35" s="304"/>
      <c r="BC35" s="304"/>
      <c r="BD35" s="304"/>
      <c r="BE35" s="304"/>
      <c r="BF35" s="304"/>
      <c r="BG35" s="304"/>
      <c r="BH35" s="618"/>
      <c r="BI35" s="618"/>
      <c r="BJ35" s="563"/>
      <c r="BK35" s="347"/>
      <c r="BL35" s="567"/>
      <c r="BM35" s="563"/>
      <c r="BN35" s="347"/>
      <c r="BO35" s="567"/>
      <c r="BP35" s="563"/>
      <c r="BQ35" s="347"/>
      <c r="BR35" s="1811"/>
      <c r="BS35" s="347"/>
      <c r="BT35" s="347"/>
      <c r="BU35" s="347"/>
      <c r="BV35" s="347"/>
      <c r="BW35" s="347"/>
      <c r="BX35" s="347"/>
      <c r="BY35" s="347"/>
      <c r="BZ35" s="347"/>
      <c r="CA35" s="347"/>
      <c r="CB35" s="347"/>
      <c r="CC35" s="347"/>
      <c r="CD35" s="279"/>
      <c r="CE35" s="279"/>
    </row>
    <row r="36" spans="1:83" outlineLevel="1">
      <c r="A36" s="784"/>
      <c r="B36" s="784" t="s">
        <v>496</v>
      </c>
      <c r="C36" s="835">
        <v>6.7889999999999997</v>
      </c>
      <c r="D36" s="348"/>
      <c r="E36" s="348"/>
      <c r="F36" s="835">
        <v>6.2350000000000003</v>
      </c>
      <c r="G36" s="835"/>
      <c r="H36" s="835"/>
      <c r="I36" s="835">
        <v>7.64</v>
      </c>
      <c r="J36" s="835"/>
      <c r="K36" s="835"/>
      <c r="L36" s="837">
        <v>9.6029999999999998</v>
      </c>
      <c r="M36" s="837"/>
      <c r="N36" s="837"/>
      <c r="O36" s="837">
        <f>13.922</f>
        <v>13.922000000000001</v>
      </c>
      <c r="P36" s="838">
        <v>9.7279999999999998</v>
      </c>
      <c r="Q36" s="280">
        <f>R36-P36</f>
        <v>10.676</v>
      </c>
      <c r="R36" s="837">
        <f>20.404</f>
        <v>20.404</v>
      </c>
      <c r="S36" s="838">
        <v>13.042999999999999</v>
      </c>
      <c r="T36" s="280">
        <f>U36-S36</f>
        <v>12.422000000000001</v>
      </c>
      <c r="U36" s="837">
        <v>25.465</v>
      </c>
      <c r="V36" s="838">
        <v>15.358000000000001</v>
      </c>
      <c r="W36" s="280">
        <f>X36-V36</f>
        <v>12.847999999999999</v>
      </c>
      <c r="X36" s="837">
        <v>28.206</v>
      </c>
      <c r="Y36" s="838">
        <v>17.084</v>
      </c>
      <c r="Z36" s="280">
        <f>AA36-Y36</f>
        <v>10.574000000000002</v>
      </c>
      <c r="AA36" s="837">
        <v>27.658000000000001</v>
      </c>
      <c r="AB36" s="838">
        <v>17.05</v>
      </c>
      <c r="AC36" s="280">
        <f>AD36-AB36</f>
        <v>15.843</v>
      </c>
      <c r="AD36" s="837">
        <v>32.893000000000001</v>
      </c>
      <c r="AE36" s="838">
        <v>16.516999999999999</v>
      </c>
      <c r="AF36" s="280">
        <f>AG36-AE36</f>
        <v>13.731999999999999</v>
      </c>
      <c r="AG36" s="837">
        <v>30.248999999999999</v>
      </c>
      <c r="AH36" s="838">
        <v>16.382000000000001</v>
      </c>
      <c r="AI36" s="280">
        <f>AJ36-AH36</f>
        <v>16.334</v>
      </c>
      <c r="AJ36" s="837">
        <v>32.716000000000001</v>
      </c>
      <c r="AK36" s="838">
        <v>18.161999999999999</v>
      </c>
      <c r="AL36" s="280">
        <f>AM36-AK36</f>
        <v>17.252000000000002</v>
      </c>
      <c r="AM36" s="837">
        <v>35.414000000000001</v>
      </c>
      <c r="AN36" s="838">
        <v>19.853000000000002</v>
      </c>
      <c r="AO36" s="280">
        <f>AP36-AN36</f>
        <v>18.863999999999997</v>
      </c>
      <c r="AP36" s="837">
        <f>38.717</f>
        <v>38.716999999999999</v>
      </c>
      <c r="AQ36" s="838">
        <v>24.2</v>
      </c>
      <c r="AR36" s="280">
        <f>AS36-AQ36</f>
        <v>51.099999999999994</v>
      </c>
      <c r="AS36" s="837">
        <f>75.3</f>
        <v>75.3</v>
      </c>
      <c r="AT36" s="838">
        <v>37.1</v>
      </c>
      <c r="AU36" s="280">
        <f>AV36-AT36</f>
        <v>40.1</v>
      </c>
      <c r="AV36" s="837">
        <v>77.2</v>
      </c>
      <c r="AW36" s="838">
        <v>36.9</v>
      </c>
      <c r="AX36" s="280">
        <f>AY36-AW36</f>
        <v>37.1</v>
      </c>
      <c r="AY36" s="837">
        <v>74</v>
      </c>
      <c r="AZ36" s="838">
        <v>34.9</v>
      </c>
      <c r="BA36" s="280">
        <f>BB36-AZ36</f>
        <v>37.199999999999996</v>
      </c>
      <c r="BB36" s="837">
        <v>72.099999999999994</v>
      </c>
      <c r="BC36" s="838"/>
      <c r="BD36" s="280"/>
      <c r="BE36" s="837">
        <v>54.7</v>
      </c>
      <c r="BF36" s="838">
        <v>28.3</v>
      </c>
      <c r="BG36" s="280">
        <f>BH36-BF36</f>
        <v>34</v>
      </c>
      <c r="BH36" s="1146">
        <v>62.3</v>
      </c>
      <c r="BI36" s="838">
        <v>34.5</v>
      </c>
      <c r="BJ36" s="1397">
        <f>+BK36-BI36</f>
        <v>36.099999999999994</v>
      </c>
      <c r="BK36" s="1237">
        <v>70.599999999999994</v>
      </c>
      <c r="BL36" s="1391">
        <v>37.9</v>
      </c>
      <c r="BM36" s="1397">
        <f>+BN36-BL36</f>
        <v>41.9</v>
      </c>
      <c r="BN36" s="1535">
        <v>79.8</v>
      </c>
      <c r="BO36" s="1893">
        <v>41.4</v>
      </c>
      <c r="BP36" s="1397">
        <f>+BQ36-BO36</f>
        <v>56.6</v>
      </c>
      <c r="BQ36" s="1535">
        <v>98</v>
      </c>
      <c r="BR36" s="1812">
        <v>48.2</v>
      </c>
      <c r="BS36" s="348"/>
      <c r="BT36" s="348"/>
      <c r="BU36" s="348"/>
      <c r="BV36" s="348"/>
      <c r="BW36" s="348"/>
      <c r="BX36" s="348"/>
      <c r="BY36" s="348"/>
      <c r="BZ36" s="348"/>
      <c r="CA36" s="348"/>
      <c r="CB36" s="348"/>
      <c r="CC36" s="348"/>
      <c r="CD36" s="352"/>
      <c r="CE36" s="352"/>
    </row>
    <row r="37" spans="1:83" outlineLevel="1">
      <c r="A37" s="783"/>
      <c r="B37" s="839" t="s">
        <v>488</v>
      </c>
      <c r="C37" s="304">
        <f>C36/Drivers!F7</f>
        <v>1.9079067545351075E-2</v>
      </c>
      <c r="D37" s="347"/>
      <c r="E37" s="347"/>
      <c r="F37" s="304">
        <f>F36/Drivers!G7</f>
        <v>1.3783361371659994E-2</v>
      </c>
      <c r="G37" s="304"/>
      <c r="H37" s="304"/>
      <c r="I37" s="304">
        <f>I36/Drivers!H7</f>
        <v>1.1009549775702039E-2</v>
      </c>
      <c r="J37" s="304"/>
      <c r="K37" s="304"/>
      <c r="L37" s="304">
        <f>L36/Drivers!I7</f>
        <v>1.0153083934486546E-2</v>
      </c>
      <c r="M37" s="304"/>
      <c r="N37" s="304"/>
      <c r="O37" s="304">
        <f>O36/Drivers!J7</f>
        <v>1.0860975303412212E-2</v>
      </c>
      <c r="P37" s="304">
        <f>P36/Drivers!BS90</f>
        <v>9.8407553750877556E-3</v>
      </c>
      <c r="Q37" s="304">
        <f>Q36/Drivers!BT90</f>
        <v>1.270919094976084E-2</v>
      </c>
      <c r="R37" s="304">
        <f>R36/Drivers!K7</f>
        <v>1.1158482831336502E-2</v>
      </c>
      <c r="S37" s="304">
        <f>S36/Drivers!BU90</f>
        <v>1.0338745922722966E-2</v>
      </c>
      <c r="T37" s="304">
        <f>T36/Drivers!BV90</f>
        <v>1.1656177483177739E-2</v>
      </c>
      <c r="U37" s="304">
        <f>U36/Drivers!L7</f>
        <v>1.0942023816787595E-2</v>
      </c>
      <c r="V37" s="304">
        <f>V36/Drivers!BW90</f>
        <v>9.8843203709162355E-3</v>
      </c>
      <c r="W37" s="304">
        <f>W36/Drivers!BX90</f>
        <v>1.0910826413575348E-2</v>
      </c>
      <c r="X37" s="304">
        <f>X36/Drivers!M7</f>
        <v>1.0326874917622247E-2</v>
      </c>
      <c r="Y37" s="304">
        <f>Y36/Drivers!BY90</f>
        <v>1.0153128963280191E-2</v>
      </c>
      <c r="Z37" s="304">
        <f>Z36/Drivers!BZ90</f>
        <v>8.282815781372516E-3</v>
      </c>
      <c r="AA37" s="304">
        <f>AA36/Drivers!N7</f>
        <v>9.3462775910001603E-3</v>
      </c>
      <c r="AB37" s="304"/>
      <c r="AC37" s="304"/>
      <c r="AD37" s="304">
        <f>AD36/Drivers!O7</f>
        <v>1.0516364259515978E-2</v>
      </c>
      <c r="AE37" s="304">
        <f>AE36/Drivers!CC90</f>
        <v>9.0940224022270089E-3</v>
      </c>
      <c r="AF37" s="304">
        <f>AF36/Drivers!CD90</f>
        <v>9.2028157989266501E-3</v>
      </c>
      <c r="AG37" s="304">
        <f>AG36/Drivers!P7</f>
        <v>9.1430903155603916E-3</v>
      </c>
      <c r="AH37" s="304">
        <f>AH36/Drivers!CE90</f>
        <v>8.4449088519986167E-3</v>
      </c>
      <c r="AI37" s="304">
        <f>AI36/Drivers!CF90</f>
        <v>1.0579645937452231E-2</v>
      </c>
      <c r="AJ37" s="304">
        <f>AJ36/Drivers!Q7</f>
        <v>9.3909623899362041E-3</v>
      </c>
      <c r="AK37" s="304">
        <f>AK36/Drivers!CG90</f>
        <v>9.2420519981192256E-3</v>
      </c>
      <c r="AL37" s="304">
        <f>AL36/Drivers!CH90</f>
        <v>1.0226510206355944E-2</v>
      </c>
      <c r="AM37" s="304">
        <f>AM36/Drivers!R7</f>
        <v>9.6967911381175293E-3</v>
      </c>
      <c r="AN37" s="304">
        <f>AN36/Drivers!CI90</f>
        <v>9.3787039692141555E-3</v>
      </c>
      <c r="AO37" s="304">
        <f>AO36/Drivers!CJ90</f>
        <v>1.0265284466574156E-2</v>
      </c>
      <c r="AP37" s="304">
        <f>AP36/Drivers!S7</f>
        <v>9.7906999856112089E-3</v>
      </c>
      <c r="AQ37" s="304">
        <f>AQ36/AQ6</f>
        <v>9.2500573350661267E-3</v>
      </c>
      <c r="AR37" s="304">
        <f>AR36/Drivers!CL90</f>
        <v>2.5340937267542763E-2</v>
      </c>
      <c r="AS37" s="304">
        <f>AS36/Drivers!T7</f>
        <v>1.3379530916844349E-2</v>
      </c>
      <c r="AT37" s="304">
        <f>AT36/AT6</f>
        <v>1.0054745514662041E-2</v>
      </c>
      <c r="AU37" s="304">
        <f>AU36/Drivers!CN90</f>
        <v>1.8539066111881646E-2</v>
      </c>
      <c r="AV37" s="304">
        <f>AV36/Drivers!U7</f>
        <v>1.1263002786571934E-2</v>
      </c>
      <c r="AW37" s="304">
        <f>AW36/AW6</f>
        <v>9.6001248796732316E-3</v>
      </c>
      <c r="AX37" s="304">
        <f>AX36/AX6</f>
        <v>1.140976749907738E-2</v>
      </c>
      <c r="AY37" s="304">
        <f>AY36/Drivers!X7</f>
        <v>1.0429439206235114E-2</v>
      </c>
      <c r="AZ37" s="304">
        <f>AZ36/AZ6</f>
        <v>8.7354825790949137E-3</v>
      </c>
      <c r="BA37" s="304">
        <f>BA36/BA6</f>
        <v>9.4808471595687737E-3</v>
      </c>
      <c r="BB37" s="304">
        <f>BB36/Drivers!AA7</f>
        <v>9.1047999090782816E-3</v>
      </c>
      <c r="BC37" s="304"/>
      <c r="BD37" s="304"/>
      <c r="BE37" s="304">
        <f>BE36/Drivers!AD7</f>
        <v>6.1349693251533744E-3</v>
      </c>
      <c r="BF37" s="304">
        <f>BF36/BF6</f>
        <v>5.8208893825332179E-3</v>
      </c>
      <c r="BG37" s="304">
        <f>BG36/BG6</f>
        <v>7.779964303693195E-3</v>
      </c>
      <c r="BH37" s="618">
        <f>BH36/Drivers!AG7</f>
        <v>6.7482668977469663E-3</v>
      </c>
      <c r="BI37" s="618">
        <f>BI36/BI6</f>
        <v>6.5359477124183009E-3</v>
      </c>
      <c r="BJ37" s="618">
        <f>BJ36/BJ6</f>
        <v>8.3028588513995253E-3</v>
      </c>
      <c r="BK37" s="618">
        <f>BK36/Drivers!AJ7</f>
        <v>7.3339981716945063E-3</v>
      </c>
      <c r="BL37" s="567">
        <f>BL36/BL6</f>
        <v>7.3419732279498646E-3</v>
      </c>
      <c r="BM37" s="618">
        <f>BM36/BM6</f>
        <v>9.4575988082071204E-3</v>
      </c>
      <c r="BN37" s="618">
        <f>BN36/Drivers!AM7</f>
        <v>8.3190859430382381E-3</v>
      </c>
      <c r="BO37" s="567">
        <f>BO36/BO6</f>
        <v>7.3010722347629795E-3</v>
      </c>
      <c r="BP37" s="618">
        <f>BP36/BP6</f>
        <v>1.1587912537875686E-2</v>
      </c>
      <c r="BQ37" s="618">
        <f>BQ36/Drivers!AP7</f>
        <v>9.2848751279038903E-3</v>
      </c>
      <c r="BR37" s="1811"/>
      <c r="BS37" s="347"/>
      <c r="BT37" s="347"/>
      <c r="BU37" s="347"/>
      <c r="BV37" s="347"/>
      <c r="BW37" s="347"/>
      <c r="BX37" s="347"/>
      <c r="BY37" s="347"/>
      <c r="BZ37" s="347"/>
      <c r="CA37" s="347"/>
      <c r="CB37" s="347"/>
      <c r="CC37" s="347"/>
      <c r="CD37" s="304"/>
      <c r="CE37" s="304"/>
    </row>
    <row r="38" spans="1:83" outlineLevel="1">
      <c r="A38" s="783"/>
      <c r="B38" s="783" t="s">
        <v>497</v>
      </c>
      <c r="C38" s="279">
        <f>C39*Drivers!F90</f>
        <v>1.3102909836352459</v>
      </c>
      <c r="D38" s="347"/>
      <c r="E38" s="347"/>
      <c r="F38" s="279">
        <f>F39*Drivers!G90</f>
        <v>1.6657138799845126</v>
      </c>
      <c r="G38" s="279"/>
      <c r="H38" s="279"/>
      <c r="I38" s="279">
        <f>I39*Drivers!H90</f>
        <v>2.555305846970628</v>
      </c>
      <c r="J38" s="279"/>
      <c r="K38" s="279"/>
      <c r="L38" s="279">
        <f>L39*Drivers!I90</f>
        <v>3.4827960387057821</v>
      </c>
      <c r="M38" s="279"/>
      <c r="N38" s="279"/>
      <c r="O38" s="279">
        <f>O39*Drivers!J90</f>
        <v>4.7201075318337233</v>
      </c>
      <c r="P38" s="279"/>
      <c r="Q38" s="279"/>
      <c r="R38" s="279">
        <f t="shared" ref="R38:AP38" si="77">33%*R36</f>
        <v>6.73332</v>
      </c>
      <c r="S38" s="279"/>
      <c r="T38" s="279"/>
      <c r="U38" s="279">
        <f t="shared" si="77"/>
        <v>8.4034500000000012</v>
      </c>
      <c r="V38" s="279"/>
      <c r="W38" s="279"/>
      <c r="X38" s="279">
        <f t="shared" si="77"/>
        <v>9.3079800000000006</v>
      </c>
      <c r="Y38" s="279"/>
      <c r="Z38" s="279"/>
      <c r="AA38" s="279">
        <f t="shared" si="77"/>
        <v>9.1271400000000007</v>
      </c>
      <c r="AB38" s="279"/>
      <c r="AC38" s="279"/>
      <c r="AD38" s="279">
        <f t="shared" si="77"/>
        <v>10.854690000000002</v>
      </c>
      <c r="AE38" s="279"/>
      <c r="AF38" s="279"/>
      <c r="AG38" s="279">
        <f t="shared" si="77"/>
        <v>9.98217</v>
      </c>
      <c r="AH38" s="279"/>
      <c r="AI38" s="279"/>
      <c r="AJ38" s="279">
        <f t="shared" si="77"/>
        <v>10.796280000000001</v>
      </c>
      <c r="AK38" s="279"/>
      <c r="AL38" s="618"/>
      <c r="AM38" s="279">
        <f t="shared" si="77"/>
        <v>11.686620000000001</v>
      </c>
      <c r="AN38" s="618"/>
      <c r="AO38" s="618"/>
      <c r="AP38" s="279">
        <f t="shared" si="77"/>
        <v>12.77661</v>
      </c>
      <c r="AQ38" s="618"/>
      <c r="AR38" s="618"/>
      <c r="AS38" s="279">
        <f>AS39*Drivers!T7</f>
        <v>18.009600000000002</v>
      </c>
      <c r="AT38" s="618"/>
      <c r="AU38" s="618"/>
      <c r="AV38" s="279">
        <f>AV39*Drivers!U7</f>
        <v>21.933760000000003</v>
      </c>
      <c r="AW38" s="618"/>
      <c r="AX38" s="618"/>
      <c r="AY38" s="279">
        <f>AY39*Drivers!X7</f>
        <v>22.70496</v>
      </c>
      <c r="AZ38" s="618"/>
      <c r="BA38" s="618"/>
      <c r="BB38" s="279">
        <f>BB39*Drivers!AA7</f>
        <v>25.340479999999999</v>
      </c>
      <c r="BC38" s="618"/>
      <c r="BD38" s="618"/>
      <c r="BE38" s="279">
        <f>BE39*Drivers!AD7</f>
        <v>28.531520000000004</v>
      </c>
      <c r="BF38" s="618"/>
      <c r="BG38" s="618"/>
      <c r="BH38" s="279">
        <f>BH39*Drivers!AG7</f>
        <v>29.542400000000001</v>
      </c>
      <c r="BI38" s="279">
        <f>BI39*Drivers!AH7</f>
        <v>16.891200000000001</v>
      </c>
      <c r="BJ38" s="279">
        <f>BJ39*Drivers!AI7</f>
        <v>13.91328</v>
      </c>
      <c r="BK38" s="279">
        <f>BK39*Drivers!AJ7</f>
        <v>30.804480000000002</v>
      </c>
      <c r="BL38" s="179">
        <f>BL39*Drivers!AK7</f>
        <v>16.518720000000002</v>
      </c>
      <c r="BM38" s="279">
        <f>BM39*Drivers!AL7</f>
        <v>14.176959999999998</v>
      </c>
      <c r="BN38" s="279">
        <f>BN39*Drivers!AM7</f>
        <v>30.695679999999999</v>
      </c>
      <c r="BO38" s="179">
        <f>BO39*Drivers!AN7</f>
        <v>18.14528</v>
      </c>
      <c r="BP38" s="279">
        <f>BP39*Drivers!AO7</f>
        <v>15.630080000000003</v>
      </c>
      <c r="BQ38" s="279">
        <f>BQ39*Drivers!AP7</f>
        <v>33.775360000000006</v>
      </c>
      <c r="BR38" s="1811"/>
      <c r="BS38" s="347"/>
      <c r="BT38" s="347"/>
      <c r="BU38" s="347"/>
      <c r="BV38" s="347"/>
      <c r="BW38" s="347"/>
      <c r="BX38" s="347"/>
      <c r="BY38" s="347"/>
      <c r="BZ38" s="347"/>
      <c r="CA38" s="347"/>
      <c r="CB38" s="347"/>
      <c r="CC38" s="347"/>
      <c r="CD38" s="279"/>
      <c r="CE38" s="279"/>
    </row>
    <row r="39" spans="1:83" outlineLevel="1">
      <c r="A39" s="783"/>
      <c r="B39" s="839" t="s">
        <v>488</v>
      </c>
      <c r="C39" s="304">
        <f>F39</f>
        <v>3.6822993343410457E-3</v>
      </c>
      <c r="D39" s="347"/>
      <c r="E39" s="347"/>
      <c r="F39" s="304">
        <f>I39</f>
        <v>3.6822993343410457E-3</v>
      </c>
      <c r="G39" s="304"/>
      <c r="H39" s="304"/>
      <c r="I39" s="304">
        <f>L39</f>
        <v>3.6822993343410457E-3</v>
      </c>
      <c r="J39" s="304"/>
      <c r="K39" s="304"/>
      <c r="L39" s="304">
        <f>O39</f>
        <v>3.6822993343410457E-3</v>
      </c>
      <c r="M39" s="304"/>
      <c r="N39" s="304"/>
      <c r="O39" s="304">
        <f>R39</f>
        <v>3.6822993343410457E-3</v>
      </c>
      <c r="P39" s="304"/>
      <c r="Q39" s="304"/>
      <c r="R39" s="618">
        <f>R38/Drivers!K90</f>
        <v>3.6822993343410457E-3</v>
      </c>
      <c r="S39" s="618"/>
      <c r="T39" s="618"/>
      <c r="U39" s="843">
        <f>U38/Drivers!L90</f>
        <v>3.6108678595399069E-3</v>
      </c>
      <c r="V39" s="843"/>
      <c r="W39" s="843"/>
      <c r="X39" s="843">
        <f>X38/Drivers!M90</f>
        <v>3.407868722815342E-3</v>
      </c>
      <c r="Y39" s="843"/>
      <c r="Z39" s="843"/>
      <c r="AA39" s="843">
        <f>AA38/Drivers!N90</f>
        <v>3.0842716050300534E-3</v>
      </c>
      <c r="AB39" s="843"/>
      <c r="AC39" s="843"/>
      <c r="AD39" s="843">
        <f>AD38/Drivers!O90</f>
        <v>3.4704002056402733E-3</v>
      </c>
      <c r="AE39" s="843"/>
      <c r="AF39" s="843"/>
      <c r="AG39" s="843">
        <f>AG38/Drivers!P90</f>
        <v>3.017219804134929E-3</v>
      </c>
      <c r="AH39" s="618"/>
      <c r="AI39" s="618"/>
      <c r="AJ39" s="843">
        <f>AJ38/Drivers!Q90</f>
        <v>3.0990175886789475E-3</v>
      </c>
      <c r="AK39" s="618"/>
      <c r="AL39" s="618"/>
      <c r="AM39" s="843">
        <f>AM38/Drivers!R90</f>
        <v>3.199941075578785E-3</v>
      </c>
      <c r="AN39" s="618"/>
      <c r="AO39" s="618"/>
      <c r="AP39" s="843">
        <f>AP38/Drivers!S90</f>
        <v>3.2309309952516987E-3</v>
      </c>
      <c r="AQ39" s="618"/>
      <c r="AR39" s="618"/>
      <c r="AS39" s="843">
        <v>3.2000000000000002E-3</v>
      </c>
      <c r="AT39" s="618"/>
      <c r="AU39" s="618"/>
      <c r="AV39" s="843">
        <v>3.2000000000000002E-3</v>
      </c>
      <c r="AW39" s="618"/>
      <c r="AX39" s="618"/>
      <c r="AY39" s="843">
        <v>3.2000000000000002E-3</v>
      </c>
      <c r="AZ39" s="618"/>
      <c r="BA39" s="618"/>
      <c r="BB39" s="843">
        <v>3.2000000000000002E-3</v>
      </c>
      <c r="BC39" s="618"/>
      <c r="BD39" s="618"/>
      <c r="BE39" s="843">
        <v>3.2000000000000002E-3</v>
      </c>
      <c r="BF39" s="618"/>
      <c r="BG39" s="618"/>
      <c r="BH39" s="1140">
        <v>3.2000000000000002E-3</v>
      </c>
      <c r="BI39" s="1210">
        <v>3.2000000000000002E-3</v>
      </c>
      <c r="BJ39" s="1210">
        <v>3.2000000000000002E-3</v>
      </c>
      <c r="BK39" s="1140">
        <v>3.2000000000000002E-3</v>
      </c>
      <c r="BL39" s="1393">
        <v>3.2000000000000002E-3</v>
      </c>
      <c r="BM39" s="1210">
        <v>3.2000000000000002E-3</v>
      </c>
      <c r="BN39" s="1140">
        <v>3.2000000000000002E-3</v>
      </c>
      <c r="BO39" s="1682">
        <v>3.2000000000000002E-3</v>
      </c>
      <c r="BP39" s="1210">
        <v>3.2000000000000002E-3</v>
      </c>
      <c r="BQ39" s="1140">
        <v>3.2000000000000002E-3</v>
      </c>
      <c r="BR39" s="1811"/>
      <c r="BS39" s="347"/>
      <c r="BT39" s="347"/>
      <c r="BU39" s="347"/>
      <c r="BV39" s="347"/>
      <c r="BW39" s="347"/>
      <c r="BX39" s="347"/>
      <c r="BY39" s="347"/>
      <c r="BZ39" s="347"/>
      <c r="CA39" s="347"/>
      <c r="CB39" s="347"/>
      <c r="CC39" s="347"/>
      <c r="CD39" s="310"/>
      <c r="CE39" s="310"/>
    </row>
    <row r="40" spans="1:83" outlineLevel="1">
      <c r="A40" s="783"/>
      <c r="B40" s="783" t="s">
        <v>498</v>
      </c>
      <c r="C40" s="279">
        <f t="shared" ref="C40:AS40" si="78">C36-C38</f>
        <v>5.4787090163647534</v>
      </c>
      <c r="D40" s="347"/>
      <c r="E40" s="347"/>
      <c r="F40" s="279">
        <f t="shared" si="78"/>
        <v>4.5692861200154873</v>
      </c>
      <c r="G40" s="279"/>
      <c r="H40" s="279"/>
      <c r="I40" s="279">
        <f t="shared" si="78"/>
        <v>5.0846941530293712</v>
      </c>
      <c r="J40" s="279"/>
      <c r="K40" s="279"/>
      <c r="L40" s="279">
        <f t="shared" si="78"/>
        <v>6.1202039612942176</v>
      </c>
      <c r="M40" s="279"/>
      <c r="N40" s="279"/>
      <c r="O40" s="279">
        <f t="shared" si="78"/>
        <v>9.2018924681662781</v>
      </c>
      <c r="P40" s="279"/>
      <c r="Q40" s="279"/>
      <c r="R40" s="279">
        <f t="shared" si="78"/>
        <v>13.670680000000001</v>
      </c>
      <c r="S40" s="279"/>
      <c r="T40" s="279"/>
      <c r="U40" s="279">
        <f t="shared" si="78"/>
        <v>17.061549999999997</v>
      </c>
      <c r="V40" s="279"/>
      <c r="W40" s="279"/>
      <c r="X40" s="279">
        <f t="shared" si="78"/>
        <v>18.898019999999999</v>
      </c>
      <c r="Y40" s="279"/>
      <c r="Z40" s="279"/>
      <c r="AA40" s="279">
        <f t="shared" si="78"/>
        <v>18.530860000000001</v>
      </c>
      <c r="AB40" s="279"/>
      <c r="AC40" s="279"/>
      <c r="AD40" s="279">
        <f t="shared" si="78"/>
        <v>22.038309999999999</v>
      </c>
      <c r="AE40" s="279"/>
      <c r="AF40" s="279"/>
      <c r="AG40" s="279">
        <f t="shared" si="78"/>
        <v>20.266829999999999</v>
      </c>
      <c r="AH40" s="279"/>
      <c r="AI40" s="279"/>
      <c r="AJ40" s="279">
        <f t="shared" si="78"/>
        <v>21.919719999999998</v>
      </c>
      <c r="AK40" s="279"/>
      <c r="AL40" s="279"/>
      <c r="AM40" s="279">
        <f t="shared" si="78"/>
        <v>23.72738</v>
      </c>
      <c r="AN40" s="279"/>
      <c r="AO40" s="279"/>
      <c r="AP40" s="279">
        <f t="shared" si="78"/>
        <v>25.940390000000001</v>
      </c>
      <c r="AQ40" s="279"/>
      <c r="AR40" s="279"/>
      <c r="AS40" s="279">
        <f t="shared" si="78"/>
        <v>57.290399999999991</v>
      </c>
      <c r="AT40" s="279"/>
      <c r="AU40" s="279"/>
      <c r="AV40" s="279">
        <f>AV36-AV38</f>
        <v>55.266239999999996</v>
      </c>
      <c r="AW40" s="279"/>
      <c r="AX40" s="279"/>
      <c r="AY40" s="279">
        <f>AY36-AY38</f>
        <v>51.29504</v>
      </c>
      <c r="AZ40" s="279"/>
      <c r="BA40" s="279"/>
      <c r="BB40" s="279">
        <f>BB36-BB38</f>
        <v>46.759519999999995</v>
      </c>
      <c r="BC40" s="279"/>
      <c r="BD40" s="279"/>
      <c r="BE40" s="279">
        <f>BE36-BE38</f>
        <v>26.168479999999999</v>
      </c>
      <c r="BF40" s="279"/>
      <c r="BG40" s="279"/>
      <c r="BH40" s="279">
        <f t="shared" ref="BH40:BN40" si="79">BH36-BH38</f>
        <v>32.757599999999996</v>
      </c>
      <c r="BI40" s="279">
        <f t="shared" si="79"/>
        <v>17.608799999999999</v>
      </c>
      <c r="BJ40" s="279">
        <f t="shared" si="79"/>
        <v>22.186719999999994</v>
      </c>
      <c r="BK40" s="279">
        <f t="shared" si="79"/>
        <v>39.795519999999996</v>
      </c>
      <c r="BL40" s="179">
        <f t="shared" si="79"/>
        <v>21.381279999999997</v>
      </c>
      <c r="BM40" s="279">
        <f t="shared" si="79"/>
        <v>27.723040000000001</v>
      </c>
      <c r="BN40" s="279">
        <f t="shared" si="79"/>
        <v>49.104320000000001</v>
      </c>
      <c r="BO40" s="179">
        <f t="shared" ref="BO40:BQ40" si="80">BO36-BO38</f>
        <v>23.254719999999999</v>
      </c>
      <c r="BP40" s="279">
        <f t="shared" si="80"/>
        <v>40.969920000000002</v>
      </c>
      <c r="BQ40" s="279">
        <f t="shared" si="80"/>
        <v>64.224639999999994</v>
      </c>
      <c r="BR40" s="1811"/>
      <c r="BS40" s="347"/>
      <c r="BT40" s="347"/>
      <c r="BU40" s="347"/>
      <c r="BV40" s="347"/>
      <c r="BW40" s="347"/>
      <c r="BX40" s="347"/>
      <c r="BY40" s="347"/>
      <c r="BZ40" s="347"/>
      <c r="CA40" s="347"/>
      <c r="CB40" s="347"/>
      <c r="CC40" s="347"/>
      <c r="CD40" s="279"/>
      <c r="CE40" s="279"/>
    </row>
    <row r="41" spans="1:83" outlineLevel="1">
      <c r="A41" s="783"/>
      <c r="B41" s="839" t="s">
        <v>488</v>
      </c>
      <c r="C41" s="304">
        <f>C40/Drivers!F90</f>
        <v>1.5396768211010029E-2</v>
      </c>
      <c r="D41" s="347"/>
      <c r="E41" s="347"/>
      <c r="F41" s="304">
        <f>F40/Drivers!G90</f>
        <v>1.0101062037318947E-2</v>
      </c>
      <c r="G41" s="304"/>
      <c r="H41" s="304"/>
      <c r="I41" s="304">
        <f>I40/Drivers!H7</f>
        <v>7.3272504413609925E-3</v>
      </c>
      <c r="J41" s="304"/>
      <c r="K41" s="304"/>
      <c r="L41" s="304">
        <f>L40/Drivers!I7</f>
        <v>6.4707846001455004E-3</v>
      </c>
      <c r="M41" s="304"/>
      <c r="N41" s="304"/>
      <c r="O41" s="304">
        <f>O40/Drivers!J7</f>
        <v>7.1786759690711677E-3</v>
      </c>
      <c r="P41" s="304"/>
      <c r="Q41" s="304"/>
      <c r="R41" s="304">
        <f>R40/Drivers!K7</f>
        <v>7.4761834969954569E-3</v>
      </c>
      <c r="S41" s="304"/>
      <c r="T41" s="304"/>
      <c r="U41" s="304">
        <f>U40/Drivers!L7</f>
        <v>7.3311559572476872E-3</v>
      </c>
      <c r="V41" s="304"/>
      <c r="W41" s="304"/>
      <c r="X41" s="304">
        <f>X40/Drivers!M7</f>
        <v>6.919006194806906E-3</v>
      </c>
      <c r="Y41" s="304"/>
      <c r="Z41" s="304"/>
      <c r="AA41" s="304">
        <f>AA40/Drivers!N7</f>
        <v>6.2620059859701078E-3</v>
      </c>
      <c r="AB41" s="304"/>
      <c r="AC41" s="304"/>
      <c r="AD41" s="304">
        <f>AD40/Drivers!O7</f>
        <v>7.0459640538757052E-3</v>
      </c>
      <c r="AE41" s="304"/>
      <c r="AF41" s="304"/>
      <c r="AG41" s="304">
        <f>AG40/Drivers!P7</f>
        <v>6.1258705114254621E-3</v>
      </c>
      <c r="AH41" s="304"/>
      <c r="AI41" s="304"/>
      <c r="AJ41" s="304">
        <f>AJ40/Drivers!Q7</f>
        <v>6.2919448012572566E-3</v>
      </c>
      <c r="AK41" s="304"/>
      <c r="AL41" s="304"/>
      <c r="AM41" s="304">
        <f>AM40/Drivers!R7</f>
        <v>6.4968500625387443E-3</v>
      </c>
      <c r="AN41" s="304"/>
      <c r="AO41" s="304"/>
      <c r="AP41" s="304">
        <f>AP40/Drivers!S7</f>
        <v>6.5597689903595102E-3</v>
      </c>
      <c r="AQ41" s="304"/>
      <c r="AR41" s="304"/>
      <c r="AS41" s="304">
        <f>AS40/Drivers!T7</f>
        <v>1.0179530916844348E-2</v>
      </c>
      <c r="AT41" s="304"/>
      <c r="AU41" s="304"/>
      <c r="AV41" s="304">
        <f>AV40/Drivers!U7</f>
        <v>8.0630027865719323E-3</v>
      </c>
      <c r="AW41" s="304"/>
      <c r="AX41" s="304"/>
      <c r="AY41" s="304">
        <f>AY40/Drivers!X7</f>
        <v>7.2294392062351139E-3</v>
      </c>
      <c r="AZ41" s="304"/>
      <c r="BA41" s="304"/>
      <c r="BB41" s="304">
        <f>BB40/Drivers!AA7</f>
        <v>5.904799909078281E-3</v>
      </c>
      <c r="BC41" s="304"/>
      <c r="BD41" s="304"/>
      <c r="BE41" s="304">
        <f>BE40/Drivers!AD7</f>
        <v>2.9349693251533738E-3</v>
      </c>
      <c r="BF41" s="304"/>
      <c r="BG41" s="304"/>
      <c r="BH41" s="618">
        <f>BH40/Drivers!AG7</f>
        <v>3.5482668977469666E-3</v>
      </c>
      <c r="BI41" s="618">
        <f>BI40/Drivers!AH7</f>
        <v>3.3359477124183003E-3</v>
      </c>
      <c r="BJ41" s="618">
        <f>BJ40/Drivers!AI7</f>
        <v>5.1028588513995256E-3</v>
      </c>
      <c r="BK41" s="618">
        <f>BK40/Drivers!AJ7</f>
        <v>4.1339981716945065E-3</v>
      </c>
      <c r="BL41" s="567">
        <f>BL40/Drivers!AK7</f>
        <v>4.141973227949864E-3</v>
      </c>
      <c r="BM41" s="618">
        <f>BM40/Drivers!AL7</f>
        <v>6.2575988082071207E-3</v>
      </c>
      <c r="BN41" s="618">
        <f>BN40/Drivers!AM7</f>
        <v>5.1190859430382393E-3</v>
      </c>
      <c r="BO41" s="567">
        <f>BO40/Drivers!AN7</f>
        <v>4.1010722347629798E-3</v>
      </c>
      <c r="BP41" s="618">
        <f>BP40/Drivers!AO7</f>
        <v>8.3879125378756858E-3</v>
      </c>
      <c r="BQ41" s="618">
        <f>BQ40/Drivers!AP7</f>
        <v>6.0848751279038906E-3</v>
      </c>
      <c r="BR41" s="1811"/>
      <c r="BS41" s="347"/>
      <c r="BT41" s="347"/>
      <c r="BU41" s="347"/>
      <c r="BV41" s="347"/>
      <c r="BW41" s="347"/>
      <c r="BX41" s="347"/>
      <c r="BY41" s="347"/>
      <c r="BZ41" s="347"/>
      <c r="CA41" s="347"/>
      <c r="CB41" s="347"/>
      <c r="CC41" s="347"/>
      <c r="CD41" s="304"/>
      <c r="CE41" s="304"/>
    </row>
    <row r="42" spans="1:83" outlineLevel="1">
      <c r="A42" s="783"/>
      <c r="B42" s="839"/>
      <c r="C42" s="263"/>
      <c r="D42" s="347"/>
      <c r="E42" s="347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>
        <f>S36/P36-1</f>
        <v>0.34076891447368407</v>
      </c>
      <c r="T42" s="263">
        <f>T36/Q36-1</f>
        <v>0.1635443986511802</v>
      </c>
      <c r="U42" s="263"/>
      <c r="V42" s="263">
        <f>V36/S36-1</f>
        <v>0.17748984129418099</v>
      </c>
      <c r="W42" s="263">
        <f>W36/T36-1</f>
        <v>3.4293994525841143E-2</v>
      </c>
      <c r="X42" s="263"/>
      <c r="Y42" s="263">
        <f>Y36/V36-1</f>
        <v>0.11238442505534563</v>
      </c>
      <c r="Z42" s="263">
        <f>Z36/W36-1</f>
        <v>-0.17699252801992504</v>
      </c>
      <c r="AA42" s="263"/>
      <c r="AB42" s="263">
        <f>AB36/Y36-1</f>
        <v>-1.990166237415103E-3</v>
      </c>
      <c r="AC42" s="263">
        <f>AC36/Z36-1</f>
        <v>0.49829771136750489</v>
      </c>
      <c r="AD42" s="263"/>
      <c r="AE42" s="263">
        <f>AE36/AB36-1</f>
        <v>-3.1260997067448781E-2</v>
      </c>
      <c r="AF42" s="263">
        <f>AF36/AC36-1</f>
        <v>-0.13324496623114312</v>
      </c>
      <c r="AG42" s="263"/>
      <c r="AH42" s="263">
        <f>AH36/AE36-1</f>
        <v>-8.1733971060118371E-3</v>
      </c>
      <c r="AI42" s="263">
        <f>AI36/AF36-1</f>
        <v>0.18948441596271492</v>
      </c>
      <c r="AJ42" s="263"/>
      <c r="AK42" s="263">
        <f>AK36/AH36-1</f>
        <v>0.10865584177756049</v>
      </c>
      <c r="AL42" s="263">
        <f>AL36/AI36-1</f>
        <v>5.6201787682135684E-2</v>
      </c>
      <c r="AM42" s="263"/>
      <c r="AN42" s="263">
        <f>AN36/AK36-1</f>
        <v>9.3106486069816308E-2</v>
      </c>
      <c r="AO42" s="263">
        <f>AO36/AL36-1</f>
        <v>9.3438441919777127E-2</v>
      </c>
      <c r="AP42" s="263"/>
      <c r="AQ42" s="263">
        <f>AQ36/AN36-1</f>
        <v>0.21895935123155175</v>
      </c>
      <c r="AR42" s="263">
        <f>AR36/AO36-1</f>
        <v>1.7088634435962682</v>
      </c>
      <c r="AS42" s="263"/>
      <c r="AT42" s="263">
        <f>AT36/AQ36-1</f>
        <v>0.53305785123966953</v>
      </c>
      <c r="AU42" s="263">
        <f>AU36/AR36-1</f>
        <v>-0.21526418786692747</v>
      </c>
      <c r="AV42" s="263"/>
      <c r="AW42" s="263">
        <f>AW36/AT36-1</f>
        <v>-5.3908355795149188E-3</v>
      </c>
      <c r="AX42" s="263">
        <f>AX36/AU36-1</f>
        <v>-7.4812967581047385E-2</v>
      </c>
      <c r="AY42" s="263"/>
      <c r="AZ42" s="263">
        <f>AZ36/AW36-1</f>
        <v>-5.4200542005420016E-2</v>
      </c>
      <c r="BA42" s="263"/>
      <c r="BB42" s="263"/>
      <c r="BC42" s="263"/>
      <c r="BD42" s="263"/>
      <c r="BE42" s="263"/>
      <c r="BF42" s="583" t="str">
        <f>IFERROR(BF36/BC36-1,"NA")</f>
        <v>NA</v>
      </c>
      <c r="BG42" s="263"/>
      <c r="BH42" s="284"/>
      <c r="BI42" s="284"/>
      <c r="BJ42" s="564"/>
      <c r="BK42" s="284"/>
      <c r="BL42" s="137"/>
      <c r="BM42" s="564"/>
      <c r="BN42" s="284"/>
      <c r="BO42" s="137"/>
      <c r="BP42" s="564"/>
      <c r="BQ42" s="284"/>
      <c r="BR42" s="1811"/>
      <c r="BS42" s="347"/>
      <c r="BT42" s="347"/>
      <c r="BU42" s="347"/>
      <c r="BV42" s="347"/>
      <c r="BW42" s="347"/>
      <c r="BX42" s="347"/>
      <c r="BY42" s="347"/>
      <c r="BZ42" s="347"/>
      <c r="CA42" s="347"/>
      <c r="CB42" s="347"/>
      <c r="CC42" s="347"/>
      <c r="CD42" s="263"/>
      <c r="CE42" s="263"/>
    </row>
    <row r="43" spans="1:83" outlineLevel="1">
      <c r="A43" s="784"/>
      <c r="B43" s="323" t="s">
        <v>499</v>
      </c>
      <c r="C43" s="324">
        <v>0</v>
      </c>
      <c r="D43" s="325"/>
      <c r="E43" s="325"/>
      <c r="F43" s="324">
        <v>0</v>
      </c>
      <c r="G43" s="324"/>
      <c r="H43" s="324"/>
      <c r="I43" s="324">
        <v>0</v>
      </c>
      <c r="J43" s="324"/>
      <c r="K43" s="324"/>
      <c r="L43" s="444">
        <v>0</v>
      </c>
      <c r="M43" s="444"/>
      <c r="N43" s="444"/>
      <c r="O43" s="444">
        <v>-1.9</v>
      </c>
      <c r="P43" s="444"/>
      <c r="Q43" s="444"/>
      <c r="R43" s="444">
        <v>-3.2</v>
      </c>
      <c r="S43" s="444"/>
      <c r="T43" s="444"/>
      <c r="U43" s="444">
        <v>0</v>
      </c>
      <c r="V43" s="444"/>
      <c r="W43" s="444"/>
      <c r="X43" s="444">
        <v>0</v>
      </c>
      <c r="Y43" s="444"/>
      <c r="Z43" s="444"/>
      <c r="AA43" s="444">
        <v>0</v>
      </c>
      <c r="AB43" s="444"/>
      <c r="AC43" s="444"/>
      <c r="AD43" s="444">
        <v>0</v>
      </c>
      <c r="AE43" s="444"/>
      <c r="AF43" s="444"/>
      <c r="AG43" s="444">
        <v>0</v>
      </c>
      <c r="AH43" s="327"/>
      <c r="AI43" s="327"/>
      <c r="AJ43" s="444">
        <v>0</v>
      </c>
      <c r="AK43" s="327"/>
      <c r="AL43" s="327"/>
      <c r="AM43" s="444">
        <v>0</v>
      </c>
      <c r="AN43" s="327"/>
      <c r="AO43" s="327"/>
      <c r="AP43" s="444">
        <v>0</v>
      </c>
      <c r="AQ43" s="535">
        <f>Drivers!CK25-AQ36-AQ27-AQ21-AQ17</f>
        <v>-75</v>
      </c>
      <c r="AR43" s="535">
        <f>Drivers!CL25-AR36-AR27-AR21-AR17</f>
        <v>21.10000000000008</v>
      </c>
      <c r="AS43" s="444">
        <v>0</v>
      </c>
      <c r="AT43" s="535">
        <f>Drivers!CM25-AT36-AT27-AT21-AT17</f>
        <v>-30.900000000000091</v>
      </c>
      <c r="AU43" s="535">
        <f>Drivers!CN25-AU36-AU27-AU21-AU17</f>
        <v>-30.199999999999818</v>
      </c>
      <c r="AV43" s="444">
        <v>0</v>
      </c>
      <c r="AW43" s="535">
        <f>Drivers!V25-AW36-AW27-AW21-AW17</f>
        <v>-28.499999999999943</v>
      </c>
      <c r="AX43" s="535">
        <f>Drivers!W25-AX36-AX27-AX21-AX17</f>
        <v>-27.699999999999989</v>
      </c>
      <c r="AY43" s="444">
        <v>0</v>
      </c>
      <c r="AZ43" s="535">
        <f>Drivers!Y25-AZ36-AZ27-AZ21-AZ17</f>
        <v>-117.29999999999995</v>
      </c>
      <c r="BA43" s="535"/>
      <c r="BB43" s="444"/>
      <c r="BC43" s="535"/>
      <c r="BD43" s="535"/>
      <c r="BE43" s="444"/>
      <c r="BF43" s="535">
        <f>Drivers!AE25-BF36-BF27-BF21-BF17</f>
        <v>-110.39999999999992</v>
      </c>
      <c r="BG43" s="535"/>
      <c r="BH43" s="1143"/>
      <c r="BI43" s="444"/>
      <c r="BJ43" s="444"/>
      <c r="BK43" s="1292"/>
      <c r="BL43" s="444"/>
      <c r="BM43" s="444"/>
      <c r="BN43" s="1537"/>
      <c r="BO43" s="1537"/>
      <c r="BP43" s="444"/>
      <c r="BQ43" s="1537"/>
      <c r="BR43" s="1813"/>
      <c r="BS43" s="348"/>
      <c r="BT43" s="348"/>
      <c r="BU43" s="348"/>
      <c r="BV43" s="348"/>
      <c r="BW43" s="348"/>
      <c r="BX43" s="348"/>
      <c r="BY43" s="348"/>
      <c r="BZ43" s="348"/>
      <c r="CA43" s="348"/>
      <c r="CB43" s="348"/>
      <c r="CC43" s="348"/>
      <c r="CD43" s="352"/>
      <c r="CE43" s="352"/>
    </row>
    <row r="44" spans="1:83" ht="13.5" customHeight="1">
      <c r="A44" s="746"/>
      <c r="B44" s="825"/>
      <c r="C44" s="345"/>
      <c r="D44" s="345"/>
      <c r="E44" s="345"/>
      <c r="F44" s="345"/>
      <c r="G44" s="345"/>
      <c r="H44" s="345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345"/>
      <c r="AB44" s="345"/>
      <c r="AC44" s="345"/>
      <c r="AD44" s="345"/>
      <c r="AE44" s="345"/>
      <c r="AF44" s="345"/>
      <c r="AG44" s="345"/>
      <c r="AH44" s="345"/>
      <c r="AI44" s="345"/>
      <c r="AJ44" s="345"/>
      <c r="AK44" s="345"/>
      <c r="AL44" s="345"/>
      <c r="AM44" s="345"/>
      <c r="AN44" s="345"/>
      <c r="AO44" s="345"/>
      <c r="AP44" s="345"/>
      <c r="AQ44" s="345"/>
      <c r="AR44" s="345"/>
      <c r="AS44" s="345"/>
      <c r="AT44" s="345"/>
      <c r="AU44" s="345"/>
      <c r="AV44" s="344"/>
      <c r="AW44" s="345"/>
      <c r="AX44" s="345"/>
      <c r="AY44" s="344"/>
      <c r="AZ44" s="345"/>
      <c r="BA44" s="345"/>
      <c r="BB44" s="344"/>
      <c r="BC44" s="345"/>
      <c r="BD44" s="345"/>
      <c r="BE44" s="344"/>
      <c r="BF44" s="345"/>
      <c r="BG44" s="345"/>
      <c r="BH44" s="344"/>
      <c r="BI44" s="344"/>
      <c r="BJ44" s="59"/>
      <c r="BK44" s="344"/>
      <c r="BL44" s="59"/>
      <c r="BM44" s="59"/>
      <c r="BN44" s="344"/>
      <c r="BO44" s="59"/>
      <c r="BP44" s="345"/>
      <c r="BQ44" s="344"/>
      <c r="BR44" s="1808"/>
      <c r="BS44" s="345"/>
      <c r="BT44" s="345"/>
      <c r="BU44" s="345"/>
      <c r="BV44" s="345"/>
      <c r="BW44" s="345"/>
      <c r="BX44" s="345"/>
      <c r="BY44" s="345"/>
      <c r="BZ44" s="345"/>
      <c r="CA44" s="345"/>
      <c r="CB44" s="345"/>
      <c r="CC44" s="345"/>
      <c r="CD44" s="355"/>
      <c r="CE44" s="355"/>
    </row>
    <row r="45" spans="1:83" ht="13.5" customHeight="1">
      <c r="A45" s="746"/>
      <c r="B45" s="825"/>
      <c r="C45" s="345"/>
      <c r="D45" s="345"/>
      <c r="E45" s="345"/>
      <c r="F45" s="345"/>
      <c r="G45" s="345"/>
      <c r="H45" s="345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BC45" s="345"/>
      <c r="BD45" s="345"/>
      <c r="BE45" s="345"/>
      <c r="BF45" s="345"/>
      <c r="BG45" s="345"/>
      <c r="BH45" s="345"/>
      <c r="BI45" s="345"/>
      <c r="BJ45" s="562"/>
      <c r="BK45" s="345"/>
      <c r="BL45" s="562"/>
      <c r="BM45" s="562"/>
      <c r="BN45" s="345"/>
      <c r="BO45" s="562"/>
      <c r="BP45" s="255"/>
      <c r="BQ45" s="345"/>
      <c r="BR45" s="1814"/>
      <c r="BS45" s="255"/>
      <c r="BT45" s="255"/>
      <c r="BU45" s="255"/>
      <c r="BV45" s="255"/>
      <c r="BW45" s="255"/>
      <c r="BX45" s="255"/>
      <c r="BY45" s="255"/>
      <c r="BZ45" s="255"/>
      <c r="CA45" s="255"/>
      <c r="CB45" s="255"/>
      <c r="CC45" s="255"/>
      <c r="CD45" s="86"/>
      <c r="CE45" s="86"/>
    </row>
    <row r="46" spans="1:83" ht="13.5" customHeight="1">
      <c r="A46" s="746"/>
      <c r="B46" s="826" t="s">
        <v>425</v>
      </c>
      <c r="C46" s="827">
        <f t="shared" ref="C46:BE46" si="81">C49-C11</f>
        <v>-61.833999999999968</v>
      </c>
      <c r="D46" s="344">
        <f t="shared" si="81"/>
        <v>-38.630999999999979</v>
      </c>
      <c r="E46" s="344">
        <f t="shared" si="81"/>
        <v>-41.405000000000058</v>
      </c>
      <c r="F46" s="827">
        <f t="shared" si="81"/>
        <v>-80.03600000000003</v>
      </c>
      <c r="G46" s="344">
        <f t="shared" si="81"/>
        <v>-59.436</v>
      </c>
      <c r="H46" s="344">
        <f t="shared" si="81"/>
        <v>-56.945000000000043</v>
      </c>
      <c r="I46" s="827">
        <f t="shared" si="81"/>
        <v>-116.38100000000004</v>
      </c>
      <c r="J46" s="344">
        <f t="shared" si="81"/>
        <v>-80.112000000000009</v>
      </c>
      <c r="K46" s="344">
        <f t="shared" si="81"/>
        <v>-80.314000000000036</v>
      </c>
      <c r="L46" s="827">
        <f t="shared" si="81"/>
        <v>-160.42600000000004</v>
      </c>
      <c r="M46" s="344">
        <f t="shared" si="81"/>
        <v>-99.088000000000036</v>
      </c>
      <c r="N46" s="344">
        <f t="shared" si="81"/>
        <v>-107.883</v>
      </c>
      <c r="O46" s="827">
        <f t="shared" si="81"/>
        <v>-206.97100000000003</v>
      </c>
      <c r="P46" s="344">
        <f t="shared" si="81"/>
        <v>-141.71000000000006</v>
      </c>
      <c r="Q46" s="344">
        <f t="shared" si="81"/>
        <v>-140.99099999999999</v>
      </c>
      <c r="R46" s="827">
        <f t="shared" si="81"/>
        <v>-282.70100000000002</v>
      </c>
      <c r="S46" s="344">
        <f t="shared" si="81"/>
        <v>-171.58200000000008</v>
      </c>
      <c r="T46" s="344">
        <f t="shared" si="81"/>
        <v>-171.29400000000004</v>
      </c>
      <c r="U46" s="827">
        <f t="shared" si="81"/>
        <v>-342.87600000000009</v>
      </c>
      <c r="V46" s="344">
        <f t="shared" si="81"/>
        <v>-205.20299999999997</v>
      </c>
      <c r="W46" s="344">
        <f t="shared" si="81"/>
        <v>-190.58800000000036</v>
      </c>
      <c r="X46" s="827">
        <f t="shared" si="81"/>
        <v>-395.79100000000034</v>
      </c>
      <c r="Y46" s="344">
        <f t="shared" si="81"/>
        <v>-222.17499999999998</v>
      </c>
      <c r="Z46" s="344">
        <f t="shared" si="81"/>
        <v>-206.554</v>
      </c>
      <c r="AA46" s="827">
        <f t="shared" si="81"/>
        <v>-428.72899999999998</v>
      </c>
      <c r="AB46" s="344">
        <f t="shared" si="81"/>
        <v>-240.86600000000001</v>
      </c>
      <c r="AC46" s="344">
        <f t="shared" si="81"/>
        <v>-226.75099999999992</v>
      </c>
      <c r="AD46" s="827">
        <f t="shared" si="81"/>
        <v>-467.61699999999996</v>
      </c>
      <c r="AE46" s="344"/>
      <c r="AF46" s="827"/>
      <c r="AG46" s="827">
        <f t="shared" si="81"/>
        <v>-501.22100000000012</v>
      </c>
      <c r="AH46" s="344">
        <f>AH49-AH11</f>
        <v>-269.26499999999999</v>
      </c>
      <c r="AI46" s="344">
        <f>AI49-AI11</f>
        <v>-260.06600000000026</v>
      </c>
      <c r="AJ46" s="827">
        <f t="shared" si="81"/>
        <v>-529.33100000000024</v>
      </c>
      <c r="AK46" s="344">
        <f>AK49-AK11</f>
        <v>-278.50599999999997</v>
      </c>
      <c r="AL46" s="344">
        <f>AL49-AL11</f>
        <v>-279.71600000000018</v>
      </c>
      <c r="AM46" s="344">
        <f t="shared" si="81"/>
        <v>-558.22200000000021</v>
      </c>
      <c r="AN46" s="344">
        <f>AN49-AN11</f>
        <v>-301.637</v>
      </c>
      <c r="AO46" s="344">
        <f>AO49-AO11</f>
        <v>-301.69499999999988</v>
      </c>
      <c r="AP46" s="344">
        <f t="shared" si="81"/>
        <v>-603.33199999999988</v>
      </c>
      <c r="AQ46" s="344">
        <f t="shared" ref="AQ46:AX46" si="82">AQ49-AQ11</f>
        <v>-367.20000000000005</v>
      </c>
      <c r="AR46" s="344">
        <f t="shared" si="82"/>
        <v>-502.93832000000032</v>
      </c>
      <c r="AS46" s="344">
        <f t="shared" si="82"/>
        <v>-870.13832000000025</v>
      </c>
      <c r="AT46" s="344">
        <f t="shared" si="82"/>
        <v>-537.59999999999991</v>
      </c>
      <c r="AU46" s="344">
        <f t="shared" si="82"/>
        <v>-521.00000000000023</v>
      </c>
      <c r="AV46" s="344">
        <f t="shared" si="82"/>
        <v>-1058.6000000000001</v>
      </c>
      <c r="AW46" s="344">
        <f t="shared" si="82"/>
        <v>-563.70000000000005</v>
      </c>
      <c r="AX46" s="344">
        <f t="shared" si="82"/>
        <v>-533.39999999999918</v>
      </c>
      <c r="AY46" s="344">
        <f t="shared" si="81"/>
        <v>-1097.099999999999</v>
      </c>
      <c r="AZ46" s="344">
        <f>AZ49-AZ11</f>
        <v>-488.1</v>
      </c>
      <c r="BA46" s="344">
        <f>BA49-BA11</f>
        <v>-488.09999999999991</v>
      </c>
      <c r="BB46" s="344">
        <f>BB49-BB11</f>
        <v>-976.19999999999993</v>
      </c>
      <c r="BC46" s="344">
        <f t="shared" ref="BC46:BD46" si="83">BC49-BC11</f>
        <v>-513.30000000000007</v>
      </c>
      <c r="BD46" s="344">
        <f t="shared" si="83"/>
        <v>-502.29999999999995</v>
      </c>
      <c r="BE46" s="344">
        <f t="shared" si="81"/>
        <v>-1015.5999999999997</v>
      </c>
      <c r="BF46" s="344">
        <f>BF49-BF11</f>
        <v>-535.40000000000009</v>
      </c>
      <c r="BG46" s="344">
        <f>BG49-BG11</f>
        <v>-531.09999999999991</v>
      </c>
      <c r="BH46" s="344">
        <f t="shared" ref="BH46:BW46" si="84">BH49-BH11</f>
        <v>-1066.5</v>
      </c>
      <c r="BI46" s="344">
        <f>BI49-BI11</f>
        <v>-609.19999999999993</v>
      </c>
      <c r="BJ46" s="59">
        <f>BJ49-BJ11</f>
        <v>-580.09999999999991</v>
      </c>
      <c r="BK46" s="344">
        <f t="shared" ref="BK46" si="85">BK49-BK11</f>
        <v>-1189.3</v>
      </c>
      <c r="BL46" s="59">
        <f>BL49-BL11</f>
        <v>-641.59999999999991</v>
      </c>
      <c r="BM46" s="59">
        <f>BM49-BM11</f>
        <v>-614.50000000000023</v>
      </c>
      <c r="BN46" s="344">
        <f t="shared" ref="BN46" si="86">BN49-BN11</f>
        <v>-1256.1000000000001</v>
      </c>
      <c r="BO46" s="59">
        <f>BO49-BO11</f>
        <v>-708.30000000000007</v>
      </c>
      <c r="BP46" s="135">
        <f>BP49-BP11</f>
        <v>-685.49999999999977</v>
      </c>
      <c r="BQ46" s="344">
        <f t="shared" ref="BQ46" si="87">BQ49-BQ11</f>
        <v>-1393.8000000000002</v>
      </c>
      <c r="BR46" s="1815">
        <f>BR49-BR11</f>
        <v>-768.40000000000009</v>
      </c>
      <c r="BS46" s="135">
        <f>BS49-BS11</f>
        <v>-712.80992182320438</v>
      </c>
      <c r="BT46" s="135">
        <f t="shared" si="84"/>
        <v>-1481.2099218232047</v>
      </c>
      <c r="BU46" s="135">
        <f>BU49-BU11</f>
        <v>-799.3605</v>
      </c>
      <c r="BV46" s="135">
        <f>BV49-BV11</f>
        <v>-741.46466472790064</v>
      </c>
      <c r="BW46" s="135">
        <f t="shared" si="84"/>
        <v>-1540.825164727901</v>
      </c>
      <c r="BX46" s="135">
        <f>BX49-BX11</f>
        <v>-832.07604249999986</v>
      </c>
      <c r="BY46" s="135">
        <f>BY49-BY11</f>
        <v>-771.7046162559875</v>
      </c>
      <c r="BZ46" s="135">
        <f t="shared" ref="BZ46" si="88">BZ49-BZ11</f>
        <v>-1603.7806587559874</v>
      </c>
      <c r="CA46" s="135">
        <f>CA49-CA11</f>
        <v>-866.15505696250011</v>
      </c>
      <c r="CB46" s="135">
        <f>CB49-CB11</f>
        <v>-803.20100308629833</v>
      </c>
      <c r="CC46" s="135">
        <f t="shared" ref="CC46" si="89">CC49-CC11</f>
        <v>-1669.3560600487986</v>
      </c>
      <c r="CD46" s="140"/>
      <c r="CE46" s="86"/>
    </row>
    <row r="47" spans="1:83" ht="13.5" customHeight="1">
      <c r="A47" s="746" t="s">
        <v>25</v>
      </c>
      <c r="B47" s="828" t="s">
        <v>829</v>
      </c>
      <c r="C47" s="788">
        <f t="shared" ref="C47:BE47" si="90">-C46/C6</f>
        <v>0.17377155142130474</v>
      </c>
      <c r="D47" s="345">
        <f t="shared" si="90"/>
        <v>0.16466822109216145</v>
      </c>
      <c r="E47" s="345">
        <f t="shared" si="90"/>
        <v>0.19014226802230022</v>
      </c>
      <c r="F47" s="788">
        <f t="shared" si="90"/>
        <v>0.17693105224413466</v>
      </c>
      <c r="G47" s="345">
        <f t="shared" si="90"/>
        <v>0.1580000903829846</v>
      </c>
      <c r="H47" s="345">
        <f t="shared" si="90"/>
        <v>0.17920419428132667</v>
      </c>
      <c r="I47" s="788">
        <f t="shared" si="90"/>
        <v>0.16770973984895018</v>
      </c>
      <c r="J47" s="345">
        <f t="shared" si="90"/>
        <v>0.15713288194635139</v>
      </c>
      <c r="K47" s="345">
        <f t="shared" si="90"/>
        <v>0.18421275961328953</v>
      </c>
      <c r="L47" s="788">
        <f t="shared" si="90"/>
        <v>0.16961560379818172</v>
      </c>
      <c r="M47" s="345">
        <f t="shared" si="90"/>
        <v>0.15038442975999325</v>
      </c>
      <c r="N47" s="345">
        <f t="shared" si="90"/>
        <v>0.17318389119961988</v>
      </c>
      <c r="O47" s="788">
        <f t="shared" si="90"/>
        <v>0.16146436715432619</v>
      </c>
      <c r="P47" s="345">
        <f t="shared" si="90"/>
        <v>0.14335253332685921</v>
      </c>
      <c r="Q47" s="345">
        <f t="shared" si="90"/>
        <v>0.16784203270866713</v>
      </c>
      <c r="R47" s="788">
        <f t="shared" si="90"/>
        <v>0.15460273744862088</v>
      </c>
      <c r="S47" s="345">
        <f t="shared" si="90"/>
        <v>0.1360072608228669</v>
      </c>
      <c r="T47" s="345">
        <f t="shared" si="90"/>
        <v>0.16073363917271358</v>
      </c>
      <c r="U47" s="788">
        <f t="shared" si="90"/>
        <v>0.14732995712565736</v>
      </c>
      <c r="V47" s="345">
        <f t="shared" si="90"/>
        <v>0.13206746927159291</v>
      </c>
      <c r="W47" s="345">
        <f t="shared" si="90"/>
        <v>0.16185185122279752</v>
      </c>
      <c r="X47" s="788">
        <f t="shared" si="90"/>
        <v>0.1449083227157566</v>
      </c>
      <c r="Y47" s="345">
        <f t="shared" si="90"/>
        <v>0.13204000394619386</v>
      </c>
      <c r="Z47" s="345">
        <f t="shared" si="90"/>
        <v>0.16179768591882149</v>
      </c>
      <c r="AA47" s="788">
        <f t="shared" si="90"/>
        <v>0.14487744035403527</v>
      </c>
      <c r="AB47" s="345">
        <f t="shared" si="90"/>
        <v>0.13571987610502786</v>
      </c>
      <c r="AC47" s="345">
        <f t="shared" si="90"/>
        <v>0.16758347541836555</v>
      </c>
      <c r="AD47" s="788">
        <f t="shared" si="90"/>
        <v>0.14950386726483089</v>
      </c>
      <c r="AE47" s="345"/>
      <c r="AF47" s="788"/>
      <c r="AG47" s="788">
        <f t="shared" si="90"/>
        <v>0.15149951638254144</v>
      </c>
      <c r="AH47" s="345">
        <f>-AH46/AH6</f>
        <v>0.13880261640599345</v>
      </c>
      <c r="AI47" s="345">
        <f>-AI46/AI6</f>
        <v>0.16845158440326935</v>
      </c>
      <c r="AJ47" s="788">
        <f t="shared" si="90"/>
        <v>0.15194178728534427</v>
      </c>
      <c r="AK47" s="345">
        <f>-AK46/AK6</f>
        <v>0.14172265905672243</v>
      </c>
      <c r="AL47" s="345">
        <f>-AL46/AL6</f>
        <v>0.1658079369859182</v>
      </c>
      <c r="AM47" s="345">
        <f t="shared" si="90"/>
        <v>0.1528480867087097</v>
      </c>
      <c r="AN47" s="345">
        <f>-AN46/AN6</f>
        <v>0.14249554874134135</v>
      </c>
      <c r="AO47" s="345">
        <f>-AO46/AO6</f>
        <v>0.16417435311403145</v>
      </c>
      <c r="AP47" s="345">
        <f t="shared" si="90"/>
        <v>0.15256973948701555</v>
      </c>
      <c r="AQ47" s="345">
        <f>-AQ46/AQ6</f>
        <v>0.14035624187753232</v>
      </c>
      <c r="AR47" s="345">
        <f>-AR46/AR6</f>
        <v>0.1669892821568498</v>
      </c>
      <c r="AS47" s="345">
        <f t="shared" si="90"/>
        <v>0.15460879886282874</v>
      </c>
      <c r="AT47" s="345">
        <f t="shared" ref="AT47:BB47" si="91">-AT46/AT6</f>
        <v>0.1456989538728386</v>
      </c>
      <c r="AU47" s="345">
        <f t="shared" si="91"/>
        <v>0.16463896350134311</v>
      </c>
      <c r="AV47" s="345">
        <f t="shared" si="91"/>
        <v>0.15444319624177524</v>
      </c>
      <c r="AW47" s="345">
        <f t="shared" si="91"/>
        <v>0.14665556625126833</v>
      </c>
      <c r="AX47" s="345">
        <f t="shared" si="91"/>
        <v>0.16404231762824434</v>
      </c>
      <c r="AY47" s="345">
        <f t="shared" si="91"/>
        <v>0.15462348315081803</v>
      </c>
      <c r="AZ47" s="345">
        <f t="shared" si="91"/>
        <v>0.12217160592711254</v>
      </c>
      <c r="BA47" s="345">
        <f t="shared" si="91"/>
        <v>0.12439788974692254</v>
      </c>
      <c r="BB47" s="345">
        <f t="shared" si="91"/>
        <v>0.12327469724330399</v>
      </c>
      <c r="BC47" s="345">
        <f t="shared" ref="BC47:BD47" si="92">-BC46/BC6</f>
        <v>0.10388164818262773</v>
      </c>
      <c r="BD47" s="345">
        <f t="shared" si="92"/>
        <v>0.1263679589423633</v>
      </c>
      <c r="BE47" s="345">
        <f t="shared" si="90"/>
        <v>0.11390630432588235</v>
      </c>
      <c r="BF47" s="345">
        <f>-BF46/BF6</f>
        <v>0.11012382245258959</v>
      </c>
      <c r="BG47" s="345">
        <f>-BG46/BG6</f>
        <v>0.12152761887327809</v>
      </c>
      <c r="BH47" s="345">
        <f t="shared" ref="BH47:BW47" si="93">-BH46/BH6</f>
        <v>0.11552209705372617</v>
      </c>
      <c r="BI47" s="345">
        <f>-BI46/BI6</f>
        <v>0.11541157525812255</v>
      </c>
      <c r="BJ47" s="562">
        <f>-BJ46/BJ6</f>
        <v>0.13342073184755859</v>
      </c>
      <c r="BK47" s="345">
        <f t="shared" ref="BK47" si="94">-BK46/BK6</f>
        <v>0.1235456660849331</v>
      </c>
      <c r="BL47" s="562">
        <f>-BL46/BL6</f>
        <v>0.12429050192751009</v>
      </c>
      <c r="BM47" s="562">
        <f>-BM46/BM6</f>
        <v>0.138703925242083</v>
      </c>
      <c r="BN47" s="345">
        <f t="shared" ref="BN47" si="95">-BN46/BN6</f>
        <v>0.13094741670489138</v>
      </c>
      <c r="BO47" s="562">
        <f>-BO46/BO6</f>
        <v>0.12491182279909709</v>
      </c>
      <c r="BP47" s="255">
        <f>-BP46/BP6</f>
        <v>0.1403447711080173</v>
      </c>
      <c r="BQ47" s="345">
        <f t="shared" ref="BQ47" si="96">-BQ46/BQ6</f>
        <v>0.13205366278849434</v>
      </c>
      <c r="BR47" s="1814">
        <f>-BR46/BR6</f>
        <v>0.1262715067457644</v>
      </c>
      <c r="BS47" s="255">
        <f>-BS46/BS6</f>
        <v>0.14071298123239356</v>
      </c>
      <c r="BT47" s="255">
        <f t="shared" si="93"/>
        <v>0.13283201136281014</v>
      </c>
      <c r="BU47" s="255">
        <f>-BU46/BU6</f>
        <v>0.12617796110671431</v>
      </c>
      <c r="BV47" s="255">
        <f>-BV46/BV6</f>
        <v>0.1403235447944666</v>
      </c>
      <c r="BW47" s="255">
        <f t="shared" si="93"/>
        <v>0.13261085669338948</v>
      </c>
      <c r="BX47" s="255">
        <f>-BX46/BX6</f>
        <v>0.1258012089401063</v>
      </c>
      <c r="BY47" s="255">
        <f>-BY46/BY6</f>
        <v>0.14048408426263062</v>
      </c>
      <c r="BZ47" s="255">
        <f t="shared" ref="BZ47" si="97">-BZ46/BZ6</f>
        <v>0.13246289811513579</v>
      </c>
      <c r="CA47" s="255">
        <f>-CA46/CA6</f>
        <v>0.12566658305701775</v>
      </c>
      <c r="CB47" s="255">
        <f>-CB46/CB6</f>
        <v>0.14031488532855646</v>
      </c>
      <c r="CC47" s="255">
        <f t="shared" ref="CC47" si="98">-CC46/CC6</f>
        <v>0.13231257697739407</v>
      </c>
      <c r="CD47" s="140"/>
      <c r="CE47" s="86"/>
    </row>
    <row r="48" spans="1:83" ht="13.5" customHeight="1">
      <c r="A48" s="746"/>
      <c r="B48" s="828"/>
      <c r="C48" s="788"/>
      <c r="D48" s="788"/>
      <c r="E48" s="788"/>
      <c r="F48" s="788"/>
      <c r="G48" s="788"/>
      <c r="H48" s="788"/>
      <c r="I48" s="788"/>
      <c r="J48" s="788"/>
      <c r="K48" s="788"/>
      <c r="L48" s="788"/>
      <c r="M48" s="788"/>
      <c r="N48" s="788"/>
      <c r="O48" s="788"/>
      <c r="P48" s="788"/>
      <c r="Q48" s="788"/>
      <c r="R48" s="788"/>
      <c r="S48" s="788"/>
      <c r="T48" s="788"/>
      <c r="U48" s="788"/>
      <c r="V48" s="788"/>
      <c r="W48" s="788"/>
      <c r="X48" s="788"/>
      <c r="Y48" s="788"/>
      <c r="Z48" s="788"/>
      <c r="AA48" s="788"/>
      <c r="AB48" s="788"/>
      <c r="AC48" s="788"/>
      <c r="AD48" s="788"/>
      <c r="AE48" s="788"/>
      <c r="AF48" s="788"/>
      <c r="AG48" s="788"/>
      <c r="AH48" s="788"/>
      <c r="AI48" s="788"/>
      <c r="AJ48" s="788"/>
      <c r="AK48" s="788"/>
      <c r="AL48" s="788"/>
      <c r="AM48" s="788"/>
      <c r="AN48" s="788"/>
      <c r="AO48" s="788"/>
      <c r="AP48" s="788"/>
      <c r="AQ48" s="788"/>
      <c r="AR48" s="788"/>
      <c r="AS48" s="788"/>
      <c r="AT48" s="788"/>
      <c r="AU48" s="788"/>
      <c r="AV48" s="788"/>
      <c r="AW48" s="788"/>
      <c r="AX48" s="788"/>
      <c r="AY48" s="788"/>
      <c r="AZ48" s="788"/>
      <c r="BA48" s="788"/>
      <c r="BB48" s="788"/>
      <c r="BC48" s="788"/>
      <c r="BD48" s="788"/>
      <c r="BE48" s="788"/>
      <c r="BF48" s="788"/>
      <c r="BG48" s="788"/>
      <c r="BH48" s="788"/>
      <c r="BI48" s="788"/>
      <c r="BJ48" s="1106"/>
      <c r="BK48" s="788"/>
      <c r="BL48" s="568"/>
      <c r="BM48" s="1106"/>
      <c r="BN48" s="788"/>
      <c r="BO48" s="568"/>
      <c r="BP48" s="154"/>
      <c r="BQ48" s="788"/>
      <c r="BR48" s="1816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40"/>
      <c r="CE48" s="86"/>
    </row>
    <row r="49" spans="1:83" ht="13.5" customHeight="1">
      <c r="A49" s="746" t="s">
        <v>195</v>
      </c>
      <c r="B49" s="826" t="s">
        <v>195</v>
      </c>
      <c r="C49" s="344">
        <f>VLOOKUP($A$49,Drivers!1:1048576,MATCH('P&amp;L'!C4,Drivers!2:2,FALSE),FALSE)</f>
        <v>18.100000000000001</v>
      </c>
      <c r="D49" s="344">
        <f>VLOOKUP($A$49,Drivers!1:1048576,MATCH('P&amp;L'!D4,Drivers!2:2,FALSE),FALSE)</f>
        <v>15.9</v>
      </c>
      <c r="E49" s="344">
        <f>VLOOKUP($A$49,Drivers!1:1048576,MATCH('P&amp;L'!E4,Drivers!2:2,FALSE),FALSE)</f>
        <v>9.9999999999999982</v>
      </c>
      <c r="F49" s="344">
        <f>VLOOKUP($A$49,Drivers!1:1048576,MATCH('P&amp;L'!F4,Drivers!2:2,FALSE),FALSE)</f>
        <v>25.9</v>
      </c>
      <c r="G49" s="344">
        <f>VLOOKUP($A$49,Drivers!1:1048576,MATCH('P&amp;L'!G4,Drivers!2:2,FALSE),FALSE)</f>
        <v>27.1</v>
      </c>
      <c r="H49" s="344">
        <f>VLOOKUP($A$49,Drivers!1:1048576,MATCH('P&amp;L'!H4,Drivers!2:2,FALSE),FALSE)</f>
        <v>15.199999999999996</v>
      </c>
      <c r="I49" s="344">
        <f>VLOOKUP($A$49,Drivers!1:1048576,MATCH('P&amp;L'!I4,Drivers!2:2,FALSE),FALSE)</f>
        <v>42.3</v>
      </c>
      <c r="J49" s="344">
        <f>VLOOKUP($A$49,Drivers!1:1048576,MATCH('P&amp;L'!J4,Drivers!2:2,FALSE),FALSE)</f>
        <v>34.700000000000003</v>
      </c>
      <c r="K49" s="344">
        <f>VLOOKUP($A$49,Drivers!1:1048576,MATCH('P&amp;L'!K4,Drivers!2:2,FALSE),FALSE)</f>
        <v>17.299999999999997</v>
      </c>
      <c r="L49" s="344">
        <f>VLOOKUP($A$49,Drivers!1:1048576,MATCH('P&amp;L'!L4,Drivers!2:2,FALSE),FALSE)</f>
        <v>52</v>
      </c>
      <c r="M49" s="344">
        <f>VLOOKUP($A$49,Drivers!1:1048576,MATCH('P&amp;L'!M4,Drivers!2:2,FALSE),FALSE)</f>
        <v>46.8</v>
      </c>
      <c r="N49" s="344">
        <f>VLOOKUP($A$49,Drivers!1:1048576,MATCH('P&amp;L'!N4,Drivers!2:2,FALSE),FALSE)</f>
        <v>29.588000000000008</v>
      </c>
      <c r="O49" s="344">
        <f>VLOOKUP($A$49,Drivers!1:1048576,MATCH('P&amp;L'!O4,Drivers!2:2,FALSE),FALSE)</f>
        <v>76.388000000000005</v>
      </c>
      <c r="P49" s="344">
        <f>VLOOKUP($A$49,Drivers!1:1048576,MATCH('P&amp;L'!P4,Drivers!2:2,FALSE),FALSE)</f>
        <v>71.599999999999994</v>
      </c>
      <c r="Q49" s="344">
        <f>VLOOKUP($A$49,Drivers!1:1048576,MATCH('P&amp;L'!Q4,Drivers!2:2,FALSE),FALSE)</f>
        <v>45.39</v>
      </c>
      <c r="R49" s="344">
        <f>VLOOKUP($A$49,Drivers!1:1048576,MATCH('P&amp;L'!R4,Drivers!2:2,FALSE),FALSE)</f>
        <v>116.99</v>
      </c>
      <c r="S49" s="344">
        <f>VLOOKUP($A$49,Drivers!1:1048576,MATCH('P&amp;L'!S4,Drivers!2:2,FALSE),FALSE)</f>
        <v>97.9</v>
      </c>
      <c r="T49" s="344">
        <f>VLOOKUP($A$49,Drivers!1:1048576,MATCH('P&amp;L'!T4,Drivers!2:2,FALSE),FALSE)</f>
        <v>62.814999999999998</v>
      </c>
      <c r="U49" s="344">
        <f>VLOOKUP($A$49,Drivers!1:1048576,MATCH('P&amp;L'!U4,Drivers!2:2,FALSE),FALSE)</f>
        <v>160.715</v>
      </c>
      <c r="V49" s="344">
        <f>VLOOKUP($A$49,Drivers!1:1048576,MATCH('P&amp;L'!V4,Drivers!2:2,FALSE),FALSE)</f>
        <v>122.60299999999999</v>
      </c>
      <c r="W49" s="344">
        <f>VLOOKUP($A$49,Drivers!1:1048576,MATCH('P&amp;L'!W4,Drivers!2:2,FALSE),FALSE)</f>
        <v>75.784000000000006</v>
      </c>
      <c r="X49" s="344">
        <f>VLOOKUP($A$49,Drivers!1:1048576,MATCH('P&amp;L'!X4,Drivers!2:2,FALSE),FALSE)</f>
        <v>198.387</v>
      </c>
      <c r="Y49" s="344">
        <f>VLOOKUP($A$49,Drivers!1:1048576,MATCH('P&amp;L'!Y4,Drivers!2:2,FALSE),FALSE)</f>
        <v>140.29</v>
      </c>
      <c r="Z49" s="344">
        <f>VLOOKUP($A$49,Drivers!1:1048576,MATCH('P&amp;L'!Z4,Drivers!2:2,FALSE),FALSE)</f>
        <v>83.010000000000019</v>
      </c>
      <c r="AA49" s="344">
        <f>VLOOKUP($A$49,Drivers!1:1048576,MATCH('P&amp;L'!AA4,Drivers!2:2,FALSE),FALSE)</f>
        <v>223.3</v>
      </c>
      <c r="AB49" s="344">
        <f>VLOOKUP($A$49,Drivers!1:1048576,MATCH('P&amp;L'!AB4,Drivers!2:2,FALSE),FALSE)</f>
        <v>136.1</v>
      </c>
      <c r="AC49" s="344">
        <f>VLOOKUP($A$49,Drivers!1:1048576,MATCH('P&amp;L'!AC4,Drivers!2:2,FALSE),FALSE)</f>
        <v>56.113</v>
      </c>
      <c r="AD49" s="344">
        <f>VLOOKUP($A$49,Drivers!1:1048576,MATCH('P&amp;L'!AD4,Drivers!2:2,FALSE),FALSE)</f>
        <v>192.21299999999999</v>
      </c>
      <c r="AE49" s="344">
        <f>VLOOKUP($A$49,Drivers!1:1048576,MATCH('P&amp;L'!AE4,Drivers!2:2,FALSE),FALSE)</f>
        <v>139.80000000000001</v>
      </c>
      <c r="AF49" s="344">
        <f>VLOOKUP($A$49,Drivers!1:1048576,MATCH('P&amp;L'!AF4,Drivers!2:2,FALSE),FALSE)</f>
        <v>71.185000000000002</v>
      </c>
      <c r="AG49" s="344">
        <f>VLOOKUP($A$49,Drivers!1:1048576,MATCH('P&amp;L'!AG4,Drivers!2:2,FALSE),FALSE)</f>
        <v>210.98500000000001</v>
      </c>
      <c r="AH49" s="344">
        <f>VLOOKUP($A$49,Drivers!1:1048576,MATCH('P&amp;L'!AH4,Drivers!2:2,FALSE),FALSE)</f>
        <v>150.30000000000001</v>
      </c>
      <c r="AI49" s="344">
        <f>VLOOKUP($A$49,Drivers!1:1048576,MATCH('P&amp;L'!AI4,Drivers!2:2,FALSE),FALSE)</f>
        <v>76.349999999999994</v>
      </c>
      <c r="AJ49" s="344">
        <f>VLOOKUP($A$49,Drivers!1:1048576,MATCH('P&amp;L'!AJ4,Drivers!2:2,FALSE),FALSE)</f>
        <v>226.65</v>
      </c>
      <c r="AK49" s="344">
        <f>VLOOKUP($A$49,Drivers!1:1048576,MATCH('P&amp;L'!AK4,Drivers!2:2,FALSE),FALSE)</f>
        <v>148.745</v>
      </c>
      <c r="AL49" s="344">
        <f>VLOOKUP($A$49,Drivers!1:1048576,MATCH('P&amp;L'!AL4,Drivers!2:2,FALSE),FALSE)</f>
        <v>91.286000000000001</v>
      </c>
      <c r="AM49" s="344">
        <f>VLOOKUP($A$49,Drivers!1:1048576,MATCH('P&amp;L'!AM4,Drivers!2:2,FALSE),FALSE)</f>
        <v>240.03100000000001</v>
      </c>
      <c r="AN49" s="344">
        <f>VLOOKUP($A$49,Drivers!1:1048576,MATCH('P&amp;L'!AN4,Drivers!2:2,FALSE),FALSE)</f>
        <v>157.935</v>
      </c>
      <c r="AO49" s="344">
        <f>VLOOKUP($A$49,Drivers!1:1048576,MATCH('P&amp;L'!AO4,Drivers!2:2,FALSE),FALSE)</f>
        <v>104.14100000000002</v>
      </c>
      <c r="AP49" s="344">
        <f>VLOOKUP($A$49,Drivers!1:1048576,MATCH('P&amp;L'!AP4,Drivers!2:2,FALSE),FALSE)</f>
        <v>262.07600000000002</v>
      </c>
      <c r="AQ49" s="344">
        <f>VLOOKUP($A$49,Drivers!1:1048576,MATCH('P&amp;L'!AQ4,Drivers!2:2,FALSE),FALSE)</f>
        <v>203.9</v>
      </c>
      <c r="AR49" s="344">
        <f>VLOOKUP($A$49,Drivers!1:1048576,MATCH('P&amp;L'!AR4,Drivers!2:2,FALSE),FALSE)</f>
        <v>156.4</v>
      </c>
      <c r="AS49" s="344">
        <f>VLOOKUP($A$49,Drivers!1:1048576,MATCH('P&amp;L'!AS4,Drivers!2:2,FALSE),FALSE)</f>
        <v>360.3</v>
      </c>
      <c r="AT49" s="344">
        <f>VLOOKUP($A$49,Drivers!1:1048576,MATCH('P&amp;L'!AT4,Drivers!2:2,FALSE),FALSE)</f>
        <v>256.3</v>
      </c>
      <c r="AU49" s="344">
        <f>VLOOKUP($A$49,Drivers!1:1048576,MATCH('P&amp;L'!AU4,Drivers!2:2,FALSE),FALSE)</f>
        <v>155.40000000000003</v>
      </c>
      <c r="AV49" s="344">
        <f>VLOOKUP($A$49,Drivers!1:1048576,MATCH('P&amp;L'!AV4,Drivers!2:2,FALSE),FALSE)</f>
        <v>411.70000000000005</v>
      </c>
      <c r="AW49" s="344">
        <f>VLOOKUP($A$49,Drivers!1:1048576,MATCH('P&amp;L'!AW4,Drivers!2:2,FALSE),FALSE)</f>
        <v>264.3</v>
      </c>
      <c r="AX49" s="344">
        <f>VLOOKUP($A$49,Drivers!1:1048576,MATCH('P&amp;L'!AX4,Drivers!2:2,FALSE),FALSE)</f>
        <v>164.8</v>
      </c>
      <c r="AY49" s="344">
        <f>VLOOKUP($A$49,Drivers!1:1048576,MATCH('P&amp;L'!AY4,Drivers!2:2,FALSE),FALSE)</f>
        <v>429.1</v>
      </c>
      <c r="AZ49" s="344">
        <f>VLOOKUP($A$49,Drivers!1:1048576,MATCH('P&amp;L'!AZ4,Drivers!2:2,FALSE),FALSE)</f>
        <v>372.1</v>
      </c>
      <c r="BA49" s="344">
        <f>VLOOKUP($A$49,Drivers!1:1048576,MATCH('P&amp;L'!BA4,Drivers!2:2,FALSE),FALSE)</f>
        <v>345.79999999999995</v>
      </c>
      <c r="BB49" s="344">
        <f>VLOOKUP($A$49,Drivers!1:1048576,MATCH('P&amp;L'!BB4,Drivers!2:2,FALSE),FALSE)</f>
        <v>717.9</v>
      </c>
      <c r="BC49" s="344">
        <f>VLOOKUP($A$49,Drivers!1:1048576,MATCH('P&amp;L'!BC4,Drivers!2:2,FALSE),FALSE)</f>
        <v>571.9</v>
      </c>
      <c r="BD49" s="344">
        <f>VLOOKUP($A$49,Drivers!1:1048576,MATCH('P&amp;L'!BD4,Drivers!2:2,FALSE),FALSE)</f>
        <v>389.70000000000005</v>
      </c>
      <c r="BE49" s="344">
        <f>VLOOKUP($A$49,Drivers!1:1048576,MATCH('P&amp;L'!BE4,Drivers!2:2,FALSE),FALSE)</f>
        <v>961.60000000000014</v>
      </c>
      <c r="BF49" s="344">
        <f>VLOOKUP($A$49,Drivers!1:1048576,MATCH('P&amp;L'!BF4,Drivers!2:2,FALSE),FALSE)</f>
        <v>529</v>
      </c>
      <c r="BG49" s="344">
        <f>VLOOKUP($A$49,Drivers!1:1048576,MATCH('P&amp;L'!BG4,Drivers!2:2,FALSE),FALSE)</f>
        <v>484.9</v>
      </c>
      <c r="BH49" s="344">
        <f>VLOOKUP($A$49,Drivers!1:1048576,MATCH('P&amp;L'!BH4,Drivers!2:2,FALSE),FALSE)</f>
        <v>1013.9</v>
      </c>
      <c r="BI49" s="344">
        <f>VLOOKUP($A$49,Drivers!1:1048576,MATCH('P&amp;L'!BI4,Drivers!2:2,FALSE),FALSE)</f>
        <v>592.6</v>
      </c>
      <c r="BJ49" s="59">
        <f>VLOOKUP($A$49,Drivers!1:1048576,MATCH('P&amp;L'!BJ4,Drivers!2:2,FALSE),FALSE)</f>
        <v>400.6</v>
      </c>
      <c r="BK49" s="344">
        <f>VLOOKUP($A$49,Drivers!1:1048576,MATCH('P&amp;L'!BK4,Drivers!2:2,FALSE),FALSE)</f>
        <v>993.2</v>
      </c>
      <c r="BL49" s="59">
        <f>VLOOKUP($A$49,Drivers!1:1048576,MATCH('P&amp;L'!BL4,Drivers!2:2,FALSE),FALSE)</f>
        <v>505.2</v>
      </c>
      <c r="BM49" s="59">
        <f>VLOOKUP($A$49,Drivers!1:1048576,MATCH('P&amp;L'!BM4,Drivers!2:2,FALSE),FALSE)</f>
        <v>379.09999999999991</v>
      </c>
      <c r="BN49" s="344">
        <f>VLOOKUP($A$49,Drivers!1:1048576,MATCH('P&amp;L'!BN4,Drivers!2:2,FALSE),FALSE)</f>
        <v>884.3</v>
      </c>
      <c r="BO49" s="59">
        <f>VLOOKUP($A$49,Drivers!1:1048576,MATCH('P&amp;L'!BO4,Drivers!2:2,FALSE),FALSE)</f>
        <v>545.9</v>
      </c>
      <c r="BP49" s="216">
        <f>VLOOKUP($A$49,Drivers!1:1048576,MATCH('P&amp;L'!BP4,Drivers!2:2,FALSE),FALSE)</f>
        <v>420.70000000000005</v>
      </c>
      <c r="BQ49" s="344">
        <f>VLOOKUP($A$49,Drivers!1:1048576,MATCH('P&amp;L'!BQ4,Drivers!2:2,FALSE),FALSE)</f>
        <v>966.6</v>
      </c>
      <c r="BR49" s="1817">
        <f>VLOOKUP($A$49,Drivers!1:1048576,MATCH('P&amp;L'!BR4,Drivers!2:2,FALSE),FALSE)</f>
        <v>589</v>
      </c>
      <c r="BS49" s="216">
        <f>VLOOKUP($A$49,Drivers!1:1048576,MATCH('P&amp;L'!BS4,Drivers!2:2,FALSE),FALSE)</f>
        <v>433.20684095882166</v>
      </c>
      <c r="BT49" s="216">
        <f>VLOOKUP($A$49,Drivers!1:1048576,MATCH('P&amp;L'!BT4,Drivers!2:2,FALSE),FALSE)</f>
        <v>1022.2068409588215</v>
      </c>
      <c r="BU49" s="216">
        <f>VLOOKUP($A$49,Drivers!1:1048576,MATCH('P&amp;L'!BU4,Drivers!2:2,FALSE),FALSE)</f>
        <v>600.72699825171844</v>
      </c>
      <c r="BV49" s="216">
        <f>VLOOKUP($A$49,Drivers!1:1048576,MATCH('P&amp;L'!BV4,Drivers!2:2,FALSE),FALSE)</f>
        <v>442.23180116884294</v>
      </c>
      <c r="BW49" s="216">
        <f>VLOOKUP($A$49,Drivers!1:1048576,MATCH('P&amp;L'!BW4,Drivers!2:2,FALSE),FALSE)</f>
        <v>1042.9587994205615</v>
      </c>
      <c r="BX49" s="216">
        <f>VLOOKUP($A$49,Drivers!1:1048576,MATCH('P&amp;L'!BX4,Drivers!2:2,FALSE),FALSE)</f>
        <v>628.91212006951537</v>
      </c>
      <c r="BY49" s="216">
        <f>VLOOKUP($A$49,Drivers!1:1048576,MATCH('P&amp;L'!BY4,Drivers!2:2,FALSE),FALSE)</f>
        <v>459.36195216071638</v>
      </c>
      <c r="BZ49" s="216">
        <f>VLOOKUP($A$49,Drivers!1:1048576,MATCH('P&amp;L'!BZ4,Drivers!2:2,FALSE),FALSE)</f>
        <v>1088.2740722302317</v>
      </c>
      <c r="CA49" s="216">
        <f>VLOOKUP($A$49,Drivers!1:1048576,MATCH('P&amp;L'!CA4,Drivers!2:2,FALSE),FALSE)</f>
        <v>656.17409854668972</v>
      </c>
      <c r="CB49" s="216">
        <f>VLOOKUP($A$49,Drivers!1:1048576,MATCH('P&amp;L'!CB4,Drivers!2:2,FALSE),FALSE)</f>
        <v>478.92619843818318</v>
      </c>
      <c r="CC49" s="216">
        <f>VLOOKUP($A$49,Drivers!1:1048576,MATCH('P&amp;L'!CC4,Drivers!2:2,FALSE),FALSE)</f>
        <v>1135.1002969848728</v>
      </c>
      <c r="CD49" s="140"/>
      <c r="CE49" s="86"/>
    </row>
    <row r="50" spans="1:83" ht="13.5" customHeight="1">
      <c r="A50" s="746"/>
      <c r="B50" s="828" t="s">
        <v>377</v>
      </c>
      <c r="C50" s="345">
        <f>C49/C6</f>
        <v>5.0866272289122771E-2</v>
      </c>
      <c r="D50" s="345">
        <f t="shared" ref="D50:E50" si="99">D49/D6</f>
        <v>6.7775224958333158E-2</v>
      </c>
      <c r="E50" s="345">
        <f t="shared" si="99"/>
        <v>4.5922537863132454E-2</v>
      </c>
      <c r="F50" s="345">
        <f>F49/F6</f>
        <v>5.725566311563654E-2</v>
      </c>
      <c r="G50" s="345">
        <f t="shared" ref="G50:H50" si="100">G49/G6</f>
        <v>7.2040555376857177E-2</v>
      </c>
      <c r="H50" s="345">
        <f t="shared" si="100"/>
        <v>4.7833940698501408E-2</v>
      </c>
      <c r="I50" s="345">
        <f>I49/I6</f>
        <v>6.0956015119397411E-2</v>
      </c>
      <c r="J50" s="345">
        <f t="shared" ref="J50:K50" si="101">J49/J6</f>
        <v>6.8061102001427912E-2</v>
      </c>
      <c r="K50" s="345">
        <f t="shared" si="101"/>
        <v>3.9680264229273933E-2</v>
      </c>
      <c r="L50" s="345">
        <f>L49/L6</f>
        <v>5.4978690471029927E-2</v>
      </c>
      <c r="M50" s="345">
        <f t="shared" ref="M50:N50" si="102">M49/M6</f>
        <v>7.1027685620536102E-2</v>
      </c>
      <c r="N50" s="345">
        <f t="shared" si="102"/>
        <v>4.7497427516980009E-2</v>
      </c>
      <c r="O50" s="345">
        <f>O49/O6</f>
        <v>5.9592600307215353E-2</v>
      </c>
      <c r="P50" s="345">
        <f t="shared" ref="P50:Q50" si="103">P49/P6</f>
        <v>7.2429901814996214E-2</v>
      </c>
      <c r="Q50" s="345">
        <f t="shared" si="103"/>
        <v>5.4034299101690192E-2</v>
      </c>
      <c r="R50" s="345">
        <f t="shared" ref="R50:BE50" si="104">R49/R6</f>
        <v>6.3979166165362547E-2</v>
      </c>
      <c r="S50" s="345">
        <f t="shared" si="104"/>
        <v>7.7602026054939696E-2</v>
      </c>
      <c r="T50" s="345">
        <f t="shared" si="104"/>
        <v>5.8942423813058253E-2</v>
      </c>
      <c r="U50" s="345">
        <f t="shared" si="104"/>
        <v>6.9057426181622555E-2</v>
      </c>
      <c r="V50" s="345">
        <f t="shared" si="104"/>
        <v>7.8906584870129123E-2</v>
      </c>
      <c r="W50" s="345">
        <f t="shared" si="104"/>
        <v>6.4357570744582371E-2</v>
      </c>
      <c r="X50" s="345">
        <f t="shared" si="104"/>
        <v>7.2634110979306707E-2</v>
      </c>
      <c r="Y50" s="345">
        <f t="shared" si="104"/>
        <v>8.3375231928036628E-2</v>
      </c>
      <c r="Z50" s="345">
        <f t="shared" si="104"/>
        <v>6.5023315491936129E-2</v>
      </c>
      <c r="AA50" s="345">
        <f t="shared" si="104"/>
        <v>7.5458232195760214E-2</v>
      </c>
      <c r="AB50" s="345">
        <f t="shared" si="104"/>
        <v>7.6687764723515531E-2</v>
      </c>
      <c r="AC50" s="345">
        <f t="shared" si="104"/>
        <v>4.1471091885595869E-2</v>
      </c>
      <c r="AD50" s="345">
        <f t="shared" si="104"/>
        <v>6.1453255203670835E-2</v>
      </c>
      <c r="AE50" s="345">
        <f t="shared" si="104"/>
        <v>7.6971867278036926E-2</v>
      </c>
      <c r="AF50" s="345">
        <f t="shared" si="104"/>
        <v>4.7706265849591728E-2</v>
      </c>
      <c r="AG50" s="345">
        <f t="shared" si="104"/>
        <v>6.3772518437915607E-2</v>
      </c>
      <c r="AH50" s="345">
        <f>AH49/AH6</f>
        <v>7.7477701319595263E-2</v>
      </c>
      <c r="AI50" s="345">
        <f>AI49/AI6</f>
        <v>4.9453901967921994E-2</v>
      </c>
      <c r="AJ50" s="345">
        <f t="shared" si="104"/>
        <v>6.505873657167871E-2</v>
      </c>
      <c r="AK50" s="345">
        <f>AK49/AK6</f>
        <v>7.569150008040107E-2</v>
      </c>
      <c r="AL50" s="345">
        <f>AL49/AL6</f>
        <v>5.4111825336042696E-2</v>
      </c>
      <c r="AM50" s="345">
        <f t="shared" si="104"/>
        <v>6.5723456081591705E-2</v>
      </c>
      <c r="AN50" s="345">
        <f>AN49/AN6</f>
        <v>7.4609661581516024E-2</v>
      </c>
      <c r="AO50" s="345">
        <f>AO49/AO6</f>
        <v>5.6670747966152429E-2</v>
      </c>
      <c r="AP50" s="345">
        <f t="shared" si="104"/>
        <v>6.6273406757471995E-2</v>
      </c>
      <c r="AQ50" s="345">
        <f>AQ49/AQ6</f>
        <v>7.7937466554544768E-2</v>
      </c>
      <c r="AR50" s="345">
        <f>AR49/AR6</f>
        <v>5.1929078956105976E-2</v>
      </c>
      <c r="AS50" s="345">
        <f t="shared" si="104"/>
        <v>6.4019189765458423E-2</v>
      </c>
      <c r="AT50" s="345">
        <f>AT49/AT6</f>
        <v>6.9461759444956361E-2</v>
      </c>
      <c r="AU50" s="345">
        <f>AU49/AU6</f>
        <v>4.9107283931110773E-2</v>
      </c>
      <c r="AV50" s="345">
        <f>AV49/AV6</f>
        <v>6.0064485067767681E-2</v>
      </c>
      <c r="AW50" s="345">
        <f>AW49/AW6</f>
        <v>6.8761870073106648E-2</v>
      </c>
      <c r="AX50" s="345">
        <f>AX49/AX6</f>
        <v>5.0682740804527011E-2</v>
      </c>
      <c r="AY50" s="345">
        <f t="shared" si="104"/>
        <v>6.0476653559398484E-2</v>
      </c>
      <c r="AZ50" s="345">
        <f>AZ49/AZ6</f>
        <v>9.3136764116940343E-2</v>
      </c>
      <c r="BA50" s="345">
        <f>BA49/BA6</f>
        <v>8.8131100746744143E-2</v>
      </c>
      <c r="BB50" s="345">
        <f>BB49/BB6</f>
        <v>9.0656530578741998E-2</v>
      </c>
      <c r="BC50" s="345">
        <f t="shared" ref="BC50:BD50" si="105">BC49/BC6</f>
        <v>0.11574111551849753</v>
      </c>
      <c r="BD50" s="345">
        <f t="shared" si="105"/>
        <v>9.8040202269239471E-2</v>
      </c>
      <c r="BE50" s="345">
        <f t="shared" si="104"/>
        <v>0.10784984466302533</v>
      </c>
      <c r="BF50" s="345">
        <f>BF49/BF6</f>
        <v>0.10880743757456086</v>
      </c>
      <c r="BG50" s="345">
        <f>BG49/BG6</f>
        <v>0.11095602031943617</v>
      </c>
      <c r="BH50" s="345">
        <f t="shared" ref="BH50:BW50" si="106">BH49/BH6</f>
        <v>0.10982452339688041</v>
      </c>
      <c r="BI50" s="345">
        <f>BI49/BI6</f>
        <v>0.11226674244577059</v>
      </c>
      <c r="BJ50" s="562">
        <f>BJ49/BJ6</f>
        <v>9.2136433680627447E-2</v>
      </c>
      <c r="BK50" s="345">
        <f t="shared" ref="BK50" si="107">BK49/BK6</f>
        <v>0.10317460317460318</v>
      </c>
      <c r="BL50" s="562">
        <f>BL49/BL6</f>
        <v>9.7867147091300039E-2</v>
      </c>
      <c r="BM50" s="562">
        <f>BM49/BM6</f>
        <v>8.5569825971153188E-2</v>
      </c>
      <c r="BN50" s="345">
        <f t="shared" ref="BN50" si="108">BN49/BN6</f>
        <v>9.2187565155748302E-2</v>
      </c>
      <c r="BO50" s="562">
        <f>BO49/BO6</f>
        <v>9.627186794582393E-2</v>
      </c>
      <c r="BP50" s="255">
        <f>BP49/BP6</f>
        <v>8.6131356973220871E-2</v>
      </c>
      <c r="BQ50" s="345">
        <f t="shared" ref="BQ50" si="109">BQ49/BQ6</f>
        <v>9.1579186720733688E-2</v>
      </c>
      <c r="BR50" s="1814">
        <f>BR49/BR6</f>
        <v>9.679062659195109E-2</v>
      </c>
      <c r="BS50" s="255">
        <f>BS49/BS6</f>
        <v>8.5517645329160161E-2</v>
      </c>
      <c r="BT50" s="255">
        <f t="shared" si="106"/>
        <v>9.166951200694913E-2</v>
      </c>
      <c r="BU50" s="255">
        <f>BU49/BU6</f>
        <v>9.4823934659216416E-2</v>
      </c>
      <c r="BV50" s="255">
        <f>BV49/BV6</f>
        <v>8.3693177723616327E-2</v>
      </c>
      <c r="BW50" s="255">
        <f t="shared" si="106"/>
        <v>8.9762072331868878E-2</v>
      </c>
      <c r="BX50" s="255">
        <f>BX49/BX6</f>
        <v>9.5084945342396796E-2</v>
      </c>
      <c r="BY50" s="255">
        <f>BY49/BY6</f>
        <v>8.3624021205784618E-2</v>
      </c>
      <c r="BZ50" s="255">
        <f t="shared" ref="BZ50" si="110">BZ49/BZ6</f>
        <v>8.9885070482764923E-2</v>
      </c>
      <c r="CA50" s="255">
        <f>CA49/CA6</f>
        <v>9.520138015940878E-2</v>
      </c>
      <c r="CB50" s="255">
        <f>CB49/CB6</f>
        <v>8.3665825063063234E-2</v>
      </c>
      <c r="CC50" s="255">
        <f t="shared" ref="CC50" si="111">CC49/CC6</f>
        <v>8.9967652208051752E-2</v>
      </c>
      <c r="CD50" s="140"/>
      <c r="CE50" s="86"/>
    </row>
    <row r="51" spans="1:83" ht="13.5" customHeight="1">
      <c r="A51" s="746"/>
      <c r="B51" s="828"/>
      <c r="C51" s="788"/>
      <c r="D51" s="788"/>
      <c r="E51" s="788"/>
      <c r="F51" s="788"/>
      <c r="G51" s="788"/>
      <c r="H51" s="788"/>
      <c r="I51" s="788"/>
      <c r="J51" s="788"/>
      <c r="K51" s="788"/>
      <c r="L51" s="788"/>
      <c r="M51" s="788"/>
      <c r="N51" s="788"/>
      <c r="O51" s="788"/>
      <c r="P51" s="788"/>
      <c r="Q51" s="788"/>
      <c r="R51" s="788"/>
      <c r="S51" s="788"/>
      <c r="T51" s="788"/>
      <c r="U51" s="788"/>
      <c r="V51" s="788"/>
      <c r="W51" s="788"/>
      <c r="X51" s="788"/>
      <c r="Y51" s="788"/>
      <c r="Z51" s="788"/>
      <c r="AA51" s="788"/>
      <c r="AB51" s="788"/>
      <c r="AC51" s="788"/>
      <c r="AD51" s="788"/>
      <c r="AE51" s="788"/>
      <c r="AF51" s="788"/>
      <c r="AG51" s="788"/>
      <c r="AH51" s="788"/>
      <c r="AI51" s="788"/>
      <c r="AJ51" s="788"/>
      <c r="AK51" s="788"/>
      <c r="AL51" s="788"/>
      <c r="AM51" s="788"/>
      <c r="AN51" s="788"/>
      <c r="AO51" s="788"/>
      <c r="AP51" s="788"/>
      <c r="AQ51" s="788"/>
      <c r="AR51" s="788"/>
      <c r="AS51" s="788"/>
      <c r="AT51" s="788"/>
      <c r="AU51" s="788"/>
      <c r="AV51" s="788"/>
      <c r="AW51" s="788"/>
      <c r="AX51" s="788"/>
      <c r="AY51" s="788"/>
      <c r="AZ51" s="788"/>
      <c r="BA51" s="788"/>
      <c r="BB51" s="788"/>
      <c r="BC51" s="788"/>
      <c r="BD51" s="788"/>
      <c r="BE51" s="788"/>
      <c r="BF51" s="788"/>
      <c r="BG51" s="788"/>
      <c r="BH51" s="788"/>
      <c r="BI51" s="788"/>
      <c r="BJ51" s="568"/>
      <c r="BK51" s="788"/>
      <c r="BL51" s="568"/>
      <c r="BM51" s="568"/>
      <c r="BN51" s="788"/>
      <c r="BO51" s="568"/>
      <c r="BP51" s="154"/>
      <c r="BQ51" s="788"/>
      <c r="BR51" s="1816"/>
      <c r="BS51" s="154"/>
      <c r="BT51" s="154"/>
      <c r="BU51" s="154"/>
      <c r="BV51" s="154"/>
      <c r="BW51" s="154"/>
      <c r="BX51" s="154"/>
      <c r="BY51" s="154"/>
      <c r="BZ51" s="154"/>
      <c r="CA51" s="154"/>
      <c r="CB51" s="154"/>
      <c r="CC51" s="154"/>
      <c r="CD51" s="140"/>
      <c r="CE51" s="86"/>
    </row>
    <row r="52" spans="1:83" ht="13.5" customHeight="1">
      <c r="A52" s="746" t="s">
        <v>385</v>
      </c>
      <c r="B52" s="826" t="s">
        <v>314</v>
      </c>
      <c r="C52" s="827">
        <f>-VLOOKUP($A$52,Drivers!1:1048576,MATCH('P&amp;L'!C4,Drivers!2:2,FALSE),FALSE)</f>
        <v>-1.319</v>
      </c>
      <c r="D52" s="827">
        <f>-VLOOKUP($A$52,Drivers!1:1048576,MATCH('P&amp;L'!D4,Drivers!2:2,FALSE),FALSE)</f>
        <v>-1.4000000000000004</v>
      </c>
      <c r="E52" s="827">
        <f>-VLOOKUP($A$52,Drivers!1:1048576,MATCH('P&amp;L'!E4,Drivers!2:2,FALSE),FALSE)</f>
        <v>-1.7679999999999998</v>
      </c>
      <c r="F52" s="827">
        <f>-VLOOKUP($A$52,Drivers!1:1048576,MATCH('P&amp;L'!F4,Drivers!2:2,FALSE),FALSE)</f>
        <v>-3.1680000000000001</v>
      </c>
      <c r="G52" s="827">
        <f>-VLOOKUP($A$52,Drivers!1:1048576,MATCH('P&amp;L'!G4,Drivers!2:2,FALSE),FALSE)</f>
        <v>-2.5</v>
      </c>
      <c r="H52" s="827">
        <f>-VLOOKUP($A$52,Drivers!1:1048576,MATCH('P&amp;L'!H4,Drivers!2:2,FALSE),FALSE)</f>
        <v>-2.7679999999999998</v>
      </c>
      <c r="I52" s="827">
        <f>-VLOOKUP($A$52,Drivers!1:1048576,MATCH('P&amp;L'!I4,Drivers!2:2,FALSE),FALSE)</f>
        <v>-5.2679999999999998</v>
      </c>
      <c r="J52" s="827">
        <f>-VLOOKUP($A$52,Drivers!1:1048576,MATCH('P&amp;L'!J4,Drivers!2:2,FALSE),FALSE)</f>
        <v>-3.6000000000000014</v>
      </c>
      <c r="K52" s="827">
        <f>-VLOOKUP($A$52,Drivers!1:1048576,MATCH('P&amp;L'!K4,Drivers!2:2,FALSE),FALSE)</f>
        <v>-3.8389999999999986</v>
      </c>
      <c r="L52" s="827">
        <f>-VLOOKUP($A$52,Drivers!1:1048576,MATCH('P&amp;L'!L4,Drivers!2:2,FALSE),FALSE)</f>
        <v>-7.4390000000000001</v>
      </c>
      <c r="M52" s="827">
        <f>-VLOOKUP($A$52,Drivers!1:1048576,MATCH('P&amp;L'!M4,Drivers!2:2,FALSE),FALSE)</f>
        <v>-5</v>
      </c>
      <c r="N52" s="827">
        <f>-VLOOKUP($A$52,Drivers!1:1048576,MATCH('P&amp;L'!N4,Drivers!2:2,FALSE),FALSE)</f>
        <v>-5.8539999999999992</v>
      </c>
      <c r="O52" s="827">
        <f>-VLOOKUP($A$52,Drivers!1:1048576,MATCH('P&amp;L'!O4,Drivers!2:2,FALSE),FALSE)</f>
        <v>-10.853999999999999</v>
      </c>
      <c r="P52" s="827">
        <f>-VLOOKUP($A$52,Drivers!1:1048576,MATCH('P&amp;L'!P4,Drivers!2:2,FALSE),FALSE)</f>
        <v>-6.7999999999999972</v>
      </c>
      <c r="Q52" s="827">
        <f>-VLOOKUP($A$52,Drivers!1:1048576,MATCH('P&amp;L'!Q4,Drivers!2:2,FALSE),FALSE)</f>
        <v>-7.8910000000000018</v>
      </c>
      <c r="R52" s="827">
        <f>-VLOOKUP($A$52,Drivers!1:1048576,MATCH('P&amp;L'!R4,Drivers!2:2,FALSE),FALSE)</f>
        <v>-14.690999999999999</v>
      </c>
      <c r="S52" s="827">
        <f>-VLOOKUP($A$52,Drivers!1:1048576,MATCH('P&amp;L'!S4,Drivers!2:2,FALSE),FALSE)</f>
        <v>-8.7000000000000028</v>
      </c>
      <c r="T52" s="827">
        <f>-VLOOKUP($A$52,Drivers!1:1048576,MATCH('P&amp;L'!T4,Drivers!2:2,FALSE),FALSE)</f>
        <v>-10.048999999999996</v>
      </c>
      <c r="U52" s="827">
        <f>-VLOOKUP($A$52,Drivers!1:1048576,MATCH('P&amp;L'!U4,Drivers!2:2,FALSE),FALSE)</f>
        <v>-18.748999999999999</v>
      </c>
      <c r="V52" s="827">
        <f>-VLOOKUP($A$52,Drivers!1:1048576,MATCH('P&amp;L'!V4,Drivers!2:2,FALSE),FALSE)</f>
        <v>-11.202999999999989</v>
      </c>
      <c r="W52" s="827">
        <f>-VLOOKUP($A$52,Drivers!1:1048576,MATCH('P&amp;L'!W4,Drivers!2:2,FALSE),FALSE)</f>
        <v>-12.074000000000012</v>
      </c>
      <c r="X52" s="827">
        <f>-VLOOKUP($A$52,Drivers!1:1048576,MATCH('P&amp;L'!X4,Drivers!2:2,FALSE),FALSE)</f>
        <v>-23.277000000000001</v>
      </c>
      <c r="Y52" s="827">
        <f>-VLOOKUP($A$52,Drivers!1:1048576,MATCH('P&amp;L'!Y4,Drivers!2:2,FALSE),FALSE)</f>
        <v>-13.289999999999992</v>
      </c>
      <c r="Z52" s="827">
        <f>-VLOOKUP($A$52,Drivers!1:1048576,MATCH('P&amp;L'!Z4,Drivers!2:2,FALSE),FALSE)</f>
        <v>-13.997000000000007</v>
      </c>
      <c r="AA52" s="827">
        <f>-VLOOKUP($A$52,Drivers!1:1048576,MATCH('P&amp;L'!AA4,Drivers!2:2,FALSE),FALSE)</f>
        <v>-27.286999999999999</v>
      </c>
      <c r="AB52" s="827">
        <f>-VLOOKUP($A$52,Drivers!1:1048576,MATCH('P&amp;L'!AB4,Drivers!2:2,FALSE),FALSE)</f>
        <v>-15.363</v>
      </c>
      <c r="AC52" s="827">
        <f>-VLOOKUP($A$52,Drivers!1:1048576,MATCH('P&amp;L'!AC4,Drivers!2:2,FALSE),FALSE)</f>
        <v>-17.869</v>
      </c>
      <c r="AD52" s="827">
        <f>-VLOOKUP($A$52,Drivers!1:1048576,MATCH('P&amp;L'!AD4,Drivers!2:2,FALSE),FALSE)</f>
        <v>-30.754000000000001</v>
      </c>
      <c r="AE52" s="827">
        <f>-VLOOKUP($A$52,Drivers!1:1048576,MATCH('P&amp;L'!AE4,Drivers!2:2,FALSE),FALSE)</f>
        <v>-16.100000000000009</v>
      </c>
      <c r="AF52" s="827">
        <f>-VLOOKUP($A$52,Drivers!1:1048576,MATCH('P&amp;L'!AF4,Drivers!2:2,FALSE),FALSE)</f>
        <v>-17.131999999999991</v>
      </c>
      <c r="AG52" s="827">
        <f>-VLOOKUP($A$52,Drivers!1:1048576,MATCH('P&amp;L'!AG4,Drivers!2:2,FALSE),FALSE)</f>
        <v>-33.231999999999999</v>
      </c>
      <c r="AH52" s="827">
        <f>-VLOOKUP($A$52,Drivers!1:1048576,MATCH('P&amp;L'!AH4,Drivers!2:2,FALSE),FALSE)</f>
        <v>-17.400000000000006</v>
      </c>
      <c r="AI52" s="827">
        <f>-VLOOKUP($A$52,Drivers!1:1048576,MATCH('P&amp;L'!AI4,Drivers!2:2,FALSE),FALSE)</f>
        <v>-18.129999999999995</v>
      </c>
      <c r="AJ52" s="827">
        <f>-VLOOKUP($A$52,Drivers!1:1048576,MATCH('P&amp;L'!AJ4,Drivers!2:2,FALSE),FALSE)</f>
        <v>-35.53</v>
      </c>
      <c r="AK52" s="827">
        <f>-VLOOKUP($A$52,Drivers!1:1048576,MATCH('P&amp;L'!AK4,Drivers!2:2,FALSE),FALSE)</f>
        <v>-18.774000000000001</v>
      </c>
      <c r="AL52" s="827">
        <f>-VLOOKUP($A$52,Drivers!1:1048576,MATCH('P&amp;L'!AL4,Drivers!2:2,FALSE),FALSE)</f>
        <v>-20.350000000000001</v>
      </c>
      <c r="AM52" s="827">
        <f>-VLOOKUP($A$52,Drivers!1:1048576,MATCH('P&amp;L'!AM4,Drivers!2:2,FALSE),FALSE)</f>
        <v>-39.124000000000002</v>
      </c>
      <c r="AN52" s="827">
        <f>-VLOOKUP($A$52,Drivers!1:1048576,MATCH('P&amp;L'!AN4,Drivers!2:2,FALSE),FALSE)</f>
        <v>-19.77600000000001</v>
      </c>
      <c r="AO52" s="827">
        <f>-VLOOKUP($A$52,Drivers!1:1048576,MATCH('P&amp;L'!AO4,Drivers!2:2,FALSE),FALSE)</f>
        <v>-19.563000000000009</v>
      </c>
      <c r="AP52" s="827">
        <f>-VLOOKUP($A$52,Drivers!1:1048576,MATCH('P&amp;L'!AP4,Drivers!2:2,FALSE),FALSE)</f>
        <v>-40.901000000000003</v>
      </c>
      <c r="AQ52" s="827">
        <f>-VLOOKUP($A$52,Drivers!1:1048576,MATCH('P&amp;L'!AQ4,Drivers!2:2,FALSE),FALSE)</f>
        <v>-23.000000000000018</v>
      </c>
      <c r="AR52" s="827">
        <f>-VLOOKUP($A$52,Drivers!1:1048576,MATCH('P&amp;L'!AR4,Drivers!2:2,FALSE),FALSE)</f>
        <v>-32.130980810878881</v>
      </c>
      <c r="AS52" s="827">
        <f>-VLOOKUP($A$52,Drivers!1:1048576,MATCH('P&amp;L'!AS4,Drivers!2:2,FALSE),FALSE)</f>
        <v>-53.900000000000006</v>
      </c>
      <c r="AT52" s="827">
        <f>-VLOOKUP($A$52,Drivers!1:1048576,MATCH('P&amp;L'!AT4,Drivers!2:2,FALSE),FALSE)</f>
        <v>-30.499999999999993</v>
      </c>
      <c r="AU52" s="827">
        <f>-VLOOKUP($A$52,Drivers!1:1048576,MATCH('P&amp;L'!AU4,Drivers!2:2,FALSE),FALSE)</f>
        <v>-30.6</v>
      </c>
      <c r="AV52" s="827">
        <f>-VLOOKUP($A$52,Drivers!1:1048576,MATCH('P&amp;L'!AV4,Drivers!2:2,FALSE),FALSE)</f>
        <v>-61.1</v>
      </c>
      <c r="AW52" s="827">
        <f>-VLOOKUP($A$52,Drivers!1:1048576,MATCH('P&amp;L'!AW4,Drivers!2:2,FALSE),FALSE)</f>
        <v>-27.700000000000024</v>
      </c>
      <c r="AX52" s="827">
        <f>-VLOOKUP($A$52,Drivers!1:1048576,MATCH('P&amp;L'!AX4,Drivers!2:2,FALSE),FALSE)</f>
        <v>-28.499999999999979</v>
      </c>
      <c r="AY52" s="827">
        <f>-VLOOKUP($A$52,Drivers!1:1048576,MATCH('P&amp;L'!AY4,Drivers!2:2,FALSE),FALSE)</f>
        <v>-56.2</v>
      </c>
      <c r="AZ52" s="827">
        <f>-VLOOKUP($A$52,Drivers!1:1048576,MATCH('P&amp;L'!AZ4,Drivers!2:2,FALSE),FALSE)</f>
        <v>-109.10000000000002</v>
      </c>
      <c r="BA52" s="827">
        <f>-VLOOKUP($A$52,Drivers!1:1048576,MATCH('P&amp;L'!BA4,Drivers!2:2,FALSE),FALSE)</f>
        <v>-105.79999999999995</v>
      </c>
      <c r="BB52" s="827">
        <f>-VLOOKUP($A$52,Drivers!1:1048576,MATCH('P&amp;L'!BB4,Drivers!2:2,FALSE),FALSE)</f>
        <v>-229.3</v>
      </c>
      <c r="BC52" s="827">
        <f>-VLOOKUP($A$52,Drivers!1:1048576,MATCH('P&amp;L'!BC4,Drivers!2:2,FALSE),FALSE)</f>
        <v>-109.09999999999994</v>
      </c>
      <c r="BD52" s="827">
        <f>-VLOOKUP($A$52,Drivers!1:1048576,MATCH('P&amp;L'!BD4,Drivers!2:2,FALSE),FALSE)</f>
        <v>-109.4</v>
      </c>
      <c r="BE52" s="827">
        <f>-VLOOKUP($A$52,Drivers!1:1048576,MATCH('P&amp;L'!BE4,Drivers!2:2,FALSE),FALSE)</f>
        <v>-218.5</v>
      </c>
      <c r="BF52" s="827">
        <f>-VLOOKUP($A$52,Drivers!1:1048576,MATCH('P&amp;L'!BF4,Drivers!2:2,FALSE),FALSE)</f>
        <v>-108.50000000000003</v>
      </c>
      <c r="BG52" s="827">
        <f>-VLOOKUP($A$52,Drivers!1:1048576,MATCH('P&amp;L'!BG4,Drivers!2:2,FALSE),FALSE)</f>
        <v>-110.79999999999988</v>
      </c>
      <c r="BH52" s="827">
        <f>-VLOOKUP($A$52,Drivers!1:1048576,MATCH('P&amp;L'!BH4,Drivers!2:2,FALSE),FALSE)</f>
        <v>-219.3</v>
      </c>
      <c r="BI52" s="827">
        <f>-VLOOKUP($A$52,Drivers!1:1048576,MATCH('P&amp;L'!BI4,Drivers!2:2,FALSE),FALSE)</f>
        <v>-113.40000000000003</v>
      </c>
      <c r="BJ52" s="32">
        <f>-VLOOKUP($A$52,Drivers!1:1048576,MATCH('P&amp;L'!BJ4,Drivers!2:2,FALSE),FALSE)</f>
        <v>-110.80000000000001</v>
      </c>
      <c r="BK52" s="827">
        <f>-VLOOKUP($A$52,Drivers!1:1048576,MATCH('P&amp;L'!BK4,Drivers!2:2,FALSE),FALSE)</f>
        <v>-224.2</v>
      </c>
      <c r="BL52" s="59">
        <f>-VLOOKUP($A$52,Drivers!1:1048576,MATCH('P&amp;L'!BL4,Drivers!2:2,FALSE),FALSE)</f>
        <v>-118.5</v>
      </c>
      <c r="BM52" s="32">
        <f>-VLOOKUP($A$52,Drivers!1:1048576,MATCH('P&amp;L'!BM4,Drivers!2:2,FALSE),FALSE)</f>
        <v>-118.59999999999991</v>
      </c>
      <c r="BN52" s="827">
        <f>-VLOOKUP($A$52,Drivers!1:1048576,MATCH('P&amp;L'!BN4,Drivers!2:2,FALSE),FALSE)</f>
        <v>-237.1</v>
      </c>
      <c r="BO52" s="59">
        <f>-VLOOKUP($A$52,Drivers!1:1048576,MATCH('P&amp;L'!BO4,Drivers!2:2,FALSE),FALSE)</f>
        <v>-125.99999999999996</v>
      </c>
      <c r="BP52" s="135">
        <f>-VLOOKUP($A$52,Drivers!1:1048576,MATCH('P&amp;L'!BP4,Drivers!2:2,FALSE),FALSE)</f>
        <v>-132.80000000000007</v>
      </c>
      <c r="BQ52" s="827">
        <f>-VLOOKUP($A$52,Drivers!1:1048576,MATCH('P&amp;L'!BQ4,Drivers!2:2,FALSE),FALSE)</f>
        <v>-258.8</v>
      </c>
      <c r="BR52" s="1815">
        <f>-VLOOKUP($A$52,Drivers!1:1048576,MATCH('P&amp;L'!BR4,Drivers!2:2,FALSE),FALSE)</f>
        <v>-134.99999999999997</v>
      </c>
      <c r="BS52" s="135">
        <f>-VLOOKUP($A$52,Drivers!1:1048576,MATCH('P&amp;L'!BS4,Drivers!2:2,FALSE),FALSE)</f>
        <v>-133.46491574585644</v>
      </c>
      <c r="BT52" s="135">
        <f>-VLOOKUP($A$52,Drivers!1:1048576,MATCH('P&amp;L'!BT4,Drivers!2:2,FALSE),FALSE)</f>
        <v>-268.46491574585639</v>
      </c>
      <c r="BU52" s="135">
        <f>-VLOOKUP($A$52,Drivers!1:1048576,MATCH('P&amp;L'!BU4,Drivers!2:2,FALSE),FALSE)</f>
        <v>-138.43199999999996</v>
      </c>
      <c r="BV52" s="135">
        <f>-VLOOKUP($A$52,Drivers!1:1048576,MATCH('P&amp;L'!BV4,Drivers!2:2,FALSE),FALSE)</f>
        <v>-136.83962071823211</v>
      </c>
      <c r="BW52" s="135">
        <f>-VLOOKUP($A$52,Drivers!1:1048576,MATCH('P&amp;L'!BW4,Drivers!2:2,FALSE),FALSE)</f>
        <v>-275.2716207182321</v>
      </c>
      <c r="BX52" s="135">
        <f>-VLOOKUP($A$52,Drivers!1:1048576,MATCH('P&amp;L'!BX4,Drivers!2:2,FALSE),FALSE)</f>
        <v>-140.20102500000002</v>
      </c>
      <c r="BY52" s="135">
        <f>-VLOOKUP($A$52,Drivers!1:1048576,MATCH('P&amp;L'!BY4,Drivers!2:2,FALSE),FALSE)</f>
        <v>-142.05032077727901</v>
      </c>
      <c r="BZ52" s="135">
        <f>-VLOOKUP($A$52,Drivers!1:1048576,MATCH('P&amp;L'!BZ4,Drivers!2:2,FALSE),FALSE)</f>
        <v>-282.25134577727903</v>
      </c>
      <c r="CA52" s="135">
        <f>-VLOOKUP($A$52,Drivers!1:1048576,MATCH('P&amp;L'!CA4,Drivers!2:2,FALSE),FALSE)</f>
        <v>-143.75776950000002</v>
      </c>
      <c r="CB52" s="135">
        <f>-VLOOKUP($A$52,Drivers!1:1048576,MATCH('P&amp;L'!CB4,Drivers!2:2,FALSE),FALSE)</f>
        <v>-145.65073249903486</v>
      </c>
      <c r="CC52" s="135">
        <f>-VLOOKUP($A$52,Drivers!1:1048576,MATCH('P&amp;L'!CC4,Drivers!2:2,FALSE),FALSE)</f>
        <v>-289.40850199903485</v>
      </c>
      <c r="CD52" s="140"/>
      <c r="CE52" s="86"/>
    </row>
    <row r="53" spans="1:83" ht="13.5" customHeight="1">
      <c r="A53" s="746"/>
      <c r="B53" s="828" t="s">
        <v>416</v>
      </c>
      <c r="C53" s="345">
        <f t="shared" ref="C53:BE53" si="112">-C52/C6</f>
        <v>3.7067742071465706E-3</v>
      </c>
      <c r="D53" s="345">
        <f t="shared" si="112"/>
        <v>5.9676298705450591E-3</v>
      </c>
      <c r="E53" s="345">
        <f t="shared" si="112"/>
        <v>8.1191046942018178E-3</v>
      </c>
      <c r="F53" s="345">
        <f t="shared" si="112"/>
        <v>7.0033181756886708E-3</v>
      </c>
      <c r="G53" s="345">
        <f t="shared" si="112"/>
        <v>6.6458076915919895E-3</v>
      </c>
      <c r="H53" s="345">
        <f t="shared" si="112"/>
        <v>8.7108123587797317E-3</v>
      </c>
      <c r="I53" s="345">
        <f t="shared" si="112"/>
        <v>7.5914015992667987E-3</v>
      </c>
      <c r="J53" s="345">
        <f t="shared" si="112"/>
        <v>7.0610941557677394E-3</v>
      </c>
      <c r="K53" s="345">
        <f t="shared" si="112"/>
        <v>8.8053488078718278E-3</v>
      </c>
      <c r="L53" s="345">
        <f t="shared" si="112"/>
        <v>7.8651245848844545E-3</v>
      </c>
      <c r="M53" s="345">
        <f t="shared" si="112"/>
        <v>7.5884279509119768E-3</v>
      </c>
      <c r="N53" s="345">
        <f t="shared" si="112"/>
        <v>9.3973888294038421E-3</v>
      </c>
      <c r="O53" s="345">
        <f t="shared" si="112"/>
        <v>8.4675352638439987E-3</v>
      </c>
      <c r="P53" s="345">
        <f t="shared" si="112"/>
        <v>6.8788174908096947E-3</v>
      </c>
      <c r="Q53" s="345">
        <f t="shared" si="112"/>
        <v>9.3938015909107164E-3</v>
      </c>
      <c r="R53" s="345">
        <f t="shared" si="112"/>
        <v>8.0341732638288827E-3</v>
      </c>
      <c r="S53" s="345">
        <f t="shared" si="112"/>
        <v>6.896196390990557E-3</v>
      </c>
      <c r="T53" s="345">
        <f t="shared" si="112"/>
        <v>9.4294741207899737E-3</v>
      </c>
      <c r="U53" s="345">
        <f t="shared" si="112"/>
        <v>8.0562342250520558E-3</v>
      </c>
      <c r="V53" s="345">
        <f t="shared" si="112"/>
        <v>7.2101862947893253E-3</v>
      </c>
      <c r="W53" s="345">
        <f t="shared" si="112"/>
        <v>1.0253527250740106E-2</v>
      </c>
      <c r="X53" s="345">
        <f t="shared" si="112"/>
        <v>8.5222529765827514E-3</v>
      </c>
      <c r="Y53" s="345">
        <f t="shared" si="112"/>
        <v>7.8983308313037726E-3</v>
      </c>
      <c r="Z53" s="345">
        <f t="shared" si="112"/>
        <v>1.0964116937003136E-2</v>
      </c>
      <c r="AA53" s="345">
        <f t="shared" si="112"/>
        <v>9.2209081143112791E-3</v>
      </c>
      <c r="AB53" s="345">
        <f t="shared" si="112"/>
        <v>8.6565329129123375E-3</v>
      </c>
      <c r="AC53" s="345">
        <f t="shared" si="112"/>
        <v>1.3206332595008511E-2</v>
      </c>
      <c r="AD53" s="345">
        <f t="shared" si="112"/>
        <v>9.8324952554389809E-3</v>
      </c>
      <c r="AE53" s="345">
        <f t="shared" si="112"/>
        <v>8.8644282058397365E-3</v>
      </c>
      <c r="AF53" s="345">
        <f t="shared" si="112"/>
        <v>1.1481404039266771E-2</v>
      </c>
      <c r="AG53" s="345">
        <f t="shared" si="112"/>
        <v>1.0044734614919597E-2</v>
      </c>
      <c r="AH53" s="345">
        <f>-AH52/AH6</f>
        <v>8.9694744042645245E-3</v>
      </c>
      <c r="AI53" s="345">
        <f>-AI52/AI6</f>
        <v>1.1743277572736419E-2</v>
      </c>
      <c r="AJ53" s="345">
        <f t="shared" si="112"/>
        <v>1.0198706862527E-2</v>
      </c>
      <c r="AK53" s="345">
        <f>-AK52/AK6</f>
        <v>9.5534789237248299E-3</v>
      </c>
      <c r="AL53" s="345">
        <f>-AL52/AL6</f>
        <v>1.2062919238311121E-2</v>
      </c>
      <c r="AM53" s="345">
        <f t="shared" si="112"/>
        <v>1.0712635016877794E-2</v>
      </c>
      <c r="AN53" s="345">
        <f>-AN52/AN6</f>
        <v>9.3423285999687314E-3</v>
      </c>
      <c r="AO53" s="345">
        <f>-AO52/AO6</f>
        <v>1.0645661578646645E-2</v>
      </c>
      <c r="AP53" s="345">
        <f t="shared" si="112"/>
        <v>1.0342986804542813E-2</v>
      </c>
      <c r="AQ53" s="345">
        <f>-AQ52/AQ6</f>
        <v>8.7913768060545912E-3</v>
      </c>
      <c r="AR53" s="345">
        <f>-AR52/AR6</f>
        <v>1.0668364702463269E-2</v>
      </c>
      <c r="AS53" s="345">
        <f t="shared" si="112"/>
        <v>9.5771144278606977E-3</v>
      </c>
      <c r="AT53" s="345">
        <f>-AT52/AT6</f>
        <v>8.2660306791695996E-3</v>
      </c>
      <c r="AU53" s="345">
        <f>-AU52/AU6</f>
        <v>9.6697740559330073E-3</v>
      </c>
      <c r="AV53" s="345">
        <f>-AV52/AV6</f>
        <v>8.9141123090614657E-3</v>
      </c>
      <c r="AW53" s="345">
        <f>-AW52/AW6</f>
        <v>7.2065978094024057E-3</v>
      </c>
      <c r="AX53" s="345">
        <f>-AX52/AX6</f>
        <v>8.7649157337925891E-3</v>
      </c>
      <c r="AY53" s="345">
        <f t="shared" si="112"/>
        <v>7.9207362620326138E-3</v>
      </c>
      <c r="AZ53" s="345">
        <f>-AZ52/AZ6</f>
        <v>2.7307769323187833E-2</v>
      </c>
      <c r="BA53" s="345">
        <f>-BA52/BA6</f>
        <v>2.6964344878558495E-2</v>
      </c>
      <c r="BB53" s="345">
        <f>-BB52/BB6</f>
        <v>2.8956041874502774E-2</v>
      </c>
      <c r="BC53" s="345">
        <f t="shared" ref="BC53:BD53" si="113">-BC52/BC6</f>
        <v>2.2079656763539211E-2</v>
      </c>
      <c r="BD53" s="345">
        <f t="shared" si="113"/>
        <v>2.7522704973710028E-2</v>
      </c>
      <c r="BE53" s="345">
        <f t="shared" si="112"/>
        <v>2.4506230302486512E-2</v>
      </c>
      <c r="BF53" s="345">
        <f>-BF52/BF6</f>
        <v>2.2316837385330541E-2</v>
      </c>
      <c r="BG53" s="345">
        <f>-BG52/BG6</f>
        <v>2.5353530730858973E-2</v>
      </c>
      <c r="BH53" s="345">
        <f t="shared" ref="BH53:BW53" si="114">-BH52/BH6</f>
        <v>2.3754332755632584E-2</v>
      </c>
      <c r="BI53" s="345">
        <f>-BI52/BI6</f>
        <v>2.1483375959079291E-2</v>
      </c>
      <c r="BJ53" s="562">
        <f>-BJ52/BJ6</f>
        <v>2.5483566779364756E-2</v>
      </c>
      <c r="BK53" s="345">
        <f t="shared" ref="BK53" si="115">-BK52/BK6</f>
        <v>2.3290118839857061E-2</v>
      </c>
      <c r="BL53" s="562">
        <f>-BL52/BL6</f>
        <v>2.2955773812983086E-2</v>
      </c>
      <c r="BM53" s="562">
        <f>-BM52/BM6</f>
        <v>2.6770196149244956E-2</v>
      </c>
      <c r="BN53" s="345">
        <f t="shared" ref="BN53" si="116">-BN52/BN6</f>
        <v>2.4717484675367999E-2</v>
      </c>
      <c r="BO53" s="562">
        <f>-BO52/BO6</f>
        <v>2.2220654627539499E-2</v>
      </c>
      <c r="BP53" s="255">
        <f>-BP52/BP6</f>
        <v>2.7188600442224237E-2</v>
      </c>
      <c r="BQ53" s="345">
        <f t="shared" ref="BQ53" si="117">-BQ52/BQ6</f>
        <v>2.4519649827566603E-2</v>
      </c>
      <c r="BR53" s="1814">
        <f>-BR52/BR6</f>
        <v>2.2184608811397954E-2</v>
      </c>
      <c r="BS53" s="255">
        <f>-BS52/BS6</f>
        <v>2.6346779989389207E-2</v>
      </c>
      <c r="BT53" s="255">
        <f t="shared" si="114"/>
        <v>2.407540903788645E-2</v>
      </c>
      <c r="BU53" s="255">
        <f>-BU52/BU6</f>
        <v>2.1851301774261638E-2</v>
      </c>
      <c r="BV53" s="255">
        <f>-BV52/BV6</f>
        <v>2.5897148658539596E-2</v>
      </c>
      <c r="BW53" s="255">
        <f t="shared" si="114"/>
        <v>2.3691205389463441E-2</v>
      </c>
      <c r="BX53" s="255">
        <f>-BX52/BX6</f>
        <v>2.1196930975983571E-2</v>
      </c>
      <c r="BY53" s="255">
        <f>-BY52/BY6</f>
        <v>2.5859388182005245E-2</v>
      </c>
      <c r="BZ53" s="255">
        <f t="shared" ref="BZ53" si="118">-BZ52/BZ6</f>
        <v>2.3312309606948668E-2</v>
      </c>
      <c r="CA53" s="255">
        <f>-CA52/CA6</f>
        <v>2.0857175093241427E-2</v>
      </c>
      <c r="CB53" s="255">
        <f>-CB52/CB6</f>
        <v>2.5444397790955597E-2</v>
      </c>
      <c r="CC53" s="255">
        <f t="shared" ref="CC53" si="119">-CC52/CC6</f>
        <v>2.2938416563773847E-2</v>
      </c>
      <c r="CD53" s="140"/>
      <c r="CE53" s="86"/>
    </row>
    <row r="54" spans="1:83" ht="13.5" customHeight="1">
      <c r="A54" s="746"/>
      <c r="B54" s="828"/>
      <c r="C54" s="788"/>
      <c r="D54" s="788"/>
      <c r="E54" s="788"/>
      <c r="F54" s="788"/>
      <c r="G54" s="788"/>
      <c r="H54" s="788"/>
      <c r="I54" s="788"/>
      <c r="J54" s="788"/>
      <c r="K54" s="788"/>
      <c r="L54" s="788"/>
      <c r="M54" s="788"/>
      <c r="N54" s="788"/>
      <c r="O54" s="788"/>
      <c r="P54" s="788"/>
      <c r="Q54" s="788"/>
      <c r="R54" s="788"/>
      <c r="S54" s="788"/>
      <c r="T54" s="788"/>
      <c r="U54" s="788"/>
      <c r="V54" s="788"/>
      <c r="W54" s="788"/>
      <c r="X54" s="788"/>
      <c r="Y54" s="788"/>
      <c r="Z54" s="788"/>
      <c r="AA54" s="788"/>
      <c r="AB54" s="788"/>
      <c r="AC54" s="788"/>
      <c r="AD54" s="788"/>
      <c r="AE54" s="788"/>
      <c r="AF54" s="788"/>
      <c r="AG54" s="788"/>
      <c r="AH54" s="788"/>
      <c r="AI54" s="788"/>
      <c r="AJ54" s="788"/>
      <c r="AK54" s="788"/>
      <c r="AL54" s="788"/>
      <c r="AM54" s="788"/>
      <c r="AN54" s="788"/>
      <c r="AO54" s="788"/>
      <c r="AP54" s="788"/>
      <c r="AQ54" s="788"/>
      <c r="AR54" s="788"/>
      <c r="AS54" s="788"/>
      <c r="AT54" s="788"/>
      <c r="AU54" s="788"/>
      <c r="AV54" s="788"/>
      <c r="AW54" s="788"/>
      <c r="AX54" s="788"/>
      <c r="AY54" s="788"/>
      <c r="AZ54" s="788"/>
      <c r="BA54" s="788"/>
      <c r="BB54" s="1232"/>
      <c r="BC54" s="788"/>
      <c r="BD54" s="788"/>
      <c r="BE54" s="788"/>
      <c r="BF54" s="788"/>
      <c r="BG54" s="788"/>
      <c r="BH54" s="788"/>
      <c r="BI54" s="788"/>
      <c r="BJ54" s="562"/>
      <c r="BK54" s="788"/>
      <c r="BL54" s="568"/>
      <c r="BM54" s="562"/>
      <c r="BN54" s="788"/>
      <c r="BO54" s="568"/>
      <c r="BP54" s="155"/>
      <c r="BQ54" s="788"/>
      <c r="BR54" s="1818"/>
      <c r="BS54" s="155"/>
      <c r="BT54" s="155"/>
      <c r="BU54" s="155"/>
      <c r="BV54" s="155"/>
      <c r="BW54" s="155"/>
      <c r="BX54" s="155"/>
      <c r="BY54" s="155"/>
      <c r="BZ54" s="155"/>
      <c r="CA54" s="155"/>
      <c r="CB54" s="155"/>
      <c r="CC54" s="155"/>
      <c r="CD54" s="140"/>
      <c r="CE54" s="86"/>
    </row>
    <row r="55" spans="1:83" ht="12.75" customHeight="1">
      <c r="A55" s="746" t="s">
        <v>382</v>
      </c>
      <c r="B55" s="757" t="s">
        <v>417</v>
      </c>
      <c r="C55" s="811">
        <f t="shared" ref="C55:BE55" si="120">C58-C11</f>
        <v>-63.152999999999963</v>
      </c>
      <c r="D55" s="811">
        <f t="shared" si="120"/>
        <v>-40.030999999999977</v>
      </c>
      <c r="E55" s="811">
        <f t="shared" si="120"/>
        <v>-43.173000000000059</v>
      </c>
      <c r="F55" s="811">
        <f t="shared" si="120"/>
        <v>-83.204000000000036</v>
      </c>
      <c r="G55" s="811">
        <f t="shared" si="120"/>
        <v>-61.936</v>
      </c>
      <c r="H55" s="811">
        <f t="shared" si="120"/>
        <v>-59.713000000000044</v>
      </c>
      <c r="I55" s="811">
        <f t="shared" si="120"/>
        <v>-121.64900000000004</v>
      </c>
      <c r="J55" s="811">
        <f t="shared" si="120"/>
        <v>-83.712000000000018</v>
      </c>
      <c r="K55" s="811">
        <f t="shared" si="120"/>
        <v>-84.153000000000034</v>
      </c>
      <c r="L55" s="811">
        <f t="shared" si="120"/>
        <v>-167.86500000000004</v>
      </c>
      <c r="M55" s="811">
        <f t="shared" si="120"/>
        <v>-104.08800000000004</v>
      </c>
      <c r="N55" s="811">
        <f t="shared" si="120"/>
        <v>-113.73699999999999</v>
      </c>
      <c r="O55" s="811">
        <f t="shared" si="120"/>
        <v>-217.82500000000005</v>
      </c>
      <c r="P55" s="811">
        <f t="shared" si="120"/>
        <v>-148.51000000000005</v>
      </c>
      <c r="Q55" s="811">
        <f t="shared" si="120"/>
        <v>-148.88199999999998</v>
      </c>
      <c r="R55" s="811">
        <f t="shared" si="120"/>
        <v>-297.39200000000005</v>
      </c>
      <c r="S55" s="811">
        <f t="shared" si="120"/>
        <v>-180.2820000000001</v>
      </c>
      <c r="T55" s="811">
        <f t="shared" si="120"/>
        <v>-181.34300000000002</v>
      </c>
      <c r="U55" s="811">
        <f t="shared" si="120"/>
        <v>-361.62500000000011</v>
      </c>
      <c r="V55" s="811">
        <f t="shared" si="120"/>
        <v>-216.40599999999998</v>
      </c>
      <c r="W55" s="811">
        <f t="shared" si="120"/>
        <v>-202.66200000000035</v>
      </c>
      <c r="X55" s="811">
        <f t="shared" si="120"/>
        <v>-419.06800000000032</v>
      </c>
      <c r="Y55" s="811">
        <f t="shared" si="120"/>
        <v>-235.46499999999997</v>
      </c>
      <c r="Z55" s="811">
        <f t="shared" si="120"/>
        <v>-220.55100000000002</v>
      </c>
      <c r="AA55" s="811">
        <f t="shared" si="120"/>
        <v>-456.01599999999996</v>
      </c>
      <c r="AB55" s="811">
        <f t="shared" si="120"/>
        <v>-256.22900000000004</v>
      </c>
      <c r="AC55" s="811">
        <f t="shared" si="120"/>
        <v>-244.61999999999992</v>
      </c>
      <c r="AD55" s="811">
        <f t="shared" si="120"/>
        <v>-498.37099999999992</v>
      </c>
      <c r="AE55" s="811">
        <f t="shared" si="120"/>
        <v>-267.2</v>
      </c>
      <c r="AF55" s="811">
        <f t="shared" si="120"/>
        <v>-267.25300000000016</v>
      </c>
      <c r="AG55" s="811">
        <f t="shared" si="120"/>
        <v>-534.45300000000009</v>
      </c>
      <c r="AH55" s="811">
        <f>AH58-AH11</f>
        <v>-286.66499999999996</v>
      </c>
      <c r="AI55" s="811">
        <f>AI58-AI11</f>
        <v>-278.19600000000025</v>
      </c>
      <c r="AJ55" s="811">
        <f t="shared" si="120"/>
        <v>-564.86100000000022</v>
      </c>
      <c r="AK55" s="811">
        <f>AK58-AK11</f>
        <v>-297.27999999999997</v>
      </c>
      <c r="AL55" s="811">
        <f>AL58-AL11</f>
        <v>-300.06600000000014</v>
      </c>
      <c r="AM55" s="811">
        <f t="shared" si="120"/>
        <v>-597.34600000000012</v>
      </c>
      <c r="AN55" s="811">
        <f>AN58-AN11</f>
        <v>-321.41300000000001</v>
      </c>
      <c r="AO55" s="811">
        <f>AO58-AO11</f>
        <v>-322.81999999999988</v>
      </c>
      <c r="AP55" s="811">
        <f t="shared" si="120"/>
        <v>-644.23299999999995</v>
      </c>
      <c r="AQ55" s="811">
        <f>AQ58-AQ11</f>
        <v>-390.3</v>
      </c>
      <c r="AR55" s="811">
        <f>AR58-AR11</f>
        <v>-533.73832000000039</v>
      </c>
      <c r="AS55" s="811">
        <f t="shared" si="120"/>
        <v>-924.03832000000023</v>
      </c>
      <c r="AT55" s="811">
        <f>AT58-AT11</f>
        <v>-568.09999999999991</v>
      </c>
      <c r="AU55" s="811">
        <f>AU58-AU11</f>
        <v>-551.60000000000036</v>
      </c>
      <c r="AV55" s="811">
        <f>AV58-AV11</f>
        <v>-1119.7000000000003</v>
      </c>
      <c r="AW55" s="811">
        <f>AW58-AW11</f>
        <v>-591.4</v>
      </c>
      <c r="AX55" s="811">
        <f>AX58-AX11</f>
        <v>-561.89999999999907</v>
      </c>
      <c r="AY55" s="811">
        <f t="shared" si="120"/>
        <v>-1153.299999999999</v>
      </c>
      <c r="AZ55" s="811">
        <f>AZ58-AZ11</f>
        <v>-597.20000000000005</v>
      </c>
      <c r="BA55" s="811">
        <f>BA58-BA11</f>
        <v>-593.99999999999977</v>
      </c>
      <c r="BB55" s="811">
        <f>BB58-BB11</f>
        <v>-1191.1999999999998</v>
      </c>
      <c r="BC55" s="811">
        <f t="shared" ref="BC55:BD55" si="121">BC58-BC11</f>
        <v>-622.40000000000009</v>
      </c>
      <c r="BD55" s="811">
        <f t="shared" si="121"/>
        <v>-611.69999999999993</v>
      </c>
      <c r="BE55" s="811">
        <f t="shared" si="120"/>
        <v>-1234.0999999999999</v>
      </c>
      <c r="BF55" s="811">
        <f>BF58-BF11</f>
        <v>-643.90000000000009</v>
      </c>
      <c r="BG55" s="811">
        <f>BG58-BG11</f>
        <v>-641.89999999999986</v>
      </c>
      <c r="BH55" s="811">
        <f t="shared" ref="BH55:BW55" si="122">BH58-BH11</f>
        <v>-1285.8000000000002</v>
      </c>
      <c r="BI55" s="811">
        <f>BI58-BI11</f>
        <v>-722.59999999999991</v>
      </c>
      <c r="BJ55" s="87">
        <f>BJ58-BJ11</f>
        <v>-690.89999999999986</v>
      </c>
      <c r="BK55" s="811">
        <f t="shared" ref="BK55" si="123">BK58-BK11</f>
        <v>-1413.5</v>
      </c>
      <c r="BL55" s="87">
        <f>BL58-BL11</f>
        <v>-760.09999999999991</v>
      </c>
      <c r="BM55" s="87">
        <f>BM58-BM11</f>
        <v>-733.10000000000014</v>
      </c>
      <c r="BN55" s="811">
        <f t="shared" ref="BN55" si="124">BN58-BN11</f>
        <v>-1493.2000000000003</v>
      </c>
      <c r="BO55" s="87">
        <f>BO58-BO11</f>
        <v>-834.3</v>
      </c>
      <c r="BP55" s="87">
        <f>BP58-BP11</f>
        <v>-818.3</v>
      </c>
      <c r="BQ55" s="811">
        <f t="shared" ref="BQ55" si="125">BQ58-BQ11</f>
        <v>-1652.6000000000001</v>
      </c>
      <c r="BR55" s="1819">
        <f>BR58-BR11</f>
        <v>-903.40000000000009</v>
      </c>
      <c r="BS55" s="87">
        <f>BS58-BS11</f>
        <v>-846.27483756906088</v>
      </c>
      <c r="BT55" s="87">
        <f t="shared" si="122"/>
        <v>-1749.6748375690609</v>
      </c>
      <c r="BU55" s="87">
        <f>BU58-BU11</f>
        <v>-937.79250000000002</v>
      </c>
      <c r="BV55" s="87">
        <f>BV58-BV11</f>
        <v>-878.30428544613255</v>
      </c>
      <c r="BW55" s="87">
        <f t="shared" si="122"/>
        <v>-1816.096785446133</v>
      </c>
      <c r="BX55" s="87">
        <f>BX58-BX11</f>
        <v>-972.27706749999993</v>
      </c>
      <c r="BY55" s="87">
        <f>BY58-BY11</f>
        <v>-913.75493703326651</v>
      </c>
      <c r="BZ55" s="87">
        <f t="shared" ref="BZ55" si="126">BZ58-BZ11</f>
        <v>-1886.0320045332664</v>
      </c>
      <c r="CA55" s="87">
        <f>CA58-CA11</f>
        <v>-1009.9128264625001</v>
      </c>
      <c r="CB55" s="87">
        <f>CB58-CB11</f>
        <v>-948.85173558533324</v>
      </c>
      <c r="CC55" s="87">
        <f t="shared" ref="CC55" si="127">CC58-CC11</f>
        <v>-1958.7645620478334</v>
      </c>
      <c r="CD55" s="86"/>
      <c r="CE55" s="86"/>
    </row>
    <row r="56" spans="1:83" ht="12.75" customHeight="1">
      <c r="A56" s="746" t="s">
        <v>2</v>
      </c>
      <c r="B56" s="828" t="s">
        <v>383</v>
      </c>
      <c r="C56" s="829">
        <f t="shared" ref="C56:BE56" si="128">-C55/C6</f>
        <v>0.17747832562845128</v>
      </c>
      <c r="D56" s="439">
        <f t="shared" si="128"/>
        <v>0.17063585096270648</v>
      </c>
      <c r="E56" s="439">
        <f t="shared" si="128"/>
        <v>0.19826137271650204</v>
      </c>
      <c r="F56" s="829">
        <f t="shared" si="128"/>
        <v>0.18393437041982336</v>
      </c>
      <c r="G56" s="439">
        <f t="shared" si="128"/>
        <v>0.16464589807457658</v>
      </c>
      <c r="H56" s="439">
        <f t="shared" si="128"/>
        <v>0.18791500664010641</v>
      </c>
      <c r="I56" s="829">
        <f t="shared" si="128"/>
        <v>0.17530114144821698</v>
      </c>
      <c r="J56" s="439">
        <f t="shared" si="128"/>
        <v>0.16419397610211914</v>
      </c>
      <c r="K56" s="439">
        <f t="shared" si="128"/>
        <v>0.19301810842116135</v>
      </c>
      <c r="L56" s="829">
        <f t="shared" si="128"/>
        <v>0.17748072838306617</v>
      </c>
      <c r="M56" s="439">
        <f t="shared" si="128"/>
        <v>0.15797285771090522</v>
      </c>
      <c r="N56" s="439">
        <f t="shared" si="128"/>
        <v>0.18258128002902371</v>
      </c>
      <c r="O56" s="829">
        <f t="shared" si="128"/>
        <v>0.16993190241817022</v>
      </c>
      <c r="P56" s="439">
        <f t="shared" si="128"/>
        <v>0.15023135081766889</v>
      </c>
      <c r="Q56" s="439">
        <f t="shared" si="128"/>
        <v>0.17723583429957784</v>
      </c>
      <c r="R56" s="829">
        <f t="shared" si="128"/>
        <v>0.16263691071244979</v>
      </c>
      <c r="S56" s="439">
        <f t="shared" si="128"/>
        <v>0.14290345721385747</v>
      </c>
      <c r="T56" s="439">
        <f t="shared" si="128"/>
        <v>0.17016311329350353</v>
      </c>
      <c r="U56" s="829">
        <f t="shared" si="128"/>
        <v>0.15538619135070941</v>
      </c>
      <c r="V56" s="439">
        <f t="shared" si="128"/>
        <v>0.13927765556638225</v>
      </c>
      <c r="W56" s="439">
        <f t="shared" si="128"/>
        <v>0.1721053784735376</v>
      </c>
      <c r="X56" s="829">
        <f t="shared" si="128"/>
        <v>0.15343057569233934</v>
      </c>
      <c r="Y56" s="439">
        <f t="shared" si="128"/>
        <v>0.13993833477749765</v>
      </c>
      <c r="Z56" s="439">
        <f t="shared" si="128"/>
        <v>0.17276180285582463</v>
      </c>
      <c r="AA56" s="829">
        <f t="shared" si="128"/>
        <v>0.15409834846834655</v>
      </c>
      <c r="AB56" s="439">
        <f>-AB55/AB6</f>
        <v>0.14437640901794022</v>
      </c>
      <c r="AC56" s="439">
        <f t="shared" si="128"/>
        <v>0.18078980801337405</v>
      </c>
      <c r="AD56" s="829">
        <f t="shared" si="128"/>
        <v>0.15933636252026986</v>
      </c>
      <c r="AE56" s="439">
        <f t="shared" si="128"/>
        <v>0.14711647308076869</v>
      </c>
      <c r="AF56" s="439">
        <f t="shared" si="128"/>
        <v>0.17910574793988826</v>
      </c>
      <c r="AG56" s="829">
        <f t="shared" si="128"/>
        <v>0.16154425099746103</v>
      </c>
      <c r="AH56" s="439">
        <f>-AH55/AH6</f>
        <v>0.14777209081025797</v>
      </c>
      <c r="AI56" s="439">
        <f>-AI55/AI6</f>
        <v>0.18019486197600579</v>
      </c>
      <c r="AJ56" s="829">
        <f t="shared" si="128"/>
        <v>0.16214049414787127</v>
      </c>
      <c r="AK56" s="439">
        <f>-AK55/AK6</f>
        <v>0.15127613798044726</v>
      </c>
      <c r="AL56" s="439">
        <f>-AL55/AL6</f>
        <v>0.1778708562242293</v>
      </c>
      <c r="AM56" s="829">
        <f t="shared" si="128"/>
        <v>0.16356072172558747</v>
      </c>
      <c r="AN56" s="439">
        <f>-AN55/AN6</f>
        <v>0.1518378773413101</v>
      </c>
      <c r="AO56" s="439">
        <f>-AO55/AO6</f>
        <v>0.17567001333224491</v>
      </c>
      <c r="AP56" s="829">
        <f t="shared" si="128"/>
        <v>0.16291272629155837</v>
      </c>
      <c r="AQ56" s="439">
        <f>-AQ55/AQ6</f>
        <v>0.14918584206100452</v>
      </c>
      <c r="AR56" s="439">
        <f>-AR55/AR6</f>
        <v>0.1772157248157249</v>
      </c>
      <c r="AS56" s="829">
        <f t="shared" si="128"/>
        <v>0.16418591329068946</v>
      </c>
      <c r="AT56" s="439">
        <f>-AT55/AT6</f>
        <v>0.15396498455200822</v>
      </c>
      <c r="AU56" s="439">
        <f>-AU55/AU6</f>
        <v>0.17430873755727613</v>
      </c>
      <c r="AV56" s="829">
        <f>-AV55/AV6</f>
        <v>0.16335730855083674</v>
      </c>
      <c r="AW56" s="439">
        <f>-AW55/AW6</f>
        <v>0.15386216406067071</v>
      </c>
      <c r="AX56" s="439">
        <f>-AX55/AX6</f>
        <v>0.1728072333620369</v>
      </c>
      <c r="AY56" s="829">
        <f t="shared" si="128"/>
        <v>0.16254421941285063</v>
      </c>
      <c r="AZ56" s="439">
        <f>-AZ55/AZ6</f>
        <v>0.14947937525030039</v>
      </c>
      <c r="BA56" s="439">
        <f>-BA55/BA6</f>
        <v>0.15138772077375942</v>
      </c>
      <c r="BB56" s="829">
        <f>-BB55/BB6</f>
        <v>0.15042493275581204</v>
      </c>
      <c r="BC56" s="439">
        <f t="shared" ref="BC56:BD56" si="129">-BC55/BC6</f>
        <v>0.12596130494616695</v>
      </c>
      <c r="BD56" s="439">
        <f t="shared" si="129"/>
        <v>0.15389066391607331</v>
      </c>
      <c r="BE56" s="829">
        <f t="shared" si="128"/>
        <v>0.13841253462836889</v>
      </c>
      <c r="BF56" s="439">
        <f>-BF55/BF6</f>
        <v>0.13244065983792014</v>
      </c>
      <c r="BG56" s="439">
        <f>-BG55/BG6</f>
        <v>0.14688114960413709</v>
      </c>
      <c r="BH56" s="829">
        <f t="shared" ref="BH56:BW56" si="130">-BH55/BH6</f>
        <v>0.13927642980935878</v>
      </c>
      <c r="BI56" s="439">
        <f>-BI55/BI6</f>
        <v>0.13689495121720183</v>
      </c>
      <c r="BJ56" s="437">
        <f>-BJ55/BJ6</f>
        <v>0.15890429862692332</v>
      </c>
      <c r="BK56" s="829">
        <f t="shared" ref="BK56" si="131">-BK55/BK6</f>
        <v>0.14683578492479016</v>
      </c>
      <c r="BL56" s="48">
        <f>-BL55/BL6</f>
        <v>0.14724627574049318</v>
      </c>
      <c r="BM56" s="437">
        <f>-BM55/BM6</f>
        <v>0.16547412139132797</v>
      </c>
      <c r="BN56" s="829">
        <f t="shared" ref="BN56" si="132">-BN55/BN6</f>
        <v>0.1556649013802594</v>
      </c>
      <c r="BO56" s="48">
        <f>-BO55/BO6</f>
        <v>0.14713247742663657</v>
      </c>
      <c r="BP56" s="437">
        <f>-BP55/BP6</f>
        <v>0.16753337155024156</v>
      </c>
      <c r="BQ56" s="829">
        <f t="shared" ref="BQ56" si="133">-BQ55/BQ6</f>
        <v>0.15657331261606094</v>
      </c>
      <c r="BR56" s="1820">
        <f>-BR55/BR6</f>
        <v>0.14845611555716234</v>
      </c>
      <c r="BS56" s="437">
        <f>-BS55/BS6</f>
        <v>0.16705976122178279</v>
      </c>
      <c r="BT56" s="437">
        <f t="shared" si="130"/>
        <v>0.15690742040069658</v>
      </c>
      <c r="BU56" s="437">
        <f>-BU55/BU6</f>
        <v>0.14802926288097595</v>
      </c>
      <c r="BV56" s="437">
        <f>-BV55/BV6</f>
        <v>0.16622069345300616</v>
      </c>
      <c r="BW56" s="437">
        <f t="shared" si="130"/>
        <v>0.15630206208285291</v>
      </c>
      <c r="BX56" s="437">
        <f>-BX55/BX6</f>
        <v>0.14699813991608987</v>
      </c>
      <c r="BY56" s="437">
        <f>-BY55/BY6</f>
        <v>0.16634347244463588</v>
      </c>
      <c r="BZ56" s="437">
        <f t="shared" ref="BZ56" si="134">-BZ55/BZ6</f>
        <v>0.15577520772208445</v>
      </c>
      <c r="CA56" s="437">
        <f>-CA55/CA6</f>
        <v>0.1465237581502592</v>
      </c>
      <c r="CB56" s="437">
        <f>-CB55/CB6</f>
        <v>0.16575928311951207</v>
      </c>
      <c r="CC56" s="437">
        <f t="shared" ref="CC56" si="135">-CC55/CC6</f>
        <v>0.15525099354116792</v>
      </c>
      <c r="CD56" s="86"/>
      <c r="CE56" s="86"/>
    </row>
    <row r="57" spans="1:83">
      <c r="A57" s="746"/>
      <c r="B57" s="830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  <c r="AA57" s="342"/>
      <c r="AB57" s="342"/>
      <c r="AC57" s="342"/>
      <c r="AD57" s="342"/>
      <c r="AE57" s="342"/>
      <c r="AF57" s="342"/>
      <c r="AG57" s="342"/>
      <c r="AH57" s="342"/>
      <c r="AI57" s="342"/>
      <c r="AJ57" s="342"/>
      <c r="AK57" s="342"/>
      <c r="AL57" s="342"/>
      <c r="AM57" s="342"/>
      <c r="AN57" s="342"/>
      <c r="AO57" s="342"/>
      <c r="AP57" s="342"/>
      <c r="AQ57" s="342"/>
      <c r="AR57" s="342"/>
      <c r="AS57" s="342"/>
      <c r="AT57" s="342"/>
      <c r="AU57" s="342"/>
      <c r="AV57" s="342"/>
      <c r="AW57" s="342"/>
      <c r="AX57" s="342"/>
      <c r="AY57" s="342"/>
      <c r="AZ57" s="342"/>
      <c r="BA57" s="342"/>
      <c r="BB57" s="342"/>
      <c r="BC57" s="342"/>
      <c r="BD57" s="342"/>
      <c r="BE57" s="342"/>
      <c r="BF57" s="342"/>
      <c r="BG57" s="342"/>
      <c r="BH57" s="342"/>
      <c r="BI57" s="342"/>
      <c r="BJ57" s="81"/>
      <c r="BK57" s="342"/>
      <c r="BL57" s="81"/>
      <c r="BM57" s="81"/>
      <c r="BN57" s="342"/>
      <c r="BO57" s="81"/>
      <c r="BP57" s="81"/>
      <c r="BQ57" s="342"/>
      <c r="BR57" s="182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6"/>
      <c r="CE57" s="86"/>
    </row>
    <row r="58" spans="1:83">
      <c r="A58" s="746" t="s">
        <v>384</v>
      </c>
      <c r="B58" s="82" t="s">
        <v>277</v>
      </c>
      <c r="C58" s="139">
        <f>VLOOKUP($A$58,Drivers!1:1048576,MATCH('P&amp;L'!C4,Drivers!2:2,FALSE),FALSE)</f>
        <v>16.781000000000002</v>
      </c>
      <c r="D58" s="139">
        <f>VLOOKUP($A$58,Drivers!1:1048576,MATCH('P&amp;L'!D4,Drivers!2:2,FALSE),FALSE)</f>
        <v>14.5</v>
      </c>
      <c r="E58" s="139">
        <f>VLOOKUP($A$58,Drivers!1:1048576,MATCH('P&amp;L'!E4,Drivers!2:2,FALSE),FALSE)</f>
        <v>8.2319999999999993</v>
      </c>
      <c r="F58" s="139">
        <f>VLOOKUP($A$58,Drivers!1:1048576,MATCH('P&amp;L'!F4,Drivers!2:2,FALSE),FALSE)</f>
        <v>22.731999999999999</v>
      </c>
      <c r="G58" s="139">
        <f>VLOOKUP($A$58,Drivers!1:1048576,MATCH('P&amp;L'!G4,Drivers!2:2,FALSE),FALSE)</f>
        <v>24.6</v>
      </c>
      <c r="H58" s="139">
        <f>VLOOKUP($A$58,Drivers!1:1048576,MATCH('P&amp;L'!H4,Drivers!2:2,FALSE),FALSE)</f>
        <v>12.431999999999995</v>
      </c>
      <c r="I58" s="83">
        <f>VLOOKUP($A$58,Drivers!1:1048576,MATCH('P&amp;L'!I4,Drivers!2:2,FALSE),FALSE)</f>
        <v>37.031999999999996</v>
      </c>
      <c r="J58" s="139">
        <f>VLOOKUP($A$58,Drivers!1:1048576,MATCH('P&amp;L'!J4,Drivers!2:2,FALSE),FALSE)</f>
        <v>31.1</v>
      </c>
      <c r="K58" s="139">
        <f>VLOOKUP($A$58,Drivers!1:1048576,MATCH('P&amp;L'!K4,Drivers!2:2,FALSE),FALSE)</f>
        <v>13.460999999999999</v>
      </c>
      <c r="L58" s="139">
        <f>VLOOKUP($A$58,Drivers!1:1048576,MATCH('P&amp;L'!L4,Drivers!2:2,FALSE),FALSE)</f>
        <v>44.561</v>
      </c>
      <c r="M58" s="139">
        <f>VLOOKUP($A$58,Drivers!1:1048576,MATCH('P&amp;L'!M4,Drivers!2:2,FALSE),FALSE)</f>
        <v>41.8</v>
      </c>
      <c r="N58" s="139">
        <f>VLOOKUP($A$58,Drivers!1:1048576,MATCH('P&amp;L'!N4,Drivers!2:2,FALSE),FALSE)</f>
        <v>23.734000000000009</v>
      </c>
      <c r="O58" s="139">
        <f>VLOOKUP($A$58,Drivers!1:1048576,MATCH('P&amp;L'!O4,Drivers!2:2,FALSE),FALSE)</f>
        <v>65.534000000000006</v>
      </c>
      <c r="P58" s="139">
        <f>VLOOKUP($A$58,Drivers!1:1048576,MATCH('P&amp;L'!P4,Drivers!2:2,FALSE),FALSE)</f>
        <v>64.8</v>
      </c>
      <c r="Q58" s="139">
        <f>VLOOKUP($A$58,Drivers!1:1048576,MATCH('P&amp;L'!Q4,Drivers!2:2,FALSE),FALSE)</f>
        <v>37.498999999999995</v>
      </c>
      <c r="R58" s="139">
        <f>VLOOKUP($A$58,Drivers!1:1048576,MATCH('P&amp;L'!R4,Drivers!2:2,FALSE),FALSE)</f>
        <v>102.29899999999999</v>
      </c>
      <c r="S58" s="139">
        <f>VLOOKUP($A$58,Drivers!1:1048576,MATCH('P&amp;L'!S4,Drivers!2:2,FALSE),FALSE)</f>
        <v>89.2</v>
      </c>
      <c r="T58" s="139">
        <f>VLOOKUP($A$58,Drivers!1:1048576,MATCH('P&amp;L'!T4,Drivers!2:2,FALSE),FALSE)</f>
        <v>52.766000000000005</v>
      </c>
      <c r="U58" s="139">
        <f>VLOOKUP($A$58,Drivers!1:1048576,MATCH('P&amp;L'!U4,Drivers!2:2,FALSE),FALSE)</f>
        <v>141.96600000000001</v>
      </c>
      <c r="V58" s="139">
        <f>VLOOKUP($A$58,Drivers!1:1048576,MATCH('P&amp;L'!V4,Drivers!2:2,FALSE),FALSE)</f>
        <v>111.4</v>
      </c>
      <c r="W58" s="139">
        <f>VLOOKUP($A$58,Drivers!1:1048576,MATCH('P&amp;L'!W4,Drivers!2:2,FALSE),FALSE)</f>
        <v>63.710000000000008</v>
      </c>
      <c r="X58" s="139">
        <f>VLOOKUP($A$58,Drivers!1:1048576,MATCH('P&amp;L'!X4,Drivers!2:2,FALSE),FALSE)</f>
        <v>175.11</v>
      </c>
      <c r="Y58" s="139">
        <f>VLOOKUP($A$58,Drivers!1:1048576,MATCH('P&amp;L'!Y4,Drivers!2:2,FALSE),FALSE)</f>
        <v>127</v>
      </c>
      <c r="Z58" s="139">
        <f>VLOOKUP($A$58,Drivers!1:1048576,MATCH('P&amp;L'!Z4,Drivers!2:2,FALSE),FALSE)</f>
        <v>69.013000000000005</v>
      </c>
      <c r="AA58" s="139">
        <f>VLOOKUP($A$58,Drivers!1:1048576,MATCH('P&amp;L'!AA4,Drivers!2:2,FALSE),FALSE)</f>
        <v>196.01300000000001</v>
      </c>
      <c r="AB58" s="139">
        <f>VLOOKUP($A$58,Drivers!1:1048576,MATCH('P&amp;L'!AB4,Drivers!2:2,FALSE),FALSE)</f>
        <v>120.73699999999999</v>
      </c>
      <c r="AC58" s="139">
        <f>VLOOKUP($A$58,Drivers!1:1048576,MATCH('P&amp;L'!AC4,Drivers!2:2,FALSE),FALSE)</f>
        <v>38.244</v>
      </c>
      <c r="AD58" s="139">
        <f>VLOOKUP($A$58,Drivers!1:1048576,MATCH('P&amp;L'!AD4,Drivers!2:2,FALSE),FALSE)</f>
        <v>161.459</v>
      </c>
      <c r="AE58" s="139">
        <f>VLOOKUP($A$58,Drivers!1:1048576,MATCH('P&amp;L'!AE4,Drivers!2:2,FALSE),FALSE)</f>
        <v>123.7</v>
      </c>
      <c r="AF58" s="139">
        <f>VLOOKUP($A$58,Drivers!1:1048576,MATCH('P&amp;L'!AF4,Drivers!2:2,FALSE),FALSE)</f>
        <v>54.053000000000011</v>
      </c>
      <c r="AG58" s="139">
        <f>VLOOKUP($A$58,Drivers!1:1048576,MATCH('P&amp;L'!AG4,Drivers!2:2,FALSE),FALSE)</f>
        <v>177.75300000000001</v>
      </c>
      <c r="AH58" s="139">
        <f>VLOOKUP($A$58,Drivers!1:1048576,MATCH('P&amp;L'!AH4,Drivers!2:2,FALSE),FALSE)</f>
        <v>132.9</v>
      </c>
      <c r="AI58" s="139">
        <f>VLOOKUP($A$58,Drivers!1:1048576,MATCH('P&amp;L'!AI4,Drivers!2:2,FALSE),FALSE)</f>
        <v>58.22</v>
      </c>
      <c r="AJ58" s="139">
        <f>VLOOKUP($A$58,Drivers!1:1048576,MATCH('P&amp;L'!AJ4,Drivers!2:2,FALSE),FALSE)</f>
        <v>191.12</v>
      </c>
      <c r="AK58" s="139">
        <f>VLOOKUP($A$58,Drivers!1:1048576,MATCH('P&amp;L'!AK4,Drivers!2:2,FALSE),FALSE)</f>
        <v>129.971</v>
      </c>
      <c r="AL58" s="139">
        <f>VLOOKUP($A$58,Drivers!1:1048576,MATCH('P&amp;L'!AL4,Drivers!2:2,FALSE),FALSE)</f>
        <v>70.936000000000007</v>
      </c>
      <c r="AM58" s="139">
        <f>VLOOKUP($A$58,Drivers!1:1048576,MATCH('P&amp;L'!AM4,Drivers!2:2,FALSE),FALSE)</f>
        <v>200.90700000000001</v>
      </c>
      <c r="AN58" s="139">
        <f>VLOOKUP($A$58,Drivers!1:1048576,MATCH('P&amp;L'!AN4,Drivers!2:2,FALSE),FALSE)</f>
        <v>138.15899999999999</v>
      </c>
      <c r="AO58" s="139">
        <f>VLOOKUP($A$58,Drivers!1:1048576,MATCH('P&amp;L'!AO4,Drivers!2:2,FALSE),FALSE)</f>
        <v>83.01600000000002</v>
      </c>
      <c r="AP58" s="139">
        <f>VLOOKUP($A$58,Drivers!1:1048576,MATCH('P&amp;L'!AP4,Drivers!2:2,FALSE),FALSE)</f>
        <v>221.17500000000001</v>
      </c>
      <c r="AQ58" s="139">
        <f>VLOOKUP($A$58,Drivers!1:1048576,MATCH('P&amp;L'!AQ4,Drivers!2:2,FALSE),FALSE)</f>
        <v>180.8</v>
      </c>
      <c r="AR58" s="139">
        <f>VLOOKUP($A$58,Drivers!1:1048576,MATCH('P&amp;L'!AR4,Drivers!2:2,FALSE),FALSE)</f>
        <v>125.59999999999997</v>
      </c>
      <c r="AS58" s="139">
        <f>VLOOKUP($A$58,Drivers!1:1048576,MATCH('P&amp;L'!AS4,Drivers!2:2,FALSE),FALSE)</f>
        <v>306.39999999999998</v>
      </c>
      <c r="AT58" s="139">
        <f>VLOOKUP($A$58,Drivers!1:1048576,MATCH('P&amp;L'!AT4,Drivers!2:2,FALSE),FALSE)</f>
        <v>225.8</v>
      </c>
      <c r="AU58" s="139">
        <f>VLOOKUP($A$58,Drivers!1:1048576,MATCH('P&amp;L'!AU4,Drivers!2:2,FALSE),FALSE)</f>
        <v>124.79999999999995</v>
      </c>
      <c r="AV58" s="139">
        <f>VLOOKUP($A$58,Drivers!1:1048576,MATCH('P&amp;L'!AV4,Drivers!2:2,FALSE),FALSE)</f>
        <v>350.59999999999997</v>
      </c>
      <c r="AW58" s="139">
        <f>VLOOKUP($A$58,Drivers!1:1048576,MATCH('P&amp;L'!AW4,Drivers!2:2,FALSE),FALSE)</f>
        <v>236.6</v>
      </c>
      <c r="AX58" s="139">
        <f>VLOOKUP($A$58,Drivers!1:1048576,MATCH('P&amp;L'!AX4,Drivers!2:2,FALSE),FALSE)</f>
        <v>136.30000000000004</v>
      </c>
      <c r="AY58" s="139">
        <f>VLOOKUP($A$58,Drivers!1:1048576,MATCH('P&amp;L'!AY4,Drivers!2:2,FALSE),FALSE)</f>
        <v>372.90000000000003</v>
      </c>
      <c r="AZ58" s="139">
        <f>VLOOKUP($A$58,Drivers!1:1048576,MATCH('P&amp;L'!AZ4,Drivers!2:2,FALSE),FALSE)</f>
        <v>263</v>
      </c>
      <c r="BA58" s="139">
        <f>VLOOKUP($A$58,Drivers!1:1048576,MATCH('P&amp;L'!BA4,Drivers!2:2,FALSE),FALSE)</f>
        <v>239.90000000000003</v>
      </c>
      <c r="BB58" s="139">
        <f>VLOOKUP($A$58,Drivers!1:1048576,MATCH('P&amp;L'!BB4,Drivers!2:2,FALSE),FALSE)</f>
        <v>502.90000000000003</v>
      </c>
      <c r="BC58" s="139">
        <f>VLOOKUP($A$58,Drivers!1:1048576,MATCH('P&amp;L'!BC4,Drivers!2:2,FALSE),FALSE)</f>
        <v>462.8</v>
      </c>
      <c r="BD58" s="139">
        <f>VLOOKUP($A$58,Drivers!1:1048576,MATCH('P&amp;L'!BD4,Drivers!2:2,FALSE),FALSE)</f>
        <v>280.30000000000007</v>
      </c>
      <c r="BE58" s="139">
        <f>VLOOKUP($A$58,Drivers!1:1048576,MATCH('P&amp;L'!BE4,Drivers!2:2,FALSE),FALSE)</f>
        <v>743.1</v>
      </c>
      <c r="BF58" s="139">
        <f>VLOOKUP($A$58,Drivers!1:1048576,MATCH('P&amp;L'!BF4,Drivers!2:2,FALSE),FALSE)</f>
        <v>420.5</v>
      </c>
      <c r="BG58" s="139">
        <f>VLOOKUP($A$58,Drivers!1:1048576,MATCH('P&amp;L'!BG4,Drivers!2:2,FALSE),FALSE)</f>
        <v>374.10000000000008</v>
      </c>
      <c r="BH58" s="1144">
        <f>VLOOKUP($A$58,Drivers!1:1048576,MATCH('P&amp;L'!BH4,Drivers!2:2,FALSE),FALSE)</f>
        <v>794.59999999999991</v>
      </c>
      <c r="BI58" s="139">
        <f>VLOOKUP($A$58,Drivers!1:1048576,MATCH('P&amp;L'!BI4,Drivers!2:2,FALSE),FALSE)</f>
        <v>479.2</v>
      </c>
      <c r="BJ58" s="139">
        <f>VLOOKUP($A$58,Drivers!1:1048576,MATCH('P&amp;L'!BJ4,Drivers!2:2,FALSE),FALSE)</f>
        <v>289.8</v>
      </c>
      <c r="BK58" s="1293">
        <f>VLOOKUP($A$58,Drivers!1:1048576,MATCH('P&amp;L'!BK4,Drivers!2:2,FALSE),FALSE)</f>
        <v>769</v>
      </c>
      <c r="BL58" s="139">
        <f>VLOOKUP($A$58,Drivers!1:1048576,MATCH('P&amp;L'!BL4,Drivers!2:2,FALSE),FALSE)</f>
        <v>386.7</v>
      </c>
      <c r="BM58" s="139">
        <f>VLOOKUP($A$58,Drivers!1:1048576,MATCH('P&amp;L'!BM4,Drivers!2:2,FALSE),FALSE)</f>
        <v>260.49999999999994</v>
      </c>
      <c r="BN58" s="1538">
        <f>VLOOKUP($A$58,Drivers!1:1048576,MATCH('P&amp;L'!BN4,Drivers!2:2,FALSE),FALSE)</f>
        <v>647.19999999999993</v>
      </c>
      <c r="BO58" s="1538">
        <f>VLOOKUP($A$58,Drivers!1:1048576,MATCH('P&amp;L'!BO4,Drivers!2:2,FALSE),FALSE)</f>
        <v>419.90000000000003</v>
      </c>
      <c r="BP58" s="139">
        <f>VLOOKUP($A$58,Drivers!1:1048576,MATCH('P&amp;L'!BP4,Drivers!2:2,FALSE),FALSE)</f>
        <v>287.89999999999992</v>
      </c>
      <c r="BQ58" s="1538">
        <f>VLOOKUP($A$58,Drivers!1:1048576,MATCH('P&amp;L'!BQ4,Drivers!2:2,FALSE),FALSE)</f>
        <v>707.8</v>
      </c>
      <c r="BR58" s="1804">
        <f>VLOOKUP($A$58,Drivers!1:1048576,MATCH('P&amp;L'!BR4,Drivers!2:2,FALSE),FALSE)</f>
        <v>454</v>
      </c>
      <c r="BS58" s="139">
        <f>VLOOKUP($A$58,Drivers!1:1048576,MATCH('P&amp;L'!BS4,Drivers!2:2,FALSE),FALSE)</f>
        <v>299.74192521296516</v>
      </c>
      <c r="BT58" s="139">
        <f>VLOOKUP($A$58,Drivers!1:1048576,MATCH('P&amp;L'!BT4,Drivers!2:2,FALSE),FALSE)</f>
        <v>753.74192521296516</v>
      </c>
      <c r="BU58" s="139">
        <f>VLOOKUP($A$58,Drivers!1:1048576,MATCH('P&amp;L'!BU4,Drivers!2:2,FALSE),FALSE)</f>
        <v>462.29499825171848</v>
      </c>
      <c r="BV58" s="139">
        <f>VLOOKUP($A$58,Drivers!1:1048576,MATCH('P&amp;L'!BV4,Drivers!2:2,FALSE),FALSE)</f>
        <v>305.39218045061097</v>
      </c>
      <c r="BW58" s="139">
        <f>VLOOKUP($A$58,Drivers!1:1048576,MATCH('P&amp;L'!BW4,Drivers!2:2,FALSE),FALSE)</f>
        <v>767.68717870232945</v>
      </c>
      <c r="BX58" s="139">
        <f>VLOOKUP($A$58,Drivers!1:1048576,MATCH('P&amp;L'!BX4,Drivers!2:2,FALSE),FALSE)</f>
        <v>488.71109506951535</v>
      </c>
      <c r="BY58" s="139">
        <f>VLOOKUP($A$58,Drivers!1:1048576,MATCH('P&amp;L'!BY4,Drivers!2:2,FALSE),FALSE)</f>
        <v>317.31163138343726</v>
      </c>
      <c r="BZ58" s="139">
        <f>VLOOKUP($A$58,Drivers!1:1048576,MATCH('P&amp;L'!BZ4,Drivers!2:2,FALSE),FALSE)</f>
        <v>806.02272645295261</v>
      </c>
      <c r="CA58" s="139">
        <f>VLOOKUP($A$58,Drivers!1:1048576,MATCH('P&amp;L'!CA4,Drivers!2:2,FALSE),FALSE)</f>
        <v>512.41632904668973</v>
      </c>
      <c r="CB58" s="139">
        <f>VLOOKUP($A$58,Drivers!1:1048576,MATCH('P&amp;L'!CB4,Drivers!2:2,FALSE),FALSE)</f>
        <v>333.27546593914826</v>
      </c>
      <c r="CC58" s="139">
        <f>VLOOKUP($A$58,Drivers!1:1048576,MATCH('P&amp;L'!CC4,Drivers!2:2,FALSE),FALSE)</f>
        <v>845.69179498583799</v>
      </c>
      <c r="CD58" s="88"/>
      <c r="CE58" s="88"/>
    </row>
    <row r="59" spans="1:83">
      <c r="A59" s="746"/>
      <c r="B59" s="787" t="s">
        <v>278</v>
      </c>
      <c r="C59" s="808">
        <f t="shared" ref="C59:BE59" si="136">C58/C6</f>
        <v>4.7159498081976205E-2</v>
      </c>
      <c r="D59" s="808">
        <f t="shared" si="136"/>
        <v>6.1807595087788103E-2</v>
      </c>
      <c r="E59" s="808">
        <f t="shared" si="136"/>
        <v>3.7803433168930638E-2</v>
      </c>
      <c r="F59" s="808">
        <f t="shared" si="136"/>
        <v>5.0252344939947867E-2</v>
      </c>
      <c r="G59" s="808">
        <f t="shared" si="136"/>
        <v>6.5394747685265181E-2</v>
      </c>
      <c r="H59" s="808">
        <f t="shared" si="136"/>
        <v>3.9123128339721674E-2</v>
      </c>
      <c r="I59" s="808">
        <f t="shared" si="136"/>
        <v>5.336461352013061E-2</v>
      </c>
      <c r="J59" s="808">
        <f t="shared" si="136"/>
        <v>6.1000007845660176E-2</v>
      </c>
      <c r="K59" s="808">
        <f t="shared" si="136"/>
        <v>3.0874915421402107E-2</v>
      </c>
      <c r="L59" s="808">
        <f t="shared" si="136"/>
        <v>4.7113565886145473E-2</v>
      </c>
      <c r="M59" s="808">
        <f t="shared" si="136"/>
        <v>6.3439257669624119E-2</v>
      </c>
      <c r="N59" s="808">
        <f t="shared" si="136"/>
        <v>3.8100038687576165E-2</v>
      </c>
      <c r="O59" s="808">
        <f t="shared" si="136"/>
        <v>5.1125065043371352E-2</v>
      </c>
      <c r="P59" s="808">
        <f t="shared" si="136"/>
        <v>6.555108432418652E-2</v>
      </c>
      <c r="Q59" s="808">
        <f t="shared" si="136"/>
        <v>4.4640497510779469E-2</v>
      </c>
      <c r="R59" s="808">
        <f t="shared" si="136"/>
        <v>5.5944992901533659E-2</v>
      </c>
      <c r="S59" s="808">
        <f t="shared" si="136"/>
        <v>7.0705829663949143E-2</v>
      </c>
      <c r="T59" s="808">
        <f t="shared" si="136"/>
        <v>4.9512949692268285E-2</v>
      </c>
      <c r="U59" s="808">
        <f t="shared" si="136"/>
        <v>6.10011919565705E-2</v>
      </c>
      <c r="V59" s="808">
        <f t="shared" si="136"/>
        <v>7.1696398575339798E-2</v>
      </c>
      <c r="W59" s="808">
        <f t="shared" si="136"/>
        <v>5.410404349384227E-2</v>
      </c>
      <c r="X59" s="808">
        <f t="shared" si="136"/>
        <v>6.4111858002723954E-2</v>
      </c>
      <c r="Y59" s="808">
        <f t="shared" si="136"/>
        <v>7.5476901096732857E-2</v>
      </c>
      <c r="Z59" s="808">
        <f t="shared" si="136"/>
        <v>5.4059198554932991E-2</v>
      </c>
      <c r="AA59" s="808">
        <f t="shared" si="136"/>
        <v>6.6237324081448931E-2</v>
      </c>
      <c r="AB59" s="808">
        <f t="shared" si="136"/>
        <v>6.8031231810603193E-2</v>
      </c>
      <c r="AC59" s="808">
        <f t="shared" si="136"/>
        <v>2.826475929058736E-2</v>
      </c>
      <c r="AD59" s="808">
        <f t="shared" si="136"/>
        <v>5.1620759948231856E-2</v>
      </c>
      <c r="AE59" s="808">
        <f t="shared" si="136"/>
        <v>6.8107439072197185E-2</v>
      </c>
      <c r="AF59" s="808">
        <f t="shared" si="136"/>
        <v>3.6224861810324957E-2</v>
      </c>
      <c r="AG59" s="808">
        <f t="shared" si="136"/>
        <v>5.3727783822996013E-2</v>
      </c>
      <c r="AH59" s="808">
        <f>AH58/AH6</f>
        <v>6.8508226915330747E-2</v>
      </c>
      <c r="AI59" s="808">
        <f>AI58/AI6</f>
        <v>3.7710624395185577E-2</v>
      </c>
      <c r="AJ59" s="808">
        <f t="shared" si="136"/>
        <v>5.4860029709151707E-2</v>
      </c>
      <c r="AK59" s="808">
        <f>AK58/AK6</f>
        <v>6.6138021156676247E-2</v>
      </c>
      <c r="AL59" s="808">
        <f>AL58/AL6</f>
        <v>4.2048906097731584E-2</v>
      </c>
      <c r="AM59" s="808">
        <f t="shared" si="136"/>
        <v>5.5010821064713916E-2</v>
      </c>
      <c r="AN59" s="808">
        <f>AN58/AN6</f>
        <v>6.5267332981547285E-2</v>
      </c>
      <c r="AO59" s="808">
        <f>AO58/AO6</f>
        <v>4.517508774793895E-2</v>
      </c>
      <c r="AP59" s="808">
        <f t="shared" si="136"/>
        <v>5.5930419952929182E-2</v>
      </c>
      <c r="AQ59" s="808">
        <f>AQ58/AQ6</f>
        <v>6.9107866371072552E-2</v>
      </c>
      <c r="AR59" s="808">
        <f>AR58/AR6</f>
        <v>4.1702636297230873E-2</v>
      </c>
      <c r="AS59" s="808">
        <f t="shared" si="136"/>
        <v>5.444207533759772E-2</v>
      </c>
      <c r="AT59" s="808">
        <f>AT58/AT6</f>
        <v>6.1195728765786765E-2</v>
      </c>
      <c r="AU59" s="808">
        <f>AU58/AU6</f>
        <v>3.9437509875177738E-2</v>
      </c>
      <c r="AV59" s="808">
        <f>AV58/AV6</f>
        <v>5.1150372758706208E-2</v>
      </c>
      <c r="AW59" s="808">
        <f>AW58/AW6</f>
        <v>6.1555272263704247E-2</v>
      </c>
      <c r="AX59" s="808">
        <f>AX58/AX6</f>
        <v>4.1917825070734424E-2</v>
      </c>
      <c r="AY59" s="808">
        <f t="shared" si="136"/>
        <v>5.2555917297365869E-2</v>
      </c>
      <c r="AZ59" s="808">
        <f>AZ58/AZ6</f>
        <v>6.582899479375251E-2</v>
      </c>
      <c r="BA59" s="808">
        <f>BA58/BA6</f>
        <v>6.1141269719907243E-2</v>
      </c>
      <c r="BB59" s="808">
        <f>BB58/BB6</f>
        <v>6.3506295066233953E-2</v>
      </c>
      <c r="BC59" s="808">
        <f t="shared" ref="BC59:BD59" si="137">BC58/BC6</f>
        <v>9.3661458754958321E-2</v>
      </c>
      <c r="BD59" s="808">
        <f t="shared" si="137"/>
        <v>7.051749729552946E-2</v>
      </c>
      <c r="BE59" s="808">
        <f t="shared" si="136"/>
        <v>8.3343614360538804E-2</v>
      </c>
      <c r="BF59" s="808">
        <f>BF58/BF6</f>
        <v>8.6490600189230327E-2</v>
      </c>
      <c r="BG59" s="808">
        <f>BG58/BG6</f>
        <v>8.5602489588577205E-2</v>
      </c>
      <c r="BH59" s="808">
        <f t="shared" ref="BH59:BW59" si="138">BH58/BH6</f>
        <v>8.6070190641247823E-2</v>
      </c>
      <c r="BI59" s="808">
        <f>BI58/BI6</f>
        <v>9.0783366486691289E-2</v>
      </c>
      <c r="BJ59" s="278">
        <f>BJ58/BJ6</f>
        <v>6.6652866901262681E-2</v>
      </c>
      <c r="BK59" s="808">
        <f t="shared" ref="BK59" si="139">BK58/BK6</f>
        <v>7.9884484334746111E-2</v>
      </c>
      <c r="BL59" s="278">
        <f>BL58/BL6</f>
        <v>7.4911373278316956E-2</v>
      </c>
      <c r="BM59" s="278">
        <f>BM58/BM6</f>
        <v>5.8799629821908221E-2</v>
      </c>
      <c r="BN59" s="808">
        <f t="shared" ref="BN59" si="140">BN58/BN6</f>
        <v>6.7470080480380293E-2</v>
      </c>
      <c r="BO59" s="278">
        <f>BO58/BO6</f>
        <v>7.4051213318284431E-2</v>
      </c>
      <c r="BP59" s="278">
        <f>BP58/BP6</f>
        <v>5.8942756530996621E-2</v>
      </c>
      <c r="BQ59" s="808">
        <f t="shared" ref="BQ59" si="141">BQ58/BQ6</f>
        <v>6.7059536893167085E-2</v>
      </c>
      <c r="BR59" s="1822">
        <f>BR58/BR6</f>
        <v>7.4606017780553133E-2</v>
      </c>
      <c r="BS59" s="278">
        <f>BS58/BS6</f>
        <v>5.9170865339770944E-2</v>
      </c>
      <c r="BT59" s="278">
        <f t="shared" si="138"/>
        <v>6.759410296906268E-2</v>
      </c>
      <c r="BU59" s="278">
        <f>BU58/BU6</f>
        <v>7.2972632884954772E-2</v>
      </c>
      <c r="BV59" s="278">
        <f>BV58/BV6</f>
        <v>5.7796029065076755E-2</v>
      </c>
      <c r="BW59" s="278">
        <f t="shared" si="138"/>
        <v>6.6070866942405437E-2</v>
      </c>
      <c r="BX59" s="278">
        <f>BX58/BX6</f>
        <v>7.3888014366413235E-2</v>
      </c>
      <c r="BY59" s="278">
        <f>BY58/BY6</f>
        <v>5.7764633023779349E-2</v>
      </c>
      <c r="BZ59" s="278">
        <f t="shared" ref="BZ59" si="142">BZ58/BZ6</f>
        <v>6.6572760875816248E-2</v>
      </c>
      <c r="CA59" s="278">
        <f>CA58/CA6</f>
        <v>7.434420506616736E-2</v>
      </c>
      <c r="CB59" s="278">
        <f>CB58/CB6</f>
        <v>5.8221427272107627E-2</v>
      </c>
      <c r="CC59" s="278">
        <f t="shared" ref="CC59" si="143">CC58/CC6</f>
        <v>6.7029235644277915E-2</v>
      </c>
      <c r="CD59" s="86"/>
      <c r="CE59" s="86"/>
    </row>
    <row r="60" spans="1:83">
      <c r="A60" s="746"/>
      <c r="B60" s="787" t="s">
        <v>279</v>
      </c>
      <c r="C60" s="341"/>
      <c r="D60" s="341"/>
      <c r="E60" s="341"/>
      <c r="F60" s="341">
        <f>F58/C58-1</f>
        <v>0.35462725701686404</v>
      </c>
      <c r="G60" s="341">
        <f>G58/D58-1</f>
        <v>0.69655172413793109</v>
      </c>
      <c r="H60" s="341">
        <f>H58/E58-1</f>
        <v>0.51020408163265252</v>
      </c>
      <c r="I60" s="341">
        <f t="shared" ref="I60:AG60" si="144">I58/F58-1</f>
        <v>0.62906915361604776</v>
      </c>
      <c r="J60" s="341">
        <f t="shared" si="144"/>
        <v>0.2642276422764227</v>
      </c>
      <c r="K60" s="341">
        <f t="shared" si="144"/>
        <v>8.2770270270270618E-2</v>
      </c>
      <c r="L60" s="341">
        <f t="shared" si="144"/>
        <v>0.20331065024843387</v>
      </c>
      <c r="M60" s="341">
        <f>M58/J58-1</f>
        <v>0.34405144694533751</v>
      </c>
      <c r="N60" s="341">
        <f>N58/K58-1</f>
        <v>0.76316766956392623</v>
      </c>
      <c r="O60" s="341">
        <f>O58/L58-1</f>
        <v>0.47065819887345439</v>
      </c>
      <c r="P60" s="341">
        <f t="shared" si="144"/>
        <v>0.55023923444976086</v>
      </c>
      <c r="Q60" s="341">
        <f t="shared" si="144"/>
        <v>0.5799696637734888</v>
      </c>
      <c r="R60" s="341">
        <f t="shared" si="144"/>
        <v>0.56100650044251821</v>
      </c>
      <c r="S60" s="341">
        <f t="shared" si="144"/>
        <v>0.37654320987654333</v>
      </c>
      <c r="T60" s="341">
        <f t="shared" si="144"/>
        <v>0.40713085682284889</v>
      </c>
      <c r="U60" s="341">
        <f t="shared" si="144"/>
        <v>0.38775550103129075</v>
      </c>
      <c r="V60" s="341">
        <f t="shared" si="144"/>
        <v>0.24887892376681608</v>
      </c>
      <c r="W60" s="341">
        <f t="shared" si="144"/>
        <v>0.20740628434977082</v>
      </c>
      <c r="X60" s="341">
        <f t="shared" si="144"/>
        <v>0.23346435061916226</v>
      </c>
      <c r="Y60" s="341">
        <f t="shared" si="144"/>
        <v>0.1400359066427288</v>
      </c>
      <c r="Z60" s="341">
        <f t="shared" si="144"/>
        <v>8.3236540574478157E-2</v>
      </c>
      <c r="AA60" s="341">
        <f t="shared" si="144"/>
        <v>0.11937068128604866</v>
      </c>
      <c r="AB60" s="341">
        <f t="shared" si="144"/>
        <v>-4.9314960629921356E-2</v>
      </c>
      <c r="AC60" s="341">
        <f t="shared" si="144"/>
        <v>-0.44584353672496491</v>
      </c>
      <c r="AD60" s="341">
        <f t="shared" si="144"/>
        <v>-0.17628422604623162</v>
      </c>
      <c r="AE60" s="341">
        <f t="shared" si="144"/>
        <v>2.4540944366681305E-2</v>
      </c>
      <c r="AF60" s="341">
        <f t="shared" si="144"/>
        <v>0.41337203221420382</v>
      </c>
      <c r="AG60" s="341">
        <f t="shared" si="144"/>
        <v>0.10091726072872986</v>
      </c>
      <c r="AH60" s="341">
        <f>AH58/AE58-1</f>
        <v>7.4373484236055054E-2</v>
      </c>
      <c r="AI60" s="341">
        <f t="shared" ref="AI60" si="145">AI58/AF58-1</f>
        <v>7.709100327456353E-2</v>
      </c>
      <c r="AJ60" s="341">
        <f t="shared" ref="AJ60:BI60" si="146">AJ58/AG58-1</f>
        <v>7.5199855979927177E-2</v>
      </c>
      <c r="AK60" s="341">
        <f t="shared" si="146"/>
        <v>-2.2039127163280714E-2</v>
      </c>
      <c r="AL60" s="341">
        <f t="shared" si="146"/>
        <v>0.21841291652353156</v>
      </c>
      <c r="AM60" s="341">
        <f t="shared" si="146"/>
        <v>5.1208664713269236E-2</v>
      </c>
      <c r="AN60" s="341">
        <f t="shared" si="146"/>
        <v>6.2998668933839097E-2</v>
      </c>
      <c r="AO60" s="341">
        <f t="shared" si="146"/>
        <v>0.1702943498364724</v>
      </c>
      <c r="AP60" s="341">
        <f t="shared" si="146"/>
        <v>0.10088249787214987</v>
      </c>
      <c r="AQ60" s="341">
        <f t="shared" si="146"/>
        <v>0.30863714995041969</v>
      </c>
      <c r="AR60" s="341">
        <f t="shared" si="146"/>
        <v>0.51296135684687205</v>
      </c>
      <c r="AS60" s="341">
        <f t="shared" si="146"/>
        <v>0.38532835989600978</v>
      </c>
      <c r="AT60" s="341">
        <f t="shared" si="146"/>
        <v>0.24889380530973448</v>
      </c>
      <c r="AU60" s="341">
        <f t="shared" si="146"/>
        <v>-6.3694267515924663E-3</v>
      </c>
      <c r="AV60" s="341">
        <f t="shared" si="146"/>
        <v>0.14425587467362933</v>
      </c>
      <c r="AW60" s="341">
        <f t="shared" si="146"/>
        <v>4.7829937998228544E-2</v>
      </c>
      <c r="AX60" s="341">
        <f t="shared" si="146"/>
        <v>9.2147435897436569E-2</v>
      </c>
      <c r="AY60" s="341">
        <f t="shared" si="146"/>
        <v>6.3605248146035631E-2</v>
      </c>
      <c r="AZ60" s="341">
        <f t="shared" si="146"/>
        <v>0.11158072696534238</v>
      </c>
      <c r="BA60" s="341">
        <f t="shared" si="146"/>
        <v>0.76008804108583972</v>
      </c>
      <c r="BB60" s="341">
        <f t="shared" si="146"/>
        <v>0.3486189326897291</v>
      </c>
      <c r="BC60" s="341">
        <f t="shared" si="146"/>
        <v>0.75969581749049442</v>
      </c>
      <c r="BD60" s="341">
        <f t="shared" si="146"/>
        <v>0.16840350145894134</v>
      </c>
      <c r="BE60" s="341">
        <f t="shared" si="146"/>
        <v>0.47762974746470466</v>
      </c>
      <c r="BF60" s="341">
        <f t="shared" si="146"/>
        <v>-9.1400172860847007E-2</v>
      </c>
      <c r="BG60" s="341">
        <f t="shared" si="146"/>
        <v>0.33464145558330349</v>
      </c>
      <c r="BH60" s="341">
        <f t="shared" ref="BH60" si="147">BH58/BE58-1</f>
        <v>6.9304265913066709E-2</v>
      </c>
      <c r="BI60" s="341">
        <f t="shared" si="146"/>
        <v>0.13959571938168835</v>
      </c>
      <c r="BJ60" s="84">
        <f t="shared" ref="BJ60:BQ60" si="148">BJ58/BG58-1</f>
        <v>-0.22534081796311156</v>
      </c>
      <c r="BK60" s="341">
        <f t="shared" si="148"/>
        <v>-3.2217467908381425E-2</v>
      </c>
      <c r="BL60" s="84">
        <f t="shared" si="148"/>
        <v>-0.1930300500834724</v>
      </c>
      <c r="BM60" s="84">
        <f t="shared" si="148"/>
        <v>-0.10110420979986223</v>
      </c>
      <c r="BN60" s="341">
        <f t="shared" si="148"/>
        <v>-0.15838751625487657</v>
      </c>
      <c r="BO60" s="84">
        <f t="shared" si="148"/>
        <v>8.5854667701060317E-2</v>
      </c>
      <c r="BP60" s="84">
        <f>BP58/BM58-1</f>
        <v>0.10518234165067164</v>
      </c>
      <c r="BQ60" s="341">
        <f t="shared" si="148"/>
        <v>9.3634116192830685E-2</v>
      </c>
      <c r="BR60" s="1823">
        <f>BR58/BO58-1</f>
        <v>8.1209811859966674E-2</v>
      </c>
      <c r="BS60" s="84">
        <f t="shared" ref="BS60" si="149">BS58/BP58-1</f>
        <v>4.1132077849827198E-2</v>
      </c>
      <c r="BT60" s="84">
        <f>BT58/BQ58-1</f>
        <v>6.4908060487376629E-2</v>
      </c>
      <c r="BU60" s="84">
        <f t="shared" ref="BU60" si="150">BU58/BR58-1</f>
        <v>1.827092125929175E-2</v>
      </c>
      <c r="BV60" s="84">
        <f t="shared" ref="BV60" si="151">BV58/BS58-1</f>
        <v>1.8850400168849646E-2</v>
      </c>
      <c r="BW60" s="84">
        <f>BW58/BT58-1</f>
        <v>1.8501363693447459E-2</v>
      </c>
      <c r="BX60" s="84">
        <f t="shared" ref="BX60" si="152">BX58/BU58-1</f>
        <v>5.714121268388328E-2</v>
      </c>
      <c r="BY60" s="84">
        <f t="shared" ref="BY60" si="153">BY58/BV58-1</f>
        <v>3.9029980778286344E-2</v>
      </c>
      <c r="BZ60" s="84">
        <f>BZ58/BW58-1</f>
        <v>4.9936417871956795E-2</v>
      </c>
      <c r="CA60" s="84">
        <f t="shared" ref="CA60" si="154">CA58/BX58-1</f>
        <v>4.8505618588017718E-2</v>
      </c>
      <c r="CB60" s="84">
        <f t="shared" ref="CB60" si="155">CB58/BY58-1</f>
        <v>5.0309641931847171E-2</v>
      </c>
      <c r="CC60" s="84">
        <f>CC58/BZ58-1</f>
        <v>4.921581889812976E-2</v>
      </c>
      <c r="CD60" s="88"/>
      <c r="CE60" s="89"/>
    </row>
    <row r="61" spans="1:83">
      <c r="A61" s="746"/>
      <c r="B61" s="787"/>
      <c r="C61" s="341"/>
      <c r="D61" s="821"/>
      <c r="E61" s="821"/>
      <c r="F61" s="341"/>
      <c r="G61" s="341"/>
      <c r="H61" s="341"/>
      <c r="I61" s="341"/>
      <c r="J61" s="341"/>
      <c r="K61" s="341"/>
      <c r="L61" s="821"/>
      <c r="M61" s="821"/>
      <c r="N61" s="821"/>
      <c r="O61" s="821"/>
      <c r="P61" s="821"/>
      <c r="Q61" s="821"/>
      <c r="R61" s="821"/>
      <c r="S61" s="821"/>
      <c r="T61" s="821"/>
      <c r="U61" s="821"/>
      <c r="V61" s="821"/>
      <c r="W61" s="821"/>
      <c r="X61" s="821"/>
      <c r="Y61" s="821"/>
      <c r="Z61" s="821"/>
      <c r="AA61" s="821"/>
      <c r="AB61" s="821"/>
      <c r="AC61" s="821"/>
      <c r="AD61" s="821"/>
      <c r="AE61" s="821"/>
      <c r="AF61" s="821"/>
      <c r="AG61" s="821"/>
      <c r="AH61" s="821"/>
      <c r="AI61" s="821"/>
      <c r="AJ61" s="821"/>
      <c r="AK61" s="821"/>
      <c r="AL61" s="821"/>
      <c r="AM61" s="821"/>
      <c r="AN61" s="821"/>
      <c r="AO61" s="821"/>
      <c r="AP61" s="821"/>
      <c r="AQ61" s="821"/>
      <c r="AR61" s="821"/>
      <c r="AS61" s="821"/>
      <c r="AT61" s="821"/>
      <c r="AU61" s="821"/>
      <c r="AV61" s="821"/>
      <c r="AW61" s="821"/>
      <c r="AX61" s="821"/>
      <c r="AY61" s="821"/>
      <c r="AZ61" s="821"/>
      <c r="BA61" s="821"/>
      <c r="BB61" s="821"/>
      <c r="BC61" s="821"/>
      <c r="BD61" s="821"/>
      <c r="BE61" s="821"/>
      <c r="BF61" s="821"/>
      <c r="BG61" s="821"/>
      <c r="BH61" s="821"/>
      <c r="BI61" s="821"/>
      <c r="BJ61" s="90"/>
      <c r="BK61" s="821"/>
      <c r="BL61" s="90"/>
      <c r="BM61" s="90"/>
      <c r="BN61" s="821"/>
      <c r="BO61" s="90"/>
      <c r="BP61" s="90"/>
      <c r="BQ61" s="821"/>
      <c r="BR61" s="1824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88"/>
      <c r="CE61" s="89"/>
    </row>
    <row r="62" spans="1:83">
      <c r="A62" s="746" t="s">
        <v>766</v>
      </c>
      <c r="B62" s="809" t="s">
        <v>280</v>
      </c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>
        <f>AA62-Y62</f>
        <v>-33.4</v>
      </c>
      <c r="AA62" s="822">
        <v>-33.4</v>
      </c>
      <c r="AB62" s="342"/>
      <c r="AC62" s="342"/>
      <c r="AD62" s="823"/>
      <c r="AE62" s="342"/>
      <c r="AF62" s="823"/>
      <c r="AG62" s="824"/>
      <c r="AH62" s="342"/>
      <c r="AI62" s="342"/>
      <c r="AJ62" s="823">
        <v>0</v>
      </c>
      <c r="AK62" s="342"/>
      <c r="AL62" s="342"/>
      <c r="AM62" s="823">
        <v>0</v>
      </c>
      <c r="AN62" s="342">
        <v>0</v>
      </c>
      <c r="AO62" s="342"/>
      <c r="AP62" s="823">
        <v>0</v>
      </c>
      <c r="AQ62" s="775">
        <v>-15.3</v>
      </c>
      <c r="AR62" s="775">
        <f>AS62-AQ62</f>
        <v>-22.900000000000002</v>
      </c>
      <c r="AS62" s="823">
        <v>-38.200000000000003</v>
      </c>
      <c r="AT62" s="775">
        <v>0</v>
      </c>
      <c r="AU62" s="775">
        <f>AV62-AT62</f>
        <v>0</v>
      </c>
      <c r="AV62" s="823"/>
      <c r="AW62" s="775">
        <v>0</v>
      </c>
      <c r="AX62" s="775">
        <f>AY62-AW62</f>
        <v>0</v>
      </c>
      <c r="AY62" s="823">
        <v>0</v>
      </c>
      <c r="AZ62" s="775">
        <f>AY62-AX62</f>
        <v>0</v>
      </c>
      <c r="BA62" s="775">
        <f>BB62-AZ62</f>
        <v>-19.7</v>
      </c>
      <c r="BB62" s="823">
        <v>-19.7</v>
      </c>
      <c r="BC62" s="775"/>
      <c r="BD62" s="775"/>
      <c r="BE62" s="823">
        <v>0</v>
      </c>
      <c r="BF62" s="775"/>
      <c r="BG62" s="775"/>
      <c r="BH62" s="823">
        <v>0</v>
      </c>
      <c r="BI62" s="775"/>
      <c r="BJ62" s="569"/>
      <c r="BK62" s="823">
        <v>0</v>
      </c>
      <c r="BL62" s="570"/>
      <c r="BM62" s="569"/>
      <c r="BN62" s="823">
        <v>0</v>
      </c>
      <c r="BO62" s="570"/>
      <c r="BP62" s="81">
        <f>+BQ62</f>
        <v>-13.7</v>
      </c>
      <c r="BQ62" s="822">
        <v>-13.7</v>
      </c>
      <c r="BR62" s="182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6"/>
      <c r="CE62" s="91"/>
    </row>
    <row r="63" spans="1:83">
      <c r="A63" s="746"/>
      <c r="B63" s="787"/>
      <c r="C63" s="341"/>
      <c r="D63" s="821"/>
      <c r="E63" s="821"/>
      <c r="F63" s="341"/>
      <c r="G63" s="341"/>
      <c r="H63" s="341"/>
      <c r="I63" s="341"/>
      <c r="J63" s="341"/>
      <c r="K63" s="341"/>
      <c r="L63" s="821"/>
      <c r="M63" s="821"/>
      <c r="N63" s="821"/>
      <c r="O63" s="821"/>
      <c r="P63" s="821"/>
      <c r="Q63" s="821"/>
      <c r="R63" s="821"/>
      <c r="S63" s="821"/>
      <c r="T63" s="821"/>
      <c r="U63" s="821"/>
      <c r="V63" s="821"/>
      <c r="W63" s="821"/>
      <c r="X63" s="821"/>
      <c r="Y63" s="821"/>
      <c r="Z63" s="821"/>
      <c r="AA63" s="821"/>
      <c r="AB63" s="821"/>
      <c r="AC63" s="821"/>
      <c r="AD63" s="821"/>
      <c r="AE63" s="821"/>
      <c r="AF63" s="821"/>
      <c r="AG63" s="821"/>
      <c r="AH63" s="821"/>
      <c r="AI63" s="821"/>
      <c r="AJ63" s="821"/>
      <c r="AK63" s="821"/>
      <c r="AL63" s="821"/>
      <c r="AM63" s="821"/>
      <c r="AN63" s="821"/>
      <c r="AO63" s="821"/>
      <c r="AP63" s="821"/>
      <c r="AQ63" s="821"/>
      <c r="AR63" s="821"/>
      <c r="AS63" s="821"/>
      <c r="AT63" s="821"/>
      <c r="AU63" s="821"/>
      <c r="AV63" s="821"/>
      <c r="AW63" s="821"/>
      <c r="AX63" s="821"/>
      <c r="AY63" s="821"/>
      <c r="AZ63" s="821"/>
      <c r="BA63" s="821"/>
      <c r="BB63" s="821"/>
      <c r="BC63" s="821"/>
      <c r="BD63" s="821"/>
      <c r="BE63" s="821"/>
      <c r="BF63" s="821"/>
      <c r="BG63" s="821"/>
      <c r="BH63" s="821"/>
      <c r="BI63" s="821"/>
      <c r="BJ63" s="90"/>
      <c r="BK63" s="821"/>
      <c r="BL63" s="90"/>
      <c r="BM63" s="90"/>
      <c r="BN63" s="821"/>
      <c r="BO63" s="90"/>
      <c r="BP63" s="90"/>
      <c r="BQ63" s="821"/>
      <c r="BR63" s="1824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86"/>
      <c r="CE63" s="92"/>
    </row>
    <row r="64" spans="1:83">
      <c r="A64" s="746" t="s">
        <v>281</v>
      </c>
      <c r="B64" s="82" t="s">
        <v>165</v>
      </c>
      <c r="C64" s="139">
        <f t="shared" ref="C64:AM64" si="156">C58+C62</f>
        <v>16.781000000000002</v>
      </c>
      <c r="D64" s="139">
        <f t="shared" si="156"/>
        <v>14.5</v>
      </c>
      <c r="E64" s="139">
        <f t="shared" si="156"/>
        <v>8.2319999999999993</v>
      </c>
      <c r="F64" s="139">
        <f t="shared" si="156"/>
        <v>22.731999999999999</v>
      </c>
      <c r="G64" s="139">
        <f t="shared" si="156"/>
        <v>24.6</v>
      </c>
      <c r="H64" s="139">
        <f t="shared" si="156"/>
        <v>12.431999999999995</v>
      </c>
      <c r="I64" s="139">
        <f t="shared" si="156"/>
        <v>37.031999999999996</v>
      </c>
      <c r="J64" s="139">
        <f t="shared" si="156"/>
        <v>31.1</v>
      </c>
      <c r="K64" s="139">
        <f t="shared" si="156"/>
        <v>13.460999999999999</v>
      </c>
      <c r="L64" s="139">
        <f t="shared" si="156"/>
        <v>44.561</v>
      </c>
      <c r="M64" s="139">
        <f t="shared" si="156"/>
        <v>41.8</v>
      </c>
      <c r="N64" s="139">
        <f t="shared" si="156"/>
        <v>23.734000000000009</v>
      </c>
      <c r="O64" s="139">
        <f t="shared" si="156"/>
        <v>65.534000000000006</v>
      </c>
      <c r="P64" s="139">
        <f t="shared" si="156"/>
        <v>64.8</v>
      </c>
      <c r="Q64" s="139">
        <f t="shared" si="156"/>
        <v>37.498999999999995</v>
      </c>
      <c r="R64" s="139">
        <f t="shared" si="156"/>
        <v>102.29899999999999</v>
      </c>
      <c r="S64" s="139">
        <f t="shared" si="156"/>
        <v>89.2</v>
      </c>
      <c r="T64" s="139">
        <f t="shared" si="156"/>
        <v>52.766000000000005</v>
      </c>
      <c r="U64" s="139">
        <f t="shared" si="156"/>
        <v>141.96600000000001</v>
      </c>
      <c r="V64" s="139">
        <f t="shared" si="156"/>
        <v>111.4</v>
      </c>
      <c r="W64" s="139">
        <f t="shared" si="156"/>
        <v>63.710000000000008</v>
      </c>
      <c r="X64" s="139">
        <f t="shared" si="156"/>
        <v>175.11</v>
      </c>
      <c r="Y64" s="139">
        <f t="shared" si="156"/>
        <v>127</v>
      </c>
      <c r="Z64" s="139">
        <f t="shared" si="156"/>
        <v>35.613000000000007</v>
      </c>
      <c r="AA64" s="139">
        <f t="shared" si="156"/>
        <v>162.613</v>
      </c>
      <c r="AB64" s="139">
        <f t="shared" si="156"/>
        <v>120.73699999999999</v>
      </c>
      <c r="AC64" s="139">
        <f t="shared" si="156"/>
        <v>38.244</v>
      </c>
      <c r="AD64" s="139">
        <f>AD58+AD62</f>
        <v>161.459</v>
      </c>
      <c r="AE64" s="139">
        <f t="shared" ref="AE64" si="157">AE58+AE62</f>
        <v>123.7</v>
      </c>
      <c r="AF64" s="139">
        <f>AG64-AE64</f>
        <v>54.053000000000011</v>
      </c>
      <c r="AG64" s="139">
        <f t="shared" si="156"/>
        <v>177.75300000000001</v>
      </c>
      <c r="AH64" s="139">
        <f>AH58+AH62</f>
        <v>132.9</v>
      </c>
      <c r="AI64" s="139">
        <f>AJ64-AH64</f>
        <v>58.22</v>
      </c>
      <c r="AJ64" s="139">
        <f t="shared" si="156"/>
        <v>191.12</v>
      </c>
      <c r="AK64" s="139">
        <f>AK58+AK62</f>
        <v>129.971</v>
      </c>
      <c r="AL64" s="139">
        <f>AL58+AL62</f>
        <v>70.936000000000007</v>
      </c>
      <c r="AM64" s="139">
        <f t="shared" si="156"/>
        <v>200.90700000000001</v>
      </c>
      <c r="AN64" s="139">
        <f>AN58+AN62</f>
        <v>138.15899999999999</v>
      </c>
      <c r="AO64" s="139">
        <f>AO58+AO62</f>
        <v>83.01600000000002</v>
      </c>
      <c r="AP64" s="139">
        <f t="shared" ref="AP64:BE64" si="158">AP58+AP62</f>
        <v>221.17500000000001</v>
      </c>
      <c r="AQ64" s="139">
        <f>AQ58+AQ62</f>
        <v>165.5</v>
      </c>
      <c r="AR64" s="139">
        <f>AR58+AR62</f>
        <v>102.69999999999996</v>
      </c>
      <c r="AS64" s="139">
        <f>AS58+AS62</f>
        <v>268.2</v>
      </c>
      <c r="AT64" s="139">
        <f t="shared" ref="AT64:AU64" si="159">AT58+AT62</f>
        <v>225.8</v>
      </c>
      <c r="AU64" s="139">
        <f t="shared" si="159"/>
        <v>124.79999999999995</v>
      </c>
      <c r="AV64" s="139">
        <f>AV58+AV62</f>
        <v>350.59999999999997</v>
      </c>
      <c r="AW64" s="139">
        <f>AW58+AW62</f>
        <v>236.6</v>
      </c>
      <c r="AX64" s="139">
        <f>AX58+AX62</f>
        <v>136.30000000000004</v>
      </c>
      <c r="AY64" s="139">
        <f t="shared" si="158"/>
        <v>372.90000000000003</v>
      </c>
      <c r="AZ64" s="139">
        <f>AZ58+AZ62</f>
        <v>263</v>
      </c>
      <c r="BA64" s="139">
        <f>BA58+BA62</f>
        <v>220.20000000000005</v>
      </c>
      <c r="BB64" s="139">
        <f>BB58+BB62</f>
        <v>483.20000000000005</v>
      </c>
      <c r="BC64" s="139">
        <f t="shared" ref="BC64:BD64" si="160">BC58+BC62</f>
        <v>462.8</v>
      </c>
      <c r="BD64" s="139">
        <f t="shared" si="160"/>
        <v>280.30000000000007</v>
      </c>
      <c r="BE64" s="139">
        <f t="shared" si="158"/>
        <v>743.1</v>
      </c>
      <c r="BF64" s="139">
        <f>BF58+BF62</f>
        <v>420.5</v>
      </c>
      <c r="BG64" s="139">
        <f>BG58+BG62</f>
        <v>374.10000000000008</v>
      </c>
      <c r="BH64" s="1144">
        <f t="shared" ref="BH64:BW64" si="161">BH58+BH62</f>
        <v>794.59999999999991</v>
      </c>
      <c r="BI64" s="139">
        <f>BI58+BI62</f>
        <v>479.2</v>
      </c>
      <c r="BJ64" s="139">
        <f>BJ58+BJ62</f>
        <v>289.8</v>
      </c>
      <c r="BK64" s="1293">
        <f t="shared" si="161"/>
        <v>769</v>
      </c>
      <c r="BL64" s="139">
        <f>BL58+BL62</f>
        <v>386.7</v>
      </c>
      <c r="BM64" s="139">
        <f>BM58+BM62</f>
        <v>260.49999999999994</v>
      </c>
      <c r="BN64" s="1538">
        <f t="shared" ref="BN64" si="162">BN58+BN62</f>
        <v>647.19999999999993</v>
      </c>
      <c r="BO64" s="1538">
        <f>BO58+BO62</f>
        <v>419.90000000000003</v>
      </c>
      <c r="BP64" s="139">
        <f>BP58+BP62</f>
        <v>274.19999999999993</v>
      </c>
      <c r="BQ64" s="1538">
        <f t="shared" ref="BQ64" si="163">BQ58+BQ62</f>
        <v>694.09999999999991</v>
      </c>
      <c r="BR64" s="1804">
        <f>BR58+BR62</f>
        <v>454</v>
      </c>
      <c r="BS64" s="139">
        <f>BS58+BS62</f>
        <v>299.74192521296516</v>
      </c>
      <c r="BT64" s="139">
        <f t="shared" si="161"/>
        <v>753.74192521296516</v>
      </c>
      <c r="BU64" s="139">
        <f>BU58+BU62</f>
        <v>462.29499825171848</v>
      </c>
      <c r="BV64" s="139">
        <f>BV58+BV62</f>
        <v>305.39218045061097</v>
      </c>
      <c r="BW64" s="139">
        <f t="shared" si="161"/>
        <v>767.68717870232945</v>
      </c>
      <c r="BX64" s="139">
        <f>BX58+BX62</f>
        <v>488.71109506951535</v>
      </c>
      <c r="BY64" s="139">
        <f>BY58+BY62</f>
        <v>317.31163138343726</v>
      </c>
      <c r="BZ64" s="139">
        <f t="shared" ref="BZ64" si="164">BZ58+BZ62</f>
        <v>806.02272645295261</v>
      </c>
      <c r="CA64" s="139">
        <f>CA58+CA62</f>
        <v>512.41632904668973</v>
      </c>
      <c r="CB64" s="139">
        <f>CB58+CB62</f>
        <v>333.27546593914826</v>
      </c>
      <c r="CC64" s="139">
        <f t="shared" ref="CC64" si="165">CC58+CC62</f>
        <v>845.69179498583799</v>
      </c>
      <c r="CD64" s="74"/>
      <c r="CE64" s="74"/>
    </row>
    <row r="65" spans="1:83">
      <c r="A65" s="746"/>
      <c r="B65" s="787" t="s">
        <v>278</v>
      </c>
      <c r="C65" s="808">
        <f t="shared" ref="C65:BE65" si="166">C64/C6</f>
        <v>4.7159498081976205E-2</v>
      </c>
      <c r="D65" s="808">
        <f t="shared" si="166"/>
        <v>6.1807595087788103E-2</v>
      </c>
      <c r="E65" s="808">
        <f t="shared" si="166"/>
        <v>3.7803433168930638E-2</v>
      </c>
      <c r="F65" s="808">
        <f t="shared" si="166"/>
        <v>5.0252344939947867E-2</v>
      </c>
      <c r="G65" s="808">
        <f t="shared" si="166"/>
        <v>6.5394747685265181E-2</v>
      </c>
      <c r="H65" s="808">
        <f t="shared" si="166"/>
        <v>3.9123128339721674E-2</v>
      </c>
      <c r="I65" s="808">
        <f t="shared" si="166"/>
        <v>5.336461352013061E-2</v>
      </c>
      <c r="J65" s="808">
        <f t="shared" si="166"/>
        <v>6.1000007845660176E-2</v>
      </c>
      <c r="K65" s="808">
        <f t="shared" si="166"/>
        <v>3.0874915421402107E-2</v>
      </c>
      <c r="L65" s="808">
        <f t="shared" si="166"/>
        <v>4.7113565886145473E-2</v>
      </c>
      <c r="M65" s="808">
        <f t="shared" si="166"/>
        <v>6.3439257669624119E-2</v>
      </c>
      <c r="N65" s="808">
        <f t="shared" si="166"/>
        <v>3.8100038687576165E-2</v>
      </c>
      <c r="O65" s="808">
        <f t="shared" si="166"/>
        <v>5.1125065043371352E-2</v>
      </c>
      <c r="P65" s="808">
        <f t="shared" si="166"/>
        <v>6.555108432418652E-2</v>
      </c>
      <c r="Q65" s="808">
        <f t="shared" si="166"/>
        <v>4.4640497510779469E-2</v>
      </c>
      <c r="R65" s="808">
        <f t="shared" si="166"/>
        <v>5.5944992901533659E-2</v>
      </c>
      <c r="S65" s="808">
        <f t="shared" si="166"/>
        <v>7.0705829663949143E-2</v>
      </c>
      <c r="T65" s="808">
        <f t="shared" si="166"/>
        <v>4.9512949692268285E-2</v>
      </c>
      <c r="U65" s="808">
        <f t="shared" si="166"/>
        <v>6.10011919565705E-2</v>
      </c>
      <c r="V65" s="808">
        <f t="shared" si="166"/>
        <v>7.1696398575339798E-2</v>
      </c>
      <c r="W65" s="808">
        <f t="shared" si="166"/>
        <v>5.410404349384227E-2</v>
      </c>
      <c r="X65" s="808">
        <f t="shared" si="166"/>
        <v>6.4111858002723954E-2</v>
      </c>
      <c r="Y65" s="808">
        <f t="shared" si="166"/>
        <v>7.5476901096732857E-2</v>
      </c>
      <c r="Z65" s="808">
        <f t="shared" si="166"/>
        <v>2.7896341821639817E-2</v>
      </c>
      <c r="AA65" s="808">
        <f t="shared" si="166"/>
        <v>5.4950691948272075E-2</v>
      </c>
      <c r="AB65" s="808">
        <f t="shared" si="166"/>
        <v>6.8031231810603193E-2</v>
      </c>
      <c r="AC65" s="808">
        <f t="shared" si="166"/>
        <v>2.826475929058736E-2</v>
      </c>
      <c r="AD65" s="808">
        <f t="shared" si="166"/>
        <v>5.1620759948231856E-2</v>
      </c>
      <c r="AE65" s="808">
        <f t="shared" si="166"/>
        <v>6.8107439072197185E-2</v>
      </c>
      <c r="AF65" s="808">
        <f>AF64/AF6</f>
        <v>3.6224861810324957E-2</v>
      </c>
      <c r="AG65" s="808">
        <f t="shared" si="166"/>
        <v>5.3727783822996013E-2</v>
      </c>
      <c r="AH65" s="808">
        <f>AH64/AH6</f>
        <v>6.8508226915330747E-2</v>
      </c>
      <c r="AI65" s="808">
        <f>AI64/AI6</f>
        <v>3.7710624395185577E-2</v>
      </c>
      <c r="AJ65" s="808">
        <f t="shared" si="166"/>
        <v>5.4860029709151707E-2</v>
      </c>
      <c r="AK65" s="808">
        <f>AK64/AK6</f>
        <v>6.6138021156676247E-2</v>
      </c>
      <c r="AL65" s="808">
        <f>AL64/AL6</f>
        <v>4.2048906097731584E-2</v>
      </c>
      <c r="AM65" s="808">
        <f t="shared" si="166"/>
        <v>5.5010821064713916E-2</v>
      </c>
      <c r="AN65" s="808">
        <f>AN64/AN6</f>
        <v>6.5267332981547285E-2</v>
      </c>
      <c r="AO65" s="808">
        <f>AO64/AO6</f>
        <v>4.517508774793895E-2</v>
      </c>
      <c r="AP65" s="808">
        <f t="shared" si="166"/>
        <v>5.5930419952929182E-2</v>
      </c>
      <c r="AQ65" s="808">
        <f>AQ64/AQ6</f>
        <v>6.3259689626175369E-2</v>
      </c>
      <c r="AR65" s="808">
        <f>AR64/AR6</f>
        <v>3.4099209774885432E-2</v>
      </c>
      <c r="AS65" s="808">
        <f t="shared" si="166"/>
        <v>4.7654584221748397E-2</v>
      </c>
      <c r="AT65" s="808">
        <f>AT64/AT6</f>
        <v>6.1195728765786765E-2</v>
      </c>
      <c r="AU65" s="808">
        <f>AU64/AU6</f>
        <v>3.9437509875177738E-2</v>
      </c>
      <c r="AV65" s="808">
        <f>AV64/AV6</f>
        <v>5.1150372758706208E-2</v>
      </c>
      <c r="AW65" s="808">
        <f>AW64/AW6</f>
        <v>6.1555272263704247E-2</v>
      </c>
      <c r="AX65" s="808">
        <f>AX64/AX6</f>
        <v>4.1917825070734424E-2</v>
      </c>
      <c r="AY65" s="808">
        <f t="shared" si="166"/>
        <v>5.2555917297365869E-2</v>
      </c>
      <c r="AZ65" s="808">
        <f>AZ64/AZ6</f>
        <v>6.582899479375251E-2</v>
      </c>
      <c r="BA65" s="808">
        <f>BA64/BA6</f>
        <v>5.612049850906034E-2</v>
      </c>
      <c r="BB65" s="808">
        <f>BB64/BB6</f>
        <v>6.1018575812297172E-2</v>
      </c>
      <c r="BC65" s="808">
        <f t="shared" ref="BC65:BD65" si="167">BC64/BC6</f>
        <v>9.3661458754958321E-2</v>
      </c>
      <c r="BD65" s="808">
        <f t="shared" si="167"/>
        <v>7.051749729552946E-2</v>
      </c>
      <c r="BE65" s="808">
        <f t="shared" si="166"/>
        <v>8.3343614360538804E-2</v>
      </c>
      <c r="BF65" s="808">
        <f>BF64/BF6</f>
        <v>8.6490600189230327E-2</v>
      </c>
      <c r="BG65" s="808">
        <f>BG64/BG6</f>
        <v>8.5602489588577205E-2</v>
      </c>
      <c r="BH65" s="808">
        <f t="shared" ref="BH65:BW65" si="168">BH64/BH6</f>
        <v>8.6070190641247823E-2</v>
      </c>
      <c r="BI65" s="808">
        <f>BI64/BI6</f>
        <v>9.0783366486691289E-2</v>
      </c>
      <c r="BJ65" s="278">
        <f>BJ64/BJ6</f>
        <v>6.6652866901262681E-2</v>
      </c>
      <c r="BK65" s="808">
        <f t="shared" si="168"/>
        <v>7.9884484334746111E-2</v>
      </c>
      <c r="BL65" s="808">
        <f>BL64/BL6</f>
        <v>7.4911373278316956E-2</v>
      </c>
      <c r="BM65" s="278">
        <f>BM64/BM6</f>
        <v>5.8799629821908221E-2</v>
      </c>
      <c r="BN65" s="808">
        <f t="shared" ref="BN65" si="169">BN64/BN6</f>
        <v>6.7470080480380293E-2</v>
      </c>
      <c r="BO65" s="808">
        <f>BO64/BO6</f>
        <v>7.4051213318284431E-2</v>
      </c>
      <c r="BP65" s="278">
        <f>BP64/BP6</f>
        <v>5.6137908443206923E-2</v>
      </c>
      <c r="BQ65" s="808">
        <f t="shared" ref="BQ65" si="170">BQ64/BQ6</f>
        <v>6.5761549247735612E-2</v>
      </c>
      <c r="BR65" s="1822">
        <f>BR64/BR6</f>
        <v>7.4606017780553133E-2</v>
      </c>
      <c r="BS65" s="278">
        <f>BS64/BS6</f>
        <v>5.9170865339770944E-2</v>
      </c>
      <c r="BT65" s="278">
        <f t="shared" si="168"/>
        <v>6.759410296906268E-2</v>
      </c>
      <c r="BU65" s="278">
        <f>BU64/BU6</f>
        <v>7.2972632884954772E-2</v>
      </c>
      <c r="BV65" s="278">
        <f>BV64/BV6</f>
        <v>5.7796029065076755E-2</v>
      </c>
      <c r="BW65" s="278">
        <f t="shared" si="168"/>
        <v>6.6070866942405437E-2</v>
      </c>
      <c r="BX65" s="278">
        <f>BX64/BX6</f>
        <v>7.3888014366413235E-2</v>
      </c>
      <c r="BY65" s="278">
        <f>BY64/BY6</f>
        <v>5.7764633023779349E-2</v>
      </c>
      <c r="BZ65" s="278">
        <f t="shared" ref="BZ65" si="171">BZ64/BZ6</f>
        <v>6.6572760875816248E-2</v>
      </c>
      <c r="CA65" s="278">
        <f>CA64/CA6</f>
        <v>7.434420506616736E-2</v>
      </c>
      <c r="CB65" s="278">
        <f>CB64/CB6</f>
        <v>5.8221427272107627E-2</v>
      </c>
      <c r="CC65" s="278">
        <f t="shared" ref="CC65" si="172">CC64/CC6</f>
        <v>6.7029235644277915E-2</v>
      </c>
      <c r="CD65" s="86"/>
      <c r="CE65" s="86"/>
    </row>
    <row r="66" spans="1:83">
      <c r="A66" s="746"/>
      <c r="B66" s="787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  <c r="AC66" s="341"/>
      <c r="AD66" s="341"/>
      <c r="AE66" s="341"/>
      <c r="AF66" s="341"/>
      <c r="AG66" s="341"/>
      <c r="AH66" s="341"/>
      <c r="AI66" s="341"/>
      <c r="AJ66" s="341"/>
      <c r="AK66" s="341"/>
      <c r="AL66" s="341"/>
      <c r="AM66" s="341"/>
      <c r="AN66" s="341"/>
      <c r="AO66" s="341"/>
      <c r="AP66" s="341"/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1147"/>
      <c r="BI66" s="341"/>
      <c r="BJ66" s="84"/>
      <c r="BK66" s="1147"/>
      <c r="BL66" s="341"/>
      <c r="BM66" s="84"/>
      <c r="BN66" s="1147"/>
      <c r="BO66" s="341"/>
      <c r="BP66" s="84"/>
      <c r="BQ66" s="1147"/>
      <c r="BR66" s="1823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6"/>
      <c r="CE66" s="86"/>
    </row>
    <row r="67" spans="1:83">
      <c r="A67" s="746" t="s">
        <v>282</v>
      </c>
      <c r="B67" s="349" t="s">
        <v>638</v>
      </c>
      <c r="C67" s="775">
        <v>0.316</v>
      </c>
      <c r="D67" s="775"/>
      <c r="E67" s="729">
        <f>F67-D67</f>
        <v>0.35599999999999998</v>
      </c>
      <c r="F67" s="775">
        <v>0.35599999999999998</v>
      </c>
      <c r="G67" s="775"/>
      <c r="H67" s="729">
        <f>I67-G67</f>
        <v>0.56000000000000005</v>
      </c>
      <c r="I67" s="775">
        <v>0.56000000000000005</v>
      </c>
      <c r="J67" s="775"/>
      <c r="K67" s="729">
        <f>L67-J67</f>
        <v>0.67200000000000004</v>
      </c>
      <c r="L67" s="775">
        <v>0.67200000000000004</v>
      </c>
      <c r="M67" s="775"/>
      <c r="N67" s="729">
        <f>O67-M67</f>
        <v>1.302</v>
      </c>
      <c r="O67" s="775">
        <v>1.302</v>
      </c>
      <c r="P67" s="775"/>
      <c r="Q67" s="729">
        <f>R67-P67</f>
        <v>1.008</v>
      </c>
      <c r="R67" s="775">
        <v>1.008</v>
      </c>
      <c r="S67" s="775">
        <v>1</v>
      </c>
      <c r="T67" s="729">
        <f>U67-S67</f>
        <v>0.56200000000000006</v>
      </c>
      <c r="U67" s="775">
        <v>1.5620000000000001</v>
      </c>
      <c r="V67" s="775">
        <v>0.57599999999999996</v>
      </c>
      <c r="W67" s="729">
        <f>X67-V67</f>
        <v>0.872</v>
      </c>
      <c r="X67" s="775">
        <v>1.448</v>
      </c>
      <c r="Y67" s="775">
        <v>1.2050000000000001</v>
      </c>
      <c r="Z67" s="729">
        <f>AA67-Y67</f>
        <v>1.0310000000000001</v>
      </c>
      <c r="AA67" s="775">
        <v>2.2360000000000002</v>
      </c>
      <c r="AB67" s="775">
        <v>0.28799999999999998</v>
      </c>
      <c r="AC67" s="729">
        <f>AD67-AB67</f>
        <v>0.27999999999999997</v>
      </c>
      <c r="AD67" s="775">
        <v>0.56799999999999995</v>
      </c>
      <c r="AE67" s="775">
        <v>0.25800000000000001</v>
      </c>
      <c r="AF67" s="729">
        <f>AG67-AE67</f>
        <v>0.19700000000000001</v>
      </c>
      <c r="AG67" s="775">
        <v>0.45500000000000002</v>
      </c>
      <c r="AH67" s="775">
        <v>0.23300000000000001</v>
      </c>
      <c r="AI67" s="729">
        <f>AJ67-AH67</f>
        <v>0.16900000000000001</v>
      </c>
      <c r="AJ67" s="775">
        <v>0.40200000000000002</v>
      </c>
      <c r="AK67" s="775">
        <v>0.23499999999999999</v>
      </c>
      <c r="AL67" s="729">
        <f>AM67-AK67</f>
        <v>0.31700000000000006</v>
      </c>
      <c r="AM67" s="775">
        <v>0.55200000000000005</v>
      </c>
      <c r="AN67" s="775">
        <v>0.23899999999999999</v>
      </c>
      <c r="AO67" s="729">
        <f>AP67-AN67</f>
        <v>0.28200000000000036</v>
      </c>
      <c r="AP67" s="775">
        <f>3.857-3.336</f>
        <v>0.52100000000000035</v>
      </c>
      <c r="AQ67" s="775">
        <v>1.3</v>
      </c>
      <c r="AR67" s="775">
        <f>AS67-AQ67</f>
        <v>0.39999999999999925</v>
      </c>
      <c r="AS67" s="775">
        <f>10.7-9</f>
        <v>1.6999999999999993</v>
      </c>
      <c r="AT67" s="775">
        <v>0.2</v>
      </c>
      <c r="AU67" s="729">
        <f>AV67-AT67</f>
        <v>0.3</v>
      </c>
      <c r="AV67" s="775">
        <v>0.5</v>
      </c>
      <c r="AW67" s="775">
        <v>0.4</v>
      </c>
      <c r="AX67" s="729">
        <f>AY67-AW67</f>
        <v>0.29999999999999993</v>
      </c>
      <c r="AY67" s="775">
        <v>0.7</v>
      </c>
      <c r="AZ67" s="728">
        <f>BB67*0.5</f>
        <v>0.55000000000000004</v>
      </c>
      <c r="BA67" s="729">
        <f>BB67-AZ67</f>
        <v>0.55000000000000004</v>
      </c>
      <c r="BB67" s="775">
        <v>1.1000000000000001</v>
      </c>
      <c r="BC67" s="775">
        <v>1.1000000000000001</v>
      </c>
      <c r="BD67" s="729">
        <f>BE67-BC67</f>
        <v>0.5</v>
      </c>
      <c r="BE67" s="775">
        <v>1.6</v>
      </c>
      <c r="BF67" s="775">
        <v>0.4</v>
      </c>
      <c r="BG67" s="729">
        <f>BH67-BF67</f>
        <v>0.4</v>
      </c>
      <c r="BH67" s="775">
        <v>0.8</v>
      </c>
      <c r="BI67" s="775">
        <v>1.8</v>
      </c>
      <c r="BJ67" s="729">
        <f>BK67-BI67</f>
        <v>2.6000000000000005</v>
      </c>
      <c r="BK67" s="775">
        <v>4.4000000000000004</v>
      </c>
      <c r="BL67" s="570">
        <v>5.5</v>
      </c>
      <c r="BM67" s="729">
        <f>BN67-BL67</f>
        <v>5.6999999999999993</v>
      </c>
      <c r="BN67" s="775">
        <v>11.2</v>
      </c>
      <c r="BO67" s="1894">
        <v>6.8</v>
      </c>
      <c r="BP67" s="729">
        <f>BQ67-BO67</f>
        <v>4.7</v>
      </c>
      <c r="BQ67" s="775">
        <v>11.5</v>
      </c>
      <c r="BR67" s="1825">
        <v>3.8</v>
      </c>
      <c r="BS67" s="729">
        <f t="shared" ref="BS67" si="173">BT67-BR67</f>
        <v>3.60110058264336</v>
      </c>
      <c r="BT67" s="730">
        <f>BS!AH101</f>
        <v>7.4011005826433598</v>
      </c>
      <c r="BU67" s="728">
        <f>BS!AI101</f>
        <v>2.6498830027660585</v>
      </c>
      <c r="BV67" s="729">
        <f t="shared" ref="BV67" si="174">BW67-BU67</f>
        <v>2.9057689801432032</v>
      </c>
      <c r="BW67" s="730">
        <f>BS!AK101</f>
        <v>5.5556519829092617</v>
      </c>
      <c r="BX67" s="728">
        <f>BS!AL101</f>
        <v>2.7400210710503785</v>
      </c>
      <c r="BY67" s="729">
        <f t="shared" ref="BY67" si="175">BZ67-BX67</f>
        <v>2.9831773617224568</v>
      </c>
      <c r="BZ67" s="730">
        <f>BS!AN101</f>
        <v>5.7231984327728354</v>
      </c>
      <c r="CA67" s="728">
        <f>BS!AO101</f>
        <v>2.1591130019367983</v>
      </c>
      <c r="CB67" s="729">
        <f t="shared" ref="CB67" si="176">CC67-CA67</f>
        <v>2.3274586674364746</v>
      </c>
      <c r="CC67" s="730">
        <f>BS!AQ101</f>
        <v>4.4865716693732729</v>
      </c>
      <c r="CD67" s="74"/>
      <c r="CE67" s="74"/>
    </row>
    <row r="68" spans="1:83">
      <c r="A68" s="746" t="s">
        <v>283</v>
      </c>
      <c r="B68" s="349" t="s">
        <v>898</v>
      </c>
      <c r="C68" s="775"/>
      <c r="D68" s="775"/>
      <c r="E68" s="729"/>
      <c r="F68" s="775"/>
      <c r="G68" s="775"/>
      <c r="H68" s="729"/>
      <c r="I68" s="775"/>
      <c r="J68" s="775"/>
      <c r="K68" s="729"/>
      <c r="L68" s="775"/>
      <c r="M68" s="775"/>
      <c r="N68" s="729"/>
      <c r="O68" s="775"/>
      <c r="P68" s="775"/>
      <c r="Q68" s="729"/>
      <c r="R68" s="775"/>
      <c r="S68" s="775"/>
      <c r="T68" s="729"/>
      <c r="U68" s="775"/>
      <c r="V68" s="775"/>
      <c r="W68" s="729"/>
      <c r="X68" s="775"/>
      <c r="Y68" s="775"/>
      <c r="Z68" s="729"/>
      <c r="AA68" s="775"/>
      <c r="AB68" s="775"/>
      <c r="AC68" s="729"/>
      <c r="AD68" s="775"/>
      <c r="AE68" s="775"/>
      <c r="AF68" s="729"/>
      <c r="AG68" s="775"/>
      <c r="AH68" s="775"/>
      <c r="AI68" s="729"/>
      <c r="AJ68" s="775"/>
      <c r="AK68" s="775"/>
      <c r="AL68" s="729"/>
      <c r="AM68" s="775"/>
      <c r="AN68" s="775"/>
      <c r="AO68" s="729"/>
      <c r="AP68" s="775"/>
      <c r="AQ68" s="775"/>
      <c r="AR68" s="775"/>
      <c r="AS68" s="775"/>
      <c r="AT68" s="775"/>
      <c r="AU68" s="729"/>
      <c r="AV68" s="775">
        <f>AV69+AV70</f>
        <v>-16.600000000000001</v>
      </c>
      <c r="AW68" s="728">
        <f t="shared" ref="AW68:BK68" si="177">AW69+AW70</f>
        <v>-7.1</v>
      </c>
      <c r="AX68" s="728">
        <f t="shared" si="177"/>
        <v>-7.2000000000000011</v>
      </c>
      <c r="AY68" s="728">
        <f t="shared" si="177"/>
        <v>-14.3</v>
      </c>
      <c r="AZ68" s="728">
        <f t="shared" si="177"/>
        <v>-18.350000000000001</v>
      </c>
      <c r="BA68" s="728">
        <f t="shared" si="177"/>
        <v>-18.049999999999997</v>
      </c>
      <c r="BB68" s="728">
        <f t="shared" si="177"/>
        <v>-36.4</v>
      </c>
      <c r="BC68" s="728">
        <f t="shared" si="177"/>
        <v>-13.399999999999999</v>
      </c>
      <c r="BD68" s="728">
        <f t="shared" si="177"/>
        <v>-7.9000000000000021</v>
      </c>
      <c r="BE68" s="728">
        <f t="shared" si="177"/>
        <v>-24.7</v>
      </c>
      <c r="BF68" s="728">
        <f t="shared" si="177"/>
        <v>-10.399999999999999</v>
      </c>
      <c r="BG68" s="728">
        <f>BG69+BG70</f>
        <v>-9.6999999999999993</v>
      </c>
      <c r="BH68" s="728">
        <f t="shared" si="177"/>
        <v>-20.099999999999998</v>
      </c>
      <c r="BI68" s="728">
        <f t="shared" si="177"/>
        <v>-10.8</v>
      </c>
      <c r="BJ68" s="732">
        <f>BJ69+BJ70</f>
        <v>-15.499999999999998</v>
      </c>
      <c r="BK68" s="728">
        <f t="shared" si="177"/>
        <v>-26.299999999999997</v>
      </c>
      <c r="BL68" s="732">
        <f>BL69+BL70</f>
        <v>-14.9</v>
      </c>
      <c r="BM68" s="732">
        <f>BM69+BM70</f>
        <v>-16.099999999999998</v>
      </c>
      <c r="BN68" s="728">
        <f t="shared" ref="BN68" si="178">BN69+BN70</f>
        <v>-31</v>
      </c>
      <c r="BO68" s="732">
        <f>BO69+BO70</f>
        <v>-18</v>
      </c>
      <c r="BP68" s="733">
        <f t="shared" ref="BP68:BQ68" si="179">BP69+BP70</f>
        <v>-19.599999999999998</v>
      </c>
      <c r="BQ68" s="728">
        <f t="shared" si="179"/>
        <v>-37.599999999999994</v>
      </c>
      <c r="BR68" s="1826">
        <f t="shared" ref="BR68" si="180">BR69+BR70</f>
        <v>-20</v>
      </c>
      <c r="BS68" s="733">
        <f>BS69+BS70</f>
        <v>-20.43</v>
      </c>
      <c r="BT68" s="733">
        <f>BT69+BT70</f>
        <v>-40.43</v>
      </c>
      <c r="BU68" s="732">
        <f t="shared" ref="BU68" si="181">BU69+BU70</f>
        <v>-20.797450000000001</v>
      </c>
      <c r="BV68" s="733">
        <f>BV69+BV70</f>
        <v>-20.797450000000001</v>
      </c>
      <c r="BW68" s="733">
        <f t="shared" ref="BW68:BX68" si="182">BW69+BW70</f>
        <v>-41.594900000000003</v>
      </c>
      <c r="BX68" s="732">
        <f t="shared" si="182"/>
        <v>-21.3973735</v>
      </c>
      <c r="BY68" s="733">
        <f>BY69+BY70</f>
        <v>-21.3973735</v>
      </c>
      <c r="BZ68" s="733">
        <f t="shared" ref="BZ68:CA68" si="183">BZ69+BZ70</f>
        <v>-42.794747000000001</v>
      </c>
      <c r="CA68" s="732">
        <f t="shared" si="183"/>
        <v>-22.015294705000002</v>
      </c>
      <c r="CB68" s="733">
        <f>CB69+CB70</f>
        <v>-22.015294705000002</v>
      </c>
      <c r="CC68" s="733">
        <f t="shared" ref="CC68" si="184">CC69+CC70</f>
        <v>-44.030589410000005</v>
      </c>
      <c r="CD68" s="74"/>
      <c r="CE68" s="74"/>
    </row>
    <row r="69" spans="1:83">
      <c r="A69" s="746" t="s">
        <v>910</v>
      </c>
      <c r="B69" s="809" t="s">
        <v>896</v>
      </c>
      <c r="C69" s="775">
        <v>-4.423</v>
      </c>
      <c r="D69" s="775">
        <v>-1.03</v>
      </c>
      <c r="E69" s="729">
        <f>F69-D69</f>
        <v>-2.0279999999999996</v>
      </c>
      <c r="F69" s="775">
        <v>-3.0579999999999998</v>
      </c>
      <c r="G69" s="775">
        <v>-2.5739999999999998</v>
      </c>
      <c r="H69" s="729">
        <f>I69-G69</f>
        <v>-3.1310000000000002</v>
      </c>
      <c r="I69" s="775">
        <v>-5.7050000000000001</v>
      </c>
      <c r="J69" s="775">
        <v>-3.0369999999999999</v>
      </c>
      <c r="K69" s="729">
        <f>L69-J69</f>
        <v>-3.3730000000000002</v>
      </c>
      <c r="L69" s="775">
        <v>-6.41</v>
      </c>
      <c r="M69" s="775">
        <v>-3.7959999999999998</v>
      </c>
      <c r="N69" s="729">
        <f>O69-M69</f>
        <v>-3.661</v>
      </c>
      <c r="O69" s="775">
        <v>-7.4569999999999999</v>
      </c>
      <c r="P69" s="775">
        <v>-4.1929999999999996</v>
      </c>
      <c r="Q69" s="729">
        <f>R69-P69</f>
        <v>-5.104000000000001</v>
      </c>
      <c r="R69" s="775">
        <v>-9.2970000000000006</v>
      </c>
      <c r="S69" s="775">
        <v>-4.78</v>
      </c>
      <c r="T69" s="729">
        <f>U69-S69</f>
        <v>-3.2559999999999993</v>
      </c>
      <c r="U69" s="775">
        <v>-8.0359999999999996</v>
      </c>
      <c r="V69" s="775">
        <v>-3.234</v>
      </c>
      <c r="W69" s="729">
        <f>X69-V69</f>
        <v>-3.7229999999999999</v>
      </c>
      <c r="X69" s="775">
        <v>-6.9569999999999999</v>
      </c>
      <c r="Y69" s="775">
        <v>-2.6110000000000002</v>
      </c>
      <c r="Z69" s="729">
        <f>AA69-Y69</f>
        <v>-3.6569999999999996</v>
      </c>
      <c r="AA69" s="775">
        <v>-6.2679999999999998</v>
      </c>
      <c r="AB69" s="775">
        <v>-7.2149999999999999</v>
      </c>
      <c r="AC69" s="729">
        <f>AD69-AB69</f>
        <v>-6.4390000000000001</v>
      </c>
      <c r="AD69" s="775">
        <v>-13.654</v>
      </c>
      <c r="AE69" s="775">
        <v>-5.4249999999999998</v>
      </c>
      <c r="AF69" s="729">
        <f>AG69-AE69</f>
        <v>-4.7310000000000008</v>
      </c>
      <c r="AG69" s="775">
        <v>-10.156000000000001</v>
      </c>
      <c r="AH69" s="775">
        <v>-4.1479999999999997</v>
      </c>
      <c r="AI69" s="729">
        <f>AJ69-AH69</f>
        <v>-4.697000000000001</v>
      </c>
      <c r="AJ69" s="775">
        <v>-8.8450000000000006</v>
      </c>
      <c r="AK69" s="775">
        <v>-3.1360000000000001</v>
      </c>
      <c r="AL69" s="729">
        <f>AM69-AK69</f>
        <v>-2.7909999999999995</v>
      </c>
      <c r="AM69" s="775">
        <v>-5.9269999999999996</v>
      </c>
      <c r="AN69" s="775">
        <v>-1.984</v>
      </c>
      <c r="AO69" s="729">
        <f>AP69-AN69</f>
        <v>-1.8730000000000002</v>
      </c>
      <c r="AP69" s="775">
        <v>-3.8570000000000002</v>
      </c>
      <c r="AQ69" s="775">
        <v>-2.7</v>
      </c>
      <c r="AR69" s="775">
        <f>AS69-AQ69</f>
        <v>-7.9999999999999991</v>
      </c>
      <c r="AS69" s="775">
        <v>-10.7</v>
      </c>
      <c r="AT69" s="775">
        <v>-8.3000000000000007</v>
      </c>
      <c r="AU69" s="729">
        <f>AV69-AT69</f>
        <v>-8.3000000000000007</v>
      </c>
      <c r="AV69" s="775">
        <v>-16.600000000000001</v>
      </c>
      <c r="AW69" s="775">
        <v>-7.1</v>
      </c>
      <c r="AX69" s="729">
        <f>AY69-AW69</f>
        <v>-7.2000000000000011</v>
      </c>
      <c r="AY69" s="775">
        <v>-14.3</v>
      </c>
      <c r="AZ69" s="728">
        <f>AZ71-AZ67</f>
        <v>-18.350000000000001</v>
      </c>
      <c r="BA69" s="729">
        <f>BB69-AZ69</f>
        <v>-18.049999999999997</v>
      </c>
      <c r="BB69" s="775">
        <v>-36.4</v>
      </c>
      <c r="BC69" s="728">
        <f>BC71-BC67</f>
        <v>-13.399999999999999</v>
      </c>
      <c r="BD69" s="729">
        <f>BE69-BC69</f>
        <v>-7.9000000000000021</v>
      </c>
      <c r="BE69" s="775">
        <v>-21.3</v>
      </c>
      <c r="BF69" s="775">
        <v>-9.6999999999999993</v>
      </c>
      <c r="BG69" s="729">
        <f>BH69-BF69</f>
        <v>-9</v>
      </c>
      <c r="BH69" s="775">
        <v>-18.7</v>
      </c>
      <c r="BI69" s="775">
        <v>-9.4</v>
      </c>
      <c r="BJ69" s="628">
        <f>BK69-BI69</f>
        <v>-12.499999999999998</v>
      </c>
      <c r="BK69" s="775">
        <v>-21.9</v>
      </c>
      <c r="BL69" s="570">
        <v>-13.9</v>
      </c>
      <c r="BM69" s="732">
        <f>BN69-BL69</f>
        <v>-15.299999999999999</v>
      </c>
      <c r="BN69" s="775">
        <v>-29.2</v>
      </c>
      <c r="BO69" s="1894">
        <v>-16.8</v>
      </c>
      <c r="BP69" s="734">
        <f>BQ69-BO69</f>
        <v>-18.499999999999996</v>
      </c>
      <c r="BQ69" s="775">
        <v>-35.299999999999997</v>
      </c>
      <c r="BR69" s="1897">
        <v>-19.2</v>
      </c>
      <c r="BS69" s="734">
        <f t="shared" ref="BS69" si="185">BT69-BR69</f>
        <v>-19.63</v>
      </c>
      <c r="BT69" s="734">
        <f>+BQ69*1.1</f>
        <v>-38.83</v>
      </c>
      <c r="BU69" s="628">
        <f t="shared" ref="BU69" si="186">0.5*BW69</f>
        <v>-19.997450000000001</v>
      </c>
      <c r="BV69" s="734">
        <f t="shared" ref="BV69" si="187">BW69-BU69</f>
        <v>-19.997450000000001</v>
      </c>
      <c r="BW69" s="734">
        <f>+BT69*1.03</f>
        <v>-39.994900000000001</v>
      </c>
      <c r="BX69" s="628">
        <f t="shared" ref="BX69" si="188">0.5*BZ69</f>
        <v>-20.5973735</v>
      </c>
      <c r="BY69" s="734">
        <f t="shared" ref="BY69" si="189">BZ69-BX69</f>
        <v>-20.5973735</v>
      </c>
      <c r="BZ69" s="734">
        <f>+BW69*1.03</f>
        <v>-41.194747</v>
      </c>
      <c r="CA69" s="628">
        <f t="shared" ref="CA69" si="190">0.5*CC69</f>
        <v>-21.215294705000002</v>
      </c>
      <c r="CB69" s="734">
        <f t="shared" ref="CB69" si="191">CC69-CA69</f>
        <v>-21.215294705000002</v>
      </c>
      <c r="CC69" s="734">
        <f>+BZ69*1.03</f>
        <v>-42.430589410000003</v>
      </c>
      <c r="CD69" s="74"/>
      <c r="CE69" s="74"/>
    </row>
    <row r="70" spans="1:83">
      <c r="A70" s="746"/>
      <c r="B70" s="809" t="s">
        <v>897</v>
      </c>
      <c r="C70" s="775"/>
      <c r="D70" s="775"/>
      <c r="E70" s="729"/>
      <c r="F70" s="775"/>
      <c r="G70" s="775"/>
      <c r="H70" s="729"/>
      <c r="I70" s="775"/>
      <c r="J70" s="775"/>
      <c r="K70" s="729"/>
      <c r="L70" s="775"/>
      <c r="M70" s="775"/>
      <c r="N70" s="729"/>
      <c r="O70" s="775"/>
      <c r="P70" s="775"/>
      <c r="Q70" s="729"/>
      <c r="R70" s="775"/>
      <c r="S70" s="775"/>
      <c r="T70" s="729"/>
      <c r="U70" s="775"/>
      <c r="V70" s="775"/>
      <c r="W70" s="729"/>
      <c r="X70" s="775"/>
      <c r="Y70" s="775"/>
      <c r="Z70" s="729"/>
      <c r="AA70" s="775"/>
      <c r="AB70" s="775"/>
      <c r="AC70" s="729"/>
      <c r="AD70" s="775"/>
      <c r="AE70" s="775"/>
      <c r="AF70" s="729"/>
      <c r="AG70" s="775"/>
      <c r="AH70" s="775"/>
      <c r="AI70" s="729"/>
      <c r="AJ70" s="775"/>
      <c r="AK70" s="775"/>
      <c r="AL70" s="729"/>
      <c r="AM70" s="775"/>
      <c r="AN70" s="775"/>
      <c r="AO70" s="729"/>
      <c r="AP70" s="775"/>
      <c r="AQ70" s="775"/>
      <c r="AR70" s="775"/>
      <c r="AS70" s="775"/>
      <c r="AT70" s="775"/>
      <c r="AU70" s="729"/>
      <c r="AV70" s="775"/>
      <c r="AW70" s="775"/>
      <c r="AX70" s="729"/>
      <c r="AY70" s="775"/>
      <c r="AZ70" s="831"/>
      <c r="BA70" s="729"/>
      <c r="BB70" s="775"/>
      <c r="BC70" s="831"/>
      <c r="BD70" s="729"/>
      <c r="BE70" s="775">
        <v>-3.4</v>
      </c>
      <c r="BF70" s="775">
        <v>-0.7</v>
      </c>
      <c r="BG70" s="729">
        <f>BH70-BF70</f>
        <v>-0.7</v>
      </c>
      <c r="BH70" s="775">
        <v>-1.4</v>
      </c>
      <c r="BI70" s="775">
        <v>-1.4</v>
      </c>
      <c r="BJ70" s="732">
        <f>BK70-BI70</f>
        <v>-3.0000000000000004</v>
      </c>
      <c r="BK70" s="775">
        <f>-4-0.4</f>
        <v>-4.4000000000000004</v>
      </c>
      <c r="BL70" s="570">
        <v>-1</v>
      </c>
      <c r="BM70" s="732">
        <f>BN70-BL70</f>
        <v>-0.8</v>
      </c>
      <c r="BN70" s="775">
        <v>-1.8</v>
      </c>
      <c r="BO70" s="1895">
        <v>-1.2</v>
      </c>
      <c r="BP70" s="732">
        <f>+BQ70-BO70</f>
        <v>-1.0999999999999999</v>
      </c>
      <c r="BQ70" s="775">
        <v>-2.2999999999999998</v>
      </c>
      <c r="BR70" s="1825">
        <v>-0.8</v>
      </c>
      <c r="BS70" s="732">
        <f t="shared" ref="BS70" si="192">+BT70-BR70</f>
        <v>-0.8</v>
      </c>
      <c r="BT70" s="733">
        <f>+BS!AH92</f>
        <v>-1.6</v>
      </c>
      <c r="BU70" s="732">
        <f>+BS!AI92</f>
        <v>-0.8</v>
      </c>
      <c r="BV70" s="732">
        <f t="shared" ref="BV70" si="193">+BW70-BU70</f>
        <v>-0.8</v>
      </c>
      <c r="BW70" s="733">
        <f>+BS!AK92</f>
        <v>-1.6</v>
      </c>
      <c r="BX70" s="732">
        <f>+BS!AL92</f>
        <v>-0.8</v>
      </c>
      <c r="BY70" s="732">
        <f t="shared" ref="BY70" si="194">+BZ70-BX70</f>
        <v>-0.8</v>
      </c>
      <c r="BZ70" s="733">
        <f>+BS!AN92</f>
        <v>-1.6</v>
      </c>
      <c r="CA70" s="732">
        <f>+BS!AO92</f>
        <v>-0.8</v>
      </c>
      <c r="CB70" s="732">
        <f t="shared" ref="CB70" si="195">+CC70-CA70</f>
        <v>-0.8</v>
      </c>
      <c r="CC70" s="733">
        <f>+BS!AQ92</f>
        <v>-1.6</v>
      </c>
      <c r="CD70" s="74"/>
      <c r="CE70" s="74"/>
    </row>
    <row r="71" spans="1:83">
      <c r="A71" s="746" t="s">
        <v>284</v>
      </c>
      <c r="B71" s="810" t="s">
        <v>285</v>
      </c>
      <c r="C71" s="811">
        <f t="shared" ref="C71:AM71" si="196">C67+C69</f>
        <v>-4.1070000000000002</v>
      </c>
      <c r="D71" s="812">
        <f t="shared" ref="D71:E71" si="197">D69+D67</f>
        <v>-1.03</v>
      </c>
      <c r="E71" s="812">
        <f t="shared" si="197"/>
        <v>-1.6719999999999997</v>
      </c>
      <c r="F71" s="811">
        <f t="shared" si="196"/>
        <v>-2.702</v>
      </c>
      <c r="G71" s="812">
        <f t="shared" ref="G71:H71" si="198">G69+G67</f>
        <v>-2.5739999999999998</v>
      </c>
      <c r="H71" s="812">
        <f t="shared" si="198"/>
        <v>-2.5710000000000002</v>
      </c>
      <c r="I71" s="811">
        <f t="shared" si="196"/>
        <v>-5.1449999999999996</v>
      </c>
      <c r="J71" s="812">
        <f t="shared" ref="J71:K71" si="199">J69+J67</f>
        <v>-3.0369999999999999</v>
      </c>
      <c r="K71" s="812">
        <f t="shared" si="199"/>
        <v>-2.7010000000000001</v>
      </c>
      <c r="L71" s="811">
        <f t="shared" si="196"/>
        <v>-5.7380000000000004</v>
      </c>
      <c r="M71" s="812">
        <f t="shared" ref="M71:N71" si="200">M69+M67</f>
        <v>-3.7959999999999998</v>
      </c>
      <c r="N71" s="812">
        <f t="shared" si="200"/>
        <v>-2.359</v>
      </c>
      <c r="O71" s="811">
        <f t="shared" si="196"/>
        <v>-6.1549999999999994</v>
      </c>
      <c r="P71" s="812">
        <f t="shared" ref="P71:Q71" si="201">P69+P67</f>
        <v>-4.1929999999999996</v>
      </c>
      <c r="Q71" s="812">
        <f t="shared" si="201"/>
        <v>-4.096000000000001</v>
      </c>
      <c r="R71" s="811">
        <f t="shared" si="196"/>
        <v>-8.2890000000000015</v>
      </c>
      <c r="S71" s="812">
        <f t="shared" ref="S71:T71" si="202">S69+S67</f>
        <v>-3.7800000000000002</v>
      </c>
      <c r="T71" s="812">
        <f t="shared" si="202"/>
        <v>-2.6939999999999991</v>
      </c>
      <c r="U71" s="811">
        <f t="shared" si="196"/>
        <v>-6.4739999999999993</v>
      </c>
      <c r="V71" s="812">
        <f t="shared" ref="V71:W71" si="203">V69+V67</f>
        <v>-2.6579999999999999</v>
      </c>
      <c r="W71" s="812">
        <f t="shared" si="203"/>
        <v>-2.851</v>
      </c>
      <c r="X71" s="811">
        <f t="shared" si="196"/>
        <v>-5.5090000000000003</v>
      </c>
      <c r="Y71" s="812">
        <f t="shared" ref="Y71:Z71" si="204">Y69+Y67</f>
        <v>-1.4060000000000001</v>
      </c>
      <c r="Z71" s="812">
        <f t="shared" si="204"/>
        <v>-2.6259999999999994</v>
      </c>
      <c r="AA71" s="812">
        <f t="shared" si="196"/>
        <v>-4.032</v>
      </c>
      <c r="AB71" s="812">
        <f t="shared" ref="AB71:AC71" si="205">AB69+AB67</f>
        <v>-6.9269999999999996</v>
      </c>
      <c r="AC71" s="812">
        <f t="shared" si="205"/>
        <v>-6.1589999999999998</v>
      </c>
      <c r="AD71" s="812">
        <f t="shared" si="196"/>
        <v>-13.086</v>
      </c>
      <c r="AE71" s="812">
        <f t="shared" ref="AE71:AF71" si="206">AE69+AE67</f>
        <v>-5.1669999999999998</v>
      </c>
      <c r="AF71" s="812">
        <f t="shared" si="206"/>
        <v>-4.5340000000000007</v>
      </c>
      <c r="AG71" s="812">
        <f>AG67+AG69</f>
        <v>-9.7010000000000005</v>
      </c>
      <c r="AH71" s="812">
        <f>AH69+AH67</f>
        <v>-3.9149999999999996</v>
      </c>
      <c r="AI71" s="812">
        <f>AI69+AI67</f>
        <v>-4.5280000000000014</v>
      </c>
      <c r="AJ71" s="812">
        <f>AJ67+AJ69</f>
        <v>-8.4430000000000014</v>
      </c>
      <c r="AK71" s="812">
        <f>AK69+AK67</f>
        <v>-2.9010000000000002</v>
      </c>
      <c r="AL71" s="812">
        <f>AL69+AL67</f>
        <v>-2.4739999999999993</v>
      </c>
      <c r="AM71" s="812">
        <f t="shared" si="196"/>
        <v>-5.375</v>
      </c>
      <c r="AN71" s="812">
        <f>AN69+AN67</f>
        <v>-1.7450000000000001</v>
      </c>
      <c r="AO71" s="812">
        <f>AP71-AN71</f>
        <v>-1.5909999999999997</v>
      </c>
      <c r="AP71" s="812">
        <f>AP67+AP69</f>
        <v>-3.3359999999999999</v>
      </c>
      <c r="AQ71" s="812">
        <f>AQ69+AQ67</f>
        <v>-1.4000000000000001</v>
      </c>
      <c r="AR71" s="812">
        <f>AR69+AR67</f>
        <v>-7.6</v>
      </c>
      <c r="AS71" s="812">
        <f>AS67+AS69</f>
        <v>-9</v>
      </c>
      <c r="AT71" s="812">
        <f>AT69+AT67</f>
        <v>-8.1000000000000014</v>
      </c>
      <c r="AU71" s="812">
        <f>AU69+AU67</f>
        <v>-8</v>
      </c>
      <c r="AV71" s="812">
        <f>AV67+AV69</f>
        <v>-16.100000000000001</v>
      </c>
      <c r="AW71" s="812">
        <f>AW69+AW67</f>
        <v>-6.6999999999999993</v>
      </c>
      <c r="AX71" s="812">
        <f>AX69+AX67</f>
        <v>-6.9000000000000012</v>
      </c>
      <c r="AY71" s="812">
        <f>AY67+AY69</f>
        <v>-13.600000000000001</v>
      </c>
      <c r="AZ71" s="773">
        <v>-17.8</v>
      </c>
      <c r="BA71" s="812">
        <f t="shared" ref="BA71" si="207">BA69+BA67</f>
        <v>-17.499999999999996</v>
      </c>
      <c r="BB71" s="812">
        <f>BB67+BB69</f>
        <v>-35.299999999999997</v>
      </c>
      <c r="BC71" s="773">
        <f>-11.1-1.2</f>
        <v>-12.299999999999999</v>
      </c>
      <c r="BD71" s="812">
        <f>BD69+BD67</f>
        <v>-7.4000000000000021</v>
      </c>
      <c r="BE71" s="812">
        <f>BE67+BE69</f>
        <v>-19.7</v>
      </c>
      <c r="BF71" s="731">
        <f>BF67+BF69+BF70</f>
        <v>-9.9999999999999982</v>
      </c>
      <c r="BG71" s="812">
        <f>BG67+BG69+BG70</f>
        <v>-9.2999999999999989</v>
      </c>
      <c r="BH71" s="812">
        <f>BH67+BH69+BH70</f>
        <v>-19.299999999999997</v>
      </c>
      <c r="BI71" s="731">
        <f>BI67+BI69+BI70</f>
        <v>-9</v>
      </c>
      <c r="BJ71" s="248">
        <f t="shared" ref="BJ71:BW71" si="208">BJ69+BJ67+BJ70</f>
        <v>-12.899999999999999</v>
      </c>
      <c r="BK71" s="812">
        <f>BK67+BK69+BK70</f>
        <v>-21.9</v>
      </c>
      <c r="BL71" s="1394">
        <f>BL67+BL69+BL70</f>
        <v>-9.4</v>
      </c>
      <c r="BM71" s="248">
        <f t="shared" ref="BM71" si="209">BM69+BM67+BM70</f>
        <v>-10.4</v>
      </c>
      <c r="BN71" s="812">
        <f>BN67+BN69+BN70</f>
        <v>-19.8</v>
      </c>
      <c r="BO71" s="1394">
        <f>BO67+BO69+BO70</f>
        <v>-11.2</v>
      </c>
      <c r="BP71" s="248">
        <f t="shared" si="208"/>
        <v>-14.899999999999997</v>
      </c>
      <c r="BQ71" s="812">
        <f>BQ67+BQ69+BQ70</f>
        <v>-26.099999999999998</v>
      </c>
      <c r="BR71" s="1827">
        <f t="shared" si="208"/>
        <v>-16.2</v>
      </c>
      <c r="BS71" s="248">
        <f t="shared" si="208"/>
        <v>-16.828899417356642</v>
      </c>
      <c r="BT71" s="248">
        <f t="shared" si="208"/>
        <v>-33.028899417356641</v>
      </c>
      <c r="BU71" s="248">
        <f t="shared" si="208"/>
        <v>-18.147566997233941</v>
      </c>
      <c r="BV71" s="248">
        <f t="shared" si="208"/>
        <v>-17.891681019856797</v>
      </c>
      <c r="BW71" s="248">
        <f t="shared" si="208"/>
        <v>-36.039248017090742</v>
      </c>
      <c r="BX71" s="248">
        <f t="shared" ref="BX71:CC71" si="210">BX69+BX67+BX70</f>
        <v>-18.657352428949622</v>
      </c>
      <c r="BY71" s="248">
        <f t="shared" si="210"/>
        <v>-18.414196138277543</v>
      </c>
      <c r="BZ71" s="248">
        <f t="shared" si="210"/>
        <v>-37.071548567227168</v>
      </c>
      <c r="CA71" s="248">
        <f t="shared" si="210"/>
        <v>-19.856181703063204</v>
      </c>
      <c r="CB71" s="248">
        <f t="shared" si="210"/>
        <v>-19.687836037563528</v>
      </c>
      <c r="CC71" s="248">
        <f t="shared" si="210"/>
        <v>-39.544017740626735</v>
      </c>
      <c r="CD71" s="94"/>
      <c r="CE71" s="94"/>
    </row>
    <row r="72" spans="1:83">
      <c r="A72" s="746"/>
      <c r="B72" s="810"/>
      <c r="C72" s="811"/>
      <c r="D72" s="811"/>
      <c r="E72" s="811"/>
      <c r="F72" s="811"/>
      <c r="G72" s="811"/>
      <c r="H72" s="811"/>
      <c r="I72" s="811"/>
      <c r="J72" s="811"/>
      <c r="K72" s="811"/>
      <c r="L72" s="811"/>
      <c r="M72" s="811"/>
      <c r="N72" s="811"/>
      <c r="O72" s="811"/>
      <c r="P72" s="811"/>
      <c r="Q72" s="811"/>
      <c r="R72" s="343"/>
      <c r="S72" s="811"/>
      <c r="T72" s="811"/>
      <c r="U72" s="343"/>
      <c r="V72" s="811"/>
      <c r="W72" s="811"/>
      <c r="X72" s="811"/>
      <c r="Y72" s="811"/>
      <c r="Z72" s="811"/>
      <c r="AA72" s="811"/>
      <c r="AB72" s="811"/>
      <c r="AC72" s="811"/>
      <c r="AD72" s="811"/>
      <c r="AE72" s="811"/>
      <c r="AF72" s="811"/>
      <c r="AG72" s="811"/>
      <c r="AH72" s="811"/>
      <c r="AI72" s="811"/>
      <c r="AJ72" s="811"/>
      <c r="AK72" s="811"/>
      <c r="AL72" s="811"/>
      <c r="AM72" s="811"/>
      <c r="AN72" s="811"/>
      <c r="AO72" s="811"/>
      <c r="AP72" s="811"/>
      <c r="AQ72" s="811"/>
      <c r="AR72" s="811"/>
      <c r="AS72" s="811"/>
      <c r="AT72" s="811"/>
      <c r="AU72" s="811"/>
      <c r="AV72" s="811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87"/>
      <c r="BI72" s="87"/>
      <c r="BJ72" s="87"/>
      <c r="BK72" s="87"/>
      <c r="BL72" s="1395"/>
      <c r="BM72" s="87"/>
      <c r="BN72" s="87"/>
      <c r="BO72" s="1395"/>
      <c r="BP72" s="87"/>
      <c r="BQ72" s="87"/>
      <c r="BR72" s="1819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218"/>
      <c r="CE72" s="218"/>
    </row>
    <row r="73" spans="1:83">
      <c r="A73" s="746" t="s">
        <v>286</v>
      </c>
      <c r="B73" s="810" t="s">
        <v>287</v>
      </c>
      <c r="C73" s="811">
        <f t="shared" ref="C73:AM73" si="211">C71+C64</f>
        <v>12.674000000000003</v>
      </c>
      <c r="D73" s="811">
        <f t="shared" si="211"/>
        <v>13.47</v>
      </c>
      <c r="E73" s="811">
        <f t="shared" si="211"/>
        <v>6.56</v>
      </c>
      <c r="F73" s="811">
        <f t="shared" si="211"/>
        <v>20.03</v>
      </c>
      <c r="G73" s="811">
        <f>G71+G64</f>
        <v>22.026000000000003</v>
      </c>
      <c r="H73" s="811">
        <f t="shared" ref="H73" si="212">H71+H64</f>
        <v>9.8609999999999953</v>
      </c>
      <c r="I73" s="813">
        <f t="shared" si="211"/>
        <v>31.886999999999997</v>
      </c>
      <c r="J73" s="811">
        <f t="shared" si="211"/>
        <v>28.063000000000002</v>
      </c>
      <c r="K73" s="811">
        <f t="shared" si="211"/>
        <v>10.759999999999998</v>
      </c>
      <c r="L73" s="811">
        <f t="shared" si="211"/>
        <v>38.823</v>
      </c>
      <c r="M73" s="811">
        <f t="shared" si="211"/>
        <v>38.003999999999998</v>
      </c>
      <c r="N73" s="811">
        <f t="shared" si="211"/>
        <v>21.375000000000007</v>
      </c>
      <c r="O73" s="811">
        <f t="shared" si="211"/>
        <v>59.379000000000005</v>
      </c>
      <c r="P73" s="811">
        <f t="shared" si="211"/>
        <v>60.606999999999999</v>
      </c>
      <c r="Q73" s="811">
        <f t="shared" si="211"/>
        <v>33.402999999999992</v>
      </c>
      <c r="R73" s="811">
        <f t="shared" si="211"/>
        <v>94.009999999999991</v>
      </c>
      <c r="S73" s="811">
        <f t="shared" si="211"/>
        <v>85.42</v>
      </c>
      <c r="T73" s="811">
        <f t="shared" si="211"/>
        <v>50.072000000000003</v>
      </c>
      <c r="U73" s="811">
        <f t="shared" si="211"/>
        <v>135.49200000000002</v>
      </c>
      <c r="V73" s="811">
        <f t="shared" si="211"/>
        <v>108.742</v>
      </c>
      <c r="W73" s="811">
        <f t="shared" si="211"/>
        <v>60.859000000000009</v>
      </c>
      <c r="X73" s="811">
        <f t="shared" si="211"/>
        <v>169.601</v>
      </c>
      <c r="Y73" s="811">
        <f t="shared" si="211"/>
        <v>125.59399999999999</v>
      </c>
      <c r="Z73" s="811">
        <f t="shared" si="211"/>
        <v>32.987000000000009</v>
      </c>
      <c r="AA73" s="811">
        <f t="shared" si="211"/>
        <v>158.58099999999999</v>
      </c>
      <c r="AB73" s="811">
        <f t="shared" si="211"/>
        <v>113.81</v>
      </c>
      <c r="AC73" s="811">
        <f t="shared" si="211"/>
        <v>32.085000000000001</v>
      </c>
      <c r="AD73" s="811">
        <f>AD71+AD64</f>
        <v>148.37299999999999</v>
      </c>
      <c r="AE73" s="811">
        <f t="shared" ref="AE73" si="213">AE71+AE64</f>
        <v>118.533</v>
      </c>
      <c r="AF73" s="811">
        <f>AG73-AE73</f>
        <v>49.51900000000002</v>
      </c>
      <c r="AG73" s="811">
        <f>AG71+AG64</f>
        <v>168.05200000000002</v>
      </c>
      <c r="AH73" s="811">
        <f>AH71+AH64</f>
        <v>128.98500000000001</v>
      </c>
      <c r="AI73" s="811">
        <f>AJ73-AH73</f>
        <v>53.691999999999979</v>
      </c>
      <c r="AJ73" s="811">
        <f t="shared" si="211"/>
        <v>182.67699999999999</v>
      </c>
      <c r="AK73" s="811">
        <f>AK71+AK64</f>
        <v>127.07000000000001</v>
      </c>
      <c r="AL73" s="811">
        <f>AM73-AK73</f>
        <v>68.462000000000003</v>
      </c>
      <c r="AM73" s="811">
        <f t="shared" si="211"/>
        <v>195.53200000000001</v>
      </c>
      <c r="AN73" s="812">
        <f>AN71+AN64</f>
        <v>136.41399999999999</v>
      </c>
      <c r="AO73" s="811">
        <f>AP73-AN73</f>
        <v>81.425000000000011</v>
      </c>
      <c r="AP73" s="811">
        <f>AP71+AP64</f>
        <v>217.839</v>
      </c>
      <c r="AQ73" s="812">
        <f>AQ71+AQ64</f>
        <v>164.1</v>
      </c>
      <c r="AR73" s="812">
        <f>AS73-AQ73</f>
        <v>95.1</v>
      </c>
      <c r="AS73" s="811">
        <f>AS71+AS64</f>
        <v>259.2</v>
      </c>
      <c r="AT73" s="812">
        <f>AT71+AT64</f>
        <v>217.70000000000002</v>
      </c>
      <c r="AU73" s="812">
        <f>AV73-AT73</f>
        <v>116.79999999999993</v>
      </c>
      <c r="AV73" s="811">
        <f>AV71+AV64</f>
        <v>334.49999999999994</v>
      </c>
      <c r="AW73" s="248">
        <f>AW71+AW64</f>
        <v>229.9</v>
      </c>
      <c r="AX73" s="248">
        <f>AY73-AW73</f>
        <v>129.4</v>
      </c>
      <c r="AY73" s="248">
        <f>AY71+AY64</f>
        <v>359.3</v>
      </c>
      <c r="AZ73" s="248">
        <f>AZ71+AZ64</f>
        <v>245.2</v>
      </c>
      <c r="BA73" s="248">
        <f>BB73-AZ73</f>
        <v>202.70000000000005</v>
      </c>
      <c r="BB73" s="248">
        <f>BB71+BB64</f>
        <v>447.90000000000003</v>
      </c>
      <c r="BC73" s="248">
        <f>BC71+BC64</f>
        <v>450.5</v>
      </c>
      <c r="BD73" s="248">
        <f>BD71+BD64</f>
        <v>272.90000000000009</v>
      </c>
      <c r="BE73" s="248">
        <f t="shared" ref="BE73:BW73" si="214">BE71+BE64</f>
        <v>723.4</v>
      </c>
      <c r="BF73" s="248">
        <f t="shared" ref="BF73:BK73" si="215">BF71+BF64</f>
        <v>410.5</v>
      </c>
      <c r="BG73" s="248">
        <f t="shared" si="215"/>
        <v>364.80000000000007</v>
      </c>
      <c r="BH73" s="248">
        <f t="shared" si="215"/>
        <v>775.3</v>
      </c>
      <c r="BI73" s="248">
        <f t="shared" si="215"/>
        <v>470.2</v>
      </c>
      <c r="BJ73" s="248">
        <f t="shared" si="215"/>
        <v>276.90000000000003</v>
      </c>
      <c r="BK73" s="248">
        <f t="shared" si="215"/>
        <v>747.1</v>
      </c>
      <c r="BL73" s="248">
        <f t="shared" ref="BL73:BN73" si="216">BL71+BL64</f>
        <v>377.3</v>
      </c>
      <c r="BM73" s="248">
        <f t="shared" si="216"/>
        <v>250.09999999999994</v>
      </c>
      <c r="BN73" s="248">
        <f t="shared" si="216"/>
        <v>627.4</v>
      </c>
      <c r="BO73" s="248">
        <f>BO71+BO64</f>
        <v>408.70000000000005</v>
      </c>
      <c r="BP73" s="87">
        <f>BP71+BP64</f>
        <v>259.29999999999995</v>
      </c>
      <c r="BQ73" s="248">
        <f>BQ71+BQ64</f>
        <v>667.99999999999989</v>
      </c>
      <c r="BR73" s="1827">
        <f>BR71+BR64</f>
        <v>437.8</v>
      </c>
      <c r="BS73" s="87">
        <f>BS71+BS64</f>
        <v>282.91302579560852</v>
      </c>
      <c r="BT73" s="87">
        <f t="shared" si="214"/>
        <v>720.71302579560847</v>
      </c>
      <c r="BU73" s="87">
        <f>BU71+BU64</f>
        <v>444.14743125448456</v>
      </c>
      <c r="BV73" s="87">
        <f>BV71+BV64</f>
        <v>287.50049943075419</v>
      </c>
      <c r="BW73" s="87">
        <f t="shared" si="214"/>
        <v>731.64793068523875</v>
      </c>
      <c r="BX73" s="87">
        <f>BX71+BX64</f>
        <v>470.0537426405657</v>
      </c>
      <c r="BY73" s="87">
        <f>BY71+BY64</f>
        <v>298.89743524515973</v>
      </c>
      <c r="BZ73" s="87">
        <f t="shared" ref="BZ73" si="217">BZ71+BZ64</f>
        <v>768.95117788572543</v>
      </c>
      <c r="CA73" s="87">
        <f>CA71+CA64</f>
        <v>492.56014734362651</v>
      </c>
      <c r="CB73" s="87">
        <f>CB71+CB64</f>
        <v>313.58762990158471</v>
      </c>
      <c r="CC73" s="87">
        <f t="shared" ref="CC73" si="218">CC71+CC64</f>
        <v>806.14777724521127</v>
      </c>
      <c r="CD73" s="217"/>
      <c r="CE73" s="217"/>
    </row>
    <row r="74" spans="1:83">
      <c r="A74" s="746"/>
      <c r="B74" s="810"/>
      <c r="C74" s="811"/>
      <c r="D74" s="811"/>
      <c r="E74" s="811"/>
      <c r="F74" s="811"/>
      <c r="G74" s="811"/>
      <c r="H74" s="811"/>
      <c r="I74" s="811"/>
      <c r="J74" s="811"/>
      <c r="K74" s="811"/>
      <c r="L74" s="343"/>
      <c r="M74" s="811"/>
      <c r="N74" s="811"/>
      <c r="O74" s="811"/>
      <c r="P74" s="811"/>
      <c r="Q74" s="811"/>
      <c r="R74" s="811"/>
      <c r="S74" s="811"/>
      <c r="T74" s="811"/>
      <c r="U74" s="811"/>
      <c r="V74" s="811"/>
      <c r="W74" s="811"/>
      <c r="X74" s="811"/>
      <c r="Y74" s="811"/>
      <c r="Z74" s="811"/>
      <c r="AA74" s="811"/>
      <c r="AB74" s="811"/>
      <c r="AC74" s="811"/>
      <c r="AD74" s="811"/>
      <c r="AE74" s="811"/>
      <c r="AF74" s="811"/>
      <c r="AG74" s="811"/>
      <c r="AH74" s="811"/>
      <c r="AI74" s="811"/>
      <c r="AJ74" s="811"/>
      <c r="AK74" s="811"/>
      <c r="AL74" s="811"/>
      <c r="AM74" s="811"/>
      <c r="AN74" s="811"/>
      <c r="AO74" s="811"/>
      <c r="AP74" s="811"/>
      <c r="AQ74" s="811"/>
      <c r="AR74" s="811"/>
      <c r="AS74" s="811"/>
      <c r="AT74" s="811"/>
      <c r="AU74" s="811"/>
      <c r="AV74" s="811"/>
      <c r="AW74" s="87"/>
      <c r="AX74" s="87"/>
      <c r="AY74" s="87"/>
      <c r="AZ74" s="87"/>
      <c r="BA74" s="87"/>
      <c r="BB74" s="87"/>
      <c r="BC74" s="87"/>
      <c r="BD74" s="87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7"/>
      <c r="BQ74" s="87"/>
      <c r="BR74" s="1819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218"/>
      <c r="CE74" s="218"/>
    </row>
    <row r="75" spans="1:83">
      <c r="A75" s="746" t="s">
        <v>288</v>
      </c>
      <c r="B75" s="809" t="s">
        <v>289</v>
      </c>
      <c r="C75" s="342">
        <f t="shared" ref="C75:AM75" si="219">C198</f>
        <v>-3.7160000000000002</v>
      </c>
      <c r="D75" s="342">
        <f t="shared" si="219"/>
        <v>-3.97</v>
      </c>
      <c r="E75" s="342">
        <f>F75-D75</f>
        <v>-1.9289999999999998</v>
      </c>
      <c r="F75" s="342">
        <f t="shared" si="219"/>
        <v>-5.899</v>
      </c>
      <c r="G75" s="342">
        <f t="shared" si="219"/>
        <v>-6.6479999999999997</v>
      </c>
      <c r="H75" s="342">
        <f t="shared" si="219"/>
        <v>-2.7940000000000005</v>
      </c>
      <c r="I75" s="814">
        <f t="shared" si="219"/>
        <v>-9.4420000000000002</v>
      </c>
      <c r="J75" s="342">
        <f t="shared" si="219"/>
        <v>-8.5079999999999991</v>
      </c>
      <c r="K75" s="342">
        <f t="shared" si="219"/>
        <v>-3.4460000000000015</v>
      </c>
      <c r="L75" s="342">
        <f t="shared" si="219"/>
        <v>-11.954000000000001</v>
      </c>
      <c r="M75" s="342">
        <f t="shared" si="219"/>
        <v>-11.555999999999999</v>
      </c>
      <c r="N75" s="342">
        <f>N198</f>
        <v>-6.447000000000001</v>
      </c>
      <c r="O75" s="342">
        <f t="shared" si="219"/>
        <v>-18.003</v>
      </c>
      <c r="P75" s="342">
        <f t="shared" si="219"/>
        <v>-18.324999999999999</v>
      </c>
      <c r="Q75" s="342">
        <f t="shared" si="219"/>
        <v>-10.55</v>
      </c>
      <c r="R75" s="342">
        <f t="shared" si="219"/>
        <v>-28.875</v>
      </c>
      <c r="S75" s="342">
        <f t="shared" si="219"/>
        <v>-26.344000000000001</v>
      </c>
      <c r="T75" s="342">
        <f t="shared" si="219"/>
        <v>-14.710999999999999</v>
      </c>
      <c r="U75" s="342">
        <f t="shared" si="219"/>
        <v>-41.055</v>
      </c>
      <c r="V75" s="342">
        <f t="shared" si="219"/>
        <v>-32.695</v>
      </c>
      <c r="W75" s="342">
        <f t="shared" si="219"/>
        <v>-18.253999999999998</v>
      </c>
      <c r="X75" s="342">
        <f t="shared" si="219"/>
        <v>-50.948999999999998</v>
      </c>
      <c r="Y75" s="342">
        <f t="shared" si="219"/>
        <v>-37.706000000000003</v>
      </c>
      <c r="Z75" s="342">
        <f t="shared" si="219"/>
        <v>-11.18</v>
      </c>
      <c r="AA75" s="342">
        <f t="shared" si="219"/>
        <v>-48.886000000000003</v>
      </c>
      <c r="AB75" s="342">
        <f t="shared" si="219"/>
        <v>-34.173000000000002</v>
      </c>
      <c r="AC75" s="342">
        <f t="shared" si="219"/>
        <v>-9.5589999999999975</v>
      </c>
      <c r="AD75" s="730">
        <f>AD198</f>
        <v>-43.731999999999999</v>
      </c>
      <c r="AE75" s="342">
        <f t="shared" ref="AE75:AF75" si="220">AE198</f>
        <v>-36.463000000000001</v>
      </c>
      <c r="AF75" s="342">
        <f t="shared" si="220"/>
        <v>-14.957000000000001</v>
      </c>
      <c r="AG75" s="342">
        <f>AG198</f>
        <v>-51.42</v>
      </c>
      <c r="AH75" s="342">
        <f>AH198</f>
        <v>-38.58</v>
      </c>
      <c r="AI75" s="342">
        <f>AI198</f>
        <v>-15.649999999999999</v>
      </c>
      <c r="AJ75" s="342">
        <f>AJ198</f>
        <v>-54.23</v>
      </c>
      <c r="AK75" s="342">
        <f>AK198</f>
        <v>-38.531999999999996</v>
      </c>
      <c r="AL75" s="342">
        <f>AM75-AK75</f>
        <v>-20.489000000000004</v>
      </c>
      <c r="AM75" s="342">
        <f t="shared" si="219"/>
        <v>-59.021000000000001</v>
      </c>
      <c r="AN75" s="342">
        <f>AN198</f>
        <v>-41.218000000000004</v>
      </c>
      <c r="AO75" s="342">
        <f>AO198</f>
        <v>-24.427500000000002</v>
      </c>
      <c r="AP75" s="342">
        <f t="shared" ref="AP75:BW75" si="221">AP198</f>
        <v>-65.658000000000001</v>
      </c>
      <c r="AQ75" s="342">
        <f>AQ198</f>
        <v>-53.7</v>
      </c>
      <c r="AR75" s="342">
        <f>AR198</f>
        <v>-32.980225648829432</v>
      </c>
      <c r="AS75" s="342">
        <f t="shared" si="221"/>
        <v>-86.8</v>
      </c>
      <c r="AT75" s="342">
        <f t="shared" ref="AT75:AU75" si="222">AT198</f>
        <v>-66</v>
      </c>
      <c r="AU75" s="342">
        <f t="shared" si="222"/>
        <v>-35.157190635451478</v>
      </c>
      <c r="AV75" s="342">
        <f t="shared" si="221"/>
        <v>-101.3</v>
      </c>
      <c r="AW75" s="111">
        <f>AW198</f>
        <v>-69.8</v>
      </c>
      <c r="AX75" s="111">
        <f>AX198</f>
        <v>-39.700000000000003</v>
      </c>
      <c r="AY75" s="111">
        <f t="shared" si="221"/>
        <v>-109.5</v>
      </c>
      <c r="AZ75" s="111">
        <f>AZ198</f>
        <v>-74.599999999999994</v>
      </c>
      <c r="BA75" s="111">
        <f>BA198</f>
        <v>-71.09999999999998</v>
      </c>
      <c r="BB75" s="111">
        <f t="shared" si="221"/>
        <v>-145.69999999999999</v>
      </c>
      <c r="BC75" s="111">
        <f t="shared" ref="BC75:BD75" si="223">BC198</f>
        <v>-132.80000000000001</v>
      </c>
      <c r="BD75" s="111">
        <f t="shared" si="223"/>
        <v>-81.099999999999994</v>
      </c>
      <c r="BE75" s="111">
        <f t="shared" si="221"/>
        <v>-213.9</v>
      </c>
      <c r="BF75" s="111">
        <f>BF198</f>
        <v>-122.6</v>
      </c>
      <c r="BG75" s="111">
        <f>BG198</f>
        <v>-107.80000000000001</v>
      </c>
      <c r="BH75" s="111">
        <f t="shared" si="221"/>
        <v>-230.4</v>
      </c>
      <c r="BI75" s="111">
        <f>BI198</f>
        <v>-140.30000000000001</v>
      </c>
      <c r="BJ75" s="81">
        <f>+BK75-BI75</f>
        <v>-82.199999999999989</v>
      </c>
      <c r="BK75" s="111">
        <f t="shared" ref="BK75" si="224">BK198</f>
        <v>-222.5</v>
      </c>
      <c r="BL75" s="111">
        <f>BL198</f>
        <v>-113</v>
      </c>
      <c r="BM75" s="81">
        <f>+BN75-BL75</f>
        <v>-75.599999999999994</v>
      </c>
      <c r="BN75" s="111">
        <f t="shared" ref="BN75" si="225">BN198</f>
        <v>-188.6</v>
      </c>
      <c r="BO75" s="111">
        <f>BO198</f>
        <v>-123.2</v>
      </c>
      <c r="BP75" s="81">
        <f>+BQ75-BO75</f>
        <v>-81.999999999999986</v>
      </c>
      <c r="BQ75" s="111">
        <f t="shared" ref="BQ75" si="226">BQ198</f>
        <v>-205.2</v>
      </c>
      <c r="BR75" s="1821">
        <f t="shared" si="221"/>
        <v>-131.9</v>
      </c>
      <c r="BS75" s="81">
        <f t="shared" ref="BS75" si="227">+BT75-BR75</f>
        <v>-85.043395765378989</v>
      </c>
      <c r="BT75" s="81">
        <f>BT198</f>
        <v>-216.94339576537899</v>
      </c>
      <c r="BU75" s="81">
        <f t="shared" si="221"/>
        <v>-133.24422937634537</v>
      </c>
      <c r="BV75" s="81">
        <f t="shared" ref="BV75" si="228">+BW75-BU75</f>
        <v>-86.990705898131665</v>
      </c>
      <c r="BW75" s="81">
        <f t="shared" si="221"/>
        <v>-220.23493527447704</v>
      </c>
      <c r="BX75" s="81">
        <f t="shared" ref="BX75" si="229">BX198</f>
        <v>-141.01612279216971</v>
      </c>
      <c r="BY75" s="81">
        <f t="shared" ref="BY75" si="230">+BZ75-BX75</f>
        <v>-90.447544073241545</v>
      </c>
      <c r="BZ75" s="81">
        <f t="shared" ref="BZ75:CA75" si="231">BZ198</f>
        <v>-231.46366686541126</v>
      </c>
      <c r="CA75" s="81">
        <f t="shared" si="231"/>
        <v>-147.76804420308795</v>
      </c>
      <c r="CB75" s="81">
        <f t="shared" ref="CB75" si="232">+CC75-CA75</f>
        <v>-94.892251954631519</v>
      </c>
      <c r="CC75" s="81">
        <f t="shared" ref="CC75" si="233">CC198</f>
        <v>-242.66029615771947</v>
      </c>
      <c r="CD75" s="141"/>
      <c r="CE75" s="141"/>
    </row>
    <row r="76" spans="1:83">
      <c r="A76" s="746"/>
      <c r="B76" s="787" t="s">
        <v>290</v>
      </c>
      <c r="C76" s="341">
        <f t="shared" ref="C76:AM76" si="234">C203</f>
        <v>0.29319867445163322</v>
      </c>
      <c r="D76" s="341">
        <f t="shared" si="234"/>
        <v>0.29472902746844842</v>
      </c>
      <c r="E76" s="341">
        <f t="shared" si="234"/>
        <v>0.2940548780487805</v>
      </c>
      <c r="F76" s="341">
        <f t="shared" si="234"/>
        <v>0.29450823764353468</v>
      </c>
      <c r="G76" s="341">
        <f t="shared" si="234"/>
        <v>0.30182511577226906</v>
      </c>
      <c r="H76" s="341">
        <f t="shared" si="234"/>
        <v>0.28333840381300091</v>
      </c>
      <c r="I76" s="341">
        <f t="shared" si="234"/>
        <v>0.29610813184056201</v>
      </c>
      <c r="J76" s="341">
        <f t="shared" si="234"/>
        <v>0.30317499910914719</v>
      </c>
      <c r="K76" s="341">
        <f t="shared" si="234"/>
        <v>0.32026022304832735</v>
      </c>
      <c r="L76" s="341">
        <f t="shared" si="234"/>
        <v>0.30791025938232491</v>
      </c>
      <c r="M76" s="341">
        <f>M203</f>
        <v>0.30407325544679509</v>
      </c>
      <c r="N76" s="341">
        <f t="shared" si="234"/>
        <v>0.30161403508771922</v>
      </c>
      <c r="O76" s="341">
        <f t="shared" si="234"/>
        <v>0.30318799575607536</v>
      </c>
      <c r="P76" s="341">
        <f t="shared" si="234"/>
        <v>0.30235781345389146</v>
      </c>
      <c r="Q76" s="341">
        <f t="shared" si="234"/>
        <v>0.31583989462024381</v>
      </c>
      <c r="R76" s="341">
        <f t="shared" si="234"/>
        <v>0.30714817572598663</v>
      </c>
      <c r="S76" s="341">
        <f t="shared" si="234"/>
        <v>0.30840552563802387</v>
      </c>
      <c r="T76" s="341">
        <f t="shared" si="234"/>
        <v>0.29379693241731902</v>
      </c>
      <c r="U76" s="341">
        <f t="shared" si="234"/>
        <v>0.30300681959082448</v>
      </c>
      <c r="V76" s="341">
        <f t="shared" si="234"/>
        <v>0.30066579610454103</v>
      </c>
      <c r="W76" s="341">
        <f t="shared" si="234"/>
        <v>0.29993920373321931</v>
      </c>
      <c r="X76" s="341">
        <f t="shared" si="234"/>
        <v>0.30040506836634218</v>
      </c>
      <c r="Y76" s="341">
        <f t="shared" si="234"/>
        <v>0.30022134815357426</v>
      </c>
      <c r="Z76" s="341">
        <f t="shared" si="234"/>
        <v>0.33892139327613896</v>
      </c>
      <c r="AA76" s="341">
        <f t="shared" si="234"/>
        <v>0.30827148271230481</v>
      </c>
      <c r="AB76" s="341">
        <f t="shared" si="234"/>
        <v>0.30026359722344259</v>
      </c>
      <c r="AC76" s="341">
        <f>AC203</f>
        <v>0.2979273803958235</v>
      </c>
      <c r="AD76" s="341">
        <f>AD203</f>
        <v>0.29474365282093107</v>
      </c>
      <c r="AE76" s="341">
        <f t="shared" ref="AE76:AF76" si="235">AE203</f>
        <v>0.30761897530645477</v>
      </c>
      <c r="AF76" s="341">
        <f t="shared" si="235"/>
        <v>0.30204567943617588</v>
      </c>
      <c r="AG76" s="341">
        <f t="shared" si="234"/>
        <v>0.30597672149096705</v>
      </c>
      <c r="AH76" s="341">
        <f>AH203</f>
        <v>0.2991045470403535</v>
      </c>
      <c r="AI76" s="341">
        <f>AI203</f>
        <v>0.29147731505624686</v>
      </c>
      <c r="AJ76" s="341">
        <f>AJ203</f>
        <v>0.29686276871198891</v>
      </c>
      <c r="AK76" s="341">
        <f>AK203</f>
        <v>0.30323443771149755</v>
      </c>
      <c r="AL76" s="341">
        <f>AL203</f>
        <v>0.29927551050217643</v>
      </c>
      <c r="AM76" s="341">
        <f t="shared" si="234"/>
        <v>0.30184829081684839</v>
      </c>
      <c r="AN76" s="341">
        <f>AN203</f>
        <v>0.30215373788614075</v>
      </c>
      <c r="AO76" s="341">
        <f>AO203</f>
        <v>0.3</v>
      </c>
      <c r="AP76" s="341">
        <f t="shared" ref="AP76:BW76" si="236">AP203</f>
        <v>0.30140608430997207</v>
      </c>
      <c r="AQ76" s="341">
        <f>AQ203</f>
        <v>0.32723948811700188</v>
      </c>
      <c r="AR76" s="341">
        <f>AR203</f>
        <v>0.34679522238516752</v>
      </c>
      <c r="AS76" s="341">
        <f t="shared" si="236"/>
        <v>0.33487654320987653</v>
      </c>
      <c r="AT76" s="341">
        <f t="shared" ref="AT76:AU76" si="237">AT203</f>
        <v>0.30316949931097836</v>
      </c>
      <c r="AU76" s="341">
        <f t="shared" si="237"/>
        <v>0.30100334448160532</v>
      </c>
      <c r="AV76" s="341">
        <f t="shared" si="236"/>
        <v>0.30284005979073247</v>
      </c>
      <c r="AW76" s="84">
        <f>AW203</f>
        <v>0.30361026533275337</v>
      </c>
      <c r="AX76" s="84">
        <f>AX203</f>
        <v>0.30680061823802163</v>
      </c>
      <c r="AY76" s="84">
        <f t="shared" si="236"/>
        <v>0.30475925410520455</v>
      </c>
      <c r="AZ76" s="84">
        <f>AZ203</f>
        <v>0.30424143556280586</v>
      </c>
      <c r="BA76" s="84">
        <f>BA203</f>
        <v>0.35076467686235796</v>
      </c>
      <c r="BB76" s="84">
        <f t="shared" si="236"/>
        <v>0.32529582496092874</v>
      </c>
      <c r="BC76" s="84">
        <f t="shared" ref="BC76:BD76" si="238">BC203</f>
        <v>0.29478357380688125</v>
      </c>
      <c r="BD76" s="84">
        <f t="shared" si="238"/>
        <v>0.29717845364602408</v>
      </c>
      <c r="BE76" s="84">
        <f t="shared" si="236"/>
        <v>0.29568703345313796</v>
      </c>
      <c r="BF76" s="84">
        <f>BF203</f>
        <v>0.29866017052375149</v>
      </c>
      <c r="BG76" s="84">
        <f>BG203</f>
        <v>0.29550438596491224</v>
      </c>
      <c r="BH76" s="84">
        <f t="shared" si="236"/>
        <v>0.29717528698568296</v>
      </c>
      <c r="BI76" s="84">
        <f>BI203</f>
        <v>0.29838366652488307</v>
      </c>
      <c r="BJ76" s="84">
        <f>BJ203</f>
        <v>0.29685807150595878</v>
      </c>
      <c r="BK76" s="84">
        <f t="shared" ref="BK76" si="239">BK203</f>
        <v>0.29781823049123274</v>
      </c>
      <c r="BL76" s="84">
        <f>BL203</f>
        <v>0.29949642194540155</v>
      </c>
      <c r="BM76" s="84">
        <f>BM203</f>
        <v>0.30227908836465417</v>
      </c>
      <c r="BN76" s="84">
        <f t="shared" ref="BN76" si="240">BN203</f>
        <v>0.30060567421102963</v>
      </c>
      <c r="BO76" s="84">
        <f>BO203</f>
        <v>0.30144360166381207</v>
      </c>
      <c r="BP76" s="84">
        <f>BP203</f>
        <v>0.31623602005399154</v>
      </c>
      <c r="BQ76" s="84">
        <f t="shared" ref="BQ76" si="241">BQ203</f>
        <v>0.30718562874251498</v>
      </c>
      <c r="BR76" s="1823">
        <f>BR203</f>
        <v>0.30127912288716308</v>
      </c>
      <c r="BS76" s="84">
        <f>BS203</f>
        <v>0.30059908173623251</v>
      </c>
      <c r="BT76" s="84">
        <f t="shared" si="236"/>
        <v>0.30101217544374359</v>
      </c>
      <c r="BU76" s="84">
        <f>BU203</f>
        <v>0.3</v>
      </c>
      <c r="BV76" s="84">
        <f>BV203</f>
        <v>0.3025758427215664</v>
      </c>
      <c r="BW76" s="84">
        <f t="shared" si="236"/>
        <v>0.30101217544374359</v>
      </c>
      <c r="BX76" s="84">
        <f>BX203</f>
        <v>0.3</v>
      </c>
      <c r="BY76" s="84">
        <f>BY203</f>
        <v>0.30260394840476046</v>
      </c>
      <c r="BZ76" s="84">
        <f t="shared" ref="BZ76" si="242">BZ203</f>
        <v>0.30101217544374359</v>
      </c>
      <c r="CA76" s="84">
        <f>CA203</f>
        <v>0.3</v>
      </c>
      <c r="CB76" s="84">
        <f>CB203</f>
        <v>0.30260202541921755</v>
      </c>
      <c r="CC76" s="84">
        <f t="shared" ref="CC76" si="243">CC203</f>
        <v>0.30101217544374359</v>
      </c>
      <c r="CD76" s="86"/>
      <c r="CE76" s="86"/>
    </row>
    <row r="77" spans="1:83">
      <c r="A77" s="746" t="s">
        <v>702</v>
      </c>
      <c r="B77" s="815" t="s">
        <v>291</v>
      </c>
      <c r="C77" s="341">
        <f t="shared" ref="C77:AM77" si="244">C201</f>
        <v>0.29319867445163322</v>
      </c>
      <c r="D77" s="341">
        <f t="shared" si="244"/>
        <v>0.29472902746844842</v>
      </c>
      <c r="E77" s="341">
        <f t="shared" si="244"/>
        <v>0.2940548780487805</v>
      </c>
      <c r="F77" s="341">
        <f t="shared" si="244"/>
        <v>0.29450823764353468</v>
      </c>
      <c r="G77" s="341">
        <f t="shared" si="244"/>
        <v>0.30182511577226906</v>
      </c>
      <c r="H77" s="341">
        <f t="shared" si="244"/>
        <v>0.28333840381300091</v>
      </c>
      <c r="I77" s="341">
        <f t="shared" si="244"/>
        <v>0.29610813184056201</v>
      </c>
      <c r="J77" s="341">
        <f t="shared" si="244"/>
        <v>0.30317499910914719</v>
      </c>
      <c r="K77" s="341">
        <f t="shared" si="244"/>
        <v>0.32026022304832735</v>
      </c>
      <c r="L77" s="341">
        <f t="shared" si="244"/>
        <v>0.30791025938232491</v>
      </c>
      <c r="M77" s="341">
        <f t="shared" si="244"/>
        <v>0.30407325544679509</v>
      </c>
      <c r="N77" s="341">
        <f t="shared" si="244"/>
        <v>0.30161403508771922</v>
      </c>
      <c r="O77" s="341">
        <f t="shared" si="244"/>
        <v>0.30318799575607536</v>
      </c>
      <c r="P77" s="341">
        <f t="shared" si="244"/>
        <v>0.30235781345389146</v>
      </c>
      <c r="Q77" s="341">
        <f t="shared" si="244"/>
        <v>0.31583989462024381</v>
      </c>
      <c r="R77" s="341">
        <f t="shared" si="244"/>
        <v>0.30714817572598663</v>
      </c>
      <c r="S77" s="341">
        <f t="shared" si="244"/>
        <v>0.30840552563802387</v>
      </c>
      <c r="T77" s="341">
        <f t="shared" si="244"/>
        <v>0.29379693241731902</v>
      </c>
      <c r="U77" s="341">
        <f t="shared" si="244"/>
        <v>0.30300681959082448</v>
      </c>
      <c r="V77" s="341">
        <f t="shared" si="244"/>
        <v>0.30066579610454103</v>
      </c>
      <c r="W77" s="341">
        <f t="shared" si="244"/>
        <v>0.29993920373321931</v>
      </c>
      <c r="X77" s="341">
        <f t="shared" si="244"/>
        <v>0.30040506836634218</v>
      </c>
      <c r="Y77" s="341">
        <f t="shared" si="244"/>
        <v>0.30022134815357426</v>
      </c>
      <c r="Z77" s="341">
        <f t="shared" si="244"/>
        <v>0.16840646512118335</v>
      </c>
      <c r="AA77" s="341">
        <f>AA201</f>
        <v>0.29995676655502368</v>
      </c>
      <c r="AB77" s="341">
        <f t="shared" ref="AB77:AC77" si="245">AB201</f>
        <v>0.30026359722344259</v>
      </c>
      <c r="AC77" s="341">
        <f t="shared" si="245"/>
        <v>0.2979273803958235</v>
      </c>
      <c r="AD77" s="341">
        <f t="shared" si="244"/>
        <v>0.29474365282093107</v>
      </c>
      <c r="AE77" s="341">
        <f t="shared" si="244"/>
        <v>0.30761897530645477</v>
      </c>
      <c r="AF77" s="341">
        <f t="shared" si="244"/>
        <v>0.30204567943617588</v>
      </c>
      <c r="AG77" s="341">
        <f t="shared" si="244"/>
        <v>0.30597672149096705</v>
      </c>
      <c r="AH77" s="341">
        <f>AH201</f>
        <v>0.2991045470403535</v>
      </c>
      <c r="AI77" s="341">
        <f>AI201</f>
        <v>0.29147731505624686</v>
      </c>
      <c r="AJ77" s="341">
        <f t="shared" si="244"/>
        <v>0.29686276871198891</v>
      </c>
      <c r="AK77" s="341">
        <f>AK201</f>
        <v>0.30323443771149755</v>
      </c>
      <c r="AL77" s="341">
        <f>AL201</f>
        <v>0.29927551050217643</v>
      </c>
      <c r="AM77" s="341">
        <f t="shared" si="244"/>
        <v>0.30184829081684839</v>
      </c>
      <c r="AN77" s="341">
        <f>AN201</f>
        <v>0.30215373788614075</v>
      </c>
      <c r="AO77" s="341">
        <f>AO201</f>
        <v>0.3</v>
      </c>
      <c r="AP77" s="341">
        <f t="shared" ref="AP77:BW77" si="246">AP201</f>
        <v>0.30140608430997207</v>
      </c>
      <c r="AQ77" s="341">
        <f>AQ201</f>
        <v>0.30100334448160532</v>
      </c>
      <c r="AR77" s="341">
        <f>AR201</f>
        <v>0.30100334448160532</v>
      </c>
      <c r="AS77" s="341">
        <f t="shared" si="246"/>
        <v>0.30140608271687963</v>
      </c>
      <c r="AT77" s="341">
        <f t="shared" ref="AT77:AU77" si="247">AT201</f>
        <v>0.30316949931097836</v>
      </c>
      <c r="AU77" s="341">
        <f t="shared" si="247"/>
        <v>0.30100334448160532</v>
      </c>
      <c r="AV77" s="341">
        <f t="shared" si="246"/>
        <v>0.30284005979073247</v>
      </c>
      <c r="AW77" s="84">
        <f>AW201</f>
        <v>0.30361026533275337</v>
      </c>
      <c r="AX77" s="84">
        <f>AX201</f>
        <v>0.30680061823802163</v>
      </c>
      <c r="AY77" s="84">
        <f t="shared" si="246"/>
        <v>0.30475925410520455</v>
      </c>
      <c r="AZ77" s="84">
        <f>AZ201</f>
        <v>0.30424143556280586</v>
      </c>
      <c r="BA77" s="84">
        <f>BA201</f>
        <v>0.30239520958083826</v>
      </c>
      <c r="BB77" s="84">
        <f t="shared" si="246"/>
        <v>0.30239520958083826</v>
      </c>
      <c r="BC77" s="84">
        <f t="shared" ref="BC77:BD77" si="248">BC201</f>
        <v>0.29478357380688125</v>
      </c>
      <c r="BD77" s="84">
        <f t="shared" si="248"/>
        <v>0.2896046447332043</v>
      </c>
      <c r="BE77" s="84">
        <f t="shared" si="246"/>
        <v>0.2896046447332043</v>
      </c>
      <c r="BF77" s="84">
        <f>BF201</f>
        <v>0.29866017052375149</v>
      </c>
      <c r="BG77" s="84">
        <f>BG201</f>
        <v>0.29188701147942736</v>
      </c>
      <c r="BH77" s="84">
        <f t="shared" si="246"/>
        <v>0.29188701147942736</v>
      </c>
      <c r="BI77" s="84">
        <f>BI201</f>
        <v>0.29838366652488307</v>
      </c>
      <c r="BJ77" s="84">
        <f>BJ201</f>
        <v>0.29685807150595878</v>
      </c>
      <c r="BK77" s="84">
        <f t="shared" ref="BK77" si="249">BK201</f>
        <v>0.29781823049123274</v>
      </c>
      <c r="BL77" s="84">
        <f>BL201</f>
        <v>0.29949642194540155</v>
      </c>
      <c r="BM77" s="84">
        <f>BM201</f>
        <v>0.30227908836465417</v>
      </c>
      <c r="BN77" s="84">
        <f t="shared" ref="BN77" si="250">BN201</f>
        <v>0.30060567421102963</v>
      </c>
      <c r="BO77" s="84">
        <f>BO201</f>
        <v>0.30144360166381207</v>
      </c>
      <c r="BP77" s="84">
        <f>BP201</f>
        <v>0.30036630036630035</v>
      </c>
      <c r="BQ77" s="84">
        <f t="shared" ref="BQ77" si="251">BQ201</f>
        <v>0.30101217544374359</v>
      </c>
      <c r="BR77" s="1823">
        <f>BR201</f>
        <v>0.30127912288716308</v>
      </c>
      <c r="BS77" s="84">
        <f>BS201</f>
        <v>0.30059908173623251</v>
      </c>
      <c r="BT77" s="84">
        <f t="shared" si="246"/>
        <v>0.30101217544374359</v>
      </c>
      <c r="BU77" s="84">
        <f>BU201</f>
        <v>0.3</v>
      </c>
      <c r="BV77" s="84">
        <f>BV201</f>
        <v>0.3025758427215664</v>
      </c>
      <c r="BW77" s="84">
        <f t="shared" si="246"/>
        <v>0.30101217544374359</v>
      </c>
      <c r="BX77" s="84">
        <f>BX201</f>
        <v>0.3</v>
      </c>
      <c r="BY77" s="84">
        <f>BY201</f>
        <v>0.30260394840476046</v>
      </c>
      <c r="BZ77" s="84">
        <f t="shared" ref="BZ77" si="252">BZ201</f>
        <v>0.30101217544374359</v>
      </c>
      <c r="CA77" s="84">
        <f>CA201</f>
        <v>0.3</v>
      </c>
      <c r="CB77" s="84">
        <f>CB201</f>
        <v>0.30260202541921755</v>
      </c>
      <c r="CC77" s="84">
        <f t="shared" ref="CC77" si="253">CC201</f>
        <v>0.30101217544374359</v>
      </c>
      <c r="CD77" s="95"/>
      <c r="CE77" s="95"/>
    </row>
    <row r="78" spans="1:83">
      <c r="A78" s="746"/>
      <c r="B78" s="815"/>
      <c r="C78" s="341"/>
      <c r="D78" s="816"/>
      <c r="E78" s="816"/>
      <c r="F78" s="341"/>
      <c r="G78" s="816"/>
      <c r="H78" s="816"/>
      <c r="I78" s="341"/>
      <c r="J78" s="816"/>
      <c r="K78" s="816"/>
      <c r="L78" s="816"/>
      <c r="M78" s="816"/>
      <c r="N78" s="816"/>
      <c r="O78" s="816"/>
      <c r="P78" s="816"/>
      <c r="Q78" s="816"/>
      <c r="R78" s="816"/>
      <c r="S78" s="816"/>
      <c r="T78" s="816"/>
      <c r="U78" s="816"/>
      <c r="V78" s="816"/>
      <c r="W78" s="816"/>
      <c r="X78" s="816"/>
      <c r="Y78" s="816"/>
      <c r="Z78" s="816"/>
      <c r="AA78" s="816"/>
      <c r="AB78" s="816"/>
      <c r="AC78" s="816"/>
      <c r="AD78" s="816"/>
      <c r="AE78" s="816"/>
      <c r="AF78" s="816"/>
      <c r="AG78" s="816"/>
      <c r="AH78" s="816"/>
      <c r="AI78" s="816"/>
      <c r="AJ78" s="816"/>
      <c r="AK78" s="816"/>
      <c r="AL78" s="816"/>
      <c r="AM78" s="816"/>
      <c r="AN78" s="816"/>
      <c r="AO78" s="816"/>
      <c r="AP78" s="816"/>
      <c r="AQ78" s="816"/>
      <c r="AR78" s="816"/>
      <c r="AS78" s="816"/>
      <c r="AT78" s="816"/>
      <c r="AU78" s="816"/>
      <c r="AV78" s="816"/>
      <c r="AW78" s="96"/>
      <c r="AX78" s="96"/>
      <c r="AY78" s="96"/>
      <c r="AZ78" s="96"/>
      <c r="BA78" s="96"/>
      <c r="BB78" s="735"/>
      <c r="BC78" s="735"/>
      <c r="BD78" s="735"/>
      <c r="BE78" s="735"/>
      <c r="BF78" s="735"/>
      <c r="BG78" s="735"/>
      <c r="BH78" s="735"/>
      <c r="BI78" s="735"/>
      <c r="BJ78" s="735"/>
      <c r="BK78" s="735"/>
      <c r="BL78" s="735"/>
      <c r="BM78" s="735"/>
      <c r="BN78" s="735"/>
      <c r="BO78" s="735"/>
      <c r="BP78" s="735"/>
      <c r="BQ78" s="735"/>
      <c r="BR78" s="1828"/>
      <c r="BS78" s="735"/>
      <c r="BT78" s="735"/>
      <c r="BU78" s="735"/>
      <c r="BV78" s="735"/>
      <c r="BW78" s="735"/>
      <c r="BX78" s="735"/>
      <c r="BY78" s="735"/>
      <c r="BZ78" s="735"/>
      <c r="CA78" s="735"/>
      <c r="CB78" s="735"/>
      <c r="CC78" s="735"/>
      <c r="CD78" s="95"/>
      <c r="CE78" s="95"/>
    </row>
    <row r="79" spans="1:83" ht="11.25" customHeight="1" outlineLevel="1">
      <c r="A79" s="746"/>
      <c r="B79" s="810" t="s">
        <v>292</v>
      </c>
      <c r="C79" s="811">
        <f t="shared" ref="C79:AM79" si="254">C75+C73</f>
        <v>8.958000000000002</v>
      </c>
      <c r="D79" s="811">
        <f t="shared" si="254"/>
        <v>9.5</v>
      </c>
      <c r="E79" s="811">
        <f t="shared" si="254"/>
        <v>4.6310000000000002</v>
      </c>
      <c r="F79" s="813">
        <f t="shared" si="254"/>
        <v>14.131</v>
      </c>
      <c r="G79" s="811">
        <f>G75+G73</f>
        <v>15.378000000000004</v>
      </c>
      <c r="H79" s="811">
        <f t="shared" ref="H79" si="255">H75+H73</f>
        <v>7.0669999999999948</v>
      </c>
      <c r="I79" s="811">
        <f t="shared" si="254"/>
        <v>22.444999999999997</v>
      </c>
      <c r="J79" s="811">
        <f t="shared" si="254"/>
        <v>19.555000000000003</v>
      </c>
      <c r="K79" s="811">
        <f t="shared" si="254"/>
        <v>7.3139999999999965</v>
      </c>
      <c r="L79" s="811">
        <f t="shared" si="254"/>
        <v>26.869</v>
      </c>
      <c r="M79" s="811">
        <f t="shared" si="254"/>
        <v>26.448</v>
      </c>
      <c r="N79" s="811">
        <f t="shared" si="254"/>
        <v>14.928000000000006</v>
      </c>
      <c r="O79" s="811">
        <f t="shared" si="254"/>
        <v>41.376000000000005</v>
      </c>
      <c r="P79" s="811">
        <f t="shared" si="254"/>
        <v>42.281999999999996</v>
      </c>
      <c r="Q79" s="811">
        <f t="shared" si="254"/>
        <v>22.852999999999991</v>
      </c>
      <c r="R79" s="811">
        <f t="shared" si="254"/>
        <v>65.134999999999991</v>
      </c>
      <c r="S79" s="811">
        <f t="shared" si="254"/>
        <v>59.076000000000001</v>
      </c>
      <c r="T79" s="811">
        <f t="shared" si="254"/>
        <v>35.361000000000004</v>
      </c>
      <c r="U79" s="811">
        <f t="shared" si="254"/>
        <v>94.437000000000012</v>
      </c>
      <c r="V79" s="811">
        <f t="shared" si="254"/>
        <v>76.046999999999997</v>
      </c>
      <c r="W79" s="811">
        <f t="shared" si="254"/>
        <v>42.605000000000011</v>
      </c>
      <c r="X79" s="811">
        <f t="shared" si="254"/>
        <v>118.652</v>
      </c>
      <c r="Y79" s="811">
        <f t="shared" si="254"/>
        <v>87.887999999999991</v>
      </c>
      <c r="Z79" s="811">
        <f t="shared" si="254"/>
        <v>21.807000000000009</v>
      </c>
      <c r="AA79" s="811">
        <f t="shared" si="254"/>
        <v>109.69499999999999</v>
      </c>
      <c r="AB79" s="811">
        <f t="shared" si="254"/>
        <v>79.637</v>
      </c>
      <c r="AC79" s="811">
        <f t="shared" si="254"/>
        <v>22.526000000000003</v>
      </c>
      <c r="AD79" s="811">
        <f>AD75+AD73</f>
        <v>104.64099999999999</v>
      </c>
      <c r="AE79" s="811">
        <f t="shared" ref="AE79" si="256">AE75+AE73</f>
        <v>82.07</v>
      </c>
      <c r="AF79" s="811">
        <f>AF75+AF73</f>
        <v>34.562000000000019</v>
      </c>
      <c r="AG79" s="811">
        <f>AG75+AG73</f>
        <v>116.63200000000002</v>
      </c>
      <c r="AH79" s="811">
        <f>AH75+AH73</f>
        <v>90.405000000000015</v>
      </c>
      <c r="AI79" s="811">
        <f>AJ79-AH79</f>
        <v>38.041999999999987</v>
      </c>
      <c r="AJ79" s="811">
        <f t="shared" si="254"/>
        <v>128.447</v>
      </c>
      <c r="AK79" s="811">
        <f>AK75+AK73</f>
        <v>88.538000000000011</v>
      </c>
      <c r="AL79" s="811">
        <f>AL75+AL73</f>
        <v>47.972999999999999</v>
      </c>
      <c r="AM79" s="811">
        <f t="shared" si="254"/>
        <v>136.51100000000002</v>
      </c>
      <c r="AN79" s="811">
        <f>AN75+AN73</f>
        <v>95.195999999999984</v>
      </c>
      <c r="AO79" s="811">
        <f>AP79-AN79</f>
        <v>56.984999999999999</v>
      </c>
      <c r="AP79" s="811">
        <f t="shared" ref="AP79:BE79" si="257">AP75+AP73</f>
        <v>152.18099999999998</v>
      </c>
      <c r="AQ79" s="811">
        <f>AQ75+AQ73</f>
        <v>110.39999999999999</v>
      </c>
      <c r="AR79" s="811">
        <f>AS79-AQ79</f>
        <v>61.999999999999986</v>
      </c>
      <c r="AS79" s="811">
        <f t="shared" si="257"/>
        <v>172.39999999999998</v>
      </c>
      <c r="AT79" s="811">
        <f>AT75+AT73</f>
        <v>151.70000000000002</v>
      </c>
      <c r="AU79" s="811">
        <f>AV79-AT79</f>
        <v>81.499999999999915</v>
      </c>
      <c r="AV79" s="811">
        <f>AV75+AV73</f>
        <v>233.19999999999993</v>
      </c>
      <c r="AW79" s="87">
        <f>AW75+AW73</f>
        <v>160.10000000000002</v>
      </c>
      <c r="AX79" s="87">
        <f>AY79-AW79</f>
        <v>89.699999999999989</v>
      </c>
      <c r="AY79" s="87">
        <f>AY75+AY73</f>
        <v>249.8</v>
      </c>
      <c r="AZ79" s="87">
        <f>AZ75+AZ73</f>
        <v>170.6</v>
      </c>
      <c r="BA79" s="87">
        <f>BB79-AZ79</f>
        <v>131.60000000000005</v>
      </c>
      <c r="BB79" s="87">
        <f t="shared" si="257"/>
        <v>302.20000000000005</v>
      </c>
      <c r="BC79" s="87">
        <f>BC75+BC73</f>
        <v>317.7</v>
      </c>
      <c r="BD79" s="87">
        <f>BD75+BD73</f>
        <v>191.8000000000001</v>
      </c>
      <c r="BE79" s="87">
        <f t="shared" si="257"/>
        <v>509.5</v>
      </c>
      <c r="BF79" s="87">
        <f>BF75+BF73</f>
        <v>287.89999999999998</v>
      </c>
      <c r="BG79" s="87">
        <f>BG75+BG73</f>
        <v>257.00000000000006</v>
      </c>
      <c r="BH79" s="87">
        <f t="shared" ref="BH79:BW79" si="258">BH75+BH73</f>
        <v>544.9</v>
      </c>
      <c r="BI79" s="87">
        <f>BI75+BI73</f>
        <v>329.9</v>
      </c>
      <c r="BJ79" s="87">
        <f>BJ75+BJ73</f>
        <v>194.70000000000005</v>
      </c>
      <c r="BK79" s="87">
        <f t="shared" ref="BK79" si="259">BK75+BK73</f>
        <v>524.6</v>
      </c>
      <c r="BL79" s="87">
        <f>BL75+BL73</f>
        <v>264.3</v>
      </c>
      <c r="BM79" s="87">
        <f>BM75+BM73</f>
        <v>174.49999999999994</v>
      </c>
      <c r="BN79" s="87">
        <f t="shared" ref="BN79" si="260">BN75+BN73</f>
        <v>438.79999999999995</v>
      </c>
      <c r="BO79" s="87">
        <f>BO75+BO73</f>
        <v>285.50000000000006</v>
      </c>
      <c r="BP79" s="87">
        <f>BP75+BP73</f>
        <v>177.29999999999995</v>
      </c>
      <c r="BQ79" s="87">
        <f t="shared" ref="BQ79" si="261">BQ75+BQ73</f>
        <v>462.7999999999999</v>
      </c>
      <c r="BR79" s="1819">
        <f>BR75+BR73</f>
        <v>305.89999999999998</v>
      </c>
      <c r="BS79" s="87">
        <f>BS75+BS73</f>
        <v>197.86963003022953</v>
      </c>
      <c r="BT79" s="87">
        <f t="shared" si="258"/>
        <v>503.76963003022945</v>
      </c>
      <c r="BU79" s="87">
        <f>BU75+BU73</f>
        <v>310.90320187813916</v>
      </c>
      <c r="BV79" s="87">
        <f>BV75+BV73</f>
        <v>200.50979353262252</v>
      </c>
      <c r="BW79" s="87">
        <f t="shared" si="258"/>
        <v>511.41299541076171</v>
      </c>
      <c r="BX79" s="87">
        <f>BX75+BX73</f>
        <v>329.03761984839599</v>
      </c>
      <c r="BY79" s="87">
        <f>BY75+BY73</f>
        <v>208.44989117191818</v>
      </c>
      <c r="BZ79" s="87">
        <f t="shared" ref="BZ79" si="262">BZ75+BZ73</f>
        <v>537.48751102031417</v>
      </c>
      <c r="CA79" s="87">
        <f>CA75+CA73</f>
        <v>344.79210314053853</v>
      </c>
      <c r="CB79" s="87">
        <f>CB75+CB73</f>
        <v>218.69537794695319</v>
      </c>
      <c r="CC79" s="87">
        <f t="shared" ref="CC79" si="263">CC75+CC73</f>
        <v>563.4874810874918</v>
      </c>
      <c r="CD79" s="94"/>
      <c r="CE79" s="94"/>
    </row>
    <row r="80" spans="1:83" ht="11.25" customHeight="1" outlineLevel="1">
      <c r="A80" s="746"/>
      <c r="B80" s="810"/>
      <c r="C80" s="774"/>
      <c r="D80" s="774"/>
      <c r="E80" s="774"/>
      <c r="F80" s="774"/>
      <c r="G80" s="774"/>
      <c r="H80" s="774"/>
      <c r="I80" s="774"/>
      <c r="J80" s="774"/>
      <c r="K80" s="774"/>
      <c r="L80" s="774"/>
      <c r="M80" s="774"/>
      <c r="N80" s="774"/>
      <c r="O80" s="774"/>
      <c r="P80" s="774"/>
      <c r="Q80" s="774"/>
      <c r="R80" s="774"/>
      <c r="S80" s="774"/>
      <c r="T80" s="774"/>
      <c r="U80" s="774"/>
      <c r="V80" s="774"/>
      <c r="W80" s="774"/>
      <c r="X80" s="774"/>
      <c r="Y80" s="774"/>
      <c r="Z80" s="774"/>
      <c r="AA80" s="774"/>
      <c r="AB80" s="774"/>
      <c r="AC80" s="774"/>
      <c r="AD80" s="774"/>
      <c r="AE80" s="774"/>
      <c r="AF80" s="774"/>
      <c r="AG80" s="774"/>
      <c r="AH80" s="774"/>
      <c r="AI80" s="774"/>
      <c r="AJ80" s="774"/>
      <c r="AK80" s="774"/>
      <c r="AL80" s="774"/>
      <c r="AM80" s="774"/>
      <c r="AN80" s="774"/>
      <c r="AO80" s="774"/>
      <c r="AP80" s="774"/>
      <c r="AQ80" s="774"/>
      <c r="AR80" s="774"/>
      <c r="AS80" s="774"/>
      <c r="AT80" s="774"/>
      <c r="AU80" s="774"/>
      <c r="AV80" s="774"/>
      <c r="AW80" s="571"/>
      <c r="AX80" s="571"/>
      <c r="AY80" s="571"/>
      <c r="AZ80" s="571"/>
      <c r="BA80" s="571"/>
      <c r="BB80" s="571"/>
      <c r="BC80" s="571"/>
      <c r="BD80" s="571"/>
      <c r="BE80" s="571"/>
      <c r="BF80" s="571"/>
      <c r="BG80" s="571"/>
      <c r="BH80" s="571"/>
      <c r="BI80" s="571"/>
      <c r="BJ80" s="571"/>
      <c r="BK80" s="571"/>
      <c r="BL80" s="571"/>
      <c r="BM80" s="571"/>
      <c r="BN80" s="571"/>
      <c r="BO80" s="571"/>
      <c r="BP80" s="571"/>
      <c r="BQ80" s="571"/>
      <c r="BR80" s="1829"/>
      <c r="BS80" s="571"/>
      <c r="BT80" s="571"/>
      <c r="BU80" s="571"/>
      <c r="BV80" s="571"/>
      <c r="BW80" s="571"/>
      <c r="BX80" s="571"/>
      <c r="BY80" s="571"/>
      <c r="BZ80" s="571"/>
      <c r="CA80" s="571"/>
      <c r="CB80" s="571"/>
      <c r="CC80" s="571"/>
      <c r="CD80" s="94"/>
      <c r="CE80" s="94"/>
    </row>
    <row r="81" spans="1:83" ht="11.25" customHeight="1" outlineLevel="1">
      <c r="A81" s="746"/>
      <c r="B81" s="809" t="s">
        <v>293</v>
      </c>
      <c r="C81" s="774"/>
      <c r="D81" s="774"/>
      <c r="E81" s="774"/>
      <c r="F81" s="774"/>
      <c r="G81" s="774"/>
      <c r="H81" s="774"/>
      <c r="I81" s="774"/>
      <c r="J81" s="774"/>
      <c r="K81" s="774"/>
      <c r="L81" s="774"/>
      <c r="M81" s="774"/>
      <c r="N81" s="774"/>
      <c r="O81" s="774"/>
      <c r="P81" s="774"/>
      <c r="Q81" s="774"/>
      <c r="R81" s="774"/>
      <c r="S81" s="774"/>
      <c r="T81" s="774"/>
      <c r="U81" s="774"/>
      <c r="V81" s="774"/>
      <c r="W81" s="774"/>
      <c r="X81" s="774"/>
      <c r="Y81" s="774"/>
      <c r="Z81" s="774"/>
      <c r="AA81" s="774"/>
      <c r="AB81" s="774"/>
      <c r="AC81" s="774"/>
      <c r="AD81" s="774"/>
      <c r="AE81" s="774"/>
      <c r="AF81" s="774"/>
      <c r="AG81" s="774"/>
      <c r="AH81" s="774"/>
      <c r="AI81" s="774"/>
      <c r="AJ81" s="774"/>
      <c r="AK81" s="774"/>
      <c r="AL81" s="774"/>
      <c r="AM81" s="774"/>
      <c r="AN81" s="774"/>
      <c r="AO81" s="774"/>
      <c r="AP81" s="774"/>
      <c r="AQ81" s="774"/>
      <c r="AR81" s="774"/>
      <c r="AS81" s="774"/>
      <c r="AT81" s="774"/>
      <c r="AU81" s="774"/>
      <c r="AV81" s="774"/>
      <c r="AW81" s="571"/>
      <c r="AX81" s="571"/>
      <c r="AY81" s="571"/>
      <c r="AZ81" s="571"/>
      <c r="BA81" s="571"/>
      <c r="BB81" s="571"/>
      <c r="BC81" s="571"/>
      <c r="BD81" s="571"/>
      <c r="BE81" s="571"/>
      <c r="BF81" s="571"/>
      <c r="BG81" s="571"/>
      <c r="BH81" s="571"/>
      <c r="BI81" s="571"/>
      <c r="BJ81" s="571"/>
      <c r="BK81" s="571"/>
      <c r="BL81" s="571"/>
      <c r="BM81" s="571"/>
      <c r="BN81" s="571"/>
      <c r="BO81" s="571"/>
      <c r="BP81" s="571"/>
      <c r="BQ81" s="571"/>
      <c r="BR81" s="1829"/>
      <c r="BS81" s="571"/>
      <c r="BT81" s="571"/>
      <c r="BU81" s="571"/>
      <c r="BV81" s="571"/>
      <c r="BW81" s="571"/>
      <c r="BX81" s="571"/>
      <c r="BY81" s="571"/>
      <c r="BZ81" s="571"/>
      <c r="CA81" s="571"/>
      <c r="CB81" s="571"/>
      <c r="CC81" s="571"/>
      <c r="CD81" s="94"/>
      <c r="CE81" s="94"/>
    </row>
    <row r="82" spans="1:83" ht="11.25" customHeight="1" outlineLevel="1">
      <c r="A82" s="746"/>
      <c r="B82" s="809" t="s">
        <v>294</v>
      </c>
      <c r="C82" s="774"/>
      <c r="D82" s="774"/>
      <c r="E82" s="774"/>
      <c r="F82" s="774"/>
      <c r="G82" s="774"/>
      <c r="H82" s="774"/>
      <c r="I82" s="774"/>
      <c r="J82" s="774"/>
      <c r="K82" s="774"/>
      <c r="L82" s="774"/>
      <c r="M82" s="774"/>
      <c r="N82" s="774"/>
      <c r="O82" s="774"/>
      <c r="P82" s="774"/>
      <c r="Q82" s="774"/>
      <c r="R82" s="774"/>
      <c r="S82" s="774"/>
      <c r="T82" s="774"/>
      <c r="U82" s="774"/>
      <c r="V82" s="774"/>
      <c r="W82" s="774"/>
      <c r="X82" s="774"/>
      <c r="Y82" s="774"/>
      <c r="Z82" s="774"/>
      <c r="AA82" s="774"/>
      <c r="AB82" s="774"/>
      <c r="AC82" s="774"/>
      <c r="AD82" s="774"/>
      <c r="AE82" s="774"/>
      <c r="AF82" s="774"/>
      <c r="AG82" s="774"/>
      <c r="AH82" s="774"/>
      <c r="AI82" s="774"/>
      <c r="AJ82" s="774"/>
      <c r="AK82" s="774"/>
      <c r="AL82" s="774"/>
      <c r="AM82" s="774"/>
      <c r="AN82" s="774"/>
      <c r="AO82" s="774"/>
      <c r="AP82" s="774"/>
      <c r="AQ82" s="774"/>
      <c r="AR82" s="774"/>
      <c r="AS82" s="774"/>
      <c r="AT82" s="774"/>
      <c r="AU82" s="774"/>
      <c r="AV82" s="774"/>
      <c r="AW82" s="571"/>
      <c r="AX82" s="571"/>
      <c r="AY82" s="571"/>
      <c r="AZ82" s="571"/>
      <c r="BA82" s="571"/>
      <c r="BB82" s="571"/>
      <c r="BC82" s="571"/>
      <c r="BD82" s="571"/>
      <c r="BE82" s="571"/>
      <c r="BF82" s="571"/>
      <c r="BG82" s="571"/>
      <c r="BH82" s="571"/>
      <c r="BI82" s="571"/>
      <c r="BJ82" s="571"/>
      <c r="BK82" s="571"/>
      <c r="BL82" s="571"/>
      <c r="BM82" s="571"/>
      <c r="BN82" s="571"/>
      <c r="BO82" s="571"/>
      <c r="BP82" s="571"/>
      <c r="BQ82" s="571"/>
      <c r="BR82" s="1829"/>
      <c r="BS82" s="571"/>
      <c r="BT82" s="571"/>
      <c r="BU82" s="571"/>
      <c r="BV82" s="571"/>
      <c r="BW82" s="571"/>
      <c r="BX82" s="571"/>
      <c r="BY82" s="571"/>
      <c r="BZ82" s="571"/>
      <c r="CA82" s="571"/>
      <c r="CB82" s="571"/>
      <c r="CC82" s="571"/>
      <c r="CD82" s="94"/>
      <c r="CE82" s="94"/>
    </row>
    <row r="83" spans="1:83" ht="11.25" customHeight="1" outlineLevel="1">
      <c r="A83" s="746"/>
      <c r="B83" s="809"/>
      <c r="C83" s="774"/>
      <c r="D83" s="774"/>
      <c r="E83" s="774"/>
      <c r="F83" s="774"/>
      <c r="G83" s="774"/>
      <c r="H83" s="774"/>
      <c r="I83" s="774"/>
      <c r="J83" s="774"/>
      <c r="K83" s="774"/>
      <c r="L83" s="774"/>
      <c r="M83" s="774"/>
      <c r="N83" s="774"/>
      <c r="O83" s="774"/>
      <c r="P83" s="774"/>
      <c r="Q83" s="774"/>
      <c r="R83" s="774"/>
      <c r="S83" s="774"/>
      <c r="T83" s="774"/>
      <c r="U83" s="774"/>
      <c r="V83" s="774"/>
      <c r="W83" s="774"/>
      <c r="X83" s="774"/>
      <c r="Y83" s="774"/>
      <c r="Z83" s="774"/>
      <c r="AA83" s="774"/>
      <c r="AB83" s="774"/>
      <c r="AC83" s="774"/>
      <c r="AD83" s="774"/>
      <c r="AE83" s="774"/>
      <c r="AF83" s="774"/>
      <c r="AG83" s="774"/>
      <c r="AH83" s="774"/>
      <c r="AI83" s="774"/>
      <c r="AJ83" s="774"/>
      <c r="AK83" s="774"/>
      <c r="AL83" s="774"/>
      <c r="AM83" s="774"/>
      <c r="AN83" s="774"/>
      <c r="AO83" s="774"/>
      <c r="AP83" s="774"/>
      <c r="AQ83" s="774"/>
      <c r="AR83" s="774"/>
      <c r="AS83" s="774"/>
      <c r="AT83" s="774"/>
      <c r="AU83" s="774"/>
      <c r="AV83" s="774"/>
      <c r="AW83" s="571"/>
      <c r="AX83" s="571"/>
      <c r="AY83" s="571"/>
      <c r="AZ83" s="571"/>
      <c r="BA83" s="571"/>
      <c r="BB83" s="571"/>
      <c r="BC83" s="571"/>
      <c r="BD83" s="571"/>
      <c r="BE83" s="571"/>
      <c r="BF83" s="571"/>
      <c r="BG83" s="571"/>
      <c r="BH83" s="571"/>
      <c r="BI83" s="571"/>
      <c r="BJ83" s="571"/>
      <c r="BK83" s="571"/>
      <c r="BL83" s="571"/>
      <c r="BM83" s="571"/>
      <c r="BN83" s="571"/>
      <c r="BO83" s="571"/>
      <c r="BP83" s="571"/>
      <c r="BQ83" s="571"/>
      <c r="BR83" s="1829"/>
      <c r="BS83" s="571"/>
      <c r="BT83" s="571"/>
      <c r="BU83" s="571"/>
      <c r="BV83" s="571"/>
      <c r="BW83" s="571"/>
      <c r="BX83" s="571"/>
      <c r="BY83" s="571"/>
      <c r="BZ83" s="571"/>
      <c r="CA83" s="571"/>
      <c r="CB83" s="571"/>
      <c r="CC83" s="571"/>
      <c r="CD83" s="94"/>
      <c r="CE83" s="94"/>
    </row>
    <row r="84" spans="1:83" ht="11.25" customHeight="1" outlineLevel="2">
      <c r="A84" s="746"/>
      <c r="B84" s="810" t="s">
        <v>295</v>
      </c>
      <c r="C84" s="811">
        <f>C79+C81+C82</f>
        <v>8.958000000000002</v>
      </c>
      <c r="D84" s="811">
        <f t="shared" ref="D84:E84" si="264">D79+D81+D82</f>
        <v>9.5</v>
      </c>
      <c r="E84" s="811">
        <f t="shared" si="264"/>
        <v>4.6310000000000002</v>
      </c>
      <c r="F84" s="811">
        <f>F79+F81+F82</f>
        <v>14.131</v>
      </c>
      <c r="G84" s="811">
        <f t="shared" ref="G84:H84" si="265">G79+G81+G82</f>
        <v>15.378000000000004</v>
      </c>
      <c r="H84" s="811">
        <f t="shared" si="265"/>
        <v>7.0669999999999948</v>
      </c>
      <c r="I84" s="813">
        <f>I79+I81+I82</f>
        <v>22.444999999999997</v>
      </c>
      <c r="J84" s="811">
        <f t="shared" ref="J84" si="266">J79+J81+J82</f>
        <v>19.555000000000003</v>
      </c>
      <c r="K84" s="811">
        <f>K79+K81+K82</f>
        <v>7.3139999999999965</v>
      </c>
      <c r="L84" s="811">
        <f>L79+L81+L82</f>
        <v>26.869</v>
      </c>
      <c r="M84" s="811">
        <f t="shared" ref="M84:N84" si="267">M79+M81+M82</f>
        <v>26.448</v>
      </c>
      <c r="N84" s="811">
        <f t="shared" si="267"/>
        <v>14.928000000000006</v>
      </c>
      <c r="O84" s="811">
        <f>O79+O81+O82</f>
        <v>41.376000000000005</v>
      </c>
      <c r="P84" s="811">
        <f t="shared" ref="P84:Q84" si="268">P79+P81+P82</f>
        <v>42.281999999999996</v>
      </c>
      <c r="Q84" s="811">
        <f t="shared" si="268"/>
        <v>22.852999999999991</v>
      </c>
      <c r="R84" s="811">
        <f t="shared" ref="R84:AM84" si="269">R79+R81+R82</f>
        <v>65.134999999999991</v>
      </c>
      <c r="S84" s="811">
        <f t="shared" si="269"/>
        <v>59.076000000000001</v>
      </c>
      <c r="T84" s="811">
        <f t="shared" si="269"/>
        <v>35.361000000000004</v>
      </c>
      <c r="U84" s="811">
        <f t="shared" si="269"/>
        <v>94.437000000000012</v>
      </c>
      <c r="V84" s="811">
        <f t="shared" si="269"/>
        <v>76.046999999999997</v>
      </c>
      <c r="W84" s="811">
        <f t="shared" si="269"/>
        <v>42.605000000000011</v>
      </c>
      <c r="X84" s="811">
        <f t="shared" si="269"/>
        <v>118.652</v>
      </c>
      <c r="Y84" s="811">
        <f t="shared" si="269"/>
        <v>87.887999999999991</v>
      </c>
      <c r="Z84" s="811">
        <f t="shared" si="269"/>
        <v>21.807000000000009</v>
      </c>
      <c r="AA84" s="811">
        <f t="shared" si="269"/>
        <v>109.69499999999999</v>
      </c>
      <c r="AB84" s="811">
        <f t="shared" si="269"/>
        <v>79.637</v>
      </c>
      <c r="AC84" s="811">
        <f t="shared" si="269"/>
        <v>22.526000000000003</v>
      </c>
      <c r="AD84" s="812">
        <f>AD79+AD81+AD82</f>
        <v>104.64099999999999</v>
      </c>
      <c r="AE84" s="811">
        <f>AE79+AE81+AE82</f>
        <v>82.07</v>
      </c>
      <c r="AF84" s="811">
        <f>AG84-AE84</f>
        <v>34.562000000000026</v>
      </c>
      <c r="AG84" s="812">
        <f>AG79+AG81+AG82</f>
        <v>116.63200000000002</v>
      </c>
      <c r="AH84" s="811">
        <f>AH79+AH81+AH82</f>
        <v>90.405000000000015</v>
      </c>
      <c r="AI84" s="811">
        <f>AJ84-AH84</f>
        <v>38.041999999999987</v>
      </c>
      <c r="AJ84" s="812">
        <f t="shared" si="269"/>
        <v>128.447</v>
      </c>
      <c r="AK84" s="811">
        <f>AK79+AK81+AK82</f>
        <v>88.538000000000011</v>
      </c>
      <c r="AL84" s="811">
        <f>AL79+AL81+AL82</f>
        <v>47.972999999999999</v>
      </c>
      <c r="AM84" s="811">
        <f t="shared" si="269"/>
        <v>136.51100000000002</v>
      </c>
      <c r="AN84" s="811">
        <f>AN79+AN81+AN82</f>
        <v>95.195999999999984</v>
      </c>
      <c r="AO84" s="811">
        <f>AO79+AO81+AO82</f>
        <v>56.984999999999999</v>
      </c>
      <c r="AP84" s="811">
        <f t="shared" ref="AP84:BW84" si="270">AP79+AP81+AP82</f>
        <v>152.18099999999998</v>
      </c>
      <c r="AQ84" s="811">
        <f>AQ79+AQ81+AQ82</f>
        <v>110.39999999999999</v>
      </c>
      <c r="AR84" s="811">
        <f>AR79+AR81+AR82</f>
        <v>61.999999999999986</v>
      </c>
      <c r="AS84" s="811">
        <f t="shared" si="270"/>
        <v>172.39999999999998</v>
      </c>
      <c r="AT84" s="811">
        <f>AT79+AT81+AT82</f>
        <v>151.70000000000002</v>
      </c>
      <c r="AU84" s="811">
        <f>AU79+AU81+AU82</f>
        <v>81.499999999999915</v>
      </c>
      <c r="AV84" s="811">
        <f>AV79+AV81+AV82</f>
        <v>233.19999999999993</v>
      </c>
      <c r="AW84" s="87">
        <f>AW79+AW81+AW82</f>
        <v>160.10000000000002</v>
      </c>
      <c r="AX84" s="87">
        <f t="shared" ref="AX84" si="271">AX79+AX81+AX82</f>
        <v>89.699999999999989</v>
      </c>
      <c r="AY84" s="87">
        <f t="shared" si="270"/>
        <v>249.8</v>
      </c>
      <c r="AZ84" s="87">
        <f>AZ79+AZ81+AZ82</f>
        <v>170.6</v>
      </c>
      <c r="BA84" s="87">
        <f>BB84-AZ84</f>
        <v>131.60000000000005</v>
      </c>
      <c r="BB84" s="87">
        <f t="shared" si="270"/>
        <v>302.20000000000005</v>
      </c>
      <c r="BC84" s="87">
        <f>BC79+BC81+BC82</f>
        <v>317.7</v>
      </c>
      <c r="BD84" s="87">
        <f>BE84-BC84</f>
        <v>191.8</v>
      </c>
      <c r="BE84" s="87">
        <f t="shared" si="270"/>
        <v>509.5</v>
      </c>
      <c r="BF84" s="87">
        <f t="shared" si="270"/>
        <v>287.89999999999998</v>
      </c>
      <c r="BG84" s="87">
        <f t="shared" ref="BG84" si="272">BH84-BF84</f>
        <v>257</v>
      </c>
      <c r="BH84" s="87">
        <f t="shared" si="270"/>
        <v>544.9</v>
      </c>
      <c r="BI84" s="87">
        <f t="shared" ref="BI84" si="273">BI79+BI81+BI82</f>
        <v>329.9</v>
      </c>
      <c r="BJ84" s="87">
        <f t="shared" ref="BJ84" si="274">BK84-BI84</f>
        <v>194.70000000000005</v>
      </c>
      <c r="BK84" s="87">
        <f t="shared" ref="BK84:BL84" si="275">BK79+BK81+BK82</f>
        <v>524.6</v>
      </c>
      <c r="BL84" s="87">
        <f t="shared" si="275"/>
        <v>264.3</v>
      </c>
      <c r="BM84" s="87">
        <f t="shared" ref="BM84" si="276">BN84-BL84</f>
        <v>174.49999999999994</v>
      </c>
      <c r="BN84" s="87">
        <f t="shared" ref="BN84:BO84" si="277">BN79+BN81+BN82</f>
        <v>438.79999999999995</v>
      </c>
      <c r="BO84" s="87">
        <f t="shared" si="277"/>
        <v>285.50000000000006</v>
      </c>
      <c r="BP84" s="248">
        <f>BQ84-BO84</f>
        <v>177.29999999999984</v>
      </c>
      <c r="BQ84" s="87">
        <f t="shared" ref="BQ84" si="278">BQ79+BQ81+BQ82</f>
        <v>462.7999999999999</v>
      </c>
      <c r="BR84" s="1827">
        <f t="shared" si="270"/>
        <v>305.89999999999998</v>
      </c>
      <c r="BS84" s="248">
        <f t="shared" ref="BS84" si="279">BT84-BR84</f>
        <v>197.86963003022947</v>
      </c>
      <c r="BT84" s="248">
        <f t="shared" si="270"/>
        <v>503.76963003022945</v>
      </c>
      <c r="BU84" s="248">
        <f t="shared" si="270"/>
        <v>310.90320187813916</v>
      </c>
      <c r="BV84" s="248">
        <f t="shared" ref="BV84" si="280">BW84-BU84</f>
        <v>200.50979353262255</v>
      </c>
      <c r="BW84" s="248">
        <f t="shared" si="270"/>
        <v>511.41299541076171</v>
      </c>
      <c r="BX84" s="248">
        <f t="shared" ref="BX84" si="281">BX79+BX81+BX82</f>
        <v>329.03761984839599</v>
      </c>
      <c r="BY84" s="248">
        <f t="shared" ref="BY84" si="282">BZ84-BX84</f>
        <v>208.44989117191818</v>
      </c>
      <c r="BZ84" s="248">
        <f t="shared" ref="BZ84:CA84" si="283">BZ79+BZ81+BZ82</f>
        <v>537.48751102031417</v>
      </c>
      <c r="CA84" s="248">
        <f t="shared" si="283"/>
        <v>344.79210314053853</v>
      </c>
      <c r="CB84" s="248">
        <f t="shared" ref="CB84" si="284">CC84-CA84</f>
        <v>218.69537794695327</v>
      </c>
      <c r="CC84" s="248">
        <f t="shared" ref="CC84" si="285">CC79+CC81+CC82</f>
        <v>563.4874810874918</v>
      </c>
      <c r="CD84" s="94"/>
      <c r="CE84" s="94"/>
    </row>
    <row r="85" spans="1:83" ht="11.25" customHeight="1" outlineLevel="2">
      <c r="A85" s="746"/>
      <c r="B85" s="810"/>
      <c r="C85" s="811"/>
      <c r="D85" s="811"/>
      <c r="E85" s="811"/>
      <c r="F85" s="811"/>
      <c r="G85" s="811"/>
      <c r="H85" s="811"/>
      <c r="I85" s="811"/>
      <c r="J85" s="811"/>
      <c r="K85" s="811"/>
      <c r="L85" s="811"/>
      <c r="M85" s="811"/>
      <c r="N85" s="811"/>
      <c r="O85" s="817"/>
      <c r="P85" s="811"/>
      <c r="Q85" s="811"/>
      <c r="R85" s="811"/>
      <c r="S85" s="811"/>
      <c r="T85" s="811"/>
      <c r="U85" s="811"/>
      <c r="V85" s="811"/>
      <c r="W85" s="811"/>
      <c r="X85" s="811"/>
      <c r="Y85" s="811"/>
      <c r="Z85" s="811"/>
      <c r="AA85" s="811"/>
      <c r="AB85" s="811"/>
      <c r="AC85" s="811"/>
      <c r="AD85" s="811"/>
      <c r="AE85" s="811"/>
      <c r="AF85" s="811"/>
      <c r="AG85" s="811"/>
      <c r="AH85" s="811"/>
      <c r="AI85" s="811"/>
      <c r="AJ85" s="811"/>
      <c r="AK85" s="811"/>
      <c r="AL85" s="811"/>
      <c r="AM85" s="811"/>
      <c r="AN85" s="811"/>
      <c r="AO85" s="811"/>
      <c r="AP85" s="811"/>
      <c r="AQ85" s="811"/>
      <c r="AR85" s="811"/>
      <c r="AS85" s="811"/>
      <c r="AT85" s="811"/>
      <c r="AU85" s="811"/>
      <c r="AV85" s="811"/>
      <c r="AW85" s="87"/>
      <c r="AX85" s="87"/>
      <c r="AY85" s="87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87"/>
      <c r="BK85" s="87"/>
      <c r="BL85" s="87"/>
      <c r="BM85" s="87"/>
      <c r="BN85" s="87"/>
      <c r="BO85" s="87"/>
      <c r="BP85" s="87"/>
      <c r="BQ85" s="87"/>
      <c r="BR85" s="1819"/>
      <c r="BS85" s="87"/>
      <c r="BT85" s="87"/>
      <c r="BU85" s="87"/>
      <c r="BV85" s="87"/>
      <c r="BW85" s="87"/>
      <c r="BX85" s="87"/>
      <c r="BY85" s="87"/>
      <c r="BZ85" s="87"/>
      <c r="CA85" s="87"/>
      <c r="CB85" s="87"/>
      <c r="CC85" s="87"/>
      <c r="CD85" s="94"/>
      <c r="CE85" s="94"/>
    </row>
    <row r="86" spans="1:83" ht="11.25" customHeight="1" outlineLevel="1" collapsed="1">
      <c r="A86" s="746" t="s">
        <v>296</v>
      </c>
      <c r="B86" s="809" t="s">
        <v>297</v>
      </c>
      <c r="C86" s="775">
        <v>0</v>
      </c>
      <c r="D86" s="775">
        <v>-0.2</v>
      </c>
      <c r="E86" s="775"/>
      <c r="F86" s="775">
        <v>0</v>
      </c>
      <c r="G86" s="775">
        <v>-0.752</v>
      </c>
      <c r="H86" s="775"/>
      <c r="I86" s="775">
        <v>-1.089</v>
      </c>
      <c r="J86" s="775">
        <v>-0.70499999999999996</v>
      </c>
      <c r="K86" s="775"/>
      <c r="L86" s="775">
        <v>-1.0329999999999999</v>
      </c>
      <c r="M86" s="775">
        <v>-0.57799999999999996</v>
      </c>
      <c r="N86" s="775"/>
      <c r="O86" s="775">
        <v>-0.98699999999999999</v>
      </c>
      <c r="P86" s="775"/>
      <c r="Q86" s="775"/>
      <c r="R86" s="775">
        <v>0</v>
      </c>
      <c r="S86" s="775"/>
      <c r="T86" s="775"/>
      <c r="U86" s="775">
        <v>0</v>
      </c>
      <c r="V86" s="775"/>
      <c r="W86" s="775"/>
      <c r="X86" s="775">
        <v>0</v>
      </c>
      <c r="Y86" s="775"/>
      <c r="Z86" s="775"/>
      <c r="AA86" s="775">
        <v>0</v>
      </c>
      <c r="AB86" s="775"/>
      <c r="AC86" s="775"/>
      <c r="AD86" s="775">
        <v>0</v>
      </c>
      <c r="AE86" s="775"/>
      <c r="AF86" s="729">
        <f>AG86-AE86</f>
        <v>-0.249</v>
      </c>
      <c r="AG86" s="775">
        <v>-0.249</v>
      </c>
      <c r="AH86" s="775">
        <v>-8.7999999999999995E-2</v>
      </c>
      <c r="AI86" s="775">
        <f>AJ86-AH86</f>
        <v>0</v>
      </c>
      <c r="AJ86" s="775">
        <v>-8.7999999999999995E-2</v>
      </c>
      <c r="AK86" s="775">
        <v>0</v>
      </c>
      <c r="AL86" s="775">
        <f>AM86-AK86</f>
        <v>0</v>
      </c>
      <c r="AM86" s="775"/>
      <c r="AN86" s="775"/>
      <c r="AO86" s="775"/>
      <c r="AP86" s="775">
        <f>AM86</f>
        <v>0</v>
      </c>
      <c r="AQ86" s="775"/>
      <c r="AR86" s="775"/>
      <c r="AS86" s="775">
        <f>AP86</f>
        <v>0</v>
      </c>
      <c r="AT86" s="775">
        <v>0</v>
      </c>
      <c r="AU86" s="775">
        <f>AV86-AT86</f>
        <v>0</v>
      </c>
      <c r="AV86" s="775">
        <f>AS86</f>
        <v>0</v>
      </c>
      <c r="AW86" s="570">
        <v>0</v>
      </c>
      <c r="AX86" s="570">
        <f>AY86-AW86</f>
        <v>0</v>
      </c>
      <c r="AY86" s="570">
        <f>AV86</f>
        <v>0</v>
      </c>
      <c r="AZ86" s="732">
        <v>0</v>
      </c>
      <c r="BA86" s="732">
        <v>0</v>
      </c>
      <c r="BB86" s="732">
        <v>0</v>
      </c>
      <c r="BC86" s="732">
        <v>0</v>
      </c>
      <c r="BD86" s="732">
        <v>0</v>
      </c>
      <c r="BE86" s="732">
        <v>0</v>
      </c>
      <c r="BF86" s="732">
        <v>0</v>
      </c>
      <c r="BG86" s="732">
        <v>0</v>
      </c>
      <c r="BH86" s="732">
        <v>0</v>
      </c>
      <c r="BI86" s="732">
        <v>0</v>
      </c>
      <c r="BJ86" s="732">
        <v>0</v>
      </c>
      <c r="BK86" s="732">
        <v>0</v>
      </c>
      <c r="BL86" s="732">
        <v>0</v>
      </c>
      <c r="BM86" s="732">
        <v>0</v>
      </c>
      <c r="BN86" s="732">
        <v>0</v>
      </c>
      <c r="BO86" s="732">
        <v>0</v>
      </c>
      <c r="BP86" s="732">
        <f>BQ86-BO86</f>
        <v>-0.4</v>
      </c>
      <c r="BQ86" s="732">
        <v>-0.4</v>
      </c>
      <c r="BR86" s="1826">
        <v>-0.1</v>
      </c>
      <c r="BS86" s="732">
        <f t="shared" ref="BS86" si="286">BT86-BR86</f>
        <v>-0.46679091850828558</v>
      </c>
      <c r="BT86" s="732">
        <f>-0.25*Drivers!AS397</f>
        <v>-0.56679091850828556</v>
      </c>
      <c r="BU86" s="732">
        <f>-0.25*Drivers!AT397</f>
        <v>-0.30642499999999973</v>
      </c>
      <c r="BV86" s="732">
        <f t="shared" ref="BV86" si="287">BW86-BU86</f>
        <v>-0.2773696460635352</v>
      </c>
      <c r="BW86" s="732">
        <f>-0.25*Drivers!AV397</f>
        <v>-0.58379464606353493</v>
      </c>
      <c r="BX86" s="732">
        <f>-0.25*Drivers!AW397</f>
        <v>-0.31561775000000036</v>
      </c>
      <c r="BY86" s="732">
        <f t="shared" ref="BY86" si="288">BZ86-BX86</f>
        <v>-0.28569073544544221</v>
      </c>
      <c r="BZ86" s="732">
        <f>-0.25*Drivers!AY397</f>
        <v>-0.60130848544544258</v>
      </c>
      <c r="CA86" s="732">
        <f>-0.25*Drivers!AZ397</f>
        <v>-0.32508628250000016</v>
      </c>
      <c r="CB86" s="732">
        <f t="shared" ref="CB86" si="289">CC86-CA86</f>
        <v>-0.29426145750880495</v>
      </c>
      <c r="CC86" s="732">
        <f>-0.25*Drivers!BB397</f>
        <v>-0.6193477400088051</v>
      </c>
      <c r="CD86" s="74"/>
      <c r="CE86" s="74"/>
    </row>
    <row r="87" spans="1:83" ht="11.25" customHeight="1" outlineLevel="1">
      <c r="A87" s="746"/>
      <c r="B87" s="809"/>
      <c r="C87" s="342"/>
      <c r="D87" s="818"/>
      <c r="E87" s="818"/>
      <c r="F87" s="341"/>
      <c r="G87" s="818"/>
      <c r="H87" s="818"/>
      <c r="I87" s="341"/>
      <c r="J87" s="818"/>
      <c r="K87" s="818"/>
      <c r="L87" s="819"/>
      <c r="M87" s="818"/>
      <c r="N87" s="818"/>
      <c r="O87" s="819"/>
      <c r="P87" s="818"/>
      <c r="Q87" s="818"/>
      <c r="R87" s="818"/>
      <c r="S87" s="818"/>
      <c r="T87" s="818"/>
      <c r="U87" s="818"/>
      <c r="V87" s="818"/>
      <c r="W87" s="818"/>
      <c r="X87" s="818"/>
      <c r="Y87" s="818"/>
      <c r="Z87" s="818"/>
      <c r="AA87" s="818"/>
      <c r="AB87" s="818"/>
      <c r="AC87" s="818"/>
      <c r="AD87" s="818"/>
      <c r="AE87" s="818"/>
      <c r="AF87" s="818"/>
      <c r="AG87" s="820"/>
      <c r="AH87" s="818"/>
      <c r="AI87" s="818"/>
      <c r="AJ87" s="818"/>
      <c r="AK87" s="818"/>
      <c r="AL87" s="818"/>
      <c r="AM87" s="818"/>
      <c r="AN87" s="818"/>
      <c r="AO87" s="818"/>
      <c r="AP87" s="818"/>
      <c r="AQ87" s="818"/>
      <c r="AR87" s="818"/>
      <c r="AS87" s="818"/>
      <c r="AT87" s="818"/>
      <c r="AU87" s="818"/>
      <c r="AV87" s="818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  <c r="BP87" s="97"/>
      <c r="BQ87" s="97"/>
      <c r="BR87" s="1830"/>
      <c r="BS87" s="97"/>
      <c r="BT87" s="97"/>
      <c r="BU87" s="97"/>
      <c r="BV87" s="97"/>
      <c r="BW87" s="97"/>
      <c r="BX87" s="97"/>
      <c r="BY87" s="97"/>
      <c r="BZ87" s="97"/>
      <c r="CA87" s="97"/>
      <c r="CB87" s="97"/>
      <c r="CC87" s="97"/>
      <c r="CD87" s="74"/>
      <c r="CE87" s="74"/>
    </row>
    <row r="88" spans="1:83" collapsed="1">
      <c r="A88" s="746" t="s">
        <v>298</v>
      </c>
      <c r="B88" s="82" t="s">
        <v>233</v>
      </c>
      <c r="C88" s="99">
        <f t="shared" ref="C88:AM88" si="290">C79+C86+C81+C82</f>
        <v>8.958000000000002</v>
      </c>
      <c r="D88" s="99">
        <f t="shared" si="290"/>
        <v>9.3000000000000007</v>
      </c>
      <c r="E88" s="99">
        <f>F88-D88</f>
        <v>4.8309999999999995</v>
      </c>
      <c r="F88" s="99">
        <f t="shared" si="290"/>
        <v>14.131</v>
      </c>
      <c r="G88" s="99">
        <f t="shared" si="290"/>
        <v>14.626000000000003</v>
      </c>
      <c r="H88" s="99">
        <f t="shared" si="290"/>
        <v>7.0669999999999948</v>
      </c>
      <c r="I88" s="99">
        <f t="shared" si="290"/>
        <v>21.355999999999998</v>
      </c>
      <c r="J88" s="99">
        <f t="shared" si="290"/>
        <v>18.850000000000005</v>
      </c>
      <c r="K88" s="99">
        <f t="shared" si="290"/>
        <v>7.3139999999999965</v>
      </c>
      <c r="L88" s="99">
        <f t="shared" si="290"/>
        <v>25.835999999999999</v>
      </c>
      <c r="M88" s="99">
        <f t="shared" si="290"/>
        <v>25.87</v>
      </c>
      <c r="N88" s="99">
        <f t="shared" si="290"/>
        <v>14.928000000000006</v>
      </c>
      <c r="O88" s="99">
        <f t="shared" si="290"/>
        <v>40.389000000000003</v>
      </c>
      <c r="P88" s="99">
        <f t="shared" si="290"/>
        <v>42.281999999999996</v>
      </c>
      <c r="Q88" s="99">
        <f t="shared" si="290"/>
        <v>22.852999999999991</v>
      </c>
      <c r="R88" s="99">
        <f t="shared" si="290"/>
        <v>65.134999999999991</v>
      </c>
      <c r="S88" s="99">
        <f t="shared" si="290"/>
        <v>59.076000000000001</v>
      </c>
      <c r="T88" s="99">
        <f t="shared" si="290"/>
        <v>35.361000000000004</v>
      </c>
      <c r="U88" s="99">
        <f t="shared" si="290"/>
        <v>94.437000000000012</v>
      </c>
      <c r="V88" s="99">
        <f t="shared" si="290"/>
        <v>76.046999999999997</v>
      </c>
      <c r="W88" s="99">
        <f t="shared" si="290"/>
        <v>42.605000000000011</v>
      </c>
      <c r="X88" s="99">
        <f t="shared" si="290"/>
        <v>118.652</v>
      </c>
      <c r="Y88" s="99">
        <f t="shared" si="290"/>
        <v>87.887999999999991</v>
      </c>
      <c r="Z88" s="99">
        <f t="shared" si="290"/>
        <v>21.807000000000009</v>
      </c>
      <c r="AA88" s="99">
        <f t="shared" si="290"/>
        <v>109.69499999999999</v>
      </c>
      <c r="AB88" s="99">
        <f t="shared" si="290"/>
        <v>79.637</v>
      </c>
      <c r="AC88" s="99">
        <f t="shared" si="290"/>
        <v>22.526000000000003</v>
      </c>
      <c r="AD88" s="99">
        <f>AD79+AD86+AD81+AD82</f>
        <v>104.64099999999999</v>
      </c>
      <c r="AE88" s="99">
        <f>AE79+AE86+AE81+AE82</f>
        <v>82.07</v>
      </c>
      <c r="AF88" s="99">
        <f>AG88-AE88</f>
        <v>34.313000000000031</v>
      </c>
      <c r="AG88" s="99">
        <f>AG79+AG86+AG81+AG82</f>
        <v>116.38300000000002</v>
      </c>
      <c r="AH88" s="99">
        <f>AH79+AH86+AH81+AH82</f>
        <v>90.317000000000021</v>
      </c>
      <c r="AI88" s="99">
        <f>AJ88-AH88</f>
        <v>38.041999999999987</v>
      </c>
      <c r="AJ88" s="99">
        <f>AJ79+AJ86+AJ81+AJ82</f>
        <v>128.35900000000001</v>
      </c>
      <c r="AK88" s="99">
        <f>AK79+AK86+AK81+AK82</f>
        <v>88.538000000000011</v>
      </c>
      <c r="AL88" s="99">
        <f>AL79+AL86+AL81+AL82</f>
        <v>47.972999999999999</v>
      </c>
      <c r="AM88" s="99">
        <f t="shared" si="290"/>
        <v>136.51100000000002</v>
      </c>
      <c r="AN88" s="99">
        <f>AN79+AN86+AN81+AN82</f>
        <v>95.195999999999984</v>
      </c>
      <c r="AO88" s="99">
        <f>AP88-AN88</f>
        <v>56.984999999999999</v>
      </c>
      <c r="AP88" s="99">
        <f t="shared" ref="AP88:BW88" si="291">AP79+AP86+AP81+AP82</f>
        <v>152.18099999999998</v>
      </c>
      <c r="AQ88" s="99">
        <f>AQ79+AQ86+AQ81+AQ82</f>
        <v>110.39999999999999</v>
      </c>
      <c r="AR88" s="99">
        <f>AS88-AQ88</f>
        <v>61.999999999999986</v>
      </c>
      <c r="AS88" s="99">
        <f t="shared" si="291"/>
        <v>172.39999999999998</v>
      </c>
      <c r="AT88" s="99">
        <f>AT79+AT86+AT81+AT82</f>
        <v>151.70000000000002</v>
      </c>
      <c r="AU88" s="99">
        <f>AV88-AT88</f>
        <v>81.499999999999915</v>
      </c>
      <c r="AV88" s="99">
        <f t="shared" si="291"/>
        <v>233.19999999999993</v>
      </c>
      <c r="AW88" s="736">
        <f>AW79+AW86+AW81+AW82</f>
        <v>160.10000000000002</v>
      </c>
      <c r="AX88" s="736">
        <f>AY88-AW88</f>
        <v>89.699999999999989</v>
      </c>
      <c r="AY88" s="736">
        <f t="shared" si="291"/>
        <v>249.8</v>
      </c>
      <c r="AZ88" s="736">
        <f>AZ79+AZ86+AZ81+AZ82</f>
        <v>170.6</v>
      </c>
      <c r="BA88" s="736">
        <f>BB88-AZ88</f>
        <v>131.60000000000005</v>
      </c>
      <c r="BB88" s="736">
        <f t="shared" si="291"/>
        <v>302.20000000000005</v>
      </c>
      <c r="BC88" s="736">
        <f>BC79+BC86+BC81+BC82</f>
        <v>317.7</v>
      </c>
      <c r="BD88" s="736">
        <f>BD79+BD86+BD81+BD82</f>
        <v>191.8000000000001</v>
      </c>
      <c r="BE88" s="736">
        <f t="shared" si="291"/>
        <v>509.5</v>
      </c>
      <c r="BF88" s="736">
        <f>BF79+BF86+BF81+BF82</f>
        <v>287.89999999999998</v>
      </c>
      <c r="BG88" s="736">
        <f>BG79+BG86+BG81+BG82</f>
        <v>257.00000000000006</v>
      </c>
      <c r="BH88" s="1145">
        <f t="shared" si="291"/>
        <v>544.9</v>
      </c>
      <c r="BI88" s="736">
        <f>BI79+BI86+BI81+BI82</f>
        <v>329.9</v>
      </c>
      <c r="BJ88" s="736">
        <f>BJ79+BJ86+BJ81+BJ82</f>
        <v>194.70000000000005</v>
      </c>
      <c r="BK88" s="1294">
        <f t="shared" ref="BK88" si="292">BK79+BK86+BK81+BK82</f>
        <v>524.6</v>
      </c>
      <c r="BL88" s="736">
        <f>BL79+BL86+BL81+BL82</f>
        <v>264.3</v>
      </c>
      <c r="BM88" s="736">
        <f>BM79+BM86+BM81+BM82</f>
        <v>174.49999999999994</v>
      </c>
      <c r="BN88" s="1539">
        <f t="shared" ref="BN88" si="293">BN79+BN86+BN81+BN82</f>
        <v>438.79999999999995</v>
      </c>
      <c r="BO88" s="1539">
        <f>BO79+BO86+BO81+BO82</f>
        <v>285.50000000000006</v>
      </c>
      <c r="BP88" s="736">
        <f>BP79+BP86+BP81+BP82</f>
        <v>176.89999999999995</v>
      </c>
      <c r="BQ88" s="1539">
        <f t="shared" si="291"/>
        <v>462.39999999999992</v>
      </c>
      <c r="BR88" s="1831">
        <f>BR79+BR86+BR81+BR82</f>
        <v>305.79999999999995</v>
      </c>
      <c r="BS88" s="736">
        <f>BS79+BS86+BS81+BS82</f>
        <v>197.40283911172125</v>
      </c>
      <c r="BT88" s="736">
        <f t="shared" si="291"/>
        <v>503.20283911172118</v>
      </c>
      <c r="BU88" s="736">
        <f>BU79+BU86+BU81+BU82</f>
        <v>310.59677687813917</v>
      </c>
      <c r="BV88" s="736">
        <f>BV79+BV86+BV81+BV82</f>
        <v>200.23242388655899</v>
      </c>
      <c r="BW88" s="736">
        <f t="shared" si="291"/>
        <v>510.82920076469816</v>
      </c>
      <c r="BX88" s="736">
        <f>BX79+BX86+BX81+BX82</f>
        <v>328.72200209839599</v>
      </c>
      <c r="BY88" s="736">
        <f>BY79+BY86+BY81+BY82</f>
        <v>208.16420043647273</v>
      </c>
      <c r="BZ88" s="736">
        <f t="shared" ref="BZ88" si="294">BZ79+BZ86+BZ81+BZ82</f>
        <v>536.88620253486874</v>
      </c>
      <c r="CA88" s="736">
        <f>CA79+CA86+CA81+CA82</f>
        <v>344.46701685803851</v>
      </c>
      <c r="CB88" s="736">
        <f>CB79+CB86+CB81+CB82</f>
        <v>218.40111648944438</v>
      </c>
      <c r="CC88" s="736">
        <f t="shared" ref="CC88" si="295">CC79+CC86+CC81+CC82</f>
        <v>562.86813334748297</v>
      </c>
      <c r="CD88" s="74"/>
      <c r="CE88" s="74"/>
    </row>
    <row r="89" spans="1:83">
      <c r="A89" s="746"/>
      <c r="B89" s="787" t="s">
        <v>299</v>
      </c>
      <c r="C89" s="341"/>
      <c r="D89" s="341"/>
      <c r="E89" s="341"/>
      <c r="F89" s="341"/>
      <c r="G89" s="341">
        <f t="shared" ref="G89:AA89" si="296">G88/D88-1</f>
        <v>0.57268817204301103</v>
      </c>
      <c r="H89" s="341">
        <f t="shared" si="296"/>
        <v>0.46284413164976113</v>
      </c>
      <c r="I89" s="341">
        <f t="shared" si="296"/>
        <v>0.51128724081805932</v>
      </c>
      <c r="J89" s="341">
        <f t="shared" si="296"/>
        <v>0.28880076575960634</v>
      </c>
      <c r="K89" s="341">
        <f t="shared" si="296"/>
        <v>3.4951181548040555E-2</v>
      </c>
      <c r="L89" s="341">
        <f t="shared" si="296"/>
        <v>0.20977711181869263</v>
      </c>
      <c r="M89" s="341">
        <f t="shared" si="296"/>
        <v>0.37241379310344791</v>
      </c>
      <c r="N89" s="341">
        <f t="shared" si="296"/>
        <v>1.0410172272354408</v>
      </c>
      <c r="O89" s="341">
        <f t="shared" si="296"/>
        <v>0.5632837900603811</v>
      </c>
      <c r="P89" s="341">
        <f t="shared" si="296"/>
        <v>0.63440278314650156</v>
      </c>
      <c r="Q89" s="341">
        <f t="shared" si="296"/>
        <v>0.53088156484458615</v>
      </c>
      <c r="R89" s="341">
        <f t="shared" si="296"/>
        <v>0.61269157443858435</v>
      </c>
      <c r="S89" s="341">
        <f t="shared" si="296"/>
        <v>0.39719029374201797</v>
      </c>
      <c r="T89" s="341">
        <f t="shared" si="296"/>
        <v>0.54732420251170599</v>
      </c>
      <c r="U89" s="341">
        <f t="shared" si="296"/>
        <v>0.4498656636217091</v>
      </c>
      <c r="V89" s="341">
        <f t="shared" si="296"/>
        <v>0.28727401990656087</v>
      </c>
      <c r="W89" s="341">
        <f t="shared" si="296"/>
        <v>0.20485845988518436</v>
      </c>
      <c r="X89" s="341">
        <f t="shared" si="296"/>
        <v>0.25641432912947248</v>
      </c>
      <c r="Y89" s="341">
        <f t="shared" si="296"/>
        <v>0.155706339500572</v>
      </c>
      <c r="Z89" s="341">
        <f t="shared" si="296"/>
        <v>-0.48815866682314268</v>
      </c>
      <c r="AA89" s="341">
        <f t="shared" si="296"/>
        <v>-7.548966726224593E-2</v>
      </c>
      <c r="AB89" s="341">
        <f t="shared" ref="AB89:AG89" si="297">AB88/Y88-1</f>
        <v>-9.3880848352448476E-2</v>
      </c>
      <c r="AC89" s="341">
        <f t="shared" si="297"/>
        <v>3.2971064337139255E-2</v>
      </c>
      <c r="AD89" s="341">
        <f t="shared" si="297"/>
        <v>-4.6073202971876559E-2</v>
      </c>
      <c r="AE89" s="341">
        <f t="shared" si="297"/>
        <v>3.0551125733013551E-2</v>
      </c>
      <c r="AF89" s="341">
        <f t="shared" si="297"/>
        <v>0.52326200834591252</v>
      </c>
      <c r="AG89" s="341">
        <f t="shared" si="297"/>
        <v>0.11221223038770689</v>
      </c>
      <c r="AH89" s="341">
        <f t="shared" ref="AH89" si="298">AH88/AE88-1</f>
        <v>0.10048738881442709</v>
      </c>
      <c r="AI89" s="341">
        <f t="shared" ref="AI89" si="299">AI88/AF88-1</f>
        <v>0.10867601200710975</v>
      </c>
      <c r="AJ89" s="341">
        <f t="shared" ref="AJ89:BI89" si="300">AJ88/AG88-1</f>
        <v>0.10290162652621082</v>
      </c>
      <c r="AK89" s="341">
        <f t="shared" si="300"/>
        <v>-1.9697288439607274E-2</v>
      </c>
      <c r="AL89" s="341">
        <f t="shared" si="300"/>
        <v>0.26105357236738391</v>
      </c>
      <c r="AM89" s="341">
        <f t="shared" si="300"/>
        <v>6.3509376046868571E-2</v>
      </c>
      <c r="AN89" s="341">
        <f t="shared" si="300"/>
        <v>7.5199349431882112E-2</v>
      </c>
      <c r="AO89" s="341">
        <f t="shared" si="300"/>
        <v>0.18785566881370763</v>
      </c>
      <c r="AP89" s="341">
        <f t="shared" si="300"/>
        <v>0.1147892843800129</v>
      </c>
      <c r="AQ89" s="341">
        <f t="shared" si="300"/>
        <v>0.15971259296609119</v>
      </c>
      <c r="AR89" s="341">
        <f t="shared" si="300"/>
        <v>8.800561551285413E-2</v>
      </c>
      <c r="AS89" s="341">
        <f t="shared" si="300"/>
        <v>0.13286152673461205</v>
      </c>
      <c r="AT89" s="341">
        <f t="shared" si="300"/>
        <v>0.374094202898551</v>
      </c>
      <c r="AU89" s="341">
        <f t="shared" si="300"/>
        <v>0.3145161290322569</v>
      </c>
      <c r="AV89" s="341">
        <f t="shared" si="300"/>
        <v>0.35266821345707644</v>
      </c>
      <c r="AW89" s="84">
        <f t="shared" si="300"/>
        <v>5.5372445616348021E-2</v>
      </c>
      <c r="AX89" s="84">
        <f t="shared" si="300"/>
        <v>0.10061349693251631</v>
      </c>
      <c r="AY89" s="84">
        <f t="shared" si="300"/>
        <v>7.1183533447684688E-2</v>
      </c>
      <c r="AZ89" s="84">
        <f t="shared" si="300"/>
        <v>6.5584009993753689E-2</v>
      </c>
      <c r="BA89" s="84">
        <f t="shared" si="300"/>
        <v>0.46711259754738088</v>
      </c>
      <c r="BB89" s="84">
        <f t="shared" si="300"/>
        <v>0.20976781425140123</v>
      </c>
      <c r="BC89" s="84">
        <f t="shared" si="300"/>
        <v>0.862250879249707</v>
      </c>
      <c r="BD89" s="84">
        <f t="shared" si="300"/>
        <v>0.45744680851063846</v>
      </c>
      <c r="BE89" s="84">
        <f t="shared" si="300"/>
        <v>0.68596955658504277</v>
      </c>
      <c r="BF89" s="84">
        <f t="shared" si="300"/>
        <v>-9.3799181617878591E-2</v>
      </c>
      <c r="BG89" s="84">
        <f t="shared" si="300"/>
        <v>0.33993743482794536</v>
      </c>
      <c r="BH89" s="84">
        <f t="shared" ref="BH89" si="301">BH88/BE88-1</f>
        <v>6.9479882237487578E-2</v>
      </c>
      <c r="BI89" s="84">
        <f t="shared" si="300"/>
        <v>0.14588398749565812</v>
      </c>
      <c r="BJ89" s="84">
        <f t="shared" ref="BJ89:BL89" si="302">BJ88/BG88-1</f>
        <v>-0.24241245136186773</v>
      </c>
      <c r="BK89" s="84">
        <f t="shared" si="302"/>
        <v>-3.7254542117819756E-2</v>
      </c>
      <c r="BL89" s="84">
        <f t="shared" si="302"/>
        <v>-0.19884813579872684</v>
      </c>
      <c r="BM89" s="84">
        <f t="shared" ref="BM89" si="303">BM88/BJ88-1</f>
        <v>-0.10374935798664664</v>
      </c>
      <c r="BN89" s="84">
        <f t="shared" ref="BN89:BO89" si="304">BN88/BK88-1</f>
        <v>-0.16355318337781177</v>
      </c>
      <c r="BO89" s="84">
        <f t="shared" si="304"/>
        <v>8.0211880438895378E-2</v>
      </c>
      <c r="BP89" s="84">
        <f>BP88/BM88-1</f>
        <v>1.3753581661891223E-2</v>
      </c>
      <c r="BQ89" s="84">
        <f>BQ88/BN88-1</f>
        <v>5.3783044667274238E-2</v>
      </c>
      <c r="BR89" s="1823">
        <f>BR88/BO88-1</f>
        <v>7.1103327495621427E-2</v>
      </c>
      <c r="BS89" s="84">
        <f t="shared" ref="BS89" si="305">BS88/BP88-1</f>
        <v>0.11590072985710176</v>
      </c>
      <c r="BT89" s="84">
        <f>BT88/BQ88-1</f>
        <v>8.8241434065141178E-2</v>
      </c>
      <c r="BU89" s="84">
        <f t="shared" ref="BU89" si="306">BU88/BR88-1</f>
        <v>1.5685993715301549E-2</v>
      </c>
      <c r="BV89" s="84">
        <f t="shared" ref="BV89" si="307">BV88/BS88-1</f>
        <v>1.4334063215961867E-2</v>
      </c>
      <c r="BW89" s="84">
        <f>BW88/BT88-1</f>
        <v>1.5155641145505827E-2</v>
      </c>
      <c r="BX89" s="84">
        <f t="shared" ref="BX89" si="308">BX88/BU88-1</f>
        <v>5.8356127846645789E-2</v>
      </c>
      <c r="BY89" s="84">
        <f t="shared" ref="BY89" si="309">BY88/BV88-1</f>
        <v>3.9612847889248126E-2</v>
      </c>
      <c r="BZ89" s="84">
        <f>BZ88/BW88-1</f>
        <v>5.1009225257999891E-2</v>
      </c>
      <c r="CA89" s="84">
        <f t="shared" ref="CA89" si="310">CA88/BX88-1</f>
        <v>4.789766020873043E-2</v>
      </c>
      <c r="CB89" s="84">
        <f t="shared" ref="CB89" si="311">CB88/BY88-1</f>
        <v>4.9177120905069982E-2</v>
      </c>
      <c r="CC89" s="84">
        <f>CC88/BZ88-1</f>
        <v>4.8393739101400657E-2</v>
      </c>
      <c r="CD89" s="86"/>
      <c r="CE89" s="86"/>
    </row>
    <row r="90" spans="1:83">
      <c r="A90" s="746"/>
      <c r="B90" s="349"/>
      <c r="C90" s="341"/>
      <c r="D90" s="349"/>
      <c r="E90" s="349"/>
      <c r="F90" s="807"/>
      <c r="G90" s="807"/>
      <c r="H90" s="807"/>
      <c r="I90" s="807"/>
      <c r="J90" s="349"/>
      <c r="K90" s="349"/>
      <c r="L90" s="341"/>
      <c r="M90" s="341"/>
      <c r="N90" s="341"/>
      <c r="O90" s="349"/>
      <c r="P90" s="349"/>
      <c r="Q90" s="349"/>
      <c r="R90" s="755"/>
      <c r="S90" s="755"/>
      <c r="T90" s="755"/>
      <c r="U90" s="349"/>
      <c r="V90" s="349"/>
      <c r="W90" s="349"/>
      <c r="X90" s="349"/>
      <c r="Y90" s="349"/>
      <c r="Z90" s="349"/>
      <c r="AA90" s="349"/>
      <c r="AB90" s="349"/>
      <c r="AC90" s="349"/>
      <c r="AD90" s="349"/>
      <c r="AE90" s="349"/>
      <c r="AF90" s="349"/>
      <c r="AG90" s="349"/>
      <c r="AH90" s="349"/>
      <c r="AI90" s="349"/>
      <c r="AJ90" s="349"/>
      <c r="AK90" s="349"/>
      <c r="AL90" s="349"/>
      <c r="AM90" s="349"/>
      <c r="AN90" s="349"/>
      <c r="AO90" s="349"/>
      <c r="AP90" s="349"/>
      <c r="AQ90" s="349"/>
      <c r="AR90" s="349"/>
      <c r="AS90" s="349"/>
      <c r="AT90" s="349"/>
      <c r="AU90" s="349"/>
      <c r="AV90" s="349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1832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</row>
    <row r="91" spans="1:83" collapsed="1">
      <c r="A91" s="746"/>
      <c r="B91" s="82" t="s">
        <v>639</v>
      </c>
      <c r="C91" s="99">
        <f t="shared" ref="C91:AG91" si="312">C88/C102*100</f>
        <v>10.852525350423416</v>
      </c>
      <c r="D91" s="99">
        <f>D88/D102*100</f>
        <v>9.1051047823750686</v>
      </c>
      <c r="E91" s="99">
        <f>F91-D91</f>
        <v>7.433793404677985</v>
      </c>
      <c r="F91" s="99">
        <f t="shared" si="312"/>
        <v>16.538898187053054</v>
      </c>
      <c r="G91" s="99">
        <f t="shared" si="312"/>
        <v>14.249943978409771</v>
      </c>
      <c r="H91" s="99">
        <f>I91-G91</f>
        <v>6.5569617786611261</v>
      </c>
      <c r="I91" s="99">
        <f t="shared" si="312"/>
        <v>20.806905757070897</v>
      </c>
      <c r="J91" s="99">
        <f t="shared" si="312"/>
        <v>18.280205979615396</v>
      </c>
      <c r="K91" s="99">
        <f t="shared" si="312"/>
        <v>7.0929138745308693</v>
      </c>
      <c r="L91" s="99">
        <f t="shared" si="312"/>
        <v>25.055034572378947</v>
      </c>
      <c r="M91" s="99">
        <f t="shared" si="312"/>
        <v>24.977453864669698</v>
      </c>
      <c r="N91" s="99">
        <f t="shared" si="312"/>
        <v>14.333861443180188</v>
      </c>
      <c r="O91" s="99">
        <f t="shared" si="312"/>
        <v>38.781506553363101</v>
      </c>
      <c r="P91" s="99">
        <f t="shared" si="312"/>
        <v>40.297857313176586</v>
      </c>
      <c r="Q91" s="99">
        <f t="shared" si="312"/>
        <v>21.692865550366395</v>
      </c>
      <c r="R91" s="99">
        <f t="shared" si="312"/>
        <v>61.828416296465036</v>
      </c>
      <c r="S91" s="99">
        <f t="shared" si="312"/>
        <v>55.32277637573889</v>
      </c>
      <c r="T91" s="99">
        <f>U91-S91</f>
        <v>32.940226568323929</v>
      </c>
      <c r="U91" s="99">
        <f t="shared" si="312"/>
        <v>88.263002944062819</v>
      </c>
      <c r="V91" s="99">
        <f>V88/V102*100</f>
        <v>70.471313664106063</v>
      </c>
      <c r="W91" s="99">
        <f t="shared" si="312"/>
        <v>39.40601934922956</v>
      </c>
      <c r="X91" s="99">
        <f t="shared" si="312"/>
        <v>109.74305851014631</v>
      </c>
      <c r="Y91" s="99">
        <f t="shared" si="312"/>
        <v>80.666715617886766</v>
      </c>
      <c r="Z91" s="99">
        <f t="shared" si="312"/>
        <v>20.22912801484231</v>
      </c>
      <c r="AA91" s="99">
        <f t="shared" si="312"/>
        <v>101.75788497217069</v>
      </c>
      <c r="AB91" s="99">
        <f t="shared" si="312"/>
        <v>80.670387666001488</v>
      </c>
      <c r="AC91" s="99">
        <f t="shared" si="312"/>
        <v>22.803749670992694</v>
      </c>
      <c r="AD91" s="99">
        <f t="shared" si="312"/>
        <v>105.93124253406489</v>
      </c>
      <c r="AE91" s="99">
        <f>AE88/AE102*100</f>
        <v>83.02394512953839</v>
      </c>
      <c r="AF91" s="99">
        <f>AG91-AE91</f>
        <v>34.67254773078281</v>
      </c>
      <c r="AG91" s="99">
        <f t="shared" si="312"/>
        <v>117.6964928603212</v>
      </c>
      <c r="AH91" s="99">
        <f>AH88/AH102*100</f>
        <v>90.535189807435941</v>
      </c>
      <c r="AI91" s="99">
        <f>AI88/AI102*100</f>
        <v>38.051512878219548</v>
      </c>
      <c r="AJ91" s="99">
        <f>AJ88/AJ102*100</f>
        <v>128.39109777444361</v>
      </c>
      <c r="AK91" s="99">
        <f>AK88/AK102*100</f>
        <v>89.443164828059977</v>
      </c>
      <c r="AL91" s="99">
        <f>AL88/AL102*100</f>
        <v>48.463450115165472</v>
      </c>
      <c r="AM91" s="99">
        <f t="shared" ref="AM91:BB91" si="313">AM88/AM102*100</f>
        <v>137.91497443979716</v>
      </c>
      <c r="AN91" s="99">
        <f>AN88/AN102*100</f>
        <v>96.138153908301334</v>
      </c>
      <c r="AO91" s="99">
        <f>AO88/AO102*100</f>
        <v>57.548980004039585</v>
      </c>
      <c r="AP91" s="99">
        <f t="shared" si="313"/>
        <v>153.7554558680892</v>
      </c>
      <c r="AQ91" s="99">
        <f>AQ88/AQ102*100</f>
        <v>102.31696014828545</v>
      </c>
      <c r="AR91" s="99">
        <f>AS91-AQ91</f>
        <v>52.025027318142477</v>
      </c>
      <c r="AS91" s="99">
        <f t="shared" si="313"/>
        <v>154.34198746642792</v>
      </c>
      <c r="AT91" s="99">
        <f>AT88/AT102*100</f>
        <v>132.25806451612905</v>
      </c>
      <c r="AU91" s="99">
        <f>AV91-AT91</f>
        <v>70.877823985613048</v>
      </c>
      <c r="AV91" s="99">
        <f>AV88/AV102*100</f>
        <v>203.1358885017421</v>
      </c>
      <c r="AW91" s="736">
        <f>AW88/AW102*100</f>
        <v>139.33855526544824</v>
      </c>
      <c r="AX91" s="736">
        <f>AY91-AW91</f>
        <v>78.067885117493461</v>
      </c>
      <c r="AY91" s="736">
        <f>AY88/AY102*100</f>
        <v>217.4064403829417</v>
      </c>
      <c r="AZ91" s="736">
        <f>AZ88/AZ102*100</f>
        <v>148.47693646649259</v>
      </c>
      <c r="BA91" s="736">
        <f>BB91-AZ91</f>
        <v>114.53437771975638</v>
      </c>
      <c r="BB91" s="736">
        <f t="shared" si="313"/>
        <v>263.01131418624897</v>
      </c>
      <c r="BC91" s="736">
        <f>BC88/BC102*100</f>
        <v>276.50130548302872</v>
      </c>
      <c r="BD91" s="736">
        <f>BE91-BC91</f>
        <v>167.31402552742423</v>
      </c>
      <c r="BE91" s="736">
        <f t="shared" ref="BE91:BW91" si="314">BE88/BE102*100</f>
        <v>443.81533101045295</v>
      </c>
      <c r="BF91" s="736">
        <f>BF88/BF102*100</f>
        <v>250.56570931244559</v>
      </c>
      <c r="BG91" s="736">
        <f>BH91-BF91</f>
        <v>228.67791425835472</v>
      </c>
      <c r="BH91" s="1145">
        <f t="shared" si="314"/>
        <v>479.24362357080031</v>
      </c>
      <c r="BI91" s="736">
        <f>BI88/BI102*100</f>
        <v>301.82982616651418</v>
      </c>
      <c r="BJ91" s="736">
        <f>BK91-BI91</f>
        <v>178.13357731015554</v>
      </c>
      <c r="BK91" s="1294">
        <f t="shared" ref="BK91" si="315">BK88/BK102*100</f>
        <v>479.96340347666973</v>
      </c>
      <c r="BL91" s="736">
        <f>BL88/BL102*100</f>
        <v>241.81152790484907</v>
      </c>
      <c r="BM91" s="736">
        <f>BN91-BL91</f>
        <v>159.65233302836225</v>
      </c>
      <c r="BN91" s="1539">
        <f t="shared" ref="BN91" si="316">BN88/BN102*100</f>
        <v>401.46386093321132</v>
      </c>
      <c r="BO91" s="1539">
        <f>BO88/BO102*100</f>
        <v>261.2076852698994</v>
      </c>
      <c r="BP91" s="736">
        <f>BQ91-BO91</f>
        <v>161.84812442817923</v>
      </c>
      <c r="BQ91" s="1539">
        <f t="shared" si="314"/>
        <v>423.05580969807863</v>
      </c>
      <c r="BR91" s="1831">
        <f>BR88/BR102*100</f>
        <v>279.78042086001824</v>
      </c>
      <c r="BS91" s="736">
        <f>BT91-BR91</f>
        <v>180.46335194445061</v>
      </c>
      <c r="BT91" s="736">
        <f t="shared" si="314"/>
        <v>460.24377280446885</v>
      </c>
      <c r="BU91" s="736">
        <f>BU88/BU102*100</f>
        <v>284.08073504443161</v>
      </c>
      <c r="BV91" s="736">
        <f>BW91-BU91</f>
        <v>183.13832722011557</v>
      </c>
      <c r="BW91" s="736">
        <f t="shared" si="314"/>
        <v>467.21906226454718</v>
      </c>
      <c r="BX91" s="736">
        <f>BX88/BX102*100</f>
        <v>300.65858673745356</v>
      </c>
      <c r="BY91" s="736">
        <f>BZ91-BX91</f>
        <v>190.39295791897746</v>
      </c>
      <c r="BZ91" s="736">
        <f t="shared" ref="BZ91" si="317">BZ88/BZ102*100</f>
        <v>491.05154465643102</v>
      </c>
      <c r="CA91" s="736">
        <f>CA88/CA102*100</f>
        <v>315.05942956384121</v>
      </c>
      <c r="CB91" s="736">
        <f>CC91-CA91</f>
        <v>199.75593543003293</v>
      </c>
      <c r="CC91" s="736">
        <f t="shared" ref="CC91" si="318">CC88/CC102*100</f>
        <v>514.81536499387414</v>
      </c>
      <c r="CD91" s="74"/>
      <c r="CE91" s="74"/>
    </row>
    <row r="92" spans="1:83">
      <c r="A92" s="746"/>
      <c r="B92" s="349"/>
      <c r="C92" s="341"/>
      <c r="D92" s="349"/>
      <c r="E92" s="349"/>
      <c r="F92" s="807"/>
      <c r="G92" s="349"/>
      <c r="H92" s="349"/>
      <c r="I92" s="807"/>
      <c r="J92" s="349"/>
      <c r="K92" s="349"/>
      <c r="L92" s="341"/>
      <c r="M92" s="349"/>
      <c r="N92" s="349"/>
      <c r="O92" s="349"/>
      <c r="P92" s="349"/>
      <c r="Q92" s="349"/>
      <c r="R92" s="755"/>
      <c r="S92" s="349"/>
      <c r="T92" s="349"/>
      <c r="U92" s="349"/>
      <c r="V92" s="349"/>
      <c r="W92" s="349"/>
      <c r="X92" s="349"/>
      <c r="Y92" s="349"/>
      <c r="Z92" s="349"/>
      <c r="AA92" s="349"/>
      <c r="AB92" s="349"/>
      <c r="AC92" s="349"/>
      <c r="AD92" s="349"/>
      <c r="AE92" s="349"/>
      <c r="AF92" s="349"/>
      <c r="AG92" s="349"/>
      <c r="AH92" s="349"/>
      <c r="AI92" s="349"/>
      <c r="AJ92" s="349"/>
      <c r="AK92" s="349"/>
      <c r="AL92" s="349"/>
      <c r="AM92" s="349"/>
      <c r="AN92" s="349"/>
      <c r="AO92" s="349"/>
      <c r="AP92" s="349"/>
      <c r="AQ92" s="349"/>
      <c r="AR92" s="349"/>
      <c r="AS92" s="349"/>
      <c r="AT92" s="349"/>
      <c r="AU92" s="349"/>
      <c r="AV92" s="349"/>
      <c r="AW92" s="74"/>
      <c r="AX92" s="74"/>
      <c r="AY92" s="577"/>
      <c r="AZ92" s="74"/>
      <c r="BA92" s="74"/>
      <c r="BB92" s="577"/>
      <c r="BC92" s="74"/>
      <c r="BD92" s="74"/>
      <c r="BE92" s="577"/>
      <c r="BF92" s="74"/>
      <c r="BG92" s="74"/>
      <c r="BH92" s="577"/>
      <c r="BI92" s="74"/>
      <c r="BJ92" s="74"/>
      <c r="BK92" s="577"/>
      <c r="BL92" s="74"/>
      <c r="BM92" s="74"/>
      <c r="BN92" s="577"/>
      <c r="BO92" s="74"/>
      <c r="BP92" s="74"/>
      <c r="BQ92" s="577"/>
      <c r="BR92" s="1832"/>
      <c r="BS92" s="74"/>
      <c r="BT92" s="577"/>
      <c r="BU92" s="74"/>
      <c r="BV92" s="74"/>
      <c r="BW92" s="577"/>
      <c r="BX92" s="74"/>
      <c r="BY92" s="74"/>
      <c r="BZ92" s="577"/>
      <c r="CA92" s="74"/>
      <c r="CB92" s="74"/>
      <c r="CC92" s="577"/>
      <c r="CD92" s="74"/>
      <c r="CE92" s="74"/>
    </row>
    <row r="93" spans="1:83" collapsed="1">
      <c r="A93" s="746" t="s">
        <v>300</v>
      </c>
      <c r="B93" s="82" t="s">
        <v>640</v>
      </c>
      <c r="C93" s="98">
        <f t="shared" ref="C93:AS93" si="319">C88/C103*100</f>
        <v>10.768768407765824</v>
      </c>
      <c r="D93" s="99">
        <f t="shared" si="319"/>
        <v>8.9252015045674362</v>
      </c>
      <c r="E93" s="99">
        <f t="shared" si="319"/>
        <v>5.5930535455861063</v>
      </c>
      <c r="F93" s="98">
        <f t="shared" si="319"/>
        <v>16.360057887120117</v>
      </c>
      <c r="G93" s="99">
        <f t="shared" si="319"/>
        <v>14.032562914352054</v>
      </c>
      <c r="H93" s="99">
        <f>H88/G103*100</f>
        <v>6.7802626908058174</v>
      </c>
      <c r="I93" s="98">
        <f t="shared" si="319"/>
        <v>20.489499083748282</v>
      </c>
      <c r="J93" s="99">
        <f t="shared" si="319"/>
        <v>17.909228240525216</v>
      </c>
      <c r="K93" s="99">
        <f>K88/K103*100</f>
        <v>6.9489705756605487</v>
      </c>
      <c r="L93" s="98">
        <f>L88/L103*100</f>
        <v>24.546568743883785</v>
      </c>
      <c r="M93" s="99">
        <f t="shared" ref="M93:N93" si="320">M88/M103*100</f>
        <v>24.32509456309938</v>
      </c>
      <c r="N93" s="99">
        <f t="shared" si="320"/>
        <v>14.075848152827811</v>
      </c>
      <c r="O93" s="98">
        <f>O88/O103*100</f>
        <v>38.083429196447092</v>
      </c>
      <c r="P93" s="99">
        <f t="shared" ref="P93:Q93" si="321">P88/P103*100</f>
        <v>39.541705374600596</v>
      </c>
      <c r="Q93" s="99">
        <f t="shared" si="321"/>
        <v>21.307165167125071</v>
      </c>
      <c r="R93" s="98">
        <f t="shared" si="319"/>
        <v>60.729103538296577</v>
      </c>
      <c r="S93" s="99">
        <f t="shared" si="319"/>
        <v>54.912533324300071</v>
      </c>
      <c r="T93" s="99">
        <f t="shared" si="319"/>
        <v>32.81184756284275</v>
      </c>
      <c r="U93" s="99">
        <f t="shared" si="319"/>
        <v>87.629095565515129</v>
      </c>
      <c r="V93" s="99">
        <f t="shared" si="319"/>
        <v>69.390986925181522</v>
      </c>
      <c r="W93" s="99">
        <f t="shared" si="319"/>
        <v>38.932497509891903</v>
      </c>
      <c r="X93" s="99">
        <f t="shared" si="319"/>
        <v>108.42433269671854</v>
      </c>
      <c r="Y93" s="99">
        <f t="shared" si="319"/>
        <v>80.061944887269405</v>
      </c>
      <c r="Z93" s="99">
        <f t="shared" si="319"/>
        <v>20.099358501695924</v>
      </c>
      <c r="AA93" s="99">
        <f t="shared" si="319"/>
        <v>101.1051098658015</v>
      </c>
      <c r="AB93" s="99">
        <f t="shared" si="319"/>
        <v>80.494263910648399</v>
      </c>
      <c r="AC93" s="99">
        <f t="shared" si="319"/>
        <v>22.789907124501735</v>
      </c>
      <c r="AD93" s="99">
        <f t="shared" si="319"/>
        <v>105.86693915541976</v>
      </c>
      <c r="AE93" s="99">
        <f t="shared" si="319"/>
        <v>83.018066317344065</v>
      </c>
      <c r="AF93" s="99">
        <f>AG93-AE93</f>
        <v>34.005050129620855</v>
      </c>
      <c r="AG93" s="99">
        <f t="shared" si="319"/>
        <v>117.02311644696492</v>
      </c>
      <c r="AH93" s="99">
        <f>AH88/AH103*100</f>
        <v>89.239874712223482</v>
      </c>
      <c r="AI93" s="99">
        <f>AJ93-AH93</f>
        <v>37.645980508662049</v>
      </c>
      <c r="AJ93" s="99">
        <f>AJ88/AJ103*100</f>
        <v>126.88585522088553</v>
      </c>
      <c r="AK93" s="99">
        <f>AK88/AK103*100</f>
        <v>88.418634842962007</v>
      </c>
      <c r="AL93" s="99">
        <f>AM93-AK93</f>
        <v>48.041874768481762</v>
      </c>
      <c r="AM93" s="99">
        <f t="shared" si="319"/>
        <v>136.46050961144377</v>
      </c>
      <c r="AN93" s="99">
        <f>AN88/AN103*100</f>
        <v>95.166498385500475</v>
      </c>
      <c r="AO93" s="99">
        <f>AO88/AO103*100</f>
        <v>56.967340124561382</v>
      </c>
      <c r="AP93" s="99">
        <f t="shared" si="319"/>
        <v>152.1247138558733</v>
      </c>
      <c r="AQ93" s="99">
        <f>AQ88/AQ103*100</f>
        <v>101.37741046831954</v>
      </c>
      <c r="AR93" s="99">
        <f>AS93-AQ93</f>
        <v>51.595082876844572</v>
      </c>
      <c r="AS93" s="99">
        <f t="shared" si="319"/>
        <v>152.97249334516411</v>
      </c>
      <c r="AT93" s="99">
        <f>AT88/AT103*100</f>
        <v>131.00172711571679</v>
      </c>
      <c r="AU93" s="99">
        <f>AV93-AT93</f>
        <v>70.206210761763742</v>
      </c>
      <c r="AV93" s="99">
        <f t="shared" ref="AV93:BQ93" si="322">AV88/AV103*100</f>
        <v>201.20793787748053</v>
      </c>
      <c r="AW93" s="736">
        <f>AW88/AW103*100</f>
        <v>138.01724137931038</v>
      </c>
      <c r="AX93" s="736">
        <f>AY93-AW93</f>
        <v>77.142104012593165</v>
      </c>
      <c r="AY93" s="736">
        <f t="shared" si="322"/>
        <v>215.15934539190354</v>
      </c>
      <c r="AZ93" s="736">
        <f>AZ88/AZ103*100</f>
        <v>147.45030250648227</v>
      </c>
      <c r="BA93" s="736">
        <f>BB93-AZ93</f>
        <v>113.06693887282813</v>
      </c>
      <c r="BB93" s="736">
        <f t="shared" si="322"/>
        <v>260.51724137931041</v>
      </c>
      <c r="BC93" s="736">
        <f>BC88/BC103*100</f>
        <v>274.58945548833185</v>
      </c>
      <c r="BD93" s="736">
        <f>BE93-BC93</f>
        <v>166.15448914834633</v>
      </c>
      <c r="BE93" s="736">
        <f>BE88/BE103*100</f>
        <v>440.74394463667818</v>
      </c>
      <c r="BF93" s="736">
        <f>BF88/BF103*100</f>
        <v>249.4800693240901</v>
      </c>
      <c r="BG93" s="736">
        <f>BH93-BF93</f>
        <v>227.66528969517435</v>
      </c>
      <c r="BH93" s="1145">
        <f>BH88/BH103*100</f>
        <v>477.14535901926445</v>
      </c>
      <c r="BI93" s="736">
        <f>BI88/BI103*100</f>
        <v>300.72926162260705</v>
      </c>
      <c r="BJ93" s="736">
        <f>BK93-BI93</f>
        <v>177.04851615517072</v>
      </c>
      <c r="BK93" s="1294">
        <f>BK88/BK103*100</f>
        <v>477.77777777777777</v>
      </c>
      <c r="BL93" s="736">
        <f>BL88/BL103*100</f>
        <v>240.71038251366122</v>
      </c>
      <c r="BM93" s="736">
        <f>BN93-BL93</f>
        <v>160.02021109364466</v>
      </c>
      <c r="BN93" s="1539">
        <f>BN88/BN103*100</f>
        <v>400.73059360730588</v>
      </c>
      <c r="BO93" s="1539">
        <f>BO88/BO103*100</f>
        <v>260.25524156791255</v>
      </c>
      <c r="BP93" s="736">
        <f>BQ93-BO93</f>
        <v>161.25797629899716</v>
      </c>
      <c r="BQ93" s="1539">
        <f t="shared" si="322"/>
        <v>421.51321786690971</v>
      </c>
      <c r="BR93" s="1831">
        <f>BR88/BR103*100</f>
        <v>279.01459854014593</v>
      </c>
      <c r="BS93" s="736">
        <f>BT93-BR93</f>
        <v>179.55150334193303</v>
      </c>
      <c r="BT93" s="736">
        <f>BT88/BT103*100</f>
        <v>458.56610188207895</v>
      </c>
      <c r="BU93" s="736">
        <f>BU88/BU103*100</f>
        <v>283.04520992283983</v>
      </c>
      <c r="BV93" s="736">
        <f>BW93-BU93</f>
        <v>182.47075524085739</v>
      </c>
      <c r="BW93" s="736">
        <f>BW88/BW103*100</f>
        <v>465.51596516369722</v>
      </c>
      <c r="BX93" s="736">
        <f>BX88/BX103*100</f>
        <v>299.5626323794778</v>
      </c>
      <c r="BY93" s="736">
        <f>BZ93-BX93</f>
        <v>189.69894151244972</v>
      </c>
      <c r="BZ93" s="736">
        <f>BZ88/BZ103*100</f>
        <v>489.26157389192753</v>
      </c>
      <c r="CA93" s="736">
        <f>CA88/CA103*100</f>
        <v>313.91098155642283</v>
      </c>
      <c r="CB93" s="736">
        <f>CC93-CA93</f>
        <v>199.02778929477142</v>
      </c>
      <c r="CC93" s="736">
        <f>CC88/CC103*100</f>
        <v>512.93877085119425</v>
      </c>
      <c r="CD93" s="74"/>
      <c r="CE93" s="74"/>
    </row>
    <row r="94" spans="1:83">
      <c r="A94" s="746"/>
      <c r="B94" s="787" t="s">
        <v>301</v>
      </c>
      <c r="C94" s="341"/>
      <c r="D94" s="341"/>
      <c r="E94" s="341"/>
      <c r="F94" s="341">
        <f t="shared" ref="F94:Q94" si="323">F93/C93-1</f>
        <v>0.51921345762456661</v>
      </c>
      <c r="G94" s="341">
        <f t="shared" si="323"/>
        <v>0.57224045946424251</v>
      </c>
      <c r="H94" s="341">
        <f t="shared" si="323"/>
        <v>0.21226493462710105</v>
      </c>
      <c r="I94" s="341">
        <f t="shared" si="323"/>
        <v>0.25240993797944777</v>
      </c>
      <c r="J94" s="341">
        <f t="shared" si="323"/>
        <v>0.27626210192923728</v>
      </c>
      <c r="K94" s="341">
        <f t="shared" si="323"/>
        <v>2.4882204797684659E-2</v>
      </c>
      <c r="L94" s="341">
        <f t="shared" si="323"/>
        <v>0.19800726428463356</v>
      </c>
      <c r="M94" s="341">
        <f t="shared" si="323"/>
        <v>0.35824359578243947</v>
      </c>
      <c r="N94" s="341">
        <f t="shared" si="323"/>
        <v>1.0256019218342716</v>
      </c>
      <c r="O94" s="341">
        <f t="shared" si="323"/>
        <v>0.5514766888115985</v>
      </c>
      <c r="P94" s="341">
        <f t="shared" si="323"/>
        <v>0.6255519694704279</v>
      </c>
      <c r="Q94" s="341">
        <f t="shared" si="323"/>
        <v>0.51373934528019904</v>
      </c>
      <c r="R94" s="341">
        <f t="shared" ref="R94:AD94" si="324">R93/O93-1</f>
        <v>0.59463327803374821</v>
      </c>
      <c r="S94" s="341">
        <f>S93/P93-1</f>
        <v>0.38872445697733715</v>
      </c>
      <c r="T94" s="341">
        <f>T93/Q93-1</f>
        <v>0.53994430068380517</v>
      </c>
      <c r="U94" s="341">
        <f t="shared" si="324"/>
        <v>0.44295058645571905</v>
      </c>
      <c r="V94" s="341">
        <f>V93/S93-1</f>
        <v>0.2636639164938035</v>
      </c>
      <c r="W94" s="341">
        <f>W93/T93-1</f>
        <v>0.18653780270454456</v>
      </c>
      <c r="X94" s="341">
        <f t="shared" si="324"/>
        <v>0.23730973139687417</v>
      </c>
      <c r="Y94" s="341">
        <f>Y93/V93-1</f>
        <v>0.15378017282840317</v>
      </c>
      <c r="Z94" s="341">
        <f>Z93/W93-1</f>
        <v>-0.48373827041049411</v>
      </c>
      <c r="AA94" s="341">
        <f t="shared" si="324"/>
        <v>-6.7505352801111251E-2</v>
      </c>
      <c r="AB94" s="341">
        <f>AB93/Y93-1</f>
        <v>5.3998066620504215E-3</v>
      </c>
      <c r="AC94" s="341">
        <f>AC93/Z93-1</f>
        <v>0.13386241270231536</v>
      </c>
      <c r="AD94" s="341">
        <f t="shared" si="324"/>
        <v>4.7097810347456415E-2</v>
      </c>
      <c r="AE94" s="341">
        <f>AE93/AB93-1</f>
        <v>3.1353816832180526E-2</v>
      </c>
      <c r="AF94" s="341">
        <f>AF93/AC93-1</f>
        <v>0.49211007942465779</v>
      </c>
      <c r="AG94" s="341">
        <f t="shared" ref="AG94" si="325">AG93/AD93-1</f>
        <v>0.1053792371872313</v>
      </c>
      <c r="AH94" s="341">
        <f>AH93/AE93-1</f>
        <v>7.494523386145846E-2</v>
      </c>
      <c r="AI94" s="341">
        <f>AI93/AF93-1</f>
        <v>0.10707028412434783</v>
      </c>
      <c r="AJ94" s="341">
        <f t="shared" ref="AJ94" si="326">AJ93/AG93-1</f>
        <v>8.4280260801210316E-2</v>
      </c>
      <c r="AK94" s="341">
        <f>AK93/AH93-1</f>
        <v>-9.2026111859723203E-3</v>
      </c>
      <c r="AL94" s="341">
        <f>AL93/AI93-1</f>
        <v>0.27614885093583097</v>
      </c>
      <c r="AM94" s="341">
        <f t="shared" ref="AM94" si="327">AM93/AJ93-1</f>
        <v>7.5458800146718241E-2</v>
      </c>
      <c r="AN94" s="341">
        <f>AN93/AK93-1</f>
        <v>7.6317210218447284E-2</v>
      </c>
      <c r="AO94" s="341">
        <f>AO93/AL93-1</f>
        <v>0.18578511765188721</v>
      </c>
      <c r="AP94" s="341">
        <f t="shared" ref="AP94" si="328">AP93/AM93-1</f>
        <v>0.11478928438001312</v>
      </c>
      <c r="AQ94" s="341">
        <f>AQ93/AN93-1</f>
        <v>6.5263639917273242E-2</v>
      </c>
      <c r="AR94" s="341">
        <f>AR93/AO93-1</f>
        <v>-9.4304161576969414E-2</v>
      </c>
      <c r="AS94" s="341">
        <f t="shared" ref="AS94" si="329">AS93/AP93-1</f>
        <v>5.572924134431112E-3</v>
      </c>
      <c r="AT94" s="341">
        <f>AT93/AQ93-1</f>
        <v>0.29221812345122844</v>
      </c>
      <c r="AU94" s="341">
        <f>AU93/AR93-1</f>
        <v>0.36071514662246407</v>
      </c>
      <c r="AV94" s="341">
        <f t="shared" ref="AV94" si="330">AV93/AS93-1</f>
        <v>0.31532103241253262</v>
      </c>
      <c r="AW94" s="84">
        <f>AW93/AT93-1</f>
        <v>5.3552837951492238E-2</v>
      </c>
      <c r="AX94" s="84">
        <f>AX93/AU93-1</f>
        <v>9.8793157693206624E-2</v>
      </c>
      <c r="AY94" s="84">
        <f t="shared" ref="AY94" si="331">AY93/AV93-1</f>
        <v>6.9338256042951407E-2</v>
      </c>
      <c r="AZ94" s="84">
        <f>AZ93/AW93-1</f>
        <v>6.8346976311801422E-2</v>
      </c>
      <c r="BA94" s="84">
        <f>BA93/AX93-1</f>
        <v>0.46569685024886498</v>
      </c>
      <c r="BB94" s="84">
        <f t="shared" ref="BB94" si="332">BB93/AY93-1</f>
        <v>0.21081071753954905</v>
      </c>
      <c r="BC94" s="84">
        <f>BC93/AZ93-1</f>
        <v>0.86225087924970678</v>
      </c>
      <c r="BD94" s="84">
        <f>BD93/BA93-1</f>
        <v>0.46952319400128406</v>
      </c>
      <c r="BE94" s="84">
        <f t="shared" ref="BE94" si="333">BE93/BB93-1</f>
        <v>0.69180336127910835</v>
      </c>
      <c r="BF94" s="84">
        <f>BF93/BC93-1</f>
        <v>-9.1443373597820954E-2</v>
      </c>
      <c r="BG94" s="84">
        <f>BG93/BD93-1</f>
        <v>0.37020245954299713</v>
      </c>
      <c r="BH94" s="84">
        <f t="shared" ref="BH94" si="334">BH93/BE93-1</f>
        <v>8.2590844016231069E-2</v>
      </c>
      <c r="BI94" s="84">
        <f>BI93/BF93-1</f>
        <v>0.20542399413855006</v>
      </c>
      <c r="BJ94" s="84">
        <f t="shared" ref="BJ94:BW94" si="335">BJ93/BG93-1</f>
        <v>-0.22232977898288953</v>
      </c>
      <c r="BK94" s="84">
        <f t="shared" si="335"/>
        <v>1.3254215860198926E-3</v>
      </c>
      <c r="BL94" s="84">
        <f>BL93/BI93-1</f>
        <v>-0.19957778230528522</v>
      </c>
      <c r="BM94" s="84">
        <f t="shared" ref="BM94" si="336">BM93/BJ93-1</f>
        <v>-9.6178750499111398E-2</v>
      </c>
      <c r="BN94" s="84">
        <f t="shared" ref="BN94" si="337">BN93/BK93-1</f>
        <v>-0.16126154826377836</v>
      </c>
      <c r="BO94" s="84">
        <f>BO93/BL93-1</f>
        <v>8.119657677475578E-2</v>
      </c>
      <c r="BP94" s="84">
        <f>BP93/BM93-1</f>
        <v>7.7350554463908594E-3</v>
      </c>
      <c r="BQ94" s="84">
        <f>BQ93/BN93-1</f>
        <v>5.186183583469961E-2</v>
      </c>
      <c r="BR94" s="1823">
        <f>BR93/BO93-1</f>
        <v>7.2080611553555274E-2</v>
      </c>
      <c r="BS94" s="84">
        <f t="shared" si="335"/>
        <v>0.11344261823686064</v>
      </c>
      <c r="BT94" s="84">
        <f t="shared" si="335"/>
        <v>8.7904441532527411E-2</v>
      </c>
      <c r="BU94" s="84">
        <f t="shared" si="335"/>
        <v>1.4445879906581194E-2</v>
      </c>
      <c r="BV94" s="84">
        <f t="shared" si="335"/>
        <v>1.6258576757026688E-2</v>
      </c>
      <c r="BW94" s="84">
        <f t="shared" si="335"/>
        <v>1.5155641145505827E-2</v>
      </c>
      <c r="BX94" s="84">
        <f t="shared" ref="BX94" si="338">BX93/BU93-1</f>
        <v>5.8356127846646011E-2</v>
      </c>
      <c r="BY94" s="84">
        <f t="shared" ref="BY94" si="339">BY93/BV93-1</f>
        <v>3.9612847889248348E-2</v>
      </c>
      <c r="BZ94" s="84">
        <f t="shared" ref="BZ94" si="340">BZ93/BW93-1</f>
        <v>5.1009225257999891E-2</v>
      </c>
      <c r="CA94" s="84">
        <f t="shared" ref="CA94" si="341">CA93/BX93-1</f>
        <v>4.7897660208730208E-2</v>
      </c>
      <c r="CB94" s="84">
        <f t="shared" ref="CB94" si="342">CB93/BY93-1</f>
        <v>4.917712090507087E-2</v>
      </c>
      <c r="CC94" s="84">
        <f t="shared" ref="CC94" si="343">CC93/BZ93-1</f>
        <v>4.8393739101400879E-2</v>
      </c>
      <c r="CD94" s="86"/>
      <c r="CE94" s="86"/>
    </row>
    <row r="95" spans="1:83">
      <c r="A95" s="746"/>
      <c r="B95" s="787"/>
      <c r="C95" s="788"/>
      <c r="D95" s="789"/>
      <c r="E95" s="789"/>
      <c r="F95" s="788"/>
      <c r="G95" s="788"/>
      <c r="H95" s="788"/>
      <c r="I95" s="789"/>
      <c r="J95" s="789"/>
      <c r="K95" s="789"/>
      <c r="L95" s="789"/>
      <c r="M95" s="789"/>
      <c r="N95" s="789"/>
      <c r="O95" s="789"/>
      <c r="P95" s="789"/>
      <c r="Q95" s="789"/>
      <c r="R95" s="789"/>
      <c r="S95" s="789"/>
      <c r="T95" s="789"/>
      <c r="U95" s="789"/>
      <c r="V95" s="789"/>
      <c r="W95" s="789"/>
      <c r="X95" s="789"/>
      <c r="Y95" s="789"/>
      <c r="Z95" s="789"/>
      <c r="AA95" s="789"/>
      <c r="AB95" s="789"/>
      <c r="AC95" s="789"/>
      <c r="AD95" s="789"/>
      <c r="AE95" s="789"/>
      <c r="AF95" s="789"/>
      <c r="AG95" s="790"/>
      <c r="AH95" s="789"/>
      <c r="AI95" s="789"/>
      <c r="AJ95" s="789"/>
      <c r="AK95" s="789"/>
      <c r="AL95" s="789"/>
      <c r="AM95" s="789"/>
      <c r="AN95" s="789"/>
      <c r="AO95" s="789"/>
      <c r="AP95" s="789"/>
      <c r="AQ95" s="789"/>
      <c r="AR95" s="789"/>
      <c r="AS95" s="789"/>
      <c r="AT95" s="789"/>
      <c r="AU95" s="789"/>
      <c r="AV95" s="789"/>
      <c r="AW95" s="100"/>
      <c r="AX95" s="100"/>
      <c r="AY95" s="100"/>
      <c r="AZ95" s="100"/>
      <c r="BA95" s="100"/>
      <c r="BB95" s="100"/>
      <c r="BC95" s="100"/>
      <c r="BD95" s="100"/>
      <c r="BE95" s="572">
        <f>506.1-BE88</f>
        <v>-3.3999999999999773</v>
      </c>
      <c r="BF95" s="100"/>
      <c r="BG95" s="100"/>
      <c r="BH95" s="572">
        <f>544.9-BH88</f>
        <v>0</v>
      </c>
      <c r="BI95" s="100"/>
      <c r="BJ95" s="572"/>
      <c r="BK95" s="789"/>
      <c r="BL95" s="100"/>
      <c r="BM95" s="572"/>
      <c r="BN95" s="789"/>
      <c r="BO95" s="100"/>
      <c r="BP95" s="100"/>
      <c r="BQ95" s="100"/>
      <c r="BR95" s="1833"/>
      <c r="BS95" s="100"/>
      <c r="BT95" s="100"/>
      <c r="BU95" s="100"/>
      <c r="BV95" s="100"/>
      <c r="BW95" s="100"/>
      <c r="BX95" s="100"/>
      <c r="BY95" s="100"/>
      <c r="BZ95" s="100"/>
      <c r="CA95" s="100"/>
      <c r="CB95" s="100"/>
      <c r="CC95" s="100"/>
      <c r="CD95" s="101"/>
      <c r="CE95" s="74"/>
    </row>
    <row r="96" spans="1:83">
      <c r="A96" s="746"/>
      <c r="B96" s="791"/>
      <c r="C96" s="792"/>
      <c r="D96" s="793"/>
      <c r="E96" s="793"/>
      <c r="F96" s="792"/>
      <c r="G96" s="792"/>
      <c r="H96" s="792"/>
      <c r="I96" s="792"/>
      <c r="J96" s="792"/>
      <c r="K96" s="792"/>
      <c r="L96" s="792"/>
      <c r="M96" s="792"/>
      <c r="N96" s="792"/>
      <c r="O96" s="792"/>
      <c r="P96" s="792"/>
      <c r="Q96" s="792"/>
      <c r="R96" s="792"/>
      <c r="S96" s="793"/>
      <c r="T96" s="793"/>
      <c r="U96" s="792"/>
      <c r="V96" s="792"/>
      <c r="W96" s="792"/>
      <c r="X96" s="792"/>
      <c r="Y96" s="792"/>
      <c r="Z96" s="792"/>
      <c r="AA96" s="792"/>
      <c r="AB96" s="792"/>
      <c r="AC96" s="792"/>
      <c r="AD96" s="793"/>
      <c r="AE96" s="792"/>
      <c r="AF96" s="793"/>
      <c r="AG96" s="794"/>
      <c r="AH96" s="793"/>
      <c r="AI96" s="793"/>
      <c r="AJ96" s="793"/>
      <c r="AK96" s="793"/>
      <c r="AL96" s="793"/>
      <c r="AM96" s="793"/>
      <c r="AN96" s="793"/>
      <c r="AO96" s="793"/>
      <c r="AP96" s="793"/>
      <c r="AQ96" s="793"/>
      <c r="AR96" s="793"/>
      <c r="AS96" s="793"/>
      <c r="AT96" s="793"/>
      <c r="AU96" s="793"/>
      <c r="AV96" s="793"/>
      <c r="AW96" s="573"/>
      <c r="AX96" s="573"/>
      <c r="AY96" s="573"/>
      <c r="AZ96" s="573"/>
      <c r="BA96" s="573"/>
      <c r="BB96" s="573"/>
      <c r="BC96" s="573"/>
      <c r="BD96" s="573"/>
      <c r="BE96" s="573"/>
      <c r="BF96" s="573"/>
      <c r="BG96" s="573"/>
      <c r="BH96" s="573"/>
      <c r="BI96" s="573"/>
      <c r="BJ96" s="573"/>
      <c r="BK96" s="792"/>
      <c r="BL96" s="573"/>
      <c r="BM96" s="573"/>
      <c r="BN96" s="792"/>
      <c r="BO96" s="573"/>
      <c r="BP96" s="103"/>
      <c r="BQ96" s="103"/>
      <c r="BR96" s="1834"/>
      <c r="BS96" s="103"/>
      <c r="BT96" s="103"/>
      <c r="BU96" s="103"/>
      <c r="BV96" s="103"/>
      <c r="BW96" s="103"/>
      <c r="BX96" s="103"/>
      <c r="BY96" s="103"/>
      <c r="BZ96" s="103"/>
      <c r="CA96" s="103"/>
      <c r="CB96" s="103"/>
      <c r="CC96" s="103"/>
      <c r="CD96" s="104"/>
      <c r="CE96" s="105"/>
    </row>
    <row r="97" spans="1:83">
      <c r="A97" s="746"/>
      <c r="B97" s="791"/>
      <c r="C97" s="792"/>
      <c r="D97" s="793"/>
      <c r="E97" s="793"/>
      <c r="F97" s="792"/>
      <c r="G97" s="792"/>
      <c r="H97" s="792"/>
      <c r="I97" s="792"/>
      <c r="J97" s="792"/>
      <c r="K97" s="792"/>
      <c r="L97" s="792"/>
      <c r="M97" s="792"/>
      <c r="N97" s="792"/>
      <c r="O97" s="792"/>
      <c r="P97" s="792"/>
      <c r="Q97" s="792"/>
      <c r="R97" s="792"/>
      <c r="S97" s="793"/>
      <c r="T97" s="793"/>
      <c r="U97" s="792"/>
      <c r="V97" s="792"/>
      <c r="W97" s="792"/>
      <c r="X97" s="792"/>
      <c r="Y97" s="792"/>
      <c r="Z97" s="792"/>
      <c r="AA97" s="792"/>
      <c r="AB97" s="792"/>
      <c r="AC97" s="792"/>
      <c r="AD97" s="793"/>
      <c r="AE97" s="792"/>
      <c r="AF97" s="793"/>
      <c r="AG97" s="794"/>
      <c r="AH97" s="793"/>
      <c r="AI97" s="793"/>
      <c r="AJ97" s="793"/>
      <c r="AK97" s="793"/>
      <c r="AL97" s="793"/>
      <c r="AM97" s="793"/>
      <c r="AN97" s="793"/>
      <c r="AO97" s="793"/>
      <c r="AP97" s="793"/>
      <c r="AQ97" s="793"/>
      <c r="AR97" s="793"/>
      <c r="AS97" s="793"/>
      <c r="AT97" s="793"/>
      <c r="AU97" s="793"/>
      <c r="AV97" s="793"/>
      <c r="AW97" s="573"/>
      <c r="AX97" s="573"/>
      <c r="AY97" s="573"/>
      <c r="AZ97" s="573"/>
      <c r="BA97" s="573"/>
      <c r="BB97" s="573"/>
      <c r="BC97" s="573"/>
      <c r="BD97" s="573"/>
      <c r="BE97" s="573"/>
      <c r="BF97" s="573"/>
      <c r="BG97" s="573"/>
      <c r="BH97" s="573"/>
      <c r="BI97" s="573"/>
      <c r="BJ97" s="573"/>
      <c r="BK97" s="792"/>
      <c r="BL97" s="573"/>
      <c r="BM97" s="573"/>
      <c r="BN97" s="792"/>
      <c r="BO97" s="573"/>
      <c r="BP97" s="103"/>
      <c r="BQ97" s="103"/>
      <c r="BR97" s="1834"/>
      <c r="BS97" s="103"/>
      <c r="BT97" s="103"/>
      <c r="BU97" s="103"/>
      <c r="BV97" s="103"/>
      <c r="BW97" s="103"/>
      <c r="BX97" s="103"/>
      <c r="BY97" s="103"/>
      <c r="BZ97" s="103"/>
      <c r="CA97" s="103"/>
      <c r="CB97" s="103"/>
      <c r="CC97" s="103"/>
      <c r="CD97" s="104"/>
      <c r="CE97" s="105"/>
    </row>
    <row r="98" spans="1:83">
      <c r="A98" s="746"/>
      <c r="B98" s="787"/>
      <c r="C98" s="341"/>
      <c r="D98" s="795"/>
      <c r="E98" s="795"/>
      <c r="F98" s="341"/>
      <c r="G98" s="341"/>
      <c r="H98" s="341"/>
      <c r="I98" s="341"/>
      <c r="J98" s="341"/>
      <c r="K98" s="341"/>
      <c r="L98" s="341"/>
      <c r="M98" s="341"/>
      <c r="N98" s="341"/>
      <c r="O98" s="341"/>
      <c r="P98" s="341"/>
      <c r="Q98" s="341"/>
      <c r="R98" s="341"/>
      <c r="S98" s="795"/>
      <c r="T98" s="795"/>
      <c r="U98" s="341"/>
      <c r="V98" s="341"/>
      <c r="W98" s="341"/>
      <c r="X98" s="341"/>
      <c r="Y98" s="341"/>
      <c r="Z98" s="341"/>
      <c r="AA98" s="341"/>
      <c r="AB98" s="341"/>
      <c r="AC98" s="341"/>
      <c r="AD98" s="755"/>
      <c r="AE98" s="341"/>
      <c r="AF98" s="755"/>
      <c r="AG98" s="796"/>
      <c r="AH98" s="795"/>
      <c r="AI98" s="795"/>
      <c r="AJ98" s="795"/>
      <c r="AK98" s="795"/>
      <c r="AL98" s="795"/>
      <c r="AM98" s="795"/>
      <c r="AN98" s="795"/>
      <c r="AO98" s="795"/>
      <c r="AP98" s="795"/>
      <c r="AQ98" s="795"/>
      <c r="AR98" s="795"/>
      <c r="AS98" s="795"/>
      <c r="AT98" s="795"/>
      <c r="AU98" s="795"/>
      <c r="AV98" s="795"/>
      <c r="AW98" s="574"/>
      <c r="AX98" s="574"/>
      <c r="AY98" s="574"/>
      <c r="AZ98" s="574"/>
      <c r="BA98" s="574"/>
      <c r="BB98" s="574"/>
      <c r="BC98" s="574"/>
      <c r="BD98" s="574"/>
      <c r="BE98" s="574"/>
      <c r="BF98" s="574"/>
      <c r="BG98" s="574"/>
      <c r="BH98" s="574"/>
      <c r="BI98" s="574"/>
      <c r="BJ98" s="574"/>
      <c r="BK98" s="341"/>
      <c r="BL98" s="574"/>
      <c r="BM98" s="574"/>
      <c r="BN98" s="341"/>
      <c r="BO98" s="574"/>
      <c r="BP98" s="84"/>
      <c r="BQ98" s="84"/>
      <c r="BR98" s="1823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74"/>
      <c r="CE98" s="74"/>
    </row>
    <row r="99" spans="1:83">
      <c r="A99" s="746"/>
      <c r="B99" s="791"/>
      <c r="C99" s="792"/>
      <c r="D99" s="793"/>
      <c r="E99" s="793"/>
      <c r="F99" s="792"/>
      <c r="G99" s="792"/>
      <c r="H99" s="792"/>
      <c r="I99" s="792"/>
      <c r="J99" s="792"/>
      <c r="K99" s="792"/>
      <c r="L99" s="792"/>
      <c r="M99" s="792"/>
      <c r="N99" s="792"/>
      <c r="O99" s="792"/>
      <c r="P99" s="792"/>
      <c r="Q99" s="792"/>
      <c r="R99" s="792"/>
      <c r="S99" s="793"/>
      <c r="T99" s="793"/>
      <c r="U99" s="792"/>
      <c r="V99" s="792"/>
      <c r="W99" s="792"/>
      <c r="X99" s="792"/>
      <c r="Y99" s="792"/>
      <c r="Z99" s="792"/>
      <c r="AA99" s="792"/>
      <c r="AB99" s="792"/>
      <c r="AC99" s="792"/>
      <c r="AD99" s="793"/>
      <c r="AE99" s="792"/>
      <c r="AF99" s="793"/>
      <c r="AG99" s="794"/>
      <c r="AH99" s="793"/>
      <c r="AI99" s="793"/>
      <c r="AJ99" s="793"/>
      <c r="AK99" s="793"/>
      <c r="AL99" s="793"/>
      <c r="AM99" s="793"/>
      <c r="AN99" s="793"/>
      <c r="AO99" s="793"/>
      <c r="AP99" s="793"/>
      <c r="AQ99" s="793"/>
      <c r="AR99" s="793"/>
      <c r="AS99" s="793"/>
      <c r="AT99" s="793"/>
      <c r="AU99" s="793"/>
      <c r="AV99" s="793"/>
      <c r="AW99" s="573"/>
      <c r="AX99" s="573"/>
      <c r="AY99" s="573"/>
      <c r="AZ99" s="573"/>
      <c r="BA99" s="573"/>
      <c r="BB99" s="573"/>
      <c r="BC99" s="573"/>
      <c r="BD99" s="573"/>
      <c r="BE99" s="573"/>
      <c r="BF99" s="573"/>
      <c r="BG99" s="573"/>
      <c r="BH99" s="573"/>
      <c r="BI99" s="573"/>
      <c r="BJ99" s="573"/>
      <c r="BK99" s="792"/>
      <c r="BL99" s="573"/>
      <c r="BM99" s="573"/>
      <c r="BN99" s="792"/>
      <c r="BO99" s="573"/>
      <c r="BP99" s="103"/>
      <c r="BQ99" s="103"/>
      <c r="BR99" s="1834"/>
      <c r="BS99" s="103"/>
      <c r="BT99" s="103"/>
      <c r="BU99" s="103"/>
      <c r="BV99" s="103"/>
      <c r="BW99" s="103"/>
      <c r="BX99" s="103"/>
      <c r="BY99" s="103"/>
      <c r="BZ99" s="103"/>
      <c r="CA99" s="103"/>
      <c r="CB99" s="103"/>
      <c r="CC99" s="103"/>
      <c r="CD99" s="104"/>
      <c r="CE99" s="105"/>
    </row>
    <row r="100" spans="1:83">
      <c r="A100" s="746"/>
      <c r="B100" s="767" t="s">
        <v>302</v>
      </c>
      <c r="C100" s="349"/>
      <c r="D100" s="770"/>
      <c r="E100" s="770"/>
      <c r="F100" s="349"/>
      <c r="G100" s="349"/>
      <c r="H100" s="349"/>
      <c r="I100" s="349"/>
      <c r="J100" s="349"/>
      <c r="K100" s="349"/>
      <c r="L100" s="759"/>
      <c r="M100" s="759"/>
      <c r="N100" s="759"/>
      <c r="O100" s="759"/>
      <c r="P100" s="759"/>
      <c r="Q100" s="759"/>
      <c r="R100" s="759"/>
      <c r="S100" s="770"/>
      <c r="T100" s="770"/>
      <c r="U100" s="759"/>
      <c r="V100" s="759"/>
      <c r="W100" s="759"/>
      <c r="X100" s="748"/>
      <c r="Y100" s="748"/>
      <c r="Z100" s="748"/>
      <c r="AA100" s="754"/>
      <c r="AB100" s="754"/>
      <c r="AC100" s="754"/>
      <c r="AD100" s="755"/>
      <c r="AE100" s="754"/>
      <c r="AF100" s="755"/>
      <c r="AG100" s="537"/>
      <c r="AH100" s="770"/>
      <c r="AI100" s="770"/>
      <c r="AJ100" s="770"/>
      <c r="AK100" s="770"/>
      <c r="AL100" s="770"/>
      <c r="AM100" s="770"/>
      <c r="AN100" s="770"/>
      <c r="AO100" s="797"/>
      <c r="AP100" s="770"/>
      <c r="AQ100" s="793"/>
      <c r="AR100" s="793"/>
      <c r="AS100" s="770"/>
      <c r="AT100" s="793">
        <f>AY100</f>
        <v>0</v>
      </c>
      <c r="AU100" s="798">
        <v>42916</v>
      </c>
      <c r="AV100" s="770"/>
      <c r="AW100" s="573"/>
      <c r="AX100" s="737"/>
      <c r="AY100" s="112"/>
      <c r="AZ100" s="573"/>
      <c r="BA100" s="737"/>
      <c r="BB100" s="112"/>
      <c r="BC100" s="573"/>
      <c r="BD100" s="737"/>
      <c r="BE100" s="112"/>
      <c r="BF100" s="573"/>
      <c r="BG100" s="737"/>
      <c r="BH100" s="112"/>
      <c r="BI100" s="573"/>
      <c r="BJ100" s="112"/>
      <c r="BK100" s="1295"/>
      <c r="BL100" s="573"/>
      <c r="BM100" s="112"/>
      <c r="BN100" s="1624">
        <f>+BN118/BN102</f>
        <v>4.0146386093321134</v>
      </c>
      <c r="BO100" s="573"/>
      <c r="BP100" s="738"/>
      <c r="BQ100" s="1623">
        <f>+BQ111/BQ102</f>
        <v>4.2305580969807863</v>
      </c>
      <c r="BR100" s="1835"/>
      <c r="BS100" s="738"/>
      <c r="BT100" s="738"/>
      <c r="BU100" s="738"/>
      <c r="BV100" s="738"/>
      <c r="BW100" s="738"/>
      <c r="BX100" s="738"/>
      <c r="BY100" s="738"/>
      <c r="BZ100" s="738"/>
      <c r="CA100" s="738"/>
      <c r="CB100" s="738"/>
      <c r="CC100" s="738"/>
      <c r="CD100" s="108"/>
      <c r="CE100" s="85"/>
    </row>
    <row r="101" spans="1:83" outlineLevel="1">
      <c r="A101" s="746"/>
      <c r="B101" s="349"/>
      <c r="C101" s="349"/>
      <c r="D101" s="799"/>
      <c r="E101" s="799"/>
      <c r="F101" s="349"/>
      <c r="G101" s="349"/>
      <c r="H101" s="349"/>
      <c r="I101" s="349"/>
      <c r="J101" s="349"/>
      <c r="K101" s="349"/>
      <c r="L101" s="349"/>
      <c r="M101" s="349"/>
      <c r="N101" s="349"/>
      <c r="O101" s="800"/>
      <c r="P101" s="800"/>
      <c r="Q101" s="800"/>
      <c r="R101" s="799"/>
      <c r="S101" s="799"/>
      <c r="T101" s="799"/>
      <c r="U101" s="799"/>
      <c r="V101" s="799"/>
      <c r="W101" s="799"/>
      <c r="X101" s="800"/>
      <c r="Y101" s="800"/>
      <c r="Z101" s="800"/>
      <c r="AA101" s="800"/>
      <c r="AB101" s="800"/>
      <c r="AC101" s="800"/>
      <c r="AD101" s="801"/>
      <c r="AE101" s="800"/>
      <c r="AF101" s="801"/>
      <c r="AG101" s="799"/>
      <c r="AH101" s="799"/>
      <c r="AI101" s="799"/>
      <c r="AJ101" s="799"/>
      <c r="AK101" s="799"/>
      <c r="AL101" s="799"/>
      <c r="AM101" s="799"/>
      <c r="AN101" s="799"/>
      <c r="AO101" s="802"/>
      <c r="AP101" s="799"/>
      <c r="AQ101" s="793"/>
      <c r="AR101" s="793"/>
      <c r="AS101" s="799"/>
      <c r="AT101" s="793">
        <f>AT100-AQ100</f>
        <v>0</v>
      </c>
      <c r="AU101" s="798">
        <f>AU100-AT100</f>
        <v>42916</v>
      </c>
      <c r="AV101" s="799"/>
      <c r="AW101" s="573"/>
      <c r="AX101" s="737"/>
      <c r="AY101" s="575"/>
      <c r="AZ101" s="573"/>
      <c r="BA101" s="737"/>
      <c r="BB101" s="575"/>
      <c r="BC101" s="573"/>
      <c r="BD101" s="737"/>
      <c r="BE101" s="575"/>
      <c r="BF101" s="573"/>
      <c r="BG101" s="737"/>
      <c r="BH101" s="575"/>
      <c r="BI101" s="573"/>
      <c r="BJ101" s="575"/>
      <c r="BK101" s="309"/>
      <c r="BL101" s="573"/>
      <c r="BM101" s="575"/>
      <c r="BN101" s="309"/>
      <c r="BO101" s="573"/>
      <c r="BP101" s="23"/>
      <c r="BQ101" s="23"/>
      <c r="BR101" s="1299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109"/>
      <c r="CE101" s="74"/>
    </row>
    <row r="102" spans="1:83" outlineLevel="1">
      <c r="A102" s="746" t="s">
        <v>398</v>
      </c>
      <c r="B102" s="349" t="s">
        <v>303</v>
      </c>
      <c r="C102" s="775">
        <v>82.543000000000006</v>
      </c>
      <c r="D102" s="775">
        <v>102.14050493962678</v>
      </c>
      <c r="E102" s="729">
        <f>F102</f>
        <v>85.441000000000003</v>
      </c>
      <c r="F102" s="775">
        <v>85.441000000000003</v>
      </c>
      <c r="G102" s="775">
        <f>I102</f>
        <v>102.639</v>
      </c>
      <c r="H102" s="729">
        <f>I102</f>
        <v>102.639</v>
      </c>
      <c r="I102" s="775">
        <v>102.639</v>
      </c>
      <c r="J102" s="775">
        <f>L102</f>
        <v>103.117</v>
      </c>
      <c r="K102" s="729">
        <f>L102</f>
        <v>103.117</v>
      </c>
      <c r="L102" s="775">
        <v>103.117</v>
      </c>
      <c r="M102" s="775">
        <v>103.57340720221606</v>
      </c>
      <c r="N102" s="729">
        <f>O102</f>
        <v>104.145</v>
      </c>
      <c r="O102" s="775">
        <v>104.145</v>
      </c>
      <c r="P102" s="775">
        <v>104.92369276957719</v>
      </c>
      <c r="Q102" s="729">
        <f>R102</f>
        <v>105.348</v>
      </c>
      <c r="R102" s="775">
        <v>105.348</v>
      </c>
      <c r="S102" s="775">
        <v>106.78422861276904</v>
      </c>
      <c r="T102" s="729">
        <f>U102</f>
        <v>106.995</v>
      </c>
      <c r="U102" s="775">
        <v>106.995</v>
      </c>
      <c r="V102" s="775">
        <v>107.91199432221434</v>
      </c>
      <c r="W102" s="729">
        <f>X102</f>
        <v>108.11799999999999</v>
      </c>
      <c r="X102" s="775">
        <v>108.11799999999999</v>
      </c>
      <c r="Y102" s="775">
        <v>108.952</v>
      </c>
      <c r="Z102" s="729">
        <f>AA102</f>
        <v>107.8</v>
      </c>
      <c r="AA102" s="775">
        <v>107.8</v>
      </c>
      <c r="AB102" s="775">
        <v>98.718999999999994</v>
      </c>
      <c r="AC102" s="729">
        <f>AD102</f>
        <v>98.781999999999996</v>
      </c>
      <c r="AD102" s="775">
        <v>98.781999999999996</v>
      </c>
      <c r="AE102" s="775">
        <v>98.850999999999999</v>
      </c>
      <c r="AF102" s="729">
        <f>AG102</f>
        <v>98.884</v>
      </c>
      <c r="AG102" s="775">
        <v>98.884</v>
      </c>
      <c r="AH102" s="775">
        <v>99.759</v>
      </c>
      <c r="AI102" s="729">
        <f>AJ102</f>
        <v>99.974999999999994</v>
      </c>
      <c r="AJ102" s="775">
        <v>99.974999999999994</v>
      </c>
      <c r="AK102" s="775">
        <v>98.988</v>
      </c>
      <c r="AL102" s="729">
        <f>AK102</f>
        <v>98.988</v>
      </c>
      <c r="AM102" s="775">
        <v>98.981999999999999</v>
      </c>
      <c r="AN102" s="775">
        <v>99.02</v>
      </c>
      <c r="AO102" s="729">
        <f>AN102</f>
        <v>99.02</v>
      </c>
      <c r="AP102" s="775">
        <v>98.975999999999999</v>
      </c>
      <c r="AQ102" s="775">
        <v>107.9</v>
      </c>
      <c r="AR102" s="775">
        <f>AR107</f>
        <v>114.421403</v>
      </c>
      <c r="AS102" s="775">
        <v>111.7</v>
      </c>
      <c r="AT102" s="775">
        <v>114.7</v>
      </c>
      <c r="AU102" s="775">
        <f>AV102</f>
        <v>114.8</v>
      </c>
      <c r="AV102" s="775">
        <v>114.8</v>
      </c>
      <c r="AW102" s="570">
        <v>114.9</v>
      </c>
      <c r="AX102" s="570">
        <f>AY102</f>
        <v>114.9</v>
      </c>
      <c r="AY102" s="570">
        <v>114.9</v>
      </c>
      <c r="AZ102" s="570">
        <v>114.9</v>
      </c>
      <c r="BA102" s="570">
        <f>BB102</f>
        <v>114.9</v>
      </c>
      <c r="BB102" s="570">
        <v>114.9</v>
      </c>
      <c r="BC102" s="570">
        <v>114.9</v>
      </c>
      <c r="BD102" s="570">
        <f>BE102</f>
        <v>114.8</v>
      </c>
      <c r="BE102" s="570">
        <v>114.8</v>
      </c>
      <c r="BF102" s="570">
        <v>114.9</v>
      </c>
      <c r="BG102" s="570">
        <f>BH102</f>
        <v>113.7</v>
      </c>
      <c r="BH102" s="570">
        <v>113.7</v>
      </c>
      <c r="BI102" s="570">
        <v>109.3</v>
      </c>
      <c r="BJ102" s="249">
        <f>BK102</f>
        <v>109.3</v>
      </c>
      <c r="BK102" s="570">
        <v>109.3</v>
      </c>
      <c r="BL102" s="570">
        <v>109.3</v>
      </c>
      <c r="BM102" s="249">
        <f>BN102</f>
        <v>109.3</v>
      </c>
      <c r="BN102" s="570">
        <v>109.3</v>
      </c>
      <c r="BO102" s="1894">
        <v>109.3</v>
      </c>
      <c r="BP102" s="111">
        <f>BQ102</f>
        <v>109.3</v>
      </c>
      <c r="BQ102" s="570">
        <v>109.3</v>
      </c>
      <c r="BR102" s="1836">
        <v>109.3</v>
      </c>
      <c r="BS102" s="111">
        <f>BT102</f>
        <v>109.33398099999999</v>
      </c>
      <c r="BT102" s="111">
        <f>AVERAGE(BQ107,BT107)</f>
        <v>109.33398099999999</v>
      </c>
      <c r="BU102" s="111">
        <f>BW102</f>
        <v>109.33398099999999</v>
      </c>
      <c r="BV102" s="111">
        <f>BW102</f>
        <v>109.33398099999999</v>
      </c>
      <c r="BW102" s="111">
        <f>AVERAGE(BT107,BW107)</f>
        <v>109.33398099999999</v>
      </c>
      <c r="BX102" s="111">
        <f>BZ102</f>
        <v>109.33398099999999</v>
      </c>
      <c r="BY102" s="111">
        <f>BZ102</f>
        <v>109.33398099999999</v>
      </c>
      <c r="BZ102" s="111">
        <f>AVERAGE(BW107,BZ107)</f>
        <v>109.33398099999999</v>
      </c>
      <c r="CA102" s="111">
        <f>CC102</f>
        <v>109.33398099999999</v>
      </c>
      <c r="CB102" s="111">
        <f>CC102</f>
        <v>109.33398099999999</v>
      </c>
      <c r="CC102" s="111">
        <f>AVERAGE(BZ107,CC107)</f>
        <v>109.33398099999999</v>
      </c>
      <c r="CD102" s="74"/>
      <c r="CE102" s="74"/>
    </row>
    <row r="103" spans="1:83" outlineLevel="1">
      <c r="A103" s="746" t="s">
        <v>767</v>
      </c>
      <c r="B103" s="349" t="s">
        <v>304</v>
      </c>
      <c r="C103" s="775">
        <v>83.185000000000002</v>
      </c>
      <c r="D103" s="775">
        <v>104.19932810750281</v>
      </c>
      <c r="E103" s="729">
        <f>F103</f>
        <v>86.375</v>
      </c>
      <c r="F103" s="775">
        <v>86.375</v>
      </c>
      <c r="G103" s="775">
        <f>I103</f>
        <v>104.229</v>
      </c>
      <c r="H103" s="729">
        <f>I103</f>
        <v>104.229</v>
      </c>
      <c r="I103" s="775">
        <v>104.229</v>
      </c>
      <c r="J103" s="775">
        <f>L103</f>
        <v>105.253</v>
      </c>
      <c r="K103" s="729">
        <f>L103</f>
        <v>105.253</v>
      </c>
      <c r="L103" s="775">
        <v>105.253</v>
      </c>
      <c r="M103" s="775">
        <v>106.35107679804956</v>
      </c>
      <c r="N103" s="729">
        <f>O103</f>
        <v>106.054</v>
      </c>
      <c r="O103" s="775">
        <v>106.054</v>
      </c>
      <c r="P103" s="775">
        <v>106.93013768485467</v>
      </c>
      <c r="Q103" s="729">
        <f>R103</f>
        <v>107.255</v>
      </c>
      <c r="R103" s="775">
        <v>107.255</v>
      </c>
      <c r="S103" s="775">
        <v>107.58199708454809</v>
      </c>
      <c r="T103" s="729">
        <f>U103</f>
        <v>107.76900000000001</v>
      </c>
      <c r="U103" s="775">
        <v>107.76900000000001</v>
      </c>
      <c r="V103" s="775">
        <v>109.59204266974196</v>
      </c>
      <c r="W103" s="729">
        <f>X103</f>
        <v>109.43300000000001</v>
      </c>
      <c r="X103" s="775">
        <v>109.43300000000001</v>
      </c>
      <c r="Y103" s="775">
        <v>109.77500000000001</v>
      </c>
      <c r="Z103" s="729">
        <f>AA103</f>
        <v>108.496</v>
      </c>
      <c r="AA103" s="775">
        <v>108.496</v>
      </c>
      <c r="AB103" s="775">
        <v>98.935000000000002</v>
      </c>
      <c r="AC103" s="729">
        <f>AD103</f>
        <v>98.841999999999999</v>
      </c>
      <c r="AD103" s="775">
        <v>98.841999999999999</v>
      </c>
      <c r="AE103" s="775">
        <v>98.858000000000004</v>
      </c>
      <c r="AF103" s="729">
        <f>AG103</f>
        <v>99.453000000000003</v>
      </c>
      <c r="AG103" s="775">
        <v>99.453000000000003</v>
      </c>
      <c r="AH103" s="775">
        <v>101.20699999999999</v>
      </c>
      <c r="AI103" s="729">
        <f>AJ103</f>
        <v>101.161</v>
      </c>
      <c r="AJ103" s="775">
        <v>101.161</v>
      </c>
      <c r="AK103" s="775">
        <v>100.13500000000001</v>
      </c>
      <c r="AL103" s="729">
        <f>AK103</f>
        <v>100.13500000000001</v>
      </c>
      <c r="AM103" s="775">
        <v>100.03700000000001</v>
      </c>
      <c r="AN103" s="775">
        <v>100.03100000000001</v>
      </c>
      <c r="AO103" s="729">
        <f>AN103</f>
        <v>100.03100000000001</v>
      </c>
      <c r="AP103" s="775">
        <v>100.03700000000001</v>
      </c>
      <c r="AQ103" s="775">
        <v>108.9</v>
      </c>
      <c r="AR103" s="775">
        <f>AR102</f>
        <v>114.421403</v>
      </c>
      <c r="AS103" s="775">
        <v>112.7</v>
      </c>
      <c r="AT103" s="775">
        <v>115.8</v>
      </c>
      <c r="AU103" s="775">
        <f>AV103</f>
        <v>115.9</v>
      </c>
      <c r="AV103" s="775">
        <v>115.9</v>
      </c>
      <c r="AW103" s="570">
        <v>116</v>
      </c>
      <c r="AX103" s="570">
        <f>AY103</f>
        <v>116.1</v>
      </c>
      <c r="AY103" s="570">
        <v>116.1</v>
      </c>
      <c r="AZ103" s="570">
        <v>115.7</v>
      </c>
      <c r="BA103" s="570">
        <f>BB103</f>
        <v>116</v>
      </c>
      <c r="BB103" s="570">
        <v>116</v>
      </c>
      <c r="BC103" s="570">
        <v>115.7</v>
      </c>
      <c r="BD103" s="570">
        <f>BC103</f>
        <v>115.7</v>
      </c>
      <c r="BE103" s="570">
        <v>115.6</v>
      </c>
      <c r="BF103" s="570">
        <v>115.4</v>
      </c>
      <c r="BG103" s="570">
        <f>BF103</f>
        <v>115.4</v>
      </c>
      <c r="BH103" s="570">
        <v>114.2</v>
      </c>
      <c r="BI103" s="570">
        <v>109.7</v>
      </c>
      <c r="BJ103" s="249">
        <f t="shared" ref="BJ103" si="344">BK103</f>
        <v>109.8</v>
      </c>
      <c r="BK103" s="570">
        <v>109.8</v>
      </c>
      <c r="BL103" s="570">
        <v>109.8</v>
      </c>
      <c r="BM103" s="249">
        <f t="shared" ref="BM103" si="345">BN103</f>
        <v>109.5</v>
      </c>
      <c r="BN103" s="570">
        <v>109.5</v>
      </c>
      <c r="BO103" s="1894">
        <v>109.7</v>
      </c>
      <c r="BP103" s="111">
        <f t="shared" ref="BP103" si="346">BQ103</f>
        <v>109.7</v>
      </c>
      <c r="BQ103" s="570">
        <v>109.7</v>
      </c>
      <c r="BR103" s="1836">
        <v>109.6</v>
      </c>
      <c r="BS103" s="111">
        <f t="shared" ref="BS103:BS105" si="347">BT103</f>
        <v>109.733981</v>
      </c>
      <c r="BT103" s="111">
        <f>(BQ103-BQ102)+BT102</f>
        <v>109.733981</v>
      </c>
      <c r="BU103" s="111">
        <f t="shared" ref="BU103" si="348">BW103</f>
        <v>109.733981</v>
      </c>
      <c r="BV103" s="111">
        <f t="shared" ref="BV103:BV105" si="349">BW103</f>
        <v>109.733981</v>
      </c>
      <c r="BW103" s="111">
        <f>(BT103-BT102)+BW102</f>
        <v>109.733981</v>
      </c>
      <c r="BX103" s="111">
        <f t="shared" ref="BX103" si="350">BZ103</f>
        <v>109.733981</v>
      </c>
      <c r="BY103" s="111">
        <f t="shared" ref="BY103" si="351">BZ103</f>
        <v>109.733981</v>
      </c>
      <c r="BZ103" s="111">
        <f>(BW103-BW102)+BZ102</f>
        <v>109.733981</v>
      </c>
      <c r="CA103" s="111">
        <f t="shared" ref="CA103" si="352">CC103</f>
        <v>109.733981</v>
      </c>
      <c r="CB103" s="111">
        <f t="shared" ref="CB103" si="353">CC103</f>
        <v>109.733981</v>
      </c>
      <c r="CC103" s="111">
        <f>(BZ103-BZ102)+CC102</f>
        <v>109.733981</v>
      </c>
      <c r="CD103" s="74"/>
      <c r="CE103" s="74"/>
    </row>
    <row r="104" spans="1:83" outlineLevel="1">
      <c r="A104" s="746"/>
      <c r="B104" s="349"/>
      <c r="C104" s="779"/>
      <c r="D104" s="803"/>
      <c r="E104" s="779"/>
      <c r="F104" s="779"/>
      <c r="G104" s="779"/>
      <c r="H104" s="779"/>
      <c r="I104" s="779"/>
      <c r="J104" s="803"/>
      <c r="K104" s="779"/>
      <c r="L104" s="779"/>
      <c r="M104" s="779"/>
      <c r="N104" s="779"/>
      <c r="O104" s="779"/>
      <c r="P104" s="779"/>
      <c r="Q104" s="779"/>
      <c r="R104" s="779"/>
      <c r="S104" s="803"/>
      <c r="T104" s="779"/>
      <c r="U104" s="779"/>
      <c r="V104" s="779"/>
      <c r="W104" s="779"/>
      <c r="X104" s="779"/>
      <c r="Y104" s="803"/>
      <c r="Z104" s="779"/>
      <c r="AA104" s="779"/>
      <c r="AB104" s="803"/>
      <c r="AC104" s="779"/>
      <c r="AD104" s="779"/>
      <c r="AE104" s="803"/>
      <c r="AF104" s="779"/>
      <c r="AG104" s="779"/>
      <c r="AH104" s="803"/>
      <c r="AI104" s="779"/>
      <c r="AJ104" s="779"/>
      <c r="AK104" s="803"/>
      <c r="AL104" s="779"/>
      <c r="AM104" s="779"/>
      <c r="AN104" s="803"/>
      <c r="AO104" s="779"/>
      <c r="AP104" s="779"/>
      <c r="AQ104" s="803"/>
      <c r="AR104" s="803"/>
      <c r="AS104" s="779"/>
      <c r="AT104" s="803"/>
      <c r="AU104" s="803"/>
      <c r="AV104" s="779"/>
      <c r="AW104" s="739"/>
      <c r="AX104" s="739"/>
      <c r="AY104" s="110"/>
      <c r="AZ104" s="739"/>
      <c r="BA104" s="739"/>
      <c r="BB104" s="110"/>
      <c r="BC104" s="739"/>
      <c r="BD104" s="739"/>
      <c r="BE104" s="110"/>
      <c r="BF104" s="739"/>
      <c r="BG104" s="739"/>
      <c r="BH104" s="110"/>
      <c r="BI104" s="739"/>
      <c r="BJ104" s="249"/>
      <c r="BK104" s="110"/>
      <c r="BL104" s="739"/>
      <c r="BM104" s="249"/>
      <c r="BN104" s="110"/>
      <c r="BO104" s="739"/>
      <c r="BP104" s="110"/>
      <c r="BQ104" s="110"/>
      <c r="BR104" s="1837"/>
      <c r="BS104" s="110"/>
      <c r="BT104" s="110"/>
      <c r="BU104" s="110"/>
      <c r="BV104" s="110"/>
      <c r="BW104" s="110"/>
      <c r="BX104" s="110"/>
      <c r="BY104" s="110"/>
      <c r="BZ104" s="110"/>
      <c r="CA104" s="110"/>
      <c r="CB104" s="110"/>
      <c r="CC104" s="110"/>
      <c r="CD104" s="74"/>
      <c r="CE104" s="74"/>
    </row>
    <row r="105" spans="1:83" outlineLevel="1">
      <c r="A105" s="746"/>
      <c r="B105" s="349" t="s">
        <v>424</v>
      </c>
      <c r="C105" s="779">
        <v>21.9</v>
      </c>
      <c r="D105" s="803"/>
      <c r="E105" s="779"/>
      <c r="F105" s="779">
        <f>C107</f>
        <v>102.453</v>
      </c>
      <c r="G105" s="779"/>
      <c r="H105" s="779"/>
      <c r="I105" s="779">
        <f>F107</f>
        <v>102.453</v>
      </c>
      <c r="J105" s="803"/>
      <c r="K105" s="779"/>
      <c r="L105" s="779">
        <f>I107</f>
        <v>102.839</v>
      </c>
      <c r="M105" s="779"/>
      <c r="N105" s="779"/>
      <c r="O105" s="779">
        <f>L107</f>
        <v>103.46599999999999</v>
      </c>
      <c r="P105" s="779"/>
      <c r="Q105" s="779"/>
      <c r="R105" s="779">
        <f>O107</f>
        <v>104.629</v>
      </c>
      <c r="S105" s="803"/>
      <c r="T105" s="779"/>
      <c r="U105" s="779">
        <f>R107</f>
        <v>105.88500000000001</v>
      </c>
      <c r="V105" s="779"/>
      <c r="W105" s="779"/>
      <c r="X105" s="779">
        <f>U107</f>
        <v>107.246666</v>
      </c>
      <c r="Y105" s="803"/>
      <c r="Z105" s="779"/>
      <c r="AA105" s="779">
        <f>X107</f>
        <v>108.344987</v>
      </c>
      <c r="AB105" s="803"/>
      <c r="AC105" s="779"/>
      <c r="AD105" s="779">
        <f>AA107</f>
        <v>98.530762999999993</v>
      </c>
      <c r="AE105" s="803"/>
      <c r="AF105" s="779"/>
      <c r="AG105" s="779">
        <f t="shared" ref="AG105" si="354">AD107</f>
        <v>98.850643000000005</v>
      </c>
      <c r="AH105" s="803"/>
      <c r="AI105" s="779"/>
      <c r="AJ105" s="779">
        <f>AG107</f>
        <v>98.947309000000004</v>
      </c>
      <c r="AK105" s="803"/>
      <c r="AL105" s="779"/>
      <c r="AM105" s="779">
        <f>AJ107</f>
        <v>98.947309000000004</v>
      </c>
      <c r="AN105" s="803"/>
      <c r="AO105" s="779"/>
      <c r="AP105" s="779">
        <f>AM107</f>
        <v>98.989901000000003</v>
      </c>
      <c r="AQ105" s="803"/>
      <c r="AR105" s="803"/>
      <c r="AS105" s="779">
        <f>AP107</f>
        <v>98.947309000000004</v>
      </c>
      <c r="AT105" s="803"/>
      <c r="AU105" s="803"/>
      <c r="AV105" s="779">
        <f>AS107</f>
        <v>114.421403</v>
      </c>
      <c r="AW105" s="743">
        <f t="shared" ref="AW105:AX105" si="355">AV107</f>
        <v>114.88337199999999</v>
      </c>
      <c r="AX105" s="743">
        <f t="shared" si="355"/>
        <v>114.88337199999999</v>
      </c>
      <c r="AY105" s="110">
        <f t="shared" ref="AY105" si="356">AV107</f>
        <v>114.88337199999999</v>
      </c>
      <c r="AZ105" s="110">
        <f t="shared" ref="AZ105:BA105" si="357">AY107</f>
        <v>114.88337199999999</v>
      </c>
      <c r="BA105" s="110">
        <f t="shared" si="357"/>
        <v>114.88337199999999</v>
      </c>
      <c r="BB105" s="110">
        <f t="shared" ref="BB105" si="358">AY107</f>
        <v>114.88337199999999</v>
      </c>
      <c r="BC105" s="110">
        <f t="shared" ref="BC105:BD105" si="359">BB107</f>
        <v>114.88337199999999</v>
      </c>
      <c r="BD105" s="110">
        <f t="shared" si="359"/>
        <v>114.88337199999999</v>
      </c>
      <c r="BE105" s="110">
        <f t="shared" ref="BE105" si="360">BB107</f>
        <v>114.88337199999999</v>
      </c>
      <c r="BF105" s="110">
        <f t="shared" ref="BF105:BG105" si="361">BE107</f>
        <v>114.88337199999999</v>
      </c>
      <c r="BG105" s="110">
        <f t="shared" si="361"/>
        <v>114.88337199999999</v>
      </c>
      <c r="BH105" s="110">
        <f t="shared" ref="BH105" si="362">BE107</f>
        <v>114.88337199999999</v>
      </c>
      <c r="BI105" s="110">
        <f>BH107</f>
        <v>109.33398099999999</v>
      </c>
      <c r="BJ105" s="249">
        <f>BI107</f>
        <v>109.33398099999999</v>
      </c>
      <c r="BK105" s="110">
        <f t="shared" ref="BK105" si="363">BH107</f>
        <v>109.33398099999999</v>
      </c>
      <c r="BL105" s="110">
        <f>BK107</f>
        <v>109.33398099999999</v>
      </c>
      <c r="BM105" s="249">
        <f>BL107</f>
        <v>109.33398099999999</v>
      </c>
      <c r="BN105" s="110">
        <f>BK107</f>
        <v>109.33398099999999</v>
      </c>
      <c r="BO105" s="110">
        <f>BN107</f>
        <v>109.33398099999999</v>
      </c>
      <c r="BP105" s="110">
        <f>+BO107</f>
        <v>109.33398099999999</v>
      </c>
      <c r="BQ105" s="110">
        <f>BN107</f>
        <v>109.33398099999999</v>
      </c>
      <c r="BR105" s="1837">
        <f t="shared" ref="BR105" si="364">BT105</f>
        <v>109.33398099999999</v>
      </c>
      <c r="BS105" s="110">
        <f t="shared" si="347"/>
        <v>109.33398099999999</v>
      </c>
      <c r="BT105" s="110">
        <f>BQ107</f>
        <v>109.33398099999999</v>
      </c>
      <c r="BU105" s="110">
        <f t="shared" ref="BU105" si="365">BW105</f>
        <v>109.33398099999999</v>
      </c>
      <c r="BV105" s="110">
        <f t="shared" si="349"/>
        <v>109.33398099999999</v>
      </c>
      <c r="BW105" s="110">
        <f>BT107</f>
        <v>109.33398099999999</v>
      </c>
      <c r="BX105" s="110">
        <f t="shared" ref="BX105" si="366">BZ105</f>
        <v>109.33398099999999</v>
      </c>
      <c r="BY105" s="110">
        <f t="shared" ref="BY105" si="367">BZ105</f>
        <v>109.33398099999999</v>
      </c>
      <c r="BZ105" s="110">
        <f>BW107</f>
        <v>109.33398099999999</v>
      </c>
      <c r="CA105" s="110">
        <f t="shared" ref="CA105" si="368">CC105</f>
        <v>109.33398099999999</v>
      </c>
      <c r="CB105" s="110">
        <f t="shared" ref="CB105" si="369">CC105</f>
        <v>109.33398099999999</v>
      </c>
      <c r="CC105" s="110">
        <f>BZ107</f>
        <v>109.33398099999999</v>
      </c>
      <c r="CD105" s="74"/>
      <c r="CE105" s="74"/>
    </row>
    <row r="106" spans="1:83" outlineLevel="1">
      <c r="A106" s="746"/>
      <c r="B106" s="349" t="s">
        <v>129</v>
      </c>
      <c r="C106" s="779">
        <f t="shared" ref="C106:AG106" si="370">C107-C105</f>
        <v>80.552999999999997</v>
      </c>
      <c r="D106" s="803"/>
      <c r="E106" s="779"/>
      <c r="F106" s="779">
        <f t="shared" si="370"/>
        <v>0</v>
      </c>
      <c r="G106" s="779"/>
      <c r="H106" s="779"/>
      <c r="I106" s="779">
        <f t="shared" si="370"/>
        <v>0.38599999999999568</v>
      </c>
      <c r="J106" s="803"/>
      <c r="K106" s="779"/>
      <c r="L106" s="779">
        <f t="shared" si="370"/>
        <v>0.62699999999999534</v>
      </c>
      <c r="M106" s="779"/>
      <c r="N106" s="779"/>
      <c r="O106" s="779">
        <f t="shared" si="370"/>
        <v>1.1630000000000109</v>
      </c>
      <c r="P106" s="779"/>
      <c r="Q106" s="779"/>
      <c r="R106" s="779">
        <f t="shared" si="370"/>
        <v>1.2560000000000002</v>
      </c>
      <c r="S106" s="803"/>
      <c r="T106" s="779"/>
      <c r="U106" s="779">
        <f t="shared" si="370"/>
        <v>1.3616659999999996</v>
      </c>
      <c r="V106" s="779"/>
      <c r="W106" s="779"/>
      <c r="X106" s="779">
        <f t="shared" si="370"/>
        <v>1.0983209999999985</v>
      </c>
      <c r="Y106" s="803"/>
      <c r="Z106" s="779"/>
      <c r="AA106" s="779">
        <f t="shared" si="370"/>
        <v>-9.8142240000000101</v>
      </c>
      <c r="AB106" s="803"/>
      <c r="AC106" s="779"/>
      <c r="AD106" s="779">
        <f t="shared" si="370"/>
        <v>0.31988000000001193</v>
      </c>
      <c r="AE106" s="803"/>
      <c r="AF106" s="779"/>
      <c r="AG106" s="779">
        <f t="shared" si="370"/>
        <v>9.666599999999903E-2</v>
      </c>
      <c r="AH106" s="803"/>
      <c r="AI106" s="779"/>
      <c r="AJ106" s="779">
        <f>AJ107-AJ105</f>
        <v>0</v>
      </c>
      <c r="AK106" s="803"/>
      <c r="AL106" s="779"/>
      <c r="AM106" s="779">
        <f>+AM250+AM252</f>
        <v>0</v>
      </c>
      <c r="AN106" s="803"/>
      <c r="AO106" s="779"/>
      <c r="AP106" s="779">
        <f>+AP250+AP252</f>
        <v>0</v>
      </c>
      <c r="AQ106" s="803"/>
      <c r="AR106" s="803"/>
      <c r="AS106" s="779">
        <f>+AS250+AS252</f>
        <v>15.046182</v>
      </c>
      <c r="AT106" s="803"/>
      <c r="AU106" s="803"/>
      <c r="AV106" s="779">
        <f>+AV250+AV252</f>
        <v>0</v>
      </c>
      <c r="AW106" s="739"/>
      <c r="AX106" s="739"/>
      <c r="AY106" s="110">
        <f>+AY250+AY252</f>
        <v>0</v>
      </c>
      <c r="AZ106" s="739"/>
      <c r="BA106" s="739"/>
      <c r="BB106" s="110">
        <f t="shared" ref="BB106:BE106" si="371">+BB250+BB252</f>
        <v>0</v>
      </c>
      <c r="BC106" s="739"/>
      <c r="BD106" s="739"/>
      <c r="BE106" s="110">
        <f t="shared" si="371"/>
        <v>0</v>
      </c>
      <c r="BF106" s="739"/>
      <c r="BG106" s="739"/>
      <c r="BH106" s="110">
        <f>+BH250+BH252</f>
        <v>0</v>
      </c>
      <c r="BI106" s="110">
        <f t="shared" ref="BI106:BW106" si="372">+BI250+BI252</f>
        <v>0</v>
      </c>
      <c r="BJ106" s="110">
        <f t="shared" si="372"/>
        <v>0</v>
      </c>
      <c r="BK106" s="110">
        <f>+BK250+BK252</f>
        <v>0</v>
      </c>
      <c r="BL106" s="110">
        <f t="shared" ref="BL106:BM106" si="373">+BL250+BL252</f>
        <v>0</v>
      </c>
      <c r="BM106" s="110">
        <f t="shared" si="373"/>
        <v>0</v>
      </c>
      <c r="BN106" s="110">
        <f>+BN250+BN252</f>
        <v>0</v>
      </c>
      <c r="BO106" s="110">
        <f>+BO107-BO105</f>
        <v>0</v>
      </c>
      <c r="BP106" s="110">
        <f t="shared" si="372"/>
        <v>0</v>
      </c>
      <c r="BQ106" s="110">
        <f>+BQ250+BQ252</f>
        <v>0</v>
      </c>
      <c r="BR106" s="1837">
        <f t="shared" si="372"/>
        <v>0</v>
      </c>
      <c r="BS106" s="110">
        <f t="shared" si="372"/>
        <v>0</v>
      </c>
      <c r="BT106" s="110">
        <f t="shared" si="372"/>
        <v>0</v>
      </c>
      <c r="BU106" s="110">
        <f t="shared" si="372"/>
        <v>0</v>
      </c>
      <c r="BV106" s="110">
        <f t="shared" si="372"/>
        <v>0</v>
      </c>
      <c r="BW106" s="110">
        <f t="shared" si="372"/>
        <v>0</v>
      </c>
      <c r="BX106" s="110">
        <f t="shared" ref="BX106:CC106" si="374">+BX250+BX252</f>
        <v>0</v>
      </c>
      <c r="BY106" s="110">
        <f t="shared" si="374"/>
        <v>0</v>
      </c>
      <c r="BZ106" s="110">
        <f t="shared" si="374"/>
        <v>0</v>
      </c>
      <c r="CA106" s="110">
        <f t="shared" si="374"/>
        <v>0</v>
      </c>
      <c r="CB106" s="110">
        <f t="shared" si="374"/>
        <v>0</v>
      </c>
      <c r="CC106" s="110">
        <f t="shared" si="374"/>
        <v>0</v>
      </c>
      <c r="CD106" s="74"/>
      <c r="CE106" s="74"/>
    </row>
    <row r="107" spans="1:83" outlineLevel="1">
      <c r="A107" s="746" t="s">
        <v>399</v>
      </c>
      <c r="B107" s="349" t="s">
        <v>305</v>
      </c>
      <c r="C107" s="775">
        <v>102.453</v>
      </c>
      <c r="D107" s="775">
        <f>F107</f>
        <v>102.453</v>
      </c>
      <c r="E107" s="729">
        <f>D107</f>
        <v>102.453</v>
      </c>
      <c r="F107" s="775">
        <v>102.453</v>
      </c>
      <c r="G107" s="775">
        <f>I107</f>
        <v>102.839</v>
      </c>
      <c r="H107" s="729">
        <f>G107</f>
        <v>102.839</v>
      </c>
      <c r="I107" s="775">
        <v>102.839</v>
      </c>
      <c r="J107" s="775">
        <f>L107</f>
        <v>103.46599999999999</v>
      </c>
      <c r="K107" s="729">
        <f>J107</f>
        <v>103.46599999999999</v>
      </c>
      <c r="L107" s="775">
        <v>103.46599999999999</v>
      </c>
      <c r="M107" s="775">
        <f>O107</f>
        <v>104.629</v>
      </c>
      <c r="N107" s="729">
        <f>M107</f>
        <v>104.629</v>
      </c>
      <c r="O107" s="775">
        <v>104.629</v>
      </c>
      <c r="P107" s="775">
        <f>R107</f>
        <v>105.88500000000001</v>
      </c>
      <c r="Q107" s="729">
        <f>P107</f>
        <v>105.88500000000001</v>
      </c>
      <c r="R107" s="775">
        <v>105.88500000000001</v>
      </c>
      <c r="S107" s="775">
        <f>U107</f>
        <v>107.246666</v>
      </c>
      <c r="T107" s="729">
        <f>S107</f>
        <v>107.246666</v>
      </c>
      <c r="U107" s="775">
        <v>107.246666</v>
      </c>
      <c r="V107" s="775">
        <f>X107</f>
        <v>108.344987</v>
      </c>
      <c r="W107" s="729">
        <f>V107</f>
        <v>108.344987</v>
      </c>
      <c r="X107" s="775">
        <v>108.344987</v>
      </c>
      <c r="Y107" s="775">
        <f>AA107</f>
        <v>98.530762999999993</v>
      </c>
      <c r="Z107" s="729">
        <f>Y107</f>
        <v>98.530762999999993</v>
      </c>
      <c r="AA107" s="775">
        <v>98.530762999999993</v>
      </c>
      <c r="AB107" s="775">
        <f>AD107</f>
        <v>98.850643000000005</v>
      </c>
      <c r="AC107" s="729">
        <f>AB107</f>
        <v>98.850643000000005</v>
      </c>
      <c r="AD107" s="775">
        <v>98.850643000000005</v>
      </c>
      <c r="AE107" s="775">
        <f>AG107</f>
        <v>98.947309000000004</v>
      </c>
      <c r="AF107" s="729">
        <f>AE107</f>
        <v>98.947309000000004</v>
      </c>
      <c r="AG107" s="775">
        <v>98.947309000000004</v>
      </c>
      <c r="AH107" s="775">
        <f>AJ107</f>
        <v>98.947309000000004</v>
      </c>
      <c r="AI107" s="729">
        <f>AH107</f>
        <v>98.947309000000004</v>
      </c>
      <c r="AJ107" s="775">
        <v>98.947309000000004</v>
      </c>
      <c r="AK107" s="775">
        <f>AM107</f>
        <v>98.989901000000003</v>
      </c>
      <c r="AL107" s="729">
        <f>AK107</f>
        <v>98.989901000000003</v>
      </c>
      <c r="AM107" s="775">
        <v>98.989901000000003</v>
      </c>
      <c r="AN107" s="775">
        <f>AP107</f>
        <v>98.947309000000004</v>
      </c>
      <c r="AO107" s="729">
        <f>AN107</f>
        <v>98.947309000000004</v>
      </c>
      <c r="AP107" s="775">
        <v>98.947309000000004</v>
      </c>
      <c r="AQ107" s="775">
        <v>114.36549599999999</v>
      </c>
      <c r="AR107" s="775">
        <f>AS107</f>
        <v>114.421403</v>
      </c>
      <c r="AS107" s="775">
        <f>114.421403</f>
        <v>114.421403</v>
      </c>
      <c r="AT107" s="775">
        <v>114.8666367</v>
      </c>
      <c r="AU107" s="775">
        <f>AV107</f>
        <v>114.88337199999999</v>
      </c>
      <c r="AV107" s="775">
        <v>114.88337199999999</v>
      </c>
      <c r="AW107" s="570">
        <v>114.88337199999999</v>
      </c>
      <c r="AX107" s="570">
        <f>AY107</f>
        <v>114.88337199999999</v>
      </c>
      <c r="AY107" s="570">
        <v>114.88337199999999</v>
      </c>
      <c r="AZ107" s="570">
        <f>AX107</f>
        <v>114.88337199999999</v>
      </c>
      <c r="BA107" s="570">
        <f>BB107</f>
        <v>114.88337199999999</v>
      </c>
      <c r="BB107" s="570">
        <v>114.88337199999999</v>
      </c>
      <c r="BC107" s="570">
        <f>BA107</f>
        <v>114.88337199999999</v>
      </c>
      <c r="BD107" s="570">
        <f>BE107</f>
        <v>114.88337199999999</v>
      </c>
      <c r="BE107" s="570">
        <v>114.88337199999999</v>
      </c>
      <c r="BF107" s="570">
        <f>BD107</f>
        <v>114.88337199999999</v>
      </c>
      <c r="BG107" s="570">
        <f>BH107</f>
        <v>109.33398099999999</v>
      </c>
      <c r="BH107" s="570">
        <v>109.33398099999999</v>
      </c>
      <c r="BI107" s="570">
        <v>109.33398099999999</v>
      </c>
      <c r="BJ107" s="249">
        <f>BJ105-BS!S214+BJ106</f>
        <v>109.33398099999999</v>
      </c>
      <c r="BK107" s="570">
        <v>109.33398099999999</v>
      </c>
      <c r="BL107" s="570">
        <v>109.33398099999999</v>
      </c>
      <c r="BM107" s="249">
        <f>BM105-BS!V214+BM106</f>
        <v>109.33398099999999</v>
      </c>
      <c r="BN107" s="570">
        <v>109.33398099999999</v>
      </c>
      <c r="BO107" s="1894">
        <v>109.33398099999999</v>
      </c>
      <c r="BP107" s="249">
        <f>BP105-BS!Y214+BP106</f>
        <v>109.33398099999999</v>
      </c>
      <c r="BQ107" s="570">
        <v>109.33398099999999</v>
      </c>
      <c r="BR107" s="1773">
        <v>109.3</v>
      </c>
      <c r="BS107" s="249">
        <f>BS105-BS!AB214+BS106</f>
        <v>109.33398099999999</v>
      </c>
      <c r="BT107" s="249">
        <f>BT105-BS!AC214+BT106</f>
        <v>109.33398099999999</v>
      </c>
      <c r="BU107" s="249">
        <f>BU105-BS!AD214+BU106</f>
        <v>109.33398099999999</v>
      </c>
      <c r="BV107" s="249">
        <f>BV105-BS!AE214+BV106</f>
        <v>109.33398099999999</v>
      </c>
      <c r="BW107" s="249">
        <f>BW105-BS!AF214+BW106</f>
        <v>109.33398099999999</v>
      </c>
      <c r="BX107" s="249">
        <f>BX105-BS!AG214+BX106</f>
        <v>109.33398099999999</v>
      </c>
      <c r="BY107" s="249">
        <f>BY105-BS!AH214+BY106</f>
        <v>109.33398099999999</v>
      </c>
      <c r="BZ107" s="249">
        <f>BZ105-BS!AI214+BZ106</f>
        <v>109.33398099999999</v>
      </c>
      <c r="CA107" s="249">
        <f>CA105-BS!AJ214+CA106</f>
        <v>109.33398099999999</v>
      </c>
      <c r="CB107" s="249">
        <f>CB105-BS!AK214+CB106</f>
        <v>109.33398099999999</v>
      </c>
      <c r="CC107" s="249">
        <f>CC105-BS!AL214+CC106</f>
        <v>109.33398099999999</v>
      </c>
      <c r="CD107" s="74"/>
      <c r="CE107" s="74"/>
    </row>
    <row r="108" spans="1:83" collapsed="1">
      <c r="A108" s="746"/>
      <c r="B108" s="349"/>
      <c r="C108" s="779"/>
      <c r="D108" s="804"/>
      <c r="E108" s="804"/>
      <c r="F108" s="779"/>
      <c r="G108" s="779"/>
      <c r="H108" s="779"/>
      <c r="I108" s="779"/>
      <c r="J108" s="779"/>
      <c r="K108" s="779"/>
      <c r="L108" s="349"/>
      <c r="M108" s="804"/>
      <c r="N108" s="804"/>
      <c r="O108" s="349"/>
      <c r="P108" s="349"/>
      <c r="Q108" s="349"/>
      <c r="R108" s="349"/>
      <c r="S108" s="804"/>
      <c r="T108" s="804"/>
      <c r="U108" s="349"/>
      <c r="V108" s="804"/>
      <c r="W108" s="804"/>
      <c r="X108" s="349"/>
      <c r="Y108" s="804"/>
      <c r="Z108" s="804"/>
      <c r="AA108" s="800"/>
      <c r="AB108" s="804"/>
      <c r="AC108" s="804"/>
      <c r="AD108" s="804"/>
      <c r="AE108" s="804"/>
      <c r="AF108" s="804"/>
      <c r="AG108" s="804"/>
      <c r="AH108" s="804"/>
      <c r="AI108" s="804"/>
      <c r="AJ108" s="804"/>
      <c r="AK108" s="804"/>
      <c r="AL108" s="804"/>
      <c r="AM108" s="804"/>
      <c r="AN108" s="804"/>
      <c r="AO108" s="804"/>
      <c r="AP108" s="804"/>
      <c r="AQ108" s="804"/>
      <c r="AR108" s="804"/>
      <c r="AS108" s="804"/>
      <c r="AT108" s="804"/>
      <c r="AU108" s="804"/>
      <c r="AV108" s="804"/>
      <c r="AW108" s="113"/>
      <c r="AX108" s="113"/>
      <c r="AY108" s="113"/>
      <c r="AZ108" s="113"/>
      <c r="BA108" s="113"/>
      <c r="BB108" s="113"/>
      <c r="BC108" s="113"/>
      <c r="BD108" s="113"/>
      <c r="BE108" s="113"/>
      <c r="BF108" s="113"/>
      <c r="BG108" s="113"/>
      <c r="BH108" s="113"/>
      <c r="BI108" s="113"/>
      <c r="BJ108" s="113"/>
      <c r="BK108" s="113"/>
      <c r="BL108" s="113"/>
      <c r="BM108" s="113"/>
      <c r="BN108" s="113"/>
      <c r="BO108" s="113"/>
      <c r="BP108" s="113"/>
      <c r="BQ108" s="113"/>
      <c r="BR108" s="1838"/>
      <c r="BS108" s="113"/>
      <c r="BT108" s="113"/>
      <c r="BU108" s="113"/>
      <c r="BV108" s="113"/>
      <c r="BW108" s="113"/>
      <c r="BX108" s="113"/>
      <c r="BY108" s="113"/>
      <c r="BZ108" s="113"/>
      <c r="CA108" s="113"/>
      <c r="CB108" s="113"/>
      <c r="CC108" s="113"/>
      <c r="CD108" s="102"/>
      <c r="CE108" s="74"/>
    </row>
    <row r="109" spans="1:83">
      <c r="A109" s="746" t="s">
        <v>793</v>
      </c>
      <c r="B109" s="767" t="s">
        <v>306</v>
      </c>
      <c r="C109" s="758">
        <v>13.471671209134856</v>
      </c>
      <c r="D109" s="349"/>
      <c r="E109" s="349"/>
      <c r="F109" s="758">
        <v>18.927577606989608</v>
      </c>
      <c r="G109" s="758"/>
      <c r="H109" s="758"/>
      <c r="I109" s="758">
        <v>23.116413635079166</v>
      </c>
      <c r="J109" s="758"/>
      <c r="K109" s="758"/>
      <c r="L109" s="758">
        <v>27.977254541536308</v>
      </c>
      <c r="M109" s="349"/>
      <c r="N109" s="349"/>
      <c r="O109" s="758">
        <v>41.167021871719342</v>
      </c>
      <c r="P109" s="758"/>
      <c r="Q109" s="758"/>
      <c r="R109" s="758">
        <v>62.274402556026132</v>
      </c>
      <c r="S109" s="349"/>
      <c r="T109" s="349"/>
      <c r="U109" s="758">
        <v>88.61179116909743</v>
      </c>
      <c r="V109" s="349"/>
      <c r="W109" s="349"/>
      <c r="X109" s="758">
        <v>108.47268626615947</v>
      </c>
      <c r="Y109" s="349"/>
      <c r="Z109" s="349"/>
      <c r="AA109" s="758">
        <v>123.03484972643635</v>
      </c>
      <c r="AB109" s="349"/>
      <c r="AC109" s="349"/>
      <c r="AD109" s="758">
        <v>102.38349420821014</v>
      </c>
      <c r="AE109" s="349"/>
      <c r="AF109" s="349"/>
      <c r="AG109" s="758">
        <v>114.35483303762825</v>
      </c>
      <c r="AH109" s="349"/>
      <c r="AI109" s="349"/>
      <c r="AJ109" s="758">
        <v>124.80910992227219</v>
      </c>
      <c r="AK109" s="349"/>
      <c r="AL109" s="349"/>
      <c r="AM109" s="758">
        <v>131.45327240937053</v>
      </c>
      <c r="AN109" s="349"/>
      <c r="AO109" s="349"/>
      <c r="AP109" s="758">
        <v>140.14189891664063</v>
      </c>
      <c r="AQ109" s="349"/>
      <c r="AR109" s="349"/>
      <c r="AS109" s="758">
        <v>133.57109190107838</v>
      </c>
      <c r="AT109" s="349"/>
      <c r="AU109" s="349"/>
      <c r="AV109" s="758">
        <v>205.09328103452697</v>
      </c>
      <c r="AW109" s="74"/>
      <c r="AX109" s="74"/>
      <c r="AY109" s="123">
        <v>216.09053966734146</v>
      </c>
      <c r="AZ109" s="74"/>
      <c r="BA109" s="74"/>
      <c r="BB109" s="123">
        <v>278.96215046325699</v>
      </c>
      <c r="BC109" s="74"/>
      <c r="BD109" s="74"/>
      <c r="BE109" s="123">
        <v>438.41529903578777</v>
      </c>
      <c r="BF109" s="74"/>
      <c r="BG109" s="74"/>
      <c r="BH109" s="123">
        <v>470.39067915634485</v>
      </c>
      <c r="BI109" s="74"/>
      <c r="BJ109" s="123"/>
      <c r="BK109" s="123">
        <v>438.51832983355604</v>
      </c>
      <c r="BL109" s="74"/>
      <c r="BM109" s="123"/>
      <c r="BN109" s="123">
        <v>400.73059360730588</v>
      </c>
      <c r="BO109" s="123"/>
      <c r="BP109" s="123"/>
      <c r="BQ109" s="123">
        <v>394.88532556269587</v>
      </c>
      <c r="BR109" s="1839"/>
      <c r="BS109" s="123"/>
      <c r="BT109" s="123">
        <v>418.29678415532226</v>
      </c>
      <c r="BU109" s="123"/>
      <c r="BV109" s="123"/>
      <c r="BW109" s="123">
        <v>465.51596516369722</v>
      </c>
      <c r="BX109" s="123"/>
      <c r="BY109" s="123"/>
      <c r="BZ109" s="123">
        <v>489.26157389192753</v>
      </c>
      <c r="CA109" s="123"/>
      <c r="CB109" s="123"/>
      <c r="CC109" s="123">
        <v>512.93877085119425</v>
      </c>
      <c r="CD109" s="74"/>
      <c r="CE109" s="108"/>
    </row>
    <row r="110" spans="1:83" outlineLevel="1">
      <c r="A110" s="746"/>
      <c r="B110" s="349"/>
      <c r="C110" s="349"/>
      <c r="D110" s="349"/>
      <c r="E110" s="349"/>
      <c r="F110" s="349"/>
      <c r="G110" s="349"/>
      <c r="H110" s="349"/>
      <c r="I110" s="349"/>
      <c r="J110" s="349"/>
      <c r="K110" s="349"/>
      <c r="L110" s="349"/>
      <c r="M110" s="349"/>
      <c r="N110" s="349"/>
      <c r="O110" s="755"/>
      <c r="P110" s="755"/>
      <c r="Q110" s="755"/>
      <c r="R110" s="349"/>
      <c r="S110" s="349"/>
      <c r="T110" s="349"/>
      <c r="U110" s="349"/>
      <c r="V110" s="349"/>
      <c r="W110" s="349"/>
      <c r="X110" s="349"/>
      <c r="Y110" s="349"/>
      <c r="Z110" s="349"/>
      <c r="AA110" s="349"/>
      <c r="AB110" s="349"/>
      <c r="AC110" s="349"/>
      <c r="AD110" s="349"/>
      <c r="AE110" s="349"/>
      <c r="AF110" s="349"/>
      <c r="AG110" s="349"/>
      <c r="AH110" s="349"/>
      <c r="AI110" s="349"/>
      <c r="AJ110" s="349"/>
      <c r="AK110" s="349"/>
      <c r="AL110" s="349"/>
      <c r="AM110" s="349"/>
      <c r="AN110" s="349"/>
      <c r="AO110" s="349"/>
      <c r="AP110" s="349"/>
      <c r="AQ110" s="349"/>
      <c r="AR110" s="349"/>
      <c r="AS110" s="349"/>
      <c r="AT110" s="349"/>
      <c r="AU110" s="349"/>
      <c r="AV110" s="349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1832"/>
      <c r="BS110" s="74"/>
      <c r="BT110" s="74"/>
      <c r="BU110" s="74"/>
      <c r="BV110" s="74"/>
      <c r="BW110" s="74"/>
      <c r="BX110" s="74"/>
      <c r="BY110" s="74"/>
      <c r="BZ110" s="74"/>
      <c r="CA110" s="74"/>
      <c r="CB110" s="74"/>
      <c r="CC110" s="74"/>
      <c r="CD110" s="74"/>
      <c r="CE110" s="74"/>
    </row>
    <row r="111" spans="1:83" outlineLevel="1">
      <c r="A111" s="746"/>
      <c r="B111" s="536" t="s">
        <v>307</v>
      </c>
      <c r="C111" s="758">
        <f t="shared" ref="C111:AM111" si="375">C88</f>
        <v>8.958000000000002</v>
      </c>
      <c r="D111" s="758">
        <f t="shared" si="375"/>
        <v>9.3000000000000007</v>
      </c>
      <c r="E111" s="758">
        <f t="shared" si="375"/>
        <v>4.8309999999999995</v>
      </c>
      <c r="F111" s="758">
        <f t="shared" si="375"/>
        <v>14.131</v>
      </c>
      <c r="G111" s="758">
        <f t="shared" si="375"/>
        <v>14.626000000000003</v>
      </c>
      <c r="H111" s="758">
        <f t="shared" si="375"/>
        <v>7.0669999999999948</v>
      </c>
      <c r="I111" s="758">
        <f t="shared" si="375"/>
        <v>21.355999999999998</v>
      </c>
      <c r="J111" s="758">
        <f t="shared" si="375"/>
        <v>18.850000000000005</v>
      </c>
      <c r="K111" s="758">
        <f t="shared" si="375"/>
        <v>7.3139999999999965</v>
      </c>
      <c r="L111" s="758">
        <f t="shared" si="375"/>
        <v>25.835999999999999</v>
      </c>
      <c r="M111" s="758">
        <f t="shared" si="375"/>
        <v>25.87</v>
      </c>
      <c r="N111" s="758">
        <f t="shared" si="375"/>
        <v>14.928000000000006</v>
      </c>
      <c r="O111" s="758">
        <f t="shared" si="375"/>
        <v>40.389000000000003</v>
      </c>
      <c r="P111" s="758">
        <f t="shared" si="375"/>
        <v>42.281999999999996</v>
      </c>
      <c r="Q111" s="758">
        <f t="shared" si="375"/>
        <v>22.852999999999991</v>
      </c>
      <c r="R111" s="758">
        <f t="shared" si="375"/>
        <v>65.134999999999991</v>
      </c>
      <c r="S111" s="758">
        <f t="shared" si="375"/>
        <v>59.076000000000001</v>
      </c>
      <c r="T111" s="758">
        <f t="shared" si="375"/>
        <v>35.361000000000004</v>
      </c>
      <c r="U111" s="758">
        <f t="shared" si="375"/>
        <v>94.437000000000012</v>
      </c>
      <c r="V111" s="758">
        <f t="shared" si="375"/>
        <v>76.046999999999997</v>
      </c>
      <c r="W111" s="758">
        <f t="shared" si="375"/>
        <v>42.605000000000011</v>
      </c>
      <c r="X111" s="758">
        <f t="shared" si="375"/>
        <v>118.652</v>
      </c>
      <c r="Y111" s="758">
        <f t="shared" si="375"/>
        <v>87.887999999999991</v>
      </c>
      <c r="Z111" s="758">
        <f t="shared" si="375"/>
        <v>21.807000000000009</v>
      </c>
      <c r="AA111" s="758">
        <f t="shared" si="375"/>
        <v>109.69499999999999</v>
      </c>
      <c r="AB111" s="758">
        <f t="shared" si="375"/>
        <v>79.637</v>
      </c>
      <c r="AC111" s="758">
        <f t="shared" si="375"/>
        <v>22.526000000000003</v>
      </c>
      <c r="AD111" s="758">
        <f t="shared" si="375"/>
        <v>104.64099999999999</v>
      </c>
      <c r="AE111" s="758">
        <f t="shared" si="375"/>
        <v>82.07</v>
      </c>
      <c r="AF111" s="758">
        <f>AF88</f>
        <v>34.313000000000031</v>
      </c>
      <c r="AG111" s="758">
        <f t="shared" si="375"/>
        <v>116.38300000000002</v>
      </c>
      <c r="AH111" s="758">
        <f>AH88</f>
        <v>90.317000000000021</v>
      </c>
      <c r="AI111" s="758">
        <f>AI88</f>
        <v>38.041999999999987</v>
      </c>
      <c r="AJ111" s="758">
        <f t="shared" si="375"/>
        <v>128.35900000000001</v>
      </c>
      <c r="AK111" s="758">
        <f>AK88</f>
        <v>88.538000000000011</v>
      </c>
      <c r="AL111" s="758">
        <f>AL88</f>
        <v>47.972999999999999</v>
      </c>
      <c r="AM111" s="758">
        <f t="shared" si="375"/>
        <v>136.51100000000002</v>
      </c>
      <c r="AN111" s="758">
        <f>AN88</f>
        <v>95.195999999999984</v>
      </c>
      <c r="AO111" s="758">
        <f>AO88</f>
        <v>56.984999999999999</v>
      </c>
      <c r="AP111" s="758">
        <f t="shared" ref="AP111:BW111" si="376">AP88</f>
        <v>152.18099999999998</v>
      </c>
      <c r="AQ111" s="758">
        <f>AQ88</f>
        <v>110.39999999999999</v>
      </c>
      <c r="AR111" s="758">
        <f>AR88</f>
        <v>61.999999999999986</v>
      </c>
      <c r="AS111" s="758">
        <f t="shared" si="376"/>
        <v>172.39999999999998</v>
      </c>
      <c r="AT111" s="758">
        <f>AT88</f>
        <v>151.70000000000002</v>
      </c>
      <c r="AU111" s="758">
        <f>AU88</f>
        <v>81.499999999999915</v>
      </c>
      <c r="AV111" s="758">
        <f t="shared" si="376"/>
        <v>233.19999999999993</v>
      </c>
      <c r="AW111" s="123">
        <f>AW88</f>
        <v>160.10000000000002</v>
      </c>
      <c r="AX111" s="123">
        <f>AX88</f>
        <v>89.699999999999989</v>
      </c>
      <c r="AY111" s="123">
        <f t="shared" si="376"/>
        <v>249.8</v>
      </c>
      <c r="AZ111" s="123">
        <f>AZ88</f>
        <v>170.6</v>
      </c>
      <c r="BA111" s="123">
        <f>BA88</f>
        <v>131.60000000000005</v>
      </c>
      <c r="BB111" s="123">
        <f t="shared" si="376"/>
        <v>302.20000000000005</v>
      </c>
      <c r="BC111" s="123">
        <f>BC88</f>
        <v>317.7</v>
      </c>
      <c r="BD111" s="123">
        <f>BD88</f>
        <v>191.8000000000001</v>
      </c>
      <c r="BE111" s="123">
        <f t="shared" si="376"/>
        <v>509.5</v>
      </c>
      <c r="BF111" s="123">
        <f t="shared" ref="BF111" si="377">BF88</f>
        <v>287.89999999999998</v>
      </c>
      <c r="BG111" s="123">
        <f>BG88</f>
        <v>257.00000000000006</v>
      </c>
      <c r="BH111" s="123">
        <f t="shared" si="376"/>
        <v>544.9</v>
      </c>
      <c r="BI111" s="123">
        <f t="shared" si="376"/>
        <v>329.9</v>
      </c>
      <c r="BJ111" s="123">
        <f>BJ88</f>
        <v>194.70000000000005</v>
      </c>
      <c r="BK111" s="123">
        <f t="shared" ref="BK111:BL111" si="378">BK88</f>
        <v>524.6</v>
      </c>
      <c r="BL111" s="123">
        <f t="shared" si="378"/>
        <v>264.3</v>
      </c>
      <c r="BM111" s="123">
        <f>BM88</f>
        <v>174.49999999999994</v>
      </c>
      <c r="BN111" s="123">
        <f t="shared" ref="BN111:BO111" si="379">BN88</f>
        <v>438.79999999999995</v>
      </c>
      <c r="BO111" s="123">
        <f t="shared" si="379"/>
        <v>285.50000000000006</v>
      </c>
      <c r="BP111" s="123">
        <f>BP88</f>
        <v>176.89999999999995</v>
      </c>
      <c r="BQ111" s="123">
        <f t="shared" si="376"/>
        <v>462.39999999999992</v>
      </c>
      <c r="BR111" s="1839">
        <f t="shared" ref="BR111" si="380">BR88</f>
        <v>305.79999999999995</v>
      </c>
      <c r="BS111" s="123">
        <f>BS88</f>
        <v>197.40283911172125</v>
      </c>
      <c r="BT111" s="123">
        <f t="shared" si="376"/>
        <v>503.20283911172118</v>
      </c>
      <c r="BU111" s="123">
        <f t="shared" si="376"/>
        <v>310.59677687813917</v>
      </c>
      <c r="BV111" s="123">
        <f>BV88</f>
        <v>200.23242388655899</v>
      </c>
      <c r="BW111" s="123">
        <f t="shared" si="376"/>
        <v>510.82920076469816</v>
      </c>
      <c r="BX111" s="123">
        <f t="shared" ref="BX111" si="381">BX88</f>
        <v>328.72200209839599</v>
      </c>
      <c r="BY111" s="123">
        <f>BY88</f>
        <v>208.16420043647273</v>
      </c>
      <c r="BZ111" s="123">
        <f t="shared" ref="BZ111:CA111" si="382">BZ88</f>
        <v>536.88620253486874</v>
      </c>
      <c r="CA111" s="123">
        <f t="shared" si="382"/>
        <v>344.46701685803851</v>
      </c>
      <c r="CB111" s="123">
        <f>CB88</f>
        <v>218.40111648944438</v>
      </c>
      <c r="CC111" s="123">
        <f t="shared" ref="CC111" si="383">CC88</f>
        <v>562.86813334748297</v>
      </c>
      <c r="CD111" s="94"/>
      <c r="CE111" s="94"/>
    </row>
    <row r="112" spans="1:83" outlineLevel="1">
      <c r="A112" s="746"/>
      <c r="B112" s="349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350"/>
      <c r="AA112" s="350"/>
      <c r="AB112" s="350"/>
      <c r="AC112" s="350"/>
      <c r="AD112" s="350"/>
      <c r="AE112" s="350"/>
      <c r="AF112" s="350"/>
      <c r="AG112" s="350"/>
      <c r="AH112" s="350"/>
      <c r="AI112" s="350"/>
      <c r="AJ112" s="350"/>
      <c r="AK112" s="350"/>
      <c r="AL112" s="350"/>
      <c r="AM112" s="350"/>
      <c r="AN112" s="350"/>
      <c r="AO112" s="350"/>
      <c r="AP112" s="350"/>
      <c r="AQ112" s="350"/>
      <c r="AR112" s="350"/>
      <c r="AS112" s="350"/>
      <c r="AT112" s="350"/>
      <c r="AU112" s="350"/>
      <c r="AV112" s="350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840"/>
      <c r="BS112" s="118"/>
      <c r="BT112" s="118"/>
      <c r="BU112" s="118"/>
      <c r="BV112" s="118"/>
      <c r="BW112" s="118"/>
      <c r="BX112" s="118"/>
      <c r="BY112" s="118"/>
      <c r="BZ112" s="118"/>
      <c r="CA112" s="118"/>
      <c r="CB112" s="118"/>
      <c r="CC112" s="118"/>
      <c r="CD112" s="74"/>
      <c r="CE112" s="74"/>
    </row>
    <row r="113" spans="1:83" outlineLevel="1">
      <c r="A113" s="746"/>
      <c r="B113" s="349"/>
      <c r="C113" s="350"/>
      <c r="D113" s="350"/>
      <c r="E113" s="350"/>
      <c r="F113" s="350"/>
      <c r="G113" s="350"/>
      <c r="H113" s="350"/>
      <c r="I113" s="350"/>
      <c r="J113" s="350"/>
      <c r="K113" s="350"/>
      <c r="L113" s="350"/>
      <c r="M113" s="350"/>
      <c r="N113" s="350"/>
      <c r="O113" s="350"/>
      <c r="P113" s="350"/>
      <c r="Q113" s="350"/>
      <c r="R113" s="350"/>
      <c r="S113" s="350"/>
      <c r="T113" s="350"/>
      <c r="U113" s="350"/>
      <c r="V113" s="350"/>
      <c r="W113" s="350"/>
      <c r="X113" s="350"/>
      <c r="Y113" s="350"/>
      <c r="Z113" s="350"/>
      <c r="AA113" s="350"/>
      <c r="AB113" s="350"/>
      <c r="AC113" s="350"/>
      <c r="AD113" s="350"/>
      <c r="AE113" s="350"/>
      <c r="AF113" s="350"/>
      <c r="AG113" s="350"/>
      <c r="AH113" s="350"/>
      <c r="AI113" s="350"/>
      <c r="AJ113" s="350"/>
      <c r="AK113" s="350"/>
      <c r="AL113" s="350"/>
      <c r="AM113" s="350"/>
      <c r="AN113" s="350"/>
      <c r="AO113" s="350"/>
      <c r="AP113" s="350"/>
      <c r="AQ113" s="350"/>
      <c r="AR113" s="350"/>
      <c r="AS113" s="350"/>
      <c r="AT113" s="350"/>
      <c r="AU113" s="350"/>
      <c r="AV113" s="350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840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74"/>
      <c r="CE113" s="74"/>
    </row>
    <row r="114" spans="1:83" outlineLevel="1">
      <c r="A114" s="746"/>
      <c r="B114" s="349" t="s">
        <v>308</v>
      </c>
      <c r="C114" s="350">
        <f t="shared" ref="C114:AM114" si="384">C62</f>
        <v>0</v>
      </c>
      <c r="D114" s="350">
        <f t="shared" si="384"/>
        <v>0</v>
      </c>
      <c r="E114" s="350">
        <f t="shared" si="384"/>
        <v>0</v>
      </c>
      <c r="F114" s="350">
        <f t="shared" si="384"/>
        <v>0</v>
      </c>
      <c r="G114" s="350"/>
      <c r="H114" s="350"/>
      <c r="I114" s="350">
        <f t="shared" si="384"/>
        <v>0</v>
      </c>
      <c r="J114" s="350">
        <f t="shared" si="384"/>
        <v>0</v>
      </c>
      <c r="K114" s="350">
        <f t="shared" si="384"/>
        <v>0</v>
      </c>
      <c r="L114" s="350">
        <f t="shared" si="384"/>
        <v>0</v>
      </c>
      <c r="M114" s="350">
        <f t="shared" si="384"/>
        <v>0</v>
      </c>
      <c r="N114" s="350">
        <f t="shared" si="384"/>
        <v>0</v>
      </c>
      <c r="O114" s="350">
        <f t="shared" si="384"/>
        <v>0</v>
      </c>
      <c r="P114" s="350">
        <f t="shared" si="384"/>
        <v>0</v>
      </c>
      <c r="Q114" s="350">
        <f t="shared" si="384"/>
        <v>0</v>
      </c>
      <c r="R114" s="350">
        <f t="shared" si="384"/>
        <v>0</v>
      </c>
      <c r="S114" s="350">
        <f t="shared" si="384"/>
        <v>0</v>
      </c>
      <c r="T114" s="350">
        <f t="shared" si="384"/>
        <v>0</v>
      </c>
      <c r="U114" s="350">
        <f t="shared" si="384"/>
        <v>0</v>
      </c>
      <c r="V114" s="350">
        <f t="shared" si="384"/>
        <v>0</v>
      </c>
      <c r="W114" s="350">
        <f t="shared" si="384"/>
        <v>0</v>
      </c>
      <c r="X114" s="350">
        <f t="shared" si="384"/>
        <v>0</v>
      </c>
      <c r="Y114" s="350">
        <f t="shared" si="384"/>
        <v>0</v>
      </c>
      <c r="Z114" s="350">
        <f t="shared" si="384"/>
        <v>-33.4</v>
      </c>
      <c r="AA114" s="350">
        <f t="shared" si="384"/>
        <v>-33.4</v>
      </c>
      <c r="AB114" s="350">
        <f t="shared" si="384"/>
        <v>0</v>
      </c>
      <c r="AC114" s="350">
        <f t="shared" si="384"/>
        <v>0</v>
      </c>
      <c r="AD114" s="350">
        <f t="shared" si="384"/>
        <v>0</v>
      </c>
      <c r="AE114" s="350">
        <f t="shared" si="384"/>
        <v>0</v>
      </c>
      <c r="AF114" s="350">
        <f t="shared" si="384"/>
        <v>0</v>
      </c>
      <c r="AG114" s="350">
        <f>AG62</f>
        <v>0</v>
      </c>
      <c r="AH114" s="350">
        <f>AH62</f>
        <v>0</v>
      </c>
      <c r="AI114" s="350">
        <f>AI62</f>
        <v>0</v>
      </c>
      <c r="AJ114" s="350">
        <f t="shared" si="384"/>
        <v>0</v>
      </c>
      <c r="AK114" s="350">
        <f>AK62</f>
        <v>0</v>
      </c>
      <c r="AL114" s="350">
        <f>AL62</f>
        <v>0</v>
      </c>
      <c r="AM114" s="350">
        <f t="shared" si="384"/>
        <v>0</v>
      </c>
      <c r="AN114" s="350">
        <f>AN62</f>
        <v>0</v>
      </c>
      <c r="AO114" s="350"/>
      <c r="AP114" s="350">
        <f t="shared" ref="AP114:BB114" si="385">AP62</f>
        <v>0</v>
      </c>
      <c r="AQ114" s="770">
        <f>AQ62</f>
        <v>-15.3</v>
      </c>
      <c r="AR114" s="770">
        <f>AS114-AQ114</f>
        <v>-22.900000000000002</v>
      </c>
      <c r="AS114" s="350">
        <f t="shared" si="385"/>
        <v>-38.200000000000003</v>
      </c>
      <c r="AT114" s="770"/>
      <c r="AU114" s="770"/>
      <c r="AV114" s="350">
        <f t="shared" si="385"/>
        <v>0</v>
      </c>
      <c r="AW114" s="118">
        <f t="shared" ref="AW114:AX114" si="386">AW62</f>
        <v>0</v>
      </c>
      <c r="AX114" s="118">
        <f t="shared" si="386"/>
        <v>0</v>
      </c>
      <c r="AY114" s="118">
        <f t="shared" si="385"/>
        <v>0</v>
      </c>
      <c r="AZ114" s="112">
        <f>AZ62</f>
        <v>0</v>
      </c>
      <c r="BA114" s="112">
        <f>BA62</f>
        <v>-19.7</v>
      </c>
      <c r="BB114" s="112">
        <f t="shared" si="385"/>
        <v>-19.7</v>
      </c>
      <c r="BC114" s="112">
        <f t="shared" ref="BC114:BW114" si="387">BC62</f>
        <v>0</v>
      </c>
      <c r="BD114" s="112">
        <f t="shared" si="387"/>
        <v>0</v>
      </c>
      <c r="BE114" s="112">
        <f t="shared" si="387"/>
        <v>0</v>
      </c>
      <c r="BF114" s="112">
        <f t="shared" si="387"/>
        <v>0</v>
      </c>
      <c r="BG114" s="112">
        <f t="shared" si="387"/>
        <v>0</v>
      </c>
      <c r="BH114" s="112">
        <f t="shared" si="387"/>
        <v>0</v>
      </c>
      <c r="BI114" s="112">
        <f t="shared" ref="BI114" si="388">BI62</f>
        <v>0</v>
      </c>
      <c r="BJ114" s="112">
        <f t="shared" si="387"/>
        <v>0</v>
      </c>
      <c r="BK114" s="112">
        <f t="shared" ref="BK114:BM114" si="389">BK62</f>
        <v>0</v>
      </c>
      <c r="BL114" s="112">
        <f t="shared" si="389"/>
        <v>0</v>
      </c>
      <c r="BM114" s="112">
        <f t="shared" si="389"/>
        <v>0</v>
      </c>
      <c r="BN114" s="112">
        <f t="shared" ref="BN114:BO114" si="390">BN62</f>
        <v>0</v>
      </c>
      <c r="BO114" s="112">
        <f t="shared" si="390"/>
        <v>0</v>
      </c>
      <c r="BP114" s="112">
        <f t="shared" si="387"/>
        <v>-13.7</v>
      </c>
      <c r="BQ114" s="112">
        <f t="shared" si="387"/>
        <v>-13.7</v>
      </c>
      <c r="BR114" s="1841">
        <f t="shared" si="387"/>
        <v>0</v>
      </c>
      <c r="BS114" s="112">
        <f t="shared" si="387"/>
        <v>0</v>
      </c>
      <c r="BT114" s="112">
        <f t="shared" si="387"/>
        <v>0</v>
      </c>
      <c r="BU114" s="112">
        <f t="shared" si="387"/>
        <v>0</v>
      </c>
      <c r="BV114" s="112">
        <f t="shared" si="387"/>
        <v>0</v>
      </c>
      <c r="BW114" s="112">
        <f t="shared" si="387"/>
        <v>0</v>
      </c>
      <c r="BX114" s="112">
        <f t="shared" ref="BX114:CC114" si="391">BX62</f>
        <v>0</v>
      </c>
      <c r="BY114" s="112">
        <f t="shared" si="391"/>
        <v>0</v>
      </c>
      <c r="BZ114" s="112">
        <f t="shared" si="391"/>
        <v>0</v>
      </c>
      <c r="CA114" s="112">
        <f t="shared" si="391"/>
        <v>0</v>
      </c>
      <c r="CB114" s="112">
        <f t="shared" si="391"/>
        <v>0</v>
      </c>
      <c r="CC114" s="112">
        <f t="shared" si="391"/>
        <v>0</v>
      </c>
      <c r="CD114" s="74"/>
      <c r="CE114" s="74"/>
    </row>
    <row r="115" spans="1:83" outlineLevel="1">
      <c r="A115" s="746"/>
      <c r="B115" s="349" t="s">
        <v>309</v>
      </c>
      <c r="C115" s="350">
        <f t="shared" ref="C115:AM115" si="392">C197</f>
        <v>0</v>
      </c>
      <c r="D115" s="350">
        <f t="shared" si="392"/>
        <v>0</v>
      </c>
      <c r="E115" s="350">
        <f t="shared" si="392"/>
        <v>0</v>
      </c>
      <c r="F115" s="350">
        <f t="shared" si="392"/>
        <v>0</v>
      </c>
      <c r="G115" s="350"/>
      <c r="H115" s="350"/>
      <c r="I115" s="350">
        <f t="shared" si="392"/>
        <v>0</v>
      </c>
      <c r="J115" s="350">
        <f t="shared" si="392"/>
        <v>0</v>
      </c>
      <c r="K115" s="350">
        <f t="shared" si="392"/>
        <v>0</v>
      </c>
      <c r="L115" s="350">
        <f t="shared" si="392"/>
        <v>0</v>
      </c>
      <c r="M115" s="350">
        <f t="shared" si="392"/>
        <v>0</v>
      </c>
      <c r="N115" s="350">
        <f t="shared" si="392"/>
        <v>0</v>
      </c>
      <c r="O115" s="350">
        <f t="shared" si="392"/>
        <v>0</v>
      </c>
      <c r="P115" s="350">
        <f t="shared" si="392"/>
        <v>0</v>
      </c>
      <c r="Q115" s="350">
        <f t="shared" si="392"/>
        <v>0</v>
      </c>
      <c r="R115" s="350">
        <f t="shared" si="392"/>
        <v>0</v>
      </c>
      <c r="S115" s="350">
        <f t="shared" si="392"/>
        <v>0</v>
      </c>
      <c r="T115" s="350">
        <f t="shared" si="392"/>
        <v>0</v>
      </c>
      <c r="U115" s="350">
        <f t="shared" si="392"/>
        <v>0</v>
      </c>
      <c r="V115" s="350">
        <f t="shared" si="392"/>
        <v>0</v>
      </c>
      <c r="W115" s="350">
        <f t="shared" si="392"/>
        <v>0</v>
      </c>
      <c r="X115" s="350">
        <f t="shared" si="392"/>
        <v>0</v>
      </c>
      <c r="Y115" s="350">
        <f t="shared" si="392"/>
        <v>0</v>
      </c>
      <c r="Z115" s="350">
        <f t="shared" si="392"/>
        <v>0</v>
      </c>
      <c r="AA115" s="350">
        <f>AA197</f>
        <v>8.6999999999999993</v>
      </c>
      <c r="AB115" s="350">
        <f t="shared" ref="AB115:AC115" si="393">AB197</f>
        <v>0</v>
      </c>
      <c r="AC115" s="350">
        <f t="shared" si="393"/>
        <v>0</v>
      </c>
      <c r="AD115" s="350">
        <f t="shared" si="392"/>
        <v>0</v>
      </c>
      <c r="AE115" s="350">
        <f t="shared" si="392"/>
        <v>0</v>
      </c>
      <c r="AF115" s="350">
        <f>AF197</f>
        <v>0</v>
      </c>
      <c r="AG115" s="350">
        <f>AG197</f>
        <v>0</v>
      </c>
      <c r="AH115" s="350">
        <f>AH197</f>
        <v>0</v>
      </c>
      <c r="AI115" s="350">
        <f>AI197</f>
        <v>0</v>
      </c>
      <c r="AJ115" s="350">
        <f t="shared" si="392"/>
        <v>0</v>
      </c>
      <c r="AK115" s="350">
        <f>AK197</f>
        <v>0</v>
      </c>
      <c r="AL115" s="350">
        <f>AL197</f>
        <v>0</v>
      </c>
      <c r="AM115" s="350">
        <f t="shared" si="392"/>
        <v>0</v>
      </c>
      <c r="AN115" s="350">
        <f>AN197</f>
        <v>0</v>
      </c>
      <c r="AO115" s="350"/>
      <c r="AP115" s="350">
        <f t="shared" ref="AP115:BB115" si="394">AP197</f>
        <v>0</v>
      </c>
      <c r="AQ115" s="770">
        <f>AQ197</f>
        <v>0.3</v>
      </c>
      <c r="AR115" s="770">
        <f>AS115-AQ115</f>
        <v>2.5381689999999999</v>
      </c>
      <c r="AS115" s="350">
        <f t="shared" si="394"/>
        <v>2.8381689999999997</v>
      </c>
      <c r="AT115" s="770"/>
      <c r="AU115" s="770"/>
      <c r="AV115" s="350">
        <f t="shared" si="394"/>
        <v>0</v>
      </c>
      <c r="AW115" s="118">
        <f t="shared" ref="AW115:AX115" si="395">AW197</f>
        <v>0</v>
      </c>
      <c r="AX115" s="118">
        <f t="shared" si="395"/>
        <v>0</v>
      </c>
      <c r="AY115" s="118">
        <f t="shared" si="394"/>
        <v>0</v>
      </c>
      <c r="AZ115" s="118">
        <f>AZ197</f>
        <v>0</v>
      </c>
      <c r="BA115" s="118">
        <f>BA197</f>
        <v>-4.3</v>
      </c>
      <c r="BB115" s="118">
        <f t="shared" si="394"/>
        <v>-4.3</v>
      </c>
      <c r="BC115" s="118">
        <f t="shared" ref="BC115:BW115" si="396">BC197</f>
        <v>0</v>
      </c>
      <c r="BD115" s="118">
        <f t="shared" si="396"/>
        <v>0</v>
      </c>
      <c r="BE115" s="118">
        <f t="shared" si="396"/>
        <v>-4.4000000000000004</v>
      </c>
      <c r="BF115" s="118">
        <f t="shared" si="396"/>
        <v>0</v>
      </c>
      <c r="BG115" s="118">
        <f t="shared" si="396"/>
        <v>-4.0999999999999996</v>
      </c>
      <c r="BH115" s="118">
        <f t="shared" si="396"/>
        <v>-4.0999999999999996</v>
      </c>
      <c r="BI115" s="118">
        <f t="shared" ref="BI115" si="397">BI197</f>
        <v>0</v>
      </c>
      <c r="BJ115" s="118">
        <f t="shared" si="396"/>
        <v>0</v>
      </c>
      <c r="BK115" s="118">
        <f t="shared" ref="BK115:BM115" si="398">BK197</f>
        <v>0</v>
      </c>
      <c r="BL115" s="118">
        <f t="shared" si="398"/>
        <v>0</v>
      </c>
      <c r="BM115" s="118">
        <f t="shared" si="398"/>
        <v>0</v>
      </c>
      <c r="BN115" s="118">
        <f t="shared" ref="BN115:BO115" si="399">BN197</f>
        <v>0</v>
      </c>
      <c r="BO115" s="118">
        <f t="shared" si="399"/>
        <v>0</v>
      </c>
      <c r="BP115" s="118">
        <f t="shared" si="396"/>
        <v>0</v>
      </c>
      <c r="BQ115" s="118">
        <f t="shared" si="396"/>
        <v>0</v>
      </c>
      <c r="BR115" s="1840">
        <f t="shared" si="396"/>
        <v>0</v>
      </c>
      <c r="BS115" s="118">
        <f t="shared" si="396"/>
        <v>0</v>
      </c>
      <c r="BT115" s="118">
        <f t="shared" si="396"/>
        <v>0</v>
      </c>
      <c r="BU115" s="118">
        <f t="shared" si="396"/>
        <v>0</v>
      </c>
      <c r="BV115" s="118">
        <f t="shared" si="396"/>
        <v>0</v>
      </c>
      <c r="BW115" s="118">
        <f t="shared" si="396"/>
        <v>0</v>
      </c>
      <c r="BX115" s="118">
        <f t="shared" ref="BX115:CC115" si="400">BX197</f>
        <v>0</v>
      </c>
      <c r="BY115" s="118">
        <f t="shared" si="400"/>
        <v>0</v>
      </c>
      <c r="BZ115" s="118">
        <f t="shared" si="400"/>
        <v>0</v>
      </c>
      <c r="CA115" s="118">
        <f t="shared" si="400"/>
        <v>0</v>
      </c>
      <c r="CB115" s="118">
        <f t="shared" si="400"/>
        <v>0</v>
      </c>
      <c r="CC115" s="118">
        <f t="shared" si="400"/>
        <v>0</v>
      </c>
      <c r="CD115" s="74"/>
      <c r="CE115" s="74"/>
    </row>
    <row r="116" spans="1:83" outlineLevel="1">
      <c r="A116" s="746"/>
      <c r="B116" s="349" t="s">
        <v>310</v>
      </c>
      <c r="C116" s="350">
        <f t="shared" ref="C116:AM116" si="401">C82</f>
        <v>0</v>
      </c>
      <c r="D116" s="350">
        <f t="shared" si="401"/>
        <v>0</v>
      </c>
      <c r="E116" s="350">
        <f t="shared" si="401"/>
        <v>0</v>
      </c>
      <c r="F116" s="350">
        <f t="shared" si="401"/>
        <v>0</v>
      </c>
      <c r="G116" s="350"/>
      <c r="H116" s="350"/>
      <c r="I116" s="350">
        <f t="shared" si="401"/>
        <v>0</v>
      </c>
      <c r="J116" s="350">
        <f t="shared" si="401"/>
        <v>0</v>
      </c>
      <c r="K116" s="350">
        <f t="shared" si="401"/>
        <v>0</v>
      </c>
      <c r="L116" s="350">
        <f t="shared" si="401"/>
        <v>0</v>
      </c>
      <c r="M116" s="350">
        <f t="shared" si="401"/>
        <v>0</v>
      </c>
      <c r="N116" s="350">
        <f t="shared" si="401"/>
        <v>0</v>
      </c>
      <c r="O116" s="350">
        <f t="shared" si="401"/>
        <v>0</v>
      </c>
      <c r="P116" s="350">
        <f t="shared" si="401"/>
        <v>0</v>
      </c>
      <c r="Q116" s="350">
        <f t="shared" si="401"/>
        <v>0</v>
      </c>
      <c r="R116" s="350">
        <f t="shared" si="401"/>
        <v>0</v>
      </c>
      <c r="S116" s="350">
        <f t="shared" si="401"/>
        <v>0</v>
      </c>
      <c r="T116" s="350">
        <f t="shared" si="401"/>
        <v>0</v>
      </c>
      <c r="U116" s="350">
        <f t="shared" si="401"/>
        <v>0</v>
      </c>
      <c r="V116" s="350">
        <f t="shared" si="401"/>
        <v>0</v>
      </c>
      <c r="W116" s="350">
        <f t="shared" si="401"/>
        <v>0</v>
      </c>
      <c r="X116" s="350">
        <f t="shared" si="401"/>
        <v>0</v>
      </c>
      <c r="Y116" s="350">
        <f t="shared" si="401"/>
        <v>0</v>
      </c>
      <c r="Z116" s="350">
        <f t="shared" si="401"/>
        <v>0</v>
      </c>
      <c r="AA116" s="350">
        <f t="shared" si="401"/>
        <v>0</v>
      </c>
      <c r="AB116" s="350">
        <f t="shared" si="401"/>
        <v>0</v>
      </c>
      <c r="AC116" s="350">
        <f t="shared" si="401"/>
        <v>0</v>
      </c>
      <c r="AD116" s="350">
        <f t="shared" si="401"/>
        <v>0</v>
      </c>
      <c r="AE116" s="350">
        <f>AE82</f>
        <v>0</v>
      </c>
      <c r="AF116" s="350">
        <f t="shared" ref="AF116" si="402">AF82</f>
        <v>0</v>
      </c>
      <c r="AG116" s="350">
        <f t="shared" si="401"/>
        <v>0</v>
      </c>
      <c r="AH116" s="350">
        <f>AH82</f>
        <v>0</v>
      </c>
      <c r="AI116" s="350">
        <f>AI82</f>
        <v>0</v>
      </c>
      <c r="AJ116" s="350">
        <f t="shared" si="401"/>
        <v>0</v>
      </c>
      <c r="AK116" s="350">
        <f>AK82</f>
        <v>0</v>
      </c>
      <c r="AL116" s="350">
        <f>AL82</f>
        <v>0</v>
      </c>
      <c r="AM116" s="350">
        <f t="shared" si="401"/>
        <v>0</v>
      </c>
      <c r="AN116" s="350">
        <f>AN82</f>
        <v>0</v>
      </c>
      <c r="AO116" s="350"/>
      <c r="AP116" s="350">
        <f>AP82</f>
        <v>0</v>
      </c>
      <c r="AQ116" s="350">
        <f>AQ82</f>
        <v>0</v>
      </c>
      <c r="AR116" s="770">
        <f>AS116-AQ116</f>
        <v>2.6358000000000006</v>
      </c>
      <c r="AS116" s="805">
        <f>AS114*-6.9%</f>
        <v>2.6358000000000006</v>
      </c>
      <c r="AT116" s="350"/>
      <c r="AU116" s="770"/>
      <c r="AV116" s="805">
        <f>AV114*-6.9%</f>
        <v>0</v>
      </c>
      <c r="AW116" s="576">
        <f t="shared" ref="AW116:AX116" si="403">AW82</f>
        <v>0</v>
      </c>
      <c r="AX116" s="576">
        <f t="shared" si="403"/>
        <v>0</v>
      </c>
      <c r="AY116" s="576">
        <f t="shared" ref="AY116:BB116" si="404">AY82</f>
        <v>0</v>
      </c>
      <c r="AZ116" s="576">
        <f>AZ82</f>
        <v>0</v>
      </c>
      <c r="BA116" s="576">
        <f>BA82</f>
        <v>0</v>
      </c>
      <c r="BB116" s="576">
        <f t="shared" si="404"/>
        <v>0</v>
      </c>
      <c r="BC116" s="576">
        <f t="shared" ref="BC116:BW116" si="405">BC82</f>
        <v>0</v>
      </c>
      <c r="BD116" s="576">
        <f t="shared" si="405"/>
        <v>0</v>
      </c>
      <c r="BE116" s="576">
        <f t="shared" si="405"/>
        <v>0</v>
      </c>
      <c r="BF116" s="576">
        <f t="shared" si="405"/>
        <v>0</v>
      </c>
      <c r="BG116" s="576">
        <f t="shared" si="405"/>
        <v>0</v>
      </c>
      <c r="BH116" s="576">
        <f t="shared" si="405"/>
        <v>0</v>
      </c>
      <c r="BI116" s="576">
        <f t="shared" ref="BI116" si="406">BI82</f>
        <v>0</v>
      </c>
      <c r="BJ116" s="576">
        <f t="shared" si="405"/>
        <v>0</v>
      </c>
      <c r="BK116" s="576">
        <f t="shared" ref="BK116:BM116" si="407">BK82</f>
        <v>0</v>
      </c>
      <c r="BL116" s="576">
        <f t="shared" si="407"/>
        <v>0</v>
      </c>
      <c r="BM116" s="576">
        <f t="shared" si="407"/>
        <v>0</v>
      </c>
      <c r="BN116" s="576">
        <f t="shared" ref="BN116:BO116" si="408">BN82</f>
        <v>0</v>
      </c>
      <c r="BO116" s="576">
        <f t="shared" si="408"/>
        <v>0</v>
      </c>
      <c r="BP116" s="576">
        <f t="shared" si="405"/>
        <v>0</v>
      </c>
      <c r="BQ116" s="576">
        <f t="shared" si="405"/>
        <v>0</v>
      </c>
      <c r="BR116" s="1842">
        <f t="shared" si="405"/>
        <v>0</v>
      </c>
      <c r="BS116" s="576">
        <f t="shared" si="405"/>
        <v>0</v>
      </c>
      <c r="BT116" s="576">
        <f t="shared" si="405"/>
        <v>0</v>
      </c>
      <c r="BU116" s="576">
        <f t="shared" si="405"/>
        <v>0</v>
      </c>
      <c r="BV116" s="576">
        <f t="shared" si="405"/>
        <v>0</v>
      </c>
      <c r="BW116" s="576">
        <f t="shared" si="405"/>
        <v>0</v>
      </c>
      <c r="BX116" s="576">
        <f t="shared" ref="BX116:CC116" si="409">BX82</f>
        <v>0</v>
      </c>
      <c r="BY116" s="576">
        <f t="shared" si="409"/>
        <v>0</v>
      </c>
      <c r="BZ116" s="576">
        <f t="shared" si="409"/>
        <v>0</v>
      </c>
      <c r="CA116" s="576">
        <f t="shared" si="409"/>
        <v>0</v>
      </c>
      <c r="CB116" s="576">
        <f t="shared" si="409"/>
        <v>0</v>
      </c>
      <c r="CC116" s="576">
        <f t="shared" si="409"/>
        <v>0</v>
      </c>
      <c r="CD116" s="74"/>
      <c r="CE116" s="74"/>
    </row>
    <row r="117" spans="1:83" outlineLevel="1">
      <c r="A117" s="746"/>
      <c r="B117" s="806"/>
      <c r="C117" s="350"/>
      <c r="D117" s="350"/>
      <c r="E117" s="350"/>
      <c r="F117" s="350"/>
      <c r="G117" s="350"/>
      <c r="H117" s="350"/>
      <c r="I117" s="350"/>
      <c r="J117" s="350"/>
      <c r="K117" s="350"/>
      <c r="L117" s="350"/>
      <c r="M117" s="350"/>
      <c r="N117" s="350"/>
      <c r="O117" s="350"/>
      <c r="P117" s="350"/>
      <c r="Q117" s="350"/>
      <c r="R117" s="350"/>
      <c r="S117" s="350"/>
      <c r="T117" s="350"/>
      <c r="U117" s="350"/>
      <c r="V117" s="350"/>
      <c r="W117" s="350"/>
      <c r="X117" s="756"/>
      <c r="Y117" s="350"/>
      <c r="Z117" s="350"/>
      <c r="AA117" s="756"/>
      <c r="AB117" s="350"/>
      <c r="AC117" s="350"/>
      <c r="AD117" s="756"/>
      <c r="AE117" s="350"/>
      <c r="AF117" s="350"/>
      <c r="AG117" s="756"/>
      <c r="AH117" s="350"/>
      <c r="AI117" s="350"/>
      <c r="AJ117" s="350"/>
      <c r="AK117" s="350"/>
      <c r="AL117" s="350"/>
      <c r="AM117" s="350"/>
      <c r="AN117" s="350"/>
      <c r="AO117" s="350"/>
      <c r="AP117" s="350"/>
      <c r="AQ117" s="350"/>
      <c r="AR117" s="350"/>
      <c r="AS117" s="350"/>
      <c r="AT117" s="350"/>
      <c r="AU117" s="350"/>
      <c r="AV117" s="350"/>
      <c r="AW117" s="118"/>
      <c r="AX117" s="118"/>
      <c r="AY117" s="118"/>
      <c r="AZ117" s="118"/>
      <c r="BA117" s="118"/>
      <c r="BB117" s="741"/>
      <c r="BC117" s="118"/>
      <c r="BD117" s="118"/>
      <c r="BE117" s="118"/>
      <c r="BF117" s="118"/>
      <c r="BG117" s="118"/>
      <c r="BH117" s="118"/>
      <c r="BI117" s="118"/>
      <c r="BJ117" s="118"/>
      <c r="BK117" s="118"/>
      <c r="BL117" s="118"/>
      <c r="BM117" s="118"/>
      <c r="BN117" s="118"/>
      <c r="BO117" s="118"/>
      <c r="BP117" s="118"/>
      <c r="BQ117" s="1625"/>
      <c r="BR117" s="1840"/>
      <c r="BS117" s="118"/>
      <c r="BT117" s="118"/>
      <c r="BU117" s="118"/>
      <c r="BV117" s="118"/>
      <c r="BW117" s="118"/>
      <c r="BX117" s="118"/>
      <c r="BY117" s="118"/>
      <c r="BZ117" s="118"/>
      <c r="CA117" s="118"/>
      <c r="CB117" s="118"/>
      <c r="CC117" s="118"/>
      <c r="CD117" s="86"/>
      <c r="CE117" s="86"/>
    </row>
    <row r="118" spans="1:83">
      <c r="A118" s="746" t="s">
        <v>244</v>
      </c>
      <c r="B118" s="82" t="s">
        <v>13</v>
      </c>
      <c r="C118" s="98">
        <f t="shared" ref="C118:AM118" si="410">C111-C114-C115-C116-C113</f>
        <v>8.958000000000002</v>
      </c>
      <c r="D118" s="99">
        <f t="shared" si="410"/>
        <v>9.3000000000000007</v>
      </c>
      <c r="E118" s="99">
        <f t="shared" si="410"/>
        <v>4.8309999999999995</v>
      </c>
      <c r="F118" s="98">
        <f t="shared" si="410"/>
        <v>14.131</v>
      </c>
      <c r="G118" s="99">
        <f t="shared" si="410"/>
        <v>14.626000000000003</v>
      </c>
      <c r="H118" s="99">
        <f t="shared" si="410"/>
        <v>7.0669999999999948</v>
      </c>
      <c r="I118" s="98">
        <f t="shared" si="410"/>
        <v>21.355999999999998</v>
      </c>
      <c r="J118" s="99">
        <f t="shared" si="410"/>
        <v>18.850000000000005</v>
      </c>
      <c r="K118" s="99">
        <f t="shared" si="410"/>
        <v>7.3139999999999965</v>
      </c>
      <c r="L118" s="99">
        <f t="shared" si="410"/>
        <v>25.835999999999999</v>
      </c>
      <c r="M118" s="99">
        <f t="shared" si="410"/>
        <v>25.87</v>
      </c>
      <c r="N118" s="99">
        <f t="shared" si="410"/>
        <v>14.928000000000006</v>
      </c>
      <c r="O118" s="99">
        <f t="shared" si="410"/>
        <v>40.389000000000003</v>
      </c>
      <c r="P118" s="99">
        <f t="shared" si="410"/>
        <v>42.281999999999996</v>
      </c>
      <c r="Q118" s="99">
        <f t="shared" si="410"/>
        <v>22.852999999999991</v>
      </c>
      <c r="R118" s="99">
        <f t="shared" si="410"/>
        <v>65.134999999999991</v>
      </c>
      <c r="S118" s="99">
        <f t="shared" si="410"/>
        <v>59.076000000000001</v>
      </c>
      <c r="T118" s="99">
        <f t="shared" si="410"/>
        <v>35.361000000000004</v>
      </c>
      <c r="U118" s="99">
        <f t="shared" si="410"/>
        <v>94.437000000000012</v>
      </c>
      <c r="V118" s="99">
        <f t="shared" si="410"/>
        <v>76.046999999999997</v>
      </c>
      <c r="W118" s="99">
        <f t="shared" si="410"/>
        <v>42.605000000000011</v>
      </c>
      <c r="X118" s="99">
        <f t="shared" si="410"/>
        <v>118.652</v>
      </c>
      <c r="Y118" s="99">
        <f t="shared" si="410"/>
        <v>87.887999999999991</v>
      </c>
      <c r="Z118" s="99">
        <f t="shared" si="410"/>
        <v>55.207000000000008</v>
      </c>
      <c r="AA118" s="99">
        <f>AA111-AA114-AA115-AA116-AA113</f>
        <v>134.39500000000001</v>
      </c>
      <c r="AB118" s="99">
        <f t="shared" ref="AB118:AC118" si="411">AB111-AB114-AB115-AB116-AB113</f>
        <v>79.637</v>
      </c>
      <c r="AC118" s="99">
        <f t="shared" si="411"/>
        <v>22.526000000000003</v>
      </c>
      <c r="AD118" s="99">
        <f>AD111-AD114-AD115-AD116-AD113</f>
        <v>104.64099999999999</v>
      </c>
      <c r="AE118" s="99">
        <f>AE111-AE114-AE115-AE116-AE113</f>
        <v>82.07</v>
      </c>
      <c r="AF118" s="99">
        <f t="shared" ref="AF118" si="412">AF111-AF114-AF115-AF116-AF113</f>
        <v>34.313000000000031</v>
      </c>
      <c r="AG118" s="99">
        <f>AG111-AG114-AG115-AG116-AG113</f>
        <v>116.38300000000002</v>
      </c>
      <c r="AH118" s="99">
        <f>AH111-AH114-AH115-AH116-AH113</f>
        <v>90.317000000000021</v>
      </c>
      <c r="AI118" s="99">
        <f>AI111-AI114-AI115-AI116-AI113</f>
        <v>38.041999999999987</v>
      </c>
      <c r="AJ118" s="99">
        <f t="shared" si="410"/>
        <v>128.35900000000001</v>
      </c>
      <c r="AK118" s="99">
        <f>AK111-AK114-AK115-AK116-AK113</f>
        <v>88.538000000000011</v>
      </c>
      <c r="AL118" s="99">
        <f>AL111-AL114-AL115-AL116-AL113</f>
        <v>47.972999999999999</v>
      </c>
      <c r="AM118" s="99">
        <f t="shared" si="410"/>
        <v>136.51100000000002</v>
      </c>
      <c r="AN118" s="99">
        <f>AN111-AN114-AN115-AN116-AN113</f>
        <v>95.195999999999984</v>
      </c>
      <c r="AO118" s="99">
        <f>AO111-AO114-AO115-AO116-AO113</f>
        <v>56.984999999999999</v>
      </c>
      <c r="AP118" s="99">
        <f t="shared" ref="AP118:BW118" si="413">AP111-AP114-AP115-AP116-AP113</f>
        <v>152.18099999999998</v>
      </c>
      <c r="AQ118" s="99">
        <f>AQ111-AQ114-AQ115-AQ116-AQ113</f>
        <v>125.39999999999999</v>
      </c>
      <c r="AR118" s="99">
        <f>AR111-AR114-AR115-AR116-AR113</f>
        <v>79.726030999999992</v>
      </c>
      <c r="AS118" s="99">
        <f t="shared" si="413"/>
        <v>205.12603099999998</v>
      </c>
      <c r="AT118" s="99">
        <f>AT111-AT114-AT115-AT116-AT113</f>
        <v>151.70000000000002</v>
      </c>
      <c r="AU118" s="99">
        <f>AU111-AU114-AU115-AU116-AU113</f>
        <v>81.499999999999915</v>
      </c>
      <c r="AV118" s="99">
        <f t="shared" si="413"/>
        <v>233.19999999999993</v>
      </c>
      <c r="AW118" s="736">
        <f>AW111-AW114-AW115-AW116-AW113</f>
        <v>160.10000000000002</v>
      </c>
      <c r="AX118" s="736">
        <f>AX111-AX114-AX115-AX116-AX113</f>
        <v>89.699999999999989</v>
      </c>
      <c r="AY118" s="736">
        <f t="shared" si="413"/>
        <v>249.8</v>
      </c>
      <c r="AZ118" s="736">
        <f>AZ111-AZ114-AZ115-AZ116-AZ113</f>
        <v>170.6</v>
      </c>
      <c r="BA118" s="736">
        <f>BA111-BA114-BA115-BA116-BA113</f>
        <v>155.60000000000005</v>
      </c>
      <c r="BB118" s="736">
        <f t="shared" si="413"/>
        <v>326.20000000000005</v>
      </c>
      <c r="BC118" s="736">
        <f>BC111-BC114-BC115-BC116-BC113</f>
        <v>317.7</v>
      </c>
      <c r="BD118" s="736">
        <f>BD111-BD114-BD115-BD116-BD113</f>
        <v>191.8000000000001</v>
      </c>
      <c r="BE118" s="736">
        <f t="shared" si="413"/>
        <v>513.9</v>
      </c>
      <c r="BF118" s="736">
        <f>BF111-BF114-BF115-BF116-BF113</f>
        <v>287.89999999999998</v>
      </c>
      <c r="BG118" s="736">
        <f>BG111-BG114-BG115-BG116-BG113</f>
        <v>261.10000000000008</v>
      </c>
      <c r="BH118" s="1145">
        <f t="shared" si="413"/>
        <v>549</v>
      </c>
      <c r="BI118" s="736">
        <f>BI111-BI114-BI115-BI116-BI113</f>
        <v>329.9</v>
      </c>
      <c r="BJ118" s="736">
        <f>BJ111-BJ114-BJ115-BJ116-BJ113</f>
        <v>194.70000000000005</v>
      </c>
      <c r="BK118" s="1294">
        <f t="shared" ref="BK118" si="414">BK111-BK114-BK115-BK116-BK113</f>
        <v>524.6</v>
      </c>
      <c r="BL118" s="736">
        <f>BL111-BL114-BL115-BL116-BL113</f>
        <v>264.3</v>
      </c>
      <c r="BM118" s="736">
        <f>BM111-BM114-BM115-BM116-BM113</f>
        <v>174.49999999999994</v>
      </c>
      <c r="BN118" s="1539">
        <f t="shared" ref="BN118" si="415">BN111-BN114-BN115-BN116-BN113</f>
        <v>438.79999999999995</v>
      </c>
      <c r="BO118" s="1539">
        <f>BO111-BO114-BO115-BO116-BO113</f>
        <v>285.50000000000006</v>
      </c>
      <c r="BP118" s="736">
        <f>BP111-BP114-BP115-BP116-BP113</f>
        <v>190.59999999999994</v>
      </c>
      <c r="BQ118" s="1539">
        <f t="shared" ref="BQ118" si="416">BQ111-BQ114-BQ115-BQ116-BQ113</f>
        <v>476.09999999999991</v>
      </c>
      <c r="BR118" s="1831">
        <f>BR111-BR114-BR115-BR116-BR113</f>
        <v>305.79999999999995</v>
      </c>
      <c r="BS118" s="736">
        <f>BS111-BS114-BS115-BS116-BS113</f>
        <v>197.40283911172125</v>
      </c>
      <c r="BT118" s="736">
        <f t="shared" si="413"/>
        <v>503.20283911172118</v>
      </c>
      <c r="BU118" s="736">
        <f>BU111-BU114-BU115-BU116-BU113</f>
        <v>310.59677687813917</v>
      </c>
      <c r="BV118" s="736">
        <f>BV111-BV114-BV115-BV116-BV113</f>
        <v>200.23242388655899</v>
      </c>
      <c r="BW118" s="736">
        <f t="shared" si="413"/>
        <v>510.82920076469816</v>
      </c>
      <c r="BX118" s="736">
        <f>BX111-BX114-BX115-BX116-BX113</f>
        <v>328.72200209839599</v>
      </c>
      <c r="BY118" s="736">
        <f>BY111-BY114-BY115-BY116-BY113</f>
        <v>208.16420043647273</v>
      </c>
      <c r="BZ118" s="736">
        <f t="shared" ref="BZ118" si="417">BZ111-BZ114-BZ115-BZ116-BZ113</f>
        <v>536.88620253486874</v>
      </c>
      <c r="CA118" s="736">
        <f>CA111-CA114-CA115-CA116-CA113</f>
        <v>344.46701685803851</v>
      </c>
      <c r="CB118" s="736">
        <f>CB111-CB114-CB115-CB116-CB113</f>
        <v>218.40111648944438</v>
      </c>
      <c r="CC118" s="736">
        <f t="shared" ref="CC118" si="418">CC111-CC114-CC115-CC116-CC113</f>
        <v>562.86813334748297</v>
      </c>
      <c r="CD118" s="74"/>
      <c r="CE118" s="74"/>
    </row>
    <row r="119" spans="1:83" outlineLevel="1">
      <c r="A119" s="746"/>
      <c r="B119" s="747" t="s">
        <v>299</v>
      </c>
      <c r="C119" s="785"/>
      <c r="D119" s="758"/>
      <c r="E119" s="758"/>
      <c r="F119" s="785"/>
      <c r="G119" s="785"/>
      <c r="H119" s="785"/>
      <c r="I119" s="785"/>
      <c r="J119" s="785"/>
      <c r="K119" s="785"/>
      <c r="L119" s="785"/>
      <c r="M119" s="758"/>
      <c r="N119" s="758"/>
      <c r="O119" s="772">
        <f t="shared" ref="O119:AG119" si="419">O118/L118-1</f>
        <v>0.5632837900603811</v>
      </c>
      <c r="P119" s="772">
        <f t="shared" si="419"/>
        <v>0.63440278314650156</v>
      </c>
      <c r="Q119" s="772">
        <f t="shared" si="419"/>
        <v>0.53088156484458615</v>
      </c>
      <c r="R119" s="772">
        <f t="shared" si="419"/>
        <v>0.61269157443858435</v>
      </c>
      <c r="S119" s="772">
        <f t="shared" si="419"/>
        <v>0.39719029374201797</v>
      </c>
      <c r="T119" s="772">
        <f t="shared" si="419"/>
        <v>0.54732420251170599</v>
      </c>
      <c r="U119" s="772">
        <f t="shared" si="419"/>
        <v>0.4498656636217091</v>
      </c>
      <c r="V119" s="772">
        <f t="shared" si="419"/>
        <v>0.28727401990656087</v>
      </c>
      <c r="W119" s="772">
        <f t="shared" si="419"/>
        <v>0.20485845988518436</v>
      </c>
      <c r="X119" s="772">
        <f t="shared" si="419"/>
        <v>0.25641432912947248</v>
      </c>
      <c r="Y119" s="772">
        <f t="shared" si="419"/>
        <v>0.155706339500572</v>
      </c>
      <c r="Z119" s="772">
        <f t="shared" si="419"/>
        <v>0.29578687947423998</v>
      </c>
      <c r="AA119" s="772">
        <f t="shared" si="419"/>
        <v>0.13268212925193001</v>
      </c>
      <c r="AB119" s="772">
        <f t="shared" si="419"/>
        <v>-9.3880848352448476E-2</v>
      </c>
      <c r="AC119" s="772">
        <f>AC118/Z118-1</f>
        <v>-0.59197203253210651</v>
      </c>
      <c r="AD119" s="772">
        <f t="shared" si="419"/>
        <v>-0.22139216488708668</v>
      </c>
      <c r="AE119" s="772">
        <f t="shared" si="419"/>
        <v>3.0551125733013551E-2</v>
      </c>
      <c r="AF119" s="772">
        <f>AF118/AC118-1</f>
        <v>0.52326200834591252</v>
      </c>
      <c r="AG119" s="772">
        <f t="shared" si="419"/>
        <v>0.11221223038770689</v>
      </c>
      <c r="AH119" s="772">
        <f>AH118/AE118-1</f>
        <v>0.10048738881442709</v>
      </c>
      <c r="AI119" s="772">
        <f t="shared" ref="AI119" si="420">AI118/AF118-1</f>
        <v>0.10867601200710975</v>
      </c>
      <c r="AJ119" s="772">
        <f>AJ118/AG118-1</f>
        <v>0.10290162652621082</v>
      </c>
      <c r="AK119" s="772">
        <f>AK118/AH118-1</f>
        <v>-1.9697288439607274E-2</v>
      </c>
      <c r="AL119" s="772">
        <f>AL118/AI118-1</f>
        <v>0.26105357236738391</v>
      </c>
      <c r="AM119" s="772">
        <f t="shared" ref="AM119" si="421">AM118/AJ118-1</f>
        <v>6.3509376046868571E-2</v>
      </c>
      <c r="AN119" s="772">
        <f t="shared" ref="AN119:BI119" si="422">AN118/AK118-1</f>
        <v>7.5199349431882112E-2</v>
      </c>
      <c r="AO119" s="772">
        <f t="shared" si="422"/>
        <v>0.18785566881370763</v>
      </c>
      <c r="AP119" s="772">
        <f t="shared" si="422"/>
        <v>0.1147892843800129</v>
      </c>
      <c r="AQ119" s="772">
        <f t="shared" si="422"/>
        <v>0.31728223874952732</v>
      </c>
      <c r="AR119" s="772">
        <f t="shared" si="422"/>
        <v>0.39907047468632073</v>
      </c>
      <c r="AS119" s="772">
        <f t="shared" si="422"/>
        <v>0.3479082868426413</v>
      </c>
      <c r="AT119" s="772">
        <f t="shared" si="422"/>
        <v>0.20972886762360465</v>
      </c>
      <c r="AU119" s="772">
        <f t="shared" si="422"/>
        <v>2.225081291203268E-2</v>
      </c>
      <c r="AV119" s="772">
        <f t="shared" si="422"/>
        <v>0.13686204945875424</v>
      </c>
      <c r="AW119" s="54">
        <f t="shared" si="422"/>
        <v>5.5372445616348021E-2</v>
      </c>
      <c r="AX119" s="54">
        <f t="shared" si="422"/>
        <v>0.10061349693251631</v>
      </c>
      <c r="AY119" s="54">
        <f t="shared" si="422"/>
        <v>7.1183533447684688E-2</v>
      </c>
      <c r="AZ119" s="54">
        <f t="shared" si="422"/>
        <v>6.5584009993753689E-2</v>
      </c>
      <c r="BA119" s="54">
        <f t="shared" si="422"/>
        <v>0.73467112597547457</v>
      </c>
      <c r="BB119" s="54">
        <f t="shared" si="422"/>
        <v>0.3058446757405926</v>
      </c>
      <c r="BC119" s="54">
        <f t="shared" si="422"/>
        <v>0.862250879249707</v>
      </c>
      <c r="BD119" s="54">
        <f t="shared" si="422"/>
        <v>0.23264781491002595</v>
      </c>
      <c r="BE119" s="54">
        <f t="shared" si="422"/>
        <v>0.57541385652973598</v>
      </c>
      <c r="BF119" s="54">
        <f t="shared" si="422"/>
        <v>-9.3799181617878591E-2</v>
      </c>
      <c r="BG119" s="54">
        <f t="shared" si="422"/>
        <v>0.36131386861313852</v>
      </c>
      <c r="BH119" s="54">
        <f t="shared" ref="BH119" si="423">BH118/BE118-1</f>
        <v>6.8301225919439545E-2</v>
      </c>
      <c r="BI119" s="54">
        <f t="shared" si="422"/>
        <v>0.14588398749565812</v>
      </c>
      <c r="BJ119" s="54">
        <f t="shared" ref="BJ119:BQ119" si="424">BJ118/BG118-1</f>
        <v>-0.2543086939869782</v>
      </c>
      <c r="BK119" s="54">
        <f t="shared" si="424"/>
        <v>-4.4444444444444398E-2</v>
      </c>
      <c r="BL119" s="54">
        <f t="shared" si="424"/>
        <v>-0.19884813579872684</v>
      </c>
      <c r="BM119" s="54">
        <f t="shared" si="424"/>
        <v>-0.10374935798664664</v>
      </c>
      <c r="BN119" s="54">
        <f t="shared" si="424"/>
        <v>-0.16355318337781177</v>
      </c>
      <c r="BO119" s="54">
        <f t="shared" si="424"/>
        <v>8.0211880438895378E-2</v>
      </c>
      <c r="BP119" s="54">
        <f>BP118/BM118-1</f>
        <v>9.2263610315186151E-2</v>
      </c>
      <c r="BQ119" s="54">
        <f t="shared" si="424"/>
        <v>8.5004557885141274E-2</v>
      </c>
      <c r="BR119" s="1843">
        <f>BR118/BO118-1</f>
        <v>7.1103327495621427E-2</v>
      </c>
      <c r="BS119" s="54">
        <f t="shared" ref="BS119" si="425">BS118/BP118-1</f>
        <v>3.5691705727813883E-2</v>
      </c>
      <c r="BT119" s="54">
        <f>BT118/BQ118-1</f>
        <v>5.6926778222476937E-2</v>
      </c>
      <c r="BU119" s="54">
        <f t="shared" ref="BU119" si="426">BU118/BR118-1</f>
        <v>1.5685993715301549E-2</v>
      </c>
      <c r="BV119" s="54">
        <f t="shared" ref="BV119" si="427">BV118/BS118-1</f>
        <v>1.4334063215961867E-2</v>
      </c>
      <c r="BW119" s="54">
        <f>BW118/BT118-1</f>
        <v>1.5155641145505827E-2</v>
      </c>
      <c r="BX119" s="54">
        <f t="shared" ref="BX119" si="428">BX118/BU118-1</f>
        <v>5.8356127846645789E-2</v>
      </c>
      <c r="BY119" s="54">
        <f t="shared" ref="BY119" si="429">BY118/BV118-1</f>
        <v>3.9612847889248126E-2</v>
      </c>
      <c r="BZ119" s="54">
        <f>BZ118/BW118-1</f>
        <v>5.1009225257999891E-2</v>
      </c>
      <c r="CA119" s="54">
        <f t="shared" ref="CA119" si="430">CA118/BX118-1</f>
        <v>4.789766020873043E-2</v>
      </c>
      <c r="CB119" s="54">
        <f t="shared" ref="CB119" si="431">CB118/BY118-1</f>
        <v>4.9177120905069982E-2</v>
      </c>
      <c r="CC119" s="54">
        <f>CC118/BZ118-1</f>
        <v>4.8393739101400657E-2</v>
      </c>
      <c r="CD119" s="114"/>
      <c r="CE119" s="114"/>
    </row>
    <row r="120" spans="1:83" outlineLevel="1">
      <c r="A120" s="746"/>
      <c r="B120" s="536"/>
      <c r="C120" s="758"/>
      <c r="D120" s="758"/>
      <c r="E120" s="758"/>
      <c r="F120" s="758"/>
      <c r="G120" s="758"/>
      <c r="H120" s="758"/>
      <c r="I120" s="758"/>
      <c r="J120" s="758"/>
      <c r="K120" s="758"/>
      <c r="L120" s="758"/>
      <c r="M120" s="758"/>
      <c r="N120" s="758"/>
      <c r="O120" s="758"/>
      <c r="P120" s="758"/>
      <c r="Q120" s="758"/>
      <c r="R120" s="758"/>
      <c r="S120" s="758"/>
      <c r="T120" s="758"/>
      <c r="U120" s="758"/>
      <c r="V120" s="758"/>
      <c r="W120" s="758"/>
      <c r="X120" s="786"/>
      <c r="Y120" s="758"/>
      <c r="Z120" s="758"/>
      <c r="AA120" s="786"/>
      <c r="AB120" s="758"/>
      <c r="AC120" s="758"/>
      <c r="AD120" s="786"/>
      <c r="AE120" s="758"/>
      <c r="AF120" s="758"/>
      <c r="AG120" s="786"/>
      <c r="AH120" s="758"/>
      <c r="AI120" s="758"/>
      <c r="AJ120" s="758"/>
      <c r="AK120" s="758"/>
      <c r="AL120" s="758"/>
      <c r="AM120" s="758"/>
      <c r="AN120" s="758"/>
      <c r="AO120" s="758"/>
      <c r="AP120" s="758"/>
      <c r="AQ120" s="758"/>
      <c r="AR120" s="758"/>
      <c r="AS120" s="758"/>
      <c r="AT120" s="758"/>
      <c r="AU120" s="758"/>
      <c r="AV120" s="758"/>
      <c r="AW120" s="123"/>
      <c r="AX120" s="123"/>
      <c r="AY120" s="123"/>
      <c r="AZ120" s="123"/>
      <c r="BA120" s="123"/>
      <c r="BB120" s="123"/>
      <c r="BC120" s="123"/>
      <c r="BD120" s="123"/>
      <c r="BE120" s="123">
        <f t="shared" ref="BE120" si="432">+BE118-BC118-BD118</f>
        <v>4.399999999999892</v>
      </c>
      <c r="BF120" s="123"/>
      <c r="BG120" s="123"/>
      <c r="BH120" s="123">
        <f>+BH118-BF118-BG118</f>
        <v>0</v>
      </c>
      <c r="BI120" s="123"/>
      <c r="BJ120" s="123"/>
      <c r="BK120" s="123">
        <f>+BK118-BI118-BJ118</f>
        <v>0</v>
      </c>
      <c r="BL120" s="123"/>
      <c r="BM120" s="123"/>
      <c r="BN120" s="123">
        <f>+BN118-BL118-BM118</f>
        <v>0</v>
      </c>
      <c r="BO120" s="123"/>
      <c r="BP120" s="123"/>
      <c r="BQ120" s="123">
        <f>+BQ118-BO118-BP118</f>
        <v>0</v>
      </c>
      <c r="BR120" s="1839"/>
      <c r="BS120" s="123"/>
      <c r="BT120" s="123"/>
      <c r="BU120" s="123"/>
      <c r="BV120" s="123"/>
      <c r="BW120" s="1684"/>
      <c r="BX120" s="123"/>
      <c r="BY120" s="123"/>
      <c r="BZ120" s="123"/>
      <c r="CA120" s="123"/>
      <c r="CB120" s="123"/>
      <c r="CC120" s="123"/>
      <c r="CD120" s="114"/>
      <c r="CE120" s="94"/>
    </row>
    <row r="121" spans="1:83" outlineLevel="1">
      <c r="A121" s="746"/>
      <c r="B121" s="349" t="s">
        <v>311</v>
      </c>
      <c r="C121" s="350">
        <f t="shared" ref="C121:AG121" si="433">C103</f>
        <v>83.185000000000002</v>
      </c>
      <c r="D121" s="350">
        <f t="shared" si="433"/>
        <v>104.19932810750281</v>
      </c>
      <c r="E121" s="350">
        <f t="shared" si="433"/>
        <v>86.375</v>
      </c>
      <c r="F121" s="350">
        <f t="shared" si="433"/>
        <v>86.375</v>
      </c>
      <c r="G121" s="350">
        <f t="shared" si="433"/>
        <v>104.229</v>
      </c>
      <c r="H121" s="350">
        <f>G103</f>
        <v>104.229</v>
      </c>
      <c r="I121" s="350">
        <f t="shared" si="433"/>
        <v>104.229</v>
      </c>
      <c r="J121" s="350">
        <f t="shared" si="433"/>
        <v>105.253</v>
      </c>
      <c r="K121" s="350">
        <f t="shared" si="433"/>
        <v>105.253</v>
      </c>
      <c r="L121" s="350">
        <f t="shared" si="433"/>
        <v>105.253</v>
      </c>
      <c r="M121" s="350">
        <f t="shared" si="433"/>
        <v>106.35107679804956</v>
      </c>
      <c r="N121" s="350">
        <f t="shared" si="433"/>
        <v>106.054</v>
      </c>
      <c r="O121" s="350">
        <f t="shared" si="433"/>
        <v>106.054</v>
      </c>
      <c r="P121" s="350">
        <f t="shared" si="433"/>
        <v>106.93013768485467</v>
      </c>
      <c r="Q121" s="350">
        <f t="shared" si="433"/>
        <v>107.255</v>
      </c>
      <c r="R121" s="350">
        <f t="shared" si="433"/>
        <v>107.255</v>
      </c>
      <c r="S121" s="350">
        <f t="shared" si="433"/>
        <v>107.58199708454809</v>
      </c>
      <c r="T121" s="350">
        <f t="shared" si="433"/>
        <v>107.76900000000001</v>
      </c>
      <c r="U121" s="350">
        <f t="shared" si="433"/>
        <v>107.76900000000001</v>
      </c>
      <c r="V121" s="350">
        <f t="shared" si="433"/>
        <v>109.59204266974196</v>
      </c>
      <c r="W121" s="350">
        <f t="shared" si="433"/>
        <v>109.43300000000001</v>
      </c>
      <c r="X121" s="350">
        <f t="shared" si="433"/>
        <v>109.43300000000001</v>
      </c>
      <c r="Y121" s="350">
        <f t="shared" si="433"/>
        <v>109.77500000000001</v>
      </c>
      <c r="Z121" s="350">
        <f t="shared" si="433"/>
        <v>108.496</v>
      </c>
      <c r="AA121" s="350">
        <f t="shared" si="433"/>
        <v>108.496</v>
      </c>
      <c r="AB121" s="350">
        <f t="shared" si="433"/>
        <v>98.935000000000002</v>
      </c>
      <c r="AC121" s="350">
        <f t="shared" si="433"/>
        <v>98.841999999999999</v>
      </c>
      <c r="AD121" s="350">
        <f t="shared" si="433"/>
        <v>98.841999999999999</v>
      </c>
      <c r="AE121" s="350">
        <f t="shared" si="433"/>
        <v>98.858000000000004</v>
      </c>
      <c r="AF121" s="350">
        <f t="shared" si="433"/>
        <v>99.453000000000003</v>
      </c>
      <c r="AG121" s="350">
        <f t="shared" si="433"/>
        <v>99.453000000000003</v>
      </c>
      <c r="AH121" s="350">
        <f>AH103</f>
        <v>101.20699999999999</v>
      </c>
      <c r="AI121" s="350">
        <f>AI103</f>
        <v>101.161</v>
      </c>
      <c r="AJ121" s="350">
        <f>AJ103</f>
        <v>101.161</v>
      </c>
      <c r="AK121" s="350">
        <f>AK103</f>
        <v>100.13500000000001</v>
      </c>
      <c r="AL121" s="350">
        <f>AL103</f>
        <v>100.13500000000001</v>
      </c>
      <c r="AM121" s="350">
        <f t="shared" ref="AM121:BB121" si="434">AM103</f>
        <v>100.03700000000001</v>
      </c>
      <c r="AN121" s="350">
        <f>AN103</f>
        <v>100.03100000000001</v>
      </c>
      <c r="AO121" s="350">
        <f>AO103</f>
        <v>100.03100000000001</v>
      </c>
      <c r="AP121" s="350">
        <f t="shared" si="434"/>
        <v>100.03700000000001</v>
      </c>
      <c r="AQ121" s="350">
        <f>AQ103</f>
        <v>108.9</v>
      </c>
      <c r="AR121" s="350">
        <f>AR103</f>
        <v>114.421403</v>
      </c>
      <c r="AS121" s="350">
        <f t="shared" si="434"/>
        <v>112.7</v>
      </c>
      <c r="AT121" s="350">
        <f>AT103</f>
        <v>115.8</v>
      </c>
      <c r="AU121" s="350">
        <f>AU103</f>
        <v>115.9</v>
      </c>
      <c r="AV121" s="350">
        <f>AV103</f>
        <v>115.9</v>
      </c>
      <c r="AW121" s="118">
        <f>AW103</f>
        <v>116</v>
      </c>
      <c r="AX121" s="118">
        <f>AX103</f>
        <v>116.1</v>
      </c>
      <c r="AY121" s="118">
        <f t="shared" si="434"/>
        <v>116.1</v>
      </c>
      <c r="AZ121" s="118">
        <f>AZ103</f>
        <v>115.7</v>
      </c>
      <c r="BA121" s="118">
        <f t="shared" ref="BA121" si="435">BA103</f>
        <v>116</v>
      </c>
      <c r="BB121" s="118">
        <f t="shared" si="434"/>
        <v>116</v>
      </c>
      <c r="BC121" s="118">
        <f>BC103</f>
        <v>115.7</v>
      </c>
      <c r="BD121" s="118">
        <f>BD103</f>
        <v>115.7</v>
      </c>
      <c r="BE121" s="118">
        <f t="shared" ref="BE121:BW121" si="436">BE103</f>
        <v>115.6</v>
      </c>
      <c r="BF121" s="118">
        <f>BF103</f>
        <v>115.4</v>
      </c>
      <c r="BG121" s="118">
        <f>BG103</f>
        <v>115.4</v>
      </c>
      <c r="BH121" s="118">
        <f t="shared" si="436"/>
        <v>114.2</v>
      </c>
      <c r="BI121" s="118">
        <f>BI103</f>
        <v>109.7</v>
      </c>
      <c r="BJ121" s="118">
        <f>BJ103</f>
        <v>109.8</v>
      </c>
      <c r="BK121" s="118">
        <f t="shared" ref="BK121" si="437">BK103</f>
        <v>109.8</v>
      </c>
      <c r="BL121" s="118">
        <f>BL103</f>
        <v>109.8</v>
      </c>
      <c r="BM121" s="118">
        <f>BM103</f>
        <v>109.5</v>
      </c>
      <c r="BN121" s="118">
        <f t="shared" ref="BN121" si="438">BN103</f>
        <v>109.5</v>
      </c>
      <c r="BO121" s="118">
        <f>BO103</f>
        <v>109.7</v>
      </c>
      <c r="BP121" s="118">
        <f>BP103</f>
        <v>109.7</v>
      </c>
      <c r="BQ121" s="118">
        <f t="shared" ref="BQ121" si="439">BQ103</f>
        <v>109.7</v>
      </c>
      <c r="BR121" s="1840">
        <f>BR103</f>
        <v>109.6</v>
      </c>
      <c r="BS121" s="118">
        <f>BS103</f>
        <v>109.733981</v>
      </c>
      <c r="BT121" s="118">
        <f t="shared" si="436"/>
        <v>109.733981</v>
      </c>
      <c r="BU121" s="118">
        <f>BU103</f>
        <v>109.733981</v>
      </c>
      <c r="BV121" s="118">
        <f>BV103</f>
        <v>109.733981</v>
      </c>
      <c r="BW121" s="118">
        <f t="shared" si="436"/>
        <v>109.733981</v>
      </c>
      <c r="BX121" s="118">
        <f>BX103</f>
        <v>109.733981</v>
      </c>
      <c r="BY121" s="118">
        <f>BY103</f>
        <v>109.733981</v>
      </c>
      <c r="BZ121" s="118">
        <f t="shared" ref="BZ121" si="440">BZ103</f>
        <v>109.733981</v>
      </c>
      <c r="CA121" s="118">
        <f>CA103</f>
        <v>109.733981</v>
      </c>
      <c r="CB121" s="118">
        <f>CB103</f>
        <v>109.733981</v>
      </c>
      <c r="CC121" s="118">
        <f t="shared" ref="CC121" si="441">CC103</f>
        <v>109.733981</v>
      </c>
      <c r="CD121" s="115"/>
      <c r="CE121" s="74"/>
    </row>
    <row r="122" spans="1:83" outlineLevel="1">
      <c r="A122" s="746"/>
      <c r="B122" s="349"/>
      <c r="C122" s="350"/>
      <c r="D122" s="350"/>
      <c r="E122" s="350"/>
      <c r="F122" s="350"/>
      <c r="G122" s="350"/>
      <c r="H122" s="350"/>
      <c r="I122" s="350"/>
      <c r="J122" s="350"/>
      <c r="K122" s="350"/>
      <c r="L122" s="755"/>
      <c r="M122" s="350"/>
      <c r="N122" s="350"/>
      <c r="O122" s="755"/>
      <c r="P122" s="350"/>
      <c r="Q122" s="350"/>
      <c r="R122" s="755"/>
      <c r="S122" s="350"/>
      <c r="T122" s="350"/>
      <c r="U122" s="350"/>
      <c r="V122" s="350"/>
      <c r="W122" s="350"/>
      <c r="X122" s="350"/>
      <c r="Y122" s="350"/>
      <c r="Z122" s="350"/>
      <c r="AA122" s="350"/>
      <c r="AB122" s="350"/>
      <c r="AC122" s="350"/>
      <c r="AD122" s="350"/>
      <c r="AE122" s="350"/>
      <c r="AF122" s="350"/>
      <c r="AG122" s="350"/>
      <c r="AH122" s="350"/>
      <c r="AI122" s="350"/>
      <c r="AJ122" s="350"/>
      <c r="AK122" s="350"/>
      <c r="AL122" s="350"/>
      <c r="AM122" s="350"/>
      <c r="AN122" s="350"/>
      <c r="AO122" s="350"/>
      <c r="AP122" s="350"/>
      <c r="AQ122" s="350"/>
      <c r="AR122" s="350"/>
      <c r="AS122" s="350"/>
      <c r="AT122" s="350"/>
      <c r="AU122" s="350"/>
      <c r="AV122" s="350"/>
      <c r="AW122" s="118"/>
      <c r="AX122" s="118"/>
      <c r="AY122" s="118"/>
      <c r="AZ122" s="118"/>
      <c r="BA122" s="118">
        <f>BA120-AX120</f>
        <v>0</v>
      </c>
      <c r="BB122" s="118"/>
      <c r="BC122" s="118"/>
      <c r="BD122" s="118"/>
      <c r="BE122" s="118"/>
      <c r="BF122" s="118"/>
      <c r="BG122" s="118"/>
      <c r="BH122" s="118"/>
      <c r="BI122" s="118"/>
      <c r="BJ122" s="118"/>
      <c r="BK122" s="118"/>
      <c r="BL122" s="118"/>
      <c r="BM122" s="118"/>
      <c r="BN122" s="118"/>
      <c r="BO122" s="118"/>
      <c r="BP122" s="118"/>
      <c r="BQ122" s="118"/>
      <c r="BR122" s="1840"/>
      <c r="BS122" s="118"/>
      <c r="BT122" s="118"/>
      <c r="BU122" s="118"/>
      <c r="BV122" s="118"/>
      <c r="BW122" s="118"/>
      <c r="BX122" s="118"/>
      <c r="BY122" s="118"/>
      <c r="BZ122" s="118"/>
      <c r="CA122" s="118"/>
      <c r="CB122" s="118"/>
      <c r="CC122" s="118"/>
      <c r="CD122" s="115"/>
      <c r="CE122" s="74"/>
    </row>
    <row r="123" spans="1:83">
      <c r="A123" s="746" t="s">
        <v>415</v>
      </c>
      <c r="B123" s="82" t="s">
        <v>415</v>
      </c>
      <c r="C123" s="98">
        <f t="shared" ref="C123:AM123" si="442">C118/C121*100</f>
        <v>10.768768407765824</v>
      </c>
      <c r="D123" s="99">
        <f t="shared" si="442"/>
        <v>8.9252015045674362</v>
      </c>
      <c r="E123" s="99">
        <f t="shared" si="442"/>
        <v>5.5930535455861063</v>
      </c>
      <c r="F123" s="98">
        <f t="shared" si="442"/>
        <v>16.360057887120117</v>
      </c>
      <c r="G123" s="99">
        <f t="shared" si="442"/>
        <v>14.032562914352054</v>
      </c>
      <c r="H123" s="99">
        <f t="shared" si="442"/>
        <v>6.7802626908058174</v>
      </c>
      <c r="I123" s="98">
        <f t="shared" si="442"/>
        <v>20.489499083748282</v>
      </c>
      <c r="J123" s="99">
        <f t="shared" si="442"/>
        <v>17.909228240525216</v>
      </c>
      <c r="K123" s="99">
        <f t="shared" si="442"/>
        <v>6.9489705756605487</v>
      </c>
      <c r="L123" s="99">
        <f>L118/L121*100</f>
        <v>24.546568743883785</v>
      </c>
      <c r="M123" s="99">
        <f t="shared" ref="M123:N123" si="443">M118/M121*100</f>
        <v>24.32509456309938</v>
      </c>
      <c r="N123" s="99">
        <f t="shared" si="443"/>
        <v>14.075848152827811</v>
      </c>
      <c r="O123" s="99">
        <f t="shared" si="442"/>
        <v>38.083429196447092</v>
      </c>
      <c r="P123" s="99">
        <f t="shared" si="442"/>
        <v>39.541705374600596</v>
      </c>
      <c r="Q123" s="99">
        <f t="shared" si="442"/>
        <v>21.307165167125071</v>
      </c>
      <c r="R123" s="99">
        <f t="shared" si="442"/>
        <v>60.729103538296577</v>
      </c>
      <c r="S123" s="99">
        <f t="shared" si="442"/>
        <v>54.912533324300071</v>
      </c>
      <c r="T123" s="99">
        <f t="shared" si="442"/>
        <v>32.81184756284275</v>
      </c>
      <c r="U123" s="99">
        <f t="shared" si="442"/>
        <v>87.629095565515129</v>
      </c>
      <c r="V123" s="99">
        <f t="shared" si="442"/>
        <v>69.390986925181522</v>
      </c>
      <c r="W123" s="99">
        <f t="shared" si="442"/>
        <v>38.932497509891903</v>
      </c>
      <c r="X123" s="99">
        <f>X118/X121*100</f>
        <v>108.42433269671854</v>
      </c>
      <c r="Y123" s="99">
        <f t="shared" ref="Y123:Z123" si="444">Y118/Y121*100</f>
        <v>80.061944887269405</v>
      </c>
      <c r="Z123" s="99">
        <f t="shared" si="444"/>
        <v>50.883903554048082</v>
      </c>
      <c r="AA123" s="99">
        <f t="shared" si="442"/>
        <v>123.8709261170919</v>
      </c>
      <c r="AB123" s="99">
        <f t="shared" si="442"/>
        <v>80.494263910648399</v>
      </c>
      <c r="AC123" s="99">
        <f t="shared" si="442"/>
        <v>22.789907124501735</v>
      </c>
      <c r="AD123" s="99">
        <f t="shared" si="442"/>
        <v>105.86693915541976</v>
      </c>
      <c r="AE123" s="99">
        <f t="shared" si="442"/>
        <v>83.018066317344065</v>
      </c>
      <c r="AF123" s="99">
        <f t="shared" si="442"/>
        <v>34.501724432646611</v>
      </c>
      <c r="AG123" s="99">
        <f t="shared" si="442"/>
        <v>117.02311644696492</v>
      </c>
      <c r="AH123" s="99">
        <f>AH118/AH121*100</f>
        <v>89.239874712223482</v>
      </c>
      <c r="AI123" s="99">
        <f>AI118/AI121*100</f>
        <v>37.605401291011347</v>
      </c>
      <c r="AJ123" s="99">
        <f>AJ118/AJ121*100</f>
        <v>126.88585522088553</v>
      </c>
      <c r="AK123" s="99">
        <f>AK118/AK121*100</f>
        <v>88.418634842962007</v>
      </c>
      <c r="AL123" s="99">
        <f>AL118/AL121*100</f>
        <v>47.908323762920055</v>
      </c>
      <c r="AM123" s="99">
        <f t="shared" si="442"/>
        <v>136.46050961144377</v>
      </c>
      <c r="AN123" s="99">
        <f>AN118/AN121*100</f>
        <v>95.166498385500475</v>
      </c>
      <c r="AO123" s="99">
        <f>AO118/AO121*100</f>
        <v>56.967340124561382</v>
      </c>
      <c r="AP123" s="99">
        <f t="shared" ref="AP123:BW123" si="445">AP118/AP121*100</f>
        <v>152.1247138558733</v>
      </c>
      <c r="AQ123" s="99">
        <f>AQ118/AQ121*100</f>
        <v>115.15151515151514</v>
      </c>
      <c r="AR123" s="99">
        <f>AR118/AR121*100</f>
        <v>69.677550623985965</v>
      </c>
      <c r="AS123" s="99">
        <f t="shared" si="445"/>
        <v>182.01067524401063</v>
      </c>
      <c r="AT123" s="99">
        <f>AT118/AT121*100</f>
        <v>131.00172711571679</v>
      </c>
      <c r="AU123" s="99">
        <f>AU118/AU121*100</f>
        <v>70.319240724762651</v>
      </c>
      <c r="AV123" s="99">
        <f t="shared" si="445"/>
        <v>201.20793787748053</v>
      </c>
      <c r="AW123" s="736">
        <f t="shared" ref="AW123:AX123" si="446">AW118/AW121*100</f>
        <v>138.01724137931038</v>
      </c>
      <c r="AX123" s="736">
        <f t="shared" si="446"/>
        <v>77.2609819121447</v>
      </c>
      <c r="AY123" s="736">
        <f t="shared" si="445"/>
        <v>215.15934539190354</v>
      </c>
      <c r="AZ123" s="736">
        <f>AZ118/AZ121*100</f>
        <v>147.45030250648227</v>
      </c>
      <c r="BA123" s="736">
        <f t="shared" ref="BA123" si="447">BA118/BA121*100</f>
        <v>134.13793103448279</v>
      </c>
      <c r="BB123" s="736">
        <f t="shared" si="445"/>
        <v>281.20689655172418</v>
      </c>
      <c r="BC123" s="736">
        <f>BC118/BC121*100</f>
        <v>274.58945548833185</v>
      </c>
      <c r="BD123" s="736">
        <f>BD118/BD121*100</f>
        <v>165.77355229040631</v>
      </c>
      <c r="BE123" s="736">
        <f t="shared" si="445"/>
        <v>444.5501730103806</v>
      </c>
      <c r="BF123" s="736">
        <f>BF118/BF121*100</f>
        <v>249.4800693240901</v>
      </c>
      <c r="BG123" s="736">
        <f>BG118/BG121*100</f>
        <v>226.25649913344893</v>
      </c>
      <c r="BH123" s="1145">
        <f t="shared" si="445"/>
        <v>480.7355516637478</v>
      </c>
      <c r="BI123" s="736">
        <f t="shared" ref="BI123:BP123" si="448">BI118/BI121*100</f>
        <v>300.72926162260705</v>
      </c>
      <c r="BJ123" s="736">
        <f t="shared" si="448"/>
        <v>177.32240437158475</v>
      </c>
      <c r="BK123" s="1294">
        <f t="shared" si="448"/>
        <v>477.77777777777777</v>
      </c>
      <c r="BL123" s="736">
        <f t="shared" si="448"/>
        <v>240.71038251366122</v>
      </c>
      <c r="BM123" s="736">
        <f t="shared" si="448"/>
        <v>159.36073059360726</v>
      </c>
      <c r="BN123" s="1539">
        <f t="shared" si="448"/>
        <v>400.73059360730588</v>
      </c>
      <c r="BO123" s="1539">
        <f t="shared" ref="BO123" si="449">BO118/BO121*100</f>
        <v>260.25524156791255</v>
      </c>
      <c r="BP123" s="736">
        <f t="shared" si="448"/>
        <v>173.74658158614398</v>
      </c>
      <c r="BQ123" s="1539">
        <f t="shared" ref="BQ123" si="450">BQ118/BQ121*100</f>
        <v>434.00182315405641</v>
      </c>
      <c r="BR123" s="1831">
        <f>BR118/BR121*100</f>
        <v>279.01459854014593</v>
      </c>
      <c r="BS123" s="736">
        <f>BS118/BS121*100</f>
        <v>179.89216951102981</v>
      </c>
      <c r="BT123" s="736">
        <f t="shared" si="445"/>
        <v>458.56610188207895</v>
      </c>
      <c r="BU123" s="736">
        <f>BU118/BU121*100</f>
        <v>283.04520992283983</v>
      </c>
      <c r="BV123" s="736">
        <f>BV118/BV121*100</f>
        <v>182.47075524085744</v>
      </c>
      <c r="BW123" s="736">
        <f t="shared" si="445"/>
        <v>465.51596516369722</v>
      </c>
      <c r="BX123" s="736">
        <f>BX118/BX121*100</f>
        <v>299.5626323794778</v>
      </c>
      <c r="BY123" s="736">
        <f>BY118/BY121*100</f>
        <v>189.69894151244975</v>
      </c>
      <c r="BZ123" s="736">
        <f t="shared" ref="BZ123" si="451">BZ118/BZ121*100</f>
        <v>489.26157389192753</v>
      </c>
      <c r="CA123" s="736">
        <f>CA118/CA121*100</f>
        <v>313.91098155642283</v>
      </c>
      <c r="CB123" s="736">
        <f>CB118/CB121*100</f>
        <v>199.02778929477131</v>
      </c>
      <c r="CC123" s="736">
        <f t="shared" ref="CC123" si="452">CC118/CC121*100</f>
        <v>512.93877085119425</v>
      </c>
      <c r="CD123" s="74"/>
      <c r="CE123" s="1183"/>
    </row>
    <row r="124" spans="1:83" outlineLevel="1">
      <c r="A124" s="746"/>
      <c r="B124" s="747" t="s">
        <v>299</v>
      </c>
      <c r="C124" s="747"/>
      <c r="D124" s="747"/>
      <c r="E124" s="747"/>
      <c r="F124" s="747">
        <f>F123/C123-1</f>
        <v>0.51921345762456661</v>
      </c>
      <c r="G124" s="747">
        <f>G123/D123-1</f>
        <v>0.57224045946424251</v>
      </c>
      <c r="H124" s="747">
        <f>H123/E123-1</f>
        <v>0.21226493462710105</v>
      </c>
      <c r="I124" s="747">
        <f t="shared" ref="I124:AG124" si="453">I123/F123-1</f>
        <v>0.25240993797944777</v>
      </c>
      <c r="J124" s="747">
        <f t="shared" si="453"/>
        <v>0.27626210192923728</v>
      </c>
      <c r="K124" s="747">
        <f t="shared" si="453"/>
        <v>2.4882204797684659E-2</v>
      </c>
      <c r="L124" s="747">
        <f t="shared" si="453"/>
        <v>0.19800726428463356</v>
      </c>
      <c r="M124" s="747">
        <f t="shared" si="453"/>
        <v>0.35824359578243947</v>
      </c>
      <c r="N124" s="747">
        <f t="shared" si="453"/>
        <v>1.0256019218342716</v>
      </c>
      <c r="O124" s="747">
        <f t="shared" si="453"/>
        <v>0.5514766888115985</v>
      </c>
      <c r="P124" s="747">
        <f t="shared" si="453"/>
        <v>0.6255519694704279</v>
      </c>
      <c r="Q124" s="747">
        <f t="shared" si="453"/>
        <v>0.51373934528019904</v>
      </c>
      <c r="R124" s="747">
        <f t="shared" si="453"/>
        <v>0.59463327803374821</v>
      </c>
      <c r="S124" s="747">
        <f t="shared" si="453"/>
        <v>0.38872445697733715</v>
      </c>
      <c r="T124" s="747">
        <f t="shared" si="453"/>
        <v>0.53994430068380517</v>
      </c>
      <c r="U124" s="747">
        <f t="shared" si="453"/>
        <v>0.44295058645571905</v>
      </c>
      <c r="V124" s="747">
        <f t="shared" si="453"/>
        <v>0.2636639164938035</v>
      </c>
      <c r="W124" s="747">
        <f t="shared" si="453"/>
        <v>0.18653780270454456</v>
      </c>
      <c r="X124" s="747">
        <f t="shared" si="453"/>
        <v>0.23730973139687417</v>
      </c>
      <c r="Y124" s="747">
        <f t="shared" si="453"/>
        <v>0.15378017282840317</v>
      </c>
      <c r="Z124" s="747">
        <f t="shared" si="453"/>
        <v>0.30697763587141025</v>
      </c>
      <c r="AA124" s="747">
        <f t="shared" si="453"/>
        <v>0.14246427011527141</v>
      </c>
      <c r="AB124" s="747">
        <f t="shared" si="453"/>
        <v>5.3998066620504215E-3</v>
      </c>
      <c r="AC124" s="747">
        <f t="shared" si="453"/>
        <v>-0.55211952046299562</v>
      </c>
      <c r="AD124" s="747">
        <f t="shared" si="453"/>
        <v>-0.14534473525008973</v>
      </c>
      <c r="AE124" s="747">
        <f t="shared" si="453"/>
        <v>3.1353816832180526E-2</v>
      </c>
      <c r="AF124" s="747">
        <f t="shared" si="453"/>
        <v>0.51390368745967141</v>
      </c>
      <c r="AG124" s="747">
        <f t="shared" si="453"/>
        <v>0.1053792371872313</v>
      </c>
      <c r="AH124" s="747">
        <f t="shared" ref="AH124" si="454">AH123/AE123-1</f>
        <v>7.494523386145846E-2</v>
      </c>
      <c r="AI124" s="747">
        <f t="shared" ref="AI124:AJ124" si="455">AI123/AF123-1</f>
        <v>8.9957151690306159E-2</v>
      </c>
      <c r="AJ124" s="747">
        <f t="shared" si="455"/>
        <v>8.4280260801210316E-2</v>
      </c>
      <c r="AK124" s="747">
        <f t="shared" ref="AK124:BB124" si="456">AK123/AH123-1</f>
        <v>-9.2026111859723203E-3</v>
      </c>
      <c r="AL124" s="747">
        <f t="shared" si="456"/>
        <v>0.27397453871530342</v>
      </c>
      <c r="AM124" s="747">
        <f t="shared" si="456"/>
        <v>7.5458800146718241E-2</v>
      </c>
      <c r="AN124" s="747">
        <f t="shared" si="456"/>
        <v>7.6317210218447284E-2</v>
      </c>
      <c r="AO124" s="747">
        <f t="shared" si="456"/>
        <v>0.18909065586328855</v>
      </c>
      <c r="AP124" s="747">
        <f t="shared" si="456"/>
        <v>0.11478928438001312</v>
      </c>
      <c r="AQ124" s="747">
        <f t="shared" si="456"/>
        <v>0.21000054751472885</v>
      </c>
      <c r="AR124" s="747">
        <f t="shared" si="456"/>
        <v>0.22311398902657542</v>
      </c>
      <c r="AS124" s="747">
        <f t="shared" si="456"/>
        <v>0.19645697684895591</v>
      </c>
      <c r="AT124" s="747">
        <f t="shared" si="456"/>
        <v>0.13764657758385646</v>
      </c>
      <c r="AU124" s="747">
        <f t="shared" si="456"/>
        <v>9.2094239110034337E-3</v>
      </c>
      <c r="AV124" s="747">
        <f t="shared" si="456"/>
        <v>0.10547327846420718</v>
      </c>
      <c r="AW124" s="117">
        <f t="shared" si="456"/>
        <v>5.3552837951492238E-2</v>
      </c>
      <c r="AX124" s="117">
        <f t="shared" si="456"/>
        <v>9.8717521916267481E-2</v>
      </c>
      <c r="AY124" s="117">
        <f t="shared" si="456"/>
        <v>6.9338256042951407E-2</v>
      </c>
      <c r="AZ124" s="117">
        <f t="shared" si="456"/>
        <v>6.8346976311801422E-2</v>
      </c>
      <c r="BA124" s="117">
        <f t="shared" si="456"/>
        <v>0.73616653211855665</v>
      </c>
      <c r="BB124" s="117">
        <f t="shared" si="456"/>
        <v>0.30697040390933461</v>
      </c>
      <c r="BC124" s="117">
        <f t="shared" ref="BC124" si="457">BC123/AZ123-1</f>
        <v>0.86225087924970678</v>
      </c>
      <c r="BD124" s="117">
        <f t="shared" ref="BD124" si="458">BD123/BA123-1</f>
        <v>0.23584396309043232</v>
      </c>
      <c r="BE124" s="117">
        <f t="shared" ref="BE124" si="459">BE123/BB123-1</f>
        <v>0.58086511554886999</v>
      </c>
      <c r="BF124" s="117">
        <f t="shared" ref="BF124" si="460">BF123/BC123-1</f>
        <v>-9.1443373597820954E-2</v>
      </c>
      <c r="BG124" s="117">
        <f t="shared" ref="BG124" si="461">BG123/BD123-1</f>
        <v>0.36485281281230586</v>
      </c>
      <c r="BH124" s="117">
        <f t="shared" ref="BH124:BQ124" si="462">BH123/BE123-1</f>
        <v>8.1397738321254076E-2</v>
      </c>
      <c r="BI124" s="117">
        <f t="shared" si="462"/>
        <v>0.20542399413855006</v>
      </c>
      <c r="BJ124" s="117">
        <f t="shared" ref="BJ124" si="463">BJ123/BG123-1</f>
        <v>-0.21627707910835403</v>
      </c>
      <c r="BK124" s="117">
        <f t="shared" si="462"/>
        <v>-6.152600688119847E-3</v>
      </c>
      <c r="BL124" s="117">
        <f t="shared" si="462"/>
        <v>-0.19957778230528522</v>
      </c>
      <c r="BM124" s="117">
        <f t="shared" si="462"/>
        <v>-0.10129387677565116</v>
      </c>
      <c r="BN124" s="117">
        <f t="shared" si="462"/>
        <v>-0.16126154826377836</v>
      </c>
      <c r="BO124" s="117">
        <f t="shared" si="462"/>
        <v>8.119657677475578E-2</v>
      </c>
      <c r="BP124" s="117">
        <f>BP123/BM123-1</f>
        <v>9.027224548325341E-2</v>
      </c>
      <c r="BQ124" s="117">
        <f t="shared" si="462"/>
        <v>8.3026427424092608E-2</v>
      </c>
      <c r="BR124" s="1844">
        <f>BR123/BO123-1</f>
        <v>7.2080611553555274E-2</v>
      </c>
      <c r="BS124" s="117">
        <f t="shared" ref="BS124" si="464">BS123/BP123-1</f>
        <v>3.5370986115423664E-2</v>
      </c>
      <c r="BT124" s="117">
        <f t="shared" ref="BT124" si="465">BT123/BQ123-1</f>
        <v>5.6599482807478951E-2</v>
      </c>
      <c r="BU124" s="117">
        <f t="shared" ref="BU124" si="466">BU123/BR123-1</f>
        <v>1.4445879906581194E-2</v>
      </c>
      <c r="BV124" s="117">
        <f t="shared" ref="BV124" si="467">BV123/BS123-1</f>
        <v>1.4334063215961867E-2</v>
      </c>
      <c r="BW124" s="117">
        <f t="shared" ref="BW124" si="468">BW123/BT123-1</f>
        <v>1.5155641145505827E-2</v>
      </c>
      <c r="BX124" s="117">
        <f t="shared" ref="BX124" si="469">BX123/BU123-1</f>
        <v>5.8356127846646011E-2</v>
      </c>
      <c r="BY124" s="117">
        <f t="shared" ref="BY124" si="470">BY123/BV123-1</f>
        <v>3.9612847889248126E-2</v>
      </c>
      <c r="BZ124" s="117">
        <f t="shared" ref="BZ124" si="471">BZ123/BW123-1</f>
        <v>5.1009225257999891E-2</v>
      </c>
      <c r="CA124" s="117">
        <f t="shared" ref="CA124" si="472">CA123/BX123-1</f>
        <v>4.7897660208730208E-2</v>
      </c>
      <c r="CB124" s="117">
        <f t="shared" ref="CB124" si="473">CB123/BY123-1</f>
        <v>4.9177120905069982E-2</v>
      </c>
      <c r="CC124" s="117">
        <f t="shared" ref="CC124" si="474">CC123/BZ123-1</f>
        <v>4.8393739101400879E-2</v>
      </c>
      <c r="CD124" s="116"/>
      <c r="CE124" s="116"/>
    </row>
    <row r="125" spans="1:83" outlineLevel="1">
      <c r="A125" s="746"/>
      <c r="B125" s="349"/>
      <c r="C125" s="748"/>
      <c r="D125" s="748"/>
      <c r="E125" s="748"/>
      <c r="F125" s="748"/>
      <c r="G125" s="748"/>
      <c r="H125" s="748"/>
      <c r="I125" s="748"/>
      <c r="J125" s="748"/>
      <c r="K125" s="748"/>
      <c r="L125" s="748"/>
      <c r="M125" s="748"/>
      <c r="N125" s="748"/>
      <c r="O125" s="748"/>
      <c r="P125" s="748"/>
      <c r="Q125" s="748"/>
      <c r="R125" s="748"/>
      <c r="S125" s="748"/>
      <c r="T125" s="748"/>
      <c r="U125" s="748"/>
      <c r="V125" s="748"/>
      <c r="W125" s="748"/>
      <c r="X125" s="748"/>
      <c r="Y125" s="748"/>
      <c r="Z125" s="748"/>
      <c r="AA125" s="748"/>
      <c r="AB125" s="748"/>
      <c r="AC125" s="748"/>
      <c r="AD125" s="748"/>
      <c r="AE125" s="748"/>
      <c r="AF125" s="748"/>
      <c r="AG125" s="748"/>
      <c r="AH125" s="748"/>
      <c r="AI125" s="748"/>
      <c r="AJ125" s="748"/>
      <c r="AK125" s="748"/>
      <c r="AL125" s="748"/>
      <c r="AM125" s="748"/>
      <c r="AN125" s="748"/>
      <c r="AO125" s="748"/>
      <c r="AP125" s="748"/>
      <c r="AQ125" s="748"/>
      <c r="AR125" s="748"/>
      <c r="AS125" s="748"/>
      <c r="AT125" s="748"/>
      <c r="AU125" s="748"/>
      <c r="AV125" s="748"/>
      <c r="AW125" s="264"/>
      <c r="AX125" s="264"/>
      <c r="AY125" s="264"/>
      <c r="AZ125" s="264"/>
      <c r="BA125" s="264"/>
      <c r="BB125" s="264"/>
      <c r="BC125" s="264"/>
      <c r="BD125" s="264"/>
      <c r="BE125" s="264"/>
      <c r="BF125" s="264"/>
      <c r="BG125" s="264"/>
      <c r="BH125" s="264"/>
      <c r="BI125" s="264"/>
      <c r="BJ125" s="264"/>
      <c r="BK125" s="264"/>
      <c r="BL125" s="264"/>
      <c r="BM125" s="264"/>
      <c r="BN125" s="264"/>
      <c r="BO125" s="264"/>
      <c r="BP125" s="264"/>
      <c r="BQ125" s="264"/>
      <c r="BR125" s="1845"/>
      <c r="BS125" s="264"/>
      <c r="BT125" s="264"/>
      <c r="BU125" s="264"/>
      <c r="BV125" s="264"/>
      <c r="BW125" s="264"/>
      <c r="BX125" s="264"/>
      <c r="BY125" s="264"/>
      <c r="BZ125" s="264"/>
      <c r="CA125" s="264"/>
      <c r="CB125" s="264"/>
      <c r="CC125" s="264"/>
      <c r="CD125" s="74"/>
      <c r="CE125" s="74"/>
    </row>
    <row r="126" spans="1:83" outlineLevel="1">
      <c r="A126" s="746"/>
      <c r="B126" s="1338" t="s">
        <v>935</v>
      </c>
      <c r="C126" s="758">
        <f t="shared" ref="C126:AU126" si="475">C123</f>
        <v>10.768768407765824</v>
      </c>
      <c r="D126" s="758">
        <f t="shared" si="475"/>
        <v>8.9252015045674362</v>
      </c>
      <c r="E126" s="758">
        <f t="shared" si="475"/>
        <v>5.5930535455861063</v>
      </c>
      <c r="F126" s="758">
        <f t="shared" si="475"/>
        <v>16.360057887120117</v>
      </c>
      <c r="G126" s="758">
        <f t="shared" si="475"/>
        <v>14.032562914352054</v>
      </c>
      <c r="H126" s="758">
        <f t="shared" si="475"/>
        <v>6.7802626908058174</v>
      </c>
      <c r="I126" s="758">
        <f t="shared" si="475"/>
        <v>20.489499083748282</v>
      </c>
      <c r="J126" s="758">
        <f t="shared" si="475"/>
        <v>17.909228240525216</v>
      </c>
      <c r="K126" s="758">
        <f t="shared" si="475"/>
        <v>6.9489705756605487</v>
      </c>
      <c r="L126" s="758">
        <f t="shared" si="475"/>
        <v>24.546568743883785</v>
      </c>
      <c r="M126" s="758">
        <f t="shared" si="475"/>
        <v>24.32509456309938</v>
      </c>
      <c r="N126" s="758">
        <f t="shared" si="475"/>
        <v>14.075848152827811</v>
      </c>
      <c r="O126" s="758">
        <f t="shared" si="475"/>
        <v>38.083429196447092</v>
      </c>
      <c r="P126" s="758">
        <f t="shared" si="475"/>
        <v>39.541705374600596</v>
      </c>
      <c r="Q126" s="758">
        <f t="shared" si="475"/>
        <v>21.307165167125071</v>
      </c>
      <c r="R126" s="758">
        <f t="shared" si="475"/>
        <v>60.729103538296577</v>
      </c>
      <c r="S126" s="758">
        <f t="shared" si="475"/>
        <v>54.912533324300071</v>
      </c>
      <c r="T126" s="758">
        <f t="shared" si="475"/>
        <v>32.81184756284275</v>
      </c>
      <c r="U126" s="758">
        <f t="shared" si="475"/>
        <v>87.629095565515129</v>
      </c>
      <c r="V126" s="758">
        <f t="shared" si="475"/>
        <v>69.390986925181522</v>
      </c>
      <c r="W126" s="758">
        <f t="shared" si="475"/>
        <v>38.932497509891903</v>
      </c>
      <c r="X126" s="758">
        <f t="shared" si="475"/>
        <v>108.42433269671854</v>
      </c>
      <c r="Y126" s="758">
        <f t="shared" si="475"/>
        <v>80.061944887269405</v>
      </c>
      <c r="Z126" s="758">
        <f t="shared" si="475"/>
        <v>50.883903554048082</v>
      </c>
      <c r="AA126" s="758">
        <f t="shared" si="475"/>
        <v>123.8709261170919</v>
      </c>
      <c r="AB126" s="758">
        <f t="shared" si="475"/>
        <v>80.494263910648399</v>
      </c>
      <c r="AC126" s="758">
        <f t="shared" si="475"/>
        <v>22.789907124501735</v>
      </c>
      <c r="AD126" s="758">
        <f t="shared" si="475"/>
        <v>105.86693915541976</v>
      </c>
      <c r="AE126" s="758">
        <f t="shared" si="475"/>
        <v>83.018066317344065</v>
      </c>
      <c r="AF126" s="758">
        <f t="shared" si="475"/>
        <v>34.501724432646611</v>
      </c>
      <c r="AG126" s="758">
        <f t="shared" si="475"/>
        <v>117.02311644696492</v>
      </c>
      <c r="AH126" s="758">
        <f t="shared" si="475"/>
        <v>89.239874712223482</v>
      </c>
      <c r="AI126" s="758">
        <f t="shared" si="475"/>
        <v>37.605401291011347</v>
      </c>
      <c r="AJ126" s="758">
        <f t="shared" si="475"/>
        <v>126.88585522088553</v>
      </c>
      <c r="AK126" s="758">
        <f t="shared" si="475"/>
        <v>88.418634842962007</v>
      </c>
      <c r="AL126" s="758">
        <f t="shared" si="475"/>
        <v>47.908323762920055</v>
      </c>
      <c r="AM126" s="758">
        <f t="shared" si="475"/>
        <v>136.46050961144377</v>
      </c>
      <c r="AN126" s="758">
        <f t="shared" si="475"/>
        <v>95.166498385500475</v>
      </c>
      <c r="AO126" s="758">
        <f t="shared" si="475"/>
        <v>56.967340124561382</v>
      </c>
      <c r="AP126" s="758">
        <f t="shared" si="475"/>
        <v>152.1247138558733</v>
      </c>
      <c r="AQ126" s="758">
        <f t="shared" si="475"/>
        <v>115.15151515151514</v>
      </c>
      <c r="AR126" s="758">
        <f t="shared" si="475"/>
        <v>69.677550623985965</v>
      </c>
      <c r="AS126" s="758">
        <f t="shared" si="475"/>
        <v>182.01067524401063</v>
      </c>
      <c r="AT126" s="758">
        <f t="shared" si="475"/>
        <v>131.00172711571679</v>
      </c>
      <c r="AU126" s="758">
        <f t="shared" si="475"/>
        <v>70.319240724762651</v>
      </c>
      <c r="AV126" s="758">
        <f>AV123</f>
        <v>201.20793787748053</v>
      </c>
      <c r="AW126" s="123">
        <f t="shared" ref="AW126:BW126" si="476">AW123</f>
        <v>138.01724137931038</v>
      </c>
      <c r="AX126" s="123">
        <f t="shared" si="476"/>
        <v>77.2609819121447</v>
      </c>
      <c r="AY126" s="123">
        <f t="shared" si="476"/>
        <v>215.15934539190354</v>
      </c>
      <c r="AZ126" s="123">
        <f t="shared" si="476"/>
        <v>147.45030250648227</v>
      </c>
      <c r="BA126" s="123">
        <f t="shared" si="476"/>
        <v>134.13793103448279</v>
      </c>
      <c r="BB126" s="123">
        <f t="shared" si="476"/>
        <v>281.20689655172418</v>
      </c>
      <c r="BC126" s="123">
        <f t="shared" si="476"/>
        <v>274.58945548833185</v>
      </c>
      <c r="BD126" s="123">
        <f t="shared" si="476"/>
        <v>165.77355229040631</v>
      </c>
      <c r="BE126" s="123">
        <f t="shared" si="476"/>
        <v>444.5501730103806</v>
      </c>
      <c r="BF126" s="123">
        <f t="shared" si="476"/>
        <v>249.4800693240901</v>
      </c>
      <c r="BG126" s="123">
        <f t="shared" si="476"/>
        <v>226.25649913344893</v>
      </c>
      <c r="BH126" s="123">
        <f t="shared" si="476"/>
        <v>480.7355516637478</v>
      </c>
      <c r="BI126" s="123">
        <f t="shared" si="476"/>
        <v>300.72926162260705</v>
      </c>
      <c r="BJ126" s="123">
        <f t="shared" si="476"/>
        <v>177.32240437158475</v>
      </c>
      <c r="BK126" s="123">
        <f t="shared" si="476"/>
        <v>477.77777777777777</v>
      </c>
      <c r="BL126" s="123">
        <f t="shared" si="476"/>
        <v>240.71038251366122</v>
      </c>
      <c r="BM126" s="123">
        <f t="shared" ref="BM126:BO126" si="477">BM123</f>
        <v>159.36073059360726</v>
      </c>
      <c r="BN126" s="123">
        <f>BN123</f>
        <v>400.73059360730588</v>
      </c>
      <c r="BO126" s="123">
        <f t="shared" si="477"/>
        <v>260.25524156791255</v>
      </c>
      <c r="BP126" s="123">
        <f t="shared" si="476"/>
        <v>173.74658158614398</v>
      </c>
      <c r="BQ126" s="123">
        <f t="shared" si="476"/>
        <v>434.00182315405641</v>
      </c>
      <c r="BR126" s="1839">
        <f t="shared" si="476"/>
        <v>279.01459854014593</v>
      </c>
      <c r="BS126" s="123">
        <f t="shared" si="476"/>
        <v>179.89216951102981</v>
      </c>
      <c r="BT126" s="123">
        <f t="shared" si="476"/>
        <v>458.56610188207895</v>
      </c>
      <c r="BU126" s="123">
        <f t="shared" si="476"/>
        <v>283.04520992283983</v>
      </c>
      <c r="BV126" s="123">
        <f t="shared" si="476"/>
        <v>182.47075524085744</v>
      </c>
      <c r="BW126" s="123">
        <f t="shared" si="476"/>
        <v>465.51596516369722</v>
      </c>
      <c r="BX126" s="123">
        <f t="shared" ref="BX126:CC126" si="478">BX123</f>
        <v>299.5626323794778</v>
      </c>
      <c r="BY126" s="123">
        <f t="shared" si="478"/>
        <v>189.69894151244975</v>
      </c>
      <c r="BZ126" s="123">
        <f t="shared" si="478"/>
        <v>489.26157389192753</v>
      </c>
      <c r="CA126" s="123">
        <f t="shared" si="478"/>
        <v>313.91098155642283</v>
      </c>
      <c r="CB126" s="123">
        <f t="shared" si="478"/>
        <v>199.02778929477131</v>
      </c>
      <c r="CC126" s="123">
        <f t="shared" si="478"/>
        <v>512.93877085119425</v>
      </c>
      <c r="CD126" s="94"/>
      <c r="CE126" s="94"/>
    </row>
    <row r="127" spans="1:83" outlineLevel="1">
      <c r="A127" s="746"/>
      <c r="B127" s="1339" t="s">
        <v>936</v>
      </c>
      <c r="C127" s="747">
        <f t="shared" ref="C127:AU127" si="479">C124</f>
        <v>0</v>
      </c>
      <c r="D127" s="747">
        <f t="shared" si="479"/>
        <v>0</v>
      </c>
      <c r="E127" s="747">
        <f t="shared" si="479"/>
        <v>0</v>
      </c>
      <c r="F127" s="747">
        <f t="shared" si="479"/>
        <v>0.51921345762456661</v>
      </c>
      <c r="G127" s="747">
        <f t="shared" si="479"/>
        <v>0.57224045946424251</v>
      </c>
      <c r="H127" s="747">
        <f t="shared" si="479"/>
        <v>0.21226493462710105</v>
      </c>
      <c r="I127" s="747">
        <f t="shared" si="479"/>
        <v>0.25240993797944777</v>
      </c>
      <c r="J127" s="747">
        <f t="shared" si="479"/>
        <v>0.27626210192923728</v>
      </c>
      <c r="K127" s="747">
        <f t="shared" si="479"/>
        <v>2.4882204797684659E-2</v>
      </c>
      <c r="L127" s="747">
        <f t="shared" si="479"/>
        <v>0.19800726428463356</v>
      </c>
      <c r="M127" s="747">
        <f t="shared" si="479"/>
        <v>0.35824359578243947</v>
      </c>
      <c r="N127" s="747">
        <f t="shared" si="479"/>
        <v>1.0256019218342716</v>
      </c>
      <c r="O127" s="747">
        <f t="shared" si="479"/>
        <v>0.5514766888115985</v>
      </c>
      <c r="P127" s="747">
        <f t="shared" si="479"/>
        <v>0.6255519694704279</v>
      </c>
      <c r="Q127" s="747">
        <f t="shared" si="479"/>
        <v>0.51373934528019904</v>
      </c>
      <c r="R127" s="747">
        <f t="shared" si="479"/>
        <v>0.59463327803374821</v>
      </c>
      <c r="S127" s="747">
        <f t="shared" si="479"/>
        <v>0.38872445697733715</v>
      </c>
      <c r="T127" s="747">
        <f t="shared" si="479"/>
        <v>0.53994430068380517</v>
      </c>
      <c r="U127" s="747">
        <f t="shared" si="479"/>
        <v>0.44295058645571905</v>
      </c>
      <c r="V127" s="747">
        <f t="shared" si="479"/>
        <v>0.2636639164938035</v>
      </c>
      <c r="W127" s="747">
        <f t="shared" si="479"/>
        <v>0.18653780270454456</v>
      </c>
      <c r="X127" s="747">
        <f t="shared" si="479"/>
        <v>0.23730973139687417</v>
      </c>
      <c r="Y127" s="747">
        <f t="shared" si="479"/>
        <v>0.15378017282840317</v>
      </c>
      <c r="Z127" s="747">
        <f t="shared" si="479"/>
        <v>0.30697763587141025</v>
      </c>
      <c r="AA127" s="747">
        <f t="shared" si="479"/>
        <v>0.14246427011527141</v>
      </c>
      <c r="AB127" s="747">
        <f t="shared" si="479"/>
        <v>5.3998066620504215E-3</v>
      </c>
      <c r="AC127" s="747">
        <f t="shared" si="479"/>
        <v>-0.55211952046299562</v>
      </c>
      <c r="AD127" s="747">
        <f t="shared" si="479"/>
        <v>-0.14534473525008973</v>
      </c>
      <c r="AE127" s="747">
        <f t="shared" si="479"/>
        <v>3.1353816832180526E-2</v>
      </c>
      <c r="AF127" s="747">
        <f t="shared" si="479"/>
        <v>0.51390368745967141</v>
      </c>
      <c r="AG127" s="747">
        <f t="shared" si="479"/>
        <v>0.1053792371872313</v>
      </c>
      <c r="AH127" s="747">
        <f t="shared" si="479"/>
        <v>7.494523386145846E-2</v>
      </c>
      <c r="AI127" s="747">
        <f t="shared" si="479"/>
        <v>8.9957151690306159E-2</v>
      </c>
      <c r="AJ127" s="747">
        <f t="shared" si="479"/>
        <v>8.4280260801210316E-2</v>
      </c>
      <c r="AK127" s="747">
        <f t="shared" si="479"/>
        <v>-9.2026111859723203E-3</v>
      </c>
      <c r="AL127" s="747">
        <f t="shared" si="479"/>
        <v>0.27397453871530342</v>
      </c>
      <c r="AM127" s="747">
        <f t="shared" si="479"/>
        <v>7.5458800146718241E-2</v>
      </c>
      <c r="AN127" s="747">
        <f t="shared" si="479"/>
        <v>7.6317210218447284E-2</v>
      </c>
      <c r="AO127" s="747">
        <f t="shared" si="479"/>
        <v>0.18909065586328855</v>
      </c>
      <c r="AP127" s="747">
        <f t="shared" si="479"/>
        <v>0.11478928438001312</v>
      </c>
      <c r="AQ127" s="747">
        <f t="shared" si="479"/>
        <v>0.21000054751472885</v>
      </c>
      <c r="AR127" s="747">
        <f t="shared" si="479"/>
        <v>0.22311398902657542</v>
      </c>
      <c r="AS127" s="747">
        <f t="shared" si="479"/>
        <v>0.19645697684895591</v>
      </c>
      <c r="AT127" s="747">
        <f t="shared" si="479"/>
        <v>0.13764657758385646</v>
      </c>
      <c r="AU127" s="747">
        <f t="shared" si="479"/>
        <v>9.2094239110034337E-3</v>
      </c>
      <c r="AV127" s="747">
        <f>AV124</f>
        <v>0.10547327846420718</v>
      </c>
      <c r="AW127" s="747">
        <f t="shared" ref="AW127:BW127" si="480">AW124</f>
        <v>5.3552837951492238E-2</v>
      </c>
      <c r="AX127" s="747">
        <f t="shared" si="480"/>
        <v>9.8717521916267481E-2</v>
      </c>
      <c r="AY127" s="747">
        <f t="shared" si="480"/>
        <v>6.9338256042951407E-2</v>
      </c>
      <c r="AZ127" s="747">
        <f t="shared" si="480"/>
        <v>6.8346976311801422E-2</v>
      </c>
      <c r="BA127" s="747">
        <f t="shared" si="480"/>
        <v>0.73616653211855665</v>
      </c>
      <c r="BB127" s="747">
        <f t="shared" si="480"/>
        <v>0.30697040390933461</v>
      </c>
      <c r="BC127" s="747">
        <f t="shared" si="480"/>
        <v>0.86225087924970678</v>
      </c>
      <c r="BD127" s="747">
        <f t="shared" si="480"/>
        <v>0.23584396309043232</v>
      </c>
      <c r="BE127" s="747">
        <f t="shared" si="480"/>
        <v>0.58086511554886999</v>
      </c>
      <c r="BF127" s="747">
        <f t="shared" si="480"/>
        <v>-9.1443373597820954E-2</v>
      </c>
      <c r="BG127" s="747">
        <f t="shared" si="480"/>
        <v>0.36485281281230586</v>
      </c>
      <c r="BH127" s="747">
        <f t="shared" si="480"/>
        <v>8.1397738321254076E-2</v>
      </c>
      <c r="BI127" s="747">
        <f t="shared" si="480"/>
        <v>0.20542399413855006</v>
      </c>
      <c r="BJ127" s="747">
        <f t="shared" si="480"/>
        <v>-0.21627707910835403</v>
      </c>
      <c r="BK127" s="747">
        <f t="shared" si="480"/>
        <v>-6.152600688119847E-3</v>
      </c>
      <c r="BL127" s="117">
        <f t="shared" si="480"/>
        <v>-0.19957778230528522</v>
      </c>
      <c r="BM127" s="747">
        <f t="shared" ref="BM127:BO127" si="481">BM124</f>
        <v>-0.10129387677565116</v>
      </c>
      <c r="BN127" s="747">
        <f t="shared" si="481"/>
        <v>-0.16126154826377836</v>
      </c>
      <c r="BO127" s="117">
        <f t="shared" si="481"/>
        <v>8.119657677475578E-2</v>
      </c>
      <c r="BP127" s="747">
        <f t="shared" si="480"/>
        <v>9.027224548325341E-2</v>
      </c>
      <c r="BQ127" s="747">
        <f t="shared" si="480"/>
        <v>8.3026427424092608E-2</v>
      </c>
      <c r="BR127" s="1846">
        <f t="shared" si="480"/>
        <v>7.2080611553555274E-2</v>
      </c>
      <c r="BS127" s="747">
        <f t="shared" si="480"/>
        <v>3.5370986115423664E-2</v>
      </c>
      <c r="BT127" s="747">
        <f t="shared" si="480"/>
        <v>5.6599482807478951E-2</v>
      </c>
      <c r="BU127" s="747">
        <f t="shared" si="480"/>
        <v>1.4445879906581194E-2</v>
      </c>
      <c r="BV127" s="747">
        <f t="shared" si="480"/>
        <v>1.4334063215961867E-2</v>
      </c>
      <c r="BW127" s="747">
        <f t="shared" si="480"/>
        <v>1.5155641145505827E-2</v>
      </c>
      <c r="BX127" s="747">
        <f t="shared" ref="BX127:CC127" si="482">BX124</f>
        <v>5.8356127846646011E-2</v>
      </c>
      <c r="BY127" s="747">
        <f t="shared" si="482"/>
        <v>3.9612847889248126E-2</v>
      </c>
      <c r="BZ127" s="747">
        <f t="shared" si="482"/>
        <v>5.1009225257999891E-2</v>
      </c>
      <c r="CA127" s="747">
        <f t="shared" si="482"/>
        <v>4.7897660208730208E-2</v>
      </c>
      <c r="CB127" s="747">
        <f t="shared" si="482"/>
        <v>4.9177120905069982E-2</v>
      </c>
      <c r="CC127" s="747">
        <f t="shared" si="482"/>
        <v>4.8393739101400879E-2</v>
      </c>
      <c r="CD127" s="94"/>
      <c r="CE127" s="94"/>
    </row>
    <row r="128" spans="1:83" outlineLevel="1">
      <c r="A128" s="746"/>
      <c r="B128" s="349"/>
      <c r="C128" s="751">
        <f>C118-C88</f>
        <v>0</v>
      </c>
      <c r="D128" s="752"/>
      <c r="E128" s="752"/>
      <c r="F128" s="751">
        <f t="shared" ref="F128:AV128" si="483">F118-F88</f>
        <v>0</v>
      </c>
      <c r="G128" s="751"/>
      <c r="H128" s="751"/>
      <c r="I128" s="751">
        <f t="shared" si="483"/>
        <v>0</v>
      </c>
      <c r="J128" s="751"/>
      <c r="K128" s="751"/>
      <c r="L128" s="751">
        <f t="shared" si="483"/>
        <v>0</v>
      </c>
      <c r="M128" s="751"/>
      <c r="N128" s="751"/>
      <c r="O128" s="751">
        <f t="shared" si="483"/>
        <v>0</v>
      </c>
      <c r="P128" s="751"/>
      <c r="Q128" s="751"/>
      <c r="R128" s="751">
        <f t="shared" si="483"/>
        <v>0</v>
      </c>
      <c r="S128" s="751"/>
      <c r="T128" s="751"/>
      <c r="U128" s="751">
        <f t="shared" si="483"/>
        <v>0</v>
      </c>
      <c r="V128" s="751"/>
      <c r="W128" s="751"/>
      <c r="X128" s="751">
        <f t="shared" si="483"/>
        <v>0</v>
      </c>
      <c r="Y128" s="751"/>
      <c r="Z128" s="751"/>
      <c r="AA128" s="751">
        <f t="shared" si="483"/>
        <v>24.700000000000017</v>
      </c>
      <c r="AB128" s="751"/>
      <c r="AC128" s="751"/>
      <c r="AD128" s="751">
        <f t="shared" si="483"/>
        <v>0</v>
      </c>
      <c r="AE128" s="751"/>
      <c r="AF128" s="751"/>
      <c r="AG128" s="751">
        <f t="shared" si="483"/>
        <v>0</v>
      </c>
      <c r="AH128" s="752"/>
      <c r="AI128" s="752"/>
      <c r="AJ128" s="751">
        <f t="shared" si="483"/>
        <v>0</v>
      </c>
      <c r="AK128" s="752"/>
      <c r="AL128" s="752"/>
      <c r="AM128" s="751">
        <f t="shared" si="483"/>
        <v>0</v>
      </c>
      <c r="AN128" s="752">
        <f>63/AN118</f>
        <v>0.66179251229043246</v>
      </c>
      <c r="AO128" s="752">
        <f>37/AO118</f>
        <v>0.6492936737738001</v>
      </c>
      <c r="AP128" s="751">
        <f t="shared" si="483"/>
        <v>0</v>
      </c>
      <c r="AQ128" s="752"/>
      <c r="AR128" s="752"/>
      <c r="AS128" s="751">
        <f t="shared" si="483"/>
        <v>32.726031000000006</v>
      </c>
      <c r="AT128" s="752"/>
      <c r="AU128" s="752"/>
      <c r="AV128" s="751">
        <f t="shared" si="483"/>
        <v>0</v>
      </c>
      <c r="AW128" s="742"/>
      <c r="AX128" s="742"/>
      <c r="AY128" s="577"/>
      <c r="AZ128" s="742"/>
      <c r="BA128" s="742"/>
      <c r="BB128" s="577"/>
      <c r="BC128" s="742"/>
      <c r="BD128" s="742"/>
      <c r="BE128" s="577"/>
      <c r="BF128" s="742"/>
      <c r="BG128" s="742"/>
      <c r="BH128" s="577"/>
      <c r="BI128" s="742"/>
      <c r="BJ128" s="577"/>
      <c r="BK128" s="577"/>
      <c r="BL128" s="742"/>
      <c r="BM128" s="577"/>
      <c r="BN128" s="577"/>
      <c r="BO128" s="742"/>
      <c r="BP128" s="742"/>
      <c r="BQ128" s="577"/>
      <c r="BR128" s="1847"/>
      <c r="BS128" s="742"/>
      <c r="BT128" s="742"/>
      <c r="BU128" s="742"/>
      <c r="BV128" s="742"/>
      <c r="BW128" s="742"/>
      <c r="BX128" s="742"/>
      <c r="BY128" s="742"/>
      <c r="BZ128" s="742"/>
      <c r="CA128" s="742"/>
      <c r="CB128" s="742"/>
      <c r="CC128" s="742"/>
      <c r="CD128" s="74"/>
      <c r="CE128" s="74"/>
    </row>
    <row r="129" spans="1:83" collapsed="1">
      <c r="A129" s="746"/>
      <c r="B129" s="747"/>
      <c r="C129" s="747"/>
      <c r="D129" s="747"/>
      <c r="E129" s="747"/>
      <c r="F129" s="747"/>
      <c r="G129" s="747"/>
      <c r="H129" s="747"/>
      <c r="I129" s="747"/>
      <c r="J129" s="747"/>
      <c r="K129" s="747"/>
      <c r="L129" s="747"/>
      <c r="M129" s="747"/>
      <c r="N129" s="747"/>
      <c r="O129" s="747"/>
      <c r="P129" s="747"/>
      <c r="Q129" s="747"/>
      <c r="R129" s="753"/>
      <c r="S129" s="753"/>
      <c r="T129" s="753"/>
      <c r="U129" s="753"/>
      <c r="V129" s="753"/>
      <c r="W129" s="753"/>
      <c r="X129" s="747"/>
      <c r="Y129" s="747"/>
      <c r="Z129" s="747"/>
      <c r="AA129" s="754"/>
      <c r="AB129" s="754"/>
      <c r="AC129" s="754"/>
      <c r="AD129" s="747"/>
      <c r="AE129" s="754"/>
      <c r="AF129" s="747"/>
      <c r="AG129" s="747"/>
      <c r="AH129" s="747"/>
      <c r="AI129" s="747"/>
      <c r="AJ129" s="747"/>
      <c r="AK129" s="747"/>
      <c r="AL129" s="747"/>
      <c r="AM129" s="747"/>
      <c r="AN129" s="747"/>
      <c r="AO129" s="747"/>
      <c r="AP129" s="747"/>
      <c r="AQ129" s="747"/>
      <c r="AR129" s="747"/>
      <c r="AS129" s="747"/>
      <c r="AT129" s="747"/>
      <c r="AU129" s="747"/>
      <c r="AV129" s="747"/>
      <c r="AW129" s="117"/>
      <c r="AX129" s="117"/>
      <c r="AY129" s="117"/>
      <c r="AZ129" s="117"/>
      <c r="BA129" s="117"/>
      <c r="BB129" s="117"/>
      <c r="BC129" s="117"/>
      <c r="BD129" s="117"/>
      <c r="BE129" s="117"/>
      <c r="BF129" s="117"/>
      <c r="BG129" s="117"/>
      <c r="BH129" s="117"/>
      <c r="BI129" s="117"/>
      <c r="BJ129" s="117"/>
      <c r="BK129" s="117"/>
      <c r="BL129" s="117"/>
      <c r="BM129" s="117"/>
      <c r="BN129" s="117"/>
      <c r="BO129" s="117"/>
      <c r="BP129" s="117"/>
      <c r="BQ129" s="117"/>
      <c r="BR129" s="1844"/>
      <c r="BS129" s="117"/>
      <c r="BT129" s="117"/>
      <c r="BU129" s="117"/>
      <c r="BV129" s="117"/>
      <c r="BW129" s="117"/>
      <c r="BX129" s="117"/>
      <c r="BY129" s="117"/>
      <c r="BZ129" s="117"/>
      <c r="CA129" s="117"/>
      <c r="CB129" s="117"/>
      <c r="CC129" s="117"/>
      <c r="CD129" s="74"/>
      <c r="CE129" s="117"/>
    </row>
    <row r="130" spans="1:83">
      <c r="A130" s="746"/>
      <c r="B130" s="536" t="s">
        <v>312</v>
      </c>
      <c r="C130" s="349"/>
      <c r="D130" s="349"/>
      <c r="E130" s="349"/>
      <c r="F130" s="349"/>
      <c r="G130" s="349"/>
      <c r="H130" s="349"/>
      <c r="I130" s="349"/>
      <c r="J130" s="349"/>
      <c r="K130" s="349"/>
      <c r="L130" s="349"/>
      <c r="M130" s="349"/>
      <c r="N130" s="349"/>
      <c r="O130" s="349"/>
      <c r="P130" s="349"/>
      <c r="Q130" s="349"/>
      <c r="R130" s="349"/>
      <c r="S130" s="349"/>
      <c r="T130" s="349"/>
      <c r="U130" s="349"/>
      <c r="V130" s="349"/>
      <c r="W130" s="349"/>
      <c r="X130" s="349"/>
      <c r="Y130" s="349"/>
      <c r="Z130" s="349"/>
      <c r="AA130" s="349"/>
      <c r="AB130" s="349"/>
      <c r="AC130" s="349"/>
      <c r="AD130" s="349"/>
      <c r="AE130" s="349"/>
      <c r="AF130" s="349"/>
      <c r="AG130" s="349"/>
      <c r="AH130" s="349"/>
      <c r="AI130" s="349"/>
      <c r="AJ130" s="349"/>
      <c r="AK130" s="349"/>
      <c r="AL130" s="349"/>
      <c r="AM130" s="349"/>
      <c r="AN130" s="349"/>
      <c r="AO130" s="349"/>
      <c r="AP130" s="349"/>
      <c r="AQ130" s="349"/>
      <c r="AR130" s="349"/>
      <c r="AS130" s="349"/>
      <c r="AT130" s="349"/>
      <c r="AU130" s="349"/>
      <c r="AV130" s="349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1832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107"/>
    </row>
    <row r="131" spans="1:83" outlineLevel="1">
      <c r="A131" s="746"/>
      <c r="B131" s="349"/>
      <c r="C131" s="349"/>
      <c r="D131" s="349"/>
      <c r="E131" s="349"/>
      <c r="F131" s="349"/>
      <c r="G131" s="349"/>
      <c r="H131" s="349"/>
      <c r="I131" s="349"/>
      <c r="J131" s="349"/>
      <c r="K131" s="349"/>
      <c r="L131" s="349"/>
      <c r="M131" s="349"/>
      <c r="N131" s="349"/>
      <c r="O131" s="755"/>
      <c r="P131" s="755"/>
      <c r="Q131" s="755"/>
      <c r="R131" s="748"/>
      <c r="S131" s="748"/>
      <c r="T131" s="748"/>
      <c r="U131" s="349"/>
      <c r="V131" s="349"/>
      <c r="W131" s="349"/>
      <c r="X131" s="756"/>
      <c r="Y131" s="756"/>
      <c r="Z131" s="756"/>
      <c r="AA131" s="756"/>
      <c r="AB131" s="756"/>
      <c r="AC131" s="756"/>
      <c r="AD131" s="756"/>
      <c r="AE131" s="756"/>
      <c r="AF131" s="756"/>
      <c r="AG131" s="756"/>
      <c r="AH131" s="349"/>
      <c r="AI131" s="349"/>
      <c r="AJ131" s="349"/>
      <c r="AK131" s="349"/>
      <c r="AL131" s="349"/>
      <c r="AM131" s="349"/>
      <c r="AN131" s="349"/>
      <c r="AO131" s="349"/>
      <c r="AP131" s="349"/>
      <c r="AQ131" s="349"/>
      <c r="AR131" s="349"/>
      <c r="AS131" s="349"/>
      <c r="AT131" s="349"/>
      <c r="AU131" s="349"/>
      <c r="AV131" s="349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1832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107"/>
    </row>
    <row r="132" spans="1:83" outlineLevel="1">
      <c r="A132" s="746" t="s">
        <v>195</v>
      </c>
      <c r="B132" s="757" t="s">
        <v>313</v>
      </c>
      <c r="C132" s="758">
        <f t="shared" ref="C132:AJ132" si="484">C139+C134</f>
        <v>18.100000000000001</v>
      </c>
      <c r="D132" s="758"/>
      <c r="E132" s="758"/>
      <c r="F132" s="758">
        <f t="shared" si="484"/>
        <v>25.9</v>
      </c>
      <c r="G132" s="758"/>
      <c r="H132" s="758"/>
      <c r="I132" s="758">
        <f t="shared" si="484"/>
        <v>42.3</v>
      </c>
      <c r="J132" s="758"/>
      <c r="K132" s="758"/>
      <c r="L132" s="758">
        <f t="shared" si="484"/>
        <v>52</v>
      </c>
      <c r="M132" s="758"/>
      <c r="N132" s="758"/>
      <c r="O132" s="758">
        <f t="shared" si="484"/>
        <v>76.388000000000005</v>
      </c>
      <c r="P132" s="758"/>
      <c r="Q132" s="758"/>
      <c r="R132" s="758">
        <f t="shared" si="484"/>
        <v>116.99</v>
      </c>
      <c r="S132" s="758"/>
      <c r="T132" s="758"/>
      <c r="U132" s="758">
        <f t="shared" si="484"/>
        <v>160.715</v>
      </c>
      <c r="V132" s="758"/>
      <c r="W132" s="758"/>
      <c r="X132" s="758">
        <f t="shared" si="484"/>
        <v>198.387</v>
      </c>
      <c r="Y132" s="758"/>
      <c r="Z132" s="758"/>
      <c r="AA132" s="758">
        <f>AA139+AA134</f>
        <v>223.3</v>
      </c>
      <c r="AB132" s="758"/>
      <c r="AC132" s="758"/>
      <c r="AD132" s="758">
        <f>AD139+AD134</f>
        <v>192.21299999999999</v>
      </c>
      <c r="AE132" s="758"/>
      <c r="AF132" s="758"/>
      <c r="AG132" s="758">
        <f t="shared" si="484"/>
        <v>210.98500000000001</v>
      </c>
      <c r="AH132" s="758"/>
      <c r="AI132" s="758"/>
      <c r="AJ132" s="758">
        <f t="shared" si="484"/>
        <v>226.65</v>
      </c>
      <c r="AK132" s="758"/>
      <c r="AL132" s="758"/>
      <c r="AM132" s="758">
        <f t="shared" ref="AM132:AS132" si="485">AM139+AM134</f>
        <v>240.03100000000001</v>
      </c>
      <c r="AN132" s="758"/>
      <c r="AO132" s="758"/>
      <c r="AP132" s="758">
        <f t="shared" si="485"/>
        <v>262.07600000000002</v>
      </c>
      <c r="AQ132" s="758"/>
      <c r="AR132" s="758"/>
      <c r="AS132" s="758">
        <f t="shared" si="485"/>
        <v>360.29999999999995</v>
      </c>
      <c r="AT132" s="758"/>
      <c r="AU132" s="758"/>
      <c r="AV132" s="758">
        <f>AV139+AV134</f>
        <v>411.7</v>
      </c>
      <c r="AW132" s="714">
        <f t="shared" ref="AW132:AX132" si="486">AW139+AW134</f>
        <v>27.700000000000024</v>
      </c>
      <c r="AX132" s="714">
        <f t="shared" si="486"/>
        <v>28.499999999999979</v>
      </c>
      <c r="AY132" s="714">
        <f>AY139+AY134</f>
        <v>429.1</v>
      </c>
      <c r="AZ132" s="714">
        <f t="shared" ref="AZ132:BW132" si="487">AZ139+AZ134</f>
        <v>109.10000000000002</v>
      </c>
      <c r="BA132" s="714">
        <f t="shared" si="487"/>
        <v>105.79999999999995</v>
      </c>
      <c r="BB132" s="714">
        <f t="shared" si="487"/>
        <v>732.2</v>
      </c>
      <c r="BC132" s="714">
        <f t="shared" si="487"/>
        <v>109.09999999999994</v>
      </c>
      <c r="BD132" s="714">
        <f t="shared" si="487"/>
        <v>109.4</v>
      </c>
      <c r="BE132" s="714">
        <f>BE139+BE134</f>
        <v>961.6</v>
      </c>
      <c r="BF132" s="714">
        <f t="shared" si="487"/>
        <v>108.50000000000003</v>
      </c>
      <c r="BG132" s="714">
        <f t="shared" si="487"/>
        <v>110.79999999999988</v>
      </c>
      <c r="BH132" s="714">
        <f t="shared" si="487"/>
        <v>1013.8999999999999</v>
      </c>
      <c r="BI132" s="714">
        <f>BI139+BI134</f>
        <v>592.6</v>
      </c>
      <c r="BJ132" s="714">
        <f t="shared" si="487"/>
        <v>110.80000000000001</v>
      </c>
      <c r="BK132" s="714">
        <f t="shared" ref="BK132" si="488">BK139+BK134</f>
        <v>993.2</v>
      </c>
      <c r="BL132" s="714">
        <f>BL139+BL134</f>
        <v>505.2</v>
      </c>
      <c r="BM132" s="714">
        <f t="shared" ref="BM132:BN132" si="489">BM139+BM134</f>
        <v>118.59999999999991</v>
      </c>
      <c r="BN132" s="714">
        <f t="shared" si="489"/>
        <v>884.3</v>
      </c>
      <c r="BO132" s="714">
        <f>BO139+BO134</f>
        <v>545.9</v>
      </c>
      <c r="BP132" s="714">
        <f t="shared" si="487"/>
        <v>132.80000000000007</v>
      </c>
      <c r="BQ132" s="714">
        <f t="shared" si="487"/>
        <v>966.59999999999991</v>
      </c>
      <c r="BR132" s="1848">
        <f t="shared" si="487"/>
        <v>134.99999999999997</v>
      </c>
      <c r="BS132" s="714">
        <f t="shared" si="487"/>
        <v>133.46491574585644</v>
      </c>
      <c r="BT132" s="714">
        <f t="shared" si="487"/>
        <v>1022.2068409588215</v>
      </c>
      <c r="BU132" s="714">
        <f t="shared" si="487"/>
        <v>138.43199999999996</v>
      </c>
      <c r="BV132" s="714">
        <f t="shared" si="487"/>
        <v>136.83962071823211</v>
      </c>
      <c r="BW132" s="714">
        <f t="shared" si="487"/>
        <v>1042.9587994205615</v>
      </c>
      <c r="BX132" s="714">
        <f t="shared" ref="BX132:CC132" si="490">BX139+BX134</f>
        <v>140.20102500000002</v>
      </c>
      <c r="BY132" s="714">
        <f t="shared" si="490"/>
        <v>142.05032077727901</v>
      </c>
      <c r="BZ132" s="714">
        <f t="shared" si="490"/>
        <v>1088.2740722302317</v>
      </c>
      <c r="CA132" s="714">
        <f t="shared" si="490"/>
        <v>143.75776950000002</v>
      </c>
      <c r="CB132" s="714">
        <f t="shared" si="490"/>
        <v>145.65073249903486</v>
      </c>
      <c r="CC132" s="714">
        <f t="shared" si="490"/>
        <v>1135.1002969848728</v>
      </c>
      <c r="CD132" s="94"/>
      <c r="CE132" s="94"/>
    </row>
    <row r="133" spans="1:83" outlineLevel="2">
      <c r="A133" s="746"/>
      <c r="B133" s="349"/>
      <c r="C133" s="350"/>
      <c r="D133" s="350"/>
      <c r="E133" s="350"/>
      <c r="F133" s="350"/>
      <c r="G133" s="350"/>
      <c r="H133" s="350"/>
      <c r="I133" s="350"/>
      <c r="J133" s="350"/>
      <c r="K133" s="350"/>
      <c r="L133" s="350"/>
      <c r="M133" s="350"/>
      <c r="N133" s="350"/>
      <c r="O133" s="350"/>
      <c r="P133" s="350"/>
      <c r="Q133" s="350"/>
      <c r="R133" s="350"/>
      <c r="S133" s="350"/>
      <c r="T133" s="350"/>
      <c r="U133" s="350"/>
      <c r="V133" s="350"/>
      <c r="W133" s="350"/>
      <c r="X133" s="350"/>
      <c r="Y133" s="350"/>
      <c r="Z133" s="350"/>
      <c r="AA133" s="350"/>
      <c r="AB133" s="350"/>
      <c r="AC133" s="350"/>
      <c r="AD133" s="350"/>
      <c r="AE133" s="350"/>
      <c r="AF133" s="350"/>
      <c r="AG133" s="759"/>
      <c r="AH133" s="350"/>
      <c r="AI133" s="350"/>
      <c r="AJ133" s="350"/>
      <c r="AK133" s="350"/>
      <c r="AL133" s="350"/>
      <c r="AM133" s="350"/>
      <c r="AN133" s="350"/>
      <c r="AO133" s="350"/>
      <c r="AP133" s="350"/>
      <c r="AQ133" s="350"/>
      <c r="AR133" s="350"/>
      <c r="AS133" s="350"/>
      <c r="AT133" s="350"/>
      <c r="AU133" s="350"/>
      <c r="AV133" s="350"/>
      <c r="AW133" s="715"/>
      <c r="AX133" s="715"/>
      <c r="AY133" s="715"/>
      <c r="AZ133" s="715"/>
      <c r="BA133" s="715"/>
      <c r="BB133" s="715"/>
      <c r="BC133" s="715"/>
      <c r="BD133" s="715"/>
      <c r="BE133" s="715"/>
      <c r="BF133" s="715"/>
      <c r="BG133" s="715"/>
      <c r="BH133" s="715"/>
      <c r="BI133" s="715"/>
      <c r="BJ133" s="715"/>
      <c r="BK133" s="715"/>
      <c r="BL133" s="715"/>
      <c r="BM133" s="715"/>
      <c r="BN133" s="715"/>
      <c r="BO133" s="715"/>
      <c r="BP133" s="715"/>
      <c r="BQ133" s="715"/>
      <c r="BR133" s="1849"/>
      <c r="BS133" s="715"/>
      <c r="BT133" s="715"/>
      <c r="BU133" s="715"/>
      <c r="BV133" s="715"/>
      <c r="BW133" s="715"/>
      <c r="BX133" s="715"/>
      <c r="BY133" s="715"/>
      <c r="BZ133" s="715"/>
      <c r="CA133" s="715"/>
      <c r="CB133" s="715"/>
      <c r="CC133" s="715"/>
      <c r="CD133" s="74"/>
      <c r="CE133" s="74"/>
    </row>
    <row r="134" spans="1:83" outlineLevel="2">
      <c r="A134" s="746" t="s">
        <v>314</v>
      </c>
      <c r="B134" s="349" t="s">
        <v>113</v>
      </c>
      <c r="C134" s="350">
        <f t="shared" ref="C134:AG134" si="491">-C52</f>
        <v>1.319</v>
      </c>
      <c r="D134" s="350"/>
      <c r="E134" s="350"/>
      <c r="F134" s="350">
        <f t="shared" si="491"/>
        <v>3.1680000000000001</v>
      </c>
      <c r="G134" s="350"/>
      <c r="H134" s="350"/>
      <c r="I134" s="350">
        <f t="shared" si="491"/>
        <v>5.2679999999999998</v>
      </c>
      <c r="J134" s="350"/>
      <c r="K134" s="350"/>
      <c r="L134" s="350">
        <f t="shared" si="491"/>
        <v>7.4390000000000001</v>
      </c>
      <c r="M134" s="350"/>
      <c r="N134" s="350"/>
      <c r="O134" s="350">
        <f t="shared" si="491"/>
        <v>10.853999999999999</v>
      </c>
      <c r="P134" s="350"/>
      <c r="Q134" s="350"/>
      <c r="R134" s="350">
        <f t="shared" si="491"/>
        <v>14.690999999999999</v>
      </c>
      <c r="S134" s="350"/>
      <c r="T134" s="350"/>
      <c r="U134" s="350">
        <f t="shared" si="491"/>
        <v>18.748999999999999</v>
      </c>
      <c r="V134" s="350"/>
      <c r="W134" s="350"/>
      <c r="X134" s="350">
        <f t="shared" si="491"/>
        <v>23.277000000000001</v>
      </c>
      <c r="Y134" s="350"/>
      <c r="Z134" s="350"/>
      <c r="AA134" s="350">
        <f t="shared" si="491"/>
        <v>27.286999999999999</v>
      </c>
      <c r="AB134" s="350"/>
      <c r="AC134" s="350"/>
      <c r="AD134" s="350">
        <f t="shared" si="491"/>
        <v>30.754000000000001</v>
      </c>
      <c r="AE134" s="350"/>
      <c r="AF134" s="350"/>
      <c r="AG134" s="350">
        <f t="shared" si="491"/>
        <v>33.231999999999999</v>
      </c>
      <c r="AH134" s="350"/>
      <c r="AI134" s="350"/>
      <c r="AJ134" s="350">
        <f t="shared" ref="AJ134:AS134" si="492">-AJ52</f>
        <v>35.53</v>
      </c>
      <c r="AK134" s="350"/>
      <c r="AL134" s="350"/>
      <c r="AM134" s="350">
        <f t="shared" si="492"/>
        <v>39.124000000000002</v>
      </c>
      <c r="AN134" s="350"/>
      <c r="AO134" s="350"/>
      <c r="AP134" s="350">
        <f t="shared" si="492"/>
        <v>40.901000000000003</v>
      </c>
      <c r="AQ134" s="350"/>
      <c r="AR134" s="350"/>
      <c r="AS134" s="350">
        <f t="shared" si="492"/>
        <v>53.900000000000006</v>
      </c>
      <c r="AT134" s="350"/>
      <c r="AU134" s="350"/>
      <c r="AV134" s="350">
        <f>-AV52</f>
        <v>61.1</v>
      </c>
      <c r="AW134" s="715">
        <f t="shared" ref="AW134:AX134" si="493">-AW52</f>
        <v>27.700000000000024</v>
      </c>
      <c r="AX134" s="715">
        <f t="shared" si="493"/>
        <v>28.499999999999979</v>
      </c>
      <c r="AY134" s="715">
        <f>-AY52</f>
        <v>56.2</v>
      </c>
      <c r="AZ134" s="715">
        <f t="shared" ref="AZ134:BW134" si="494">-AZ52</f>
        <v>109.10000000000002</v>
      </c>
      <c r="BA134" s="715">
        <f t="shared" si="494"/>
        <v>105.79999999999995</v>
      </c>
      <c r="BB134" s="715">
        <f t="shared" si="494"/>
        <v>229.3</v>
      </c>
      <c r="BC134" s="715">
        <f t="shared" si="494"/>
        <v>109.09999999999994</v>
      </c>
      <c r="BD134" s="715">
        <f t="shared" si="494"/>
        <v>109.4</v>
      </c>
      <c r="BE134" s="715">
        <f t="shared" si="494"/>
        <v>218.5</v>
      </c>
      <c r="BF134" s="715">
        <f t="shared" si="494"/>
        <v>108.50000000000003</v>
      </c>
      <c r="BG134" s="715">
        <f t="shared" si="494"/>
        <v>110.79999999999988</v>
      </c>
      <c r="BH134" s="715">
        <f t="shared" si="494"/>
        <v>219.3</v>
      </c>
      <c r="BI134" s="715">
        <f t="shared" ref="BI134" si="495">-BI52</f>
        <v>113.40000000000003</v>
      </c>
      <c r="BJ134" s="715">
        <f t="shared" si="494"/>
        <v>110.80000000000001</v>
      </c>
      <c r="BK134" s="715">
        <f t="shared" ref="BK134:BM134" si="496">-BK52</f>
        <v>224.2</v>
      </c>
      <c r="BL134" s="715">
        <f t="shared" si="496"/>
        <v>118.5</v>
      </c>
      <c r="BM134" s="715">
        <f t="shared" si="496"/>
        <v>118.59999999999991</v>
      </c>
      <c r="BN134" s="715">
        <f t="shared" ref="BN134:BO134" si="497">-BN52</f>
        <v>237.1</v>
      </c>
      <c r="BO134" s="715">
        <f t="shared" si="497"/>
        <v>125.99999999999996</v>
      </c>
      <c r="BP134" s="715">
        <f t="shared" si="494"/>
        <v>132.80000000000007</v>
      </c>
      <c r="BQ134" s="715">
        <f t="shared" si="494"/>
        <v>258.8</v>
      </c>
      <c r="BR134" s="1849">
        <f t="shared" si="494"/>
        <v>134.99999999999997</v>
      </c>
      <c r="BS134" s="715">
        <f t="shared" si="494"/>
        <v>133.46491574585644</v>
      </c>
      <c r="BT134" s="715">
        <f t="shared" si="494"/>
        <v>268.46491574585639</v>
      </c>
      <c r="BU134" s="715">
        <f t="shared" si="494"/>
        <v>138.43199999999996</v>
      </c>
      <c r="BV134" s="715">
        <f t="shared" si="494"/>
        <v>136.83962071823211</v>
      </c>
      <c r="BW134" s="715">
        <f t="shared" si="494"/>
        <v>275.2716207182321</v>
      </c>
      <c r="BX134" s="715">
        <f t="shared" ref="BX134:CC134" si="498">-BX52</f>
        <v>140.20102500000002</v>
      </c>
      <c r="BY134" s="715">
        <f t="shared" si="498"/>
        <v>142.05032077727901</v>
      </c>
      <c r="BZ134" s="715">
        <f t="shared" si="498"/>
        <v>282.25134577727903</v>
      </c>
      <c r="CA134" s="715">
        <f t="shared" si="498"/>
        <v>143.75776950000002</v>
      </c>
      <c r="CB134" s="715">
        <f t="shared" si="498"/>
        <v>145.65073249903486</v>
      </c>
      <c r="CC134" s="715">
        <f t="shared" si="498"/>
        <v>289.40850199903485</v>
      </c>
      <c r="CD134" s="74"/>
      <c r="CE134" s="74"/>
    </row>
    <row r="135" spans="1:83" outlineLevel="1">
      <c r="A135" s="746"/>
      <c r="B135" s="349"/>
      <c r="C135" s="350"/>
      <c r="D135" s="350"/>
      <c r="E135" s="350"/>
      <c r="F135" s="350"/>
      <c r="G135" s="350"/>
      <c r="H135" s="350"/>
      <c r="I135" s="350"/>
      <c r="J135" s="350"/>
      <c r="K135" s="350"/>
      <c r="L135" s="350"/>
      <c r="M135" s="350"/>
      <c r="N135" s="350"/>
      <c r="O135" s="755"/>
      <c r="P135" s="755"/>
      <c r="Q135" s="755"/>
      <c r="R135" s="755"/>
      <c r="S135" s="755"/>
      <c r="T135" s="755"/>
      <c r="U135" s="350"/>
      <c r="V135" s="350"/>
      <c r="W135" s="350"/>
      <c r="X135" s="350"/>
      <c r="Y135" s="350"/>
      <c r="Z135" s="350"/>
      <c r="AA135" s="350"/>
      <c r="AB135" s="350"/>
      <c r="AC135" s="350"/>
      <c r="AD135" s="350"/>
      <c r="AE135" s="350"/>
      <c r="AF135" s="350"/>
      <c r="AG135" s="350"/>
      <c r="AH135" s="350"/>
      <c r="AI135" s="350"/>
      <c r="AJ135" s="350"/>
      <c r="AK135" s="350"/>
      <c r="AL135" s="350"/>
      <c r="AM135" s="350"/>
      <c r="AN135" s="350"/>
      <c r="AO135" s="350"/>
      <c r="AP135" s="350"/>
      <c r="AQ135" s="350"/>
      <c r="AR135" s="350"/>
      <c r="AS135" s="350"/>
      <c r="AT135" s="350"/>
      <c r="AU135" s="350"/>
      <c r="AV135" s="350"/>
      <c r="AW135" s="715"/>
      <c r="AX135" s="715"/>
      <c r="AY135" s="715"/>
      <c r="AZ135" s="715"/>
      <c r="BA135" s="715"/>
      <c r="BB135" s="715"/>
      <c r="BC135" s="715"/>
      <c r="BD135" s="715"/>
      <c r="BE135" s="715"/>
      <c r="BF135" s="715"/>
      <c r="BG135" s="715"/>
      <c r="BH135" s="715"/>
      <c r="BI135" s="715"/>
      <c r="BJ135" s="715"/>
      <c r="BK135" s="715"/>
      <c r="BL135" s="715"/>
      <c r="BM135" s="715"/>
      <c r="BN135" s="715"/>
      <c r="BO135" s="715"/>
      <c r="BP135" s="715"/>
      <c r="BQ135" s="715"/>
      <c r="BR135" s="1849"/>
      <c r="BS135" s="715"/>
      <c r="BT135" s="715"/>
      <c r="BU135" s="715"/>
      <c r="BV135" s="715"/>
      <c r="BW135" s="715"/>
      <c r="BX135" s="715"/>
      <c r="BY135" s="715"/>
      <c r="BZ135" s="715"/>
      <c r="CA135" s="715"/>
      <c r="CB135" s="715"/>
      <c r="CC135" s="715"/>
      <c r="CD135" s="74"/>
      <c r="CE135" s="74"/>
    </row>
    <row r="136" spans="1:83" outlineLevel="2">
      <c r="A136" s="746"/>
      <c r="B136" s="536" t="s">
        <v>165</v>
      </c>
      <c r="C136" s="758">
        <f t="shared" ref="C136:AM136" si="499">C64</f>
        <v>16.781000000000002</v>
      </c>
      <c r="D136" s="758"/>
      <c r="E136" s="758"/>
      <c r="F136" s="758">
        <f t="shared" si="499"/>
        <v>22.731999999999999</v>
      </c>
      <c r="G136" s="758"/>
      <c r="H136" s="758"/>
      <c r="I136" s="758">
        <f t="shared" si="499"/>
        <v>37.031999999999996</v>
      </c>
      <c r="J136" s="758"/>
      <c r="K136" s="758"/>
      <c r="L136" s="758">
        <f t="shared" si="499"/>
        <v>44.561</v>
      </c>
      <c r="M136" s="758"/>
      <c r="N136" s="758"/>
      <c r="O136" s="758">
        <f t="shared" si="499"/>
        <v>65.534000000000006</v>
      </c>
      <c r="P136" s="758"/>
      <c r="Q136" s="758"/>
      <c r="R136" s="758">
        <f t="shared" si="499"/>
        <v>102.29899999999999</v>
      </c>
      <c r="S136" s="758"/>
      <c r="T136" s="758"/>
      <c r="U136" s="758">
        <f t="shared" si="499"/>
        <v>141.96600000000001</v>
      </c>
      <c r="V136" s="758"/>
      <c r="W136" s="758"/>
      <c r="X136" s="758">
        <f t="shared" si="499"/>
        <v>175.11</v>
      </c>
      <c r="Y136" s="758"/>
      <c r="Z136" s="758"/>
      <c r="AA136" s="758">
        <f t="shared" si="499"/>
        <v>162.613</v>
      </c>
      <c r="AB136" s="758"/>
      <c r="AC136" s="758"/>
      <c r="AD136" s="758">
        <f t="shared" si="499"/>
        <v>161.459</v>
      </c>
      <c r="AE136" s="758"/>
      <c r="AF136" s="758"/>
      <c r="AG136" s="758">
        <f t="shared" si="499"/>
        <v>177.75300000000001</v>
      </c>
      <c r="AH136" s="758"/>
      <c r="AI136" s="758"/>
      <c r="AJ136" s="758">
        <f t="shared" si="499"/>
        <v>191.12</v>
      </c>
      <c r="AK136" s="758"/>
      <c r="AL136" s="758"/>
      <c r="AM136" s="758">
        <f t="shared" si="499"/>
        <v>200.90700000000001</v>
      </c>
      <c r="AN136" s="758"/>
      <c r="AO136" s="758"/>
      <c r="AP136" s="758">
        <f t="shared" ref="AP136:AY136" si="500">AP64</f>
        <v>221.17500000000001</v>
      </c>
      <c r="AQ136" s="758"/>
      <c r="AR136" s="758"/>
      <c r="AS136" s="758">
        <f t="shared" si="500"/>
        <v>268.2</v>
      </c>
      <c r="AT136" s="758"/>
      <c r="AU136" s="758"/>
      <c r="AV136" s="758">
        <f t="shared" si="500"/>
        <v>350.59999999999997</v>
      </c>
      <c r="AW136" s="714">
        <f t="shared" ref="AW136:AX136" si="501">AW64</f>
        <v>236.6</v>
      </c>
      <c r="AX136" s="714">
        <f t="shared" si="501"/>
        <v>136.30000000000004</v>
      </c>
      <c r="AY136" s="714">
        <f t="shared" si="500"/>
        <v>372.90000000000003</v>
      </c>
      <c r="AZ136" s="714">
        <f t="shared" ref="AZ136:BW136" si="502">AZ64</f>
        <v>263</v>
      </c>
      <c r="BA136" s="714">
        <f t="shared" si="502"/>
        <v>220.20000000000005</v>
      </c>
      <c r="BB136" s="714">
        <f t="shared" si="502"/>
        <v>483.20000000000005</v>
      </c>
      <c r="BC136" s="714">
        <f t="shared" si="502"/>
        <v>462.8</v>
      </c>
      <c r="BD136" s="714">
        <f t="shared" si="502"/>
        <v>280.30000000000007</v>
      </c>
      <c r="BE136" s="714">
        <f t="shared" si="502"/>
        <v>743.1</v>
      </c>
      <c r="BF136" s="714">
        <f t="shared" si="502"/>
        <v>420.5</v>
      </c>
      <c r="BG136" s="714">
        <f t="shared" si="502"/>
        <v>374.10000000000008</v>
      </c>
      <c r="BH136" s="714">
        <f t="shared" si="502"/>
        <v>794.59999999999991</v>
      </c>
      <c r="BI136" s="714">
        <f t="shared" ref="BI136" si="503">BI64</f>
        <v>479.2</v>
      </c>
      <c r="BJ136" s="714">
        <f t="shared" si="502"/>
        <v>289.8</v>
      </c>
      <c r="BK136" s="714">
        <f t="shared" ref="BK136:BM136" si="504">BK64</f>
        <v>769</v>
      </c>
      <c r="BL136" s="714">
        <f t="shared" si="504"/>
        <v>386.7</v>
      </c>
      <c r="BM136" s="714">
        <f t="shared" si="504"/>
        <v>260.49999999999994</v>
      </c>
      <c r="BN136" s="714">
        <f t="shared" ref="BN136:BO136" si="505">BN64</f>
        <v>647.19999999999993</v>
      </c>
      <c r="BO136" s="714">
        <f t="shared" si="505"/>
        <v>419.90000000000003</v>
      </c>
      <c r="BP136" s="714">
        <f t="shared" si="502"/>
        <v>274.19999999999993</v>
      </c>
      <c r="BQ136" s="714">
        <f t="shared" si="502"/>
        <v>694.09999999999991</v>
      </c>
      <c r="BR136" s="1848">
        <f t="shared" si="502"/>
        <v>454</v>
      </c>
      <c r="BS136" s="714">
        <f t="shared" si="502"/>
        <v>299.74192521296516</v>
      </c>
      <c r="BT136" s="714">
        <f t="shared" si="502"/>
        <v>753.74192521296516</v>
      </c>
      <c r="BU136" s="714">
        <f t="shared" si="502"/>
        <v>462.29499825171848</v>
      </c>
      <c r="BV136" s="714">
        <f t="shared" si="502"/>
        <v>305.39218045061097</v>
      </c>
      <c r="BW136" s="714">
        <f t="shared" si="502"/>
        <v>767.68717870232945</v>
      </c>
      <c r="BX136" s="714">
        <f t="shared" ref="BX136:CC136" si="506">BX64</f>
        <v>488.71109506951535</v>
      </c>
      <c r="BY136" s="714">
        <f t="shared" si="506"/>
        <v>317.31163138343726</v>
      </c>
      <c r="BZ136" s="714">
        <f t="shared" si="506"/>
        <v>806.02272645295261</v>
      </c>
      <c r="CA136" s="714">
        <f t="shared" si="506"/>
        <v>512.41632904668973</v>
      </c>
      <c r="CB136" s="714">
        <f t="shared" si="506"/>
        <v>333.27546593914826</v>
      </c>
      <c r="CC136" s="714">
        <f t="shared" si="506"/>
        <v>845.69179498583799</v>
      </c>
      <c r="CD136" s="94"/>
      <c r="CE136" s="94"/>
    </row>
    <row r="137" spans="1:83" outlineLevel="2">
      <c r="A137" s="746"/>
      <c r="B137" s="349" t="s">
        <v>315</v>
      </c>
      <c r="C137" s="350">
        <f t="shared" ref="C137:AM137" si="507">-C62</f>
        <v>0</v>
      </c>
      <c r="D137" s="350"/>
      <c r="E137" s="350"/>
      <c r="F137" s="350">
        <f t="shared" si="507"/>
        <v>0</v>
      </c>
      <c r="G137" s="350"/>
      <c r="H137" s="350"/>
      <c r="I137" s="350">
        <f t="shared" si="507"/>
        <v>0</v>
      </c>
      <c r="J137" s="350"/>
      <c r="K137" s="350"/>
      <c r="L137" s="350">
        <f t="shared" si="507"/>
        <v>0</v>
      </c>
      <c r="M137" s="350"/>
      <c r="N137" s="350"/>
      <c r="O137" s="350">
        <f t="shared" si="507"/>
        <v>0</v>
      </c>
      <c r="P137" s="350"/>
      <c r="Q137" s="350"/>
      <c r="R137" s="350">
        <f t="shared" si="507"/>
        <v>0</v>
      </c>
      <c r="S137" s="350"/>
      <c r="T137" s="350"/>
      <c r="U137" s="350">
        <f t="shared" si="507"/>
        <v>0</v>
      </c>
      <c r="V137" s="350"/>
      <c r="W137" s="350"/>
      <c r="X137" s="350">
        <f t="shared" si="507"/>
        <v>0</v>
      </c>
      <c r="Y137" s="350"/>
      <c r="Z137" s="350"/>
      <c r="AA137" s="350">
        <f t="shared" si="507"/>
        <v>33.4</v>
      </c>
      <c r="AB137" s="350"/>
      <c r="AC137" s="350"/>
      <c r="AD137" s="350">
        <f t="shared" si="507"/>
        <v>0</v>
      </c>
      <c r="AE137" s="350"/>
      <c r="AF137" s="350"/>
      <c r="AG137" s="350">
        <f t="shared" si="507"/>
        <v>0</v>
      </c>
      <c r="AH137" s="350"/>
      <c r="AI137" s="350"/>
      <c r="AJ137" s="350">
        <f t="shared" si="507"/>
        <v>0</v>
      </c>
      <c r="AK137" s="350"/>
      <c r="AL137" s="350"/>
      <c r="AM137" s="350">
        <f t="shared" si="507"/>
        <v>0</v>
      </c>
      <c r="AN137" s="350"/>
      <c r="AO137" s="350"/>
      <c r="AP137" s="350">
        <f t="shared" ref="AP137:BW137" si="508">-AP62</f>
        <v>0</v>
      </c>
      <c r="AQ137" s="350"/>
      <c r="AR137" s="350"/>
      <c r="AS137" s="350">
        <f t="shared" si="508"/>
        <v>38.200000000000003</v>
      </c>
      <c r="AT137" s="350"/>
      <c r="AU137" s="350"/>
      <c r="AV137" s="350">
        <f t="shared" si="508"/>
        <v>0</v>
      </c>
      <c r="AW137" s="715"/>
      <c r="AX137" s="715"/>
      <c r="AY137" s="715">
        <f t="shared" si="508"/>
        <v>0</v>
      </c>
      <c r="AZ137" s="715"/>
      <c r="BA137" s="715"/>
      <c r="BB137" s="715">
        <f t="shared" si="508"/>
        <v>19.7</v>
      </c>
      <c r="BC137" s="715"/>
      <c r="BD137" s="715"/>
      <c r="BE137" s="715">
        <f t="shared" si="508"/>
        <v>0</v>
      </c>
      <c r="BF137" s="715"/>
      <c r="BG137" s="715"/>
      <c r="BH137" s="715">
        <f t="shared" si="508"/>
        <v>0</v>
      </c>
      <c r="BI137" s="715">
        <f t="shared" si="508"/>
        <v>0</v>
      </c>
      <c r="BJ137" s="715"/>
      <c r="BK137" s="715">
        <f t="shared" ref="BK137:BL137" si="509">-BK62</f>
        <v>0</v>
      </c>
      <c r="BL137" s="715">
        <f t="shared" si="509"/>
        <v>0</v>
      </c>
      <c r="BM137" s="715"/>
      <c r="BN137" s="715">
        <f t="shared" ref="BN137:BO137" si="510">-BN62</f>
        <v>0</v>
      </c>
      <c r="BO137" s="715">
        <f t="shared" si="510"/>
        <v>0</v>
      </c>
      <c r="BP137" s="715"/>
      <c r="BQ137" s="715">
        <f t="shared" ref="BQ137" si="511">-BQ62</f>
        <v>13.7</v>
      </c>
      <c r="BR137" s="1849"/>
      <c r="BS137" s="715"/>
      <c r="BT137" s="715">
        <f t="shared" si="508"/>
        <v>0</v>
      </c>
      <c r="BU137" s="715"/>
      <c r="BV137" s="715"/>
      <c r="BW137" s="715">
        <f t="shared" si="508"/>
        <v>0</v>
      </c>
      <c r="BX137" s="715"/>
      <c r="BY137" s="715"/>
      <c r="BZ137" s="715">
        <f t="shared" ref="BZ137" si="512">-BZ62</f>
        <v>0</v>
      </c>
      <c r="CA137" s="715"/>
      <c r="CB137" s="715"/>
      <c r="CC137" s="715">
        <f t="shared" ref="CC137" si="513">-CC62</f>
        <v>0</v>
      </c>
      <c r="CD137" s="74"/>
      <c r="CE137" s="74"/>
    </row>
    <row r="138" spans="1:83" outlineLevel="2">
      <c r="A138" s="746"/>
      <c r="B138" s="349"/>
      <c r="C138" s="350"/>
      <c r="D138" s="350"/>
      <c r="E138" s="350"/>
      <c r="F138" s="350"/>
      <c r="G138" s="350"/>
      <c r="H138" s="350"/>
      <c r="I138" s="350"/>
      <c r="J138" s="350"/>
      <c r="K138" s="350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0"/>
      <c r="Y138" s="350"/>
      <c r="Z138" s="350"/>
      <c r="AA138" s="350"/>
      <c r="AB138" s="350"/>
      <c r="AC138" s="350"/>
      <c r="AD138" s="350"/>
      <c r="AE138" s="350"/>
      <c r="AF138" s="350"/>
      <c r="AG138" s="350"/>
      <c r="AH138" s="350"/>
      <c r="AI138" s="350"/>
      <c r="AJ138" s="350"/>
      <c r="AK138" s="350"/>
      <c r="AL138" s="350"/>
      <c r="AM138" s="350"/>
      <c r="AN138" s="350"/>
      <c r="AO138" s="350"/>
      <c r="AP138" s="350"/>
      <c r="AQ138" s="350"/>
      <c r="AR138" s="350"/>
      <c r="AS138" s="350"/>
      <c r="AT138" s="350"/>
      <c r="AU138" s="350"/>
      <c r="AV138" s="350"/>
      <c r="AW138" s="715"/>
      <c r="AX138" s="715"/>
      <c r="AY138" s="715"/>
      <c r="AZ138" s="715"/>
      <c r="BA138" s="715"/>
      <c r="BB138" s="715"/>
      <c r="BC138" s="715"/>
      <c r="BD138" s="715"/>
      <c r="BE138" s="715"/>
      <c r="BF138" s="715"/>
      <c r="BG138" s="715"/>
      <c r="BH138" s="715"/>
      <c r="BI138" s="715"/>
      <c r="BJ138" s="715"/>
      <c r="BK138" s="715"/>
      <c r="BL138" s="715"/>
      <c r="BM138" s="715"/>
      <c r="BN138" s="715"/>
      <c r="BO138" s="715"/>
      <c r="BP138" s="715"/>
      <c r="BQ138" s="715"/>
      <c r="BR138" s="1849"/>
      <c r="BS138" s="715"/>
      <c r="BT138" s="715"/>
      <c r="BU138" s="715"/>
      <c r="BV138" s="715"/>
      <c r="BW138" s="715"/>
      <c r="BX138" s="715"/>
      <c r="BY138" s="715"/>
      <c r="BZ138" s="715"/>
      <c r="CA138" s="715"/>
      <c r="CB138" s="715"/>
      <c r="CC138" s="715"/>
      <c r="CD138" s="74"/>
      <c r="CE138" s="74"/>
    </row>
    <row r="139" spans="1:83" outlineLevel="1" collapsed="1">
      <c r="A139" s="746"/>
      <c r="B139" s="757" t="s">
        <v>182</v>
      </c>
      <c r="C139" s="758">
        <f t="shared" ref="C139:AM139" si="514">C136+C137</f>
        <v>16.781000000000002</v>
      </c>
      <c r="D139" s="758"/>
      <c r="E139" s="758"/>
      <c r="F139" s="758">
        <f t="shared" si="514"/>
        <v>22.731999999999999</v>
      </c>
      <c r="G139" s="758"/>
      <c r="H139" s="758"/>
      <c r="I139" s="758">
        <f t="shared" si="514"/>
        <v>37.031999999999996</v>
      </c>
      <c r="J139" s="758"/>
      <c r="K139" s="758"/>
      <c r="L139" s="758">
        <f t="shared" si="514"/>
        <v>44.561</v>
      </c>
      <c r="M139" s="758"/>
      <c r="N139" s="758"/>
      <c r="O139" s="758">
        <f t="shared" si="514"/>
        <v>65.534000000000006</v>
      </c>
      <c r="P139" s="758"/>
      <c r="Q139" s="758"/>
      <c r="R139" s="758">
        <f t="shared" si="514"/>
        <v>102.29899999999999</v>
      </c>
      <c r="S139" s="758"/>
      <c r="T139" s="758"/>
      <c r="U139" s="758">
        <f t="shared" si="514"/>
        <v>141.96600000000001</v>
      </c>
      <c r="V139" s="758"/>
      <c r="W139" s="758"/>
      <c r="X139" s="758">
        <f t="shared" si="514"/>
        <v>175.11</v>
      </c>
      <c r="Y139" s="758"/>
      <c r="Z139" s="758"/>
      <c r="AA139" s="758">
        <f t="shared" si="514"/>
        <v>196.01300000000001</v>
      </c>
      <c r="AB139" s="758"/>
      <c r="AC139" s="758"/>
      <c r="AD139" s="758">
        <f t="shared" si="514"/>
        <v>161.459</v>
      </c>
      <c r="AE139" s="758"/>
      <c r="AF139" s="758"/>
      <c r="AG139" s="758">
        <f t="shared" si="514"/>
        <v>177.75300000000001</v>
      </c>
      <c r="AH139" s="758"/>
      <c r="AI139" s="758"/>
      <c r="AJ139" s="758">
        <f t="shared" si="514"/>
        <v>191.12</v>
      </c>
      <c r="AK139" s="758"/>
      <c r="AL139" s="758"/>
      <c r="AM139" s="758">
        <f t="shared" si="514"/>
        <v>200.90700000000001</v>
      </c>
      <c r="AN139" s="758"/>
      <c r="AO139" s="758"/>
      <c r="AP139" s="758">
        <f t="shared" ref="AP139:BW139" si="515">AP136+AP137</f>
        <v>221.17500000000001</v>
      </c>
      <c r="AQ139" s="758"/>
      <c r="AR139" s="758"/>
      <c r="AS139" s="758">
        <f t="shared" si="515"/>
        <v>306.39999999999998</v>
      </c>
      <c r="AT139" s="758"/>
      <c r="AU139" s="758"/>
      <c r="AV139" s="758">
        <f t="shared" si="515"/>
        <v>350.59999999999997</v>
      </c>
      <c r="AW139" s="714"/>
      <c r="AX139" s="714"/>
      <c r="AY139" s="714">
        <f t="shared" si="515"/>
        <v>372.90000000000003</v>
      </c>
      <c r="AZ139" s="714"/>
      <c r="BA139" s="714"/>
      <c r="BB139" s="714">
        <f t="shared" si="515"/>
        <v>502.90000000000003</v>
      </c>
      <c r="BC139" s="714"/>
      <c r="BD139" s="714"/>
      <c r="BE139" s="714">
        <f>BE136+BE137</f>
        <v>743.1</v>
      </c>
      <c r="BF139" s="714"/>
      <c r="BG139" s="714"/>
      <c r="BH139" s="714">
        <f t="shared" si="515"/>
        <v>794.59999999999991</v>
      </c>
      <c r="BI139" s="714">
        <f>BI136+BI137</f>
        <v>479.2</v>
      </c>
      <c r="BJ139" s="714"/>
      <c r="BK139" s="714">
        <f t="shared" ref="BK139" si="516">BK136+BK137</f>
        <v>769</v>
      </c>
      <c r="BL139" s="714">
        <f>BL136+BL137</f>
        <v>386.7</v>
      </c>
      <c r="BM139" s="714"/>
      <c r="BN139" s="714">
        <f t="shared" ref="BN139" si="517">BN136+BN137</f>
        <v>647.19999999999993</v>
      </c>
      <c r="BO139" s="714">
        <f>BO136+BO137</f>
        <v>419.90000000000003</v>
      </c>
      <c r="BP139" s="714"/>
      <c r="BQ139" s="714">
        <f t="shared" ref="BQ139" si="518">BQ136+BQ137</f>
        <v>707.8</v>
      </c>
      <c r="BR139" s="1848"/>
      <c r="BS139" s="714"/>
      <c r="BT139" s="714">
        <f t="shared" si="515"/>
        <v>753.74192521296516</v>
      </c>
      <c r="BU139" s="714"/>
      <c r="BV139" s="714"/>
      <c r="BW139" s="714">
        <f t="shared" si="515"/>
        <v>767.68717870232945</v>
      </c>
      <c r="BX139" s="714"/>
      <c r="BY139" s="714"/>
      <c r="BZ139" s="714">
        <f t="shared" ref="BZ139" si="519">BZ136+BZ137</f>
        <v>806.02272645295261</v>
      </c>
      <c r="CA139" s="714"/>
      <c r="CB139" s="714"/>
      <c r="CC139" s="714">
        <f t="shared" ref="CC139" si="520">CC136+CC137</f>
        <v>845.69179498583799</v>
      </c>
      <c r="CD139" s="94"/>
      <c r="CE139" s="94"/>
    </row>
    <row r="140" spans="1:83" outlineLevel="1">
      <c r="A140" s="746"/>
      <c r="B140" s="757"/>
      <c r="C140" s="758"/>
      <c r="D140" s="758"/>
      <c r="E140" s="758"/>
      <c r="F140" s="758"/>
      <c r="G140" s="758"/>
      <c r="H140" s="758"/>
      <c r="I140" s="758"/>
      <c r="J140" s="758"/>
      <c r="K140" s="758"/>
      <c r="L140" s="758"/>
      <c r="M140" s="758"/>
      <c r="N140" s="758"/>
      <c r="O140" s="758"/>
      <c r="P140" s="758"/>
      <c r="Q140" s="758"/>
      <c r="R140" s="758"/>
      <c r="S140" s="758"/>
      <c r="T140" s="758"/>
      <c r="U140" s="758"/>
      <c r="V140" s="758"/>
      <c r="W140" s="758"/>
      <c r="X140" s="758"/>
      <c r="Y140" s="758"/>
      <c r="Z140" s="758"/>
      <c r="AA140" s="758"/>
      <c r="AB140" s="758"/>
      <c r="AC140" s="758"/>
      <c r="AD140" s="758"/>
      <c r="AE140" s="758"/>
      <c r="AF140" s="758"/>
      <c r="AG140" s="758"/>
      <c r="AH140" s="758"/>
      <c r="AI140" s="758"/>
      <c r="AJ140" s="758"/>
      <c r="AK140" s="758"/>
      <c r="AL140" s="758"/>
      <c r="AM140" s="758"/>
      <c r="AN140" s="758"/>
      <c r="AO140" s="758"/>
      <c r="AP140" s="758"/>
      <c r="AQ140" s="758"/>
      <c r="AR140" s="758"/>
      <c r="AS140" s="758"/>
      <c r="AT140" s="758"/>
      <c r="AU140" s="758"/>
      <c r="AV140" s="758"/>
      <c r="AW140" s="714"/>
      <c r="AX140" s="714"/>
      <c r="AY140" s="714"/>
      <c r="AZ140" s="714"/>
      <c r="BA140" s="714"/>
      <c r="BB140" s="714"/>
      <c r="BC140" s="714"/>
      <c r="BD140" s="714"/>
      <c r="BE140" s="714"/>
      <c r="BF140" s="714"/>
      <c r="BG140" s="714"/>
      <c r="BH140" s="714"/>
      <c r="BI140" s="714"/>
      <c r="BJ140" s="714"/>
      <c r="BK140" s="714"/>
      <c r="BL140" s="714"/>
      <c r="BM140" s="714"/>
      <c r="BN140" s="714"/>
      <c r="BO140" s="714"/>
      <c r="BP140" s="714"/>
      <c r="BQ140" s="714"/>
      <c r="BR140" s="1848"/>
      <c r="BS140" s="714"/>
      <c r="BT140" s="714"/>
      <c r="BU140" s="714"/>
      <c r="BV140" s="714"/>
      <c r="BW140" s="714"/>
      <c r="BX140" s="714"/>
      <c r="BY140" s="714"/>
      <c r="BZ140" s="714"/>
      <c r="CA140" s="714"/>
      <c r="CB140" s="714"/>
      <c r="CC140" s="714"/>
      <c r="CD140" s="94"/>
      <c r="CE140" s="94"/>
    </row>
    <row r="141" spans="1:83" outlineLevel="2">
      <c r="A141" s="746"/>
      <c r="B141" s="349" t="s">
        <v>316</v>
      </c>
      <c r="C141" s="760">
        <f t="shared" ref="C141:BB141" si="521">(C139)*C201</f>
        <v>4.9201669559728582</v>
      </c>
      <c r="D141" s="760"/>
      <c r="E141" s="760"/>
      <c r="F141" s="760">
        <f t="shared" si="521"/>
        <v>6.6947612581128304</v>
      </c>
      <c r="G141" s="760"/>
      <c r="H141" s="760"/>
      <c r="I141" s="760">
        <f t="shared" si="521"/>
        <v>10.965476338319691</v>
      </c>
      <c r="J141" s="760"/>
      <c r="K141" s="760"/>
      <c r="L141" s="760">
        <f t="shared" si="521"/>
        <v>13.72078906833578</v>
      </c>
      <c r="M141" s="760"/>
      <c r="N141" s="760"/>
      <c r="O141" s="760">
        <f t="shared" si="521"/>
        <v>19.869122113878646</v>
      </c>
      <c r="P141" s="760"/>
      <c r="Q141" s="760"/>
      <c r="R141" s="760">
        <f t="shared" si="521"/>
        <v>31.420951228592703</v>
      </c>
      <c r="S141" s="760"/>
      <c r="T141" s="760"/>
      <c r="U141" s="760">
        <f t="shared" si="521"/>
        <v>43.016666150030993</v>
      </c>
      <c r="V141" s="760"/>
      <c r="W141" s="760"/>
      <c r="X141" s="760">
        <f t="shared" si="521"/>
        <v>52.60393152163018</v>
      </c>
      <c r="Y141" s="760"/>
      <c r="Z141" s="760"/>
      <c r="AA141" s="760">
        <f t="shared" si="521"/>
        <v>58.795425682749858</v>
      </c>
      <c r="AB141" s="760"/>
      <c r="AC141" s="760"/>
      <c r="AD141" s="760">
        <f t="shared" si="521"/>
        <v>47.589015440814713</v>
      </c>
      <c r="AE141" s="760"/>
      <c r="AF141" s="760"/>
      <c r="AG141" s="760">
        <f t="shared" si="521"/>
        <v>54.388280175183873</v>
      </c>
      <c r="AH141" s="760"/>
      <c r="AI141" s="760"/>
      <c r="AJ141" s="760">
        <f t="shared" si="521"/>
        <v>56.73641235623532</v>
      </c>
      <c r="AK141" s="760"/>
      <c r="AL141" s="760"/>
      <c r="AM141" s="760">
        <f t="shared" si="521"/>
        <v>60.643434563140559</v>
      </c>
      <c r="AN141" s="760"/>
      <c r="AO141" s="760"/>
      <c r="AP141" s="760">
        <f t="shared" si="521"/>
        <v>66.663490697258069</v>
      </c>
      <c r="AQ141" s="760"/>
      <c r="AR141" s="760"/>
      <c r="AS141" s="760">
        <f t="shared" si="521"/>
        <v>92.350823744451915</v>
      </c>
      <c r="AT141" s="760"/>
      <c r="AU141" s="760"/>
      <c r="AV141" s="760">
        <f>(AV139)*AV201</f>
        <v>106.1757249626308</v>
      </c>
      <c r="AW141" s="717"/>
      <c r="AX141" s="717"/>
      <c r="AY141" s="717">
        <f>(AY139)*AY201</f>
        <v>113.64472585583079</v>
      </c>
      <c r="AZ141" s="717"/>
      <c r="BA141" s="717"/>
      <c r="BB141" s="717">
        <f t="shared" si="521"/>
        <v>152.07455089820357</v>
      </c>
      <c r="BC141" s="717"/>
      <c r="BD141" s="717"/>
      <c r="BE141" s="717">
        <f>(BE139)*BE201</f>
        <v>215.20521150124412</v>
      </c>
      <c r="BF141" s="717"/>
      <c r="BG141" s="717"/>
      <c r="BH141" s="717">
        <f t="shared" ref="BH141:BW141" si="522">(BH139)*BH201</f>
        <v>231.93341932155295</v>
      </c>
      <c r="BI141" s="717">
        <f>(BI139)*BI201</f>
        <v>142.98545299872396</v>
      </c>
      <c r="BJ141" s="717"/>
      <c r="BK141" s="717">
        <f t="shared" ref="BK141" si="523">(BK139)*BK201</f>
        <v>229.02221924775799</v>
      </c>
      <c r="BL141" s="717">
        <f>(BL139)*BL201</f>
        <v>115.81526636628678</v>
      </c>
      <c r="BM141" s="717"/>
      <c r="BN141" s="717">
        <f t="shared" ref="BN141" si="524">(BN139)*BN201</f>
        <v>194.55199234937837</v>
      </c>
      <c r="BO141" s="717">
        <f>(BO139)*BO201</f>
        <v>126.5761683386347</v>
      </c>
      <c r="BP141" s="717"/>
      <c r="BQ141" s="717">
        <f t="shared" ref="BQ141" si="525">(BQ139)*BQ201</f>
        <v>213.0564177790817</v>
      </c>
      <c r="BR141" s="1850"/>
      <c r="BS141" s="717"/>
      <c r="BT141" s="717">
        <f t="shared" si="522"/>
        <v>226.88549663151014</v>
      </c>
      <c r="BU141" s="717"/>
      <c r="BV141" s="717"/>
      <c r="BW141" s="717">
        <f t="shared" si="522"/>
        <v>231.08318772145813</v>
      </c>
      <c r="BX141" s="717"/>
      <c r="BY141" s="717"/>
      <c r="BZ141" s="717">
        <f t="shared" ref="BZ141" si="526">(BZ139)*BZ201</f>
        <v>242.62265434670073</v>
      </c>
      <c r="CA141" s="717"/>
      <c r="CB141" s="717"/>
      <c r="CC141" s="717">
        <f t="shared" ref="CC141" si="527">(CC139)*CC201</f>
        <v>254.56352696361151</v>
      </c>
      <c r="CD141" s="74"/>
      <c r="CE141" s="74"/>
    </row>
    <row r="142" spans="1:83" outlineLevel="2">
      <c r="A142" s="746"/>
      <c r="B142" s="536"/>
      <c r="C142" s="761"/>
      <c r="D142" s="761"/>
      <c r="E142" s="761"/>
      <c r="F142" s="761"/>
      <c r="G142" s="761"/>
      <c r="H142" s="761"/>
      <c r="I142" s="761"/>
      <c r="J142" s="761"/>
      <c r="K142" s="761"/>
      <c r="L142" s="761"/>
      <c r="M142" s="761"/>
      <c r="N142" s="761"/>
      <c r="O142" s="761"/>
      <c r="P142" s="761"/>
      <c r="Q142" s="761"/>
      <c r="R142" s="761"/>
      <c r="S142" s="761"/>
      <c r="T142" s="761"/>
      <c r="U142" s="761"/>
      <c r="V142" s="761"/>
      <c r="W142" s="761"/>
      <c r="X142" s="761"/>
      <c r="Y142" s="761"/>
      <c r="Z142" s="761"/>
      <c r="AA142" s="761"/>
      <c r="AB142" s="761"/>
      <c r="AC142" s="761"/>
      <c r="AD142" s="761"/>
      <c r="AE142" s="761"/>
      <c r="AF142" s="761"/>
      <c r="AG142" s="761"/>
      <c r="AH142" s="761"/>
      <c r="AI142" s="761"/>
      <c r="AJ142" s="761"/>
      <c r="AK142" s="761"/>
      <c r="AL142" s="761"/>
      <c r="AM142" s="761"/>
      <c r="AN142" s="761"/>
      <c r="AO142" s="761"/>
      <c r="AP142" s="761"/>
      <c r="AQ142" s="761"/>
      <c r="AR142" s="761"/>
      <c r="AS142" s="761"/>
      <c r="AT142" s="761"/>
      <c r="AU142" s="761"/>
      <c r="AV142" s="761"/>
      <c r="AW142" s="718"/>
      <c r="AX142" s="718"/>
      <c r="AY142" s="718"/>
      <c r="AZ142" s="718"/>
      <c r="BA142" s="718"/>
      <c r="BB142" s="718"/>
      <c r="BC142" s="718"/>
      <c r="BD142" s="718"/>
      <c r="BE142" s="718"/>
      <c r="BF142" s="718"/>
      <c r="BG142" s="718"/>
      <c r="BH142" s="718"/>
      <c r="BI142" s="718"/>
      <c r="BJ142" s="718"/>
      <c r="BK142" s="718"/>
      <c r="BL142" s="718"/>
      <c r="BM142" s="718"/>
      <c r="BN142" s="718"/>
      <c r="BO142" s="718"/>
      <c r="BP142" s="718"/>
      <c r="BQ142" s="718"/>
      <c r="BR142" s="1851"/>
      <c r="BS142" s="718"/>
      <c r="BT142" s="718"/>
      <c r="BU142" s="718"/>
      <c r="BV142" s="718"/>
      <c r="BW142" s="718"/>
      <c r="BX142" s="718"/>
      <c r="BY142" s="718"/>
      <c r="BZ142" s="718"/>
      <c r="CA142" s="718"/>
      <c r="CB142" s="718"/>
      <c r="CC142" s="718"/>
      <c r="CD142" s="94"/>
      <c r="CE142" s="94"/>
    </row>
    <row r="143" spans="1:83" outlineLevel="1" collapsed="1">
      <c r="A143" s="746"/>
      <c r="B143" s="757" t="s">
        <v>317</v>
      </c>
      <c r="C143" s="758">
        <f t="shared" ref="C143:AM143" si="528">C139-C141</f>
        <v>11.860833044027144</v>
      </c>
      <c r="D143" s="758"/>
      <c r="E143" s="758"/>
      <c r="F143" s="758">
        <f t="shared" si="528"/>
        <v>16.037238741887169</v>
      </c>
      <c r="G143" s="758"/>
      <c r="H143" s="758"/>
      <c r="I143" s="758">
        <f t="shared" si="528"/>
        <v>26.066523661680307</v>
      </c>
      <c r="J143" s="758"/>
      <c r="K143" s="758"/>
      <c r="L143" s="758">
        <f t="shared" si="528"/>
        <v>30.84021093166422</v>
      </c>
      <c r="M143" s="758"/>
      <c r="N143" s="758"/>
      <c r="O143" s="758">
        <f t="shared" si="528"/>
        <v>45.66487788612136</v>
      </c>
      <c r="P143" s="758"/>
      <c r="Q143" s="758"/>
      <c r="R143" s="758">
        <f t="shared" si="528"/>
        <v>70.878048771407293</v>
      </c>
      <c r="S143" s="758"/>
      <c r="T143" s="758"/>
      <c r="U143" s="758">
        <f t="shared" si="528"/>
        <v>98.949333849969008</v>
      </c>
      <c r="V143" s="758"/>
      <c r="W143" s="758"/>
      <c r="X143" s="758">
        <f t="shared" si="528"/>
        <v>122.50606847836983</v>
      </c>
      <c r="Y143" s="758"/>
      <c r="Z143" s="758"/>
      <c r="AA143" s="758">
        <f>AA139-AA141</f>
        <v>137.21757431725015</v>
      </c>
      <c r="AB143" s="758"/>
      <c r="AC143" s="758"/>
      <c r="AD143" s="758">
        <f t="shared" si="528"/>
        <v>113.8699845591853</v>
      </c>
      <c r="AE143" s="758"/>
      <c r="AF143" s="758"/>
      <c r="AG143" s="758">
        <f t="shared" si="528"/>
        <v>123.36471982481615</v>
      </c>
      <c r="AH143" s="758"/>
      <c r="AI143" s="758"/>
      <c r="AJ143" s="758">
        <f t="shared" si="528"/>
        <v>134.38358764376468</v>
      </c>
      <c r="AK143" s="758"/>
      <c r="AL143" s="758"/>
      <c r="AM143" s="758">
        <f t="shared" si="528"/>
        <v>140.26356543685944</v>
      </c>
      <c r="AN143" s="758"/>
      <c r="AO143" s="758"/>
      <c r="AP143" s="758">
        <f t="shared" ref="AP143:BW143" si="529">AP139-AP141</f>
        <v>154.51150930274196</v>
      </c>
      <c r="AQ143" s="758"/>
      <c r="AR143" s="758"/>
      <c r="AS143" s="758">
        <f t="shared" si="529"/>
        <v>214.04917625554805</v>
      </c>
      <c r="AT143" s="758"/>
      <c r="AU143" s="758"/>
      <c r="AV143" s="758">
        <f t="shared" si="529"/>
        <v>244.42427503736917</v>
      </c>
      <c r="AW143" s="714"/>
      <c r="AX143" s="714"/>
      <c r="AY143" s="714">
        <f t="shared" si="529"/>
        <v>259.25527414416922</v>
      </c>
      <c r="AZ143" s="714"/>
      <c r="BA143" s="714"/>
      <c r="BB143" s="714">
        <f t="shared" si="529"/>
        <v>350.82544910179649</v>
      </c>
      <c r="BC143" s="714"/>
      <c r="BD143" s="714"/>
      <c r="BE143" s="714">
        <f>BE139-BE141</f>
        <v>527.89478849875593</v>
      </c>
      <c r="BF143" s="714"/>
      <c r="BG143" s="714"/>
      <c r="BH143" s="714">
        <f t="shared" si="529"/>
        <v>562.66658067844696</v>
      </c>
      <c r="BI143" s="714">
        <f>BI139-BI141</f>
        <v>336.21454700127606</v>
      </c>
      <c r="BJ143" s="714"/>
      <c r="BK143" s="714">
        <f t="shared" ref="BK143" si="530">BK139-BK141</f>
        <v>539.97778075224198</v>
      </c>
      <c r="BL143" s="714">
        <f>BL139-BL141</f>
        <v>270.88473363371321</v>
      </c>
      <c r="BM143" s="714"/>
      <c r="BN143" s="714">
        <f t="shared" ref="BN143" si="531">BN139-BN141</f>
        <v>452.64800765062159</v>
      </c>
      <c r="BO143" s="714">
        <f>BO139-BO141</f>
        <v>293.32383166136532</v>
      </c>
      <c r="BP143" s="714"/>
      <c r="BQ143" s="714">
        <f t="shared" ref="BQ143" si="532">BQ139-BQ141</f>
        <v>494.74358222091826</v>
      </c>
      <c r="BR143" s="1848"/>
      <c r="BS143" s="714"/>
      <c r="BT143" s="714">
        <f t="shared" si="529"/>
        <v>526.85642858145502</v>
      </c>
      <c r="BU143" s="714"/>
      <c r="BV143" s="714"/>
      <c r="BW143" s="714">
        <f t="shared" si="529"/>
        <v>536.60399098087134</v>
      </c>
      <c r="BX143" s="714"/>
      <c r="BY143" s="714"/>
      <c r="BZ143" s="714">
        <f t="shared" ref="BZ143" si="533">BZ139-BZ141</f>
        <v>563.40007210625186</v>
      </c>
      <c r="CA143" s="714"/>
      <c r="CB143" s="714"/>
      <c r="CC143" s="714">
        <f t="shared" ref="CC143" si="534">CC139-CC141</f>
        <v>591.12826802222651</v>
      </c>
      <c r="CD143" s="94"/>
      <c r="CE143" s="94"/>
    </row>
    <row r="144" spans="1:83" outlineLevel="1">
      <c r="A144" s="746"/>
      <c r="B144" s="757"/>
      <c r="C144" s="761"/>
      <c r="D144" s="761"/>
      <c r="E144" s="761"/>
      <c r="F144" s="761"/>
      <c r="G144" s="761"/>
      <c r="H144" s="761"/>
      <c r="I144" s="761"/>
      <c r="J144" s="761"/>
      <c r="K144" s="761"/>
      <c r="L144" s="761"/>
      <c r="M144" s="761"/>
      <c r="N144" s="761"/>
      <c r="O144" s="761"/>
      <c r="P144" s="761"/>
      <c r="Q144" s="761"/>
      <c r="R144" s="761"/>
      <c r="S144" s="761"/>
      <c r="T144" s="761"/>
      <c r="U144" s="761"/>
      <c r="V144" s="761"/>
      <c r="W144" s="761"/>
      <c r="X144" s="761"/>
      <c r="Y144" s="761"/>
      <c r="Z144" s="761"/>
      <c r="AA144" s="761"/>
      <c r="AB144" s="761"/>
      <c r="AC144" s="761"/>
      <c r="AD144" s="761"/>
      <c r="AE144" s="761"/>
      <c r="AF144" s="761"/>
      <c r="AG144" s="761"/>
      <c r="AH144" s="761"/>
      <c r="AI144" s="761"/>
      <c r="AJ144" s="761"/>
      <c r="AK144" s="761"/>
      <c r="AL144" s="761"/>
      <c r="AM144" s="761"/>
      <c r="AN144" s="761"/>
      <c r="AO144" s="761"/>
      <c r="AP144" s="761"/>
      <c r="AQ144" s="761"/>
      <c r="AR144" s="761"/>
      <c r="AS144" s="761"/>
      <c r="AT144" s="761"/>
      <c r="AU144" s="761"/>
      <c r="AV144" s="761"/>
      <c r="AW144" s="718"/>
      <c r="AX144" s="718"/>
      <c r="AY144" s="718"/>
      <c r="AZ144" s="718"/>
      <c r="BA144" s="718"/>
      <c r="BB144" s="718"/>
      <c r="BC144" s="718"/>
      <c r="BD144" s="718"/>
      <c r="BE144" s="718"/>
      <c r="BF144" s="718"/>
      <c r="BG144" s="718"/>
      <c r="BH144" s="718"/>
      <c r="BI144" s="718"/>
      <c r="BJ144" s="718"/>
      <c r="BK144" s="718"/>
      <c r="BL144" s="718"/>
      <c r="BM144" s="718"/>
      <c r="BN144" s="718"/>
      <c r="BO144" s="718"/>
      <c r="BP144" s="718"/>
      <c r="BQ144" s="718"/>
      <c r="BR144" s="1851"/>
      <c r="BS144" s="718"/>
      <c r="BT144" s="718"/>
      <c r="BU144" s="718"/>
      <c r="BV144" s="718"/>
      <c r="BW144" s="718"/>
      <c r="BX144" s="718"/>
      <c r="BY144" s="718"/>
      <c r="BZ144" s="718"/>
      <c r="CA144" s="718"/>
      <c r="CB144" s="718"/>
      <c r="CC144" s="718"/>
      <c r="CD144" s="94"/>
      <c r="CE144" s="94"/>
    </row>
    <row r="145" spans="1:83" outlineLevel="2">
      <c r="A145" s="746"/>
      <c r="B145" s="349" t="s">
        <v>318</v>
      </c>
      <c r="C145" s="350">
        <v>5562.5999999999985</v>
      </c>
      <c r="D145" s="350"/>
      <c r="E145" s="350"/>
      <c r="F145" s="350">
        <v>5370.3</v>
      </c>
      <c r="G145" s="350"/>
      <c r="H145" s="350"/>
      <c r="I145" s="350">
        <v>5199.7</v>
      </c>
      <c r="J145" s="350"/>
      <c r="K145" s="350"/>
      <c r="L145" s="350">
        <v>6259.4</v>
      </c>
      <c r="M145" s="350"/>
      <c r="N145" s="350"/>
      <c r="O145" s="350">
        <v>6314.5000000000009</v>
      </c>
      <c r="P145" s="350"/>
      <c r="Q145" s="350"/>
      <c r="R145" s="350">
        <v>5802.5999999999995</v>
      </c>
      <c r="S145" s="350"/>
      <c r="T145" s="350"/>
      <c r="U145" s="350">
        <v>6044.9</v>
      </c>
      <c r="V145" s="350"/>
      <c r="W145" s="350"/>
      <c r="X145" s="350">
        <v>6031</v>
      </c>
      <c r="Y145" s="350"/>
      <c r="Z145" s="350"/>
      <c r="AA145" s="350">
        <v>6259.3999999999987</v>
      </c>
      <c r="AB145" s="350"/>
      <c r="AC145" s="350"/>
      <c r="AD145" s="350">
        <v>6312.0999999999985</v>
      </c>
      <c r="AE145" s="350"/>
      <c r="AF145" s="350"/>
      <c r="AG145" s="350">
        <v>6557.9000000000005</v>
      </c>
      <c r="AH145" s="350"/>
      <c r="AI145" s="350"/>
      <c r="AJ145" s="350">
        <v>6620.1</v>
      </c>
      <c r="AK145" s="350"/>
      <c r="AL145" s="350"/>
      <c r="AM145" s="350">
        <v>6678.6824430455254</v>
      </c>
      <c r="AN145" s="350"/>
      <c r="AO145" s="350"/>
      <c r="AP145" s="350">
        <v>6749.8018138434263</v>
      </c>
      <c r="AQ145" s="350"/>
      <c r="AR145" s="350"/>
      <c r="AS145" s="350">
        <v>6827.2350594793115</v>
      </c>
      <c r="AT145" s="350"/>
      <c r="AU145" s="350"/>
      <c r="AV145" s="350">
        <v>6827.2350594793115</v>
      </c>
      <c r="AW145" s="715"/>
      <c r="AX145" s="715"/>
      <c r="AY145" s="715">
        <v>6827.2350594793115</v>
      </c>
      <c r="AZ145" s="715"/>
      <c r="BA145" s="715"/>
      <c r="BB145" s="715">
        <v>7121.4669796878934</v>
      </c>
      <c r="BC145" s="715"/>
      <c r="BD145" s="715"/>
      <c r="BE145" s="715">
        <v>7122.4669796878898</v>
      </c>
      <c r="BF145" s="715"/>
      <c r="BG145" s="715"/>
      <c r="BH145" s="715">
        <v>7122.4669796878898</v>
      </c>
      <c r="BI145" s="715">
        <v>7122.4669796878898</v>
      </c>
      <c r="BJ145" s="715"/>
      <c r="BK145" s="715">
        <v>7122.4669796878898</v>
      </c>
      <c r="BL145" s="715">
        <v>7122.4669796878898</v>
      </c>
      <c r="BM145" s="715"/>
      <c r="BN145" s="715">
        <v>7122.4669796878898</v>
      </c>
      <c r="BO145" s="1683">
        <v>7122.4669796878898</v>
      </c>
      <c r="BP145" s="715"/>
      <c r="BQ145" s="715">
        <v>7122.4669796878898</v>
      </c>
      <c r="BR145" s="1849"/>
      <c r="BS145" s="715"/>
      <c r="BT145" s="715">
        <v>7123.4669796878898</v>
      </c>
      <c r="BU145" s="715"/>
      <c r="BV145" s="715"/>
      <c r="BW145" s="715">
        <v>7123.4669796878898</v>
      </c>
      <c r="BX145" s="715"/>
      <c r="BY145" s="715"/>
      <c r="BZ145" s="715">
        <v>7123.4669796878898</v>
      </c>
      <c r="CA145" s="715"/>
      <c r="CB145" s="715"/>
      <c r="CC145" s="715">
        <v>7123.4669796878898</v>
      </c>
      <c r="CD145" s="74"/>
      <c r="CE145" s="74"/>
    </row>
    <row r="146" spans="1:83" outlineLevel="2">
      <c r="A146" s="746"/>
      <c r="B146" s="355"/>
      <c r="C146" s="762"/>
      <c r="D146" s="762"/>
      <c r="E146" s="762"/>
      <c r="F146" s="762"/>
      <c r="G146" s="762"/>
      <c r="H146" s="762"/>
      <c r="I146" s="762"/>
      <c r="J146" s="762"/>
      <c r="K146" s="762"/>
      <c r="L146" s="762"/>
      <c r="M146" s="762"/>
      <c r="N146" s="762"/>
      <c r="O146" s="762"/>
      <c r="P146" s="762"/>
      <c r="Q146" s="762"/>
      <c r="R146" s="762"/>
      <c r="S146" s="762"/>
      <c r="T146" s="762"/>
      <c r="U146" s="762"/>
      <c r="V146" s="762"/>
      <c r="W146" s="762"/>
      <c r="X146" s="762"/>
      <c r="Y146" s="762"/>
      <c r="Z146" s="762"/>
      <c r="AA146" s="762"/>
      <c r="AB146" s="762"/>
      <c r="AC146" s="762"/>
      <c r="AD146" s="762"/>
      <c r="AE146" s="762"/>
      <c r="AF146" s="762"/>
      <c r="AG146" s="762"/>
      <c r="AH146" s="762"/>
      <c r="AI146" s="762"/>
      <c r="AJ146" s="762"/>
      <c r="AK146" s="762"/>
      <c r="AL146" s="762"/>
      <c r="AM146" s="762"/>
      <c r="AN146" s="762"/>
      <c r="AO146" s="762"/>
      <c r="AP146" s="762"/>
      <c r="AQ146" s="762"/>
      <c r="AR146" s="762"/>
      <c r="AS146" s="762"/>
      <c r="AT146" s="762"/>
      <c r="AU146" s="762"/>
      <c r="AV146" s="762"/>
      <c r="AW146" s="719"/>
      <c r="AX146" s="719"/>
      <c r="AY146" s="719"/>
      <c r="AZ146" s="719"/>
      <c r="BA146" s="719"/>
      <c r="BB146" s="719"/>
      <c r="BC146" s="719"/>
      <c r="BD146" s="719"/>
      <c r="BE146" s="719"/>
      <c r="BF146" s="719"/>
      <c r="BG146" s="719"/>
      <c r="BH146" s="719"/>
      <c r="BI146" s="719"/>
      <c r="BJ146" s="719"/>
      <c r="BK146" s="719"/>
      <c r="BL146" s="719"/>
      <c r="BM146" s="719"/>
      <c r="BN146" s="719"/>
      <c r="BO146" s="719"/>
      <c r="BP146" s="719"/>
      <c r="BQ146" s="719"/>
      <c r="BR146" s="1852"/>
      <c r="BS146" s="719"/>
      <c r="BT146" s="719"/>
      <c r="BU146" s="719"/>
      <c r="BV146" s="719"/>
      <c r="BW146" s="719"/>
      <c r="BX146" s="719"/>
      <c r="BY146" s="719"/>
      <c r="BZ146" s="719"/>
      <c r="CA146" s="719"/>
      <c r="CB146" s="719"/>
      <c r="CC146" s="719"/>
      <c r="CD146" s="86"/>
      <c r="CE146" s="86"/>
    </row>
    <row r="147" spans="1:83" outlineLevel="2">
      <c r="A147" s="746"/>
      <c r="B147" s="349" t="s">
        <v>248</v>
      </c>
      <c r="C147" s="350">
        <f t="shared" ref="C147:BB147" si="535">C6</f>
        <v>355.83499999999998</v>
      </c>
      <c r="D147" s="350"/>
      <c r="E147" s="350"/>
      <c r="F147" s="350">
        <f t="shared" si="535"/>
        <v>452.35700000000003</v>
      </c>
      <c r="G147" s="350"/>
      <c r="H147" s="350"/>
      <c r="I147" s="350">
        <f t="shared" si="535"/>
        <v>693.94299999999998</v>
      </c>
      <c r="J147" s="350"/>
      <c r="K147" s="350"/>
      <c r="L147" s="350">
        <f t="shared" si="535"/>
        <v>945.82100000000003</v>
      </c>
      <c r="M147" s="350"/>
      <c r="N147" s="350"/>
      <c r="O147" s="350">
        <f t="shared" si="535"/>
        <v>1281.837</v>
      </c>
      <c r="P147" s="350"/>
      <c r="Q147" s="350"/>
      <c r="R147" s="350">
        <f t="shared" si="535"/>
        <v>1828.5640000000001</v>
      </c>
      <c r="S147" s="350"/>
      <c r="T147" s="350"/>
      <c r="U147" s="350">
        <f t="shared" si="535"/>
        <v>2327.2660000000001</v>
      </c>
      <c r="V147" s="350"/>
      <c r="W147" s="350"/>
      <c r="X147" s="350">
        <f t="shared" si="535"/>
        <v>2731.32</v>
      </c>
      <c r="Y147" s="350"/>
      <c r="Z147" s="350"/>
      <c r="AA147" s="350">
        <f t="shared" si="535"/>
        <v>2959.2530000000002</v>
      </c>
      <c r="AB147" s="350"/>
      <c r="AC147" s="350"/>
      <c r="AD147" s="350">
        <f t="shared" si="535"/>
        <v>3127.7919999999999</v>
      </c>
      <c r="AE147" s="350"/>
      <c r="AF147" s="350"/>
      <c r="AG147" s="350">
        <f t="shared" si="535"/>
        <v>3308.4</v>
      </c>
      <c r="AH147" s="350"/>
      <c r="AI147" s="350"/>
      <c r="AJ147" s="350">
        <f t="shared" si="535"/>
        <v>3483.7750000000001</v>
      </c>
      <c r="AK147" s="350"/>
      <c r="AL147" s="350"/>
      <c r="AM147" s="350">
        <f t="shared" si="535"/>
        <v>3652.136</v>
      </c>
      <c r="AN147" s="350"/>
      <c r="AO147" s="350"/>
      <c r="AP147" s="350">
        <f t="shared" si="535"/>
        <v>3954.4670000000001</v>
      </c>
      <c r="AQ147" s="350"/>
      <c r="AR147" s="350"/>
      <c r="AS147" s="350">
        <f t="shared" si="535"/>
        <v>5628</v>
      </c>
      <c r="AT147" s="350"/>
      <c r="AU147" s="350"/>
      <c r="AV147" s="350">
        <f>AV6</f>
        <v>6854.3</v>
      </c>
      <c r="AW147" s="715"/>
      <c r="AX147" s="715"/>
      <c r="AY147" s="715">
        <f>AY6</f>
        <v>7095.2999999999993</v>
      </c>
      <c r="AZ147" s="715"/>
      <c r="BA147" s="715"/>
      <c r="BB147" s="715">
        <f t="shared" si="535"/>
        <v>7918.9</v>
      </c>
      <c r="BC147" s="715"/>
      <c r="BD147" s="715"/>
      <c r="BE147" s="715">
        <f>BE6</f>
        <v>8916.1</v>
      </c>
      <c r="BF147" s="715"/>
      <c r="BG147" s="715"/>
      <c r="BH147" s="715">
        <f t="shared" ref="BH147:BW147" si="536">BH6</f>
        <v>9232</v>
      </c>
      <c r="BI147" s="715">
        <f>BI6</f>
        <v>5278.5</v>
      </c>
      <c r="BJ147" s="715"/>
      <c r="BK147" s="715">
        <f t="shared" ref="BK147" si="537">BK6</f>
        <v>9626.4</v>
      </c>
      <c r="BL147" s="715">
        <f>BL6</f>
        <v>5162.1000000000004</v>
      </c>
      <c r="BM147" s="715"/>
      <c r="BN147" s="715">
        <f t="shared" ref="BN147" si="538">BN6</f>
        <v>9592.4</v>
      </c>
      <c r="BO147" s="715">
        <f>BO6</f>
        <v>5670.4</v>
      </c>
      <c r="BP147" s="715"/>
      <c r="BQ147" s="715">
        <f t="shared" ref="BQ147" si="539">BQ6</f>
        <v>10554.800000000001</v>
      </c>
      <c r="BR147" s="1849"/>
      <c r="BS147" s="715"/>
      <c r="BT147" s="715">
        <f t="shared" si="536"/>
        <v>11151.001227990957</v>
      </c>
      <c r="BU147" s="715"/>
      <c r="BV147" s="715"/>
      <c r="BW147" s="715">
        <f t="shared" si="536"/>
        <v>11619.14795777584</v>
      </c>
      <c r="BX147" s="715"/>
      <c r="BY147" s="715"/>
      <c r="BZ147" s="715">
        <f t="shared" ref="BZ147" si="540">BZ6</f>
        <v>12107.395214635822</v>
      </c>
      <c r="CA147" s="715"/>
      <c r="CB147" s="715"/>
      <c r="CC147" s="715">
        <f t="shared" ref="CC147" si="541">CC6</f>
        <v>12616.760236889741</v>
      </c>
      <c r="CD147" s="74"/>
      <c r="CE147" s="74"/>
    </row>
    <row r="148" spans="1:83" outlineLevel="2">
      <c r="A148" s="746"/>
      <c r="B148" s="536" t="s">
        <v>319</v>
      </c>
      <c r="C148" s="763">
        <f t="shared" ref="C148:AM148" si="542">C147/C145</f>
        <v>6.3969187070794242E-2</v>
      </c>
      <c r="D148" s="763"/>
      <c r="E148" s="763"/>
      <c r="F148" s="763">
        <f t="shared" si="542"/>
        <v>8.423309684747593E-2</v>
      </c>
      <c r="G148" s="763"/>
      <c r="H148" s="763"/>
      <c r="I148" s="763">
        <f t="shared" si="542"/>
        <v>0.13345827643902533</v>
      </c>
      <c r="J148" s="763"/>
      <c r="K148" s="763"/>
      <c r="L148" s="763">
        <f t="shared" si="542"/>
        <v>0.15110409943445061</v>
      </c>
      <c r="M148" s="763"/>
      <c r="N148" s="763"/>
      <c r="O148" s="763">
        <f t="shared" si="542"/>
        <v>0.20299897062316888</v>
      </c>
      <c r="P148" s="763"/>
      <c r="Q148" s="763"/>
      <c r="R148" s="749">
        <f t="shared" si="542"/>
        <v>0.31512839072140081</v>
      </c>
      <c r="S148" s="749"/>
      <c r="T148" s="749"/>
      <c r="U148" s="749">
        <f t="shared" si="542"/>
        <v>0.38499660871147584</v>
      </c>
      <c r="V148" s="749"/>
      <c r="W148" s="749"/>
      <c r="X148" s="749">
        <f t="shared" si="542"/>
        <v>0.4528801193831869</v>
      </c>
      <c r="Y148" s="749"/>
      <c r="Z148" s="749"/>
      <c r="AA148" s="749">
        <f t="shared" si="542"/>
        <v>0.47276943477010586</v>
      </c>
      <c r="AB148" s="749"/>
      <c r="AC148" s="749"/>
      <c r="AD148" s="749">
        <f t="shared" si="542"/>
        <v>0.4955232014701923</v>
      </c>
      <c r="AE148" s="749"/>
      <c r="AF148" s="749"/>
      <c r="AG148" s="763">
        <f t="shared" si="542"/>
        <v>0.50449076686134275</v>
      </c>
      <c r="AH148" s="763"/>
      <c r="AI148" s="763"/>
      <c r="AJ148" s="763">
        <f t="shared" si="542"/>
        <v>0.5262420507243093</v>
      </c>
      <c r="AK148" s="763"/>
      <c r="AL148" s="763"/>
      <c r="AM148" s="763">
        <f t="shared" si="542"/>
        <v>0.54683480329311795</v>
      </c>
      <c r="AN148" s="763"/>
      <c r="AO148" s="763"/>
      <c r="AP148" s="763">
        <f t="shared" ref="AP148:BW148" si="543">AP147/AP145</f>
        <v>0.58586416446918965</v>
      </c>
      <c r="AQ148" s="763"/>
      <c r="AR148" s="763"/>
      <c r="AS148" s="763">
        <f t="shared" si="543"/>
        <v>0.82434542695080826</v>
      </c>
      <c r="AT148" s="763"/>
      <c r="AU148" s="763"/>
      <c r="AV148" s="763">
        <f t="shared" si="543"/>
        <v>1.0039642608295887</v>
      </c>
      <c r="AW148" s="720"/>
      <c r="AX148" s="720"/>
      <c r="AY148" s="720">
        <f t="shared" si="543"/>
        <v>1.0392640561201261</v>
      </c>
      <c r="AZ148" s="720"/>
      <c r="BA148" s="720"/>
      <c r="BB148" s="720">
        <f t="shared" si="543"/>
        <v>1.1119759485772487</v>
      </c>
      <c r="BC148" s="720"/>
      <c r="BD148" s="720"/>
      <c r="BE148" s="720">
        <f>BE147/BE145</f>
        <v>1.251827495364634</v>
      </c>
      <c r="BF148" s="720"/>
      <c r="BG148" s="720"/>
      <c r="BH148" s="720">
        <f t="shared" si="543"/>
        <v>1.296180105338242</v>
      </c>
      <c r="BI148" s="720">
        <f>BI147/BI145</f>
        <v>0.74110557690943579</v>
      </c>
      <c r="BJ148" s="720"/>
      <c r="BK148" s="720">
        <f t="shared" ref="BK148" si="544">BK147/BK145</f>
        <v>1.3515541774293818</v>
      </c>
      <c r="BL148" s="720">
        <f>BL147/BL145</f>
        <v>0.7247629248014017</v>
      </c>
      <c r="BM148" s="720"/>
      <c r="BN148" s="720">
        <f t="shared" ref="BN148" si="545">BN147/BN145</f>
        <v>1.3467805505249733</v>
      </c>
      <c r="BO148" s="720">
        <f>BO147/BO145</f>
        <v>0.79612864702231012</v>
      </c>
      <c r="BP148" s="720"/>
      <c r="BQ148" s="720">
        <f t="shared" ref="BQ148" si="546">BQ147/BQ145</f>
        <v>1.4819022720779982</v>
      </c>
      <c r="BR148" s="1853"/>
      <c r="BS148" s="720"/>
      <c r="BT148" s="720">
        <f t="shared" si="543"/>
        <v>1.5653896143250643</v>
      </c>
      <c r="BU148" s="720"/>
      <c r="BV148" s="720"/>
      <c r="BW148" s="720">
        <f t="shared" si="543"/>
        <v>1.6311085586424556</v>
      </c>
      <c r="BX148" s="720"/>
      <c r="BY148" s="720"/>
      <c r="BZ148" s="720">
        <f t="shared" ref="BZ148" si="547">BZ147/BZ145</f>
        <v>1.6996492366932121</v>
      </c>
      <c r="CA148" s="720"/>
      <c r="CB148" s="720"/>
      <c r="CC148" s="720">
        <f t="shared" ref="CC148" si="548">CC147/CC145</f>
        <v>1.7711544494928699</v>
      </c>
      <c r="CD148" s="94"/>
      <c r="CE148" s="94"/>
    </row>
    <row r="149" spans="1:83" ht="12.75" customHeight="1" outlineLevel="2">
      <c r="A149" s="746"/>
      <c r="B149" s="349"/>
      <c r="C149" s="349"/>
      <c r="D149" s="349"/>
      <c r="E149" s="349"/>
      <c r="F149" s="349"/>
      <c r="G149" s="349"/>
      <c r="H149" s="349"/>
      <c r="I149" s="349"/>
      <c r="J149" s="349"/>
      <c r="K149" s="349"/>
      <c r="L149" s="349"/>
      <c r="M149" s="349"/>
      <c r="N149" s="349"/>
      <c r="O149" s="349"/>
      <c r="P149" s="349"/>
      <c r="Q149" s="349"/>
      <c r="R149" s="349"/>
      <c r="S149" s="349"/>
      <c r="T149" s="349"/>
      <c r="U149" s="349"/>
      <c r="V149" s="349"/>
      <c r="W149" s="349"/>
      <c r="X149" s="349"/>
      <c r="Y149" s="349"/>
      <c r="Z149" s="349"/>
      <c r="AA149" s="349"/>
      <c r="AB149" s="349"/>
      <c r="AC149" s="349"/>
      <c r="AD149" s="349"/>
      <c r="AE149" s="349"/>
      <c r="AF149" s="349"/>
      <c r="AG149" s="349"/>
      <c r="AH149" s="349"/>
      <c r="AI149" s="349"/>
      <c r="AJ149" s="349"/>
      <c r="AK149" s="349"/>
      <c r="AL149" s="349"/>
      <c r="AM149" s="349"/>
      <c r="AN149" s="349"/>
      <c r="AO149" s="349"/>
      <c r="AP149" s="349"/>
      <c r="AQ149" s="349"/>
      <c r="AR149" s="349"/>
      <c r="AS149" s="349"/>
      <c r="AT149" s="349"/>
      <c r="AU149" s="349"/>
      <c r="AV149" s="349"/>
      <c r="AW149" s="712"/>
      <c r="AX149" s="712"/>
      <c r="AY149" s="712"/>
      <c r="AZ149" s="712"/>
      <c r="BA149" s="712"/>
      <c r="BB149" s="712"/>
      <c r="BC149" s="712"/>
      <c r="BD149" s="712"/>
      <c r="BE149" s="712"/>
      <c r="BF149" s="712"/>
      <c r="BG149" s="712"/>
      <c r="BH149" s="712"/>
      <c r="BI149" s="712"/>
      <c r="BJ149" s="712"/>
      <c r="BK149" s="712"/>
      <c r="BL149" s="712"/>
      <c r="BM149" s="712"/>
      <c r="BN149" s="712"/>
      <c r="BO149" s="712"/>
      <c r="BP149" s="712"/>
      <c r="BQ149" s="712"/>
      <c r="BR149" s="1854"/>
      <c r="BS149" s="712"/>
      <c r="BT149" s="712"/>
      <c r="BU149" s="712"/>
      <c r="BV149" s="712"/>
      <c r="BW149" s="712"/>
      <c r="BX149" s="712"/>
      <c r="BY149" s="712"/>
      <c r="BZ149" s="712"/>
      <c r="CA149" s="712"/>
      <c r="CB149" s="712"/>
      <c r="CC149" s="712"/>
      <c r="CD149" s="74"/>
      <c r="CE149" s="74"/>
    </row>
    <row r="150" spans="1:83" outlineLevel="2">
      <c r="A150" s="746"/>
      <c r="B150" s="536" t="s">
        <v>320</v>
      </c>
      <c r="C150" s="750">
        <f t="shared" ref="C150:AM150" si="549">C143/C147</f>
        <v>3.3332395756536438E-2</v>
      </c>
      <c r="D150" s="750"/>
      <c r="E150" s="750"/>
      <c r="F150" s="750">
        <f t="shared" si="549"/>
        <v>3.5452615394228823E-2</v>
      </c>
      <c r="G150" s="750"/>
      <c r="H150" s="750"/>
      <c r="I150" s="750">
        <f t="shared" si="549"/>
        <v>3.7562917504291145E-2</v>
      </c>
      <c r="J150" s="750"/>
      <c r="K150" s="750"/>
      <c r="L150" s="750">
        <f t="shared" si="549"/>
        <v>3.2606815593716171E-2</v>
      </c>
      <c r="M150" s="750"/>
      <c r="N150" s="750"/>
      <c r="O150" s="750">
        <f t="shared" si="549"/>
        <v>3.5624559039972602E-2</v>
      </c>
      <c r="P150" s="750"/>
      <c r="Q150" s="750"/>
      <c r="R150" s="750">
        <f t="shared" si="549"/>
        <v>3.8761590390824323E-2</v>
      </c>
      <c r="S150" s="750"/>
      <c r="T150" s="750"/>
      <c r="U150" s="750">
        <f t="shared" si="549"/>
        <v>4.2517414790560683E-2</v>
      </c>
      <c r="V150" s="750"/>
      <c r="W150" s="750"/>
      <c r="X150" s="750">
        <f t="shared" si="549"/>
        <v>4.4852330916322444E-2</v>
      </c>
      <c r="Y150" s="750"/>
      <c r="Z150" s="750"/>
      <c r="AA150" s="750">
        <f t="shared" si="549"/>
        <v>4.6368990524720308E-2</v>
      </c>
      <c r="AB150" s="750"/>
      <c r="AC150" s="750"/>
      <c r="AD150" s="750">
        <f t="shared" si="549"/>
        <v>3.6405868599697584E-2</v>
      </c>
      <c r="AE150" s="750"/>
      <c r="AF150" s="750"/>
      <c r="AG150" s="750">
        <f t="shared" si="549"/>
        <v>3.7288332675860278E-2</v>
      </c>
      <c r="AH150" s="750"/>
      <c r="AI150" s="750"/>
      <c r="AJ150" s="750">
        <f t="shared" si="549"/>
        <v>3.8574129398070964E-2</v>
      </c>
      <c r="AK150" s="750"/>
      <c r="AL150" s="750"/>
      <c r="AM150" s="750">
        <f t="shared" si="549"/>
        <v>3.8405898749898533E-2</v>
      </c>
      <c r="AN150" s="750"/>
      <c r="AO150" s="750"/>
      <c r="AP150" s="750">
        <f t="shared" ref="AP150:BW150" si="550">AP143/AP147</f>
        <v>3.907265108110447E-2</v>
      </c>
      <c r="AQ150" s="750"/>
      <c r="AR150" s="750"/>
      <c r="AS150" s="750">
        <f t="shared" si="550"/>
        <v>3.8032902675115145E-2</v>
      </c>
      <c r="AT150" s="750"/>
      <c r="AU150" s="750"/>
      <c r="AV150" s="750">
        <f t="shared" si="550"/>
        <v>3.5659990814141368E-2</v>
      </c>
      <c r="AW150" s="716"/>
      <c r="AX150" s="716"/>
      <c r="AY150" s="716">
        <f t="shared" si="550"/>
        <v>3.653901514300583E-2</v>
      </c>
      <c r="AZ150" s="716"/>
      <c r="BA150" s="716"/>
      <c r="BB150" s="716">
        <f t="shared" si="550"/>
        <v>4.4302295659977585E-2</v>
      </c>
      <c r="BC150" s="716"/>
      <c r="BD150" s="716"/>
      <c r="BE150" s="716">
        <f>BE143/BE147</f>
        <v>5.9206916532873778E-2</v>
      </c>
      <c r="BF150" s="716"/>
      <c r="BG150" s="716"/>
      <c r="BH150" s="716">
        <f t="shared" si="550"/>
        <v>6.0947419917509418E-2</v>
      </c>
      <c r="BI150" s="716">
        <f>BI143/BI147</f>
        <v>6.3695092734920161E-2</v>
      </c>
      <c r="BJ150" s="716"/>
      <c r="BK150" s="716">
        <f t="shared" ref="BK150" si="551">BK143/BK147</f>
        <v>5.6093428566467422E-2</v>
      </c>
      <c r="BL150" s="716">
        <f>BL143/BL147</f>
        <v>5.2475685018444664E-2</v>
      </c>
      <c r="BM150" s="716"/>
      <c r="BN150" s="716">
        <f t="shared" ref="BN150" si="552">BN143/BN147</f>
        <v>4.7188191448503149E-2</v>
      </c>
      <c r="BO150" s="716">
        <f>BO143/BO147</f>
        <v>5.1728948868045521E-2</v>
      </c>
      <c r="BP150" s="716"/>
      <c r="BQ150" s="716">
        <f t="shared" ref="BQ150" si="553">BQ143/BQ147</f>
        <v>4.6873799808704875E-2</v>
      </c>
      <c r="BR150" s="1855"/>
      <c r="BS150" s="716"/>
      <c r="BT150" s="716">
        <f t="shared" si="550"/>
        <v>4.7247454987176717E-2</v>
      </c>
      <c r="BU150" s="716"/>
      <c r="BV150" s="716"/>
      <c r="BW150" s="716">
        <f t="shared" si="550"/>
        <v>4.6182731550617862E-2</v>
      </c>
      <c r="BX150" s="716"/>
      <c r="BY150" s="716"/>
      <c r="BZ150" s="716">
        <f t="shared" ref="BZ150" si="554">BZ143/BZ147</f>
        <v>4.6533549299290662E-2</v>
      </c>
      <c r="CA150" s="716"/>
      <c r="CB150" s="716"/>
      <c r="CC150" s="716">
        <f t="shared" ref="CC150" si="555">CC143/CC147</f>
        <v>4.6852619604662499E-2</v>
      </c>
      <c r="CD150" s="94"/>
      <c r="CE150" s="94"/>
    </row>
    <row r="151" spans="1:83" outlineLevel="2">
      <c r="A151" s="746"/>
      <c r="B151" s="349"/>
      <c r="C151" s="349"/>
      <c r="D151" s="349"/>
      <c r="E151" s="349"/>
      <c r="F151" s="349"/>
      <c r="G151" s="349"/>
      <c r="H151" s="349"/>
      <c r="I151" s="349"/>
      <c r="J151" s="349"/>
      <c r="K151" s="349"/>
      <c r="L151" s="349"/>
      <c r="M151" s="349"/>
      <c r="N151" s="349"/>
      <c r="O151" s="349"/>
      <c r="P151" s="349"/>
      <c r="Q151" s="349"/>
      <c r="R151" s="349"/>
      <c r="S151" s="349"/>
      <c r="T151" s="349"/>
      <c r="U151" s="349"/>
      <c r="V151" s="349"/>
      <c r="W151" s="349"/>
      <c r="X151" s="349"/>
      <c r="Y151" s="349"/>
      <c r="Z151" s="349"/>
      <c r="AA151" s="349"/>
      <c r="AB151" s="349"/>
      <c r="AC151" s="349"/>
      <c r="AD151" s="349"/>
      <c r="AE151" s="349"/>
      <c r="AF151" s="349"/>
      <c r="AG151" s="349"/>
      <c r="AH151" s="349"/>
      <c r="AI151" s="349"/>
      <c r="AJ151" s="349"/>
      <c r="AK151" s="349"/>
      <c r="AL151" s="349"/>
      <c r="AM151" s="349"/>
      <c r="AN151" s="349"/>
      <c r="AO151" s="349"/>
      <c r="AP151" s="349"/>
      <c r="AQ151" s="349"/>
      <c r="AR151" s="349"/>
      <c r="AS151" s="349"/>
      <c r="AT151" s="349"/>
      <c r="AU151" s="349"/>
      <c r="AV151" s="349"/>
      <c r="AW151" s="712"/>
      <c r="AX151" s="712"/>
      <c r="AY151" s="712"/>
      <c r="AZ151" s="712"/>
      <c r="BA151" s="712"/>
      <c r="BB151" s="712"/>
      <c r="BC151" s="712"/>
      <c r="BD151" s="712"/>
      <c r="BE151" s="712"/>
      <c r="BF151" s="712"/>
      <c r="BG151" s="712"/>
      <c r="BH151" s="712"/>
      <c r="BI151" s="712"/>
      <c r="BJ151" s="712"/>
      <c r="BK151" s="712"/>
      <c r="BL151" s="712"/>
      <c r="BM151" s="712"/>
      <c r="BN151" s="712"/>
      <c r="BO151" s="712"/>
      <c r="BP151" s="712"/>
      <c r="BQ151" s="712"/>
      <c r="BR151" s="1854"/>
      <c r="BS151" s="712"/>
      <c r="BT151" s="712"/>
      <c r="BU151" s="712"/>
      <c r="BV151" s="712"/>
      <c r="BW151" s="712"/>
      <c r="BX151" s="712"/>
      <c r="BY151" s="712"/>
      <c r="BZ151" s="712"/>
      <c r="CA151" s="712"/>
      <c r="CB151" s="712"/>
      <c r="CC151" s="712"/>
      <c r="CD151" s="74"/>
      <c r="CE151" s="74"/>
    </row>
    <row r="152" spans="1:83" outlineLevel="1" collapsed="1">
      <c r="A152" s="746"/>
      <c r="B152" s="757" t="s">
        <v>321</v>
      </c>
      <c r="C152" s="750">
        <f t="shared" ref="C152:AM152" si="556">C148*C150</f>
        <v>2.1322462596676276E-3</v>
      </c>
      <c r="D152" s="750"/>
      <c r="E152" s="750"/>
      <c r="F152" s="750">
        <f t="shared" si="556"/>
        <v>2.9862835859983923E-3</v>
      </c>
      <c r="G152" s="750"/>
      <c r="H152" s="750"/>
      <c r="I152" s="750">
        <f t="shared" si="556"/>
        <v>5.013082228143991E-3</v>
      </c>
      <c r="J152" s="750"/>
      <c r="K152" s="750"/>
      <c r="L152" s="750">
        <f t="shared" si="556"/>
        <v>4.9270235057136827E-3</v>
      </c>
      <c r="M152" s="750"/>
      <c r="N152" s="750"/>
      <c r="O152" s="750">
        <f t="shared" si="556"/>
        <v>7.2317488140187436E-3</v>
      </c>
      <c r="P152" s="750"/>
      <c r="Q152" s="750"/>
      <c r="R152" s="750">
        <f t="shared" si="556"/>
        <v>1.2214877601662582E-2</v>
      </c>
      <c r="S152" s="750"/>
      <c r="T152" s="750"/>
      <c r="U152" s="750">
        <f t="shared" si="556"/>
        <v>1.6369060505545006E-2</v>
      </c>
      <c r="V152" s="750"/>
      <c r="W152" s="750"/>
      <c r="X152" s="750">
        <f t="shared" si="556"/>
        <v>2.0312728979998314E-2</v>
      </c>
      <c r="Y152" s="750"/>
      <c r="Z152" s="750"/>
      <c r="AA152" s="750">
        <f t="shared" si="556"/>
        <v>2.1921841441232413E-2</v>
      </c>
      <c r="AB152" s="750"/>
      <c r="AC152" s="750"/>
      <c r="AD152" s="750">
        <f t="shared" si="556"/>
        <v>1.8039952560825294E-2</v>
      </c>
      <c r="AE152" s="750"/>
      <c r="AF152" s="750"/>
      <c r="AG152" s="750">
        <f t="shared" si="556"/>
        <v>1.8811619546625618E-2</v>
      </c>
      <c r="AH152" s="750"/>
      <c r="AI152" s="750"/>
      <c r="AJ152" s="750">
        <f t="shared" si="556"/>
        <v>2.029932895934573E-2</v>
      </c>
      <c r="AK152" s="750"/>
      <c r="AL152" s="750"/>
      <c r="AM152" s="750">
        <f t="shared" si="556"/>
        <v>2.100168208819617E-2</v>
      </c>
      <c r="AN152" s="750"/>
      <c r="AO152" s="750"/>
      <c r="AP152" s="750">
        <f t="shared" ref="AP152:BW152" si="557">AP148*AP150</f>
        <v>2.2891266079227451E-2</v>
      </c>
      <c r="AQ152" s="750"/>
      <c r="AR152" s="750"/>
      <c r="AS152" s="750">
        <f t="shared" si="557"/>
        <v>3.1352249393896331E-2</v>
      </c>
      <c r="AT152" s="750"/>
      <c r="AU152" s="750"/>
      <c r="AV152" s="750">
        <f t="shared" si="557"/>
        <v>3.5801356318909364E-2</v>
      </c>
      <c r="AW152" s="716"/>
      <c r="AX152" s="716"/>
      <c r="AY152" s="716">
        <f t="shared" si="557"/>
        <v>3.7973685084154947E-2</v>
      </c>
      <c r="AZ152" s="716"/>
      <c r="BA152" s="716"/>
      <c r="BB152" s="716">
        <f t="shared" si="557"/>
        <v>4.92630872406533E-2</v>
      </c>
      <c r="BC152" s="716"/>
      <c r="BD152" s="716"/>
      <c r="BE152" s="716">
        <f>BE148*BE150</f>
        <v>7.4116846031610326E-2</v>
      </c>
      <c r="BF152" s="716"/>
      <c r="BG152" s="716"/>
      <c r="BH152" s="716">
        <f t="shared" si="557"/>
        <v>7.8998833168771432E-2</v>
      </c>
      <c r="BI152" s="716">
        <f>BI148*BI150</f>
        <v>4.7204788447613021E-2</v>
      </c>
      <c r="BJ152" s="716"/>
      <c r="BK152" s="716">
        <f t="shared" ref="BK152" si="558">BK148*BK150</f>
        <v>7.5813307705345667E-2</v>
      </c>
      <c r="BL152" s="716">
        <f>BL148*BL150</f>
        <v>3.8032430954925055E-2</v>
      </c>
      <c r="BM152" s="716"/>
      <c r="BN152" s="716">
        <f t="shared" ref="BN152" si="559">BN148*BN150</f>
        <v>6.3552138457292906E-2</v>
      </c>
      <c r="BO152" s="716">
        <f>BO148*BO150</f>
        <v>4.118289807420334E-2</v>
      </c>
      <c r="BP152" s="716"/>
      <c r="BQ152" s="716">
        <f t="shared" ref="BQ152" si="560">BQ148*BQ150</f>
        <v>6.9462390437448993E-2</v>
      </c>
      <c r="BR152" s="1855"/>
      <c r="BS152" s="716"/>
      <c r="BT152" s="716">
        <f t="shared" si="557"/>
        <v>7.3960675340217399E-2</v>
      </c>
      <c r="BU152" s="716"/>
      <c r="BV152" s="716"/>
      <c r="BW152" s="716">
        <f t="shared" si="557"/>
        <v>7.532904869369976E-2</v>
      </c>
      <c r="BX152" s="716"/>
      <c r="BY152" s="716"/>
      <c r="BZ152" s="716">
        <f t="shared" ref="BZ152" si="561">BZ148*BZ150</f>
        <v>7.9090711547165335E-2</v>
      </c>
      <c r="CA152" s="716"/>
      <c r="CB152" s="716"/>
      <c r="CC152" s="716">
        <f t="shared" ref="CC152" si="562">CC148*CC150</f>
        <v>8.2983225683194856E-2</v>
      </c>
      <c r="CD152" s="86"/>
      <c r="CE152" s="86"/>
    </row>
    <row r="153" spans="1:83" outlineLevel="1">
      <c r="A153" s="746"/>
      <c r="B153" s="349"/>
      <c r="C153" s="349"/>
      <c r="D153" s="349"/>
      <c r="E153" s="349"/>
      <c r="F153" s="349"/>
      <c r="G153" s="349"/>
      <c r="H153" s="349"/>
      <c r="I153" s="349"/>
      <c r="J153" s="349"/>
      <c r="K153" s="349"/>
      <c r="L153" s="349"/>
      <c r="M153" s="349"/>
      <c r="N153" s="349"/>
      <c r="O153" s="349"/>
      <c r="P153" s="349"/>
      <c r="Q153" s="349"/>
      <c r="R153" s="349"/>
      <c r="S153" s="349"/>
      <c r="T153" s="349"/>
      <c r="U153" s="349"/>
      <c r="V153" s="349"/>
      <c r="W153" s="349"/>
      <c r="X153" s="349"/>
      <c r="Y153" s="349"/>
      <c r="Z153" s="349"/>
      <c r="AA153" s="349"/>
      <c r="AB153" s="349"/>
      <c r="AC153" s="349"/>
      <c r="AD153" s="349"/>
      <c r="AE153" s="349"/>
      <c r="AF153" s="349"/>
      <c r="AG153" s="349"/>
      <c r="AH153" s="349"/>
      <c r="AI153" s="349"/>
      <c r="AJ153" s="349"/>
      <c r="AK153" s="349"/>
      <c r="AL153" s="349"/>
      <c r="AM153" s="349"/>
      <c r="AN153" s="349"/>
      <c r="AO153" s="349"/>
      <c r="AP153" s="349"/>
      <c r="AQ153" s="349"/>
      <c r="AR153" s="349"/>
      <c r="AS153" s="349"/>
      <c r="AT153" s="349"/>
      <c r="AU153" s="349"/>
      <c r="AV153" s="349"/>
      <c r="AW153" s="712"/>
      <c r="AX153" s="712"/>
      <c r="AY153" s="712"/>
      <c r="AZ153" s="712"/>
      <c r="BA153" s="712"/>
      <c r="BB153" s="712"/>
      <c r="BC153" s="712"/>
      <c r="BD153" s="712"/>
      <c r="BE153" s="712"/>
      <c r="BF153" s="712"/>
      <c r="BG153" s="712"/>
      <c r="BH153" s="712"/>
      <c r="BI153" s="712"/>
      <c r="BJ153" s="712"/>
      <c r="BK153" s="712"/>
      <c r="BL153" s="712"/>
      <c r="BM153" s="712"/>
      <c r="BN153" s="712"/>
      <c r="BO153" s="712"/>
      <c r="BP153" s="712"/>
      <c r="BQ153" s="712"/>
      <c r="BR153" s="1854"/>
      <c r="BS153" s="712"/>
      <c r="BT153" s="712"/>
      <c r="BU153" s="712"/>
      <c r="BV153" s="712"/>
      <c r="BW153" s="712"/>
      <c r="BX153" s="712"/>
      <c r="BY153" s="712"/>
      <c r="BZ153" s="712"/>
      <c r="CA153" s="712"/>
      <c r="CB153" s="712"/>
      <c r="CC153" s="712"/>
      <c r="CD153" s="74"/>
      <c r="CE153" s="74"/>
    </row>
    <row r="154" spans="1:83" outlineLevel="2">
      <c r="A154" s="746"/>
      <c r="B154" s="349" t="s">
        <v>322</v>
      </c>
      <c r="C154" s="764">
        <f t="shared" ref="C154:AA154" si="563">C118</f>
        <v>8.958000000000002</v>
      </c>
      <c r="D154" s="764"/>
      <c r="E154" s="764"/>
      <c r="F154" s="764">
        <f t="shared" si="563"/>
        <v>14.131</v>
      </c>
      <c r="G154" s="764"/>
      <c r="H154" s="764"/>
      <c r="I154" s="764">
        <f t="shared" si="563"/>
        <v>21.355999999999998</v>
      </c>
      <c r="J154" s="764"/>
      <c r="K154" s="764"/>
      <c r="L154" s="764">
        <f t="shared" si="563"/>
        <v>25.835999999999999</v>
      </c>
      <c r="M154" s="764"/>
      <c r="N154" s="764"/>
      <c r="O154" s="764">
        <f t="shared" si="563"/>
        <v>40.389000000000003</v>
      </c>
      <c r="P154" s="764"/>
      <c r="Q154" s="764"/>
      <c r="R154" s="764">
        <f t="shared" si="563"/>
        <v>65.134999999999991</v>
      </c>
      <c r="S154" s="764"/>
      <c r="T154" s="764"/>
      <c r="U154" s="764">
        <f t="shared" si="563"/>
        <v>94.437000000000012</v>
      </c>
      <c r="V154" s="764"/>
      <c r="W154" s="764"/>
      <c r="X154" s="764">
        <f t="shared" si="563"/>
        <v>118.652</v>
      </c>
      <c r="Y154" s="764"/>
      <c r="Z154" s="764"/>
      <c r="AA154" s="764">
        <f t="shared" si="563"/>
        <v>134.39500000000001</v>
      </c>
      <c r="AB154" s="764"/>
      <c r="AC154" s="764"/>
      <c r="AD154" s="764">
        <f t="shared" ref="AD154:AS154" si="564">AD118</f>
        <v>104.64099999999999</v>
      </c>
      <c r="AE154" s="764"/>
      <c r="AF154" s="764"/>
      <c r="AG154" s="764">
        <f t="shared" si="564"/>
        <v>116.38300000000002</v>
      </c>
      <c r="AH154" s="764"/>
      <c r="AI154" s="764"/>
      <c r="AJ154" s="764">
        <f t="shared" si="564"/>
        <v>128.35900000000001</v>
      </c>
      <c r="AK154" s="764"/>
      <c r="AL154" s="764"/>
      <c r="AM154" s="764">
        <f t="shared" si="564"/>
        <v>136.51100000000002</v>
      </c>
      <c r="AN154" s="764"/>
      <c r="AO154" s="764"/>
      <c r="AP154" s="764">
        <f t="shared" si="564"/>
        <v>152.18099999999998</v>
      </c>
      <c r="AQ154" s="764"/>
      <c r="AR154" s="764"/>
      <c r="AS154" s="764">
        <f t="shared" si="564"/>
        <v>205.12603099999998</v>
      </c>
      <c r="AT154" s="764"/>
      <c r="AU154" s="764"/>
      <c r="AV154" s="764">
        <f t="shared" ref="AV154:BB154" si="565">AV118</f>
        <v>233.19999999999993</v>
      </c>
      <c r="AW154" s="721"/>
      <c r="AX154" s="721"/>
      <c r="AY154" s="721">
        <f t="shared" si="565"/>
        <v>249.8</v>
      </c>
      <c r="AZ154" s="721"/>
      <c r="BA154" s="721"/>
      <c r="BB154" s="721">
        <f t="shared" si="565"/>
        <v>326.20000000000005</v>
      </c>
      <c r="BC154" s="721"/>
      <c r="BD154" s="721"/>
      <c r="BE154" s="721">
        <f>BE118</f>
        <v>513.9</v>
      </c>
      <c r="BF154" s="721"/>
      <c r="BG154" s="721"/>
      <c r="BH154" s="721">
        <f>BH118</f>
        <v>549</v>
      </c>
      <c r="BI154" s="721">
        <f>BI118</f>
        <v>329.9</v>
      </c>
      <c r="BJ154" s="721"/>
      <c r="BK154" s="721">
        <f>BK118</f>
        <v>524.6</v>
      </c>
      <c r="BL154" s="721">
        <f>BL118</f>
        <v>264.3</v>
      </c>
      <c r="BM154" s="721"/>
      <c r="BN154" s="721">
        <f>BN118</f>
        <v>438.79999999999995</v>
      </c>
      <c r="BO154" s="721">
        <f>BO118</f>
        <v>285.50000000000006</v>
      </c>
      <c r="BP154" s="721"/>
      <c r="BQ154" s="721">
        <f>BQ118</f>
        <v>476.09999999999991</v>
      </c>
      <c r="BR154" s="1856"/>
      <c r="BS154" s="721"/>
      <c r="BT154" s="721">
        <f>BT118</f>
        <v>503.20283911172118</v>
      </c>
      <c r="BU154" s="721"/>
      <c r="BV154" s="721"/>
      <c r="BW154" s="721">
        <f>BW118</f>
        <v>510.82920076469816</v>
      </c>
      <c r="BX154" s="721"/>
      <c r="BY154" s="721"/>
      <c r="BZ154" s="721">
        <f>BZ118</f>
        <v>536.88620253486874</v>
      </c>
      <c r="CA154" s="721"/>
      <c r="CB154" s="721"/>
      <c r="CC154" s="721">
        <f>CC118</f>
        <v>562.86813334748297</v>
      </c>
      <c r="CD154" s="74"/>
      <c r="CE154" s="74"/>
    </row>
    <row r="155" spans="1:83" outlineLevel="2">
      <c r="A155" s="746"/>
      <c r="B155" s="349" t="s">
        <v>323</v>
      </c>
      <c r="C155" s="350">
        <v>4066.1999999999994</v>
      </c>
      <c r="D155" s="350"/>
      <c r="E155" s="350"/>
      <c r="F155" s="350">
        <v>3774.3999999999992</v>
      </c>
      <c r="G155" s="350"/>
      <c r="H155" s="350"/>
      <c r="I155" s="350">
        <v>3650.6</v>
      </c>
      <c r="J155" s="350"/>
      <c r="K155" s="350"/>
      <c r="L155" s="350">
        <v>4148.1000000000004</v>
      </c>
      <c r="M155" s="350"/>
      <c r="N155" s="350"/>
      <c r="O155" s="350">
        <v>4196.6000000000004</v>
      </c>
      <c r="P155" s="350"/>
      <c r="Q155" s="350"/>
      <c r="R155" s="350">
        <v>4174.5000000000018</v>
      </c>
      <c r="S155" s="350"/>
      <c r="T155" s="350"/>
      <c r="U155" s="350">
        <v>4107.4000000000015</v>
      </c>
      <c r="V155" s="350"/>
      <c r="W155" s="350"/>
      <c r="X155" s="350">
        <v>4337.9000000000015</v>
      </c>
      <c r="Y155" s="350"/>
      <c r="Z155" s="350"/>
      <c r="AA155" s="350">
        <v>4571.2000000000016</v>
      </c>
      <c r="AB155" s="350"/>
      <c r="AC155" s="350"/>
      <c r="AD155" s="350">
        <v>4772.2000000000007</v>
      </c>
      <c r="AE155" s="350"/>
      <c r="AF155" s="350"/>
      <c r="AG155" s="350">
        <v>4844.2</v>
      </c>
      <c r="AH155" s="350"/>
      <c r="AI155" s="350"/>
      <c r="AJ155" s="350">
        <v>4835.69528816</v>
      </c>
      <c r="AK155" s="350"/>
      <c r="AL155" s="350"/>
      <c r="AM155" s="350">
        <v>4849.017486238974</v>
      </c>
      <c r="AN155" s="350"/>
      <c r="AO155" s="350"/>
      <c r="AP155" s="350">
        <v>4941.9978525220431</v>
      </c>
      <c r="AQ155" s="350"/>
      <c r="AR155" s="350"/>
      <c r="AS155" s="350">
        <v>5041.8888439952061</v>
      </c>
      <c r="AT155" s="350"/>
      <c r="AU155" s="350"/>
      <c r="AV155" s="350">
        <v>5041.8888439952061</v>
      </c>
      <c r="AW155" s="715"/>
      <c r="AX155" s="715"/>
      <c r="AY155" s="715">
        <v>5041.8888439952061</v>
      </c>
      <c r="AZ155" s="715"/>
      <c r="BA155" s="715"/>
      <c r="BB155" s="715">
        <v>5430.8865473579372</v>
      </c>
      <c r="BC155" s="715"/>
      <c r="BD155" s="715"/>
      <c r="BE155" s="715">
        <v>5431.8865473579399</v>
      </c>
      <c r="BF155" s="715"/>
      <c r="BG155" s="715"/>
      <c r="BH155" s="715">
        <v>5431.8865473579399</v>
      </c>
      <c r="BI155" s="715">
        <v>5431.8865473579399</v>
      </c>
      <c r="BJ155" s="715"/>
      <c r="BK155" s="715">
        <v>5431.8865473579399</v>
      </c>
      <c r="BL155" s="715">
        <v>5431.8865473579399</v>
      </c>
      <c r="BM155" s="715"/>
      <c r="BN155" s="715">
        <v>5431.8865473579399</v>
      </c>
      <c r="BO155" s="1683">
        <v>5431.8865473579399</v>
      </c>
      <c r="BP155" s="715"/>
      <c r="BQ155" s="715">
        <v>5431.8865473579399</v>
      </c>
      <c r="BR155" s="1849"/>
      <c r="BS155" s="715"/>
      <c r="BT155" s="715">
        <v>5432.8865473579399</v>
      </c>
      <c r="BU155" s="715"/>
      <c r="BV155" s="715"/>
      <c r="BW155" s="715">
        <v>5432.8865473579399</v>
      </c>
      <c r="BX155" s="715"/>
      <c r="BY155" s="715"/>
      <c r="BZ155" s="715">
        <v>5432.8865473579399</v>
      </c>
      <c r="CA155" s="715"/>
      <c r="CB155" s="715"/>
      <c r="CC155" s="715">
        <v>5432.8865473579399</v>
      </c>
      <c r="CD155" s="74"/>
      <c r="CE155" s="74"/>
    </row>
    <row r="156" spans="1:83" outlineLevel="2">
      <c r="A156" s="746"/>
      <c r="B156" s="349"/>
      <c r="C156" s="349"/>
      <c r="D156" s="349"/>
      <c r="E156" s="349"/>
      <c r="F156" s="349"/>
      <c r="G156" s="349"/>
      <c r="H156" s="349"/>
      <c r="I156" s="349"/>
      <c r="J156" s="349"/>
      <c r="K156" s="349"/>
      <c r="L156" s="349"/>
      <c r="M156" s="349"/>
      <c r="N156" s="349"/>
      <c r="O156" s="349"/>
      <c r="P156" s="349"/>
      <c r="Q156" s="349"/>
      <c r="R156" s="349"/>
      <c r="S156" s="349"/>
      <c r="T156" s="349"/>
      <c r="U156" s="349"/>
      <c r="V156" s="349"/>
      <c r="W156" s="349"/>
      <c r="X156" s="349"/>
      <c r="Y156" s="349"/>
      <c r="Z156" s="349"/>
      <c r="AA156" s="349"/>
      <c r="AB156" s="349"/>
      <c r="AC156" s="349"/>
      <c r="AD156" s="349"/>
      <c r="AE156" s="349"/>
      <c r="AF156" s="349"/>
      <c r="AG156" s="349"/>
      <c r="AH156" s="349"/>
      <c r="AI156" s="349"/>
      <c r="AJ156" s="349"/>
      <c r="AK156" s="349"/>
      <c r="AL156" s="349"/>
      <c r="AM156" s="349"/>
      <c r="AN156" s="349"/>
      <c r="AO156" s="349"/>
      <c r="AP156" s="349"/>
      <c r="AQ156" s="349"/>
      <c r="AR156" s="349"/>
      <c r="AS156" s="349"/>
      <c r="AT156" s="349"/>
      <c r="AU156" s="349"/>
      <c r="AV156" s="349"/>
      <c r="AW156" s="712"/>
      <c r="AX156" s="712"/>
      <c r="AY156" s="712"/>
      <c r="AZ156" s="712"/>
      <c r="BA156" s="712"/>
      <c r="BB156" s="712"/>
      <c r="BC156" s="712"/>
      <c r="BD156" s="712"/>
      <c r="BE156" s="712"/>
      <c r="BF156" s="712"/>
      <c r="BG156" s="712"/>
      <c r="BH156" s="712"/>
      <c r="BI156" s="712"/>
      <c r="BJ156" s="712"/>
      <c r="BK156" s="712"/>
      <c r="BL156" s="712"/>
      <c r="BM156" s="712"/>
      <c r="BN156" s="712"/>
      <c r="BO156" s="712"/>
      <c r="BP156" s="712"/>
      <c r="BQ156" s="712"/>
      <c r="BR156" s="1854"/>
      <c r="BS156" s="712"/>
      <c r="BT156" s="712"/>
      <c r="BU156" s="712"/>
      <c r="BV156" s="712"/>
      <c r="BW156" s="712"/>
      <c r="BX156" s="712"/>
      <c r="BY156" s="712"/>
      <c r="BZ156" s="712"/>
      <c r="CA156" s="712"/>
      <c r="CB156" s="712"/>
      <c r="CC156" s="712"/>
      <c r="CD156" s="74"/>
      <c r="CE156" s="74"/>
    </row>
    <row r="157" spans="1:83" outlineLevel="1" collapsed="1">
      <c r="A157" s="746"/>
      <c r="B157" s="757" t="s">
        <v>324</v>
      </c>
      <c r="C157" s="750">
        <f t="shared" ref="C157:AA157" si="566">C154/C155</f>
        <v>2.2030396930795347E-3</v>
      </c>
      <c r="D157" s="750"/>
      <c r="E157" s="750"/>
      <c r="F157" s="750">
        <f t="shared" si="566"/>
        <v>3.7439063162356939E-3</v>
      </c>
      <c r="G157" s="750"/>
      <c r="H157" s="750"/>
      <c r="I157" s="750">
        <f t="shared" si="566"/>
        <v>5.8499972607242642E-3</v>
      </c>
      <c r="J157" s="750"/>
      <c r="K157" s="750"/>
      <c r="L157" s="750">
        <f t="shared" si="566"/>
        <v>6.2283937224271342E-3</v>
      </c>
      <c r="M157" s="750"/>
      <c r="N157" s="750"/>
      <c r="O157" s="750">
        <f t="shared" si="566"/>
        <v>9.6242196063479959E-3</v>
      </c>
      <c r="P157" s="750"/>
      <c r="Q157" s="750"/>
      <c r="R157" s="750">
        <f t="shared" si="566"/>
        <v>1.5603066235477294E-2</v>
      </c>
      <c r="S157" s="750"/>
      <c r="T157" s="750"/>
      <c r="U157" s="750">
        <f t="shared" si="566"/>
        <v>2.2991917027803472E-2</v>
      </c>
      <c r="V157" s="750"/>
      <c r="W157" s="750"/>
      <c r="X157" s="750">
        <f t="shared" si="566"/>
        <v>2.7352405541852039E-2</v>
      </c>
      <c r="Y157" s="750"/>
      <c r="Z157" s="750"/>
      <c r="AA157" s="750">
        <f t="shared" si="566"/>
        <v>2.9400376268813432E-2</v>
      </c>
      <c r="AB157" s="750"/>
      <c r="AC157" s="750"/>
      <c r="AD157" s="750">
        <f t="shared" ref="AD157:AS157" si="567">AD154/AD155</f>
        <v>2.1927203386278859E-2</v>
      </c>
      <c r="AE157" s="750"/>
      <c r="AF157" s="750"/>
      <c r="AG157" s="750">
        <f t="shared" si="567"/>
        <v>2.4025226043515962E-2</v>
      </c>
      <c r="AH157" s="750"/>
      <c r="AI157" s="750"/>
      <c r="AJ157" s="750">
        <f t="shared" si="567"/>
        <v>2.6544062921888753E-2</v>
      </c>
      <c r="AK157" s="750"/>
      <c r="AL157" s="750"/>
      <c r="AM157" s="750">
        <f t="shared" si="567"/>
        <v>2.8152301035705599E-2</v>
      </c>
      <c r="AN157" s="750"/>
      <c r="AO157" s="750"/>
      <c r="AP157" s="750">
        <f t="shared" si="567"/>
        <v>3.0793416861227014E-2</v>
      </c>
      <c r="AQ157" s="750"/>
      <c r="AR157" s="750"/>
      <c r="AS157" s="750">
        <f t="shared" si="567"/>
        <v>4.0684362021249476E-2</v>
      </c>
      <c r="AT157" s="750"/>
      <c r="AU157" s="750"/>
      <c r="AV157" s="750">
        <f t="shared" ref="AV157:BB157" si="568">AV154/AV155</f>
        <v>4.6252507188399586E-2</v>
      </c>
      <c r="AW157" s="716"/>
      <c r="AX157" s="716"/>
      <c r="AY157" s="716">
        <f t="shared" si="568"/>
        <v>4.9544924080884303E-2</v>
      </c>
      <c r="AZ157" s="716"/>
      <c r="BA157" s="716"/>
      <c r="BB157" s="716">
        <f t="shared" si="568"/>
        <v>6.0063858295602311E-2</v>
      </c>
      <c r="BC157" s="716"/>
      <c r="BD157" s="716"/>
      <c r="BE157" s="716">
        <f>BE154/BE155</f>
        <v>9.4608014272676594E-2</v>
      </c>
      <c r="BF157" s="716"/>
      <c r="BG157" s="716"/>
      <c r="BH157" s="716">
        <f>BH154/BH155</f>
        <v>0.10106985762930425</v>
      </c>
      <c r="BI157" s="716">
        <f>BI154/BI155</f>
        <v>6.0733963628246755E-2</v>
      </c>
      <c r="BJ157" s="716"/>
      <c r="BK157" s="716">
        <f>BK154/BK155</f>
        <v>9.6577863956890733E-2</v>
      </c>
      <c r="BL157" s="716">
        <f>BL154/BL155</f>
        <v>4.865712818110221E-2</v>
      </c>
      <c r="BM157" s="716"/>
      <c r="BN157" s="716">
        <f>BN154/BN155</f>
        <v>8.0782246862912022E-2</v>
      </c>
      <c r="BO157" s="716">
        <f>BO154/BO155</f>
        <v>5.2560007929264789E-2</v>
      </c>
      <c r="BP157" s="716"/>
      <c r="BQ157" s="716">
        <f>BQ154/BQ155</f>
        <v>8.7649106042462191E-2</v>
      </c>
      <c r="BR157" s="1855"/>
      <c r="BS157" s="716"/>
      <c r="BT157" s="716">
        <f>BT154/BT155</f>
        <v>9.2621635796247784E-2</v>
      </c>
      <c r="BU157" s="716"/>
      <c r="BV157" s="716"/>
      <c r="BW157" s="716">
        <f>BW154/BW155</f>
        <v>9.4025376070685451E-2</v>
      </c>
      <c r="BX157" s="716"/>
      <c r="BY157" s="716"/>
      <c r="BZ157" s="716">
        <f>BZ154/BZ155</f>
        <v>9.882153765864321E-2</v>
      </c>
      <c r="CA157" s="716"/>
      <c r="CB157" s="716"/>
      <c r="CC157" s="716">
        <f>CC154/CC155</f>
        <v>0.10360388136969484</v>
      </c>
      <c r="CD157" s="94"/>
      <c r="CE157" s="94"/>
    </row>
    <row r="158" spans="1:83" outlineLevel="1">
      <c r="A158" s="746"/>
      <c r="B158" s="536"/>
      <c r="C158" s="761"/>
      <c r="D158" s="536"/>
      <c r="E158" s="536"/>
      <c r="F158" s="761"/>
      <c r="G158" s="761"/>
      <c r="H158" s="761"/>
      <c r="I158" s="536"/>
      <c r="J158" s="536"/>
      <c r="K158" s="536"/>
      <c r="L158" s="349"/>
      <c r="M158" s="349"/>
      <c r="N158" s="349"/>
      <c r="O158" s="536"/>
      <c r="P158" s="536"/>
      <c r="Q158" s="536"/>
      <c r="R158" s="765"/>
      <c r="S158" s="765"/>
      <c r="T158" s="765"/>
      <c r="U158" s="536"/>
      <c r="V158" s="536"/>
      <c r="W158" s="536"/>
      <c r="X158" s="536"/>
      <c r="Y158" s="536"/>
      <c r="Z158" s="536"/>
      <c r="AA158" s="536"/>
      <c r="AB158" s="536"/>
      <c r="AC158" s="536"/>
      <c r="AD158" s="536"/>
      <c r="AE158" s="536"/>
      <c r="AF158" s="536"/>
      <c r="AG158" s="536"/>
      <c r="AH158" s="536"/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536"/>
      <c r="AS158" s="536"/>
      <c r="AT158" s="536"/>
      <c r="AU158" s="536"/>
      <c r="AV158" s="536"/>
      <c r="AW158" s="722"/>
      <c r="AX158" s="722"/>
      <c r="AY158" s="722"/>
      <c r="AZ158" s="722"/>
      <c r="BA158" s="722"/>
      <c r="BB158" s="722"/>
      <c r="BC158" s="722"/>
      <c r="BD158" s="722"/>
      <c r="BE158" s="722"/>
      <c r="BF158" s="722"/>
      <c r="BG158" s="722"/>
      <c r="BH158" s="722"/>
      <c r="BI158" s="722"/>
      <c r="BJ158" s="722"/>
      <c r="BK158" s="722"/>
      <c r="BL158" s="722"/>
      <c r="BM158" s="722"/>
      <c r="BN158" s="722"/>
      <c r="BO158" s="722"/>
      <c r="BP158" s="722"/>
      <c r="BQ158" s="722"/>
      <c r="BR158" s="1857"/>
      <c r="BS158" s="722"/>
      <c r="BT158" s="722"/>
      <c r="BU158" s="722"/>
      <c r="BV158" s="722"/>
      <c r="BW158" s="722"/>
      <c r="BX158" s="722"/>
      <c r="BY158" s="722"/>
      <c r="BZ158" s="722"/>
      <c r="CA158" s="722"/>
      <c r="CB158" s="722"/>
      <c r="CC158" s="722"/>
      <c r="CD158" s="94"/>
      <c r="CE158" s="94"/>
    </row>
    <row r="159" spans="1:83" outlineLevel="2">
      <c r="A159" s="746"/>
      <c r="B159" s="349" t="s">
        <v>325</v>
      </c>
      <c r="C159" s="349"/>
      <c r="D159" s="350"/>
      <c r="E159" s="350"/>
      <c r="F159" s="349"/>
      <c r="G159" s="349"/>
      <c r="H159" s="349"/>
      <c r="I159" s="349"/>
      <c r="J159" s="349"/>
      <c r="K159" s="349"/>
      <c r="L159" s="349"/>
      <c r="M159" s="349"/>
      <c r="N159" s="349"/>
      <c r="O159" s="349"/>
      <c r="P159" s="349"/>
      <c r="Q159" s="349"/>
      <c r="R159" s="349"/>
      <c r="S159" s="349"/>
      <c r="T159" s="349"/>
      <c r="U159" s="350"/>
      <c r="V159" s="350"/>
      <c r="W159" s="350"/>
      <c r="X159" s="350"/>
      <c r="Y159" s="350"/>
      <c r="Z159" s="350"/>
      <c r="AA159" s="350"/>
      <c r="AB159" s="350"/>
      <c r="AC159" s="350"/>
      <c r="AD159" s="350">
        <f>AD170*AD105</f>
        <v>8680.560220299998</v>
      </c>
      <c r="AE159" s="350"/>
      <c r="AF159" s="350"/>
      <c r="AG159" s="350">
        <f t="shared" ref="AG159:BB159" si="569">AG170*AG105</f>
        <v>8708.7416482999997</v>
      </c>
      <c r="AH159" s="350"/>
      <c r="AI159" s="350"/>
      <c r="AJ159" s="350">
        <f t="shared" si="569"/>
        <v>8717.2579229000003</v>
      </c>
      <c r="AK159" s="350"/>
      <c r="AL159" s="350"/>
      <c r="AM159" s="350">
        <f t="shared" si="569"/>
        <v>8717.2579229000003</v>
      </c>
      <c r="AN159" s="350"/>
      <c r="AO159" s="350"/>
      <c r="AP159" s="350">
        <f t="shared" si="569"/>
        <v>8721.0102781000005</v>
      </c>
      <c r="AQ159" s="350"/>
      <c r="AR159" s="350"/>
      <c r="AS159" s="350">
        <f>AS170*AS105</f>
        <v>8717.2579229000003</v>
      </c>
      <c r="AT159" s="350"/>
      <c r="AU159" s="350"/>
      <c r="AV159" s="350">
        <f>AV170*AV105</f>
        <v>10080.525604299999</v>
      </c>
      <c r="AW159" s="715"/>
      <c r="AX159" s="715"/>
      <c r="AY159" s="715">
        <f>AY170*AY105</f>
        <v>10121.225073199999</v>
      </c>
      <c r="AZ159" s="715"/>
      <c r="BA159" s="715"/>
      <c r="BB159" s="715">
        <f t="shared" si="569"/>
        <v>10121.225073199999</v>
      </c>
      <c r="BC159" s="715"/>
      <c r="BD159" s="715"/>
      <c r="BE159" s="715">
        <f>BE170*BE105</f>
        <v>10121.225073199999</v>
      </c>
      <c r="BF159" s="715"/>
      <c r="BG159" s="715"/>
      <c r="BH159" s="715">
        <f>BH170*BH105</f>
        <v>10121.225073199999</v>
      </c>
      <c r="BI159" s="715">
        <f>BI170*BI105</f>
        <v>9632.3237260999995</v>
      </c>
      <c r="BJ159" s="715"/>
      <c r="BK159" s="715">
        <f t="shared" ref="BK159" si="570">BK170*BK105</f>
        <v>9632.3237260999995</v>
      </c>
      <c r="BL159" s="715">
        <f>BL170*BL105</f>
        <v>9632.3237260999995</v>
      </c>
      <c r="BM159" s="715"/>
      <c r="BN159" s="715">
        <f t="shared" ref="BN159" si="571">BN170*BN105</f>
        <v>9632.3237260999995</v>
      </c>
      <c r="BO159" s="715">
        <f>BO170*BO105</f>
        <v>9632.3237260999995</v>
      </c>
      <c r="BP159" s="715"/>
      <c r="BQ159" s="715">
        <f t="shared" ref="BQ159" si="572">BQ170*BQ105</f>
        <v>9632.3237260999995</v>
      </c>
      <c r="BR159" s="1849"/>
      <c r="BS159" s="715"/>
      <c r="BT159" s="715">
        <f t="shared" ref="BT159:BW159" si="573">BT170*BT105</f>
        <v>9632.3237260999995</v>
      </c>
      <c r="BU159" s="715"/>
      <c r="BV159" s="715"/>
      <c r="BW159" s="715">
        <f t="shared" si="573"/>
        <v>9632.3237260999995</v>
      </c>
      <c r="BX159" s="715"/>
      <c r="BY159" s="715"/>
      <c r="BZ159" s="715">
        <f t="shared" ref="BZ159" si="574">BZ170*BZ105</f>
        <v>9632.3237260999995</v>
      </c>
      <c r="CA159" s="715"/>
      <c r="CB159" s="715"/>
      <c r="CC159" s="715">
        <f t="shared" ref="CC159" si="575">CC170*CC105</f>
        <v>9632.3237260999995</v>
      </c>
      <c r="CD159" s="74"/>
      <c r="CE159" s="74"/>
    </row>
    <row r="160" spans="1:83" outlineLevel="2">
      <c r="A160" s="746"/>
      <c r="B160" s="355" t="s">
        <v>326</v>
      </c>
      <c r="C160" s="760"/>
      <c r="D160" s="350"/>
      <c r="E160" s="350"/>
      <c r="F160" s="349"/>
      <c r="G160" s="349"/>
      <c r="H160" s="349"/>
      <c r="I160" s="760"/>
      <c r="J160" s="760"/>
      <c r="K160" s="760"/>
      <c r="L160" s="350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  <c r="X160" s="350"/>
      <c r="Y160" s="350"/>
      <c r="Z160" s="350"/>
      <c r="AA160" s="350"/>
      <c r="AB160" s="350"/>
      <c r="AC160" s="350"/>
      <c r="AD160" s="350">
        <f>BS!L89</f>
        <v>149.77500000000001</v>
      </c>
      <c r="AE160" s="350"/>
      <c r="AF160" s="350"/>
      <c r="AG160" s="350">
        <f>BS!M89</f>
        <v>124.331</v>
      </c>
      <c r="AH160" s="350"/>
      <c r="AI160" s="350"/>
      <c r="AJ160" s="350">
        <f>BS!N89</f>
        <v>179.65299999999999</v>
      </c>
      <c r="AK160" s="350"/>
      <c r="AL160" s="350"/>
      <c r="AM160" s="350">
        <f>BS!O89</f>
        <v>139.46100000000001</v>
      </c>
      <c r="AN160" s="350"/>
      <c r="AO160" s="350"/>
      <c r="AP160" s="350">
        <f>BS!P89</f>
        <v>109.736</v>
      </c>
      <c r="AQ160" s="350"/>
      <c r="AR160" s="350"/>
      <c r="AS160" s="350">
        <f>BS!Q89</f>
        <v>558.79999999999995</v>
      </c>
      <c r="AT160" s="350"/>
      <c r="AU160" s="350"/>
      <c r="AV160" s="350">
        <f>BS!R89</f>
        <v>469.4</v>
      </c>
      <c r="AW160" s="715"/>
      <c r="AX160" s="715"/>
      <c r="AY160" s="715">
        <f>BS!S89</f>
        <v>439.1</v>
      </c>
      <c r="AZ160" s="715"/>
      <c r="BA160" s="715"/>
      <c r="BB160" s="715">
        <f>BS!T89</f>
        <v>0</v>
      </c>
      <c r="BC160" s="715"/>
      <c r="BD160" s="715"/>
      <c r="BE160" s="715">
        <f>BS!U89</f>
        <v>0</v>
      </c>
      <c r="BF160" s="715"/>
      <c r="BG160" s="715"/>
      <c r="BH160" s="715">
        <f>BS!V89</f>
        <v>59.4</v>
      </c>
      <c r="BI160" s="715">
        <f>BS!Y89</f>
        <v>49.8</v>
      </c>
      <c r="BJ160" s="715"/>
      <c r="BK160" s="715">
        <f>BS!Y89</f>
        <v>49.8</v>
      </c>
      <c r="BL160" s="715">
        <f>BS!AB89</f>
        <v>15</v>
      </c>
      <c r="BM160" s="715"/>
      <c r="BN160" s="715">
        <f>BS!AB89</f>
        <v>15</v>
      </c>
      <c r="BO160" s="715">
        <f>BS!AE89</f>
        <v>0</v>
      </c>
      <c r="BP160" s="715"/>
      <c r="BQ160" s="715">
        <f>BS!AE89</f>
        <v>0</v>
      </c>
      <c r="BR160" s="1849"/>
      <c r="BS160" s="715"/>
      <c r="BT160" s="715">
        <f>BS!AH89</f>
        <v>0</v>
      </c>
      <c r="BU160" s="715"/>
      <c r="BV160" s="715"/>
      <c r="BW160" s="715">
        <f>BS!AK89</f>
        <v>0</v>
      </c>
      <c r="BX160" s="715"/>
      <c r="BY160" s="715"/>
      <c r="BZ160" s="715">
        <f>BS!AN89</f>
        <v>0</v>
      </c>
      <c r="CA160" s="715"/>
      <c r="CB160" s="715"/>
      <c r="CC160" s="715">
        <f>BS!AQ89</f>
        <v>0</v>
      </c>
      <c r="CD160" s="74"/>
      <c r="CE160" s="74"/>
    </row>
    <row r="161" spans="1:83" outlineLevel="2">
      <c r="A161" s="746"/>
      <c r="B161" s="355" t="s">
        <v>327</v>
      </c>
      <c r="C161" s="760"/>
      <c r="D161" s="350"/>
      <c r="E161" s="350"/>
      <c r="F161" s="349"/>
      <c r="G161" s="349"/>
      <c r="H161" s="349"/>
      <c r="I161" s="760"/>
      <c r="J161" s="760"/>
      <c r="K161" s="760"/>
      <c r="L161" s="350"/>
      <c r="M161" s="350"/>
      <c r="N161" s="350"/>
      <c r="O161" s="350"/>
      <c r="P161" s="350"/>
      <c r="Q161" s="350"/>
      <c r="R161" s="350"/>
      <c r="S161" s="350"/>
      <c r="T161" s="350"/>
      <c r="U161" s="350"/>
      <c r="V161" s="350"/>
      <c r="W161" s="350"/>
      <c r="X161" s="350"/>
      <c r="Y161" s="350"/>
      <c r="Z161" s="350"/>
      <c r="AA161" s="350"/>
      <c r="AB161" s="350"/>
      <c r="AC161" s="350"/>
      <c r="AD161" s="350"/>
      <c r="AE161" s="350"/>
      <c r="AF161" s="350"/>
      <c r="AG161" s="350"/>
      <c r="AH161" s="350"/>
      <c r="AI161" s="350"/>
      <c r="AJ161" s="350"/>
      <c r="AK161" s="350"/>
      <c r="AL161" s="350"/>
      <c r="AM161" s="350"/>
      <c r="AN161" s="350"/>
      <c r="AO161" s="350"/>
      <c r="AP161" s="350"/>
      <c r="AQ161" s="350"/>
      <c r="AR161" s="350"/>
      <c r="AS161" s="350"/>
      <c r="AT161" s="350"/>
      <c r="AU161" s="350"/>
      <c r="AV161" s="350"/>
      <c r="AW161" s="715"/>
      <c r="AX161" s="715"/>
      <c r="AY161" s="715"/>
      <c r="AZ161" s="715"/>
      <c r="BA161" s="715"/>
      <c r="BB161" s="715"/>
      <c r="BC161" s="715"/>
      <c r="BD161" s="715"/>
      <c r="BE161" s="715"/>
      <c r="BF161" s="715"/>
      <c r="BG161" s="715"/>
      <c r="BH161" s="715"/>
      <c r="BI161" s="715"/>
      <c r="BJ161" s="715"/>
      <c r="BK161" s="715"/>
      <c r="BL161" s="715"/>
      <c r="BM161" s="715"/>
      <c r="BN161" s="715"/>
      <c r="BO161" s="715"/>
      <c r="BP161" s="715"/>
      <c r="BQ161" s="715"/>
      <c r="BR161" s="1849"/>
      <c r="BS161" s="715"/>
      <c r="BT161" s="715"/>
      <c r="BU161" s="715"/>
      <c r="BV161" s="715"/>
      <c r="BW161" s="715"/>
      <c r="BX161" s="715"/>
      <c r="BY161" s="715"/>
      <c r="BZ161" s="715"/>
      <c r="CA161" s="715"/>
      <c r="CB161" s="715"/>
      <c r="CC161" s="715"/>
      <c r="CD161" s="74"/>
      <c r="CE161" s="74"/>
    </row>
    <row r="162" spans="1:83" outlineLevel="2">
      <c r="A162" s="746"/>
      <c r="B162" s="355" t="s">
        <v>328</v>
      </c>
      <c r="C162" s="760"/>
      <c r="D162" s="350"/>
      <c r="E162" s="350"/>
      <c r="F162" s="349"/>
      <c r="G162" s="349"/>
      <c r="H162" s="349"/>
      <c r="I162" s="760"/>
      <c r="J162" s="760"/>
      <c r="K162" s="760"/>
      <c r="L162" s="350"/>
      <c r="M162" s="350"/>
      <c r="N162" s="350"/>
      <c r="O162" s="350"/>
      <c r="P162" s="350"/>
      <c r="Q162" s="350"/>
      <c r="R162" s="350"/>
      <c r="S162" s="350"/>
      <c r="T162" s="350"/>
      <c r="U162" s="350"/>
      <c r="V162" s="350"/>
      <c r="W162" s="350"/>
      <c r="X162" s="350"/>
      <c r="Y162" s="350"/>
      <c r="Z162" s="350"/>
      <c r="AA162" s="350"/>
      <c r="AB162" s="350"/>
      <c r="AC162" s="350"/>
      <c r="AD162" s="350"/>
      <c r="AE162" s="350"/>
      <c r="AF162" s="350"/>
      <c r="AG162" s="350"/>
      <c r="AH162" s="350"/>
      <c r="AI162" s="350"/>
      <c r="AJ162" s="350"/>
      <c r="AK162" s="350"/>
      <c r="AL162" s="350"/>
      <c r="AM162" s="350"/>
      <c r="AN162" s="350"/>
      <c r="AO162" s="350"/>
      <c r="AP162" s="350"/>
      <c r="AQ162" s="350"/>
      <c r="AR162" s="350"/>
      <c r="AS162" s="350"/>
      <c r="AT162" s="350"/>
      <c r="AU162" s="350"/>
      <c r="AV162" s="350"/>
      <c r="AW162" s="715"/>
      <c r="AX162" s="715"/>
      <c r="AY162" s="715"/>
      <c r="AZ162" s="715"/>
      <c r="BA162" s="715"/>
      <c r="BB162" s="715"/>
      <c r="BC162" s="715"/>
      <c r="BD162" s="715"/>
      <c r="BE162" s="715"/>
      <c r="BF162" s="715"/>
      <c r="BG162" s="715"/>
      <c r="BH162" s="715"/>
      <c r="BI162" s="715"/>
      <c r="BJ162" s="715"/>
      <c r="BK162" s="715"/>
      <c r="BL162" s="715"/>
      <c r="BM162" s="715"/>
      <c r="BN162" s="715"/>
      <c r="BO162" s="715"/>
      <c r="BP162" s="715"/>
      <c r="BQ162" s="715"/>
      <c r="BR162" s="1849"/>
      <c r="BS162" s="715"/>
      <c r="BT162" s="715"/>
      <c r="BU162" s="715"/>
      <c r="BV162" s="715"/>
      <c r="BW162" s="715"/>
      <c r="BX162" s="715"/>
      <c r="BY162" s="715"/>
      <c r="BZ162" s="715"/>
      <c r="CA162" s="715"/>
      <c r="CB162" s="715"/>
      <c r="CC162" s="715"/>
      <c r="CD162" s="74"/>
      <c r="CE162" s="74"/>
    </row>
    <row r="163" spans="1:83" outlineLevel="2">
      <c r="A163" s="746"/>
      <c r="B163" s="355" t="s">
        <v>329</v>
      </c>
      <c r="C163" s="760"/>
      <c r="D163" s="350"/>
      <c r="E163" s="350"/>
      <c r="F163" s="349"/>
      <c r="G163" s="349"/>
      <c r="H163" s="349"/>
      <c r="I163" s="760"/>
      <c r="J163" s="760"/>
      <c r="K163" s="760"/>
      <c r="L163" s="350"/>
      <c r="M163" s="350"/>
      <c r="N163" s="350"/>
      <c r="O163" s="350"/>
      <c r="P163" s="350"/>
      <c r="Q163" s="350"/>
      <c r="R163" s="350"/>
      <c r="S163" s="350"/>
      <c r="T163" s="350"/>
      <c r="U163" s="350"/>
      <c r="V163" s="350"/>
      <c r="W163" s="350"/>
      <c r="X163" s="350"/>
      <c r="Y163" s="350"/>
      <c r="Z163" s="350"/>
      <c r="AA163" s="350"/>
      <c r="AB163" s="350"/>
      <c r="AC163" s="350"/>
      <c r="AD163" s="350"/>
      <c r="AE163" s="350"/>
      <c r="AF163" s="350"/>
      <c r="AG163" s="350"/>
      <c r="AH163" s="350"/>
      <c r="AI163" s="350"/>
      <c r="AJ163" s="350"/>
      <c r="AK163" s="350"/>
      <c r="AL163" s="350"/>
      <c r="AM163" s="350"/>
      <c r="AN163" s="350"/>
      <c r="AO163" s="350"/>
      <c r="AP163" s="350"/>
      <c r="AQ163" s="350"/>
      <c r="AR163" s="350"/>
      <c r="AS163" s="350"/>
      <c r="AT163" s="350"/>
      <c r="AU163" s="350"/>
      <c r="AV163" s="350"/>
      <c r="AW163" s="715"/>
      <c r="AX163" s="715"/>
      <c r="AY163" s="715"/>
      <c r="AZ163" s="715"/>
      <c r="BA163" s="715"/>
      <c r="BB163" s="715"/>
      <c r="BC163" s="715"/>
      <c r="BD163" s="715"/>
      <c r="BE163" s="715"/>
      <c r="BF163" s="715"/>
      <c r="BG163" s="715"/>
      <c r="BH163" s="715"/>
      <c r="BI163" s="715"/>
      <c r="BJ163" s="715"/>
      <c r="BK163" s="715"/>
      <c r="BL163" s="715"/>
      <c r="BM163" s="715"/>
      <c r="BN163" s="715"/>
      <c r="BO163" s="715"/>
      <c r="BP163" s="715"/>
      <c r="BQ163" s="715"/>
      <c r="BR163" s="1849"/>
      <c r="BS163" s="715"/>
      <c r="BT163" s="715"/>
      <c r="BU163" s="715"/>
      <c r="BV163" s="715"/>
      <c r="BW163" s="715"/>
      <c r="BX163" s="715"/>
      <c r="BY163" s="715"/>
      <c r="BZ163" s="715"/>
      <c r="CA163" s="715"/>
      <c r="CB163" s="715"/>
      <c r="CC163" s="715"/>
      <c r="CD163" s="74"/>
      <c r="CE163" s="74"/>
    </row>
    <row r="164" spans="1:83" outlineLevel="2">
      <c r="A164" s="746"/>
      <c r="B164" s="355" t="s">
        <v>330</v>
      </c>
      <c r="C164" s="760"/>
      <c r="D164" s="350"/>
      <c r="E164" s="350"/>
      <c r="F164" s="349"/>
      <c r="G164" s="349"/>
      <c r="H164" s="349"/>
      <c r="I164" s="760"/>
      <c r="J164" s="760"/>
      <c r="K164" s="760"/>
      <c r="L164" s="350"/>
      <c r="M164" s="350"/>
      <c r="N164" s="350"/>
      <c r="O164" s="350"/>
      <c r="P164" s="350"/>
      <c r="Q164" s="350"/>
      <c r="R164" s="350"/>
      <c r="S164" s="350"/>
      <c r="T164" s="350"/>
      <c r="U164" s="350"/>
      <c r="V164" s="350"/>
      <c r="W164" s="350"/>
      <c r="X164" s="350"/>
      <c r="Y164" s="350"/>
      <c r="Z164" s="350"/>
      <c r="AA164" s="350"/>
      <c r="AB164" s="350"/>
      <c r="AC164" s="350"/>
      <c r="AD164" s="350">
        <f>AA164</f>
        <v>0</v>
      </c>
      <c r="AE164" s="350"/>
      <c r="AF164" s="350"/>
      <c r="AG164" s="350">
        <f>AD164</f>
        <v>0</v>
      </c>
      <c r="AH164" s="350"/>
      <c r="AI164" s="350"/>
      <c r="AJ164" s="350">
        <f>AG164</f>
        <v>0</v>
      </c>
      <c r="AK164" s="350"/>
      <c r="AL164" s="350"/>
      <c r="AM164" s="350">
        <f>AJ164</f>
        <v>0</v>
      </c>
      <c r="AN164" s="350"/>
      <c r="AO164" s="350"/>
      <c r="AP164" s="350">
        <f>AM164</f>
        <v>0</v>
      </c>
      <c r="AQ164" s="350"/>
      <c r="AR164" s="350"/>
      <c r="AS164" s="350">
        <f>AP164</f>
        <v>0</v>
      </c>
      <c r="AT164" s="350"/>
      <c r="AU164" s="350"/>
      <c r="AV164" s="350">
        <f>AS164</f>
        <v>0</v>
      </c>
      <c r="AW164" s="715"/>
      <c r="AX164" s="715"/>
      <c r="AY164" s="715">
        <f>AV164</f>
        <v>0</v>
      </c>
      <c r="AZ164" s="715"/>
      <c r="BA164" s="715"/>
      <c r="BB164" s="715">
        <f>AY164</f>
        <v>0</v>
      </c>
      <c r="BC164" s="715"/>
      <c r="BD164" s="715"/>
      <c r="BE164" s="715">
        <f>BB164</f>
        <v>0</v>
      </c>
      <c r="BF164" s="715"/>
      <c r="BG164" s="715"/>
      <c r="BH164" s="715">
        <f>BE164</f>
        <v>0</v>
      </c>
      <c r="BI164" s="715">
        <f>BF164</f>
        <v>0</v>
      </c>
      <c r="BJ164" s="715"/>
      <c r="BK164" s="715">
        <f>BH164</f>
        <v>0</v>
      </c>
      <c r="BL164" s="715">
        <f>BI164</f>
        <v>0</v>
      </c>
      <c r="BM164" s="715"/>
      <c r="BN164" s="715">
        <f>BK164</f>
        <v>0</v>
      </c>
      <c r="BO164" s="715">
        <f>BL164</f>
        <v>0</v>
      </c>
      <c r="BP164" s="715"/>
      <c r="BQ164" s="715">
        <f>BN164</f>
        <v>0</v>
      </c>
      <c r="BR164" s="1849"/>
      <c r="BS164" s="715"/>
      <c r="BT164" s="715">
        <f>BQ164</f>
        <v>0</v>
      </c>
      <c r="BU164" s="715"/>
      <c r="BV164" s="715"/>
      <c r="BW164" s="715">
        <f>BT164</f>
        <v>0</v>
      </c>
      <c r="BX164" s="715"/>
      <c r="BY164" s="715"/>
      <c r="BZ164" s="715">
        <f>BW164</f>
        <v>0</v>
      </c>
      <c r="CA164" s="715"/>
      <c r="CB164" s="715"/>
      <c r="CC164" s="715">
        <f>BZ164</f>
        <v>0</v>
      </c>
      <c r="CD164" s="74"/>
      <c r="CE164" s="74"/>
    </row>
    <row r="165" spans="1:83" outlineLevel="2">
      <c r="A165" s="746"/>
      <c r="B165" s="349"/>
      <c r="C165" s="760"/>
      <c r="D165" s="350"/>
      <c r="E165" s="350"/>
      <c r="F165" s="349"/>
      <c r="G165" s="349"/>
      <c r="H165" s="349"/>
      <c r="I165" s="760"/>
      <c r="J165" s="760"/>
      <c r="K165" s="760"/>
      <c r="L165" s="350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  <c r="X165" s="350"/>
      <c r="Y165" s="350"/>
      <c r="Z165" s="350"/>
      <c r="AA165" s="350"/>
      <c r="AB165" s="350"/>
      <c r="AC165" s="350"/>
      <c r="AD165" s="350"/>
      <c r="AE165" s="350"/>
      <c r="AF165" s="350"/>
      <c r="AG165" s="350"/>
      <c r="AH165" s="350"/>
      <c r="AI165" s="350"/>
      <c r="AJ165" s="350"/>
      <c r="AK165" s="350"/>
      <c r="AL165" s="350"/>
      <c r="AM165" s="350"/>
      <c r="AN165" s="350"/>
      <c r="AO165" s="350"/>
      <c r="AP165" s="350"/>
      <c r="AQ165" s="350"/>
      <c r="AR165" s="350"/>
      <c r="AS165" s="350"/>
      <c r="AT165" s="350"/>
      <c r="AU165" s="350"/>
      <c r="AV165" s="350"/>
      <c r="AW165" s="715"/>
      <c r="AX165" s="715"/>
      <c r="AY165" s="715"/>
      <c r="AZ165" s="715"/>
      <c r="BA165" s="715"/>
      <c r="BB165" s="715"/>
      <c r="BC165" s="715"/>
      <c r="BD165" s="715"/>
      <c r="BE165" s="715"/>
      <c r="BF165" s="715"/>
      <c r="BG165" s="715"/>
      <c r="BH165" s="715"/>
      <c r="BI165" s="715"/>
      <c r="BJ165" s="715"/>
      <c r="BK165" s="715"/>
      <c r="BL165" s="715"/>
      <c r="BM165" s="715"/>
      <c r="BN165" s="715"/>
      <c r="BO165" s="715"/>
      <c r="BP165" s="715"/>
      <c r="BQ165" s="715"/>
      <c r="BR165" s="1849"/>
      <c r="BS165" s="715"/>
      <c r="BT165" s="715"/>
      <c r="BU165" s="715"/>
      <c r="BV165" s="715"/>
      <c r="BW165" s="715"/>
      <c r="BX165" s="715"/>
      <c r="BY165" s="715"/>
      <c r="BZ165" s="715"/>
      <c r="CA165" s="715"/>
      <c r="CB165" s="715"/>
      <c r="CC165" s="715"/>
      <c r="CD165" s="74"/>
      <c r="CE165" s="74"/>
    </row>
    <row r="166" spans="1:83" outlineLevel="1" collapsed="1">
      <c r="A166" s="746" t="s">
        <v>331</v>
      </c>
      <c r="B166" s="757" t="s">
        <v>332</v>
      </c>
      <c r="C166" s="766"/>
      <c r="D166" s="758"/>
      <c r="E166" s="758"/>
      <c r="F166" s="767"/>
      <c r="G166" s="767"/>
      <c r="H166" s="767"/>
      <c r="I166" s="768"/>
      <c r="J166" s="768"/>
      <c r="K166" s="768"/>
      <c r="L166" s="769"/>
      <c r="M166" s="769"/>
      <c r="N166" s="769"/>
      <c r="O166" s="769"/>
      <c r="P166" s="769"/>
      <c r="Q166" s="769"/>
      <c r="R166" s="769"/>
      <c r="S166" s="769"/>
      <c r="T166" s="769"/>
      <c r="U166" s="769"/>
      <c r="V166" s="769"/>
      <c r="W166" s="769"/>
      <c r="X166" s="769"/>
      <c r="Y166" s="769"/>
      <c r="Z166" s="769"/>
      <c r="AA166" s="769"/>
      <c r="AB166" s="769"/>
      <c r="AC166" s="769"/>
      <c r="AD166" s="758">
        <f t="shared" ref="AD166:BB166" si="576">SUM(AD159:AD165)</f>
        <v>8830.3352202999977</v>
      </c>
      <c r="AE166" s="769"/>
      <c r="AF166" s="758"/>
      <c r="AG166" s="758">
        <f t="shared" si="576"/>
        <v>8833.0726482999999</v>
      </c>
      <c r="AH166" s="758"/>
      <c r="AI166" s="758"/>
      <c r="AJ166" s="758">
        <f t="shared" si="576"/>
        <v>8896.9109229000005</v>
      </c>
      <c r="AK166" s="758"/>
      <c r="AL166" s="758"/>
      <c r="AM166" s="758">
        <f t="shared" si="576"/>
        <v>8856.7189228999996</v>
      </c>
      <c r="AN166" s="758"/>
      <c r="AO166" s="758"/>
      <c r="AP166" s="758">
        <f t="shared" si="576"/>
        <v>8830.7462781000013</v>
      </c>
      <c r="AQ166" s="758"/>
      <c r="AR166" s="758"/>
      <c r="AS166" s="758">
        <f>SUM(AS159:AS165)</f>
        <v>9276.0579228999995</v>
      </c>
      <c r="AT166" s="758"/>
      <c r="AU166" s="758"/>
      <c r="AV166" s="758">
        <f>SUM(AV159:AV165)</f>
        <v>10549.925604299999</v>
      </c>
      <c r="AW166" s="714"/>
      <c r="AX166" s="714"/>
      <c r="AY166" s="714">
        <f t="shared" si="576"/>
        <v>10560.3250732</v>
      </c>
      <c r="AZ166" s="714"/>
      <c r="BA166" s="714"/>
      <c r="BB166" s="714">
        <f t="shared" si="576"/>
        <v>10121.225073199999</v>
      </c>
      <c r="BC166" s="714"/>
      <c r="BD166" s="714"/>
      <c r="BE166" s="714">
        <f>SUM(BE159:BE165)</f>
        <v>10121.225073199999</v>
      </c>
      <c r="BF166" s="714"/>
      <c r="BG166" s="714"/>
      <c r="BH166" s="714">
        <f>SUM(BH159:BH165)</f>
        <v>10180.625073199999</v>
      </c>
      <c r="BI166" s="714">
        <f>SUM(BI159:BI165)</f>
        <v>9682.1237260999987</v>
      </c>
      <c r="BJ166" s="714"/>
      <c r="BK166" s="714">
        <f t="shared" ref="BK166" si="577">SUM(BK159:BK165)</f>
        <v>9682.1237260999987</v>
      </c>
      <c r="BL166" s="714">
        <f>SUM(BL159:BL165)</f>
        <v>9647.3237260999995</v>
      </c>
      <c r="BM166" s="714"/>
      <c r="BN166" s="714">
        <f t="shared" ref="BN166" si="578">SUM(BN159:BN165)</f>
        <v>9647.3237260999995</v>
      </c>
      <c r="BO166" s="714">
        <f>SUM(BO159:BO165)</f>
        <v>9632.3237260999995</v>
      </c>
      <c r="BP166" s="714"/>
      <c r="BQ166" s="714">
        <f t="shared" ref="BQ166" si="579">SUM(BQ159:BQ165)</f>
        <v>9632.3237260999995</v>
      </c>
      <c r="BR166" s="1848"/>
      <c r="BS166" s="714"/>
      <c r="BT166" s="714">
        <f t="shared" ref="BT166:BW166" si="580">SUM(BT159:BT165)</f>
        <v>9632.3237260999995</v>
      </c>
      <c r="BU166" s="714"/>
      <c r="BV166" s="714"/>
      <c r="BW166" s="714">
        <f t="shared" si="580"/>
        <v>9632.3237260999995</v>
      </c>
      <c r="BX166" s="714"/>
      <c r="BY166" s="714"/>
      <c r="BZ166" s="714">
        <f t="shared" ref="BZ166" si="581">SUM(BZ159:BZ165)</f>
        <v>9632.3237260999995</v>
      </c>
      <c r="CA166" s="714"/>
      <c r="CB166" s="714"/>
      <c r="CC166" s="714">
        <f t="shared" ref="CC166" si="582">SUM(CC159:CC165)</f>
        <v>9632.3237260999995</v>
      </c>
      <c r="CD166" s="106"/>
      <c r="CE166" s="106"/>
    </row>
    <row r="167" spans="1:83" outlineLevel="1">
      <c r="A167" s="746" t="s">
        <v>952</v>
      </c>
      <c r="B167" s="757" t="s">
        <v>664</v>
      </c>
      <c r="C167" s="766"/>
      <c r="D167" s="768"/>
      <c r="E167" s="768"/>
      <c r="F167" s="767"/>
      <c r="G167" s="767"/>
      <c r="H167" s="767"/>
      <c r="I167" s="768"/>
      <c r="J167" s="768"/>
      <c r="K167" s="768"/>
      <c r="L167" s="768"/>
      <c r="M167" s="768"/>
      <c r="N167" s="768"/>
      <c r="O167" s="769"/>
      <c r="P167" s="769"/>
      <c r="Q167" s="769"/>
      <c r="R167" s="768"/>
      <c r="S167" s="768"/>
      <c r="T167" s="768"/>
      <c r="U167" s="768"/>
      <c r="V167" s="768"/>
      <c r="W167" s="768"/>
      <c r="X167" s="768"/>
      <c r="Y167" s="768"/>
      <c r="Z167" s="768"/>
      <c r="AA167" s="768"/>
      <c r="AB167" s="768"/>
      <c r="AC167" s="768"/>
      <c r="AD167" s="768"/>
      <c r="AE167" s="768"/>
      <c r="AF167" s="768"/>
      <c r="AG167" s="768"/>
      <c r="AH167" s="768"/>
      <c r="AI167" s="768"/>
      <c r="AJ167" s="768"/>
      <c r="AK167" s="768"/>
      <c r="AL167" s="768"/>
      <c r="AM167" s="763">
        <f t="shared" ref="AM167:BB167" si="583">AM166/AM136</f>
        <v>44.083675147705151</v>
      </c>
      <c r="AN167" s="768"/>
      <c r="AO167" s="768"/>
      <c r="AP167" s="763">
        <f t="shared" si="583"/>
        <v>39.926511938962364</v>
      </c>
      <c r="AQ167" s="768"/>
      <c r="AR167" s="768"/>
      <c r="AS167" s="763">
        <f>AS166/AS136</f>
        <v>34.586345722967934</v>
      </c>
      <c r="AT167" s="768"/>
      <c r="AU167" s="768"/>
      <c r="AV167" s="763">
        <f>AV166/AV136</f>
        <v>30.091059909583571</v>
      </c>
      <c r="AW167" s="723"/>
      <c r="AX167" s="723"/>
      <c r="AY167" s="720">
        <f t="shared" si="583"/>
        <v>28.319455814427457</v>
      </c>
      <c r="AZ167" s="723"/>
      <c r="BA167" s="723"/>
      <c r="BB167" s="720">
        <f t="shared" si="583"/>
        <v>20.946243942880791</v>
      </c>
      <c r="BC167" s="723"/>
      <c r="BD167" s="723"/>
      <c r="BE167" s="720">
        <f>BE166/BE136</f>
        <v>13.620273278428204</v>
      </c>
      <c r="BF167" s="723"/>
      <c r="BG167" s="723"/>
      <c r="BH167" s="720">
        <f t="shared" ref="BH167:BW167" si="584">BH166/BH136</f>
        <v>12.81226412433929</v>
      </c>
      <c r="BI167" s="720">
        <f>BI166/BI136</f>
        <v>20.204765705550916</v>
      </c>
      <c r="BJ167" s="720"/>
      <c r="BK167" s="720">
        <f t="shared" ref="BK167" si="585">BK166/BK136</f>
        <v>12.590538005331599</v>
      </c>
      <c r="BL167" s="720">
        <f>BL166/BL136</f>
        <v>24.947824479182827</v>
      </c>
      <c r="BM167" s="720"/>
      <c r="BN167" s="720">
        <f t="shared" ref="BN167" si="586">BN166/BN136</f>
        <v>14.906248031674908</v>
      </c>
      <c r="BO167" s="720">
        <f>BO166/BO136</f>
        <v>22.939565911169321</v>
      </c>
      <c r="BP167" s="720"/>
      <c r="BQ167" s="720">
        <f t="shared" ref="BQ167" si="587">BQ166/BQ136</f>
        <v>13.877429370551795</v>
      </c>
      <c r="BR167" s="1853"/>
      <c r="BS167" s="720"/>
      <c r="BT167" s="720">
        <f t="shared" si="584"/>
        <v>12.779339192759439</v>
      </c>
      <c r="BU167" s="720"/>
      <c r="BV167" s="720"/>
      <c r="BW167" s="720">
        <f t="shared" si="584"/>
        <v>12.547198902529713</v>
      </c>
      <c r="BX167" s="720"/>
      <c r="BY167" s="720"/>
      <c r="BZ167" s="720">
        <f t="shared" ref="BZ167" si="588">BZ166/BZ136</f>
        <v>11.950436892131771</v>
      </c>
      <c r="CA167" s="720"/>
      <c r="CB167" s="720"/>
      <c r="CC167" s="720">
        <f t="shared" ref="CC167" si="589">CC166/CC136</f>
        <v>11.389874873104691</v>
      </c>
      <c r="CD167" s="106"/>
      <c r="CE167" s="106"/>
    </row>
    <row r="168" spans="1:83" outlineLevel="1" collapsed="1">
      <c r="A168" s="746" t="s">
        <v>951</v>
      </c>
      <c r="B168" s="757" t="s">
        <v>333</v>
      </c>
      <c r="C168" s="766"/>
      <c r="D168" s="748"/>
      <c r="E168" s="748"/>
      <c r="F168" s="767"/>
      <c r="G168" s="767"/>
      <c r="H168" s="767"/>
      <c r="I168" s="438"/>
      <c r="J168" s="438"/>
      <c r="K168" s="438"/>
      <c r="L168" s="438"/>
      <c r="M168" s="438"/>
      <c r="N168" s="438"/>
      <c r="O168" s="438"/>
      <c r="P168" s="438"/>
      <c r="Q168" s="438"/>
      <c r="R168" s="438"/>
      <c r="S168" s="438"/>
      <c r="T168" s="438"/>
      <c r="U168" s="438"/>
      <c r="V168" s="438"/>
      <c r="W168" s="438"/>
      <c r="X168" s="438"/>
      <c r="Y168" s="438"/>
      <c r="Z168" s="438"/>
      <c r="AA168" s="748"/>
      <c r="AB168" s="748"/>
      <c r="AC168" s="748"/>
      <c r="AD168" s="748"/>
      <c r="AE168" s="748"/>
      <c r="AF168" s="748"/>
      <c r="AG168" s="748"/>
      <c r="AH168" s="748"/>
      <c r="AI168" s="748"/>
      <c r="AJ168" s="748"/>
      <c r="AK168" s="748"/>
      <c r="AL168" s="748"/>
      <c r="AM168" s="763">
        <f t="shared" ref="AM168:BB168" si="590">AM166/AM49</f>
        <v>36.898229490774106</v>
      </c>
      <c r="AN168" s="748"/>
      <c r="AO168" s="748"/>
      <c r="AP168" s="763">
        <f t="shared" si="590"/>
        <v>33.695364238236237</v>
      </c>
      <c r="AQ168" s="748"/>
      <c r="AR168" s="748"/>
      <c r="AS168" s="763">
        <f t="shared" si="590"/>
        <v>25.745373086039411</v>
      </c>
      <c r="AT168" s="748"/>
      <c r="AU168" s="748"/>
      <c r="AV168" s="763">
        <f>AV166/AV49</f>
        <v>25.625274725042502</v>
      </c>
      <c r="AW168" s="724"/>
      <c r="AX168" s="724"/>
      <c r="AY168" s="720">
        <f t="shared" si="590"/>
        <v>24.610405670473082</v>
      </c>
      <c r="AZ168" s="724"/>
      <c r="BA168" s="724"/>
      <c r="BB168" s="720">
        <f t="shared" si="590"/>
        <v>14.098377313274829</v>
      </c>
      <c r="BC168" s="724"/>
      <c r="BD168" s="724"/>
      <c r="BE168" s="720">
        <f>BE166/BE49</f>
        <v>10.525400450499166</v>
      </c>
      <c r="BF168" s="724"/>
      <c r="BG168" s="724"/>
      <c r="BH168" s="720">
        <f t="shared" ref="BH168:BW168" si="591">BH166/BH49</f>
        <v>10.041054416806391</v>
      </c>
      <c r="BI168" s="720">
        <f>BI166/BI49</f>
        <v>16.338379558049272</v>
      </c>
      <c r="BJ168" s="720"/>
      <c r="BK168" s="720">
        <f t="shared" ref="BK168" si="592">BK166/BK49</f>
        <v>9.7484129340515491</v>
      </c>
      <c r="BL168" s="720">
        <f>BL166/BL49</f>
        <v>19.096048547307998</v>
      </c>
      <c r="BM168" s="720"/>
      <c r="BN168" s="720">
        <f t="shared" ref="BN168" si="593">BN166/BN49</f>
        <v>10.909559794300577</v>
      </c>
      <c r="BO168" s="720">
        <f>BO166/BO49</f>
        <v>17.644850203517127</v>
      </c>
      <c r="BP168" s="720"/>
      <c r="BQ168" s="720">
        <f t="shared" ref="BQ168" si="594">BQ166/BQ49</f>
        <v>9.9651600725222416</v>
      </c>
      <c r="BR168" s="1853"/>
      <c r="BS168" s="720"/>
      <c r="BT168" s="720">
        <f t="shared" si="591"/>
        <v>9.4230671720656449</v>
      </c>
      <c r="BU168" s="720"/>
      <c r="BV168" s="720"/>
      <c r="BW168" s="720">
        <f t="shared" si="591"/>
        <v>9.2355745322360256</v>
      </c>
      <c r="BX168" s="720"/>
      <c r="BY168" s="720"/>
      <c r="BZ168" s="720">
        <f t="shared" ref="BZ168" si="595">BZ166/BZ49</f>
        <v>8.8510091087258917</v>
      </c>
      <c r="CA168" s="720"/>
      <c r="CB168" s="720"/>
      <c r="CC168" s="720">
        <f t="shared" ref="CC168" si="596">CC166/CC49</f>
        <v>8.4858789586136165</v>
      </c>
      <c r="CD168" s="106"/>
      <c r="CE168" s="106"/>
    </row>
    <row r="169" spans="1:83" outlineLevel="1">
      <c r="A169" s="746"/>
      <c r="B169" s="757"/>
      <c r="C169" s="766"/>
      <c r="D169" s="748"/>
      <c r="E169" s="748"/>
      <c r="F169" s="767"/>
      <c r="G169" s="767"/>
      <c r="H169" s="767"/>
      <c r="I169" s="438"/>
      <c r="J169" s="438"/>
      <c r="K169" s="438"/>
      <c r="L169" s="438"/>
      <c r="M169" s="438"/>
      <c r="N169" s="438"/>
      <c r="O169" s="438"/>
      <c r="P169" s="438"/>
      <c r="Q169" s="438"/>
      <c r="R169" s="438"/>
      <c r="S169" s="438"/>
      <c r="T169" s="438"/>
      <c r="U169" s="438"/>
      <c r="V169" s="438"/>
      <c r="W169" s="438"/>
      <c r="X169" s="438"/>
      <c r="Y169" s="438"/>
      <c r="Z169" s="438"/>
      <c r="AA169" s="748"/>
      <c r="AB169" s="748"/>
      <c r="AC169" s="748"/>
      <c r="AD169" s="748"/>
      <c r="AE169" s="748"/>
      <c r="AF169" s="748"/>
      <c r="AG169" s="748"/>
      <c r="AH169" s="748"/>
      <c r="AI169" s="748"/>
      <c r="AJ169" s="748"/>
      <c r="AK169" s="748"/>
      <c r="AL169" s="748"/>
      <c r="AM169" s="748"/>
      <c r="AN169" s="748"/>
      <c r="AO169" s="748"/>
      <c r="AP169" s="748"/>
      <c r="AQ169" s="748"/>
      <c r="AR169" s="748"/>
      <c r="AS169" s="748"/>
      <c r="AT169" s="748"/>
      <c r="AU169" s="748"/>
      <c r="AV169" s="748"/>
      <c r="AW169" s="724"/>
      <c r="AX169" s="724"/>
      <c r="AY169" s="724"/>
      <c r="AZ169" s="724"/>
      <c r="BA169" s="724"/>
      <c r="BB169" s="724"/>
      <c r="BC169" s="724"/>
      <c r="BD169" s="724"/>
      <c r="BE169" s="724"/>
      <c r="BF169" s="724"/>
      <c r="BG169" s="724"/>
      <c r="BH169" s="724"/>
      <c r="BI169" s="724"/>
      <c r="BJ169" s="724"/>
      <c r="BK169" s="724"/>
      <c r="BL169" s="724"/>
      <c r="BM169" s="724"/>
      <c r="BN169" s="724"/>
      <c r="BO169" s="724"/>
      <c r="BP169" s="725"/>
      <c r="BQ169" s="724"/>
      <c r="BR169" s="1858"/>
      <c r="BS169" s="725"/>
      <c r="BT169" s="725"/>
      <c r="BU169" s="725"/>
      <c r="BV169" s="725"/>
      <c r="BW169" s="725"/>
      <c r="BX169" s="725"/>
      <c r="BY169" s="725"/>
      <c r="BZ169" s="725"/>
      <c r="CA169" s="725"/>
      <c r="CB169" s="725"/>
      <c r="CC169" s="725"/>
      <c r="CD169" s="106"/>
      <c r="CE169" s="106"/>
    </row>
    <row r="170" spans="1:83" outlineLevel="2">
      <c r="A170" s="746"/>
      <c r="B170" s="349" t="s">
        <v>334</v>
      </c>
      <c r="C170" s="760"/>
      <c r="D170" s="748"/>
      <c r="E170" s="748"/>
      <c r="F170" s="349"/>
      <c r="G170" s="349"/>
      <c r="H170" s="349"/>
      <c r="I170" s="770"/>
      <c r="J170" s="770"/>
      <c r="K170" s="770"/>
      <c r="L170" s="438"/>
      <c r="M170" s="438"/>
      <c r="N170" s="438"/>
      <c r="O170" s="438"/>
      <c r="P170" s="438"/>
      <c r="Q170" s="438"/>
      <c r="R170" s="438"/>
      <c r="S170" s="438"/>
      <c r="T170" s="438"/>
      <c r="U170" s="438"/>
      <c r="V170" s="438"/>
      <c r="W170" s="438"/>
      <c r="X170" s="438"/>
      <c r="Y170" s="438"/>
      <c r="Z170" s="438"/>
      <c r="AA170" s="748"/>
      <c r="AB170" s="748"/>
      <c r="AC170" s="748"/>
      <c r="AD170" s="748">
        <f>AG170</f>
        <v>88.1</v>
      </c>
      <c r="AE170" s="748"/>
      <c r="AF170" s="748"/>
      <c r="AG170" s="748">
        <f>AJ170</f>
        <v>88.1</v>
      </c>
      <c r="AH170" s="748"/>
      <c r="AI170" s="748"/>
      <c r="AJ170" s="748">
        <f>AM170</f>
        <v>88.1</v>
      </c>
      <c r="AK170" s="748"/>
      <c r="AL170" s="748"/>
      <c r="AM170" s="748">
        <f>Summary!N4</f>
        <v>88.1</v>
      </c>
      <c r="AN170" s="748"/>
      <c r="AO170" s="748"/>
      <c r="AP170" s="748">
        <f>AM170</f>
        <v>88.1</v>
      </c>
      <c r="AQ170" s="748"/>
      <c r="AR170" s="748"/>
      <c r="AS170" s="748">
        <f>AP170</f>
        <v>88.1</v>
      </c>
      <c r="AT170" s="748"/>
      <c r="AU170" s="748"/>
      <c r="AV170" s="748">
        <f>AS170</f>
        <v>88.1</v>
      </c>
      <c r="AW170" s="264">
        <f>AV170</f>
        <v>88.1</v>
      </c>
      <c r="AX170" s="264">
        <f t="shared" ref="AX170:BW170" si="597">AW170</f>
        <v>88.1</v>
      </c>
      <c r="AY170" s="264">
        <f t="shared" si="597"/>
        <v>88.1</v>
      </c>
      <c r="AZ170" s="264">
        <f t="shared" si="597"/>
        <v>88.1</v>
      </c>
      <c r="BA170" s="264">
        <f t="shared" si="597"/>
        <v>88.1</v>
      </c>
      <c r="BB170" s="264">
        <f t="shared" si="597"/>
        <v>88.1</v>
      </c>
      <c r="BC170" s="264">
        <f t="shared" si="597"/>
        <v>88.1</v>
      </c>
      <c r="BD170" s="264">
        <f t="shared" si="597"/>
        <v>88.1</v>
      </c>
      <c r="BE170" s="264">
        <f t="shared" si="597"/>
        <v>88.1</v>
      </c>
      <c r="BF170" s="264">
        <f t="shared" si="597"/>
        <v>88.1</v>
      </c>
      <c r="BG170" s="264">
        <f t="shared" si="597"/>
        <v>88.1</v>
      </c>
      <c r="BH170" s="264">
        <f t="shared" si="597"/>
        <v>88.1</v>
      </c>
      <c r="BI170" s="264">
        <f t="shared" si="597"/>
        <v>88.1</v>
      </c>
      <c r="BJ170" s="264">
        <f t="shared" si="597"/>
        <v>88.1</v>
      </c>
      <c r="BK170" s="264">
        <f t="shared" si="597"/>
        <v>88.1</v>
      </c>
      <c r="BL170" s="264">
        <f t="shared" si="597"/>
        <v>88.1</v>
      </c>
      <c r="BM170" s="264">
        <f t="shared" ref="BM170" si="598">BL170</f>
        <v>88.1</v>
      </c>
      <c r="BN170" s="264">
        <f t="shared" ref="BN170" si="599">BM170</f>
        <v>88.1</v>
      </c>
      <c r="BO170" s="264">
        <f t="shared" si="597"/>
        <v>88.1</v>
      </c>
      <c r="BP170" s="264">
        <f>BO170</f>
        <v>88.1</v>
      </c>
      <c r="BQ170" s="264">
        <f t="shared" ref="BQ170" si="600">BP170</f>
        <v>88.1</v>
      </c>
      <c r="BR170" s="1845">
        <f t="shared" si="597"/>
        <v>88.1</v>
      </c>
      <c r="BS170" s="264">
        <f t="shared" si="597"/>
        <v>88.1</v>
      </c>
      <c r="BT170" s="264">
        <f t="shared" si="597"/>
        <v>88.1</v>
      </c>
      <c r="BU170" s="264">
        <f t="shared" si="597"/>
        <v>88.1</v>
      </c>
      <c r="BV170" s="264">
        <f t="shared" si="597"/>
        <v>88.1</v>
      </c>
      <c r="BW170" s="264">
        <f t="shared" si="597"/>
        <v>88.1</v>
      </c>
      <c r="BX170" s="264">
        <f t="shared" ref="BX170" si="601">BW170</f>
        <v>88.1</v>
      </c>
      <c r="BY170" s="264">
        <f t="shared" ref="BY170" si="602">BX170</f>
        <v>88.1</v>
      </c>
      <c r="BZ170" s="264">
        <f t="shared" ref="BZ170" si="603">BY170</f>
        <v>88.1</v>
      </c>
      <c r="CA170" s="264">
        <f t="shared" ref="CA170" si="604">BZ170</f>
        <v>88.1</v>
      </c>
      <c r="CB170" s="264">
        <f t="shared" ref="CB170" si="605">CA170</f>
        <v>88.1</v>
      </c>
      <c r="CC170" s="264">
        <f t="shared" ref="CC170" si="606">CB170</f>
        <v>88.1</v>
      </c>
      <c r="CD170" s="121"/>
      <c r="CE170" s="74"/>
    </row>
    <row r="171" spans="1:83" outlineLevel="2">
      <c r="A171" s="746"/>
      <c r="B171" s="757"/>
      <c r="C171" s="766"/>
      <c r="D171" s="748"/>
      <c r="E171" s="748"/>
      <c r="F171" s="767"/>
      <c r="G171" s="767"/>
      <c r="H171" s="767"/>
      <c r="I171" s="438"/>
      <c r="J171" s="438"/>
      <c r="K171" s="438"/>
      <c r="L171" s="438"/>
      <c r="M171" s="438"/>
      <c r="N171" s="438"/>
      <c r="O171" s="438"/>
      <c r="P171" s="438"/>
      <c r="Q171" s="438"/>
      <c r="R171" s="438"/>
      <c r="S171" s="438"/>
      <c r="T171" s="438"/>
      <c r="U171" s="438"/>
      <c r="V171" s="438"/>
      <c r="W171" s="438"/>
      <c r="X171" s="438"/>
      <c r="Y171" s="438"/>
      <c r="Z171" s="438"/>
      <c r="AA171" s="748"/>
      <c r="AB171" s="748"/>
      <c r="AC171" s="748"/>
      <c r="AD171" s="748"/>
      <c r="AE171" s="748"/>
      <c r="AF171" s="748"/>
      <c r="AG171" s="748"/>
      <c r="AH171" s="748"/>
      <c r="AI171" s="748"/>
      <c r="AJ171" s="748"/>
      <c r="AK171" s="748"/>
      <c r="AL171" s="748"/>
      <c r="AM171" s="748"/>
      <c r="AN171" s="748"/>
      <c r="AO171" s="748"/>
      <c r="AP171" s="748"/>
      <c r="AQ171" s="748"/>
      <c r="AR171" s="748"/>
      <c r="AS171" s="748"/>
      <c r="AT171" s="748"/>
      <c r="AU171" s="748"/>
      <c r="AV171" s="748"/>
      <c r="AW171" s="264"/>
      <c r="AX171" s="264"/>
      <c r="AY171" s="264"/>
      <c r="AZ171" s="264"/>
      <c r="BA171" s="264"/>
      <c r="BB171" s="264"/>
      <c r="BC171" s="264"/>
      <c r="BD171" s="264"/>
      <c r="BE171" s="264"/>
      <c r="BF171" s="264"/>
      <c r="BG171" s="264"/>
      <c r="BH171" s="264"/>
      <c r="BI171" s="264"/>
      <c r="BJ171" s="264"/>
      <c r="BK171" s="264"/>
      <c r="BL171" s="264"/>
      <c r="BM171" s="264"/>
      <c r="BN171" s="264"/>
      <c r="BO171" s="264"/>
      <c r="BP171" s="120"/>
      <c r="BQ171" s="264"/>
      <c r="BR171" s="1859"/>
      <c r="BS171" s="120"/>
      <c r="BT171" s="120"/>
      <c r="BU171" s="120"/>
      <c r="BV171" s="120"/>
      <c r="BW171" s="120"/>
      <c r="BX171" s="120"/>
      <c r="BY171" s="120"/>
      <c r="BZ171" s="120"/>
      <c r="CA171" s="120"/>
      <c r="CB171" s="120"/>
      <c r="CC171" s="120"/>
      <c r="CD171" s="106"/>
      <c r="CE171" s="106"/>
    </row>
    <row r="172" spans="1:83" outlineLevel="1" collapsed="1">
      <c r="A172" s="746"/>
      <c r="B172" s="757" t="s">
        <v>335</v>
      </c>
      <c r="C172" s="766"/>
      <c r="D172" s="770"/>
      <c r="E172" s="770"/>
      <c r="F172" s="767"/>
      <c r="G172" s="767"/>
      <c r="H172" s="767"/>
      <c r="I172" s="438"/>
      <c r="J172" s="438"/>
      <c r="K172" s="438"/>
      <c r="L172" s="438"/>
      <c r="M172" s="438"/>
      <c r="N172" s="438"/>
      <c r="O172" s="438"/>
      <c r="P172" s="438"/>
      <c r="Q172" s="438"/>
      <c r="R172" s="438"/>
      <c r="S172" s="438"/>
      <c r="T172" s="438"/>
      <c r="U172" s="438"/>
      <c r="V172" s="438"/>
      <c r="W172" s="438"/>
      <c r="X172" s="438"/>
      <c r="Y172" s="438"/>
      <c r="Z172" s="438"/>
      <c r="AA172" s="748"/>
      <c r="AB172" s="748"/>
      <c r="AC172" s="748"/>
      <c r="AD172" s="748"/>
      <c r="AE172" s="748"/>
      <c r="AF172" s="748"/>
      <c r="AG172" s="770"/>
      <c r="AH172" s="770"/>
      <c r="AI172" s="770"/>
      <c r="AJ172" s="770"/>
      <c r="AK172" s="770"/>
      <c r="AL172" s="770"/>
      <c r="AM172" s="770"/>
      <c r="AN172" s="770"/>
      <c r="AO172" s="770"/>
      <c r="AP172" s="770"/>
      <c r="AQ172" s="770"/>
      <c r="AR172" s="770"/>
      <c r="AS172" s="770"/>
      <c r="AT172" s="770"/>
      <c r="AU172" s="770"/>
      <c r="AV172" s="770"/>
      <c r="AW172" s="112"/>
      <c r="AX172" s="112"/>
      <c r="AY172" s="112"/>
      <c r="AZ172" s="112"/>
      <c r="BA172" s="112"/>
      <c r="BB172" s="112"/>
      <c r="BC172" s="112"/>
      <c r="BD172" s="112"/>
      <c r="BE172" s="112"/>
      <c r="BF172" s="112"/>
      <c r="BG172" s="112"/>
      <c r="BH172" s="112"/>
      <c r="BI172" s="112"/>
      <c r="BJ172" s="112"/>
      <c r="BK172" s="112"/>
      <c r="BL172" s="112"/>
      <c r="BM172" s="112"/>
      <c r="BN172" s="112"/>
      <c r="BO172" s="112"/>
      <c r="BP172" s="120"/>
      <c r="BQ172" s="112"/>
      <c r="BR172" s="1859"/>
      <c r="BS172" s="120"/>
      <c r="BT172" s="120"/>
      <c r="BU172" s="120"/>
      <c r="BV172" s="120"/>
      <c r="BW172" s="120"/>
      <c r="BX172" s="120"/>
      <c r="BY172" s="120"/>
      <c r="BZ172" s="120"/>
      <c r="CA172" s="120"/>
      <c r="CB172" s="120"/>
      <c r="CC172" s="120"/>
      <c r="CD172" s="122"/>
      <c r="CE172" s="106"/>
    </row>
    <row r="173" spans="1:83" outlineLevel="1">
      <c r="A173" s="746"/>
      <c r="B173" s="757"/>
      <c r="C173" s="766"/>
      <c r="D173" s="748"/>
      <c r="E173" s="748"/>
      <c r="F173" s="767"/>
      <c r="G173" s="767"/>
      <c r="H173" s="767"/>
      <c r="I173" s="438"/>
      <c r="J173" s="438"/>
      <c r="K173" s="438"/>
      <c r="L173" s="438"/>
      <c r="M173" s="438"/>
      <c r="N173" s="438"/>
      <c r="O173" s="438"/>
      <c r="P173" s="438"/>
      <c r="Q173" s="438"/>
      <c r="R173" s="438"/>
      <c r="S173" s="438"/>
      <c r="T173" s="438"/>
      <c r="U173" s="438"/>
      <c r="V173" s="438"/>
      <c r="W173" s="438"/>
      <c r="X173" s="438"/>
      <c r="Y173" s="438"/>
      <c r="Z173" s="438"/>
      <c r="AA173" s="748"/>
      <c r="AB173" s="748"/>
      <c r="AC173" s="748"/>
      <c r="AD173" s="748"/>
      <c r="AE173" s="748"/>
      <c r="AF173" s="748"/>
      <c r="AG173" s="748"/>
      <c r="AH173" s="748"/>
      <c r="AI173" s="748"/>
      <c r="AJ173" s="748"/>
      <c r="AK173" s="748"/>
      <c r="AL173" s="748"/>
      <c r="AM173" s="748"/>
      <c r="AN173" s="748"/>
      <c r="AO173" s="748"/>
      <c r="AP173" s="748"/>
      <c r="AQ173" s="748"/>
      <c r="AR173" s="748"/>
      <c r="AS173" s="748"/>
      <c r="AT173" s="748"/>
      <c r="AU173" s="748"/>
      <c r="AV173" s="748"/>
      <c r="AW173" s="264"/>
      <c r="AX173" s="264"/>
      <c r="AY173" s="264"/>
      <c r="AZ173" s="264"/>
      <c r="BA173" s="264"/>
      <c r="BB173" s="264"/>
      <c r="BC173" s="264"/>
      <c r="BD173" s="264"/>
      <c r="BE173" s="264"/>
      <c r="BF173" s="264"/>
      <c r="BG173" s="264"/>
      <c r="BH173" s="264"/>
      <c r="BI173" s="264"/>
      <c r="BJ173" s="264"/>
      <c r="BK173" s="264"/>
      <c r="BL173" s="264"/>
      <c r="BM173" s="264"/>
      <c r="BN173" s="264"/>
      <c r="BO173" s="264"/>
      <c r="BP173" s="120"/>
      <c r="BQ173" s="264"/>
      <c r="BR173" s="1859"/>
      <c r="BS173" s="120"/>
      <c r="BT173" s="120"/>
      <c r="BU173" s="120"/>
      <c r="BV173" s="120"/>
      <c r="BW173" s="120"/>
      <c r="BX173" s="120"/>
      <c r="BY173" s="120"/>
      <c r="BZ173" s="120"/>
      <c r="CA173" s="120"/>
      <c r="CB173" s="120"/>
      <c r="CC173" s="120"/>
      <c r="CD173" s="106"/>
      <c r="CE173" s="106"/>
    </row>
    <row r="174" spans="1:83" ht="12.75" customHeight="1" outlineLevel="2">
      <c r="A174" s="746"/>
      <c r="B174" s="349" t="s">
        <v>336</v>
      </c>
      <c r="C174" s="760"/>
      <c r="D174" s="748"/>
      <c r="E174" s="748"/>
      <c r="F174" s="349"/>
      <c r="G174" s="349"/>
      <c r="H174" s="349"/>
      <c r="I174" s="770"/>
      <c r="J174" s="770"/>
      <c r="K174" s="770"/>
      <c r="L174" s="770"/>
      <c r="M174" s="770"/>
      <c r="N174" s="770"/>
      <c r="O174" s="770"/>
      <c r="P174" s="770"/>
      <c r="Q174" s="770"/>
      <c r="R174" s="770"/>
      <c r="S174" s="770"/>
      <c r="T174" s="770"/>
      <c r="U174" s="770"/>
      <c r="V174" s="770"/>
      <c r="W174" s="770"/>
      <c r="X174" s="349"/>
      <c r="Y174" s="349"/>
      <c r="Z174" s="349"/>
      <c r="AA174" s="748">
        <f>(AG123/X123)^(1/3)-1</f>
        <v>2.576600166884524E-2</v>
      </c>
      <c r="AB174" s="748"/>
      <c r="AC174" s="748"/>
      <c r="AD174" s="748">
        <f>(AJ123/AA123)^(1/3)-1</f>
        <v>8.0481467635824533E-3</v>
      </c>
      <c r="AE174" s="748"/>
      <c r="AF174" s="748"/>
      <c r="AG174" s="748">
        <f>(AM123/AD123)^(1/3)-1</f>
        <v>8.8300621834640491E-2</v>
      </c>
      <c r="AH174" s="748"/>
      <c r="AI174" s="748"/>
      <c r="AJ174" s="748"/>
      <c r="AK174" s="748"/>
      <c r="AL174" s="748"/>
      <c r="AM174" s="748"/>
      <c r="AN174" s="748"/>
      <c r="AO174" s="748"/>
      <c r="AP174" s="748"/>
      <c r="AQ174" s="748"/>
      <c r="AR174" s="748"/>
      <c r="AS174" s="748"/>
      <c r="AT174" s="748"/>
      <c r="AU174" s="748"/>
      <c r="AV174" s="748"/>
      <c r="AW174" s="264"/>
      <c r="AX174" s="264"/>
      <c r="AY174" s="264"/>
      <c r="AZ174" s="264"/>
      <c r="BA174" s="264"/>
      <c r="BB174" s="264"/>
      <c r="BC174" s="264"/>
      <c r="BD174" s="264"/>
      <c r="BE174" s="264"/>
      <c r="BF174" s="264"/>
      <c r="BG174" s="264"/>
      <c r="BH174" s="264"/>
      <c r="BI174" s="264"/>
      <c r="BJ174" s="264"/>
      <c r="BK174" s="264"/>
      <c r="BL174" s="264"/>
      <c r="BM174" s="264"/>
      <c r="BN174" s="264"/>
      <c r="BO174" s="264"/>
      <c r="BP174" s="112"/>
      <c r="BQ174" s="264"/>
      <c r="BR174" s="1841"/>
      <c r="BS174" s="112"/>
      <c r="BT174" s="112"/>
      <c r="BU174" s="112"/>
      <c r="BV174" s="112"/>
      <c r="BW174" s="112"/>
      <c r="BX174" s="112"/>
      <c r="BY174" s="112"/>
      <c r="BZ174" s="112"/>
      <c r="CA174" s="112"/>
      <c r="CB174" s="112"/>
      <c r="CC174" s="112"/>
      <c r="CD174" s="74"/>
      <c r="CE174" s="74"/>
    </row>
    <row r="175" spans="1:83" ht="12.75" customHeight="1" outlineLevel="2">
      <c r="A175" s="746"/>
      <c r="B175" s="757"/>
      <c r="C175" s="766"/>
      <c r="D175" s="748"/>
      <c r="E175" s="748"/>
      <c r="F175" s="767"/>
      <c r="G175" s="767"/>
      <c r="H175" s="767"/>
      <c r="I175" s="438"/>
      <c r="J175" s="438"/>
      <c r="K175" s="438"/>
      <c r="L175" s="438"/>
      <c r="M175" s="438"/>
      <c r="N175" s="438"/>
      <c r="O175" s="438"/>
      <c r="P175" s="438"/>
      <c r="Q175" s="438"/>
      <c r="R175" s="438"/>
      <c r="S175" s="438"/>
      <c r="T175" s="438"/>
      <c r="U175" s="438"/>
      <c r="V175" s="438"/>
      <c r="W175" s="438"/>
      <c r="X175" s="438"/>
      <c r="Y175" s="438"/>
      <c r="Z175" s="438"/>
      <c r="AA175" s="748"/>
      <c r="AB175" s="748"/>
      <c r="AC175" s="748"/>
      <c r="AD175" s="748"/>
      <c r="AE175" s="748"/>
      <c r="AF175" s="748"/>
      <c r="AG175" s="748"/>
      <c r="AH175" s="748"/>
      <c r="AI175" s="748"/>
      <c r="AJ175" s="748"/>
      <c r="AK175" s="748"/>
      <c r="AL175" s="748"/>
      <c r="AM175" s="748"/>
      <c r="AN175" s="748"/>
      <c r="AO175" s="748"/>
      <c r="AP175" s="748"/>
      <c r="AQ175" s="748"/>
      <c r="AR175" s="748"/>
      <c r="AS175" s="748"/>
      <c r="AT175" s="748"/>
      <c r="AU175" s="748"/>
      <c r="AV175" s="748"/>
      <c r="AW175" s="264"/>
      <c r="AX175" s="264"/>
      <c r="AY175" s="264"/>
      <c r="AZ175" s="264"/>
      <c r="BA175" s="264"/>
      <c r="BB175" s="264"/>
      <c r="BC175" s="264"/>
      <c r="BD175" s="264"/>
      <c r="BE175" s="264"/>
      <c r="BF175" s="264"/>
      <c r="BG175" s="264"/>
      <c r="BH175" s="264"/>
      <c r="BI175" s="264"/>
      <c r="BJ175" s="264"/>
      <c r="BK175" s="264"/>
      <c r="BL175" s="264"/>
      <c r="BM175" s="264"/>
      <c r="BN175" s="264"/>
      <c r="BO175" s="264"/>
      <c r="BP175" s="120"/>
      <c r="BQ175" s="264"/>
      <c r="BR175" s="1859"/>
      <c r="BS175" s="120"/>
      <c r="BT175" s="120"/>
      <c r="BU175" s="120"/>
      <c r="BV175" s="120"/>
      <c r="BW175" s="120"/>
      <c r="BX175" s="120"/>
      <c r="BY175" s="120"/>
      <c r="BZ175" s="120"/>
      <c r="CA175" s="120"/>
      <c r="CB175" s="120"/>
      <c r="CC175" s="120"/>
      <c r="CD175" s="106"/>
      <c r="CE175" s="106"/>
    </row>
    <row r="176" spans="1:83" outlineLevel="1" collapsed="1">
      <c r="A176" s="746"/>
      <c r="B176" s="757" t="s">
        <v>337</v>
      </c>
      <c r="C176" s="766"/>
      <c r="D176" s="748"/>
      <c r="E176" s="748"/>
      <c r="F176" s="767"/>
      <c r="G176" s="767"/>
      <c r="H176" s="767"/>
      <c r="I176" s="438"/>
      <c r="J176" s="438"/>
      <c r="K176" s="438"/>
      <c r="L176" s="438"/>
      <c r="M176" s="438"/>
      <c r="N176" s="438"/>
      <c r="O176" s="438"/>
      <c r="P176" s="438"/>
      <c r="Q176" s="438"/>
      <c r="R176" s="438"/>
      <c r="S176" s="438"/>
      <c r="T176" s="438"/>
      <c r="U176" s="438"/>
      <c r="V176" s="438"/>
      <c r="W176" s="438"/>
      <c r="X176" s="438"/>
      <c r="Y176" s="438"/>
      <c r="Z176" s="438"/>
      <c r="AA176" s="748"/>
      <c r="AB176" s="748"/>
      <c r="AC176" s="748"/>
      <c r="AD176" s="748"/>
      <c r="AE176" s="748"/>
      <c r="AF176" s="748"/>
      <c r="AG176" s="748">
        <f>AG172/AG174/100</f>
        <v>0</v>
      </c>
      <c r="AH176" s="748"/>
      <c r="AI176" s="748"/>
      <c r="AJ176" s="748"/>
      <c r="AK176" s="748"/>
      <c r="AL176" s="748"/>
      <c r="AM176" s="748"/>
      <c r="AN176" s="748"/>
      <c r="AO176" s="748"/>
      <c r="AP176" s="748"/>
      <c r="AQ176" s="748"/>
      <c r="AR176" s="748"/>
      <c r="AS176" s="748"/>
      <c r="AT176" s="748"/>
      <c r="AU176" s="748"/>
      <c r="AV176" s="748"/>
      <c r="AW176" s="264"/>
      <c r="AX176" s="264"/>
      <c r="AY176" s="264"/>
      <c r="AZ176" s="264"/>
      <c r="BA176" s="264"/>
      <c r="BB176" s="264"/>
      <c r="BC176" s="264"/>
      <c r="BD176" s="264"/>
      <c r="BE176" s="264"/>
      <c r="BF176" s="264"/>
      <c r="BG176" s="264"/>
      <c r="BH176" s="264"/>
      <c r="BI176" s="264"/>
      <c r="BJ176" s="264"/>
      <c r="BK176" s="264"/>
      <c r="BL176" s="264"/>
      <c r="BM176" s="264"/>
      <c r="BN176" s="264"/>
      <c r="BO176" s="264"/>
      <c r="BP176" s="120"/>
      <c r="BQ176" s="264"/>
      <c r="BR176" s="1859"/>
      <c r="BS176" s="120"/>
      <c r="BT176" s="120"/>
      <c r="BU176" s="120"/>
      <c r="BV176" s="120"/>
      <c r="BW176" s="120"/>
      <c r="BX176" s="120"/>
      <c r="BY176" s="120"/>
      <c r="BZ176" s="120"/>
      <c r="CA176" s="120"/>
      <c r="CB176" s="120"/>
      <c r="CC176" s="120"/>
      <c r="CD176" s="106"/>
      <c r="CE176" s="106"/>
    </row>
    <row r="177" spans="1:83" outlineLevel="1">
      <c r="A177" s="746"/>
      <c r="B177" s="757"/>
      <c r="C177" s="766"/>
      <c r="D177" s="438"/>
      <c r="E177" s="438"/>
      <c r="F177" s="767"/>
      <c r="G177" s="767"/>
      <c r="H177" s="767"/>
      <c r="I177" s="438"/>
      <c r="J177" s="438"/>
      <c r="K177" s="438"/>
      <c r="L177" s="438"/>
      <c r="M177" s="438"/>
      <c r="N177" s="438"/>
      <c r="O177" s="438"/>
      <c r="P177" s="438"/>
      <c r="Q177" s="438"/>
      <c r="R177" s="438"/>
      <c r="S177" s="438"/>
      <c r="T177" s="438"/>
      <c r="U177" s="438"/>
      <c r="V177" s="438"/>
      <c r="W177" s="438"/>
      <c r="X177" s="767"/>
      <c r="Y177" s="767"/>
      <c r="Z177" s="767"/>
      <c r="AA177" s="438"/>
      <c r="AB177" s="438"/>
      <c r="AC177" s="438"/>
      <c r="AD177" s="438"/>
      <c r="AE177" s="438"/>
      <c r="AF177" s="438"/>
      <c r="AG177" s="438"/>
      <c r="AH177" s="438"/>
      <c r="AI177" s="438"/>
      <c r="AJ177" s="438"/>
      <c r="AK177" s="438"/>
      <c r="AL177" s="438"/>
      <c r="AM177" s="438"/>
      <c r="AN177" s="438"/>
      <c r="AO177" s="438"/>
      <c r="AP177" s="438"/>
      <c r="AQ177" s="438"/>
      <c r="AR177" s="438"/>
      <c r="AS177" s="438"/>
      <c r="AT177" s="438"/>
      <c r="AU177" s="438"/>
      <c r="AV177" s="438"/>
      <c r="BP177" s="120"/>
      <c r="BR177" s="1859"/>
      <c r="BS177" s="120"/>
      <c r="BT177" s="120"/>
      <c r="BU177" s="120"/>
      <c r="BV177" s="120"/>
      <c r="BW177" s="120"/>
      <c r="BX177" s="120"/>
      <c r="BY177" s="120"/>
      <c r="BZ177" s="120"/>
      <c r="CA177" s="120"/>
      <c r="CB177" s="120"/>
      <c r="CC177" s="120"/>
      <c r="CD177" s="106"/>
      <c r="CE177" s="106"/>
    </row>
    <row r="178" spans="1:83" outlineLevel="1">
      <c r="A178" s="746"/>
      <c r="B178" s="757" t="s">
        <v>338</v>
      </c>
      <c r="C178" s="750"/>
      <c r="D178" s="750"/>
      <c r="E178" s="750"/>
      <c r="F178" s="750"/>
      <c r="G178" s="750"/>
      <c r="H178" s="750"/>
      <c r="I178" s="750"/>
      <c r="J178" s="750"/>
      <c r="K178" s="750"/>
      <c r="L178" s="750"/>
      <c r="M178" s="750"/>
      <c r="N178" s="750"/>
      <c r="O178" s="750"/>
      <c r="P178" s="750"/>
      <c r="Q178" s="750"/>
      <c r="R178" s="750"/>
      <c r="S178" s="750"/>
      <c r="T178" s="750"/>
      <c r="U178" s="750"/>
      <c r="V178" s="750"/>
      <c r="W178" s="750"/>
      <c r="X178" s="750"/>
      <c r="Y178" s="750"/>
      <c r="Z178" s="750"/>
      <c r="AA178" s="750"/>
      <c r="AB178" s="750"/>
      <c r="AC178" s="750"/>
      <c r="AD178" s="750"/>
      <c r="AE178" s="750"/>
      <c r="AF178" s="750"/>
      <c r="AG178" s="750"/>
      <c r="AH178" s="750"/>
      <c r="AI178" s="750"/>
      <c r="AJ178" s="750"/>
      <c r="AK178" s="750"/>
      <c r="AL178" s="750"/>
      <c r="AM178" s="750"/>
      <c r="AN178" s="750"/>
      <c r="AO178" s="750"/>
      <c r="AP178" s="750"/>
      <c r="AQ178" s="750"/>
      <c r="AR178" s="750"/>
      <c r="AS178" s="750"/>
      <c r="AT178" s="750"/>
      <c r="AU178" s="750"/>
      <c r="AV178" s="750"/>
      <c r="AW178" s="152"/>
      <c r="AX178" s="152"/>
      <c r="AY178" s="152"/>
      <c r="AZ178" s="152"/>
      <c r="BA178" s="152"/>
      <c r="BB178" s="152"/>
      <c r="BC178" s="152"/>
      <c r="BD178" s="152"/>
      <c r="BE178" s="152"/>
      <c r="BF178" s="152"/>
      <c r="BG178" s="152"/>
      <c r="BH178" s="152"/>
      <c r="BI178" s="152"/>
      <c r="BJ178" s="152"/>
      <c r="BK178" s="152"/>
      <c r="BL178" s="152"/>
      <c r="BM178" s="152"/>
      <c r="BN178" s="152"/>
      <c r="BO178" s="152"/>
      <c r="BP178" s="225"/>
      <c r="BQ178" s="152"/>
      <c r="BR178" s="1860"/>
      <c r="BS178" s="225"/>
      <c r="BT178" s="225"/>
      <c r="BU178" s="225"/>
      <c r="BV178" s="225"/>
      <c r="BW178" s="225"/>
      <c r="BX178" s="225"/>
      <c r="BY178" s="225"/>
      <c r="BZ178" s="225"/>
      <c r="CA178" s="225"/>
      <c r="CB178" s="225"/>
      <c r="CC178" s="225"/>
      <c r="CD178" s="106"/>
      <c r="CE178" s="106"/>
    </row>
    <row r="179" spans="1:83" outlineLevel="1">
      <c r="A179" s="746"/>
      <c r="B179" s="757"/>
      <c r="C179" s="766"/>
      <c r="D179" s="438"/>
      <c r="E179" s="438"/>
      <c r="F179" s="767"/>
      <c r="G179" s="767"/>
      <c r="H179" s="767"/>
      <c r="I179" s="438"/>
      <c r="J179" s="438"/>
      <c r="K179" s="438"/>
      <c r="L179" s="438"/>
      <c r="M179" s="438"/>
      <c r="N179" s="438"/>
      <c r="O179" s="438"/>
      <c r="P179" s="438"/>
      <c r="Q179" s="438"/>
      <c r="R179" s="438"/>
      <c r="S179" s="438"/>
      <c r="T179" s="438"/>
      <c r="U179" s="438"/>
      <c r="V179" s="438"/>
      <c r="W179" s="438"/>
      <c r="X179" s="438"/>
      <c r="Y179" s="438"/>
      <c r="Z179" s="438"/>
      <c r="AA179" s="438"/>
      <c r="AB179" s="438"/>
      <c r="AC179" s="438"/>
      <c r="AD179" s="438"/>
      <c r="AE179" s="438"/>
      <c r="AF179" s="438"/>
      <c r="AG179" s="438"/>
      <c r="AH179" s="438"/>
      <c r="AI179" s="438"/>
      <c r="AJ179" s="438"/>
      <c r="AK179" s="438"/>
      <c r="AL179" s="438"/>
      <c r="AM179" s="438"/>
      <c r="AN179" s="438"/>
      <c r="AO179" s="438"/>
      <c r="AP179" s="438"/>
      <c r="AQ179" s="438"/>
      <c r="AR179" s="438"/>
      <c r="AS179" s="438"/>
      <c r="AT179" s="438"/>
      <c r="AU179" s="438"/>
      <c r="AV179" s="438"/>
      <c r="BP179" s="225"/>
      <c r="BR179" s="1860"/>
      <c r="BS179" s="225"/>
      <c r="BT179" s="225"/>
      <c r="BU179" s="225"/>
      <c r="BV179" s="225"/>
      <c r="BW179" s="225"/>
      <c r="BX179" s="225"/>
      <c r="BY179" s="225"/>
      <c r="BZ179" s="225"/>
      <c r="CA179" s="225"/>
      <c r="CB179" s="225"/>
      <c r="CC179" s="225"/>
      <c r="CD179" s="106"/>
      <c r="CE179" s="106"/>
    </row>
    <row r="180" spans="1:83" outlineLevel="1">
      <c r="A180" s="746"/>
      <c r="B180" s="757" t="s">
        <v>339</v>
      </c>
      <c r="C180" s="748"/>
      <c r="D180" s="748"/>
      <c r="E180" s="748"/>
      <c r="F180" s="748"/>
      <c r="G180" s="748"/>
      <c r="H180" s="748"/>
      <c r="I180" s="748"/>
      <c r="J180" s="748"/>
      <c r="K180" s="748"/>
      <c r="L180" s="748"/>
      <c r="M180" s="748"/>
      <c r="N180" s="748"/>
      <c r="O180" s="748"/>
      <c r="P180" s="748"/>
      <c r="Q180" s="748"/>
      <c r="R180" s="748"/>
      <c r="S180" s="748"/>
      <c r="T180" s="748"/>
      <c r="U180" s="748"/>
      <c r="V180" s="748"/>
      <c r="W180" s="748"/>
      <c r="X180" s="748"/>
      <c r="Y180" s="748"/>
      <c r="Z180" s="748"/>
      <c r="AA180" s="748"/>
      <c r="AB180" s="748"/>
      <c r="AC180" s="748"/>
      <c r="AD180" s="748"/>
      <c r="AE180" s="748"/>
      <c r="AF180" s="748"/>
      <c r="AG180" s="748"/>
      <c r="AH180" s="748"/>
      <c r="AI180" s="748"/>
      <c r="AJ180" s="748"/>
      <c r="AK180" s="748"/>
      <c r="AL180" s="748"/>
      <c r="AM180" s="748"/>
      <c r="AN180" s="748"/>
      <c r="AO180" s="748"/>
      <c r="AP180" s="748"/>
      <c r="AQ180" s="748"/>
      <c r="AR180" s="748"/>
      <c r="AS180" s="748"/>
      <c r="AT180" s="748"/>
      <c r="AU180" s="748"/>
      <c r="AV180" s="748"/>
      <c r="AW180" s="264"/>
      <c r="AX180" s="264"/>
      <c r="AY180" s="264"/>
      <c r="AZ180" s="264"/>
      <c r="BA180" s="264"/>
      <c r="BB180" s="264"/>
      <c r="BC180" s="264"/>
      <c r="BD180" s="264"/>
      <c r="BE180" s="264"/>
      <c r="BF180" s="264"/>
      <c r="BG180" s="264"/>
      <c r="BH180" s="264"/>
      <c r="BI180" s="264"/>
      <c r="BJ180" s="264"/>
      <c r="BK180" s="264"/>
      <c r="BL180" s="264"/>
      <c r="BM180" s="264"/>
      <c r="BN180" s="264"/>
      <c r="BO180" s="264"/>
      <c r="BP180" s="264"/>
      <c r="BQ180" s="264"/>
      <c r="BR180" s="1845"/>
      <c r="BS180" s="264"/>
      <c r="BT180" s="264"/>
      <c r="BU180" s="264"/>
      <c r="BV180" s="264"/>
      <c r="BW180" s="264"/>
      <c r="BX180" s="264"/>
      <c r="BY180" s="264"/>
      <c r="BZ180" s="264"/>
      <c r="CA180" s="264"/>
      <c r="CB180" s="264"/>
      <c r="CC180" s="264"/>
      <c r="CD180" s="106"/>
      <c r="CE180" s="106"/>
    </row>
    <row r="181" spans="1:83" outlineLevel="1">
      <c r="A181" s="746"/>
      <c r="B181" s="757"/>
      <c r="C181" s="748"/>
      <c r="D181" s="748"/>
      <c r="E181" s="748"/>
      <c r="F181" s="748"/>
      <c r="G181" s="748"/>
      <c r="H181" s="748"/>
      <c r="I181" s="748"/>
      <c r="J181" s="748"/>
      <c r="K181" s="748"/>
      <c r="L181" s="748"/>
      <c r="M181" s="748"/>
      <c r="N181" s="748"/>
      <c r="O181" s="748"/>
      <c r="P181" s="748"/>
      <c r="Q181" s="748"/>
      <c r="R181" s="748"/>
      <c r="S181" s="748"/>
      <c r="T181" s="748"/>
      <c r="U181" s="748"/>
      <c r="V181" s="748"/>
      <c r="W181" s="748"/>
      <c r="X181" s="748"/>
      <c r="Y181" s="748"/>
      <c r="Z181" s="748"/>
      <c r="AA181" s="748"/>
      <c r="AB181" s="748"/>
      <c r="AC181" s="748"/>
      <c r="AD181" s="748"/>
      <c r="AE181" s="748"/>
      <c r="AF181" s="748"/>
      <c r="AG181" s="748"/>
      <c r="AH181" s="748"/>
      <c r="AI181" s="748"/>
      <c r="AJ181" s="748"/>
      <c r="AK181" s="748"/>
      <c r="AL181" s="748"/>
      <c r="AM181" s="748"/>
      <c r="AN181" s="748"/>
      <c r="AO181" s="748"/>
      <c r="AP181" s="748"/>
      <c r="AQ181" s="748"/>
      <c r="AR181" s="748"/>
      <c r="AS181" s="748"/>
      <c r="AT181" s="748"/>
      <c r="AU181" s="748"/>
      <c r="AV181" s="748"/>
      <c r="AW181" s="264"/>
      <c r="AX181" s="264"/>
      <c r="AY181" s="264"/>
      <c r="AZ181" s="264"/>
      <c r="BA181" s="264"/>
      <c r="BB181" s="264"/>
      <c r="BC181" s="264"/>
      <c r="BD181" s="264"/>
      <c r="BE181" s="264"/>
      <c r="BF181" s="264"/>
      <c r="BG181" s="264"/>
      <c r="BH181" s="264"/>
      <c r="BI181" s="264"/>
      <c r="BJ181" s="264"/>
      <c r="BK181" s="264"/>
      <c r="BL181" s="264"/>
      <c r="BM181" s="264"/>
      <c r="BN181" s="264"/>
      <c r="BO181" s="264"/>
      <c r="BP181" s="224"/>
      <c r="BQ181" s="264"/>
      <c r="BR181" s="1861"/>
      <c r="BS181" s="224"/>
      <c r="BT181" s="224"/>
      <c r="BU181" s="224"/>
      <c r="BV181" s="224"/>
      <c r="BW181" s="224"/>
      <c r="BX181" s="224"/>
      <c r="BY181" s="224"/>
      <c r="BZ181" s="224"/>
      <c r="CA181" s="224"/>
      <c r="CB181" s="224"/>
      <c r="CC181" s="224"/>
      <c r="CD181" s="106"/>
      <c r="CE181" s="106"/>
    </row>
    <row r="182" spans="1:83" outlineLevel="1">
      <c r="A182" s="746"/>
      <c r="B182" s="536" t="s">
        <v>340</v>
      </c>
      <c r="C182" s="770">
        <f t="shared" ref="C182:AS182" si="607">C139/-C71</f>
        <v>4.0859508156805457</v>
      </c>
      <c r="D182" s="748"/>
      <c r="E182" s="748"/>
      <c r="F182" s="770">
        <f t="shared" si="607"/>
        <v>8.4130273871206516</v>
      </c>
      <c r="G182" s="770"/>
      <c r="H182" s="770"/>
      <c r="I182" s="770">
        <f t="shared" si="607"/>
        <v>7.1976676384839653</v>
      </c>
      <c r="J182" s="770"/>
      <c r="K182" s="770"/>
      <c r="L182" s="770">
        <f t="shared" si="607"/>
        <v>7.7659463227605432</v>
      </c>
      <c r="M182" s="770"/>
      <c r="N182" s="770"/>
      <c r="O182" s="770">
        <f t="shared" si="607"/>
        <v>10.647278635255892</v>
      </c>
      <c r="P182" s="770"/>
      <c r="Q182" s="770"/>
      <c r="R182" s="770">
        <f t="shared" si="607"/>
        <v>12.341536976716126</v>
      </c>
      <c r="S182" s="770"/>
      <c r="T182" s="770"/>
      <c r="U182" s="770">
        <f t="shared" si="607"/>
        <v>21.928637627432813</v>
      </c>
      <c r="V182" s="770"/>
      <c r="W182" s="770"/>
      <c r="X182" s="770">
        <f t="shared" si="607"/>
        <v>31.786168088582322</v>
      </c>
      <c r="Y182" s="770"/>
      <c r="Z182" s="770"/>
      <c r="AA182" s="770">
        <f t="shared" si="607"/>
        <v>48.614335317460316</v>
      </c>
      <c r="AB182" s="770"/>
      <c r="AC182" s="770"/>
      <c r="AD182" s="770">
        <f t="shared" si="607"/>
        <v>12.338300473788783</v>
      </c>
      <c r="AE182" s="770"/>
      <c r="AF182" s="770"/>
      <c r="AG182" s="770">
        <f t="shared" si="607"/>
        <v>18.323162560560768</v>
      </c>
      <c r="AH182" s="748"/>
      <c r="AI182" s="748"/>
      <c r="AJ182" s="770">
        <f t="shared" si="607"/>
        <v>22.636503612460022</v>
      </c>
      <c r="AK182" s="748"/>
      <c r="AL182" s="748"/>
      <c r="AM182" s="770">
        <f>AM139/-AM71</f>
        <v>37.378046511627907</v>
      </c>
      <c r="AN182" s="748"/>
      <c r="AO182" s="748"/>
      <c r="AP182" s="770">
        <f t="shared" si="607"/>
        <v>66.29946043165468</v>
      </c>
      <c r="AQ182" s="748"/>
      <c r="AR182" s="748"/>
      <c r="AS182" s="770">
        <f t="shared" si="607"/>
        <v>34.044444444444444</v>
      </c>
      <c r="AT182" s="748"/>
      <c r="AU182" s="748"/>
      <c r="AV182" s="770">
        <f t="shared" ref="AV182:BB182" si="608">AV139/-AV71</f>
        <v>21.776397515527947</v>
      </c>
      <c r="AW182" s="724"/>
      <c r="AX182" s="724"/>
      <c r="AY182" s="713">
        <f t="shared" si="608"/>
        <v>27.419117647058822</v>
      </c>
      <c r="AZ182" s="724"/>
      <c r="BA182" s="724"/>
      <c r="BB182" s="713">
        <f t="shared" si="608"/>
        <v>14.246458923512749</v>
      </c>
      <c r="BC182" s="724"/>
      <c r="BD182" s="724"/>
      <c r="BE182" s="713">
        <f>BE139/-BE71</f>
        <v>37.72081218274112</v>
      </c>
      <c r="BF182" s="724"/>
      <c r="BG182" s="724"/>
      <c r="BH182" s="713">
        <f>BH139/-BH71</f>
        <v>41.170984455958553</v>
      </c>
      <c r="BI182" s="713">
        <f>BI139/-BI71</f>
        <v>53.24444444444444</v>
      </c>
      <c r="BJ182" s="713"/>
      <c r="BK182" s="713">
        <f>BK139/-BK71</f>
        <v>35.114155251141554</v>
      </c>
      <c r="BL182" s="713">
        <f>BL139/-BL71</f>
        <v>41.138297872340424</v>
      </c>
      <c r="BM182" s="713"/>
      <c r="BN182" s="713">
        <f>BN139/-BN71</f>
        <v>32.686868686868685</v>
      </c>
      <c r="BO182" s="713"/>
      <c r="BP182" s="713"/>
      <c r="BQ182" s="713">
        <f>BQ139/-BQ71</f>
        <v>27.118773946360154</v>
      </c>
      <c r="BR182" s="1862"/>
      <c r="BS182" s="713"/>
      <c r="BT182" s="713">
        <f>BT139/-BT71</f>
        <v>22.820679420425218</v>
      </c>
      <c r="BU182" s="713"/>
      <c r="BV182" s="713"/>
      <c r="BW182" s="713">
        <f>BW139/-BW71</f>
        <v>21.301420560669644</v>
      </c>
      <c r="BX182" s="713"/>
      <c r="BY182" s="713"/>
      <c r="BZ182" s="713">
        <f>BZ139/-BZ71</f>
        <v>21.742353842901267</v>
      </c>
      <c r="CA182" s="713"/>
      <c r="CB182" s="713"/>
      <c r="CC182" s="713">
        <f>CC139/-CC71</f>
        <v>21.386086778860385</v>
      </c>
      <c r="CD182" s="106"/>
      <c r="CE182" s="106"/>
    </row>
    <row r="183" spans="1:83" outlineLevel="1">
      <c r="A183" s="746"/>
      <c r="B183" s="757"/>
      <c r="C183" s="438"/>
      <c r="D183" s="438"/>
      <c r="E183" s="438"/>
      <c r="F183" s="438"/>
      <c r="G183" s="438"/>
      <c r="H183" s="438"/>
      <c r="I183" s="438"/>
      <c r="J183" s="438"/>
      <c r="K183" s="438"/>
      <c r="L183" s="438"/>
      <c r="M183" s="438"/>
      <c r="N183" s="438"/>
      <c r="O183" s="438"/>
      <c r="P183" s="438"/>
      <c r="Q183" s="438"/>
      <c r="R183" s="438"/>
      <c r="S183" s="438"/>
      <c r="T183" s="438"/>
      <c r="U183" s="438"/>
      <c r="V183" s="438"/>
      <c r="W183" s="438"/>
      <c r="X183" s="438"/>
      <c r="Y183" s="438"/>
      <c r="Z183" s="438"/>
      <c r="AA183" s="438"/>
      <c r="AB183" s="438"/>
      <c r="AC183" s="438"/>
      <c r="AD183" s="438"/>
      <c r="AE183" s="438"/>
      <c r="AF183" s="438"/>
      <c r="AG183" s="438"/>
      <c r="AH183" s="438"/>
      <c r="AI183" s="438"/>
      <c r="AJ183" s="438"/>
      <c r="AK183" s="438"/>
      <c r="AL183" s="438"/>
      <c r="AM183" s="438"/>
      <c r="AN183" s="438"/>
      <c r="AO183" s="438"/>
      <c r="AP183" s="438"/>
      <c r="AQ183" s="438"/>
      <c r="AR183" s="438"/>
      <c r="AS183" s="438"/>
      <c r="AT183" s="438"/>
      <c r="AU183" s="438"/>
      <c r="AV183" s="438"/>
      <c r="BO183" s="224"/>
      <c r="BP183" s="224"/>
      <c r="BR183" s="1861"/>
      <c r="BS183" s="224"/>
      <c r="BT183" s="224"/>
      <c r="BU183" s="224"/>
      <c r="BV183" s="224"/>
      <c r="BW183" s="224"/>
      <c r="BX183" s="224"/>
      <c r="BY183" s="224"/>
      <c r="BZ183" s="224"/>
      <c r="CA183" s="224"/>
      <c r="CB183" s="224"/>
      <c r="CC183" s="224"/>
      <c r="CD183" s="106"/>
      <c r="CE183" s="106"/>
    </row>
    <row r="184" spans="1:83" outlineLevel="1">
      <c r="A184" s="746"/>
      <c r="B184" s="536"/>
      <c r="C184" s="438"/>
      <c r="D184" s="771"/>
      <c r="E184" s="771"/>
      <c r="F184" s="438"/>
      <c r="G184" s="438"/>
      <c r="H184" s="438"/>
      <c r="I184" s="438"/>
      <c r="J184" s="438"/>
      <c r="K184" s="438"/>
      <c r="L184" s="771"/>
      <c r="M184" s="771"/>
      <c r="N184" s="771"/>
      <c r="O184" s="771"/>
      <c r="P184" s="771"/>
      <c r="Q184" s="771"/>
      <c r="R184" s="771"/>
      <c r="S184" s="771"/>
      <c r="T184" s="771"/>
      <c r="U184" s="771"/>
      <c r="V184" s="771"/>
      <c r="W184" s="771"/>
      <c r="X184" s="771"/>
      <c r="Y184" s="771"/>
      <c r="Z184" s="771"/>
      <c r="AA184" s="771"/>
      <c r="AB184" s="771"/>
      <c r="AC184" s="771"/>
      <c r="AD184" s="771"/>
      <c r="AE184" s="771"/>
      <c r="AF184" s="771"/>
      <c r="AG184" s="771"/>
      <c r="AH184" s="771"/>
      <c r="AI184" s="771"/>
      <c r="AJ184" s="771"/>
      <c r="AK184" s="771"/>
      <c r="AL184" s="771"/>
      <c r="AM184" s="771"/>
      <c r="AN184" s="771"/>
      <c r="AO184" s="771"/>
      <c r="AP184" s="771"/>
      <c r="AQ184" s="771"/>
      <c r="AR184" s="771"/>
      <c r="AS184" s="771"/>
      <c r="AT184" s="771"/>
      <c r="AU184" s="771"/>
      <c r="AV184" s="771"/>
      <c r="AW184" s="259"/>
      <c r="AX184" s="259"/>
      <c r="AY184" s="259"/>
      <c r="AZ184" s="259"/>
      <c r="BA184" s="259"/>
      <c r="BB184" s="259"/>
      <c r="BC184" s="259"/>
      <c r="BD184" s="259"/>
      <c r="BE184" s="259"/>
      <c r="BF184" s="259"/>
      <c r="BG184" s="259"/>
      <c r="BH184" s="259"/>
      <c r="BI184" s="259"/>
      <c r="BJ184" s="259"/>
      <c r="BK184" s="259"/>
      <c r="BL184" s="259"/>
      <c r="BM184" s="259"/>
      <c r="BN184" s="259"/>
      <c r="BO184" s="224"/>
      <c r="BP184" s="224"/>
      <c r="BQ184" s="259"/>
      <c r="BR184" s="1861"/>
      <c r="BS184" s="224"/>
      <c r="BT184" s="224"/>
      <c r="BU184" s="224"/>
      <c r="BV184" s="224"/>
      <c r="BW184" s="224"/>
      <c r="BX184" s="224"/>
      <c r="BY184" s="224"/>
      <c r="BZ184" s="224"/>
      <c r="CA184" s="224"/>
      <c r="CB184" s="224"/>
      <c r="CC184" s="224"/>
      <c r="CD184" s="147"/>
      <c r="CE184" s="106"/>
    </row>
    <row r="185" spans="1:83" outlineLevel="1">
      <c r="A185" s="746" t="s">
        <v>245</v>
      </c>
      <c r="B185" s="536" t="s">
        <v>341</v>
      </c>
      <c r="C185" s="770">
        <f>BS!C191</f>
        <v>0</v>
      </c>
      <c r="D185" s="770">
        <f>BS!D188</f>
        <v>3.6</v>
      </c>
      <c r="E185" s="770">
        <f>F185-D185</f>
        <v>3.6</v>
      </c>
      <c r="F185" s="770">
        <f>BS!D191</f>
        <v>7.2</v>
      </c>
      <c r="G185" s="770">
        <f>BS!E188</f>
        <v>3.6</v>
      </c>
      <c r="H185" s="770">
        <f>I185-G185</f>
        <v>3.6</v>
      </c>
      <c r="I185" s="770">
        <f>BS!E191</f>
        <v>7.2</v>
      </c>
      <c r="J185" s="770">
        <f>BS!F188</f>
        <v>3.6</v>
      </c>
      <c r="K185" s="770">
        <f>L185-J185</f>
        <v>3.9999999999999996</v>
      </c>
      <c r="L185" s="770">
        <f>BS!F191</f>
        <v>7.6</v>
      </c>
      <c r="M185" s="770"/>
      <c r="N185" s="770"/>
      <c r="O185" s="770">
        <f>BS!G191</f>
        <v>11</v>
      </c>
      <c r="P185" s="770">
        <f>BS!H188</f>
        <v>10</v>
      </c>
      <c r="Q185" s="770">
        <f>R185-P185</f>
        <v>16</v>
      </c>
      <c r="R185" s="770">
        <f>BS!H191</f>
        <v>26</v>
      </c>
      <c r="S185" s="770">
        <f>BS!I188</f>
        <v>15</v>
      </c>
      <c r="T185" s="770">
        <f>U185-S185</f>
        <v>29</v>
      </c>
      <c r="U185" s="770">
        <f>BS!I191</f>
        <v>44</v>
      </c>
      <c r="V185" s="770">
        <f>BS!J188</f>
        <v>33</v>
      </c>
      <c r="W185" s="770">
        <f>X185-V185</f>
        <v>33</v>
      </c>
      <c r="X185" s="770">
        <f>BS!J191</f>
        <v>66</v>
      </c>
      <c r="Y185" s="770">
        <f>BS!K188</f>
        <v>48</v>
      </c>
      <c r="Z185" s="770">
        <f>AA185-Y185</f>
        <v>29</v>
      </c>
      <c r="AA185" s="770">
        <f>BS!K191</f>
        <v>77</v>
      </c>
      <c r="AB185" s="770">
        <f>BS!L188</f>
        <v>49</v>
      </c>
      <c r="AC185" s="770">
        <f>AD185-AB185</f>
        <v>16</v>
      </c>
      <c r="AD185" s="770">
        <f>BS!L191</f>
        <v>65</v>
      </c>
      <c r="AE185" s="770">
        <f>BS!M188</f>
        <v>50</v>
      </c>
      <c r="AF185" s="770">
        <f>AG185-AE185</f>
        <v>22</v>
      </c>
      <c r="AG185" s="770">
        <f>BS!M191</f>
        <v>72</v>
      </c>
      <c r="AH185" s="770">
        <f>BS!N188</f>
        <v>55</v>
      </c>
      <c r="AI185" s="770">
        <f>AJ185-AH185</f>
        <v>29</v>
      </c>
      <c r="AJ185" s="770">
        <f>BS!N191</f>
        <v>84</v>
      </c>
      <c r="AK185" s="770">
        <f>BS!O188</f>
        <v>59</v>
      </c>
      <c r="AL185" s="770">
        <f>AM185-AK185</f>
        <v>31</v>
      </c>
      <c r="AM185" s="770">
        <f>BS!O191</f>
        <v>90</v>
      </c>
      <c r="AN185" s="770">
        <f>BS!P188</f>
        <v>63</v>
      </c>
      <c r="AO185" s="770">
        <f>BS!P189</f>
        <v>37</v>
      </c>
      <c r="AP185" s="770">
        <f>BS!P191</f>
        <v>100</v>
      </c>
      <c r="AQ185" s="770">
        <f>BS!Q188</f>
        <v>72</v>
      </c>
      <c r="AR185" s="770">
        <f>BS!Q189</f>
        <v>46</v>
      </c>
      <c r="AS185" s="770">
        <f>BS!Q191</f>
        <v>118</v>
      </c>
      <c r="AT185" s="770">
        <f>BS!R188</f>
        <v>86</v>
      </c>
      <c r="AU185" s="770">
        <f>BS!R189</f>
        <v>46</v>
      </c>
      <c r="AV185" s="770">
        <f>BS!R191</f>
        <v>132</v>
      </c>
      <c r="AW185" s="112">
        <f>BS!S188</f>
        <v>91</v>
      </c>
      <c r="AX185" s="112">
        <f>BS!S189</f>
        <v>51</v>
      </c>
      <c r="AY185" s="112">
        <f>BS!S191</f>
        <v>142</v>
      </c>
      <c r="AZ185" s="112">
        <f>BS!T188</f>
        <v>99</v>
      </c>
      <c r="BA185" s="112">
        <f>BS!T189</f>
        <v>90</v>
      </c>
      <c r="BB185" s="112">
        <f>BS!T191</f>
        <v>189</v>
      </c>
      <c r="BC185" s="112">
        <f>BS!U188</f>
        <v>180</v>
      </c>
      <c r="BD185" s="112">
        <f>BS!U189</f>
        <v>107</v>
      </c>
      <c r="BE185" s="112">
        <f>BS!U191</f>
        <v>287</v>
      </c>
      <c r="BF185" s="112">
        <f>BS!V188</f>
        <v>163</v>
      </c>
      <c r="BG185" s="112">
        <f>BS!V189</f>
        <v>153</v>
      </c>
      <c r="BH185" s="112">
        <f>BS!V191</f>
        <v>316</v>
      </c>
      <c r="BI185" s="112">
        <f>BS!W188</f>
        <v>197</v>
      </c>
      <c r="BJ185" s="112">
        <f>+BS!X191</f>
        <v>115</v>
      </c>
      <c r="BK185" s="112">
        <f>BS!Y191</f>
        <v>312</v>
      </c>
      <c r="BL185" s="112">
        <f>BS!Z188</f>
        <v>158</v>
      </c>
      <c r="BM185" s="112">
        <f>+BS!AA191</f>
        <v>183</v>
      </c>
      <c r="BN185" s="112">
        <f>BS!AB191</f>
        <v>341</v>
      </c>
      <c r="BO185" s="112">
        <f>BS!AC188</f>
        <v>170</v>
      </c>
      <c r="BP185" s="112">
        <f>+BS!AD191</f>
        <v>205</v>
      </c>
      <c r="BQ185" s="112">
        <f>BS!AE191</f>
        <v>375</v>
      </c>
      <c r="BR185" s="1841">
        <f>+BS!AF191</f>
        <v>210</v>
      </c>
      <c r="BS185" s="112">
        <f>+BS!AG191</f>
        <v>144.38770505944103</v>
      </c>
      <c r="BT185" s="112">
        <f>BS!AH191</f>
        <v>354.38770505944103</v>
      </c>
      <c r="BU185" s="112">
        <f>+BS!AI191</f>
        <v>213.06055128332369</v>
      </c>
      <c r="BV185" s="112">
        <f>+BS!AJ191</f>
        <v>146.69812666037765</v>
      </c>
      <c r="BW185" s="112">
        <f>BS!AK191</f>
        <v>359.75867794370134</v>
      </c>
      <c r="BX185" s="112">
        <f>+BS!AL191</f>
        <v>225.4939400530902</v>
      </c>
      <c r="BY185" s="112">
        <f>+BS!AM191</f>
        <v>152.61574933236173</v>
      </c>
      <c r="BZ185" s="112">
        <f>BS!AN191</f>
        <v>378.10968938545193</v>
      </c>
      <c r="CA185" s="112">
        <f>+BS!AO191</f>
        <v>236.29457217288089</v>
      </c>
      <c r="CB185" s="112">
        <f>+BS!AP191</f>
        <v>160.11325887240221</v>
      </c>
      <c r="CC185" s="112">
        <f>BS!AQ191</f>
        <v>396.4078310452831</v>
      </c>
      <c r="CD185" s="147"/>
      <c r="CE185" s="106"/>
    </row>
    <row r="186" spans="1:83" outlineLevel="1">
      <c r="A186" s="746"/>
      <c r="B186" s="536" t="s">
        <v>908</v>
      </c>
      <c r="C186" s="438"/>
      <c r="D186" s="771"/>
      <c r="E186" s="771"/>
      <c r="F186" s="438"/>
      <c r="G186" s="771"/>
      <c r="H186" s="771"/>
      <c r="I186" s="438"/>
      <c r="J186" s="438"/>
      <c r="K186" s="438"/>
      <c r="L186" s="771"/>
      <c r="M186" s="771"/>
      <c r="N186" s="771"/>
      <c r="O186" s="771"/>
      <c r="P186" s="771"/>
      <c r="Q186" s="771"/>
      <c r="R186" s="771"/>
      <c r="S186" s="771"/>
      <c r="T186" s="771"/>
      <c r="U186" s="771"/>
      <c r="V186" s="771"/>
      <c r="W186" s="771"/>
      <c r="X186" s="747"/>
      <c r="Y186" s="747"/>
      <c r="Z186" s="747"/>
      <c r="AA186" s="747"/>
      <c r="AB186" s="771"/>
      <c r="AC186" s="771"/>
      <c r="AD186" s="747"/>
      <c r="AE186" s="771"/>
      <c r="AF186" s="771"/>
      <c r="AG186" s="750"/>
      <c r="AH186" s="771"/>
      <c r="AI186" s="771"/>
      <c r="AJ186" s="771"/>
      <c r="AK186" s="771"/>
      <c r="AL186" s="771"/>
      <c r="AM186" s="771"/>
      <c r="AN186" s="772">
        <f>AN185/AK185-1</f>
        <v>6.7796610169491567E-2</v>
      </c>
      <c r="AO186" s="772">
        <f>AO185/AL185-1</f>
        <v>0.19354838709677424</v>
      </c>
      <c r="AP186" s="771"/>
      <c r="AQ186" s="772">
        <f>AQ185/AN185-1</f>
        <v>0.14285714285714279</v>
      </c>
      <c r="AR186" s="772">
        <f>AR185/AO185-1</f>
        <v>0.2432432432432432</v>
      </c>
      <c r="AS186" s="771"/>
      <c r="AT186" s="772">
        <f>AT185/AQ185-1</f>
        <v>0.19444444444444442</v>
      </c>
      <c r="AU186" s="772">
        <f>AU185/AR185-1</f>
        <v>0</v>
      </c>
      <c r="AV186" s="771"/>
      <c r="AW186" s="54">
        <f>AW185/AT185-1</f>
        <v>5.8139534883721034E-2</v>
      </c>
      <c r="AX186" s="54">
        <f t="shared" ref="AX186:BW186" si="609">AX185/AU185-1</f>
        <v>0.10869565217391308</v>
      </c>
      <c r="AY186" s="54">
        <f t="shared" si="609"/>
        <v>7.575757575757569E-2</v>
      </c>
      <c r="AZ186" s="54">
        <f t="shared" si="609"/>
        <v>8.7912087912087822E-2</v>
      </c>
      <c r="BA186" s="54">
        <f t="shared" si="609"/>
        <v>0.76470588235294112</v>
      </c>
      <c r="BB186" s="54">
        <f t="shared" si="609"/>
        <v>0.33098591549295775</v>
      </c>
      <c r="BC186" s="54">
        <f t="shared" si="609"/>
        <v>0.81818181818181812</v>
      </c>
      <c r="BD186" s="54">
        <f t="shared" si="609"/>
        <v>0.18888888888888888</v>
      </c>
      <c r="BE186" s="54">
        <f t="shared" si="609"/>
        <v>0.5185185185185186</v>
      </c>
      <c r="BF186" s="54">
        <f t="shared" si="609"/>
        <v>-9.4444444444444442E-2</v>
      </c>
      <c r="BG186" s="54">
        <f t="shared" si="609"/>
        <v>0.42990654205607481</v>
      </c>
      <c r="BH186" s="54">
        <f t="shared" si="609"/>
        <v>0.10104529616724744</v>
      </c>
      <c r="BI186" s="54">
        <f t="shared" si="609"/>
        <v>0.20858895705521463</v>
      </c>
      <c r="BJ186" s="54">
        <f t="shared" si="609"/>
        <v>-0.24836601307189543</v>
      </c>
      <c r="BK186" s="54">
        <f t="shared" si="609"/>
        <v>-1.2658227848101222E-2</v>
      </c>
      <c r="BL186" s="54">
        <f t="shared" si="609"/>
        <v>-0.19796954314720816</v>
      </c>
      <c r="BM186" s="54">
        <f t="shared" ref="BM186" si="610">BM185/BJ185-1</f>
        <v>0.59130434782608687</v>
      </c>
      <c r="BN186" s="54">
        <f t="shared" ref="BN186" si="611">BN185/BK185-1</f>
        <v>9.2948717948717841E-2</v>
      </c>
      <c r="BO186" s="54">
        <f t="shared" si="609"/>
        <v>7.5949367088607556E-2</v>
      </c>
      <c r="BP186" s="54">
        <f>BP185/BM185-1</f>
        <v>0.12021857923497259</v>
      </c>
      <c r="BQ186" s="54">
        <f t="shared" ref="BQ186" si="612">BQ185/BN185-1</f>
        <v>9.9706744868035102E-2</v>
      </c>
      <c r="BR186" s="1843">
        <f>BR185/BO185-1</f>
        <v>0.23529411764705888</v>
      </c>
      <c r="BS186" s="54">
        <f t="shared" si="609"/>
        <v>-0.29566973141736086</v>
      </c>
      <c r="BT186" s="54">
        <f t="shared" si="609"/>
        <v>-5.4966119841490579E-2</v>
      </c>
      <c r="BU186" s="54">
        <f t="shared" si="609"/>
        <v>1.457405373011289E-2</v>
      </c>
      <c r="BV186" s="54">
        <f t="shared" si="609"/>
        <v>1.600151204000011E-2</v>
      </c>
      <c r="BW186" s="54">
        <f t="shared" si="609"/>
        <v>1.5155641145506049E-2</v>
      </c>
      <c r="BX186" s="54">
        <f t="shared" ref="BX186" si="613">BX185/BU185-1</f>
        <v>5.8356127846646011E-2</v>
      </c>
      <c r="BY186" s="54">
        <f t="shared" ref="BY186" si="614">BY185/BV185-1</f>
        <v>4.0338774643551067E-2</v>
      </c>
      <c r="BZ186" s="54">
        <f t="shared" ref="BZ186" si="615">BZ185/BW185-1</f>
        <v>5.1009225258000113E-2</v>
      </c>
      <c r="CA186" s="54">
        <f t="shared" ref="CA186" si="616">CA185/BX185-1</f>
        <v>4.7897660208730208E-2</v>
      </c>
      <c r="CB186" s="54">
        <f t="shared" ref="CB186" si="617">CB185/BY185-1</f>
        <v>4.9126709221291698E-2</v>
      </c>
      <c r="CC186" s="54">
        <f t="shared" ref="CC186" si="618">CC185/BZ185-1</f>
        <v>4.8393739101400657E-2</v>
      </c>
      <c r="CD186" s="147"/>
      <c r="CE186" s="106"/>
    </row>
    <row r="187" spans="1:83" outlineLevel="1">
      <c r="A187" s="746"/>
      <c r="B187" s="536" t="s">
        <v>342</v>
      </c>
      <c r="C187" s="438"/>
      <c r="D187" s="750"/>
      <c r="E187" s="750"/>
      <c r="F187" s="438"/>
      <c r="G187" s="750"/>
      <c r="H187" s="750"/>
      <c r="I187" s="438"/>
      <c r="J187" s="438"/>
      <c r="K187" s="438"/>
      <c r="L187" s="771"/>
      <c r="M187" s="771"/>
      <c r="N187" s="771"/>
      <c r="O187" s="771"/>
      <c r="P187" s="771"/>
      <c r="Q187" s="771"/>
      <c r="R187" s="771"/>
      <c r="S187" s="771"/>
      <c r="T187" s="771"/>
      <c r="U187" s="771"/>
      <c r="V187" s="771"/>
      <c r="W187" s="771"/>
      <c r="X187" s="771"/>
      <c r="Y187" s="771"/>
      <c r="Z187" s="771"/>
      <c r="AA187" s="750"/>
      <c r="AB187" s="750"/>
      <c r="AC187" s="750"/>
      <c r="AD187" s="750"/>
      <c r="AE187" s="750"/>
      <c r="AF187" s="750"/>
      <c r="AG187" s="750"/>
      <c r="AH187" s="750"/>
      <c r="AI187" s="750"/>
      <c r="AJ187" s="750"/>
      <c r="AK187" s="750"/>
      <c r="AL187" s="750"/>
      <c r="AM187" s="750">
        <f t="shared" ref="AM187:BW187" si="619">AM185/100/AM170</f>
        <v>1.0215664018161182E-2</v>
      </c>
      <c r="AN187" s="750"/>
      <c r="AO187" s="750"/>
      <c r="AP187" s="750">
        <f t="shared" si="619"/>
        <v>1.1350737797956869E-2</v>
      </c>
      <c r="AQ187" s="750"/>
      <c r="AR187" s="750"/>
      <c r="AS187" s="750">
        <f t="shared" si="619"/>
        <v>1.3393870601589104E-2</v>
      </c>
      <c r="AT187" s="750"/>
      <c r="AU187" s="750"/>
      <c r="AV187" s="750">
        <f>AV185/100/AV170</f>
        <v>1.4982973893303067E-2</v>
      </c>
      <c r="AW187" s="152">
        <f t="shared" si="619"/>
        <v>1.032917139614075E-2</v>
      </c>
      <c r="AX187" s="152">
        <f t="shared" si="619"/>
        <v>5.7888762769580026E-3</v>
      </c>
      <c r="AY187" s="152">
        <f t="shared" si="619"/>
        <v>1.611804767309875E-2</v>
      </c>
      <c r="AZ187" s="152">
        <f t="shared" si="619"/>
        <v>1.1237230419977299E-2</v>
      </c>
      <c r="BA187" s="152">
        <f t="shared" si="619"/>
        <v>1.0215664018161182E-2</v>
      </c>
      <c r="BB187" s="152">
        <f t="shared" si="619"/>
        <v>2.145289443813848E-2</v>
      </c>
      <c r="BC187" s="152">
        <f t="shared" si="619"/>
        <v>2.0431328036322364E-2</v>
      </c>
      <c r="BD187" s="152">
        <f t="shared" si="619"/>
        <v>1.2145289443813849E-2</v>
      </c>
      <c r="BE187" s="152">
        <f t="shared" si="619"/>
        <v>3.2576617480136211E-2</v>
      </c>
      <c r="BF187" s="152">
        <f t="shared" si="619"/>
        <v>1.8501702610669694E-2</v>
      </c>
      <c r="BG187" s="152">
        <f t="shared" si="619"/>
        <v>1.7366628830874007E-2</v>
      </c>
      <c r="BH187" s="152">
        <f t="shared" si="619"/>
        <v>3.5868331441543708E-2</v>
      </c>
      <c r="BI187" s="152">
        <f t="shared" ref="BI187" si="620">BI185/100/BI170</f>
        <v>2.2360953461975031E-2</v>
      </c>
      <c r="BJ187" s="152">
        <f t="shared" si="619"/>
        <v>1.3053348467650397E-2</v>
      </c>
      <c r="BK187" s="152">
        <f t="shared" ref="BK187:BM187" si="621">BK185/100/BK170</f>
        <v>3.5414301929625427E-2</v>
      </c>
      <c r="BL187" s="152">
        <f t="shared" si="621"/>
        <v>1.7934165720771854E-2</v>
      </c>
      <c r="BM187" s="152">
        <f t="shared" si="621"/>
        <v>2.0771850170261071E-2</v>
      </c>
      <c r="BN187" s="152">
        <f t="shared" ref="BN187:BO187" si="622">BN185/100/BN170</f>
        <v>3.8706015891032924E-2</v>
      </c>
      <c r="BO187" s="152">
        <f t="shared" si="622"/>
        <v>1.9296254256526674E-2</v>
      </c>
      <c r="BP187" s="152">
        <f t="shared" si="619"/>
        <v>2.3269012485811577E-2</v>
      </c>
      <c r="BQ187" s="152">
        <f t="shared" si="619"/>
        <v>4.2565266742338258E-2</v>
      </c>
      <c r="BR187" s="1863">
        <f t="shared" si="619"/>
        <v>2.3836549375709424E-2</v>
      </c>
      <c r="BS187" s="152">
        <f t="shared" si="619"/>
        <v>1.6389069813784452E-2</v>
      </c>
      <c r="BT187" s="152">
        <f t="shared" si="619"/>
        <v>4.0225619189493876E-2</v>
      </c>
      <c r="BU187" s="152">
        <f t="shared" si="619"/>
        <v>2.4183944527051499E-2</v>
      </c>
      <c r="BV187" s="152">
        <f t="shared" si="619"/>
        <v>1.6651319711734128E-2</v>
      </c>
      <c r="BW187" s="152">
        <f t="shared" si="619"/>
        <v>4.0835264238785626E-2</v>
      </c>
      <c r="BX187" s="152">
        <f t="shared" ref="BX187:CC187" si="623">BX185/100/BX170</f>
        <v>2.5595225885708311E-2</v>
      </c>
      <c r="BY187" s="152">
        <f t="shared" si="623"/>
        <v>1.7323013545103488E-2</v>
      </c>
      <c r="BZ187" s="152">
        <f t="shared" si="623"/>
        <v>4.29182394308118E-2</v>
      </c>
      <c r="CA187" s="152">
        <f t="shared" si="623"/>
        <v>2.6821177318147663E-2</v>
      </c>
      <c r="CB187" s="152">
        <f t="shared" si="623"/>
        <v>1.8174036194370288E-2</v>
      </c>
      <c r="CC187" s="152">
        <f t="shared" si="623"/>
        <v>4.4995213512517951E-2</v>
      </c>
      <c r="CD187" s="106"/>
      <c r="CE187" s="106"/>
    </row>
    <row r="188" spans="1:83">
      <c r="A188" s="746"/>
      <c r="B188" s="349"/>
      <c r="C188" s="349"/>
      <c r="D188" s="349"/>
      <c r="E188" s="349"/>
      <c r="F188" s="349"/>
      <c r="G188" s="349"/>
      <c r="H188" s="349"/>
      <c r="I188" s="349"/>
      <c r="J188" s="349"/>
      <c r="K188" s="349"/>
      <c r="L188" s="349"/>
      <c r="M188" s="349"/>
      <c r="N188" s="349"/>
      <c r="O188" s="349"/>
      <c r="P188" s="349"/>
      <c r="Q188" s="349"/>
      <c r="R188" s="349"/>
      <c r="S188" s="349"/>
      <c r="T188" s="349"/>
      <c r="U188" s="349"/>
      <c r="V188" s="349"/>
      <c r="W188" s="349"/>
      <c r="X188" s="349"/>
      <c r="Y188" s="349"/>
      <c r="Z188" s="349"/>
      <c r="AA188" s="349"/>
      <c r="AB188" s="349"/>
      <c r="AC188" s="349"/>
      <c r="AD188" s="349"/>
      <c r="AE188" s="349"/>
      <c r="AF188" s="349"/>
      <c r="AG188" s="349"/>
      <c r="AH188" s="349"/>
      <c r="AI188" s="349"/>
      <c r="AJ188" s="349"/>
      <c r="AK188" s="349"/>
      <c r="AL188" s="349"/>
      <c r="AM188" s="349"/>
      <c r="AN188" s="349"/>
      <c r="AO188" s="349"/>
      <c r="AP188" s="349"/>
      <c r="AQ188" s="349"/>
      <c r="AR188" s="349"/>
      <c r="AS188" s="349"/>
      <c r="AT188" s="349"/>
      <c r="AU188" s="349"/>
      <c r="AV188" s="349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74"/>
      <c r="BM188" s="74"/>
      <c r="BN188" s="74"/>
      <c r="BO188" s="74"/>
      <c r="BP188" s="74"/>
      <c r="BQ188" s="74"/>
      <c r="BR188" s="1832"/>
      <c r="BS188" s="74"/>
      <c r="BT188" s="74"/>
      <c r="BU188" s="74"/>
      <c r="BV188" s="74"/>
      <c r="BW188" s="74"/>
      <c r="BX188" s="74"/>
      <c r="BY188" s="74"/>
      <c r="BZ188" s="74"/>
      <c r="CA188" s="74"/>
      <c r="CB188" s="74"/>
      <c r="CC188" s="74"/>
      <c r="CD188" s="74"/>
      <c r="CE188" s="74"/>
    </row>
    <row r="189" spans="1:83">
      <c r="A189" s="746"/>
      <c r="B189" s="536" t="s">
        <v>343</v>
      </c>
      <c r="C189" s="349"/>
      <c r="D189" s="349"/>
      <c r="E189" s="349"/>
      <c r="F189" s="349"/>
      <c r="G189" s="349"/>
      <c r="H189" s="349"/>
      <c r="I189" s="349"/>
      <c r="J189" s="349"/>
      <c r="K189" s="349"/>
      <c r="L189" s="349"/>
      <c r="M189" s="349"/>
      <c r="N189" s="349"/>
      <c r="O189" s="349"/>
      <c r="P189" s="349"/>
      <c r="Q189" s="349"/>
      <c r="R189" s="349"/>
      <c r="S189" s="349"/>
      <c r="T189" s="349"/>
      <c r="U189" s="349"/>
      <c r="V189" s="349"/>
      <c r="W189" s="349"/>
      <c r="X189" s="349"/>
      <c r="Y189" s="349"/>
      <c r="Z189" s="349"/>
      <c r="AA189" s="349"/>
      <c r="AB189" s="349"/>
      <c r="AC189" s="349"/>
      <c r="AD189" s="349"/>
      <c r="AE189" s="349"/>
      <c r="AF189" s="349"/>
      <c r="AG189" s="349"/>
      <c r="AH189" s="349"/>
      <c r="AI189" s="349"/>
      <c r="AJ189" s="349"/>
      <c r="AK189" s="349"/>
      <c r="AL189" s="349"/>
      <c r="AM189" s="349"/>
      <c r="AN189" s="349"/>
      <c r="AO189" s="349"/>
      <c r="AP189" s="349"/>
      <c r="AQ189" s="349"/>
      <c r="AR189" s="349"/>
      <c r="AS189" s="349"/>
      <c r="AT189" s="349"/>
      <c r="AU189" s="349"/>
      <c r="AV189" s="349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74"/>
      <c r="BM189" s="74"/>
      <c r="BN189" s="74"/>
      <c r="BO189" s="74"/>
      <c r="BP189" s="74"/>
      <c r="BQ189" s="74"/>
      <c r="BR189" s="1832"/>
      <c r="BS189" s="74"/>
      <c r="BT189" s="74"/>
      <c r="BU189" s="74"/>
      <c r="BV189" s="74"/>
      <c r="BW189" s="74"/>
      <c r="BX189" s="74"/>
      <c r="BY189" s="74"/>
      <c r="BZ189" s="74"/>
      <c r="CA189" s="74"/>
      <c r="CB189" s="74"/>
      <c r="CC189" s="74"/>
      <c r="CD189" s="74"/>
      <c r="CE189" s="74"/>
    </row>
    <row r="190" spans="1:83" outlineLevel="1">
      <c r="A190" s="746"/>
      <c r="B190" s="349"/>
      <c r="C190" s="349"/>
      <c r="D190" s="349"/>
      <c r="E190" s="349"/>
      <c r="F190" s="349"/>
      <c r="G190" s="349"/>
      <c r="H190" s="349"/>
      <c r="I190" s="349"/>
      <c r="J190" s="349"/>
      <c r="K190" s="349"/>
      <c r="L190" s="349"/>
      <c r="M190" s="349"/>
      <c r="N190" s="349"/>
      <c r="O190" s="349"/>
      <c r="P190" s="349"/>
      <c r="Q190" s="349"/>
      <c r="R190" s="349"/>
      <c r="S190" s="349"/>
      <c r="T190" s="349"/>
      <c r="U190" s="759"/>
      <c r="V190" s="759"/>
      <c r="W190" s="759"/>
      <c r="X190" s="349"/>
      <c r="Y190" s="349"/>
      <c r="Z190" s="349"/>
      <c r="AA190" s="349"/>
      <c r="AB190" s="349"/>
      <c r="AC190" s="349"/>
      <c r="AD190" s="349"/>
      <c r="AE190" s="349"/>
      <c r="AF190" s="349"/>
      <c r="AG190" s="349"/>
      <c r="AH190" s="349"/>
      <c r="AI190" s="349"/>
      <c r="AJ190" s="349"/>
      <c r="AK190" s="349"/>
      <c r="AL190" s="349"/>
      <c r="AM190" s="349"/>
      <c r="AN190" s="349"/>
      <c r="AO190" s="349"/>
      <c r="AP190" s="349"/>
      <c r="AQ190" s="349"/>
      <c r="AR190" s="349"/>
      <c r="AS190" s="349"/>
      <c r="AT190" s="349"/>
      <c r="AU190" s="349"/>
      <c r="AV190" s="349"/>
      <c r="AW190" s="74"/>
      <c r="AX190" s="74"/>
      <c r="AY190" s="578"/>
      <c r="AZ190" s="74"/>
      <c r="BA190" s="74"/>
      <c r="BB190" s="578"/>
      <c r="BC190" s="74"/>
      <c r="BD190" s="74"/>
      <c r="BE190" s="578"/>
      <c r="BF190" s="74"/>
      <c r="BG190" s="74"/>
      <c r="BH190" s="578"/>
      <c r="BI190" s="74"/>
      <c r="BJ190" s="74"/>
      <c r="BK190" s="578"/>
      <c r="BL190" s="74"/>
      <c r="BM190" s="74"/>
      <c r="BN190" s="578"/>
      <c r="BO190" s="74"/>
      <c r="BP190" s="74"/>
      <c r="BQ190" s="578"/>
      <c r="BR190" s="1832"/>
      <c r="BS190" s="74"/>
      <c r="BT190" s="578"/>
      <c r="BU190" s="74"/>
      <c r="BV190" s="74"/>
      <c r="BW190" s="578"/>
      <c r="BX190" s="74"/>
      <c r="BY190" s="74"/>
      <c r="BZ190" s="578"/>
      <c r="CA190" s="74"/>
      <c r="CB190" s="74"/>
      <c r="CC190" s="578"/>
      <c r="CD190" s="74"/>
      <c r="CE190" s="74"/>
    </row>
    <row r="191" spans="1:83" outlineLevel="1">
      <c r="A191" s="746" t="s">
        <v>394</v>
      </c>
      <c r="B191" s="349" t="s">
        <v>344</v>
      </c>
      <c r="C191" s="350">
        <f t="shared" ref="C191:AM191" si="624">C193-C192</f>
        <v>12.674000000000003</v>
      </c>
      <c r="D191" s="350">
        <f t="shared" si="624"/>
        <v>13.47</v>
      </c>
      <c r="E191" s="350">
        <f>E193-E192</f>
        <v>6.56</v>
      </c>
      <c r="F191" s="350">
        <f t="shared" si="624"/>
        <v>20.03</v>
      </c>
      <c r="G191" s="350">
        <f t="shared" si="624"/>
        <v>22.026000000000003</v>
      </c>
      <c r="H191" s="350">
        <f t="shared" si="624"/>
        <v>9.8609999999999953</v>
      </c>
      <c r="I191" s="350">
        <f t="shared" si="624"/>
        <v>31.886999999999997</v>
      </c>
      <c r="J191" s="350">
        <f t="shared" si="624"/>
        <v>28.063000000000002</v>
      </c>
      <c r="K191" s="350">
        <f t="shared" si="624"/>
        <v>10.759999999999998</v>
      </c>
      <c r="L191" s="350">
        <f t="shared" si="624"/>
        <v>38.823</v>
      </c>
      <c r="M191" s="350">
        <f t="shared" si="624"/>
        <v>38.003999999999998</v>
      </c>
      <c r="N191" s="350">
        <f t="shared" si="624"/>
        <v>21.375000000000007</v>
      </c>
      <c r="O191" s="350">
        <f t="shared" si="624"/>
        <v>59.379000000000005</v>
      </c>
      <c r="P191" s="350">
        <f t="shared" si="624"/>
        <v>60.606999999999999</v>
      </c>
      <c r="Q191" s="350">
        <f t="shared" si="624"/>
        <v>33.402999999999992</v>
      </c>
      <c r="R191" s="350">
        <f t="shared" si="624"/>
        <v>94.009999999999991</v>
      </c>
      <c r="S191" s="350">
        <f t="shared" si="624"/>
        <v>85.42</v>
      </c>
      <c r="T191" s="350">
        <f t="shared" si="624"/>
        <v>50.072000000000003</v>
      </c>
      <c r="U191" s="350">
        <f t="shared" si="624"/>
        <v>135.49200000000002</v>
      </c>
      <c r="V191" s="350">
        <f t="shared" si="624"/>
        <v>108.742</v>
      </c>
      <c r="W191" s="350">
        <f t="shared" si="624"/>
        <v>60.859000000000009</v>
      </c>
      <c r="X191" s="350">
        <f t="shared" si="624"/>
        <v>169.601</v>
      </c>
      <c r="Y191" s="350">
        <f t="shared" si="624"/>
        <v>125.59399999999999</v>
      </c>
      <c r="Z191" s="350">
        <f t="shared" si="624"/>
        <v>66.387</v>
      </c>
      <c r="AA191" s="350">
        <f t="shared" si="624"/>
        <v>191.98099999999999</v>
      </c>
      <c r="AB191" s="350">
        <f t="shared" si="624"/>
        <v>113.81</v>
      </c>
      <c r="AC191" s="350">
        <f t="shared" si="624"/>
        <v>32.085000000000001</v>
      </c>
      <c r="AD191" s="350">
        <f t="shared" si="624"/>
        <v>148.37299999999999</v>
      </c>
      <c r="AE191" s="350">
        <f t="shared" si="624"/>
        <v>118.533</v>
      </c>
      <c r="AF191" s="350">
        <f t="shared" si="624"/>
        <v>49.51900000000002</v>
      </c>
      <c r="AG191" s="350">
        <f>AG193-AG192</f>
        <v>168.05200000000002</v>
      </c>
      <c r="AH191" s="350">
        <f>AH193-AH192</f>
        <v>128.98500000000001</v>
      </c>
      <c r="AI191" s="350">
        <f>AI193-AI192</f>
        <v>53.691999999999979</v>
      </c>
      <c r="AJ191" s="350">
        <f t="shared" si="624"/>
        <v>182.67699999999999</v>
      </c>
      <c r="AK191" s="350">
        <f>AK193-AK192</f>
        <v>127.07000000000001</v>
      </c>
      <c r="AL191" s="350">
        <f>AM191-AK191</f>
        <v>68.462000000000003</v>
      </c>
      <c r="AM191" s="350">
        <f t="shared" si="624"/>
        <v>195.53200000000001</v>
      </c>
      <c r="AN191" s="350">
        <f>AN193-AN192</f>
        <v>136.41399999999999</v>
      </c>
      <c r="AO191" s="350">
        <f>AO193-AO192</f>
        <v>81.425000000000011</v>
      </c>
      <c r="AP191" s="350">
        <f t="shared" ref="AP191:BW191" si="625">AP193-AP192</f>
        <v>217.839</v>
      </c>
      <c r="AQ191" s="350">
        <f>AQ193-AQ192</f>
        <v>179.4</v>
      </c>
      <c r="AR191" s="350">
        <f>AR193-AR192</f>
        <v>118</v>
      </c>
      <c r="AS191" s="350">
        <f t="shared" si="625"/>
        <v>297.39999999999998</v>
      </c>
      <c r="AT191" s="350">
        <f>AT193-AT192</f>
        <v>217.70000000000002</v>
      </c>
      <c r="AU191" s="350">
        <f>AU193-AU192</f>
        <v>116.79999999999993</v>
      </c>
      <c r="AV191" s="350">
        <f t="shared" si="625"/>
        <v>334.49999999999994</v>
      </c>
      <c r="AW191" s="118">
        <f>AW193-AW192</f>
        <v>229.9</v>
      </c>
      <c r="AX191" s="118">
        <f t="shared" ref="AX191" si="626">AX193-AX192</f>
        <v>129.4</v>
      </c>
      <c r="AY191" s="118">
        <f t="shared" si="625"/>
        <v>359.3</v>
      </c>
      <c r="AZ191" s="118">
        <f>AZ193-AZ192</f>
        <v>245.2</v>
      </c>
      <c r="BA191" s="118">
        <f>BA193-BA192</f>
        <v>222.40000000000003</v>
      </c>
      <c r="BB191" s="118">
        <f t="shared" si="625"/>
        <v>467.6</v>
      </c>
      <c r="BC191" s="118">
        <f>BC193-BC192</f>
        <v>450.5</v>
      </c>
      <c r="BD191" s="118">
        <f>BD193-BD192</f>
        <v>272.90000000000009</v>
      </c>
      <c r="BE191" s="118">
        <f t="shared" si="625"/>
        <v>723.4</v>
      </c>
      <c r="BF191" s="118">
        <f t="shared" ref="BF191:BG191" si="627">BF193-BF192</f>
        <v>410.5</v>
      </c>
      <c r="BG191" s="118">
        <f t="shared" si="627"/>
        <v>364.80000000000007</v>
      </c>
      <c r="BH191" s="118">
        <f t="shared" si="625"/>
        <v>775.3</v>
      </c>
      <c r="BI191" s="118">
        <f t="shared" si="625"/>
        <v>470.2</v>
      </c>
      <c r="BJ191" s="118">
        <f t="shared" si="625"/>
        <v>276.90000000000003</v>
      </c>
      <c r="BK191" s="118">
        <f t="shared" ref="BK191:BM191" si="628">BK193-BK192</f>
        <v>747.1</v>
      </c>
      <c r="BL191" s="118">
        <f t="shared" si="628"/>
        <v>377.3</v>
      </c>
      <c r="BM191" s="118">
        <f t="shared" si="628"/>
        <v>250.09999999999994</v>
      </c>
      <c r="BN191" s="118">
        <f t="shared" ref="BN191:BO191" si="629">BN193-BN192</f>
        <v>627.4</v>
      </c>
      <c r="BO191" s="112">
        <f t="shared" si="629"/>
        <v>408.70000000000005</v>
      </c>
      <c r="BP191" s="118">
        <f t="shared" si="625"/>
        <v>272.99999999999994</v>
      </c>
      <c r="BQ191" s="118">
        <f>BQ193-BQ192</f>
        <v>681.69999999999993</v>
      </c>
      <c r="BR191" s="1840">
        <f t="shared" ref="BR191:BS191" si="630">BR193-BR192</f>
        <v>437.8</v>
      </c>
      <c r="BS191" s="118">
        <f t="shared" si="630"/>
        <v>282.91302579560852</v>
      </c>
      <c r="BT191" s="118">
        <f t="shared" si="625"/>
        <v>720.71302579560847</v>
      </c>
      <c r="BU191" s="118">
        <f t="shared" si="625"/>
        <v>444.14743125448456</v>
      </c>
      <c r="BV191" s="118">
        <f t="shared" si="625"/>
        <v>287.50049943075419</v>
      </c>
      <c r="BW191" s="118">
        <f t="shared" si="625"/>
        <v>731.64793068523875</v>
      </c>
      <c r="BX191" s="118">
        <f t="shared" ref="BX191:CC191" si="631">BX193-BX192</f>
        <v>470.0537426405657</v>
      </c>
      <c r="BY191" s="118">
        <f t="shared" si="631"/>
        <v>298.89743524515973</v>
      </c>
      <c r="BZ191" s="118">
        <f t="shared" si="631"/>
        <v>768.95117788572543</v>
      </c>
      <c r="CA191" s="118">
        <f t="shared" si="631"/>
        <v>492.56014734362651</v>
      </c>
      <c r="CB191" s="118">
        <f t="shared" si="631"/>
        <v>313.58762990158471</v>
      </c>
      <c r="CC191" s="118">
        <f t="shared" si="631"/>
        <v>806.14777724521127</v>
      </c>
      <c r="CD191" s="74"/>
      <c r="CE191" s="74"/>
    </row>
    <row r="192" spans="1:83" outlineLevel="1">
      <c r="A192" s="746"/>
      <c r="B192" s="349" t="s">
        <v>345</v>
      </c>
      <c r="C192" s="350">
        <f t="shared" ref="C192:BB192" si="632">C62</f>
        <v>0</v>
      </c>
      <c r="D192" s="350">
        <f t="shared" si="632"/>
        <v>0</v>
      </c>
      <c r="E192" s="350">
        <f t="shared" si="632"/>
        <v>0</v>
      </c>
      <c r="F192" s="350">
        <f t="shared" si="632"/>
        <v>0</v>
      </c>
      <c r="G192" s="350">
        <f t="shared" si="632"/>
        <v>0</v>
      </c>
      <c r="H192" s="350">
        <f t="shared" si="632"/>
        <v>0</v>
      </c>
      <c r="I192" s="350">
        <f t="shared" si="632"/>
        <v>0</v>
      </c>
      <c r="J192" s="350">
        <f t="shared" si="632"/>
        <v>0</v>
      </c>
      <c r="K192" s="350">
        <f t="shared" si="632"/>
        <v>0</v>
      </c>
      <c r="L192" s="350">
        <f t="shared" si="632"/>
        <v>0</v>
      </c>
      <c r="M192" s="350">
        <f t="shared" si="632"/>
        <v>0</v>
      </c>
      <c r="N192" s="350">
        <f t="shared" si="632"/>
        <v>0</v>
      </c>
      <c r="O192" s="350">
        <f t="shared" si="632"/>
        <v>0</v>
      </c>
      <c r="P192" s="350">
        <f t="shared" si="632"/>
        <v>0</v>
      </c>
      <c r="Q192" s="350">
        <f t="shared" si="632"/>
        <v>0</v>
      </c>
      <c r="R192" s="350">
        <f t="shared" si="632"/>
        <v>0</v>
      </c>
      <c r="S192" s="350">
        <f t="shared" si="632"/>
        <v>0</v>
      </c>
      <c r="T192" s="350">
        <f t="shared" si="632"/>
        <v>0</v>
      </c>
      <c r="U192" s="350">
        <f t="shared" si="632"/>
        <v>0</v>
      </c>
      <c r="V192" s="350">
        <f t="shared" si="632"/>
        <v>0</v>
      </c>
      <c r="W192" s="350">
        <f t="shared" si="632"/>
        <v>0</v>
      </c>
      <c r="X192" s="350">
        <f t="shared" si="632"/>
        <v>0</v>
      </c>
      <c r="Y192" s="350">
        <f t="shared" si="632"/>
        <v>0</v>
      </c>
      <c r="Z192" s="350">
        <f t="shared" si="632"/>
        <v>-33.4</v>
      </c>
      <c r="AA192" s="350">
        <f t="shared" si="632"/>
        <v>-33.4</v>
      </c>
      <c r="AB192" s="350">
        <f t="shared" si="632"/>
        <v>0</v>
      </c>
      <c r="AC192" s="350">
        <f t="shared" si="632"/>
        <v>0</v>
      </c>
      <c r="AD192" s="350">
        <f t="shared" si="632"/>
        <v>0</v>
      </c>
      <c r="AE192" s="350">
        <f t="shared" si="632"/>
        <v>0</v>
      </c>
      <c r="AF192" s="350">
        <f t="shared" si="632"/>
        <v>0</v>
      </c>
      <c r="AG192" s="350">
        <f t="shared" si="632"/>
        <v>0</v>
      </c>
      <c r="AH192" s="350">
        <f>AH62</f>
        <v>0</v>
      </c>
      <c r="AI192" s="350">
        <f>AI62</f>
        <v>0</v>
      </c>
      <c r="AJ192" s="350">
        <f t="shared" si="632"/>
        <v>0</v>
      </c>
      <c r="AK192" s="350">
        <f>AK62</f>
        <v>0</v>
      </c>
      <c r="AL192" s="350">
        <f>AL62</f>
        <v>0</v>
      </c>
      <c r="AM192" s="350">
        <f t="shared" si="632"/>
        <v>0</v>
      </c>
      <c r="AN192" s="350">
        <f>AN62</f>
        <v>0</v>
      </c>
      <c r="AO192" s="350">
        <f>AO62</f>
        <v>0</v>
      </c>
      <c r="AP192" s="350">
        <f t="shared" si="632"/>
        <v>0</v>
      </c>
      <c r="AQ192" s="350">
        <f>AQ62</f>
        <v>-15.3</v>
      </c>
      <c r="AR192" s="350">
        <f>AR62</f>
        <v>-22.900000000000002</v>
      </c>
      <c r="AS192" s="748">
        <f t="shared" si="632"/>
        <v>-38.200000000000003</v>
      </c>
      <c r="AT192" s="350">
        <f>AT62</f>
        <v>0</v>
      </c>
      <c r="AU192" s="350">
        <f>AU62</f>
        <v>0</v>
      </c>
      <c r="AV192" s="748">
        <f>AV62</f>
        <v>0</v>
      </c>
      <c r="AW192" s="118">
        <f>AW62</f>
        <v>0</v>
      </c>
      <c r="AX192" s="118">
        <f>AX62</f>
        <v>0</v>
      </c>
      <c r="AY192" s="264">
        <f t="shared" si="632"/>
        <v>0</v>
      </c>
      <c r="AZ192" s="118">
        <f>AZ62</f>
        <v>0</v>
      </c>
      <c r="BA192" s="118">
        <f>BB192</f>
        <v>-19.7</v>
      </c>
      <c r="BB192" s="264">
        <f t="shared" si="632"/>
        <v>-19.7</v>
      </c>
      <c r="BC192" s="264">
        <f t="shared" ref="BC192:BW192" si="633">BC62</f>
        <v>0</v>
      </c>
      <c r="BD192" s="264">
        <f t="shared" si="633"/>
        <v>0</v>
      </c>
      <c r="BE192" s="264">
        <f t="shared" si="633"/>
        <v>0</v>
      </c>
      <c r="BF192" s="264">
        <f t="shared" si="633"/>
        <v>0</v>
      </c>
      <c r="BG192" s="264">
        <f t="shared" si="633"/>
        <v>0</v>
      </c>
      <c r="BH192" s="264">
        <f t="shared" si="633"/>
        <v>0</v>
      </c>
      <c r="BI192" s="264">
        <f t="shared" ref="BI192" si="634">BI62</f>
        <v>0</v>
      </c>
      <c r="BJ192" s="264">
        <f t="shared" si="633"/>
        <v>0</v>
      </c>
      <c r="BK192" s="264">
        <f t="shared" ref="BK192:BM192" si="635">BK62</f>
        <v>0</v>
      </c>
      <c r="BL192" s="264">
        <f t="shared" si="635"/>
        <v>0</v>
      </c>
      <c r="BM192" s="264">
        <f t="shared" si="635"/>
        <v>0</v>
      </c>
      <c r="BN192" s="264">
        <f t="shared" ref="BN192:BO192" si="636">BN62</f>
        <v>0</v>
      </c>
      <c r="BO192" s="264">
        <f t="shared" si="636"/>
        <v>0</v>
      </c>
      <c r="BP192" s="264">
        <f>+BQ192</f>
        <v>-13.7</v>
      </c>
      <c r="BQ192" s="264">
        <f>BQ62</f>
        <v>-13.7</v>
      </c>
      <c r="BR192" s="1845">
        <f t="shared" si="633"/>
        <v>0</v>
      </c>
      <c r="BS192" s="264">
        <f t="shared" si="633"/>
        <v>0</v>
      </c>
      <c r="BT192" s="264">
        <f t="shared" si="633"/>
        <v>0</v>
      </c>
      <c r="BU192" s="264">
        <f t="shared" si="633"/>
        <v>0</v>
      </c>
      <c r="BV192" s="264">
        <f t="shared" si="633"/>
        <v>0</v>
      </c>
      <c r="BW192" s="264">
        <f t="shared" si="633"/>
        <v>0</v>
      </c>
      <c r="BX192" s="264">
        <f t="shared" ref="BX192:CC192" si="637">BX62</f>
        <v>0</v>
      </c>
      <c r="BY192" s="264">
        <f t="shared" si="637"/>
        <v>0</v>
      </c>
      <c r="BZ192" s="264">
        <f t="shared" si="637"/>
        <v>0</v>
      </c>
      <c r="CA192" s="264">
        <f t="shared" si="637"/>
        <v>0</v>
      </c>
      <c r="CB192" s="264">
        <f t="shared" si="637"/>
        <v>0</v>
      </c>
      <c r="CC192" s="264">
        <f t="shared" si="637"/>
        <v>0</v>
      </c>
      <c r="CD192" s="74"/>
      <c r="CE192" s="74"/>
    </row>
    <row r="193" spans="1:83" outlineLevel="1">
      <c r="A193" s="746"/>
      <c r="B193" s="536" t="s">
        <v>232</v>
      </c>
      <c r="C193" s="761">
        <f t="shared" ref="C193:BB193" si="638">C73</f>
        <v>12.674000000000003</v>
      </c>
      <c r="D193" s="761">
        <f t="shared" si="638"/>
        <v>13.47</v>
      </c>
      <c r="E193" s="761">
        <f t="shared" si="638"/>
        <v>6.56</v>
      </c>
      <c r="F193" s="761">
        <f t="shared" si="638"/>
        <v>20.03</v>
      </c>
      <c r="G193" s="761">
        <f t="shared" si="638"/>
        <v>22.026000000000003</v>
      </c>
      <c r="H193" s="761">
        <f t="shared" si="638"/>
        <v>9.8609999999999953</v>
      </c>
      <c r="I193" s="761">
        <f t="shared" si="638"/>
        <v>31.886999999999997</v>
      </c>
      <c r="J193" s="761">
        <f t="shared" si="638"/>
        <v>28.063000000000002</v>
      </c>
      <c r="K193" s="761">
        <f t="shared" si="638"/>
        <v>10.759999999999998</v>
      </c>
      <c r="L193" s="761">
        <f t="shared" si="638"/>
        <v>38.823</v>
      </c>
      <c r="M193" s="761">
        <f t="shared" si="638"/>
        <v>38.003999999999998</v>
      </c>
      <c r="N193" s="761">
        <f t="shared" si="638"/>
        <v>21.375000000000007</v>
      </c>
      <c r="O193" s="761">
        <f t="shared" si="638"/>
        <v>59.379000000000005</v>
      </c>
      <c r="P193" s="761">
        <f t="shared" si="638"/>
        <v>60.606999999999999</v>
      </c>
      <c r="Q193" s="761">
        <f t="shared" si="638"/>
        <v>33.402999999999992</v>
      </c>
      <c r="R193" s="761">
        <f t="shared" si="638"/>
        <v>94.009999999999991</v>
      </c>
      <c r="S193" s="761">
        <f t="shared" si="638"/>
        <v>85.42</v>
      </c>
      <c r="T193" s="761">
        <f t="shared" si="638"/>
        <v>50.072000000000003</v>
      </c>
      <c r="U193" s="761">
        <f t="shared" si="638"/>
        <v>135.49200000000002</v>
      </c>
      <c r="V193" s="761">
        <f t="shared" si="638"/>
        <v>108.742</v>
      </c>
      <c r="W193" s="761">
        <f t="shared" si="638"/>
        <v>60.859000000000009</v>
      </c>
      <c r="X193" s="761">
        <f t="shared" si="638"/>
        <v>169.601</v>
      </c>
      <c r="Y193" s="761">
        <f t="shared" si="638"/>
        <v>125.59399999999999</v>
      </c>
      <c r="Z193" s="761">
        <f t="shared" si="638"/>
        <v>32.987000000000009</v>
      </c>
      <c r="AA193" s="761">
        <f t="shared" si="638"/>
        <v>158.58099999999999</v>
      </c>
      <c r="AB193" s="761">
        <f t="shared" si="638"/>
        <v>113.81</v>
      </c>
      <c r="AC193" s="761">
        <f t="shared" si="638"/>
        <v>32.085000000000001</v>
      </c>
      <c r="AD193" s="761">
        <f t="shared" si="638"/>
        <v>148.37299999999999</v>
      </c>
      <c r="AE193" s="761">
        <f t="shared" si="638"/>
        <v>118.533</v>
      </c>
      <c r="AF193" s="761">
        <f t="shared" si="638"/>
        <v>49.51900000000002</v>
      </c>
      <c r="AG193" s="761">
        <f t="shared" si="638"/>
        <v>168.05200000000002</v>
      </c>
      <c r="AH193" s="761">
        <f>AH73</f>
        <v>128.98500000000001</v>
      </c>
      <c r="AI193" s="761">
        <f>AI73</f>
        <v>53.691999999999979</v>
      </c>
      <c r="AJ193" s="761">
        <f t="shared" si="638"/>
        <v>182.67699999999999</v>
      </c>
      <c r="AK193" s="761">
        <f>AK73</f>
        <v>127.07000000000001</v>
      </c>
      <c r="AL193" s="761">
        <f>AL73</f>
        <v>68.462000000000003</v>
      </c>
      <c r="AM193" s="761">
        <f t="shared" si="638"/>
        <v>195.53200000000001</v>
      </c>
      <c r="AN193" s="761">
        <f>AN73</f>
        <v>136.41399999999999</v>
      </c>
      <c r="AO193" s="761">
        <f>AO73</f>
        <v>81.425000000000011</v>
      </c>
      <c r="AP193" s="761">
        <f t="shared" si="638"/>
        <v>217.839</v>
      </c>
      <c r="AQ193" s="761">
        <f>AQ73</f>
        <v>164.1</v>
      </c>
      <c r="AR193" s="761">
        <f>AR73</f>
        <v>95.1</v>
      </c>
      <c r="AS193" s="761">
        <f t="shared" si="638"/>
        <v>259.2</v>
      </c>
      <c r="AT193" s="761">
        <f>AT73</f>
        <v>217.70000000000002</v>
      </c>
      <c r="AU193" s="761">
        <f>AU73</f>
        <v>116.79999999999993</v>
      </c>
      <c r="AV193" s="761">
        <f>AV73</f>
        <v>334.49999999999994</v>
      </c>
      <c r="AW193" s="119">
        <f>AW73</f>
        <v>229.9</v>
      </c>
      <c r="AX193" s="119">
        <f>AX73</f>
        <v>129.4</v>
      </c>
      <c r="AY193" s="119">
        <f t="shared" si="638"/>
        <v>359.3</v>
      </c>
      <c r="AZ193" s="119">
        <f>AZ73</f>
        <v>245.2</v>
      </c>
      <c r="BA193" s="119">
        <f>BA73</f>
        <v>202.70000000000005</v>
      </c>
      <c r="BB193" s="119">
        <f t="shared" si="638"/>
        <v>447.90000000000003</v>
      </c>
      <c r="BC193" s="119">
        <f>BC73</f>
        <v>450.5</v>
      </c>
      <c r="BD193" s="119">
        <f>BD73</f>
        <v>272.90000000000009</v>
      </c>
      <c r="BE193" s="119">
        <f t="shared" ref="BE193:BW193" si="639">BE73</f>
        <v>723.4</v>
      </c>
      <c r="BF193" s="119">
        <f t="shared" ref="BF193:BG193" si="640">BF73</f>
        <v>410.5</v>
      </c>
      <c r="BG193" s="119">
        <f t="shared" si="640"/>
        <v>364.80000000000007</v>
      </c>
      <c r="BH193" s="119">
        <f t="shared" si="639"/>
        <v>775.3</v>
      </c>
      <c r="BI193" s="119">
        <f t="shared" si="639"/>
        <v>470.2</v>
      </c>
      <c r="BJ193" s="119">
        <f t="shared" si="639"/>
        <v>276.90000000000003</v>
      </c>
      <c r="BK193" s="119">
        <f t="shared" ref="BK193:BM193" si="641">BK73</f>
        <v>747.1</v>
      </c>
      <c r="BL193" s="119">
        <f t="shared" si="641"/>
        <v>377.3</v>
      </c>
      <c r="BM193" s="119">
        <f t="shared" si="641"/>
        <v>250.09999999999994</v>
      </c>
      <c r="BN193" s="119">
        <f t="shared" ref="BN193:BO193" si="642">BN73</f>
        <v>627.4</v>
      </c>
      <c r="BO193" s="119">
        <f t="shared" si="642"/>
        <v>408.70000000000005</v>
      </c>
      <c r="BP193" s="119">
        <f>BP73</f>
        <v>259.29999999999995</v>
      </c>
      <c r="BQ193" s="119">
        <f t="shared" si="639"/>
        <v>667.99999999999989</v>
      </c>
      <c r="BR193" s="1864">
        <f t="shared" ref="BR193:BS193" si="643">BR73</f>
        <v>437.8</v>
      </c>
      <c r="BS193" s="119">
        <f t="shared" si="643"/>
        <v>282.91302579560852</v>
      </c>
      <c r="BT193" s="119">
        <f t="shared" si="639"/>
        <v>720.71302579560847</v>
      </c>
      <c r="BU193" s="119">
        <f t="shared" si="639"/>
        <v>444.14743125448456</v>
      </c>
      <c r="BV193" s="119">
        <f t="shared" si="639"/>
        <v>287.50049943075419</v>
      </c>
      <c r="BW193" s="119">
        <f t="shared" si="639"/>
        <v>731.64793068523875</v>
      </c>
      <c r="BX193" s="119">
        <f t="shared" ref="BX193:CC193" si="644">BX73</f>
        <v>470.0537426405657</v>
      </c>
      <c r="BY193" s="119">
        <f t="shared" si="644"/>
        <v>298.89743524515973</v>
      </c>
      <c r="BZ193" s="119">
        <f t="shared" si="644"/>
        <v>768.95117788572543</v>
      </c>
      <c r="CA193" s="119">
        <f t="shared" si="644"/>
        <v>492.56014734362651</v>
      </c>
      <c r="CB193" s="119">
        <f t="shared" si="644"/>
        <v>313.58762990158471</v>
      </c>
      <c r="CC193" s="119">
        <f t="shared" si="644"/>
        <v>806.14777724521127</v>
      </c>
      <c r="CD193" s="94"/>
      <c r="CE193" s="94"/>
    </row>
    <row r="194" spans="1:83" outlineLevel="1">
      <c r="A194" s="746"/>
      <c r="B194" s="349"/>
      <c r="C194" s="349"/>
      <c r="D194" s="349"/>
      <c r="E194" s="349"/>
      <c r="F194" s="349"/>
      <c r="G194" s="349"/>
      <c r="H194" s="349"/>
      <c r="I194" s="349"/>
      <c r="J194" s="349"/>
      <c r="K194" s="349"/>
      <c r="L194" s="349"/>
      <c r="M194" s="349"/>
      <c r="N194" s="349"/>
      <c r="O194" s="349"/>
      <c r="P194" s="349"/>
      <c r="Q194" s="349"/>
      <c r="R194" s="349"/>
      <c r="S194" s="349"/>
      <c r="T194" s="349"/>
      <c r="U194" s="349"/>
      <c r="V194" s="349"/>
      <c r="W194" s="349"/>
      <c r="X194" s="438"/>
      <c r="Y194" s="349"/>
      <c r="Z194" s="349"/>
      <c r="AA194" s="349"/>
      <c r="AB194" s="349"/>
      <c r="AC194" s="349"/>
      <c r="AD194" s="349"/>
      <c r="AE194" s="349"/>
      <c r="AF194" s="349"/>
      <c r="AG194" s="349"/>
      <c r="AH194" s="349"/>
      <c r="AI194" s="349"/>
      <c r="AJ194" s="349"/>
      <c r="AK194" s="349"/>
      <c r="AL194" s="349"/>
      <c r="AM194" s="349"/>
      <c r="AN194" s="349"/>
      <c r="AO194" s="349"/>
      <c r="AP194" s="349"/>
      <c r="AQ194" s="349"/>
      <c r="AR194" s="349"/>
      <c r="AS194" s="349"/>
      <c r="AT194" s="349"/>
      <c r="AU194" s="349"/>
      <c r="AV194" s="349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1832"/>
      <c r="BS194" s="74"/>
      <c r="BT194" s="74"/>
      <c r="BU194" s="74"/>
      <c r="BV194" s="74"/>
      <c r="BW194" s="74"/>
      <c r="BX194" s="74"/>
      <c r="BY194" s="74"/>
      <c r="BZ194" s="74"/>
      <c r="CA194" s="74"/>
      <c r="CB194" s="74"/>
      <c r="CC194" s="74"/>
      <c r="CD194" s="74"/>
      <c r="CE194" s="74"/>
    </row>
    <row r="195" spans="1:83" outlineLevel="1">
      <c r="A195" s="746"/>
      <c r="B195" s="349"/>
      <c r="C195" s="349"/>
      <c r="D195" s="756"/>
      <c r="E195" s="756"/>
      <c r="F195" s="349"/>
      <c r="G195" s="756"/>
      <c r="H195" s="756"/>
      <c r="I195" s="349"/>
      <c r="J195" s="756"/>
      <c r="K195" s="756"/>
      <c r="L195" s="349"/>
      <c r="M195" s="756"/>
      <c r="N195" s="756"/>
      <c r="O195" s="349"/>
      <c r="P195" s="756"/>
      <c r="Q195" s="756"/>
      <c r="R195" s="349"/>
      <c r="S195" s="756"/>
      <c r="T195" s="756"/>
      <c r="U195" s="349"/>
      <c r="V195" s="756"/>
      <c r="W195" s="756"/>
      <c r="X195" s="349"/>
      <c r="Y195" s="756"/>
      <c r="Z195" s="756"/>
      <c r="AA195" s="349"/>
      <c r="AB195" s="756"/>
      <c r="AC195" s="756"/>
      <c r="AD195" s="349"/>
      <c r="AE195" s="756"/>
      <c r="AF195" s="756"/>
      <c r="AG195" s="438"/>
      <c r="AH195" s="756"/>
      <c r="AI195" s="756"/>
      <c r="AJ195" s="756"/>
      <c r="AK195" s="756"/>
      <c r="AL195" s="756"/>
      <c r="AM195" s="756"/>
      <c r="AN195" s="756"/>
      <c r="AO195" s="756"/>
      <c r="AP195" s="756"/>
      <c r="AQ195" s="756"/>
      <c r="AR195" s="756"/>
      <c r="AS195" s="756"/>
      <c r="AT195" s="756"/>
      <c r="AU195" s="756"/>
      <c r="AV195" s="756"/>
      <c r="AW195" s="108"/>
      <c r="AX195" s="108"/>
      <c r="AY195" s="108"/>
      <c r="AZ195" s="108"/>
      <c r="BA195" s="108"/>
      <c r="BB195" s="108"/>
      <c r="BC195" s="108"/>
      <c r="BD195" s="108"/>
      <c r="BE195" s="756">
        <f t="shared" ref="BE195" si="645">+BE196-BD196-BC196</f>
        <v>2.3331075476914975</v>
      </c>
      <c r="BF195" s="108"/>
      <c r="BG195" s="108"/>
      <c r="BH195" s="756">
        <f t="shared" ref="BH195" si="646">+BH196-BG196-BF196</f>
        <v>2.7803817876951058</v>
      </c>
      <c r="BI195" s="108"/>
      <c r="BJ195" s="108"/>
      <c r="BK195" s="756">
        <f t="shared" ref="BK195" si="647">+BK196-BJ196-BI196</f>
        <v>0</v>
      </c>
      <c r="BL195" s="108"/>
      <c r="BM195" s="108"/>
      <c r="BN195" s="756">
        <f t="shared" ref="BN195" si="648">+BN196-BM196-BL196</f>
        <v>0</v>
      </c>
      <c r="BO195" s="108"/>
      <c r="BP195" s="108"/>
      <c r="BQ195" s="108"/>
      <c r="BR195" s="1865"/>
      <c r="BS195" s="108"/>
      <c r="BT195" s="108"/>
      <c r="BU195" s="108"/>
      <c r="BV195" s="108"/>
      <c r="BW195" s="108"/>
      <c r="BX195" s="108"/>
      <c r="BY195" s="108"/>
      <c r="BZ195" s="108"/>
      <c r="CA195" s="108"/>
      <c r="CB195" s="108"/>
      <c r="CC195" s="108"/>
      <c r="CD195" s="74"/>
      <c r="CE195" s="74"/>
    </row>
    <row r="196" spans="1:83" outlineLevel="1">
      <c r="A196" s="746" t="s">
        <v>865</v>
      </c>
      <c r="B196" s="349" t="s">
        <v>346</v>
      </c>
      <c r="C196" s="350">
        <f t="shared" ref="C196:Y196" si="649">C198-C197</f>
        <v>-3.7160000000000002</v>
      </c>
      <c r="D196" s="350">
        <f t="shared" si="649"/>
        <v>-3.97</v>
      </c>
      <c r="E196" s="350">
        <f t="shared" si="649"/>
        <v>-1.9289999999999998</v>
      </c>
      <c r="F196" s="350">
        <f t="shared" si="649"/>
        <v>-5.899</v>
      </c>
      <c r="G196" s="350">
        <f t="shared" si="649"/>
        <v>-6.6479999999999997</v>
      </c>
      <c r="H196" s="350">
        <f t="shared" si="649"/>
        <v>-2.7940000000000005</v>
      </c>
      <c r="I196" s="350">
        <f t="shared" si="649"/>
        <v>-9.4420000000000002</v>
      </c>
      <c r="J196" s="350">
        <f t="shared" si="649"/>
        <v>-8.5079999999999991</v>
      </c>
      <c r="K196" s="350">
        <f t="shared" si="649"/>
        <v>-3.4460000000000015</v>
      </c>
      <c r="L196" s="350">
        <f t="shared" si="649"/>
        <v>-11.954000000000001</v>
      </c>
      <c r="M196" s="350">
        <f t="shared" si="649"/>
        <v>-11.555999999999999</v>
      </c>
      <c r="N196" s="350">
        <f>N198-N197</f>
        <v>-6.447000000000001</v>
      </c>
      <c r="O196" s="350">
        <f t="shared" si="649"/>
        <v>-18.003</v>
      </c>
      <c r="P196" s="350">
        <f t="shared" si="649"/>
        <v>-18.324999999999999</v>
      </c>
      <c r="Q196" s="350">
        <f>Q198-Q197</f>
        <v>-10.55</v>
      </c>
      <c r="R196" s="350">
        <f t="shared" si="649"/>
        <v>-28.875</v>
      </c>
      <c r="S196" s="350">
        <f t="shared" si="649"/>
        <v>-26.344000000000001</v>
      </c>
      <c r="T196" s="350">
        <f>U196-S196</f>
        <v>-14.710999999999999</v>
      </c>
      <c r="U196" s="350">
        <f t="shared" si="649"/>
        <v>-41.055</v>
      </c>
      <c r="V196" s="350">
        <f t="shared" si="649"/>
        <v>-32.695</v>
      </c>
      <c r="W196" s="350">
        <f>X196-V196</f>
        <v>-18.253999999999998</v>
      </c>
      <c r="X196" s="350">
        <f t="shared" si="649"/>
        <v>-50.948999999999998</v>
      </c>
      <c r="Y196" s="350">
        <f t="shared" si="649"/>
        <v>-37.706000000000003</v>
      </c>
      <c r="Z196" s="350">
        <f>Z198-Z197</f>
        <v>-11.18</v>
      </c>
      <c r="AA196" s="350">
        <f t="shared" ref="AA196:AP196" si="650">AA198-AA197</f>
        <v>-57.585999999999999</v>
      </c>
      <c r="AB196" s="350">
        <f t="shared" si="650"/>
        <v>-34.173000000000002</v>
      </c>
      <c r="AC196" s="350">
        <f>AD196-AB196</f>
        <v>-9.5589999999999975</v>
      </c>
      <c r="AD196" s="350">
        <f t="shared" si="650"/>
        <v>-43.731999999999999</v>
      </c>
      <c r="AE196" s="350">
        <f t="shared" si="650"/>
        <v>-36.463000000000001</v>
      </c>
      <c r="AF196" s="350">
        <f>AG196-AE196</f>
        <v>-14.957000000000001</v>
      </c>
      <c r="AG196" s="350">
        <f t="shared" si="650"/>
        <v>-51.42</v>
      </c>
      <c r="AH196" s="350">
        <f>AH198-AH197</f>
        <v>-38.58</v>
      </c>
      <c r="AI196" s="350">
        <f>AI198-AI197</f>
        <v>-15.649999999999999</v>
      </c>
      <c r="AJ196" s="350">
        <f t="shared" si="650"/>
        <v>-54.23</v>
      </c>
      <c r="AK196" s="350">
        <f>AK198-AK197</f>
        <v>-38.531999999999996</v>
      </c>
      <c r="AL196" s="350">
        <f>AM196-AK196</f>
        <v>-20.489000000000004</v>
      </c>
      <c r="AM196" s="350">
        <f t="shared" si="650"/>
        <v>-59.021000000000001</v>
      </c>
      <c r="AN196" s="350">
        <f>AN198-AN197</f>
        <v>-41.218000000000004</v>
      </c>
      <c r="AO196" s="350">
        <f>-AO191*AO201</f>
        <v>-24.427500000000002</v>
      </c>
      <c r="AP196" s="350">
        <f t="shared" si="650"/>
        <v>-65.658000000000001</v>
      </c>
      <c r="AQ196" s="770">
        <f>AQ198-AQ197</f>
        <v>-54</v>
      </c>
      <c r="AR196" s="770">
        <f>-AR191*AR201</f>
        <v>-35.518394648829428</v>
      </c>
      <c r="AS196" s="350">
        <f t="shared" ref="AS196:BH196" si="651">AS198-AS197</f>
        <v>-89.638168999999991</v>
      </c>
      <c r="AT196" s="770">
        <f>AT198-AT197</f>
        <v>-66</v>
      </c>
      <c r="AU196" s="770">
        <f>-AU191*AU201</f>
        <v>-35.157190635451478</v>
      </c>
      <c r="AV196" s="770">
        <f t="shared" si="651"/>
        <v>-101.3</v>
      </c>
      <c r="AW196" s="713">
        <f>AW198-AW197</f>
        <v>-69.8</v>
      </c>
      <c r="AX196" s="713">
        <f>AY196-AW196</f>
        <v>-39.700000000000003</v>
      </c>
      <c r="AY196" s="770">
        <f t="shared" si="651"/>
        <v>-109.5</v>
      </c>
      <c r="AZ196" s="770">
        <f>AZ198-AZ197</f>
        <v>-74.599999999999994</v>
      </c>
      <c r="BA196" s="770">
        <f>BB196-AZ196</f>
        <v>-66.799999999999983</v>
      </c>
      <c r="BB196" s="770">
        <f t="shared" si="651"/>
        <v>-141.39999999999998</v>
      </c>
      <c r="BC196" s="770">
        <f>BC198-BC197</f>
        <v>-132.80000000000001</v>
      </c>
      <c r="BD196" s="770">
        <f>-BD191*BD201</f>
        <v>-79.033107547691486</v>
      </c>
      <c r="BE196" s="770">
        <f t="shared" si="651"/>
        <v>-209.5</v>
      </c>
      <c r="BF196" s="770">
        <f>BF198-BF197</f>
        <v>-122.6</v>
      </c>
      <c r="BG196" s="770">
        <f>-BG191*BG201</f>
        <v>-106.48038178769512</v>
      </c>
      <c r="BH196" s="770">
        <f t="shared" si="651"/>
        <v>-226.3</v>
      </c>
      <c r="BI196" s="770">
        <f>BI198-BI197</f>
        <v>-140.30000000000001</v>
      </c>
      <c r="BJ196" s="770">
        <f>BK196-BI196</f>
        <v>-82.199999999999989</v>
      </c>
      <c r="BK196" s="770">
        <f t="shared" ref="BK196" si="652">BK198-BK197</f>
        <v>-222.5</v>
      </c>
      <c r="BL196" s="112">
        <f>BL198-BL197</f>
        <v>-113</v>
      </c>
      <c r="BM196" s="770">
        <f>BN196-BL196</f>
        <v>-75.599999999999994</v>
      </c>
      <c r="BN196" s="770">
        <f t="shared" ref="BN196" si="653">BN198-BN197</f>
        <v>-188.6</v>
      </c>
      <c r="BO196" s="112">
        <f>BO198-BO197</f>
        <v>-123.2</v>
      </c>
      <c r="BP196" s="350">
        <f>BQ196-BO196</f>
        <v>-81.999999999999986</v>
      </c>
      <c r="BQ196" s="118">
        <f>+BQ198</f>
        <v>-205.2</v>
      </c>
      <c r="BR196" s="1841">
        <f>BR198-BR197</f>
        <v>-131.9</v>
      </c>
      <c r="BS196" s="350">
        <f>BT196-BR196</f>
        <v>-85.043395765378989</v>
      </c>
      <c r="BT196" s="350">
        <f>-BT191*BT201</f>
        <v>-216.94339576537899</v>
      </c>
      <c r="BU196" s="770">
        <f>-BU193*BU201</f>
        <v>-133.24422937634537</v>
      </c>
      <c r="BV196" s="350">
        <f>BW196-BU196</f>
        <v>-86.990705898131665</v>
      </c>
      <c r="BW196" s="350">
        <f>-BW191*BW201</f>
        <v>-220.23493527447704</v>
      </c>
      <c r="BX196" s="770">
        <f>-BX193*BX201</f>
        <v>-141.01612279216971</v>
      </c>
      <c r="BY196" s="350">
        <f>BZ196-BX196</f>
        <v>-90.447544073241545</v>
      </c>
      <c r="BZ196" s="350">
        <f>-BZ191*BZ201</f>
        <v>-231.46366686541126</v>
      </c>
      <c r="CA196" s="770">
        <f>-CA193*CA201</f>
        <v>-147.76804420308795</v>
      </c>
      <c r="CB196" s="350">
        <f>CC196-CA196</f>
        <v>-94.892251954631519</v>
      </c>
      <c r="CC196" s="350">
        <f>-CC191*CC201</f>
        <v>-242.66029615771947</v>
      </c>
      <c r="CD196" s="74"/>
      <c r="CE196" s="74"/>
    </row>
    <row r="197" spans="1:83" outlineLevel="1">
      <c r="A197" s="746"/>
      <c r="B197" s="349" t="s">
        <v>347</v>
      </c>
      <c r="C197" s="773"/>
      <c r="D197" s="774"/>
      <c r="E197" s="774"/>
      <c r="F197" s="773"/>
      <c r="G197" s="774"/>
      <c r="H197" s="774"/>
      <c r="I197" s="773"/>
      <c r="J197" s="774"/>
      <c r="K197" s="774"/>
      <c r="L197" s="773"/>
      <c r="M197" s="774"/>
      <c r="N197" s="774"/>
      <c r="O197" s="773"/>
      <c r="P197" s="774"/>
      <c r="Q197" s="774"/>
      <c r="R197" s="773"/>
      <c r="S197" s="774"/>
      <c r="T197" s="774"/>
      <c r="U197" s="773"/>
      <c r="V197" s="774"/>
      <c r="W197" s="774"/>
      <c r="X197" s="773"/>
      <c r="Y197" s="774"/>
      <c r="Z197" s="774"/>
      <c r="AA197" s="775">
        <f>33.4-24.7</f>
        <v>8.6999999999999993</v>
      </c>
      <c r="AB197" s="774"/>
      <c r="AC197" s="774"/>
      <c r="AD197" s="775"/>
      <c r="AE197" s="774"/>
      <c r="AF197" s="774">
        <f>AG197-AE197</f>
        <v>0</v>
      </c>
      <c r="AG197" s="775"/>
      <c r="AH197" s="774"/>
      <c r="AI197" s="774"/>
      <c r="AJ197" s="775">
        <v>0</v>
      </c>
      <c r="AK197" s="774">
        <f>AK192*AK202</f>
        <v>0</v>
      </c>
      <c r="AL197" s="774"/>
      <c r="AM197" s="775">
        <v>0</v>
      </c>
      <c r="AN197" s="774"/>
      <c r="AO197" s="774"/>
      <c r="AP197" s="775">
        <v>0</v>
      </c>
      <c r="AQ197" s="774">
        <v>0.3</v>
      </c>
      <c r="AR197" s="774">
        <f>AS197-AQ197</f>
        <v>2.5381689999999999</v>
      </c>
      <c r="AS197" s="775">
        <f>0.3+2.538169</f>
        <v>2.8381689999999997</v>
      </c>
      <c r="AT197" s="774"/>
      <c r="AU197" s="774"/>
      <c r="AV197" s="775"/>
      <c r="AW197" s="711"/>
      <c r="AX197" s="711"/>
      <c r="AY197" s="775"/>
      <c r="AZ197" s="774"/>
      <c r="BA197" s="775">
        <v>-4.3</v>
      </c>
      <c r="BB197" s="775">
        <v>-4.3</v>
      </c>
      <c r="BC197" s="774"/>
      <c r="BD197" s="775"/>
      <c r="BE197" s="775">
        <v>-4.4000000000000004</v>
      </c>
      <c r="BF197" s="774">
        <v>0</v>
      </c>
      <c r="BG197" s="775">
        <f>BH197-BF197</f>
        <v>-4.0999999999999996</v>
      </c>
      <c r="BH197" s="775">
        <v>-4.0999999999999996</v>
      </c>
      <c r="BI197" s="774">
        <v>0</v>
      </c>
      <c r="BJ197" s="775"/>
      <c r="BK197" s="775">
        <v>0</v>
      </c>
      <c r="BL197" s="571">
        <v>0</v>
      </c>
      <c r="BM197" s="775"/>
      <c r="BN197" s="775">
        <v>0</v>
      </c>
      <c r="BO197" s="571">
        <v>0</v>
      </c>
      <c r="BP197" s="350">
        <v>0</v>
      </c>
      <c r="BQ197" s="118">
        <v>0</v>
      </c>
      <c r="BR197" s="1829">
        <v>0</v>
      </c>
      <c r="BS197" s="350"/>
      <c r="BT197" s="350">
        <f>BT192*BT202</f>
        <v>0</v>
      </c>
      <c r="BU197" s="350"/>
      <c r="BV197" s="350"/>
      <c r="BW197" s="350">
        <f>BW192*BW202</f>
        <v>0</v>
      </c>
      <c r="BX197" s="350"/>
      <c r="BY197" s="350"/>
      <c r="BZ197" s="350">
        <f>BZ192*BZ202</f>
        <v>0</v>
      </c>
      <c r="CA197" s="350"/>
      <c r="CB197" s="350"/>
      <c r="CC197" s="350">
        <f>CC192*CC202</f>
        <v>0</v>
      </c>
      <c r="CD197" s="74"/>
      <c r="CE197" s="74"/>
    </row>
    <row r="198" spans="1:83" outlineLevel="1">
      <c r="A198" s="746"/>
      <c r="B198" s="536" t="s">
        <v>164</v>
      </c>
      <c r="C198" s="775">
        <v>-3.7160000000000002</v>
      </c>
      <c r="D198" s="773">
        <v>-3.97</v>
      </c>
      <c r="E198" s="344">
        <f>F198-D198</f>
        <v>-1.9289999999999998</v>
      </c>
      <c r="F198" s="775">
        <v>-5.899</v>
      </c>
      <c r="G198" s="773">
        <v>-6.6479999999999997</v>
      </c>
      <c r="H198" s="344">
        <f>I198-G198</f>
        <v>-2.7940000000000005</v>
      </c>
      <c r="I198" s="773">
        <v>-9.4420000000000002</v>
      </c>
      <c r="J198" s="773">
        <v>-8.5079999999999991</v>
      </c>
      <c r="K198" s="344">
        <f>L198-J198</f>
        <v>-3.4460000000000015</v>
      </c>
      <c r="L198" s="773">
        <v>-11.954000000000001</v>
      </c>
      <c r="M198" s="773">
        <v>-11.555999999999999</v>
      </c>
      <c r="N198" s="344">
        <f>O198-M198</f>
        <v>-6.447000000000001</v>
      </c>
      <c r="O198" s="773">
        <v>-18.003</v>
      </c>
      <c r="P198" s="773">
        <v>-18.324999999999999</v>
      </c>
      <c r="Q198" s="344">
        <f>R198-P198</f>
        <v>-10.55</v>
      </c>
      <c r="R198" s="773">
        <v>-28.875</v>
      </c>
      <c r="S198" s="773">
        <v>-26.344000000000001</v>
      </c>
      <c r="T198" s="344">
        <f>U198-S198</f>
        <v>-14.710999999999999</v>
      </c>
      <c r="U198" s="773">
        <v>-41.055</v>
      </c>
      <c r="V198" s="773">
        <v>-32.695</v>
      </c>
      <c r="W198" s="344">
        <f>X198-V198</f>
        <v>-18.253999999999998</v>
      </c>
      <c r="X198" s="773">
        <v>-50.948999999999998</v>
      </c>
      <c r="Y198" s="773">
        <v>-37.706000000000003</v>
      </c>
      <c r="Z198" s="344">
        <f>AA198-Y198</f>
        <v>-11.18</v>
      </c>
      <c r="AA198" s="773">
        <v>-48.886000000000003</v>
      </c>
      <c r="AB198" s="773">
        <v>-34.173000000000002</v>
      </c>
      <c r="AC198" s="344">
        <f>AD198-AB198</f>
        <v>-9.5589999999999975</v>
      </c>
      <c r="AD198" s="773">
        <v>-43.731999999999999</v>
      </c>
      <c r="AE198" s="773">
        <v>-36.463000000000001</v>
      </c>
      <c r="AF198" s="344">
        <f>AG198-AE198</f>
        <v>-14.957000000000001</v>
      </c>
      <c r="AG198" s="773">
        <v>-51.42</v>
      </c>
      <c r="AH198" s="773">
        <v>-38.58</v>
      </c>
      <c r="AI198" s="344">
        <f>AJ198-AH198</f>
        <v>-15.649999999999999</v>
      </c>
      <c r="AJ198" s="773">
        <v>-54.23</v>
      </c>
      <c r="AK198" s="773">
        <v>-38.531999999999996</v>
      </c>
      <c r="AL198" s="344">
        <f>AL196+AL197</f>
        <v>-20.489000000000004</v>
      </c>
      <c r="AM198" s="773">
        <v>-59.021000000000001</v>
      </c>
      <c r="AN198" s="773">
        <v>-41.218000000000004</v>
      </c>
      <c r="AO198" s="344">
        <f>AO196+AO197</f>
        <v>-24.427500000000002</v>
      </c>
      <c r="AP198" s="773">
        <v>-65.658000000000001</v>
      </c>
      <c r="AQ198" s="773">
        <v>-53.7</v>
      </c>
      <c r="AR198" s="344">
        <f>AR196+AR197</f>
        <v>-32.980225648829432</v>
      </c>
      <c r="AS198" s="773">
        <v>-86.8</v>
      </c>
      <c r="AT198" s="773">
        <v>-66</v>
      </c>
      <c r="AU198" s="344">
        <f>AU196+AU197</f>
        <v>-35.157190635451478</v>
      </c>
      <c r="AV198" s="773">
        <v>-101.3</v>
      </c>
      <c r="AW198" s="710">
        <v>-69.8</v>
      </c>
      <c r="AX198" s="726">
        <f>AX196+AX197</f>
        <v>-39.700000000000003</v>
      </c>
      <c r="AY198" s="773">
        <v>-109.5</v>
      </c>
      <c r="AZ198" s="773">
        <v>-74.599999999999994</v>
      </c>
      <c r="BA198" s="344">
        <f t="shared" ref="BA198" si="654">BA196+BA197</f>
        <v>-71.09999999999998</v>
      </c>
      <c r="BB198" s="773">
        <v>-145.69999999999999</v>
      </c>
      <c r="BC198" s="773">
        <v>-132.80000000000001</v>
      </c>
      <c r="BD198" s="344">
        <f>BE198-BC198</f>
        <v>-81.099999999999994</v>
      </c>
      <c r="BE198" s="773">
        <v>-213.9</v>
      </c>
      <c r="BF198" s="773">
        <v>-122.6</v>
      </c>
      <c r="BG198" s="344">
        <f>BH198-BF198</f>
        <v>-107.80000000000001</v>
      </c>
      <c r="BH198" s="773">
        <v>-230.4</v>
      </c>
      <c r="BI198" s="773">
        <v>-140.30000000000001</v>
      </c>
      <c r="BJ198" s="344">
        <f t="shared" ref="BJ198" si="655">BJ196+BJ197</f>
        <v>-82.199999999999989</v>
      </c>
      <c r="BK198" s="773">
        <v>-222.5</v>
      </c>
      <c r="BL198" s="1335">
        <v>-113</v>
      </c>
      <c r="BM198" s="344">
        <f t="shared" ref="BM198" si="656">BM196+BM197</f>
        <v>-75.599999999999994</v>
      </c>
      <c r="BN198" s="773">
        <v>-188.6</v>
      </c>
      <c r="BO198" s="1896">
        <v>-123.2</v>
      </c>
      <c r="BP198" s="758">
        <f t="shared" ref="BP198" si="657">BP196+BP197</f>
        <v>-81.999999999999986</v>
      </c>
      <c r="BQ198" s="1335">
        <v>-205.2</v>
      </c>
      <c r="BR198" s="1866">
        <v>-131.9</v>
      </c>
      <c r="BS198" s="758">
        <f t="shared" ref="BS198" si="658">BS196+BS197</f>
        <v>-85.043395765378989</v>
      </c>
      <c r="BT198" s="758">
        <f>BT196+BT197</f>
        <v>-216.94339576537899</v>
      </c>
      <c r="BU198" s="758">
        <f t="shared" ref="BU198" si="659">BU196+BU197</f>
        <v>-133.24422937634537</v>
      </c>
      <c r="BV198" s="758">
        <f t="shared" ref="BV198" si="660">BV196+BV197</f>
        <v>-86.990705898131665</v>
      </c>
      <c r="BW198" s="758">
        <f>BW196+BW197</f>
        <v>-220.23493527447704</v>
      </c>
      <c r="BX198" s="758">
        <f t="shared" ref="BX198:BY198" si="661">BX196+BX197</f>
        <v>-141.01612279216971</v>
      </c>
      <c r="BY198" s="758">
        <f t="shared" si="661"/>
        <v>-90.447544073241545</v>
      </c>
      <c r="BZ198" s="758">
        <f>BZ196+BZ197</f>
        <v>-231.46366686541126</v>
      </c>
      <c r="CA198" s="758">
        <f t="shared" ref="CA198:CB198" si="662">CA196+CA197</f>
        <v>-147.76804420308795</v>
      </c>
      <c r="CB198" s="758">
        <f t="shared" si="662"/>
        <v>-94.892251954631519</v>
      </c>
      <c r="CC198" s="758">
        <f>CC196+CC197</f>
        <v>-242.66029615771947</v>
      </c>
      <c r="CD198" s="94"/>
      <c r="CE198" s="94"/>
    </row>
    <row r="199" spans="1:83" outlineLevel="1">
      <c r="A199" s="746"/>
      <c r="B199" s="349"/>
      <c r="C199" s="349"/>
      <c r="D199" s="349"/>
      <c r="E199" s="349"/>
      <c r="F199" s="349"/>
      <c r="G199" s="349"/>
      <c r="H199" s="349"/>
      <c r="I199" s="349"/>
      <c r="J199" s="349"/>
      <c r="K199" s="349"/>
      <c r="L199" s="349"/>
      <c r="M199" s="349"/>
      <c r="N199" s="349"/>
      <c r="O199" s="349"/>
      <c r="P199" s="349" t="s">
        <v>378</v>
      </c>
      <c r="Q199" s="349"/>
      <c r="R199" s="349"/>
      <c r="S199" s="349"/>
      <c r="T199" s="349"/>
      <c r="U199" s="349"/>
      <c r="V199" s="349"/>
      <c r="W199" s="349"/>
      <c r="X199" s="349"/>
      <c r="Y199" s="349"/>
      <c r="Z199" s="349"/>
      <c r="AA199" s="349"/>
      <c r="AB199" s="349"/>
      <c r="AC199" s="349"/>
      <c r="AD199" s="349"/>
      <c r="AE199" s="349"/>
      <c r="AF199" s="349"/>
      <c r="AG199" s="349"/>
      <c r="AH199" s="349"/>
      <c r="AI199" s="349"/>
      <c r="AJ199" s="349"/>
      <c r="AK199" s="349"/>
      <c r="AL199" s="349"/>
      <c r="AM199" s="349"/>
      <c r="AN199" s="349"/>
      <c r="AO199" s="349"/>
      <c r="AP199" s="349"/>
      <c r="AQ199" s="349"/>
      <c r="AR199" s="349"/>
      <c r="AS199" s="349"/>
      <c r="AT199" s="349"/>
      <c r="AU199" s="349"/>
      <c r="AV199" s="349"/>
      <c r="AW199" s="712"/>
      <c r="AX199" s="712"/>
      <c r="AY199" s="349"/>
      <c r="AZ199" s="349"/>
      <c r="BA199" s="349"/>
      <c r="BB199" s="349"/>
      <c r="BC199" s="349"/>
      <c r="BD199" s="349"/>
      <c r="BE199" s="349"/>
      <c r="BF199" s="349"/>
      <c r="BG199" s="349"/>
      <c r="BH199" s="349"/>
      <c r="BI199" s="349"/>
      <c r="BJ199" s="349"/>
      <c r="BK199" s="349"/>
      <c r="BL199" s="74"/>
      <c r="BM199" s="349"/>
      <c r="BN199" s="349"/>
      <c r="BO199" s="74"/>
      <c r="BP199" s="349"/>
      <c r="BQ199" s="349"/>
      <c r="BR199" s="1867"/>
      <c r="BS199" s="349"/>
      <c r="BT199" s="349"/>
      <c r="BU199" s="349"/>
      <c r="BV199" s="349"/>
      <c r="BW199" s="349"/>
      <c r="BX199" s="349"/>
      <c r="BY199" s="349"/>
      <c r="BZ199" s="349"/>
      <c r="CA199" s="349"/>
      <c r="CB199" s="349"/>
      <c r="CC199" s="349"/>
      <c r="CD199" s="74"/>
      <c r="CE199" s="74"/>
    </row>
    <row r="200" spans="1:83" outlineLevel="1">
      <c r="A200" s="746"/>
      <c r="B200" s="349"/>
      <c r="C200" s="349"/>
      <c r="D200" s="349"/>
      <c r="E200" s="349"/>
      <c r="F200" s="349"/>
      <c r="G200" s="349"/>
      <c r="H200" s="349"/>
      <c r="I200" s="349"/>
      <c r="J200" s="349"/>
      <c r="K200" s="349"/>
      <c r="L200" s="349"/>
      <c r="M200" s="349"/>
      <c r="N200" s="349"/>
      <c r="O200" s="349"/>
      <c r="P200" s="349"/>
      <c r="Q200" s="349"/>
      <c r="R200" s="349"/>
      <c r="S200" s="349"/>
      <c r="T200" s="349"/>
      <c r="U200" s="349"/>
      <c r="V200" s="349"/>
      <c r="W200" s="349"/>
      <c r="X200" s="349"/>
      <c r="Y200" s="349"/>
      <c r="Z200" s="349"/>
      <c r="AA200" s="349"/>
      <c r="AB200" s="349"/>
      <c r="AC200" s="349"/>
      <c r="AD200" s="349"/>
      <c r="AE200" s="349"/>
      <c r="AF200" s="349"/>
      <c r="AG200" s="349"/>
      <c r="AH200" s="349"/>
      <c r="AI200" s="349"/>
      <c r="AJ200" s="349"/>
      <c r="AK200" s="349"/>
      <c r="AL200" s="349"/>
      <c r="AM200" s="349"/>
      <c r="AN200" s="349"/>
      <c r="AO200" s="349"/>
      <c r="AP200" s="349"/>
      <c r="AQ200" s="349"/>
      <c r="AR200" s="349"/>
      <c r="AS200" s="349"/>
      <c r="AT200" s="349"/>
      <c r="AU200" s="349"/>
      <c r="AV200" s="349"/>
      <c r="AW200" s="712"/>
      <c r="AX200" s="712"/>
      <c r="AY200" s="349"/>
      <c r="AZ200" s="349"/>
      <c r="BA200" s="349"/>
      <c r="BB200" s="349"/>
      <c r="BC200" s="349"/>
      <c r="BD200" s="349"/>
      <c r="BE200" s="349"/>
      <c r="BF200" s="349"/>
      <c r="BG200" s="349"/>
      <c r="BH200" s="349"/>
      <c r="BI200" s="349"/>
      <c r="BJ200" s="349"/>
      <c r="BK200" s="349"/>
      <c r="BL200" s="74"/>
      <c r="BM200" s="349"/>
      <c r="BN200" s="349"/>
      <c r="BO200" s="74"/>
      <c r="BP200" s="349"/>
      <c r="BQ200" s="349"/>
      <c r="BR200" s="1867"/>
      <c r="BS200" s="349"/>
      <c r="BT200" s="349"/>
      <c r="BU200" s="349"/>
      <c r="BV200" s="349"/>
      <c r="BW200" s="349"/>
      <c r="BX200" s="349"/>
      <c r="BY200" s="349"/>
      <c r="BZ200" s="349"/>
      <c r="CA200" s="349"/>
      <c r="CB200" s="349"/>
      <c r="CC200" s="349"/>
      <c r="CD200" s="74"/>
      <c r="CE200" s="74"/>
    </row>
    <row r="201" spans="1:83" outlineLevel="1">
      <c r="A201" s="746" t="s">
        <v>395</v>
      </c>
      <c r="B201" s="349" t="s">
        <v>348</v>
      </c>
      <c r="C201" s="755">
        <f t="shared" ref="C201:AG203" si="663">-C196/C191</f>
        <v>0.29319867445163322</v>
      </c>
      <c r="D201" s="755">
        <f t="shared" si="663"/>
        <v>0.29472902746844842</v>
      </c>
      <c r="E201" s="755">
        <f t="shared" si="663"/>
        <v>0.2940548780487805</v>
      </c>
      <c r="F201" s="755">
        <f t="shared" si="663"/>
        <v>0.29450823764353468</v>
      </c>
      <c r="G201" s="755">
        <f t="shared" si="663"/>
        <v>0.30182511577226906</v>
      </c>
      <c r="H201" s="755">
        <f t="shared" si="663"/>
        <v>0.28333840381300091</v>
      </c>
      <c r="I201" s="755">
        <f t="shared" si="663"/>
        <v>0.29610813184056201</v>
      </c>
      <c r="J201" s="755">
        <f t="shared" si="663"/>
        <v>0.30317499910914719</v>
      </c>
      <c r="K201" s="755">
        <f t="shared" si="663"/>
        <v>0.32026022304832735</v>
      </c>
      <c r="L201" s="755">
        <f t="shared" si="663"/>
        <v>0.30791025938232491</v>
      </c>
      <c r="M201" s="755">
        <f t="shared" si="663"/>
        <v>0.30407325544679509</v>
      </c>
      <c r="N201" s="755">
        <f t="shared" si="663"/>
        <v>0.30161403508771922</v>
      </c>
      <c r="O201" s="755">
        <f t="shared" si="663"/>
        <v>0.30318799575607536</v>
      </c>
      <c r="P201" s="755">
        <f t="shared" si="663"/>
        <v>0.30235781345389146</v>
      </c>
      <c r="Q201" s="755">
        <f t="shared" si="663"/>
        <v>0.31583989462024381</v>
      </c>
      <c r="R201" s="755">
        <f t="shared" si="663"/>
        <v>0.30714817572598663</v>
      </c>
      <c r="S201" s="755">
        <f t="shared" si="663"/>
        <v>0.30840552563802387</v>
      </c>
      <c r="T201" s="755">
        <f t="shared" si="663"/>
        <v>0.29379693241731902</v>
      </c>
      <c r="U201" s="755">
        <f t="shared" si="663"/>
        <v>0.30300681959082448</v>
      </c>
      <c r="V201" s="755">
        <f t="shared" si="663"/>
        <v>0.30066579610454103</v>
      </c>
      <c r="W201" s="755">
        <f t="shared" si="663"/>
        <v>0.29993920373321931</v>
      </c>
      <c r="X201" s="755">
        <f t="shared" si="663"/>
        <v>0.30040506836634218</v>
      </c>
      <c r="Y201" s="755">
        <f t="shared" si="663"/>
        <v>0.30022134815357426</v>
      </c>
      <c r="Z201" s="755">
        <f>-Z196/Z191</f>
        <v>0.16840646512118335</v>
      </c>
      <c r="AA201" s="755">
        <f t="shared" si="663"/>
        <v>0.29995676655502368</v>
      </c>
      <c r="AB201" s="755">
        <f t="shared" si="663"/>
        <v>0.30026359722344259</v>
      </c>
      <c r="AC201" s="755">
        <f t="shared" si="663"/>
        <v>0.2979273803958235</v>
      </c>
      <c r="AD201" s="755">
        <f t="shared" si="663"/>
        <v>0.29474365282093107</v>
      </c>
      <c r="AE201" s="755">
        <f t="shared" si="663"/>
        <v>0.30761897530645477</v>
      </c>
      <c r="AF201" s="755">
        <f t="shared" si="663"/>
        <v>0.30204567943617588</v>
      </c>
      <c r="AG201" s="755">
        <f t="shared" ref="AG201:AV201" si="664">-AG196/AG191</f>
        <v>0.30597672149096705</v>
      </c>
      <c r="AH201" s="755">
        <f>-AH196/AH191</f>
        <v>0.2991045470403535</v>
      </c>
      <c r="AI201" s="755">
        <f>-AI196/AI191</f>
        <v>0.29147731505624686</v>
      </c>
      <c r="AJ201" s="755">
        <f t="shared" si="664"/>
        <v>0.29686276871198891</v>
      </c>
      <c r="AK201" s="755">
        <f>-AK196/AK191</f>
        <v>0.30323443771149755</v>
      </c>
      <c r="AL201" s="755">
        <f>-AL196/AL191</f>
        <v>0.29927551050217643</v>
      </c>
      <c r="AM201" s="755">
        <f t="shared" si="664"/>
        <v>0.30184829081684839</v>
      </c>
      <c r="AN201" s="755">
        <f>-AN196/AN191</f>
        <v>0.30215373788614075</v>
      </c>
      <c r="AO201" s="755">
        <v>0.3</v>
      </c>
      <c r="AP201" s="755">
        <f t="shared" si="664"/>
        <v>0.30140608430997207</v>
      </c>
      <c r="AQ201" s="755">
        <f>-AQ196/AQ191</f>
        <v>0.30100334448160532</v>
      </c>
      <c r="AR201" s="755">
        <v>0.30100334448160532</v>
      </c>
      <c r="AS201" s="755">
        <f t="shared" si="664"/>
        <v>0.30140608271687963</v>
      </c>
      <c r="AT201" s="755">
        <f>-AT196/AT191</f>
        <v>0.30316949931097836</v>
      </c>
      <c r="AU201" s="755">
        <v>0.30100334448160532</v>
      </c>
      <c r="AV201" s="755">
        <f t="shared" si="664"/>
        <v>0.30284005979073247</v>
      </c>
      <c r="AW201" s="727">
        <f t="shared" ref="AW201:AX201" si="665">-AW196/AW191</f>
        <v>0.30361026533275337</v>
      </c>
      <c r="AX201" s="727">
        <f t="shared" si="665"/>
        <v>0.30680061823802163</v>
      </c>
      <c r="AY201" s="755">
        <f>-AY196/AY191</f>
        <v>0.30475925410520455</v>
      </c>
      <c r="AZ201" s="755">
        <f>-AZ196/AZ191</f>
        <v>0.30424143556280586</v>
      </c>
      <c r="BA201" s="755">
        <f>BB201</f>
        <v>0.30239520958083826</v>
      </c>
      <c r="BB201" s="755">
        <f>-BB196/BB191</f>
        <v>0.30239520958083826</v>
      </c>
      <c r="BC201" s="755">
        <f>-BC196/BC191</f>
        <v>0.29478357380688125</v>
      </c>
      <c r="BD201" s="755">
        <f>BE201</f>
        <v>0.2896046447332043</v>
      </c>
      <c r="BE201" s="755">
        <f>-BE196/BE191</f>
        <v>0.2896046447332043</v>
      </c>
      <c r="BF201" s="755">
        <f>-BF196/BF191</f>
        <v>0.29866017052375149</v>
      </c>
      <c r="BG201" s="755">
        <f>BH201</f>
        <v>0.29188701147942736</v>
      </c>
      <c r="BH201" s="755">
        <f t="shared" ref="BH201:BL201" si="666">-BH196/BH191</f>
        <v>0.29188701147942736</v>
      </c>
      <c r="BI201" s="755">
        <f t="shared" si="666"/>
        <v>0.29838366652488307</v>
      </c>
      <c r="BJ201" s="755">
        <f t="shared" si="666"/>
        <v>0.29685807150595878</v>
      </c>
      <c r="BK201" s="755">
        <f t="shared" si="666"/>
        <v>0.29781823049123274</v>
      </c>
      <c r="BL201" s="102">
        <f t="shared" si="666"/>
        <v>0.29949642194540155</v>
      </c>
      <c r="BM201" s="755">
        <f t="shared" ref="BM201:BN201" si="667">-BM196/BM191</f>
        <v>0.30227908836465417</v>
      </c>
      <c r="BN201" s="755">
        <f t="shared" si="667"/>
        <v>0.30060567421102963</v>
      </c>
      <c r="BO201" s="102">
        <f>-BO196/BO191</f>
        <v>0.30144360166381207</v>
      </c>
      <c r="BP201" s="102">
        <f>-BP196/BP191</f>
        <v>0.30036630036630035</v>
      </c>
      <c r="BQ201" s="755">
        <f>-BQ196/BQ191</f>
        <v>0.30101217544374359</v>
      </c>
      <c r="BR201" s="1868">
        <f>-BR196/BR191</f>
        <v>0.30127912288716308</v>
      </c>
      <c r="BS201" s="755">
        <f>-BS196/BS191</f>
        <v>0.30059908173623251</v>
      </c>
      <c r="BT201" s="949">
        <f>BQ201</f>
        <v>0.30101217544374359</v>
      </c>
      <c r="BU201" s="949">
        <v>0.3</v>
      </c>
      <c r="BV201" s="755">
        <f>-BV196/BV191</f>
        <v>0.3025758427215664</v>
      </c>
      <c r="BW201" s="949">
        <f>BT201</f>
        <v>0.30101217544374359</v>
      </c>
      <c r="BX201" s="949">
        <v>0.3</v>
      </c>
      <c r="BY201" s="755">
        <f>-BY196/BY191</f>
        <v>0.30260394840476046</v>
      </c>
      <c r="BZ201" s="949">
        <f>BW201</f>
        <v>0.30101217544374359</v>
      </c>
      <c r="CA201" s="949">
        <v>0.3</v>
      </c>
      <c r="CB201" s="755">
        <f>-CB196/CB191</f>
        <v>0.30260202541921755</v>
      </c>
      <c r="CC201" s="949">
        <f>BZ201</f>
        <v>0.30101217544374359</v>
      </c>
      <c r="CD201" s="74"/>
      <c r="CE201" s="74"/>
    </row>
    <row r="202" spans="1:83" outlineLevel="1">
      <c r="A202" s="746"/>
      <c r="B202" s="349" t="s">
        <v>349</v>
      </c>
      <c r="C202" s="755"/>
      <c r="D202" s="755"/>
      <c r="E202" s="755"/>
      <c r="F202" s="755"/>
      <c r="G202" s="755"/>
      <c r="H202" s="755"/>
      <c r="I202" s="755"/>
      <c r="J202" s="755"/>
      <c r="K202" s="755"/>
      <c r="L202" s="755"/>
      <c r="M202" s="755"/>
      <c r="N202" s="755"/>
      <c r="O202" s="755"/>
      <c r="P202" s="755"/>
      <c r="Q202" s="755"/>
      <c r="R202" s="755"/>
      <c r="S202" s="755"/>
      <c r="T202" s="755"/>
      <c r="U202" s="755"/>
      <c r="V202" s="755"/>
      <c r="W202" s="755"/>
      <c r="X202" s="755"/>
      <c r="Y202" s="755"/>
      <c r="Z202" s="755">
        <f>-Z197/Z192</f>
        <v>0</v>
      </c>
      <c r="AA202" s="755">
        <f>-AA197/AA192</f>
        <v>0.26047904191616766</v>
      </c>
      <c r="AB202" s="755"/>
      <c r="AC202" s="755"/>
      <c r="AD202" s="755"/>
      <c r="AE202" s="755"/>
      <c r="AF202" s="755"/>
      <c r="AG202" s="755"/>
      <c r="AH202" s="755"/>
      <c r="AI202" s="755"/>
      <c r="AJ202" s="755"/>
      <c r="AK202" s="755">
        <v>0</v>
      </c>
      <c r="AL202" s="755"/>
      <c r="AM202" s="755"/>
      <c r="AN202" s="755">
        <f>AN201</f>
        <v>0.30215373788614075</v>
      </c>
      <c r="AO202" s="755">
        <f>AO201</f>
        <v>0.3</v>
      </c>
      <c r="AP202" s="755"/>
      <c r="AQ202" s="755">
        <f>AQ201</f>
        <v>0.30100334448160532</v>
      </c>
      <c r="AR202" s="755">
        <f>AR201</f>
        <v>0.30100334448160532</v>
      </c>
      <c r="AS202" s="755">
        <f>AS201</f>
        <v>0.30140608271687963</v>
      </c>
      <c r="AT202" s="755">
        <f t="shared" ref="AT202:AU202" si="668">AT201</f>
        <v>0.30316949931097836</v>
      </c>
      <c r="AU202" s="755">
        <f t="shared" si="668"/>
        <v>0.30100334448160532</v>
      </c>
      <c r="AV202" s="755">
        <f>AV201</f>
        <v>0.30284005979073247</v>
      </c>
      <c r="AW202" s="727">
        <f>AW201</f>
        <v>0.30361026533275337</v>
      </c>
      <c r="AX202" s="727">
        <f>AX201</f>
        <v>0.30680061823802163</v>
      </c>
      <c r="AY202" s="755">
        <f t="shared" ref="AY202:BW202" si="669">AY201</f>
        <v>0.30475925410520455</v>
      </c>
      <c r="AZ202" s="755">
        <f t="shared" si="669"/>
        <v>0.30424143556280586</v>
      </c>
      <c r="BA202" s="755">
        <f t="shared" si="669"/>
        <v>0.30239520958083826</v>
      </c>
      <c r="BB202" s="755">
        <f t="shared" si="669"/>
        <v>0.30239520958083826</v>
      </c>
      <c r="BC202" s="755">
        <f t="shared" si="669"/>
        <v>0.29478357380688125</v>
      </c>
      <c r="BD202" s="755">
        <f t="shared" si="669"/>
        <v>0.2896046447332043</v>
      </c>
      <c r="BE202" s="755">
        <f t="shared" si="669"/>
        <v>0.2896046447332043</v>
      </c>
      <c r="BF202" s="755">
        <f t="shared" si="669"/>
        <v>0.29866017052375149</v>
      </c>
      <c r="BG202" s="755">
        <f t="shared" si="669"/>
        <v>0.29188701147942736</v>
      </c>
      <c r="BH202" s="755">
        <f t="shared" si="669"/>
        <v>0.29188701147942736</v>
      </c>
      <c r="BI202" s="755">
        <f t="shared" ref="BI202:BK202" si="670">BI201</f>
        <v>0.29838366652488307</v>
      </c>
      <c r="BJ202" s="755">
        <f>BJ201</f>
        <v>0.29685807150595878</v>
      </c>
      <c r="BK202" s="755">
        <f t="shared" si="670"/>
        <v>0.29781823049123274</v>
      </c>
      <c r="BL202" s="102">
        <f t="shared" ref="BL202" si="671">BL201</f>
        <v>0.29949642194540155</v>
      </c>
      <c r="BM202" s="755">
        <f>BM201</f>
        <v>0.30227908836465417</v>
      </c>
      <c r="BN202" s="755">
        <f t="shared" ref="BN202" si="672">BN201</f>
        <v>0.30060567421102963</v>
      </c>
      <c r="BO202" s="102">
        <f>BO201</f>
        <v>0.30144360166381207</v>
      </c>
      <c r="BP202" s="755">
        <f>BP201</f>
        <v>0.30036630036630035</v>
      </c>
      <c r="BQ202" s="755">
        <f t="shared" ref="BQ202:BS202" si="673">BQ201</f>
        <v>0.30101217544374359</v>
      </c>
      <c r="BR202" s="1868">
        <f t="shared" ref="BR202" si="674">BR201</f>
        <v>0.30127912288716308</v>
      </c>
      <c r="BS202" s="755">
        <f t="shared" si="673"/>
        <v>0.30059908173623251</v>
      </c>
      <c r="BT202" s="949">
        <f t="shared" si="669"/>
        <v>0.30101217544374359</v>
      </c>
      <c r="BU202" s="949">
        <v>0.3</v>
      </c>
      <c r="BV202" s="755">
        <f>BV201</f>
        <v>0.3025758427215664</v>
      </c>
      <c r="BW202" s="949">
        <f t="shared" si="669"/>
        <v>0.30101217544374359</v>
      </c>
      <c r="BX202" s="949">
        <v>0.3</v>
      </c>
      <c r="BY202" s="755">
        <f>BY201</f>
        <v>0.30260394840476046</v>
      </c>
      <c r="BZ202" s="949">
        <f t="shared" ref="BZ202" si="675">BZ201</f>
        <v>0.30101217544374359</v>
      </c>
      <c r="CA202" s="949">
        <v>0.3</v>
      </c>
      <c r="CB202" s="755">
        <f>CB201</f>
        <v>0.30260202541921755</v>
      </c>
      <c r="CC202" s="949">
        <f t="shared" ref="CC202" si="676">CC201</f>
        <v>0.30101217544374359</v>
      </c>
      <c r="CD202" s="74"/>
      <c r="CE202" s="74"/>
    </row>
    <row r="203" spans="1:83" outlineLevel="1">
      <c r="A203" s="746"/>
      <c r="B203" s="536" t="s">
        <v>350</v>
      </c>
      <c r="C203" s="750">
        <f t="shared" si="663"/>
        <v>0.29319867445163322</v>
      </c>
      <c r="D203" s="750">
        <f t="shared" si="663"/>
        <v>0.29472902746844842</v>
      </c>
      <c r="E203" s="750">
        <f t="shared" si="663"/>
        <v>0.2940548780487805</v>
      </c>
      <c r="F203" s="750">
        <f t="shared" si="663"/>
        <v>0.29450823764353468</v>
      </c>
      <c r="G203" s="750">
        <f t="shared" si="663"/>
        <v>0.30182511577226906</v>
      </c>
      <c r="H203" s="750">
        <f t="shared" si="663"/>
        <v>0.28333840381300091</v>
      </c>
      <c r="I203" s="750">
        <f t="shared" si="663"/>
        <v>0.29610813184056201</v>
      </c>
      <c r="J203" s="750">
        <f t="shared" si="663"/>
        <v>0.30317499910914719</v>
      </c>
      <c r="K203" s="750">
        <f t="shared" si="663"/>
        <v>0.32026022304832735</v>
      </c>
      <c r="L203" s="750">
        <f t="shared" si="663"/>
        <v>0.30791025938232491</v>
      </c>
      <c r="M203" s="750">
        <f t="shared" si="663"/>
        <v>0.30407325544679509</v>
      </c>
      <c r="N203" s="750">
        <f t="shared" si="663"/>
        <v>0.30161403508771922</v>
      </c>
      <c r="O203" s="750">
        <f t="shared" si="663"/>
        <v>0.30318799575607536</v>
      </c>
      <c r="P203" s="750">
        <f t="shared" si="663"/>
        <v>0.30235781345389146</v>
      </c>
      <c r="Q203" s="750">
        <f t="shared" si="663"/>
        <v>0.31583989462024381</v>
      </c>
      <c r="R203" s="750">
        <f t="shared" si="663"/>
        <v>0.30714817572598663</v>
      </c>
      <c r="S203" s="750">
        <f t="shared" si="663"/>
        <v>0.30840552563802387</v>
      </c>
      <c r="T203" s="750">
        <f t="shared" si="663"/>
        <v>0.29379693241731902</v>
      </c>
      <c r="U203" s="750">
        <f t="shared" si="663"/>
        <v>0.30300681959082448</v>
      </c>
      <c r="V203" s="750">
        <f t="shared" si="663"/>
        <v>0.30066579610454103</v>
      </c>
      <c r="W203" s="750">
        <f t="shared" si="663"/>
        <v>0.29993920373321931</v>
      </c>
      <c r="X203" s="750">
        <f t="shared" si="663"/>
        <v>0.30040506836634218</v>
      </c>
      <c r="Y203" s="750">
        <f t="shared" si="663"/>
        <v>0.30022134815357426</v>
      </c>
      <c r="Z203" s="750">
        <f t="shared" si="663"/>
        <v>0.33892139327613896</v>
      </c>
      <c r="AA203" s="750">
        <f t="shared" si="663"/>
        <v>0.30827148271230481</v>
      </c>
      <c r="AB203" s="750">
        <f t="shared" si="663"/>
        <v>0.30026359722344259</v>
      </c>
      <c r="AC203" s="750">
        <f t="shared" si="663"/>
        <v>0.2979273803958235</v>
      </c>
      <c r="AD203" s="750">
        <f t="shared" si="663"/>
        <v>0.29474365282093107</v>
      </c>
      <c r="AE203" s="750">
        <f>-AE198/AE193</f>
        <v>0.30761897530645477</v>
      </c>
      <c r="AF203" s="750">
        <f>-AF198/AF193</f>
        <v>0.30204567943617588</v>
      </c>
      <c r="AG203" s="750">
        <f t="shared" si="663"/>
        <v>0.30597672149096705</v>
      </c>
      <c r="AH203" s="750">
        <f>-AH198/AH193</f>
        <v>0.2991045470403535</v>
      </c>
      <c r="AI203" s="750">
        <f>-AI198/AI193</f>
        <v>0.29147731505624686</v>
      </c>
      <c r="AJ203" s="750">
        <f>-AJ198/AJ193</f>
        <v>0.29686276871198891</v>
      </c>
      <c r="AK203" s="750">
        <f>AK198/-AK193</f>
        <v>0.30323443771149755</v>
      </c>
      <c r="AL203" s="750">
        <f>-AL198/AL193</f>
        <v>0.29927551050217643</v>
      </c>
      <c r="AM203" s="750">
        <f>-AM198/AM193</f>
        <v>0.30184829081684839</v>
      </c>
      <c r="AN203" s="750">
        <f>AN198/-AN193</f>
        <v>0.30215373788614075</v>
      </c>
      <c r="AO203" s="750">
        <f>AO198/-AO193</f>
        <v>0.3</v>
      </c>
      <c r="AP203" s="750">
        <f>-AP198/AP193</f>
        <v>0.30140608430997207</v>
      </c>
      <c r="AQ203" s="750">
        <f t="shared" ref="AQ203:AX203" si="677">AQ198/-AQ193</f>
        <v>0.32723948811700188</v>
      </c>
      <c r="AR203" s="750">
        <f t="shared" si="677"/>
        <v>0.34679522238516752</v>
      </c>
      <c r="AS203" s="750">
        <f t="shared" si="677"/>
        <v>0.33487654320987653</v>
      </c>
      <c r="AT203" s="750">
        <f t="shared" si="677"/>
        <v>0.30316949931097836</v>
      </c>
      <c r="AU203" s="750">
        <f t="shared" si="677"/>
        <v>0.30100334448160532</v>
      </c>
      <c r="AV203" s="750">
        <f t="shared" si="677"/>
        <v>0.30284005979073247</v>
      </c>
      <c r="AW203" s="716">
        <f t="shared" si="677"/>
        <v>0.30361026533275337</v>
      </c>
      <c r="AX203" s="716">
        <f t="shared" si="677"/>
        <v>0.30680061823802163</v>
      </c>
      <c r="AY203" s="750">
        <f t="shared" ref="AY203:BW203" si="678">AY198/-AY193</f>
        <v>0.30475925410520455</v>
      </c>
      <c r="AZ203" s="750">
        <f>AZ198/-AZ193</f>
        <v>0.30424143556280586</v>
      </c>
      <c r="BA203" s="750">
        <f>BA198/-BA193</f>
        <v>0.35076467686235796</v>
      </c>
      <c r="BB203" s="750">
        <f t="shared" si="678"/>
        <v>0.32529582496092874</v>
      </c>
      <c r="BC203" s="750">
        <f>BC198/-BC193</f>
        <v>0.29478357380688125</v>
      </c>
      <c r="BD203" s="750">
        <f t="shared" ref="BD203" si="679">BD198/-BD193</f>
        <v>0.29717845364602408</v>
      </c>
      <c r="BE203" s="750">
        <f t="shared" si="678"/>
        <v>0.29568703345313796</v>
      </c>
      <c r="BF203" s="750">
        <f>BF198/-BF193</f>
        <v>0.29866017052375149</v>
      </c>
      <c r="BG203" s="750">
        <f>BG198/-BG193</f>
        <v>0.29550438596491224</v>
      </c>
      <c r="BH203" s="750">
        <f t="shared" si="678"/>
        <v>0.29717528698568296</v>
      </c>
      <c r="BI203" s="750">
        <f t="shared" ref="BI203:BP203" si="680">BI198/-BI193</f>
        <v>0.29838366652488307</v>
      </c>
      <c r="BJ203" s="750">
        <f t="shared" si="680"/>
        <v>0.29685807150595878</v>
      </c>
      <c r="BK203" s="750">
        <f t="shared" si="680"/>
        <v>0.29781823049123274</v>
      </c>
      <c r="BL203" s="152">
        <f t="shared" si="680"/>
        <v>0.29949642194540155</v>
      </c>
      <c r="BM203" s="750">
        <f t="shared" si="680"/>
        <v>0.30227908836465417</v>
      </c>
      <c r="BN203" s="750">
        <f t="shared" si="680"/>
        <v>0.30060567421102963</v>
      </c>
      <c r="BO203" s="152">
        <f t="shared" ref="BO203" si="681">BO198/-BO193</f>
        <v>0.30144360166381207</v>
      </c>
      <c r="BP203" s="750">
        <f t="shared" si="680"/>
        <v>0.31623602005399154</v>
      </c>
      <c r="BQ203" s="750">
        <f t="shared" ref="BQ203:BS203" si="682">BQ198/-BQ193</f>
        <v>0.30718562874251498</v>
      </c>
      <c r="BR203" s="1869">
        <f t="shared" ref="BR203" si="683">BR198/-BR193</f>
        <v>0.30127912288716308</v>
      </c>
      <c r="BS203" s="750">
        <f t="shared" si="682"/>
        <v>0.30059908173623251</v>
      </c>
      <c r="BT203" s="750">
        <f t="shared" si="678"/>
        <v>0.30101217544374359</v>
      </c>
      <c r="BU203" s="750">
        <f>BU198/-BU193</f>
        <v>0.3</v>
      </c>
      <c r="BV203" s="750">
        <f>BV198/-BV193</f>
        <v>0.3025758427215664</v>
      </c>
      <c r="BW203" s="750">
        <f t="shared" si="678"/>
        <v>0.30101217544374359</v>
      </c>
      <c r="BX203" s="750">
        <f>BX198/-BX193</f>
        <v>0.3</v>
      </c>
      <c r="BY203" s="750">
        <f>BY198/-BY193</f>
        <v>0.30260394840476046</v>
      </c>
      <c r="BZ203" s="750">
        <f t="shared" ref="BZ203" si="684">BZ198/-BZ193</f>
        <v>0.30101217544374359</v>
      </c>
      <c r="CA203" s="750">
        <f>CA198/-CA193</f>
        <v>0.3</v>
      </c>
      <c r="CB203" s="750">
        <f>CB198/-CB193</f>
        <v>0.30260202541921755</v>
      </c>
      <c r="CC203" s="750">
        <f t="shared" ref="CC203" si="685">CC198/-CC193</f>
        <v>0.30101217544374359</v>
      </c>
      <c r="CD203" s="94"/>
      <c r="CE203" s="94"/>
    </row>
    <row r="204" spans="1:83" outlineLevel="1">
      <c r="A204" s="746"/>
      <c r="B204" s="350"/>
      <c r="C204" s="350"/>
      <c r="D204" s="349"/>
      <c r="E204" s="349"/>
      <c r="F204" s="350"/>
      <c r="G204" s="350"/>
      <c r="H204" s="350"/>
      <c r="I204" s="350"/>
      <c r="J204" s="350"/>
      <c r="K204" s="350"/>
      <c r="L204" s="350"/>
      <c r="M204" s="350"/>
      <c r="N204" s="350"/>
      <c r="O204" s="350"/>
      <c r="P204" s="350"/>
      <c r="Q204" s="350"/>
      <c r="R204" s="350"/>
      <c r="S204" s="349"/>
      <c r="T204" s="349"/>
      <c r="U204" s="350"/>
      <c r="V204" s="349"/>
      <c r="W204" s="349"/>
      <c r="X204" s="350"/>
      <c r="Y204" s="349"/>
      <c r="Z204" s="349"/>
      <c r="AA204" s="350"/>
      <c r="AB204" s="349"/>
      <c r="AC204" s="349"/>
      <c r="AD204" s="350"/>
      <c r="AE204" s="349"/>
      <c r="AF204" s="349"/>
      <c r="AG204" s="350"/>
      <c r="AH204" s="349"/>
      <c r="AI204" s="349"/>
      <c r="AJ204" s="349"/>
      <c r="AK204" s="349"/>
      <c r="AL204" s="349"/>
      <c r="AM204" s="349"/>
      <c r="AN204" s="349"/>
      <c r="AO204" s="349"/>
      <c r="AP204" s="349"/>
      <c r="AQ204" s="349"/>
      <c r="AR204" s="349"/>
      <c r="AS204" s="349"/>
      <c r="AT204" s="349"/>
      <c r="AU204" s="349"/>
      <c r="AV204" s="349"/>
      <c r="AW204" s="712"/>
      <c r="AX204" s="712"/>
      <c r="AY204" s="349"/>
      <c r="AZ204" s="349"/>
      <c r="BA204" s="349"/>
      <c r="BB204" s="349"/>
      <c r="BC204" s="349"/>
      <c r="BD204" s="349"/>
      <c r="BE204" s="349"/>
      <c r="BF204" s="349"/>
      <c r="BG204" s="349"/>
      <c r="BH204" s="349"/>
      <c r="BI204" s="349"/>
      <c r="BJ204" s="349"/>
      <c r="BK204" s="349"/>
      <c r="BL204" s="74"/>
      <c r="BM204" s="349"/>
      <c r="BN204" s="349"/>
      <c r="BO204" s="74"/>
      <c r="BP204" s="350"/>
      <c r="BQ204" s="349"/>
      <c r="BR204" s="1870"/>
      <c r="BS204" s="350"/>
      <c r="BT204" s="350"/>
      <c r="BU204" s="350"/>
      <c r="BV204" s="350"/>
      <c r="BW204" s="350"/>
      <c r="BX204" s="350"/>
      <c r="BY204" s="350"/>
      <c r="BZ204" s="350"/>
      <c r="CA204" s="350"/>
      <c r="CB204" s="350"/>
      <c r="CC204" s="350"/>
      <c r="CD204" s="143"/>
      <c r="CE204" s="143"/>
    </row>
    <row r="205" spans="1:83" outlineLevel="1">
      <c r="A205" s="746" t="s">
        <v>397</v>
      </c>
      <c r="B205" s="350" t="s">
        <v>396</v>
      </c>
      <c r="C205" s="350">
        <f t="shared" ref="C205:BJ205" si="686">C114+C115</f>
        <v>0</v>
      </c>
      <c r="D205" s="350"/>
      <c r="E205" s="350"/>
      <c r="F205" s="350">
        <f t="shared" si="686"/>
        <v>0</v>
      </c>
      <c r="G205" s="350"/>
      <c r="H205" s="350"/>
      <c r="I205" s="350">
        <f t="shared" si="686"/>
        <v>0</v>
      </c>
      <c r="J205" s="350"/>
      <c r="K205" s="350"/>
      <c r="L205" s="350">
        <f t="shared" si="686"/>
        <v>0</v>
      </c>
      <c r="M205" s="350"/>
      <c r="N205" s="350"/>
      <c r="O205" s="350">
        <f t="shared" si="686"/>
        <v>0</v>
      </c>
      <c r="P205" s="350"/>
      <c r="Q205" s="350"/>
      <c r="R205" s="350">
        <f t="shared" si="686"/>
        <v>0</v>
      </c>
      <c r="S205" s="350"/>
      <c r="T205" s="350"/>
      <c r="U205" s="350">
        <f t="shared" si="686"/>
        <v>0</v>
      </c>
      <c r="V205" s="350"/>
      <c r="W205" s="350"/>
      <c r="X205" s="350">
        <f t="shared" si="686"/>
        <v>0</v>
      </c>
      <c r="Y205" s="350"/>
      <c r="Z205" s="350"/>
      <c r="AA205" s="350">
        <f t="shared" si="686"/>
        <v>-24.7</v>
      </c>
      <c r="AB205" s="350"/>
      <c r="AC205" s="350"/>
      <c r="AD205" s="350">
        <f t="shared" si="686"/>
        <v>0</v>
      </c>
      <c r="AE205" s="350"/>
      <c r="AF205" s="350"/>
      <c r="AG205" s="350">
        <f t="shared" si="686"/>
        <v>0</v>
      </c>
      <c r="AH205" s="350"/>
      <c r="AI205" s="350"/>
      <c r="AJ205" s="350">
        <f t="shared" si="686"/>
        <v>0</v>
      </c>
      <c r="AK205" s="350"/>
      <c r="AL205" s="350"/>
      <c r="AM205" s="350">
        <f t="shared" si="686"/>
        <v>0</v>
      </c>
      <c r="AN205" s="350"/>
      <c r="AO205" s="350"/>
      <c r="AP205" s="350">
        <f t="shared" si="686"/>
        <v>0</v>
      </c>
      <c r="AQ205" s="350"/>
      <c r="AR205" s="350"/>
      <c r="AS205" s="350">
        <f t="shared" si="686"/>
        <v>-35.361831000000002</v>
      </c>
      <c r="AT205" s="350"/>
      <c r="AU205" s="350"/>
      <c r="AV205" s="350">
        <f>AV114+AV115</f>
        <v>0</v>
      </c>
      <c r="AW205" s="715">
        <f>AW114+AW115</f>
        <v>0</v>
      </c>
      <c r="AX205" s="715">
        <f t="shared" si="686"/>
        <v>0</v>
      </c>
      <c r="AY205" s="350">
        <f t="shared" si="686"/>
        <v>0</v>
      </c>
      <c r="AZ205" s="350">
        <f t="shared" si="686"/>
        <v>0</v>
      </c>
      <c r="BA205" s="350">
        <f t="shared" si="686"/>
        <v>-24</v>
      </c>
      <c r="BB205" s="350">
        <f t="shared" si="686"/>
        <v>-24</v>
      </c>
      <c r="BC205" s="350">
        <f t="shared" si="686"/>
        <v>0</v>
      </c>
      <c r="BD205" s="350">
        <f t="shared" si="686"/>
        <v>0</v>
      </c>
      <c r="BE205" s="350">
        <f t="shared" si="686"/>
        <v>-4.4000000000000004</v>
      </c>
      <c r="BF205" s="350">
        <f t="shared" si="686"/>
        <v>0</v>
      </c>
      <c r="BG205" s="350">
        <f t="shared" si="686"/>
        <v>-4.0999999999999996</v>
      </c>
      <c r="BH205" s="350">
        <f t="shared" si="686"/>
        <v>-4.0999999999999996</v>
      </c>
      <c r="BI205" s="118">
        <f t="shared" si="686"/>
        <v>0</v>
      </c>
      <c r="BJ205" s="350">
        <f t="shared" si="686"/>
        <v>0</v>
      </c>
      <c r="BK205" s="118">
        <f t="shared" ref="BK205:BM205" si="687">BK114+BK115</f>
        <v>0</v>
      </c>
      <c r="BL205" s="118">
        <f t="shared" si="687"/>
        <v>0</v>
      </c>
      <c r="BM205" s="350">
        <f t="shared" si="687"/>
        <v>0</v>
      </c>
      <c r="BN205" s="118">
        <f t="shared" ref="BN205:BO205" si="688">BN114+BN115</f>
        <v>0</v>
      </c>
      <c r="BO205" s="118">
        <f t="shared" si="688"/>
        <v>0</v>
      </c>
      <c r="BP205" s="350">
        <f>+BQ205</f>
        <v>-13.7</v>
      </c>
      <c r="BQ205" s="118">
        <f t="shared" ref="BQ205:BW205" si="689">BQ114+BQ115</f>
        <v>-13.7</v>
      </c>
      <c r="BR205" s="1870">
        <f t="shared" si="689"/>
        <v>0</v>
      </c>
      <c r="BS205" s="350">
        <f t="shared" si="689"/>
        <v>0</v>
      </c>
      <c r="BT205" s="350">
        <f t="shared" si="689"/>
        <v>0</v>
      </c>
      <c r="BU205" s="350">
        <f t="shared" si="689"/>
        <v>0</v>
      </c>
      <c r="BV205" s="350">
        <f t="shared" si="689"/>
        <v>0</v>
      </c>
      <c r="BW205" s="350">
        <f t="shared" si="689"/>
        <v>0</v>
      </c>
      <c r="BX205" s="350">
        <f t="shared" ref="BX205:CC205" si="690">BX114+BX115</f>
        <v>0</v>
      </c>
      <c r="BY205" s="350">
        <f t="shared" si="690"/>
        <v>0</v>
      </c>
      <c r="BZ205" s="350">
        <f t="shared" si="690"/>
        <v>0</v>
      </c>
      <c r="CA205" s="350">
        <f t="shared" si="690"/>
        <v>0</v>
      </c>
      <c r="CB205" s="350">
        <f t="shared" si="690"/>
        <v>0</v>
      </c>
      <c r="CC205" s="350">
        <f t="shared" si="690"/>
        <v>0</v>
      </c>
      <c r="CD205" s="143"/>
      <c r="CE205" s="143"/>
    </row>
    <row r="206" spans="1:83" outlineLevel="1">
      <c r="A206" s="746"/>
      <c r="B206" s="350"/>
      <c r="C206" s="350"/>
      <c r="D206" s="349"/>
      <c r="E206" s="349"/>
      <c r="F206" s="350"/>
      <c r="G206" s="350"/>
      <c r="H206" s="350"/>
      <c r="I206" s="350"/>
      <c r="J206" s="350"/>
      <c r="K206" s="350"/>
      <c r="L206" s="350"/>
      <c r="M206" s="350"/>
      <c r="N206" s="350"/>
      <c r="O206" s="350"/>
      <c r="P206" s="350"/>
      <c r="Q206" s="350"/>
      <c r="R206" s="350"/>
      <c r="S206" s="349"/>
      <c r="T206" s="349"/>
      <c r="U206" s="350"/>
      <c r="V206" s="349"/>
      <c r="W206" s="349"/>
      <c r="X206" s="350"/>
      <c r="Y206" s="349"/>
      <c r="Z206" s="349"/>
      <c r="AA206" s="350"/>
      <c r="AB206" s="349"/>
      <c r="AC206" s="349"/>
      <c r="AD206" s="350"/>
      <c r="AE206" s="349"/>
      <c r="AF206" s="349"/>
      <c r="AG206" s="350"/>
      <c r="AH206" s="349"/>
      <c r="AI206" s="349"/>
      <c r="AJ206" s="349"/>
      <c r="AK206" s="349"/>
      <c r="AL206" s="349"/>
      <c r="AM206" s="349"/>
      <c r="AN206" s="349"/>
      <c r="AO206" s="349"/>
      <c r="AP206" s="349"/>
      <c r="AQ206" s="349"/>
      <c r="AR206" s="349"/>
      <c r="AS206" s="349"/>
      <c r="AT206" s="349"/>
      <c r="AU206" s="349"/>
      <c r="AV206" s="349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118"/>
      <c r="BQ206" s="118"/>
      <c r="BR206" s="1840"/>
      <c r="BS206" s="118"/>
      <c r="BT206" s="118"/>
      <c r="BU206" s="118"/>
      <c r="BV206" s="118"/>
      <c r="BW206" s="118"/>
      <c r="BX206" s="118"/>
      <c r="BY206" s="118"/>
      <c r="BZ206" s="118"/>
      <c r="CA206" s="118"/>
      <c r="CB206" s="118"/>
      <c r="CC206" s="118"/>
      <c r="CD206" s="143"/>
      <c r="CE206" s="143"/>
    </row>
    <row r="207" spans="1:83" ht="12.75" customHeight="1" outlineLevel="2">
      <c r="A207" s="746"/>
      <c r="B207" s="762" t="s">
        <v>351</v>
      </c>
      <c r="C207" s="350"/>
      <c r="D207" s="349"/>
      <c r="E207" s="349"/>
      <c r="F207" s="350"/>
      <c r="G207" s="350"/>
      <c r="H207" s="350"/>
      <c r="I207" s="350"/>
      <c r="J207" s="350"/>
      <c r="K207" s="350"/>
      <c r="L207" s="350"/>
      <c r="M207" s="350"/>
      <c r="N207" s="350"/>
      <c r="O207" s="350"/>
      <c r="P207" s="350"/>
      <c r="Q207" s="350"/>
      <c r="R207" s="350"/>
      <c r="S207" s="350"/>
      <c r="T207" s="350"/>
      <c r="U207" s="350"/>
      <c r="V207" s="349"/>
      <c r="W207" s="349"/>
      <c r="X207" s="350"/>
      <c r="Y207" s="349"/>
      <c r="Z207" s="349"/>
      <c r="AA207" s="350"/>
      <c r="AB207" s="349"/>
      <c r="AC207" s="349"/>
      <c r="AD207" s="350"/>
      <c r="AE207" s="349"/>
      <c r="AF207" s="349"/>
      <c r="AG207" s="350"/>
      <c r="AH207" s="349"/>
      <c r="AI207" s="349"/>
      <c r="AJ207" s="349"/>
      <c r="AK207" s="349"/>
      <c r="AL207" s="349"/>
      <c r="AM207" s="349"/>
      <c r="AN207" s="349"/>
      <c r="AO207" s="349"/>
      <c r="AP207" s="349"/>
      <c r="AQ207" s="349"/>
      <c r="AR207" s="349"/>
      <c r="AS207" s="349"/>
      <c r="AT207" s="349"/>
      <c r="AU207" s="349"/>
      <c r="AV207" s="349"/>
      <c r="AW207" s="74"/>
      <c r="AX207" s="74"/>
      <c r="AY207" s="74"/>
      <c r="AZ207" s="74"/>
      <c r="BA207" s="740"/>
      <c r="BB207" s="740"/>
      <c r="BC207" s="74"/>
      <c r="BD207" s="74"/>
      <c r="BE207" s="740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118"/>
      <c r="BQ207" s="118"/>
      <c r="BR207" s="1840"/>
      <c r="BS207" s="118"/>
      <c r="BT207" s="118"/>
      <c r="BU207" s="118"/>
      <c r="BV207" s="118"/>
      <c r="BW207" s="118"/>
      <c r="BX207" s="118"/>
      <c r="BY207" s="118"/>
      <c r="BZ207" s="118"/>
      <c r="CA207" s="118"/>
      <c r="CB207" s="118"/>
      <c r="CC207" s="118"/>
      <c r="CD207" s="143"/>
      <c r="CE207" s="143"/>
    </row>
    <row r="208" spans="1:83" ht="12.75" customHeight="1" outlineLevel="2">
      <c r="A208" s="746"/>
      <c r="B208" s="762" t="s">
        <v>352</v>
      </c>
      <c r="C208" s="350"/>
      <c r="D208" s="349"/>
      <c r="E208" s="349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0"/>
      <c r="R208" s="350"/>
      <c r="S208" s="350"/>
      <c r="T208" s="350"/>
      <c r="U208" s="350"/>
      <c r="V208" s="349"/>
      <c r="W208" s="349"/>
      <c r="X208" s="350"/>
      <c r="Y208" s="349"/>
      <c r="Z208" s="349"/>
      <c r="AA208" s="350"/>
      <c r="AB208" s="349"/>
      <c r="AC208" s="349"/>
      <c r="AD208" s="350"/>
      <c r="AE208" s="349"/>
      <c r="AF208" s="349"/>
      <c r="AG208" s="350"/>
      <c r="AH208" s="349"/>
      <c r="AI208" s="349"/>
      <c r="AJ208" s="349"/>
      <c r="AK208" s="349"/>
      <c r="AL208" s="349"/>
      <c r="AM208" s="349"/>
      <c r="AN208" s="349"/>
      <c r="AO208" s="349"/>
      <c r="AP208" s="349"/>
      <c r="AQ208" s="349"/>
      <c r="AR208" s="349"/>
      <c r="AS208" s="349"/>
      <c r="AT208" s="349"/>
      <c r="AU208" s="349"/>
      <c r="AV208" s="349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  <c r="BN208" s="74"/>
      <c r="BO208" s="74"/>
      <c r="BP208" s="118"/>
      <c r="BQ208" s="118"/>
      <c r="BR208" s="1840"/>
      <c r="BS208" s="118"/>
      <c r="BT208" s="118"/>
      <c r="BU208" s="118"/>
      <c r="BV208" s="118"/>
      <c r="BW208" s="118"/>
      <c r="BX208" s="118"/>
      <c r="BY208" s="118"/>
      <c r="BZ208" s="118"/>
      <c r="CA208" s="118"/>
      <c r="CB208" s="118"/>
      <c r="CC208" s="118"/>
      <c r="CD208" s="143"/>
      <c r="CE208" s="143"/>
    </row>
    <row r="209" spans="1:83" ht="12.75" customHeight="1" outlineLevel="2">
      <c r="A209" s="746"/>
      <c r="B209" s="762" t="s">
        <v>353</v>
      </c>
      <c r="C209" s="350"/>
      <c r="D209" s="349"/>
      <c r="E209" s="349"/>
      <c r="F209" s="350"/>
      <c r="G209" s="350"/>
      <c r="H209" s="350"/>
      <c r="I209" s="350"/>
      <c r="J209" s="350"/>
      <c r="K209" s="350"/>
      <c r="L209" s="350"/>
      <c r="M209" s="350"/>
      <c r="N209" s="350"/>
      <c r="O209" s="350"/>
      <c r="P209" s="350"/>
      <c r="Q209" s="350"/>
      <c r="R209" s="350"/>
      <c r="S209" s="350"/>
      <c r="T209" s="350"/>
      <c r="U209" s="350"/>
      <c r="V209" s="349"/>
      <c r="W209" s="349"/>
      <c r="X209" s="350"/>
      <c r="Y209" s="349"/>
      <c r="Z209" s="349"/>
      <c r="AA209" s="350"/>
      <c r="AB209" s="349"/>
      <c r="AC209" s="349"/>
      <c r="AD209" s="350"/>
      <c r="AE209" s="349"/>
      <c r="AF209" s="349"/>
      <c r="AG209" s="350"/>
      <c r="AH209" s="349"/>
      <c r="AI209" s="349"/>
      <c r="AJ209" s="349"/>
      <c r="AK209" s="349"/>
      <c r="AL209" s="349"/>
      <c r="AM209" s="349"/>
      <c r="AN209" s="349"/>
      <c r="AO209" s="349"/>
      <c r="AP209" s="349"/>
      <c r="AQ209" s="349"/>
      <c r="AR209" s="349"/>
      <c r="AS209" s="349"/>
      <c r="AT209" s="349"/>
      <c r="AU209" s="349"/>
      <c r="AV209" s="349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74"/>
      <c r="BN209" s="74"/>
      <c r="BO209" s="74"/>
      <c r="BP209" s="118"/>
      <c r="BQ209" s="118"/>
      <c r="BR209" s="1840"/>
      <c r="BS209" s="118"/>
      <c r="BT209" s="118"/>
      <c r="BU209" s="118"/>
      <c r="BV209" s="118"/>
      <c r="BW209" s="118"/>
      <c r="BX209" s="118"/>
      <c r="BY209" s="118"/>
      <c r="BZ209" s="118"/>
      <c r="CA209" s="118"/>
      <c r="CB209" s="118"/>
      <c r="CC209" s="118"/>
      <c r="CD209" s="143"/>
      <c r="CE209" s="143"/>
    </row>
    <row r="210" spans="1:83" ht="12.75" customHeight="1" outlineLevel="2">
      <c r="A210" s="746"/>
      <c r="B210" s="762" t="s">
        <v>354</v>
      </c>
      <c r="C210" s="350"/>
      <c r="D210" s="776"/>
      <c r="E210" s="776"/>
      <c r="F210" s="350"/>
      <c r="G210" s="350"/>
      <c r="H210" s="350"/>
      <c r="I210" s="350"/>
      <c r="J210" s="350"/>
      <c r="K210" s="350"/>
      <c r="L210" s="350"/>
      <c r="M210" s="350"/>
      <c r="N210" s="350"/>
      <c r="O210" s="350"/>
      <c r="P210" s="350"/>
      <c r="Q210" s="350"/>
      <c r="R210" s="350"/>
      <c r="S210" s="350"/>
      <c r="T210" s="350"/>
      <c r="U210" s="350"/>
      <c r="V210" s="776"/>
      <c r="W210" s="776"/>
      <c r="X210" s="350"/>
      <c r="Y210" s="776"/>
      <c r="Z210" s="776"/>
      <c r="AA210" s="350"/>
      <c r="AB210" s="776"/>
      <c r="AC210" s="776"/>
      <c r="AD210" s="350"/>
      <c r="AE210" s="776"/>
      <c r="AF210" s="776"/>
      <c r="AG210" s="350"/>
      <c r="AH210" s="776"/>
      <c r="AI210" s="776"/>
      <c r="AJ210" s="776"/>
      <c r="AK210" s="776"/>
      <c r="AL210" s="776"/>
      <c r="AM210" s="776"/>
      <c r="AN210" s="776"/>
      <c r="AO210" s="776"/>
      <c r="AP210" s="776"/>
      <c r="AQ210" s="776"/>
      <c r="AR210" s="776"/>
      <c r="AS210" s="776"/>
      <c r="AT210" s="776"/>
      <c r="AU210" s="776"/>
      <c r="AV210" s="776"/>
      <c r="AW210" s="579"/>
      <c r="AX210" s="579"/>
      <c r="AY210" s="579"/>
      <c r="AZ210" s="579"/>
      <c r="BA210" s="579"/>
      <c r="BB210" s="579"/>
      <c r="BC210" s="579"/>
      <c r="BD210" s="579"/>
      <c r="BE210" s="579"/>
      <c r="BF210" s="579"/>
      <c r="BG210" s="579"/>
      <c r="BH210" s="579"/>
      <c r="BI210" s="579"/>
      <c r="BJ210" s="579"/>
      <c r="BK210" s="579"/>
      <c r="BL210" s="579"/>
      <c r="BM210" s="579"/>
      <c r="BN210" s="579"/>
      <c r="BO210" s="579"/>
      <c r="BP210" s="118"/>
      <c r="BQ210" s="118"/>
      <c r="BR210" s="1840"/>
      <c r="BS210" s="118"/>
      <c r="BT210" s="118"/>
      <c r="BU210" s="118"/>
      <c r="BV210" s="118"/>
      <c r="BW210" s="118"/>
      <c r="BX210" s="118"/>
      <c r="BY210" s="118"/>
      <c r="BZ210" s="118"/>
      <c r="CA210" s="118"/>
      <c r="CB210" s="118"/>
      <c r="CC210" s="118"/>
      <c r="CD210" s="143"/>
      <c r="CE210" s="143"/>
    </row>
    <row r="211" spans="1:83" outlineLevel="1" collapsed="1">
      <c r="A211" s="746"/>
      <c r="B211" s="350"/>
      <c r="C211" s="350"/>
      <c r="D211" s="349"/>
      <c r="E211" s="349"/>
      <c r="F211" s="350"/>
      <c r="G211" s="350"/>
      <c r="H211" s="350"/>
      <c r="I211" s="350"/>
      <c r="J211" s="350"/>
      <c r="K211" s="350"/>
      <c r="L211" s="350"/>
      <c r="M211" s="350"/>
      <c r="N211" s="350"/>
      <c r="O211" s="350"/>
      <c r="P211" s="350"/>
      <c r="Q211" s="350"/>
      <c r="R211" s="350"/>
      <c r="S211" s="350"/>
      <c r="T211" s="350"/>
      <c r="U211" s="350"/>
      <c r="V211" s="349"/>
      <c r="W211" s="349"/>
      <c r="X211" s="350"/>
      <c r="Y211" s="349"/>
      <c r="Z211" s="349"/>
      <c r="AA211" s="350"/>
      <c r="AB211" s="349"/>
      <c r="AC211" s="349"/>
      <c r="AD211" s="350"/>
      <c r="AE211" s="349"/>
      <c r="AF211" s="349"/>
      <c r="AG211" s="350"/>
      <c r="AH211" s="349"/>
      <c r="AI211" s="349"/>
      <c r="AJ211" s="349"/>
      <c r="AK211" s="349"/>
      <c r="AL211" s="349"/>
      <c r="AM211" s="349"/>
      <c r="AN211" s="349"/>
      <c r="AO211" s="349"/>
      <c r="AP211" s="349"/>
      <c r="AQ211" s="349"/>
      <c r="AR211" s="349"/>
      <c r="AS211" s="349"/>
      <c r="AT211" s="349"/>
      <c r="AU211" s="349"/>
      <c r="AV211" s="349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118"/>
      <c r="BQ211" s="118"/>
      <c r="BR211" s="1840"/>
      <c r="BS211" s="118"/>
      <c r="BT211" s="118"/>
      <c r="BU211" s="118"/>
      <c r="BV211" s="118"/>
      <c r="BW211" s="118"/>
      <c r="BX211" s="118"/>
      <c r="BY211" s="118"/>
      <c r="BZ211" s="118"/>
      <c r="CA211" s="118"/>
      <c r="CB211" s="118"/>
      <c r="CC211" s="118"/>
      <c r="CD211" s="143"/>
      <c r="CE211" s="143"/>
    </row>
    <row r="212" spans="1:83" collapsed="1">
      <c r="A212" s="746"/>
      <c r="B212" s="350"/>
      <c r="C212" s="350"/>
      <c r="D212" s="349"/>
      <c r="E212" s="349"/>
      <c r="F212" s="350"/>
      <c r="G212" s="350"/>
      <c r="H212" s="350"/>
      <c r="I212" s="350"/>
      <c r="J212" s="350"/>
      <c r="K212" s="350"/>
      <c r="L212" s="350"/>
      <c r="M212" s="350"/>
      <c r="N212" s="350"/>
      <c r="O212" s="350"/>
      <c r="P212" s="350"/>
      <c r="Q212" s="350"/>
      <c r="R212" s="350"/>
      <c r="S212" s="350"/>
      <c r="T212" s="350"/>
      <c r="U212" s="350"/>
      <c r="V212" s="349"/>
      <c r="W212" s="349"/>
      <c r="X212" s="350"/>
      <c r="Y212" s="349"/>
      <c r="Z212" s="349"/>
      <c r="AA212" s="350"/>
      <c r="AB212" s="349"/>
      <c r="AC212" s="349"/>
      <c r="AD212" s="350"/>
      <c r="AE212" s="349"/>
      <c r="AF212" s="349"/>
      <c r="AG212" s="350"/>
      <c r="AH212" s="349"/>
      <c r="AI212" s="349"/>
      <c r="AJ212" s="349"/>
      <c r="AK212" s="349"/>
      <c r="AL212" s="349"/>
      <c r="AM212" s="349"/>
      <c r="AN212" s="349"/>
      <c r="AO212" s="349"/>
      <c r="AP212" s="349"/>
      <c r="AQ212" s="349"/>
      <c r="AR212" s="349"/>
      <c r="AS212" s="349"/>
      <c r="AT212" s="349"/>
      <c r="AU212" s="349"/>
      <c r="AV212" s="349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118"/>
      <c r="BQ212" s="118"/>
      <c r="BR212" s="1840"/>
      <c r="BS212" s="118"/>
      <c r="BT212" s="118"/>
      <c r="BU212" s="118"/>
      <c r="BV212" s="118"/>
      <c r="BW212" s="118"/>
      <c r="BX212" s="118"/>
      <c r="BY212" s="118"/>
      <c r="BZ212" s="118"/>
      <c r="CA212" s="118"/>
      <c r="CB212" s="118"/>
      <c r="CC212" s="118"/>
      <c r="CD212" s="143"/>
      <c r="CE212" s="143"/>
    </row>
    <row r="213" spans="1:83">
      <c r="A213" s="746"/>
      <c r="B213" s="350" t="s">
        <v>355</v>
      </c>
      <c r="C213" s="350"/>
      <c r="D213" s="349"/>
      <c r="E213" s="349"/>
      <c r="F213" s="350"/>
      <c r="G213" s="350"/>
      <c r="H213" s="350"/>
      <c r="I213" s="350"/>
      <c r="J213" s="350"/>
      <c r="K213" s="350"/>
      <c r="L213" s="350"/>
      <c r="M213" s="350"/>
      <c r="N213" s="350"/>
      <c r="O213" s="350"/>
      <c r="P213" s="350"/>
      <c r="Q213" s="350"/>
      <c r="R213" s="350"/>
      <c r="S213" s="350"/>
      <c r="T213" s="350"/>
      <c r="U213" s="350"/>
      <c r="V213" s="349"/>
      <c r="W213" s="349"/>
      <c r="X213" s="350"/>
      <c r="Y213" s="350"/>
      <c r="Z213" s="350"/>
      <c r="AA213" s="350"/>
      <c r="AB213" s="349"/>
      <c r="AC213" s="349"/>
      <c r="AD213" s="350"/>
      <c r="AE213" s="349"/>
      <c r="AF213" s="349"/>
      <c r="AG213" s="350"/>
      <c r="AH213" s="349"/>
      <c r="AI213" s="349"/>
      <c r="AJ213" s="349"/>
      <c r="AK213" s="349"/>
      <c r="AL213" s="349"/>
      <c r="AM213" s="349"/>
      <c r="AN213" s="349"/>
      <c r="AO213" s="349"/>
      <c r="AP213" s="349"/>
      <c r="AQ213" s="349"/>
      <c r="AR213" s="349"/>
      <c r="AS213" s="349"/>
      <c r="AT213" s="349"/>
      <c r="AU213" s="349"/>
      <c r="AV213" s="349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118"/>
      <c r="BQ213" s="118"/>
      <c r="BR213" s="1840"/>
      <c r="BS213" s="118"/>
      <c r="BT213" s="118"/>
      <c r="BU213" s="118"/>
      <c r="BV213" s="118"/>
      <c r="BW213" s="118"/>
      <c r="BX213" s="118"/>
      <c r="BY213" s="118"/>
      <c r="BZ213" s="118"/>
      <c r="CA213" s="118"/>
      <c r="CB213" s="118"/>
      <c r="CC213" s="118"/>
      <c r="CD213" s="143"/>
      <c r="CE213" s="143"/>
    </row>
    <row r="214" spans="1:83" ht="12.75" customHeight="1" outlineLevel="1">
      <c r="A214" s="746"/>
      <c r="B214" s="350"/>
      <c r="C214" s="350"/>
      <c r="D214" s="349"/>
      <c r="E214" s="349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0"/>
      <c r="R214" s="350"/>
      <c r="S214" s="350"/>
      <c r="T214" s="350"/>
      <c r="U214" s="350"/>
      <c r="V214" s="349"/>
      <c r="W214" s="349"/>
      <c r="X214" s="350"/>
      <c r="Y214" s="350"/>
      <c r="Z214" s="350"/>
      <c r="AA214" s="350"/>
      <c r="AB214" s="349"/>
      <c r="AC214" s="349"/>
      <c r="AD214" s="350"/>
      <c r="AE214" s="349"/>
      <c r="AF214" s="349"/>
      <c r="AG214" s="350"/>
      <c r="AH214" s="349"/>
      <c r="AI214" s="349"/>
      <c r="AJ214" s="349"/>
      <c r="AK214" s="349"/>
      <c r="AL214" s="349"/>
      <c r="AM214" s="349"/>
      <c r="AN214" s="349"/>
      <c r="AO214" s="349"/>
      <c r="AP214" s="349"/>
      <c r="AQ214" s="349"/>
      <c r="AR214" s="349"/>
      <c r="AS214" s="349"/>
      <c r="AT214" s="349"/>
      <c r="AU214" s="349"/>
      <c r="AV214" s="349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118"/>
      <c r="BQ214" s="118"/>
      <c r="BR214" s="1840"/>
      <c r="BS214" s="118"/>
      <c r="BT214" s="118"/>
      <c r="BU214" s="118"/>
      <c r="BV214" s="118"/>
      <c r="BW214" s="118"/>
      <c r="BX214" s="118"/>
      <c r="BY214" s="118"/>
      <c r="BZ214" s="118"/>
      <c r="CA214" s="118"/>
      <c r="CB214" s="118"/>
      <c r="CC214" s="118"/>
      <c r="CD214" s="143"/>
      <c r="CE214" s="143"/>
    </row>
    <row r="215" spans="1:83" ht="12.75" customHeight="1" outlineLevel="1">
      <c r="A215" s="746"/>
      <c r="B215" s="350" t="s">
        <v>356</v>
      </c>
      <c r="C215" s="350">
        <v>-0.90000000000000036</v>
      </c>
      <c r="D215" s="349"/>
      <c r="E215" s="349"/>
      <c r="F215" s="350">
        <v>-2.6999999999999993</v>
      </c>
      <c r="G215" s="350"/>
      <c r="H215" s="350"/>
      <c r="I215" s="350">
        <v>0</v>
      </c>
      <c r="J215" s="350"/>
      <c r="K215" s="350"/>
      <c r="L215" s="350"/>
      <c r="M215" s="350"/>
      <c r="N215" s="350"/>
      <c r="O215" s="350"/>
      <c r="P215" s="350"/>
      <c r="Q215" s="350"/>
      <c r="R215" s="350"/>
      <c r="S215" s="350"/>
      <c r="T215" s="350"/>
      <c r="U215" s="350"/>
      <c r="V215" s="349"/>
      <c r="W215" s="349"/>
      <c r="X215" s="350"/>
      <c r="Y215" s="350"/>
      <c r="Z215" s="350"/>
      <c r="AA215" s="350"/>
      <c r="AB215" s="349"/>
      <c r="AC215" s="349"/>
      <c r="AD215" s="350"/>
      <c r="AE215" s="349"/>
      <c r="AF215" s="349"/>
      <c r="AG215" s="350"/>
      <c r="AH215" s="349"/>
      <c r="AI215" s="349"/>
      <c r="AJ215" s="349"/>
      <c r="AK215" s="349"/>
      <c r="AL215" s="349"/>
      <c r="AM215" s="349"/>
      <c r="AN215" s="349"/>
      <c r="AO215" s="349"/>
      <c r="AP215" s="349"/>
      <c r="AQ215" s="349"/>
      <c r="AR215" s="349"/>
      <c r="AS215" s="349"/>
      <c r="AT215" s="349"/>
      <c r="AU215" s="349"/>
      <c r="AV215" s="349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118"/>
      <c r="BQ215" s="118"/>
      <c r="BR215" s="1840"/>
      <c r="BS215" s="118"/>
      <c r="BT215" s="118"/>
      <c r="BU215" s="118"/>
      <c r="BV215" s="118"/>
      <c r="BW215" s="118"/>
      <c r="BX215" s="118"/>
      <c r="BY215" s="118"/>
      <c r="BZ215" s="118"/>
      <c r="CA215" s="118"/>
      <c r="CB215" s="118"/>
      <c r="CC215" s="118"/>
      <c r="CD215" s="143"/>
      <c r="CE215" s="143"/>
    </row>
    <row r="216" spans="1:83" ht="14.25" customHeight="1" outlineLevel="1">
      <c r="A216" s="746"/>
      <c r="B216" s="350" t="s">
        <v>357</v>
      </c>
      <c r="C216" s="350">
        <f t="shared" ref="C216:BB216" si="691">C217*-C86</f>
        <v>0</v>
      </c>
      <c r="D216" s="350"/>
      <c r="E216" s="350"/>
      <c r="F216" s="350">
        <f t="shared" si="691"/>
        <v>0</v>
      </c>
      <c r="G216" s="350"/>
      <c r="H216" s="350"/>
      <c r="I216" s="350">
        <f t="shared" si="691"/>
        <v>10.89</v>
      </c>
      <c r="J216" s="350"/>
      <c r="K216" s="350"/>
      <c r="L216" s="350">
        <f t="shared" si="691"/>
        <v>10.329999999999998</v>
      </c>
      <c r="M216" s="350"/>
      <c r="N216" s="350"/>
      <c r="O216" s="350">
        <f t="shared" si="691"/>
        <v>9.8699999999999992</v>
      </c>
      <c r="P216" s="350"/>
      <c r="Q216" s="350"/>
      <c r="R216" s="350">
        <f t="shared" si="691"/>
        <v>0</v>
      </c>
      <c r="S216" s="350"/>
      <c r="T216" s="350"/>
      <c r="U216" s="350">
        <f t="shared" si="691"/>
        <v>0</v>
      </c>
      <c r="V216" s="350"/>
      <c r="W216" s="350"/>
      <c r="X216" s="350">
        <f t="shared" si="691"/>
        <v>0</v>
      </c>
      <c r="Y216" s="350"/>
      <c r="Z216" s="350"/>
      <c r="AA216" s="350">
        <f t="shared" si="691"/>
        <v>0</v>
      </c>
      <c r="AB216" s="350"/>
      <c r="AC216" s="350"/>
      <c r="AD216" s="350">
        <f t="shared" si="691"/>
        <v>0</v>
      </c>
      <c r="AE216" s="350"/>
      <c r="AF216" s="350"/>
      <c r="AG216" s="350">
        <f t="shared" si="691"/>
        <v>2.4900000000000002</v>
      </c>
      <c r="AH216" s="350"/>
      <c r="AI216" s="350"/>
      <c r="AJ216" s="350">
        <f t="shared" si="691"/>
        <v>0.87999999999999989</v>
      </c>
      <c r="AK216" s="350"/>
      <c r="AL216" s="350"/>
      <c r="AM216" s="350">
        <f t="shared" si="691"/>
        <v>0</v>
      </c>
      <c r="AN216" s="350"/>
      <c r="AO216" s="350"/>
      <c r="AP216" s="350">
        <f t="shared" si="691"/>
        <v>0</v>
      </c>
      <c r="AQ216" s="350"/>
      <c r="AR216" s="350"/>
      <c r="AS216" s="350">
        <f t="shared" si="691"/>
        <v>0</v>
      </c>
      <c r="AT216" s="350"/>
      <c r="AU216" s="350"/>
      <c r="AV216" s="350">
        <f>AV217*-AV86</f>
        <v>0</v>
      </c>
      <c r="AW216" s="118"/>
      <c r="AX216" s="118"/>
      <c r="AY216" s="118">
        <f t="shared" si="691"/>
        <v>0</v>
      </c>
      <c r="AZ216" s="118"/>
      <c r="BA216" s="118"/>
      <c r="BB216" s="118">
        <f t="shared" si="691"/>
        <v>0</v>
      </c>
      <c r="BC216" s="118"/>
      <c r="BD216" s="118"/>
      <c r="BE216" s="118">
        <f t="shared" ref="BE216:BW216" si="692">BE217*-BE86</f>
        <v>0</v>
      </c>
      <c r="BF216" s="118"/>
      <c r="BG216" s="118"/>
      <c r="BH216" s="118">
        <f>BH217*-BH86</f>
        <v>0</v>
      </c>
      <c r="BI216" s="118"/>
      <c r="BJ216" s="118"/>
      <c r="BK216" s="118"/>
      <c r="BL216" s="118"/>
      <c r="BM216" s="118"/>
      <c r="BN216" s="118"/>
      <c r="BO216" s="118"/>
      <c r="BP216" s="118"/>
      <c r="BQ216" s="118">
        <f t="shared" si="692"/>
        <v>4</v>
      </c>
      <c r="BR216" s="1840"/>
      <c r="BS216" s="118"/>
      <c r="BT216" s="118">
        <f t="shared" si="692"/>
        <v>5.6679091850828556</v>
      </c>
      <c r="BU216" s="118"/>
      <c r="BV216" s="118"/>
      <c r="BW216" s="118">
        <f t="shared" si="692"/>
        <v>5.8379464606353491</v>
      </c>
      <c r="BX216" s="118"/>
      <c r="BY216" s="118"/>
      <c r="BZ216" s="118">
        <f t="shared" ref="BZ216" si="693">BZ217*-BZ86</f>
        <v>6.0130848544544255</v>
      </c>
      <c r="CA216" s="118"/>
      <c r="CB216" s="118"/>
      <c r="CC216" s="118">
        <f t="shared" ref="CC216" si="694">CC217*-CC86</f>
        <v>6.1934774000880513</v>
      </c>
      <c r="CD216" s="143"/>
      <c r="CE216" s="143"/>
    </row>
    <row r="217" spans="1:83" ht="12.75" customHeight="1" outlineLevel="1">
      <c r="A217" s="746"/>
      <c r="B217" s="350" t="s">
        <v>358</v>
      </c>
      <c r="C217" s="777">
        <v>10</v>
      </c>
      <c r="D217" s="777"/>
      <c r="E217" s="777"/>
      <c r="F217" s="777">
        <v>10</v>
      </c>
      <c r="G217" s="777"/>
      <c r="H217" s="777"/>
      <c r="I217" s="777">
        <v>10</v>
      </c>
      <c r="J217" s="777"/>
      <c r="K217" s="777"/>
      <c r="L217" s="777">
        <v>10</v>
      </c>
      <c r="M217" s="777"/>
      <c r="N217" s="777"/>
      <c r="O217" s="777">
        <v>10</v>
      </c>
      <c r="P217" s="777"/>
      <c r="Q217" s="777"/>
      <c r="R217" s="777">
        <v>10</v>
      </c>
      <c r="S217" s="777"/>
      <c r="T217" s="777"/>
      <c r="U217" s="777">
        <v>10</v>
      </c>
      <c r="V217" s="777"/>
      <c r="W217" s="777"/>
      <c r="X217" s="777">
        <v>10</v>
      </c>
      <c r="Y217" s="777"/>
      <c r="Z217" s="777"/>
      <c r="AA217" s="777">
        <v>10</v>
      </c>
      <c r="AB217" s="777"/>
      <c r="AC217" s="777"/>
      <c r="AD217" s="777">
        <v>10</v>
      </c>
      <c r="AE217" s="777"/>
      <c r="AF217" s="777"/>
      <c r="AG217" s="777">
        <v>10</v>
      </c>
      <c r="AH217" s="777"/>
      <c r="AI217" s="777"/>
      <c r="AJ217" s="777">
        <v>10</v>
      </c>
      <c r="AK217" s="777"/>
      <c r="AL217" s="777"/>
      <c r="AM217" s="777">
        <v>10</v>
      </c>
      <c r="AN217" s="777"/>
      <c r="AO217" s="777"/>
      <c r="AP217" s="777">
        <v>10</v>
      </c>
      <c r="AQ217" s="777"/>
      <c r="AR217" s="777"/>
      <c r="AS217" s="777">
        <v>10</v>
      </c>
      <c r="AT217" s="777"/>
      <c r="AU217" s="777"/>
      <c r="AV217" s="777">
        <v>10</v>
      </c>
      <c r="AW217" s="580"/>
      <c r="AX217" s="580"/>
      <c r="AY217" s="580">
        <v>10</v>
      </c>
      <c r="AZ217" s="580"/>
      <c r="BA217" s="580"/>
      <c r="BB217" s="580">
        <v>10</v>
      </c>
      <c r="BC217" s="580"/>
      <c r="BD217" s="580"/>
      <c r="BE217" s="580">
        <v>10</v>
      </c>
      <c r="BF217" s="580"/>
      <c r="BG217" s="580"/>
      <c r="BH217" s="580">
        <v>10</v>
      </c>
      <c r="BI217" s="580"/>
      <c r="BJ217" s="580"/>
      <c r="BK217" s="580"/>
      <c r="BL217" s="580"/>
      <c r="BM217" s="580"/>
      <c r="BN217" s="580"/>
      <c r="BO217" s="580"/>
      <c r="BP217" s="580"/>
      <c r="BQ217" s="580">
        <v>10</v>
      </c>
      <c r="BR217" s="1871"/>
      <c r="BS217" s="580"/>
      <c r="BT217" s="580">
        <v>10</v>
      </c>
      <c r="BU217" s="580"/>
      <c r="BV217" s="580"/>
      <c r="BW217" s="580">
        <v>10</v>
      </c>
      <c r="BX217" s="580"/>
      <c r="BY217" s="580"/>
      <c r="BZ217" s="580">
        <v>10</v>
      </c>
      <c r="CA217" s="580"/>
      <c r="CB217" s="580"/>
      <c r="CC217" s="580">
        <v>10</v>
      </c>
      <c r="CD217" s="143"/>
      <c r="CE217" s="143"/>
    </row>
    <row r="218" spans="1:83" ht="12.75" customHeight="1" outlineLevel="1">
      <c r="A218" s="746"/>
      <c r="B218" s="350"/>
      <c r="C218" s="350"/>
      <c r="D218" s="349"/>
      <c r="E218" s="349"/>
      <c r="F218" s="350"/>
      <c r="G218" s="350"/>
      <c r="H218" s="350"/>
      <c r="I218" s="350"/>
      <c r="J218" s="350"/>
      <c r="K218" s="350"/>
      <c r="L218" s="350"/>
      <c r="M218" s="350"/>
      <c r="N218" s="350"/>
      <c r="O218" s="350"/>
      <c r="P218" s="350"/>
      <c r="Q218" s="350"/>
      <c r="R218" s="350"/>
      <c r="S218" s="350"/>
      <c r="T218" s="350"/>
      <c r="U218" s="350"/>
      <c r="V218" s="349"/>
      <c r="W218" s="349"/>
      <c r="X218" s="350"/>
      <c r="Y218" s="350"/>
      <c r="Z218" s="350"/>
      <c r="AA218" s="350"/>
      <c r="AB218" s="349"/>
      <c r="AC218" s="349"/>
      <c r="AD218" s="350"/>
      <c r="AE218" s="349"/>
      <c r="AF218" s="349"/>
      <c r="AG218" s="350"/>
      <c r="AH218" s="349"/>
      <c r="AI218" s="349"/>
      <c r="AJ218" s="349"/>
      <c r="AK218" s="349"/>
      <c r="AL218" s="349"/>
      <c r="AM218" s="349"/>
      <c r="AN218" s="349"/>
      <c r="AO218" s="349"/>
      <c r="AP218" s="349"/>
      <c r="AQ218" s="349"/>
      <c r="AR218" s="349"/>
      <c r="AS218" s="349"/>
      <c r="AT218" s="349"/>
      <c r="AU218" s="349"/>
      <c r="AV218" s="349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118"/>
      <c r="BQ218" s="118"/>
      <c r="BR218" s="1840"/>
      <c r="BS218" s="118"/>
      <c r="BT218" s="118"/>
      <c r="BU218" s="118"/>
      <c r="BV218" s="118"/>
      <c r="BW218" s="118"/>
      <c r="BX218" s="118"/>
      <c r="BY218" s="118"/>
      <c r="BZ218" s="118"/>
      <c r="CA218" s="118"/>
      <c r="CB218" s="118"/>
      <c r="CC218" s="118"/>
      <c r="CD218" s="143"/>
      <c r="CE218" s="143"/>
    </row>
    <row r="219" spans="1:83" ht="14.25" customHeight="1" outlineLevel="1">
      <c r="A219" s="746"/>
      <c r="B219" s="350" t="s">
        <v>359</v>
      </c>
      <c r="C219" s="350"/>
      <c r="D219" s="349"/>
      <c r="E219" s="349"/>
      <c r="F219" s="350"/>
      <c r="G219" s="350"/>
      <c r="H219" s="350"/>
      <c r="I219" s="350"/>
      <c r="J219" s="350"/>
      <c r="K219" s="350"/>
      <c r="L219" s="350"/>
      <c r="M219" s="350"/>
      <c r="N219" s="350"/>
      <c r="O219" s="350"/>
      <c r="P219" s="350"/>
      <c r="Q219" s="350"/>
      <c r="R219" s="350"/>
      <c r="S219" s="350"/>
      <c r="T219" s="350"/>
      <c r="U219" s="350"/>
      <c r="V219" s="349"/>
      <c r="W219" s="349"/>
      <c r="X219" s="350"/>
      <c r="Y219" s="350"/>
      <c r="Z219" s="350"/>
      <c r="AA219" s="350"/>
      <c r="AB219" s="349"/>
      <c r="AC219" s="349"/>
      <c r="AD219" s="350"/>
      <c r="AE219" s="349"/>
      <c r="AF219" s="349"/>
      <c r="AG219" s="350"/>
      <c r="AH219" s="349"/>
      <c r="AI219" s="349"/>
      <c r="AJ219" s="349"/>
      <c r="AK219" s="349"/>
      <c r="AL219" s="349"/>
      <c r="AM219" s="349"/>
      <c r="AN219" s="349"/>
      <c r="AO219" s="349"/>
      <c r="AP219" s="349"/>
      <c r="AQ219" s="349"/>
      <c r="AR219" s="349"/>
      <c r="AS219" s="349"/>
      <c r="AT219" s="349"/>
      <c r="AU219" s="349"/>
      <c r="AV219" s="349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118"/>
      <c r="BQ219" s="118"/>
      <c r="BR219" s="1840"/>
      <c r="BS219" s="118"/>
      <c r="BT219" s="118"/>
      <c r="BU219" s="118"/>
      <c r="BV219" s="118"/>
      <c r="BW219" s="118"/>
      <c r="BX219" s="118"/>
      <c r="BY219" s="118"/>
      <c r="BZ219" s="118"/>
      <c r="CA219" s="118"/>
      <c r="CB219" s="118"/>
      <c r="CC219" s="118"/>
      <c r="CD219" s="143"/>
      <c r="CE219" s="143"/>
    </row>
    <row r="220" spans="1:83" ht="12.75" customHeight="1" outlineLevel="1">
      <c r="A220" s="746"/>
      <c r="B220" s="350" t="s">
        <v>360</v>
      </c>
      <c r="C220" s="777"/>
      <c r="D220" s="777"/>
      <c r="E220" s="777"/>
      <c r="F220" s="777"/>
      <c r="G220" s="777"/>
      <c r="H220" s="777"/>
      <c r="I220" s="777"/>
      <c r="J220" s="777"/>
      <c r="K220" s="777"/>
      <c r="L220" s="777"/>
      <c r="M220" s="777"/>
      <c r="N220" s="777"/>
      <c r="O220" s="777"/>
      <c r="P220" s="777"/>
      <c r="Q220" s="777"/>
      <c r="R220" s="777"/>
      <c r="S220" s="777"/>
      <c r="T220" s="777"/>
      <c r="U220" s="777"/>
      <c r="V220" s="777"/>
      <c r="W220" s="777"/>
      <c r="X220" s="777"/>
      <c r="Y220" s="777"/>
      <c r="Z220" s="777"/>
      <c r="AA220" s="777"/>
      <c r="AB220" s="777"/>
      <c r="AC220" s="777"/>
      <c r="AD220" s="777"/>
      <c r="AE220" s="777"/>
      <c r="AF220" s="777"/>
      <c r="AG220" s="777"/>
      <c r="AH220" s="777"/>
      <c r="AI220" s="777"/>
      <c r="AJ220" s="777"/>
      <c r="AK220" s="777"/>
      <c r="AL220" s="777"/>
      <c r="AM220" s="777"/>
      <c r="AN220" s="777"/>
      <c r="AO220" s="777"/>
      <c r="AP220" s="777"/>
      <c r="AQ220" s="777"/>
      <c r="AR220" s="777"/>
      <c r="AS220" s="777"/>
      <c r="AT220" s="777"/>
      <c r="AU220" s="777"/>
      <c r="AV220" s="777"/>
      <c r="AW220" s="580"/>
      <c r="AX220" s="580"/>
      <c r="AY220" s="580"/>
      <c r="AZ220" s="580"/>
      <c r="BA220" s="580"/>
      <c r="BB220" s="580"/>
      <c r="BC220" s="580"/>
      <c r="BD220" s="580"/>
      <c r="BE220" s="580"/>
      <c r="BF220" s="580"/>
      <c r="BG220" s="580"/>
      <c r="BH220" s="580"/>
      <c r="BI220" s="580"/>
      <c r="BJ220" s="580"/>
      <c r="BK220" s="580"/>
      <c r="BL220" s="580"/>
      <c r="BM220" s="580"/>
      <c r="BN220" s="580"/>
      <c r="BO220" s="580"/>
      <c r="BP220" s="580"/>
      <c r="BQ220" s="580"/>
      <c r="BR220" s="1871"/>
      <c r="BS220" s="580"/>
      <c r="BT220" s="580"/>
      <c r="BU220" s="580"/>
      <c r="BV220" s="580"/>
      <c r="BW220" s="580"/>
      <c r="BX220" s="580"/>
      <c r="BY220" s="580"/>
      <c r="BZ220" s="580"/>
      <c r="CA220" s="580"/>
      <c r="CB220" s="580"/>
      <c r="CC220" s="580"/>
      <c r="CD220" s="143"/>
      <c r="CE220" s="143"/>
    </row>
    <row r="221" spans="1:83" ht="12.75" customHeight="1" outlineLevel="1">
      <c r="A221" s="746"/>
      <c r="B221" s="350"/>
      <c r="C221" s="350"/>
      <c r="D221" s="349"/>
      <c r="E221" s="349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49"/>
      <c r="W221" s="349"/>
      <c r="X221" s="350"/>
      <c r="Y221" s="350"/>
      <c r="Z221" s="350"/>
      <c r="AA221" s="350"/>
      <c r="AB221" s="349"/>
      <c r="AC221" s="349"/>
      <c r="AD221" s="350"/>
      <c r="AE221" s="349"/>
      <c r="AF221" s="349"/>
      <c r="AG221" s="350"/>
      <c r="AH221" s="349"/>
      <c r="AI221" s="349"/>
      <c r="AJ221" s="349"/>
      <c r="AK221" s="349"/>
      <c r="AL221" s="349"/>
      <c r="AM221" s="349"/>
      <c r="AN221" s="349"/>
      <c r="AO221" s="349"/>
      <c r="AP221" s="349"/>
      <c r="AQ221" s="349"/>
      <c r="AR221" s="349"/>
      <c r="AS221" s="349"/>
      <c r="AT221" s="349"/>
      <c r="AU221" s="349"/>
      <c r="AV221" s="349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118"/>
      <c r="BQ221" s="118"/>
      <c r="BR221" s="1840"/>
      <c r="BS221" s="118"/>
      <c r="BT221" s="118"/>
      <c r="BU221" s="118"/>
      <c r="BV221" s="118"/>
      <c r="BW221" s="118"/>
      <c r="BX221" s="118"/>
      <c r="BY221" s="118"/>
      <c r="BZ221" s="118"/>
      <c r="CA221" s="118"/>
      <c r="CB221" s="118"/>
      <c r="CC221" s="118"/>
      <c r="CD221" s="143"/>
      <c r="CE221" s="143"/>
    </row>
    <row r="222" spans="1:83" ht="12.75" customHeight="1" outlineLevel="1">
      <c r="A222" s="746"/>
      <c r="B222" s="350"/>
      <c r="C222" s="350"/>
      <c r="D222" s="349"/>
      <c r="E222" s="349"/>
      <c r="F222" s="350"/>
      <c r="G222" s="350"/>
      <c r="H222" s="350"/>
      <c r="I222" s="350"/>
      <c r="J222" s="350"/>
      <c r="K222" s="350"/>
      <c r="L222" s="350"/>
      <c r="M222" s="350"/>
      <c r="N222" s="350"/>
      <c r="O222" s="350"/>
      <c r="P222" s="350"/>
      <c r="Q222" s="350"/>
      <c r="R222" s="350"/>
      <c r="S222" s="350"/>
      <c r="T222" s="350"/>
      <c r="U222" s="350"/>
      <c r="V222" s="349"/>
      <c r="W222" s="349"/>
      <c r="X222" s="350"/>
      <c r="Y222" s="350"/>
      <c r="Z222" s="350"/>
      <c r="AA222" s="350"/>
      <c r="AB222" s="349"/>
      <c r="AC222" s="349"/>
      <c r="AD222" s="350"/>
      <c r="AE222" s="349"/>
      <c r="AF222" s="349"/>
      <c r="AG222" s="350"/>
      <c r="AH222" s="349"/>
      <c r="AI222" s="349"/>
      <c r="AJ222" s="349"/>
      <c r="AK222" s="349"/>
      <c r="AL222" s="349"/>
      <c r="AM222" s="349"/>
      <c r="AN222" s="349"/>
      <c r="AO222" s="349"/>
      <c r="AP222" s="349"/>
      <c r="AQ222" s="349"/>
      <c r="AR222" s="349"/>
      <c r="AS222" s="349"/>
      <c r="AT222" s="349"/>
      <c r="AU222" s="349"/>
      <c r="AV222" s="349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118"/>
      <c r="BQ222" s="118"/>
      <c r="BR222" s="1840"/>
      <c r="BS222" s="118"/>
      <c r="BT222" s="118"/>
      <c r="BU222" s="118"/>
      <c r="BV222" s="118"/>
      <c r="BW222" s="118"/>
      <c r="BX222" s="118"/>
      <c r="BY222" s="118"/>
      <c r="BZ222" s="118"/>
      <c r="CA222" s="118"/>
      <c r="CB222" s="118"/>
      <c r="CC222" s="118"/>
      <c r="CD222" s="143"/>
      <c r="CE222" s="143"/>
    </row>
    <row r="223" spans="1:83" collapsed="1">
      <c r="A223" s="746"/>
      <c r="B223" s="350"/>
      <c r="C223" s="350"/>
      <c r="D223" s="349"/>
      <c r="E223" s="349"/>
      <c r="F223" s="350"/>
      <c r="G223" s="350"/>
      <c r="H223" s="350"/>
      <c r="I223" s="350"/>
      <c r="J223" s="350"/>
      <c r="K223" s="350"/>
      <c r="L223" s="350"/>
      <c r="M223" s="350"/>
      <c r="N223" s="350"/>
      <c r="O223" s="350"/>
      <c r="P223" s="350"/>
      <c r="Q223" s="350"/>
      <c r="R223" s="350"/>
      <c r="S223" s="350"/>
      <c r="T223" s="350"/>
      <c r="U223" s="350"/>
      <c r="V223" s="349"/>
      <c r="W223" s="349"/>
      <c r="X223" s="350"/>
      <c r="Y223" s="350"/>
      <c r="Z223" s="350"/>
      <c r="AA223" s="350"/>
      <c r="AB223" s="349"/>
      <c r="AC223" s="349"/>
      <c r="AD223" s="350"/>
      <c r="AE223" s="349"/>
      <c r="AF223" s="349"/>
      <c r="AG223" s="350"/>
      <c r="AH223" s="349"/>
      <c r="AI223" s="349"/>
      <c r="AJ223" s="349"/>
      <c r="AK223" s="349"/>
      <c r="AL223" s="349"/>
      <c r="AM223" s="349"/>
      <c r="AN223" s="349"/>
      <c r="AO223" s="349"/>
      <c r="AP223" s="349"/>
      <c r="AQ223" s="349"/>
      <c r="AR223" s="349"/>
      <c r="AS223" s="349"/>
      <c r="AT223" s="349"/>
      <c r="AU223" s="349"/>
      <c r="AV223" s="349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118"/>
      <c r="BQ223" s="118"/>
      <c r="BR223" s="1840"/>
      <c r="BS223" s="118"/>
      <c r="BT223" s="118"/>
      <c r="BU223" s="118"/>
      <c r="BV223" s="118"/>
      <c r="BW223" s="118"/>
      <c r="BX223" s="118"/>
      <c r="BY223" s="118"/>
      <c r="BZ223" s="118"/>
      <c r="CA223" s="118"/>
      <c r="CB223" s="118"/>
      <c r="CC223" s="118"/>
      <c r="CD223" s="143"/>
      <c r="CE223" s="143"/>
    </row>
    <row r="224" spans="1:83">
      <c r="A224" s="746"/>
      <c r="B224" s="350"/>
      <c r="C224" s="350"/>
      <c r="D224" s="349"/>
      <c r="E224" s="349"/>
      <c r="F224" s="350"/>
      <c r="G224" s="350"/>
      <c r="H224" s="350"/>
      <c r="I224" s="350"/>
      <c r="J224" s="350"/>
      <c r="K224" s="350"/>
      <c r="L224" s="350"/>
      <c r="M224" s="350"/>
      <c r="N224" s="350"/>
      <c r="O224" s="350"/>
      <c r="P224" s="350"/>
      <c r="Q224" s="350"/>
      <c r="R224" s="350"/>
      <c r="S224" s="350"/>
      <c r="T224" s="350"/>
      <c r="U224" s="350"/>
      <c r="V224" s="349"/>
      <c r="W224" s="349"/>
      <c r="X224" s="350"/>
      <c r="Y224" s="350"/>
      <c r="Z224" s="350"/>
      <c r="AA224" s="350"/>
      <c r="AB224" s="349"/>
      <c r="AC224" s="349"/>
      <c r="AD224" s="350"/>
      <c r="AE224" s="349"/>
      <c r="AF224" s="349"/>
      <c r="AG224" s="350"/>
      <c r="AH224" s="349"/>
      <c r="AI224" s="349"/>
      <c r="AJ224" s="349"/>
      <c r="AK224" s="349"/>
      <c r="AL224" s="349"/>
      <c r="AM224" s="349"/>
      <c r="AN224" s="349"/>
      <c r="AO224" s="349"/>
      <c r="AP224" s="349"/>
      <c r="AQ224" s="349"/>
      <c r="AR224" s="349"/>
      <c r="AS224" s="349"/>
      <c r="AT224" s="349"/>
      <c r="AU224" s="349"/>
      <c r="AV224" s="349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118"/>
      <c r="BQ224" s="118"/>
      <c r="BR224" s="1840"/>
      <c r="BS224" s="118"/>
      <c r="BT224" s="118"/>
      <c r="BU224" s="118"/>
      <c r="BV224" s="118"/>
      <c r="BW224" s="118"/>
      <c r="BX224" s="118"/>
      <c r="BY224" s="118"/>
      <c r="BZ224" s="118"/>
      <c r="CA224" s="118"/>
      <c r="CB224" s="118"/>
      <c r="CC224" s="118"/>
      <c r="CD224" s="143"/>
      <c r="CE224" s="143"/>
    </row>
    <row r="225" spans="1:83" outlineLevel="1">
      <c r="A225" s="746"/>
      <c r="B225" s="349" t="s">
        <v>361</v>
      </c>
      <c r="C225" s="748"/>
      <c r="D225" s="748"/>
      <c r="E225" s="748"/>
      <c r="F225" s="748"/>
      <c r="G225" s="748"/>
      <c r="H225" s="748"/>
      <c r="I225" s="748"/>
      <c r="J225" s="748"/>
      <c r="K225" s="748"/>
      <c r="L225" s="748"/>
      <c r="M225" s="748"/>
      <c r="N225" s="748"/>
      <c r="O225" s="748"/>
      <c r="P225" s="748"/>
      <c r="Q225" s="748"/>
      <c r="R225" s="748"/>
      <c r="S225" s="748"/>
      <c r="T225" s="748"/>
      <c r="U225" s="748"/>
      <c r="V225" s="748"/>
      <c r="W225" s="748"/>
      <c r="X225" s="748"/>
      <c r="Y225" s="748"/>
      <c r="Z225" s="748"/>
      <c r="AA225" s="748"/>
      <c r="AB225" s="748"/>
      <c r="AC225" s="748"/>
      <c r="AD225" s="748"/>
      <c r="AE225" s="748"/>
      <c r="AF225" s="748"/>
      <c r="AG225" s="748"/>
      <c r="AH225" s="748"/>
      <c r="AI225" s="748"/>
      <c r="AJ225" s="748"/>
      <c r="AK225" s="748"/>
      <c r="AL225" s="748"/>
      <c r="AM225" s="748"/>
      <c r="AN225" s="748"/>
      <c r="AO225" s="748"/>
      <c r="AP225" s="748"/>
      <c r="AQ225" s="748"/>
      <c r="AR225" s="748"/>
      <c r="AS225" s="748"/>
      <c r="AT225" s="748"/>
      <c r="AU225" s="748"/>
      <c r="AV225" s="748"/>
      <c r="AW225" s="264"/>
      <c r="AX225" s="264"/>
      <c r="AY225" s="264"/>
      <c r="AZ225" s="264"/>
      <c r="BA225" s="264"/>
      <c r="BB225" s="264"/>
      <c r="BC225" s="264"/>
      <c r="BD225" s="264"/>
      <c r="BE225" s="264"/>
      <c r="BF225" s="264"/>
      <c r="BG225" s="264"/>
      <c r="BH225" s="264"/>
      <c r="BI225" s="264"/>
      <c r="BJ225" s="264"/>
      <c r="BK225" s="264"/>
      <c r="BL225" s="264"/>
      <c r="BM225" s="264"/>
      <c r="BN225" s="264"/>
      <c r="BO225" s="264"/>
      <c r="BP225" s="264"/>
      <c r="BQ225" s="264"/>
      <c r="BR225" s="1845"/>
      <c r="BS225" s="264"/>
      <c r="BT225" s="264"/>
      <c r="BU225" s="264"/>
      <c r="BV225" s="264"/>
      <c r="BW225" s="264"/>
      <c r="BX225" s="264"/>
      <c r="BY225" s="264"/>
      <c r="BZ225" s="264"/>
      <c r="CA225" s="264"/>
      <c r="CB225" s="264"/>
      <c r="CC225" s="264"/>
      <c r="CD225" s="141"/>
      <c r="CE225" s="141"/>
    </row>
    <row r="226" spans="1:83" outlineLevel="1">
      <c r="A226" s="746"/>
      <c r="B226" s="349" t="s">
        <v>247</v>
      </c>
      <c r="C226" s="748"/>
      <c r="D226" s="748"/>
      <c r="E226" s="748"/>
      <c r="F226" s="748"/>
      <c r="G226" s="748"/>
      <c r="H226" s="748"/>
      <c r="I226" s="748"/>
      <c r="J226" s="748"/>
      <c r="K226" s="748"/>
      <c r="L226" s="748"/>
      <c r="M226" s="748"/>
      <c r="N226" s="748"/>
      <c r="O226" s="748"/>
      <c r="P226" s="748"/>
      <c r="Q226" s="748"/>
      <c r="R226" s="748"/>
      <c r="S226" s="748"/>
      <c r="T226" s="748"/>
      <c r="U226" s="748"/>
      <c r="V226" s="748"/>
      <c r="W226" s="748"/>
      <c r="X226" s="748"/>
      <c r="Y226" s="748"/>
      <c r="Z226" s="748"/>
      <c r="AA226" s="748"/>
      <c r="AB226" s="748"/>
      <c r="AC226" s="748"/>
      <c r="AD226" s="748"/>
      <c r="AE226" s="748"/>
      <c r="AF226" s="748"/>
      <c r="AG226" s="748"/>
      <c r="AH226" s="748"/>
      <c r="AI226" s="748"/>
      <c r="AJ226" s="748"/>
      <c r="AK226" s="748"/>
      <c r="AL226" s="748"/>
      <c r="AM226" s="748"/>
      <c r="AN226" s="748"/>
      <c r="AO226" s="748"/>
      <c r="AP226" s="748"/>
      <c r="AQ226" s="748"/>
      <c r="AR226" s="748"/>
      <c r="AS226" s="748"/>
      <c r="AT226" s="748"/>
      <c r="AU226" s="748"/>
      <c r="AV226" s="748"/>
      <c r="AW226" s="264"/>
      <c r="AX226" s="264"/>
      <c r="AY226" s="264"/>
      <c r="AZ226" s="264"/>
      <c r="BA226" s="264"/>
      <c r="BB226" s="264"/>
      <c r="BC226" s="264"/>
      <c r="BD226" s="264"/>
      <c r="BE226" s="264"/>
      <c r="BF226" s="264"/>
      <c r="BG226" s="264"/>
      <c r="BH226" s="264"/>
      <c r="BI226" s="264"/>
      <c r="BJ226" s="264"/>
      <c r="BK226" s="264"/>
      <c r="BL226" s="264"/>
      <c r="BM226" s="264"/>
      <c r="BN226" s="264"/>
      <c r="BO226" s="264"/>
      <c r="BP226" s="264"/>
      <c r="BQ226" s="264"/>
      <c r="BR226" s="1845"/>
      <c r="BS226" s="264"/>
      <c r="BT226" s="264"/>
      <c r="BU226" s="264"/>
      <c r="BV226" s="264"/>
      <c r="BW226" s="264"/>
      <c r="BX226" s="264"/>
      <c r="BY226" s="264"/>
      <c r="BZ226" s="264"/>
      <c r="CA226" s="264"/>
      <c r="CB226" s="264"/>
      <c r="CC226" s="264"/>
      <c r="CD226" s="141"/>
      <c r="CE226" s="141"/>
    </row>
    <row r="227" spans="1:83" outlineLevel="1">
      <c r="A227" s="746"/>
      <c r="B227" s="349" t="s">
        <v>362</v>
      </c>
      <c r="C227" s="748"/>
      <c r="D227" s="748"/>
      <c r="E227" s="748"/>
      <c r="F227" s="748"/>
      <c r="G227" s="748"/>
      <c r="H227" s="748"/>
      <c r="I227" s="748"/>
      <c r="J227" s="748"/>
      <c r="K227" s="748"/>
      <c r="L227" s="748"/>
      <c r="M227" s="748"/>
      <c r="N227" s="748"/>
      <c r="O227" s="748"/>
      <c r="P227" s="748"/>
      <c r="Q227" s="748"/>
      <c r="R227" s="748"/>
      <c r="S227" s="748"/>
      <c r="T227" s="748"/>
      <c r="U227" s="748"/>
      <c r="V227" s="748"/>
      <c r="W227" s="748"/>
      <c r="X227" s="748"/>
      <c r="Y227" s="748"/>
      <c r="Z227" s="748"/>
      <c r="AA227" s="748"/>
      <c r="AB227" s="748"/>
      <c r="AC227" s="748"/>
      <c r="AD227" s="748"/>
      <c r="AE227" s="748"/>
      <c r="AF227" s="748"/>
      <c r="AG227" s="748"/>
      <c r="AH227" s="748"/>
      <c r="AI227" s="748"/>
      <c r="AJ227" s="748"/>
      <c r="AK227" s="748"/>
      <c r="AL227" s="748"/>
      <c r="AM227" s="748"/>
      <c r="AN227" s="748"/>
      <c r="AO227" s="748"/>
      <c r="AP227" s="748"/>
      <c r="AQ227" s="748"/>
      <c r="AR227" s="748"/>
      <c r="AS227" s="748"/>
      <c r="AT227" s="748"/>
      <c r="AU227" s="748"/>
      <c r="AV227" s="748"/>
      <c r="AW227" s="264"/>
      <c r="AX227" s="264"/>
      <c r="AY227" s="264"/>
      <c r="AZ227" s="264"/>
      <c r="BA227" s="264"/>
      <c r="BB227" s="264"/>
      <c r="BC227" s="264"/>
      <c r="BD227" s="264"/>
      <c r="BE227" s="264"/>
      <c r="BF227" s="264"/>
      <c r="BG227" s="264"/>
      <c r="BH227" s="264"/>
      <c r="BI227" s="264"/>
      <c r="BJ227" s="264"/>
      <c r="BK227" s="264"/>
      <c r="BL227" s="264"/>
      <c r="BM227" s="264"/>
      <c r="BN227" s="264"/>
      <c r="BO227" s="264"/>
      <c r="BP227" s="264"/>
      <c r="BQ227" s="264"/>
      <c r="BR227" s="1845"/>
      <c r="BS227" s="264"/>
      <c r="BT227" s="264"/>
      <c r="BU227" s="264"/>
      <c r="BV227" s="264"/>
      <c r="BW227" s="264"/>
      <c r="BX227" s="264"/>
      <c r="BY227" s="264"/>
      <c r="BZ227" s="264"/>
      <c r="CA227" s="264"/>
      <c r="CB227" s="264"/>
      <c r="CC227" s="264"/>
      <c r="CD227" s="141"/>
      <c r="CE227" s="141"/>
    </row>
    <row r="228" spans="1:83" outlineLevel="1">
      <c r="A228" s="746"/>
      <c r="B228" s="349" t="s">
        <v>363</v>
      </c>
      <c r="C228" s="349"/>
      <c r="D228" s="748"/>
      <c r="E228" s="748"/>
      <c r="F228" s="349"/>
      <c r="G228" s="349"/>
      <c r="H228" s="349"/>
      <c r="I228" s="349"/>
      <c r="J228" s="349"/>
      <c r="K228" s="349"/>
      <c r="L228" s="349"/>
      <c r="M228" s="349"/>
      <c r="N228" s="349"/>
      <c r="O228" s="349"/>
      <c r="P228" s="349"/>
      <c r="Q228" s="349"/>
      <c r="R228" s="748"/>
      <c r="S228" s="748"/>
      <c r="T228" s="748"/>
      <c r="U228" s="748"/>
      <c r="V228" s="748"/>
      <c r="W228" s="748"/>
      <c r="X228" s="748"/>
      <c r="Y228" s="748"/>
      <c r="Z228" s="748"/>
      <c r="AA228" s="748"/>
      <c r="AB228" s="748"/>
      <c r="AC228" s="748"/>
      <c r="AD228" s="748"/>
      <c r="AE228" s="748"/>
      <c r="AF228" s="748"/>
      <c r="AG228" s="748"/>
      <c r="AH228" s="748"/>
      <c r="AI228" s="748"/>
      <c r="AJ228" s="748"/>
      <c r="AK228" s="748"/>
      <c r="AL228" s="748"/>
      <c r="AM228" s="748"/>
      <c r="AN228" s="748"/>
      <c r="AO228" s="748"/>
      <c r="AP228" s="748"/>
      <c r="AQ228" s="748"/>
      <c r="AR228" s="748"/>
      <c r="AS228" s="748"/>
      <c r="AT228" s="748"/>
      <c r="AU228" s="748"/>
      <c r="AV228" s="748"/>
      <c r="AW228" s="264"/>
      <c r="AX228" s="264"/>
      <c r="AY228" s="264"/>
      <c r="AZ228" s="264"/>
      <c r="BA228" s="264"/>
      <c r="BB228" s="264"/>
      <c r="BC228" s="264"/>
      <c r="BD228" s="264"/>
      <c r="BE228" s="264"/>
      <c r="BF228" s="264"/>
      <c r="BG228" s="264"/>
      <c r="BH228" s="264"/>
      <c r="BI228" s="264"/>
      <c r="BJ228" s="264"/>
      <c r="BK228" s="264"/>
      <c r="BL228" s="264"/>
      <c r="BM228" s="264"/>
      <c r="BN228" s="264"/>
      <c r="BO228" s="264"/>
      <c r="BP228" s="74"/>
      <c r="BQ228" s="74"/>
      <c r="BR228" s="1832"/>
      <c r="BS228" s="74"/>
      <c r="BT228" s="74"/>
      <c r="BU228" s="74"/>
      <c r="BV228" s="74"/>
      <c r="BW228" s="74"/>
      <c r="BX228" s="74"/>
      <c r="BY228" s="74"/>
      <c r="BZ228" s="74"/>
      <c r="CA228" s="74"/>
      <c r="CB228" s="74"/>
      <c r="CC228" s="74"/>
      <c r="CD228" s="141"/>
      <c r="CE228" s="141"/>
    </row>
    <row r="229" spans="1:83" outlineLevel="1">
      <c r="A229" s="746"/>
      <c r="B229" s="349" t="s">
        <v>364</v>
      </c>
      <c r="C229" s="349"/>
      <c r="D229" s="748"/>
      <c r="E229" s="748"/>
      <c r="F229" s="349"/>
      <c r="G229" s="349"/>
      <c r="H229" s="349"/>
      <c r="I229" s="349"/>
      <c r="J229" s="349"/>
      <c r="K229" s="349"/>
      <c r="L229" s="349"/>
      <c r="M229" s="349"/>
      <c r="N229" s="349"/>
      <c r="O229" s="349"/>
      <c r="P229" s="349"/>
      <c r="Q229" s="349"/>
      <c r="R229" s="748"/>
      <c r="S229" s="748"/>
      <c r="T229" s="748"/>
      <c r="U229" s="748"/>
      <c r="V229" s="748"/>
      <c r="W229" s="748"/>
      <c r="X229" s="748"/>
      <c r="Y229" s="748"/>
      <c r="Z229" s="748"/>
      <c r="AA229" s="748"/>
      <c r="AB229" s="748"/>
      <c r="AC229" s="748"/>
      <c r="AD229" s="748"/>
      <c r="AE229" s="748"/>
      <c r="AF229" s="748"/>
      <c r="AG229" s="748"/>
      <c r="AH229" s="748"/>
      <c r="AI229" s="748"/>
      <c r="AJ229" s="748"/>
      <c r="AK229" s="748"/>
      <c r="AL229" s="748"/>
      <c r="AM229" s="748"/>
      <c r="AN229" s="748"/>
      <c r="AO229" s="748"/>
      <c r="AP229" s="748"/>
      <c r="AQ229" s="748"/>
      <c r="AR229" s="748"/>
      <c r="AS229" s="748"/>
      <c r="AT229" s="748"/>
      <c r="AU229" s="748"/>
      <c r="AV229" s="748"/>
      <c r="AW229" s="264"/>
      <c r="AX229" s="264"/>
      <c r="AY229" s="264"/>
      <c r="AZ229" s="264"/>
      <c r="BA229" s="264"/>
      <c r="BB229" s="264"/>
      <c r="BC229" s="264"/>
      <c r="BD229" s="264"/>
      <c r="BE229" s="264"/>
      <c r="BF229" s="264"/>
      <c r="BG229" s="264"/>
      <c r="BH229" s="264"/>
      <c r="BI229" s="264"/>
      <c r="BJ229" s="264"/>
      <c r="BK229" s="264"/>
      <c r="BL229" s="264"/>
      <c r="BM229" s="264"/>
      <c r="BN229" s="264"/>
      <c r="BO229" s="264"/>
      <c r="BP229" s="74"/>
      <c r="BQ229" s="74"/>
      <c r="BR229" s="1832"/>
      <c r="BS229" s="74"/>
      <c r="BT229" s="74"/>
      <c r="BU229" s="74"/>
      <c r="BV229" s="74"/>
      <c r="BW229" s="74"/>
      <c r="BX229" s="74"/>
      <c r="BY229" s="74"/>
      <c r="BZ229" s="74"/>
      <c r="CA229" s="74"/>
      <c r="CB229" s="74"/>
      <c r="CC229" s="74"/>
      <c r="CD229" s="141"/>
      <c r="CE229" s="141"/>
    </row>
    <row r="230" spans="1:83" collapsed="1">
      <c r="A230" s="746"/>
      <c r="B230" s="438"/>
      <c r="C230" s="438"/>
      <c r="D230" s="438"/>
      <c r="E230" s="438"/>
      <c r="F230" s="438"/>
      <c r="G230" s="438"/>
      <c r="H230" s="438"/>
      <c r="I230" s="438"/>
      <c r="J230" s="438"/>
      <c r="K230" s="438"/>
      <c r="L230" s="438"/>
      <c r="M230" s="438"/>
      <c r="N230" s="438"/>
      <c r="O230" s="438"/>
      <c r="P230" s="438"/>
      <c r="Q230" s="438"/>
      <c r="R230" s="438"/>
      <c r="S230" s="438"/>
      <c r="T230" s="438"/>
      <c r="U230" s="438"/>
      <c r="V230" s="438"/>
      <c r="W230" s="438"/>
      <c r="X230" s="438"/>
      <c r="Y230" s="438"/>
      <c r="Z230" s="438"/>
      <c r="AA230" s="438"/>
      <c r="AB230" s="438"/>
      <c r="AC230" s="438"/>
      <c r="AD230" s="438"/>
      <c r="AE230" s="438"/>
      <c r="AF230" s="438"/>
      <c r="AG230" s="438"/>
      <c r="AH230" s="438"/>
      <c r="AI230" s="438"/>
      <c r="AJ230" s="438"/>
      <c r="AK230" s="438"/>
      <c r="AL230" s="438"/>
      <c r="AM230" s="438"/>
      <c r="AN230" s="438"/>
      <c r="AO230" s="438"/>
      <c r="AP230" s="438"/>
      <c r="AQ230" s="438"/>
      <c r="AR230" s="438"/>
      <c r="AS230" s="438"/>
      <c r="AT230" s="438"/>
      <c r="AU230" s="438"/>
      <c r="AV230" s="438"/>
      <c r="BP230" s="124"/>
      <c r="BQ230" s="124"/>
      <c r="BR230" s="1872"/>
      <c r="BS230" s="124"/>
      <c r="BT230" s="124"/>
      <c r="BU230" s="124"/>
      <c r="BV230" s="124"/>
      <c r="BW230" s="124"/>
      <c r="BX230" s="124"/>
      <c r="BY230" s="124"/>
      <c r="BZ230" s="124"/>
      <c r="CA230" s="124"/>
      <c r="CB230" s="124"/>
      <c r="CC230" s="124"/>
      <c r="CD230" s="144"/>
      <c r="CE230" s="144"/>
    </row>
    <row r="231" spans="1:83">
      <c r="BR231"/>
    </row>
    <row r="232" spans="1:83" ht="12.75" customHeight="1" outlineLevel="1">
      <c r="A232" s="746"/>
      <c r="B232" s="349"/>
      <c r="C232" s="349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349"/>
      <c r="O232" s="349"/>
      <c r="P232" s="349"/>
      <c r="Q232" s="349"/>
      <c r="R232" s="349"/>
      <c r="S232" s="349"/>
      <c r="T232" s="349"/>
      <c r="U232" s="349"/>
      <c r="V232" s="349"/>
      <c r="W232" s="349"/>
      <c r="X232" s="349"/>
      <c r="Y232" s="349"/>
      <c r="Z232" s="349"/>
      <c r="AA232" s="349"/>
      <c r="AB232" s="349"/>
      <c r="AC232" s="349"/>
      <c r="AD232" s="349"/>
      <c r="AE232" s="349"/>
      <c r="AF232" s="349"/>
      <c r="AG232" s="349"/>
      <c r="AH232" s="349"/>
      <c r="AI232" s="349"/>
      <c r="AJ232" s="349"/>
      <c r="AK232" s="349"/>
      <c r="AL232" s="349"/>
      <c r="AM232" s="349"/>
      <c r="AN232" s="349"/>
      <c r="AO232" s="349"/>
      <c r="AP232" s="349"/>
      <c r="AQ232" s="349"/>
      <c r="AR232" s="349"/>
      <c r="AS232" s="349"/>
      <c r="AT232" s="349"/>
      <c r="AU232" s="349"/>
      <c r="AV232" s="349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/>
      <c r="BR232" s="1832"/>
      <c r="BS232" s="74"/>
      <c r="BT232" s="74"/>
      <c r="BU232" s="74"/>
      <c r="BV232" s="74"/>
      <c r="BW232" s="74"/>
      <c r="BX232" s="74"/>
      <c r="BY232" s="74"/>
      <c r="BZ232" s="74"/>
      <c r="CA232" s="74"/>
      <c r="CB232" s="74"/>
      <c r="CC232" s="74"/>
      <c r="CD232" s="74"/>
      <c r="CE232" s="74"/>
    </row>
    <row r="233" spans="1:83" ht="12.75" customHeight="1" outlineLevel="1">
      <c r="A233" s="746"/>
      <c r="B233" s="778" t="s">
        <v>445</v>
      </c>
      <c r="C233" s="778"/>
      <c r="D233" s="778"/>
      <c r="E233" s="778"/>
      <c r="F233" s="778"/>
      <c r="G233" s="778"/>
      <c r="H233" s="778"/>
      <c r="I233" s="778"/>
      <c r="J233" s="778"/>
      <c r="K233" s="778"/>
      <c r="L233" s="778"/>
      <c r="M233" s="778"/>
      <c r="N233" s="778"/>
      <c r="O233" s="778"/>
      <c r="P233" s="778"/>
      <c r="Q233" s="778"/>
      <c r="R233" s="778"/>
      <c r="S233" s="778"/>
      <c r="T233" s="778"/>
      <c r="U233" s="778"/>
      <c r="V233" s="778"/>
      <c r="W233" s="778"/>
      <c r="X233" s="778"/>
      <c r="Y233" s="778"/>
      <c r="Z233" s="778"/>
      <c r="AA233" s="778"/>
      <c r="AB233" s="778"/>
      <c r="AC233" s="778"/>
      <c r="AD233" s="778"/>
      <c r="AE233" s="778"/>
      <c r="AF233" s="778"/>
      <c r="AG233" s="778"/>
      <c r="AH233" s="778"/>
      <c r="AI233" s="778"/>
      <c r="AJ233" s="778"/>
      <c r="AK233" s="778"/>
      <c r="AL233" s="778"/>
      <c r="AM233" s="778"/>
      <c r="AN233" s="778"/>
      <c r="AO233" s="778"/>
      <c r="AP233" s="778"/>
      <c r="AQ233" s="778"/>
      <c r="AR233" s="778"/>
      <c r="AS233" s="778"/>
      <c r="AT233" s="778"/>
      <c r="AU233" s="778"/>
      <c r="AV233" s="778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1873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</row>
    <row r="234" spans="1:83" ht="12.75" customHeight="1" outlineLevel="1">
      <c r="A234" s="746"/>
      <c r="B234" s="349" t="s">
        <v>446</v>
      </c>
      <c r="C234" s="349"/>
      <c r="D234" s="349"/>
      <c r="E234" s="349"/>
      <c r="F234" s="349"/>
      <c r="G234" s="349"/>
      <c r="H234" s="349"/>
      <c r="I234" s="349"/>
      <c r="J234" s="349"/>
      <c r="K234" s="349"/>
      <c r="L234" s="349"/>
      <c r="M234" s="349"/>
      <c r="N234" s="349"/>
      <c r="O234" s="349"/>
      <c r="P234" s="349"/>
      <c r="Q234" s="349"/>
      <c r="R234" s="349"/>
      <c r="S234" s="349"/>
      <c r="T234" s="349"/>
      <c r="U234" s="349"/>
      <c r="V234" s="349"/>
      <c r="W234" s="349"/>
      <c r="X234" s="349"/>
      <c r="Y234" s="349"/>
      <c r="Z234" s="349"/>
      <c r="AA234" s="349"/>
      <c r="AB234" s="349"/>
      <c r="AC234" s="349"/>
      <c r="AD234" s="349"/>
      <c r="AE234" s="349"/>
      <c r="AF234" s="349"/>
      <c r="AG234" s="349"/>
      <c r="AH234" s="349"/>
      <c r="AI234" s="349"/>
      <c r="AJ234" s="349"/>
      <c r="AK234" s="349"/>
      <c r="AL234" s="349"/>
      <c r="AM234" s="349"/>
      <c r="AN234" s="349"/>
      <c r="AO234" s="349"/>
      <c r="AP234" s="349"/>
      <c r="AQ234" s="349"/>
      <c r="AR234" s="349"/>
      <c r="AS234" s="779">
        <f>+AS107</f>
        <v>114.421403</v>
      </c>
      <c r="AT234" s="349"/>
      <c r="AU234" s="349"/>
      <c r="AV234" s="349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74"/>
      <c r="BM234" s="74"/>
      <c r="BN234" s="74"/>
      <c r="BO234" s="74"/>
      <c r="BP234" s="74"/>
      <c r="BQ234" s="74"/>
      <c r="BR234" s="1832"/>
      <c r="BS234" s="74"/>
      <c r="BT234" s="74"/>
      <c r="BU234" s="74"/>
      <c r="BV234" s="74"/>
      <c r="BW234" s="74"/>
      <c r="BX234" s="74"/>
      <c r="BY234" s="74"/>
      <c r="BZ234" s="74"/>
      <c r="CA234" s="74"/>
      <c r="CB234" s="74"/>
      <c r="CC234" s="74"/>
      <c r="CD234" s="74"/>
      <c r="CE234" s="74"/>
    </row>
    <row r="235" spans="1:83" ht="12.75" customHeight="1" outlineLevel="1">
      <c r="A235" s="746"/>
      <c r="B235" s="349" t="s">
        <v>447</v>
      </c>
      <c r="C235" s="349"/>
      <c r="D235" s="349"/>
      <c r="E235" s="349"/>
      <c r="F235" s="349"/>
      <c r="G235" s="349"/>
      <c r="H235" s="349"/>
      <c r="I235" s="349"/>
      <c r="J235" s="349"/>
      <c r="K235" s="349"/>
      <c r="L235" s="349"/>
      <c r="M235" s="349"/>
      <c r="N235" s="349"/>
      <c r="O235" s="349"/>
      <c r="P235" s="349"/>
      <c r="Q235" s="349"/>
      <c r="R235" s="349"/>
      <c r="S235" s="349"/>
      <c r="T235" s="349"/>
      <c r="U235" s="349"/>
      <c r="V235" s="349"/>
      <c r="W235" s="349"/>
      <c r="X235" s="349"/>
      <c r="Y235" s="349"/>
      <c r="Z235" s="349"/>
      <c r="AA235" s="349"/>
      <c r="AB235" s="349"/>
      <c r="AC235" s="349"/>
      <c r="AD235" s="349"/>
      <c r="AE235" s="349"/>
      <c r="AF235" s="349"/>
      <c r="AG235" s="349"/>
      <c r="AH235" s="349"/>
      <c r="AI235" s="349"/>
      <c r="AJ235" s="349"/>
      <c r="AK235" s="349"/>
      <c r="AL235" s="349"/>
      <c r="AM235" s="349"/>
      <c r="AN235" s="349"/>
      <c r="AO235" s="349"/>
      <c r="AP235" s="349"/>
      <c r="AQ235" s="349"/>
      <c r="AR235" s="349"/>
      <c r="AS235" s="779">
        <f>+AS234</f>
        <v>114.421403</v>
      </c>
      <c r="AT235" s="349"/>
      <c r="AU235" s="349"/>
      <c r="AV235" s="349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74"/>
      <c r="BN235" s="74"/>
      <c r="BO235" s="74"/>
      <c r="BP235" s="74"/>
      <c r="BQ235" s="74"/>
      <c r="BR235" s="1832"/>
      <c r="BS235" s="74"/>
      <c r="BT235" s="74"/>
      <c r="BU235" s="74"/>
      <c r="BV235" s="74"/>
      <c r="BW235" s="74"/>
      <c r="BX235" s="74"/>
      <c r="BY235" s="74"/>
      <c r="BZ235" s="74"/>
      <c r="CA235" s="74"/>
      <c r="CB235" s="74"/>
      <c r="CC235" s="74"/>
      <c r="CD235" s="74"/>
      <c r="CE235" s="74"/>
    </row>
    <row r="236" spans="1:83" ht="12.75" customHeight="1" outlineLevel="1">
      <c r="A236" s="746"/>
      <c r="B236" s="349" t="s">
        <v>650</v>
      </c>
      <c r="C236" s="780" t="s">
        <v>414</v>
      </c>
      <c r="D236" s="780" t="s">
        <v>414</v>
      </c>
      <c r="E236" s="780" t="s">
        <v>414</v>
      </c>
      <c r="F236" s="780" t="s">
        <v>414</v>
      </c>
      <c r="G236" s="780" t="s">
        <v>414</v>
      </c>
      <c r="H236" s="780" t="s">
        <v>414</v>
      </c>
      <c r="I236" s="780" t="s">
        <v>414</v>
      </c>
      <c r="J236" s="780" t="s">
        <v>414</v>
      </c>
      <c r="K236" s="780" t="s">
        <v>414</v>
      </c>
      <c r="L236" s="780" t="s">
        <v>414</v>
      </c>
      <c r="M236" s="780" t="s">
        <v>414</v>
      </c>
      <c r="N236" s="780" t="s">
        <v>414</v>
      </c>
      <c r="O236" s="780" t="s">
        <v>414</v>
      </c>
      <c r="P236" s="780" t="s">
        <v>414</v>
      </c>
      <c r="Q236" s="780" t="s">
        <v>414</v>
      </c>
      <c r="R236" s="780" t="s">
        <v>414</v>
      </c>
      <c r="S236" s="780" t="s">
        <v>414</v>
      </c>
      <c r="T236" s="780" t="s">
        <v>414</v>
      </c>
      <c r="U236" s="780" t="s">
        <v>414</v>
      </c>
      <c r="V236" s="780" t="s">
        <v>414</v>
      </c>
      <c r="W236" s="780" t="s">
        <v>414</v>
      </c>
      <c r="X236" s="780" t="s">
        <v>414</v>
      </c>
      <c r="Y236" s="780" t="s">
        <v>414</v>
      </c>
      <c r="Z236" s="780" t="s">
        <v>414</v>
      </c>
      <c r="AA236" s="780" t="s">
        <v>414</v>
      </c>
      <c r="AB236" s="780" t="s">
        <v>414</v>
      </c>
      <c r="AC236" s="780" t="s">
        <v>414</v>
      </c>
      <c r="AD236" s="780" t="s">
        <v>414</v>
      </c>
      <c r="AE236" s="780" t="s">
        <v>414</v>
      </c>
      <c r="AF236" s="780" t="s">
        <v>414</v>
      </c>
      <c r="AG236" s="780" t="s">
        <v>414</v>
      </c>
      <c r="AH236" s="780" t="s">
        <v>414</v>
      </c>
      <c r="AI236" s="780" t="s">
        <v>414</v>
      </c>
      <c r="AJ236" s="780" t="s">
        <v>414</v>
      </c>
      <c r="AK236" s="780" t="s">
        <v>414</v>
      </c>
      <c r="AL236" s="780" t="s">
        <v>414</v>
      </c>
      <c r="AM236" s="780" t="s">
        <v>414</v>
      </c>
      <c r="AN236" s="780" t="s">
        <v>414</v>
      </c>
      <c r="AO236" s="780" t="s">
        <v>414</v>
      </c>
      <c r="AP236" s="780" t="s">
        <v>414</v>
      </c>
      <c r="AQ236" s="780" t="s">
        <v>414</v>
      </c>
      <c r="AR236" s="780" t="s">
        <v>414</v>
      </c>
      <c r="AS236" s="780" t="s">
        <v>414</v>
      </c>
      <c r="AT236" s="780" t="s">
        <v>414</v>
      </c>
      <c r="AU236" s="780" t="s">
        <v>414</v>
      </c>
      <c r="AV236" s="780" t="s">
        <v>414</v>
      </c>
      <c r="AW236" s="222" t="s">
        <v>414</v>
      </c>
      <c r="AX236" s="222" t="s">
        <v>414</v>
      </c>
      <c r="AY236" s="222" t="s">
        <v>414</v>
      </c>
      <c r="AZ236" s="222" t="s">
        <v>414</v>
      </c>
      <c r="BA236" s="222" t="s">
        <v>414</v>
      </c>
      <c r="BB236" s="222" t="s">
        <v>414</v>
      </c>
      <c r="BC236" s="222" t="s">
        <v>414</v>
      </c>
      <c r="BD236" s="222" t="s">
        <v>414</v>
      </c>
      <c r="BE236" s="222" t="s">
        <v>414</v>
      </c>
      <c r="BF236" s="222" t="s">
        <v>414</v>
      </c>
      <c r="BG236" s="222" t="s">
        <v>414</v>
      </c>
      <c r="BH236" s="222" t="s">
        <v>414</v>
      </c>
      <c r="BI236" s="222" t="s">
        <v>414</v>
      </c>
      <c r="BJ236" s="222" t="s">
        <v>414</v>
      </c>
      <c r="BK236" s="222" t="s">
        <v>414</v>
      </c>
      <c r="BL236" s="222" t="s">
        <v>414</v>
      </c>
      <c r="BM236" s="222" t="s">
        <v>414</v>
      </c>
      <c r="BN236" s="222" t="s">
        <v>414</v>
      </c>
      <c r="BO236" s="222" t="s">
        <v>414</v>
      </c>
      <c r="BP236" s="222" t="s">
        <v>414</v>
      </c>
      <c r="BQ236" s="222" t="s">
        <v>414</v>
      </c>
      <c r="BR236" s="1874" t="s">
        <v>414</v>
      </c>
      <c r="BS236" s="222" t="s">
        <v>414</v>
      </c>
      <c r="BT236" s="222" t="s">
        <v>414</v>
      </c>
      <c r="BU236" s="222" t="s">
        <v>414</v>
      </c>
      <c r="BV236" s="222" t="s">
        <v>414</v>
      </c>
      <c r="BW236" s="222" t="s">
        <v>414</v>
      </c>
      <c r="BX236" s="222" t="s">
        <v>414</v>
      </c>
      <c r="BY236" s="222" t="s">
        <v>414</v>
      </c>
      <c r="BZ236" s="222" t="s">
        <v>414</v>
      </c>
      <c r="CA236" s="222" t="s">
        <v>414</v>
      </c>
      <c r="CB236" s="222" t="s">
        <v>414</v>
      </c>
      <c r="CC236" s="222" t="s">
        <v>414</v>
      </c>
    </row>
    <row r="237" spans="1:83" ht="12.75" customHeight="1" outlineLevel="1">
      <c r="A237" s="746"/>
      <c r="B237" s="349" t="s">
        <v>651</v>
      </c>
      <c r="C237" s="780" t="s">
        <v>414</v>
      </c>
      <c r="D237" s="780" t="s">
        <v>414</v>
      </c>
      <c r="E237" s="780" t="s">
        <v>414</v>
      </c>
      <c r="F237" s="780" t="s">
        <v>414</v>
      </c>
      <c r="G237" s="780" t="s">
        <v>414</v>
      </c>
      <c r="H237" s="780" t="s">
        <v>414</v>
      </c>
      <c r="I237" s="780" t="s">
        <v>414</v>
      </c>
      <c r="J237" s="780" t="s">
        <v>414</v>
      </c>
      <c r="K237" s="780" t="s">
        <v>414</v>
      </c>
      <c r="L237" s="780" t="s">
        <v>414</v>
      </c>
      <c r="M237" s="780" t="s">
        <v>414</v>
      </c>
      <c r="N237" s="780" t="s">
        <v>414</v>
      </c>
      <c r="O237" s="780" t="s">
        <v>414</v>
      </c>
      <c r="P237" s="780" t="s">
        <v>414</v>
      </c>
      <c r="Q237" s="780" t="s">
        <v>414</v>
      </c>
      <c r="R237" s="780" t="s">
        <v>414</v>
      </c>
      <c r="S237" s="780" t="s">
        <v>414</v>
      </c>
      <c r="T237" s="780" t="s">
        <v>414</v>
      </c>
      <c r="U237" s="780" t="s">
        <v>414</v>
      </c>
      <c r="V237" s="780" t="s">
        <v>414</v>
      </c>
      <c r="W237" s="780" t="s">
        <v>414</v>
      </c>
      <c r="X237" s="780" t="s">
        <v>414</v>
      </c>
      <c r="Y237" s="780" t="s">
        <v>414</v>
      </c>
      <c r="Z237" s="780" t="s">
        <v>414</v>
      </c>
      <c r="AA237" s="780" t="s">
        <v>414</v>
      </c>
      <c r="AB237" s="780" t="s">
        <v>414</v>
      </c>
      <c r="AC237" s="780" t="s">
        <v>414</v>
      </c>
      <c r="AD237" s="780" t="s">
        <v>414</v>
      </c>
      <c r="AE237" s="780" t="s">
        <v>414</v>
      </c>
      <c r="AF237" s="780" t="s">
        <v>414</v>
      </c>
      <c r="AG237" s="780" t="s">
        <v>414</v>
      </c>
      <c r="AH237" s="780" t="s">
        <v>414</v>
      </c>
      <c r="AI237" s="780" t="s">
        <v>414</v>
      </c>
      <c r="AJ237" s="780" t="s">
        <v>414</v>
      </c>
      <c r="AK237" s="780" t="s">
        <v>414</v>
      </c>
      <c r="AL237" s="780" t="s">
        <v>414</v>
      </c>
      <c r="AM237" s="780" t="s">
        <v>414</v>
      </c>
      <c r="AN237" s="780" t="s">
        <v>414</v>
      </c>
      <c r="AO237" s="780" t="s">
        <v>414</v>
      </c>
      <c r="AP237" s="780" t="s">
        <v>414</v>
      </c>
      <c r="AQ237" s="780" t="s">
        <v>414</v>
      </c>
      <c r="AR237" s="780" t="s">
        <v>414</v>
      </c>
      <c r="AS237" s="780" t="s">
        <v>414</v>
      </c>
      <c r="AT237" s="780" t="s">
        <v>414</v>
      </c>
      <c r="AU237" s="780" t="s">
        <v>414</v>
      </c>
      <c r="AV237" s="780" t="s">
        <v>414</v>
      </c>
      <c r="AW237" s="222" t="s">
        <v>414</v>
      </c>
      <c r="AX237" s="222" t="s">
        <v>414</v>
      </c>
      <c r="AY237" s="222" t="s">
        <v>414</v>
      </c>
      <c r="AZ237" s="222" t="s">
        <v>414</v>
      </c>
      <c r="BA237" s="222" t="s">
        <v>414</v>
      </c>
      <c r="BB237" s="222" t="s">
        <v>414</v>
      </c>
      <c r="BC237" s="222" t="s">
        <v>414</v>
      </c>
      <c r="BD237" s="222" t="s">
        <v>414</v>
      </c>
      <c r="BE237" s="222" t="s">
        <v>414</v>
      </c>
      <c r="BF237" s="222" t="s">
        <v>414</v>
      </c>
      <c r="BG237" s="222" t="s">
        <v>414</v>
      </c>
      <c r="BH237" s="222" t="s">
        <v>414</v>
      </c>
      <c r="BI237" s="222" t="s">
        <v>414</v>
      </c>
      <c r="BJ237" s="222" t="s">
        <v>414</v>
      </c>
      <c r="BK237" s="222" t="s">
        <v>414</v>
      </c>
      <c r="BL237" s="222" t="s">
        <v>414</v>
      </c>
      <c r="BM237" s="222" t="s">
        <v>414</v>
      </c>
      <c r="BN237" s="222" t="s">
        <v>414</v>
      </c>
      <c r="BO237" s="222" t="s">
        <v>414</v>
      </c>
      <c r="BP237" s="222" t="s">
        <v>414</v>
      </c>
      <c r="BQ237" s="222" t="s">
        <v>414</v>
      </c>
      <c r="BR237" s="1874" t="s">
        <v>414</v>
      </c>
      <c r="BS237" s="222" t="s">
        <v>414</v>
      </c>
      <c r="BT237" s="222" t="s">
        <v>414</v>
      </c>
      <c r="BU237" s="222" t="s">
        <v>414</v>
      </c>
      <c r="BV237" s="222" t="s">
        <v>414</v>
      </c>
      <c r="BW237" s="222" t="s">
        <v>414</v>
      </c>
      <c r="BX237" s="222" t="s">
        <v>414</v>
      </c>
      <c r="BY237" s="222" t="s">
        <v>414</v>
      </c>
      <c r="BZ237" s="222" t="s">
        <v>414</v>
      </c>
      <c r="CA237" s="222" t="s">
        <v>414</v>
      </c>
      <c r="CB237" s="222" t="s">
        <v>414</v>
      </c>
      <c r="CC237" s="222" t="s">
        <v>414</v>
      </c>
    </row>
    <row r="238" spans="1:83" ht="12.75" customHeight="1" outlineLevel="1">
      <c r="A238" s="746"/>
      <c r="B238" s="349" t="s">
        <v>652</v>
      </c>
      <c r="C238" s="780" t="s">
        <v>414</v>
      </c>
      <c r="D238" s="780" t="s">
        <v>414</v>
      </c>
      <c r="E238" s="780" t="s">
        <v>414</v>
      </c>
      <c r="F238" s="780" t="s">
        <v>414</v>
      </c>
      <c r="G238" s="780" t="s">
        <v>414</v>
      </c>
      <c r="H238" s="780" t="s">
        <v>414</v>
      </c>
      <c r="I238" s="780" t="s">
        <v>414</v>
      </c>
      <c r="J238" s="780" t="s">
        <v>414</v>
      </c>
      <c r="K238" s="780" t="s">
        <v>414</v>
      </c>
      <c r="L238" s="780" t="s">
        <v>414</v>
      </c>
      <c r="M238" s="780" t="s">
        <v>414</v>
      </c>
      <c r="N238" s="780" t="s">
        <v>414</v>
      </c>
      <c r="O238" s="780" t="s">
        <v>414</v>
      </c>
      <c r="P238" s="780" t="s">
        <v>414</v>
      </c>
      <c r="Q238" s="780" t="s">
        <v>414</v>
      </c>
      <c r="R238" s="780" t="s">
        <v>414</v>
      </c>
      <c r="S238" s="780" t="s">
        <v>414</v>
      </c>
      <c r="T238" s="780" t="s">
        <v>414</v>
      </c>
      <c r="U238" s="780" t="s">
        <v>414</v>
      </c>
      <c r="V238" s="780" t="s">
        <v>414</v>
      </c>
      <c r="W238" s="780" t="s">
        <v>414</v>
      </c>
      <c r="X238" s="780" t="s">
        <v>414</v>
      </c>
      <c r="Y238" s="780" t="s">
        <v>414</v>
      </c>
      <c r="Z238" s="780" t="s">
        <v>414</v>
      </c>
      <c r="AA238" s="780" t="s">
        <v>414</v>
      </c>
      <c r="AB238" s="780" t="s">
        <v>414</v>
      </c>
      <c r="AC238" s="780" t="s">
        <v>414</v>
      </c>
      <c r="AD238" s="780" t="s">
        <v>414</v>
      </c>
      <c r="AE238" s="780" t="s">
        <v>414</v>
      </c>
      <c r="AF238" s="780" t="s">
        <v>414</v>
      </c>
      <c r="AG238" s="780" t="s">
        <v>414</v>
      </c>
      <c r="AH238" s="780" t="s">
        <v>414</v>
      </c>
      <c r="AI238" s="780" t="s">
        <v>414</v>
      </c>
      <c r="AJ238" s="780" t="s">
        <v>414</v>
      </c>
      <c r="AK238" s="780" t="s">
        <v>414</v>
      </c>
      <c r="AL238" s="780" t="s">
        <v>414</v>
      </c>
      <c r="AM238" s="780" t="s">
        <v>414</v>
      </c>
      <c r="AN238" s="780" t="s">
        <v>414</v>
      </c>
      <c r="AO238" s="780" t="s">
        <v>414</v>
      </c>
      <c r="AP238" s="780" t="s">
        <v>414</v>
      </c>
      <c r="AQ238" s="780" t="s">
        <v>414</v>
      </c>
      <c r="AR238" s="780" t="s">
        <v>414</v>
      </c>
      <c r="AS238" s="780" t="s">
        <v>414</v>
      </c>
      <c r="AT238" s="780" t="s">
        <v>414</v>
      </c>
      <c r="AU238" s="780" t="s">
        <v>414</v>
      </c>
      <c r="AV238" s="780" t="s">
        <v>414</v>
      </c>
      <c r="AW238" s="222" t="s">
        <v>414</v>
      </c>
      <c r="AX238" s="222" t="s">
        <v>414</v>
      </c>
      <c r="AY238" s="222" t="s">
        <v>414</v>
      </c>
      <c r="AZ238" s="222" t="s">
        <v>414</v>
      </c>
      <c r="BA238" s="222" t="s">
        <v>414</v>
      </c>
      <c r="BB238" s="222" t="s">
        <v>414</v>
      </c>
      <c r="BC238" s="222" t="s">
        <v>414</v>
      </c>
      <c r="BD238" s="222" t="s">
        <v>414</v>
      </c>
      <c r="BE238" s="222" t="s">
        <v>414</v>
      </c>
      <c r="BF238" s="222" t="s">
        <v>414</v>
      </c>
      <c r="BG238" s="222" t="s">
        <v>414</v>
      </c>
      <c r="BH238" s="222" t="s">
        <v>414</v>
      </c>
      <c r="BI238" s="222" t="s">
        <v>414</v>
      </c>
      <c r="BJ238" s="222" t="s">
        <v>414</v>
      </c>
      <c r="BK238" s="222" t="s">
        <v>414</v>
      </c>
      <c r="BL238" s="222" t="s">
        <v>414</v>
      </c>
      <c r="BM238" s="222" t="s">
        <v>414</v>
      </c>
      <c r="BN238" s="222" t="s">
        <v>414</v>
      </c>
      <c r="BO238" s="222" t="s">
        <v>414</v>
      </c>
      <c r="BP238" s="222" t="s">
        <v>414</v>
      </c>
      <c r="BQ238" s="222" t="s">
        <v>414</v>
      </c>
      <c r="BR238" s="1874" t="s">
        <v>414</v>
      </c>
      <c r="BS238" s="222" t="s">
        <v>414</v>
      </c>
      <c r="BT238" s="222" t="s">
        <v>414</v>
      </c>
      <c r="BU238" s="222" t="s">
        <v>414</v>
      </c>
      <c r="BV238" s="222" t="s">
        <v>414</v>
      </c>
      <c r="BW238" s="222" t="s">
        <v>414</v>
      </c>
      <c r="BX238" s="222" t="s">
        <v>414</v>
      </c>
      <c r="BY238" s="222" t="s">
        <v>414</v>
      </c>
      <c r="BZ238" s="222" t="s">
        <v>414</v>
      </c>
      <c r="CA238" s="222" t="s">
        <v>414</v>
      </c>
      <c r="CB238" s="222" t="s">
        <v>414</v>
      </c>
      <c r="CC238" s="222" t="s">
        <v>414</v>
      </c>
    </row>
    <row r="239" spans="1:83" ht="12.75" customHeight="1" outlineLevel="1">
      <c r="A239" s="746"/>
      <c r="B239" s="349" t="s">
        <v>653</v>
      </c>
      <c r="C239" s="780" t="s">
        <v>414</v>
      </c>
      <c r="D239" s="780" t="s">
        <v>414</v>
      </c>
      <c r="E239" s="780" t="s">
        <v>414</v>
      </c>
      <c r="F239" s="780" t="s">
        <v>414</v>
      </c>
      <c r="G239" s="780" t="s">
        <v>414</v>
      </c>
      <c r="H239" s="780" t="s">
        <v>414</v>
      </c>
      <c r="I239" s="780" t="s">
        <v>414</v>
      </c>
      <c r="J239" s="780" t="s">
        <v>414</v>
      </c>
      <c r="K239" s="780" t="s">
        <v>414</v>
      </c>
      <c r="L239" s="780" t="s">
        <v>414</v>
      </c>
      <c r="M239" s="780" t="s">
        <v>414</v>
      </c>
      <c r="N239" s="780" t="s">
        <v>414</v>
      </c>
      <c r="O239" s="780" t="s">
        <v>414</v>
      </c>
      <c r="P239" s="780" t="s">
        <v>414</v>
      </c>
      <c r="Q239" s="780" t="s">
        <v>414</v>
      </c>
      <c r="R239" s="780" t="s">
        <v>414</v>
      </c>
      <c r="S239" s="780" t="s">
        <v>414</v>
      </c>
      <c r="T239" s="780" t="s">
        <v>414</v>
      </c>
      <c r="U239" s="780" t="s">
        <v>414</v>
      </c>
      <c r="V239" s="780" t="s">
        <v>414</v>
      </c>
      <c r="W239" s="780" t="s">
        <v>414</v>
      </c>
      <c r="X239" s="780" t="s">
        <v>414</v>
      </c>
      <c r="Y239" s="780" t="s">
        <v>414</v>
      </c>
      <c r="Z239" s="780" t="s">
        <v>414</v>
      </c>
      <c r="AA239" s="780" t="s">
        <v>414</v>
      </c>
      <c r="AB239" s="780" t="s">
        <v>414</v>
      </c>
      <c r="AC239" s="780" t="s">
        <v>414</v>
      </c>
      <c r="AD239" s="780" t="s">
        <v>414</v>
      </c>
      <c r="AE239" s="780" t="s">
        <v>414</v>
      </c>
      <c r="AF239" s="780" t="s">
        <v>414</v>
      </c>
      <c r="AG239" s="780" t="s">
        <v>414</v>
      </c>
      <c r="AH239" s="780" t="s">
        <v>414</v>
      </c>
      <c r="AI239" s="780" t="s">
        <v>414</v>
      </c>
      <c r="AJ239" s="780" t="s">
        <v>414</v>
      </c>
      <c r="AK239" s="780" t="s">
        <v>414</v>
      </c>
      <c r="AL239" s="780" t="s">
        <v>414</v>
      </c>
      <c r="AM239" s="780" t="s">
        <v>414</v>
      </c>
      <c r="AN239" s="780" t="s">
        <v>414</v>
      </c>
      <c r="AO239" s="780" t="s">
        <v>414</v>
      </c>
      <c r="AP239" s="780" t="s">
        <v>414</v>
      </c>
      <c r="AQ239" s="780" t="s">
        <v>414</v>
      </c>
      <c r="AR239" s="780" t="s">
        <v>414</v>
      </c>
      <c r="AS239" s="780" t="s">
        <v>414</v>
      </c>
      <c r="AT239" s="780" t="s">
        <v>414</v>
      </c>
      <c r="AU239" s="780" t="s">
        <v>414</v>
      </c>
      <c r="AV239" s="780" t="s">
        <v>414</v>
      </c>
      <c r="AW239" s="222" t="s">
        <v>414</v>
      </c>
      <c r="AX239" s="222" t="s">
        <v>414</v>
      </c>
      <c r="AY239" s="222" t="s">
        <v>414</v>
      </c>
      <c r="AZ239" s="222" t="s">
        <v>414</v>
      </c>
      <c r="BA239" s="222" t="s">
        <v>414</v>
      </c>
      <c r="BB239" s="222" t="s">
        <v>414</v>
      </c>
      <c r="BC239" s="222" t="s">
        <v>414</v>
      </c>
      <c r="BD239" s="222" t="s">
        <v>414</v>
      </c>
      <c r="BE239" s="222" t="s">
        <v>414</v>
      </c>
      <c r="BF239" s="222" t="s">
        <v>414</v>
      </c>
      <c r="BG239" s="222" t="s">
        <v>414</v>
      </c>
      <c r="BH239" s="222" t="s">
        <v>414</v>
      </c>
      <c r="BI239" s="222" t="s">
        <v>414</v>
      </c>
      <c r="BJ239" s="222" t="s">
        <v>414</v>
      </c>
      <c r="BK239" s="222" t="s">
        <v>414</v>
      </c>
      <c r="BL239" s="222" t="s">
        <v>414</v>
      </c>
      <c r="BM239" s="222" t="s">
        <v>414</v>
      </c>
      <c r="BN239" s="222" t="s">
        <v>414</v>
      </c>
      <c r="BO239" s="222" t="s">
        <v>414</v>
      </c>
      <c r="BP239" s="222" t="s">
        <v>414</v>
      </c>
      <c r="BQ239" s="222" t="s">
        <v>414</v>
      </c>
      <c r="BR239" s="1874" t="s">
        <v>414</v>
      </c>
      <c r="BS239" s="222" t="s">
        <v>414</v>
      </c>
      <c r="BT239" s="222" t="s">
        <v>414</v>
      </c>
      <c r="BU239" s="222" t="s">
        <v>414</v>
      </c>
      <c r="BV239" s="222" t="s">
        <v>414</v>
      </c>
      <c r="BW239" s="222" t="s">
        <v>414</v>
      </c>
      <c r="BX239" s="222" t="s">
        <v>414</v>
      </c>
      <c r="BY239" s="222" t="s">
        <v>414</v>
      </c>
      <c r="BZ239" s="222" t="s">
        <v>414</v>
      </c>
      <c r="CA239" s="222" t="s">
        <v>414</v>
      </c>
      <c r="CB239" s="222" t="s">
        <v>414</v>
      </c>
      <c r="CC239" s="222" t="s">
        <v>414</v>
      </c>
    </row>
    <row r="240" spans="1:83" ht="12.75" customHeight="1" outlineLevel="1">
      <c r="A240" s="746"/>
      <c r="B240" s="349" t="s">
        <v>654</v>
      </c>
      <c r="C240" s="780" t="s">
        <v>414</v>
      </c>
      <c r="D240" s="780" t="s">
        <v>414</v>
      </c>
      <c r="E240" s="780" t="s">
        <v>414</v>
      </c>
      <c r="F240" s="780" t="s">
        <v>414</v>
      </c>
      <c r="G240" s="780" t="s">
        <v>414</v>
      </c>
      <c r="H240" s="780" t="s">
        <v>414</v>
      </c>
      <c r="I240" s="780" t="s">
        <v>414</v>
      </c>
      <c r="J240" s="780" t="s">
        <v>414</v>
      </c>
      <c r="K240" s="780" t="s">
        <v>414</v>
      </c>
      <c r="L240" s="780" t="s">
        <v>414</v>
      </c>
      <c r="M240" s="780" t="s">
        <v>414</v>
      </c>
      <c r="N240" s="780" t="s">
        <v>414</v>
      </c>
      <c r="O240" s="780" t="s">
        <v>414</v>
      </c>
      <c r="P240" s="780" t="s">
        <v>414</v>
      </c>
      <c r="Q240" s="780" t="s">
        <v>414</v>
      </c>
      <c r="R240" s="780" t="s">
        <v>414</v>
      </c>
      <c r="S240" s="780" t="s">
        <v>414</v>
      </c>
      <c r="T240" s="780" t="s">
        <v>414</v>
      </c>
      <c r="U240" s="780" t="s">
        <v>414</v>
      </c>
      <c r="V240" s="780" t="s">
        <v>414</v>
      </c>
      <c r="W240" s="780" t="s">
        <v>414</v>
      </c>
      <c r="X240" s="780" t="s">
        <v>414</v>
      </c>
      <c r="Y240" s="780" t="s">
        <v>414</v>
      </c>
      <c r="Z240" s="780" t="s">
        <v>414</v>
      </c>
      <c r="AA240" s="780" t="s">
        <v>414</v>
      </c>
      <c r="AB240" s="780" t="s">
        <v>414</v>
      </c>
      <c r="AC240" s="780" t="s">
        <v>414</v>
      </c>
      <c r="AD240" s="780" t="s">
        <v>414</v>
      </c>
      <c r="AE240" s="780" t="s">
        <v>414</v>
      </c>
      <c r="AF240" s="780" t="s">
        <v>414</v>
      </c>
      <c r="AG240" s="780" t="s">
        <v>414</v>
      </c>
      <c r="AH240" s="780" t="s">
        <v>414</v>
      </c>
      <c r="AI240" s="780" t="s">
        <v>414</v>
      </c>
      <c r="AJ240" s="780" t="s">
        <v>414</v>
      </c>
      <c r="AK240" s="780" t="s">
        <v>414</v>
      </c>
      <c r="AL240" s="780" t="s">
        <v>414</v>
      </c>
      <c r="AM240" s="780" t="s">
        <v>414</v>
      </c>
      <c r="AN240" s="780" t="s">
        <v>414</v>
      </c>
      <c r="AO240" s="780" t="s">
        <v>414</v>
      </c>
      <c r="AP240" s="780" t="s">
        <v>414</v>
      </c>
      <c r="AQ240" s="780" t="s">
        <v>414</v>
      </c>
      <c r="AR240" s="780" t="s">
        <v>414</v>
      </c>
      <c r="AS240" s="780" t="s">
        <v>414</v>
      </c>
      <c r="AT240" s="780" t="s">
        <v>414</v>
      </c>
      <c r="AU240" s="780" t="s">
        <v>414</v>
      </c>
      <c r="AV240" s="780" t="s">
        <v>414</v>
      </c>
      <c r="AW240" s="222" t="s">
        <v>414</v>
      </c>
      <c r="AX240" s="222" t="s">
        <v>414</v>
      </c>
      <c r="AY240" s="222" t="s">
        <v>414</v>
      </c>
      <c r="AZ240" s="222" t="s">
        <v>414</v>
      </c>
      <c r="BA240" s="222" t="s">
        <v>414</v>
      </c>
      <c r="BB240" s="222" t="s">
        <v>414</v>
      </c>
      <c r="BC240" s="222" t="s">
        <v>414</v>
      </c>
      <c r="BD240" s="222" t="s">
        <v>414</v>
      </c>
      <c r="BE240" s="222" t="s">
        <v>414</v>
      </c>
      <c r="BF240" s="222" t="s">
        <v>414</v>
      </c>
      <c r="BG240" s="222" t="s">
        <v>414</v>
      </c>
      <c r="BH240" s="222" t="s">
        <v>414</v>
      </c>
      <c r="BI240" s="222" t="s">
        <v>414</v>
      </c>
      <c r="BJ240" s="222" t="s">
        <v>414</v>
      </c>
      <c r="BK240" s="222" t="s">
        <v>414</v>
      </c>
      <c r="BL240" s="222" t="s">
        <v>414</v>
      </c>
      <c r="BM240" s="222" t="s">
        <v>414</v>
      </c>
      <c r="BN240" s="222" t="s">
        <v>414</v>
      </c>
      <c r="BO240" s="222" t="s">
        <v>414</v>
      </c>
      <c r="BP240" s="222" t="s">
        <v>414</v>
      </c>
      <c r="BQ240" s="222" t="s">
        <v>414</v>
      </c>
      <c r="BR240" s="1874" t="s">
        <v>414</v>
      </c>
      <c r="BS240" s="222" t="s">
        <v>414</v>
      </c>
      <c r="BT240" s="222" t="s">
        <v>414</v>
      </c>
      <c r="BU240" s="222" t="s">
        <v>414</v>
      </c>
      <c r="BV240" s="222" t="s">
        <v>414</v>
      </c>
      <c r="BW240" s="222" t="s">
        <v>414</v>
      </c>
      <c r="BX240" s="222" t="s">
        <v>414</v>
      </c>
      <c r="BY240" s="222" t="s">
        <v>414</v>
      </c>
      <c r="BZ240" s="222" t="s">
        <v>414</v>
      </c>
      <c r="CA240" s="222" t="s">
        <v>414</v>
      </c>
      <c r="CB240" s="222" t="s">
        <v>414</v>
      </c>
      <c r="CC240" s="222" t="s">
        <v>414</v>
      </c>
    </row>
    <row r="241" spans="1:83" ht="12.75" customHeight="1" outlineLevel="1">
      <c r="A241" s="746"/>
      <c r="B241" s="349" t="s">
        <v>655</v>
      </c>
      <c r="C241" s="780" t="s">
        <v>414</v>
      </c>
      <c r="D241" s="780" t="s">
        <v>414</v>
      </c>
      <c r="E241" s="780" t="s">
        <v>414</v>
      </c>
      <c r="F241" s="780" t="s">
        <v>414</v>
      </c>
      <c r="G241" s="780" t="s">
        <v>414</v>
      </c>
      <c r="H241" s="780" t="s">
        <v>414</v>
      </c>
      <c r="I241" s="780" t="s">
        <v>414</v>
      </c>
      <c r="J241" s="780" t="s">
        <v>414</v>
      </c>
      <c r="K241" s="780" t="s">
        <v>414</v>
      </c>
      <c r="L241" s="780" t="s">
        <v>414</v>
      </c>
      <c r="M241" s="780" t="s">
        <v>414</v>
      </c>
      <c r="N241" s="780" t="s">
        <v>414</v>
      </c>
      <c r="O241" s="780" t="s">
        <v>414</v>
      </c>
      <c r="P241" s="780" t="s">
        <v>414</v>
      </c>
      <c r="Q241" s="780" t="s">
        <v>414</v>
      </c>
      <c r="R241" s="780" t="s">
        <v>414</v>
      </c>
      <c r="S241" s="780" t="s">
        <v>414</v>
      </c>
      <c r="T241" s="780" t="s">
        <v>414</v>
      </c>
      <c r="U241" s="780" t="s">
        <v>414</v>
      </c>
      <c r="V241" s="780" t="s">
        <v>414</v>
      </c>
      <c r="W241" s="780" t="s">
        <v>414</v>
      </c>
      <c r="X241" s="780" t="s">
        <v>414</v>
      </c>
      <c r="Y241" s="780" t="s">
        <v>414</v>
      </c>
      <c r="Z241" s="780" t="s">
        <v>414</v>
      </c>
      <c r="AA241" s="780" t="s">
        <v>414</v>
      </c>
      <c r="AB241" s="780" t="s">
        <v>414</v>
      </c>
      <c r="AC241" s="780" t="s">
        <v>414</v>
      </c>
      <c r="AD241" s="780" t="s">
        <v>414</v>
      </c>
      <c r="AE241" s="780" t="s">
        <v>414</v>
      </c>
      <c r="AF241" s="780" t="s">
        <v>414</v>
      </c>
      <c r="AG241" s="780" t="s">
        <v>414</v>
      </c>
      <c r="AH241" s="780" t="s">
        <v>414</v>
      </c>
      <c r="AI241" s="780" t="s">
        <v>414</v>
      </c>
      <c r="AJ241" s="780" t="s">
        <v>414</v>
      </c>
      <c r="AK241" s="780" t="s">
        <v>414</v>
      </c>
      <c r="AL241" s="780" t="s">
        <v>414</v>
      </c>
      <c r="AM241" s="780" t="s">
        <v>414</v>
      </c>
      <c r="AN241" s="780" t="s">
        <v>414</v>
      </c>
      <c r="AO241" s="780" t="s">
        <v>414</v>
      </c>
      <c r="AP241" s="780" t="s">
        <v>414</v>
      </c>
      <c r="AQ241" s="780" t="s">
        <v>414</v>
      </c>
      <c r="AR241" s="780" t="s">
        <v>414</v>
      </c>
      <c r="AS241" s="780" t="s">
        <v>414</v>
      </c>
      <c r="AT241" s="780" t="s">
        <v>414</v>
      </c>
      <c r="AU241" s="780" t="s">
        <v>414</v>
      </c>
      <c r="AV241" s="780" t="s">
        <v>414</v>
      </c>
      <c r="AW241" s="222" t="s">
        <v>414</v>
      </c>
      <c r="AX241" s="222" t="s">
        <v>414</v>
      </c>
      <c r="AY241" s="222" t="s">
        <v>414</v>
      </c>
      <c r="AZ241" s="222" t="s">
        <v>414</v>
      </c>
      <c r="BA241" s="222" t="s">
        <v>414</v>
      </c>
      <c r="BB241" s="222" t="s">
        <v>414</v>
      </c>
      <c r="BC241" s="222" t="s">
        <v>414</v>
      </c>
      <c r="BD241" s="222" t="s">
        <v>414</v>
      </c>
      <c r="BE241" s="222" t="s">
        <v>414</v>
      </c>
      <c r="BF241" s="222" t="s">
        <v>414</v>
      </c>
      <c r="BG241" s="222" t="s">
        <v>414</v>
      </c>
      <c r="BH241" s="222" t="s">
        <v>414</v>
      </c>
      <c r="BI241" s="222" t="s">
        <v>414</v>
      </c>
      <c r="BJ241" s="222" t="s">
        <v>414</v>
      </c>
      <c r="BK241" s="222" t="s">
        <v>414</v>
      </c>
      <c r="BL241" s="222" t="s">
        <v>414</v>
      </c>
      <c r="BM241" s="222" t="s">
        <v>414</v>
      </c>
      <c r="BN241" s="222" t="s">
        <v>414</v>
      </c>
      <c r="BO241" s="222" t="s">
        <v>414</v>
      </c>
      <c r="BP241" s="222" t="s">
        <v>414</v>
      </c>
      <c r="BQ241" s="222" t="s">
        <v>414</v>
      </c>
      <c r="BR241" s="1874" t="s">
        <v>414</v>
      </c>
      <c r="BS241" s="222" t="s">
        <v>414</v>
      </c>
      <c r="BT241" s="222" t="s">
        <v>414</v>
      </c>
      <c r="BU241" s="222" t="s">
        <v>414</v>
      </c>
      <c r="BV241" s="222" t="s">
        <v>414</v>
      </c>
      <c r="BW241" s="222" t="s">
        <v>414</v>
      </c>
      <c r="BX241" s="222" t="s">
        <v>414</v>
      </c>
      <c r="BY241" s="222" t="s">
        <v>414</v>
      </c>
      <c r="BZ241" s="222" t="s">
        <v>414</v>
      </c>
      <c r="CA241" s="222" t="s">
        <v>414</v>
      </c>
      <c r="CB241" s="222" t="s">
        <v>414</v>
      </c>
      <c r="CC241" s="222" t="s">
        <v>414</v>
      </c>
    </row>
    <row r="242" spans="1:83" ht="12.75" customHeight="1" outlineLevel="1">
      <c r="A242" s="746"/>
      <c r="B242" s="349" t="s">
        <v>656</v>
      </c>
      <c r="C242" s="780" t="s">
        <v>414</v>
      </c>
      <c r="D242" s="780" t="s">
        <v>414</v>
      </c>
      <c r="E242" s="780" t="s">
        <v>414</v>
      </c>
      <c r="F242" s="780" t="s">
        <v>414</v>
      </c>
      <c r="G242" s="780" t="s">
        <v>414</v>
      </c>
      <c r="H242" s="780" t="s">
        <v>414</v>
      </c>
      <c r="I242" s="780" t="s">
        <v>414</v>
      </c>
      <c r="J242" s="780" t="s">
        <v>414</v>
      </c>
      <c r="K242" s="780" t="s">
        <v>414</v>
      </c>
      <c r="L242" s="780" t="s">
        <v>414</v>
      </c>
      <c r="M242" s="780" t="s">
        <v>414</v>
      </c>
      <c r="N242" s="780" t="s">
        <v>414</v>
      </c>
      <c r="O242" s="780" t="s">
        <v>414</v>
      </c>
      <c r="P242" s="780" t="s">
        <v>414</v>
      </c>
      <c r="Q242" s="780" t="s">
        <v>414</v>
      </c>
      <c r="R242" s="780" t="s">
        <v>414</v>
      </c>
      <c r="S242" s="780" t="s">
        <v>414</v>
      </c>
      <c r="T242" s="780" t="s">
        <v>414</v>
      </c>
      <c r="U242" s="780" t="s">
        <v>414</v>
      </c>
      <c r="V242" s="780" t="s">
        <v>414</v>
      </c>
      <c r="W242" s="780" t="s">
        <v>414</v>
      </c>
      <c r="X242" s="780" t="s">
        <v>414</v>
      </c>
      <c r="Y242" s="780" t="s">
        <v>414</v>
      </c>
      <c r="Z242" s="780" t="s">
        <v>414</v>
      </c>
      <c r="AA242" s="780" t="s">
        <v>414</v>
      </c>
      <c r="AB242" s="780" t="s">
        <v>414</v>
      </c>
      <c r="AC242" s="780" t="s">
        <v>414</v>
      </c>
      <c r="AD242" s="780" t="s">
        <v>414</v>
      </c>
      <c r="AE242" s="780" t="s">
        <v>414</v>
      </c>
      <c r="AF242" s="780" t="s">
        <v>414</v>
      </c>
      <c r="AG242" s="780" t="s">
        <v>414</v>
      </c>
      <c r="AH242" s="780" t="s">
        <v>414</v>
      </c>
      <c r="AI242" s="780" t="s">
        <v>414</v>
      </c>
      <c r="AJ242" s="780" t="s">
        <v>414</v>
      </c>
      <c r="AK242" s="780" t="s">
        <v>414</v>
      </c>
      <c r="AL242" s="780" t="s">
        <v>414</v>
      </c>
      <c r="AM242" s="780" t="s">
        <v>414</v>
      </c>
      <c r="AN242" s="780" t="s">
        <v>414</v>
      </c>
      <c r="AO242" s="780" t="s">
        <v>414</v>
      </c>
      <c r="AP242" s="780" t="s">
        <v>414</v>
      </c>
      <c r="AQ242" s="780" t="s">
        <v>414</v>
      </c>
      <c r="AR242" s="780" t="s">
        <v>414</v>
      </c>
      <c r="AS242" s="780" t="s">
        <v>414</v>
      </c>
      <c r="AT242" s="780" t="s">
        <v>414</v>
      </c>
      <c r="AU242" s="780" t="s">
        <v>414</v>
      </c>
      <c r="AV242" s="780" t="s">
        <v>414</v>
      </c>
      <c r="AW242" s="222" t="s">
        <v>414</v>
      </c>
      <c r="AX242" s="222" t="s">
        <v>414</v>
      </c>
      <c r="AY242" s="222" t="s">
        <v>414</v>
      </c>
      <c r="AZ242" s="222" t="s">
        <v>414</v>
      </c>
      <c r="BA242" s="222" t="s">
        <v>414</v>
      </c>
      <c r="BB242" s="222" t="s">
        <v>414</v>
      </c>
      <c r="BC242" s="222" t="s">
        <v>414</v>
      </c>
      <c r="BD242" s="222" t="s">
        <v>414</v>
      </c>
      <c r="BE242" s="222" t="s">
        <v>414</v>
      </c>
      <c r="BF242" s="222" t="s">
        <v>414</v>
      </c>
      <c r="BG242" s="222" t="s">
        <v>414</v>
      </c>
      <c r="BH242" s="222" t="s">
        <v>414</v>
      </c>
      <c r="BI242" s="222" t="s">
        <v>414</v>
      </c>
      <c r="BJ242" s="222" t="s">
        <v>414</v>
      </c>
      <c r="BK242" s="222" t="s">
        <v>414</v>
      </c>
      <c r="BL242" s="222" t="s">
        <v>414</v>
      </c>
      <c r="BM242" s="222" t="s">
        <v>414</v>
      </c>
      <c r="BN242" s="222" t="s">
        <v>414</v>
      </c>
      <c r="BO242" s="222" t="s">
        <v>414</v>
      </c>
      <c r="BP242" s="222" t="s">
        <v>414</v>
      </c>
      <c r="BQ242" s="222" t="s">
        <v>414</v>
      </c>
      <c r="BR242" s="1874" t="s">
        <v>414</v>
      </c>
      <c r="BS242" s="222" t="s">
        <v>414</v>
      </c>
      <c r="BT242" s="222" t="s">
        <v>414</v>
      </c>
      <c r="BU242" s="222" t="s">
        <v>414</v>
      </c>
      <c r="BV242" s="222" t="s">
        <v>414</v>
      </c>
      <c r="BW242" s="222" t="s">
        <v>414</v>
      </c>
      <c r="BX242" s="222" t="s">
        <v>414</v>
      </c>
      <c r="BY242" s="222" t="s">
        <v>414</v>
      </c>
      <c r="BZ242" s="222" t="s">
        <v>414</v>
      </c>
      <c r="CA242" s="222" t="s">
        <v>414</v>
      </c>
      <c r="CB242" s="222" t="s">
        <v>414</v>
      </c>
      <c r="CC242" s="222" t="s">
        <v>414</v>
      </c>
    </row>
    <row r="243" spans="1:83" ht="12.75" customHeight="1" outlineLevel="1">
      <c r="A243" s="746"/>
      <c r="B243" s="349" t="s">
        <v>657</v>
      </c>
      <c r="C243" s="780" t="s">
        <v>414</v>
      </c>
      <c r="D243" s="780" t="s">
        <v>414</v>
      </c>
      <c r="E243" s="780" t="s">
        <v>414</v>
      </c>
      <c r="F243" s="780" t="s">
        <v>414</v>
      </c>
      <c r="G243" s="780" t="s">
        <v>414</v>
      </c>
      <c r="H243" s="780" t="s">
        <v>414</v>
      </c>
      <c r="I243" s="780" t="s">
        <v>414</v>
      </c>
      <c r="J243" s="780" t="s">
        <v>414</v>
      </c>
      <c r="K243" s="780" t="s">
        <v>414</v>
      </c>
      <c r="L243" s="780" t="s">
        <v>414</v>
      </c>
      <c r="M243" s="780" t="s">
        <v>414</v>
      </c>
      <c r="N243" s="780" t="s">
        <v>414</v>
      </c>
      <c r="O243" s="780" t="s">
        <v>414</v>
      </c>
      <c r="P243" s="780" t="s">
        <v>414</v>
      </c>
      <c r="Q243" s="780" t="s">
        <v>414</v>
      </c>
      <c r="R243" s="780" t="s">
        <v>414</v>
      </c>
      <c r="S243" s="780" t="s">
        <v>414</v>
      </c>
      <c r="T243" s="780" t="s">
        <v>414</v>
      </c>
      <c r="U243" s="780" t="s">
        <v>414</v>
      </c>
      <c r="V243" s="780" t="s">
        <v>414</v>
      </c>
      <c r="W243" s="780" t="s">
        <v>414</v>
      </c>
      <c r="X243" s="780" t="s">
        <v>414</v>
      </c>
      <c r="Y243" s="780" t="s">
        <v>414</v>
      </c>
      <c r="Z243" s="780" t="s">
        <v>414</v>
      </c>
      <c r="AA243" s="780" t="s">
        <v>414</v>
      </c>
      <c r="AB243" s="780" t="s">
        <v>414</v>
      </c>
      <c r="AC243" s="780" t="s">
        <v>414</v>
      </c>
      <c r="AD243" s="780" t="s">
        <v>414</v>
      </c>
      <c r="AE243" s="780" t="s">
        <v>414</v>
      </c>
      <c r="AF243" s="780" t="s">
        <v>414</v>
      </c>
      <c r="AG243" s="780" t="s">
        <v>414</v>
      </c>
      <c r="AH243" s="780" t="s">
        <v>414</v>
      </c>
      <c r="AI243" s="780" t="s">
        <v>414</v>
      </c>
      <c r="AJ243" s="780" t="s">
        <v>414</v>
      </c>
      <c r="AK243" s="780" t="s">
        <v>414</v>
      </c>
      <c r="AL243" s="780" t="s">
        <v>414</v>
      </c>
      <c r="AM243" s="780" t="s">
        <v>414</v>
      </c>
      <c r="AN243" s="780" t="s">
        <v>414</v>
      </c>
      <c r="AO243" s="780" t="s">
        <v>414</v>
      </c>
      <c r="AP243" s="780" t="s">
        <v>414</v>
      </c>
      <c r="AQ243" s="780" t="s">
        <v>414</v>
      </c>
      <c r="AR243" s="780" t="s">
        <v>414</v>
      </c>
      <c r="AS243" s="780" t="s">
        <v>414</v>
      </c>
      <c r="AT243" s="780" t="s">
        <v>414</v>
      </c>
      <c r="AU243" s="780" t="s">
        <v>414</v>
      </c>
      <c r="AV243" s="780" t="s">
        <v>414</v>
      </c>
      <c r="AW243" s="222" t="s">
        <v>414</v>
      </c>
      <c r="AX243" s="222" t="s">
        <v>414</v>
      </c>
      <c r="AY243" s="222" t="s">
        <v>414</v>
      </c>
      <c r="AZ243" s="222" t="s">
        <v>414</v>
      </c>
      <c r="BA243" s="222" t="s">
        <v>414</v>
      </c>
      <c r="BB243" s="222" t="s">
        <v>414</v>
      </c>
      <c r="BC243" s="222" t="s">
        <v>414</v>
      </c>
      <c r="BD243" s="222" t="s">
        <v>414</v>
      </c>
      <c r="BE243" s="222" t="s">
        <v>414</v>
      </c>
      <c r="BF243" s="222" t="s">
        <v>414</v>
      </c>
      <c r="BG243" s="222" t="s">
        <v>414</v>
      </c>
      <c r="BH243" s="222" t="s">
        <v>414</v>
      </c>
      <c r="BI243" s="222" t="s">
        <v>414</v>
      </c>
      <c r="BJ243" s="222" t="s">
        <v>414</v>
      </c>
      <c r="BK243" s="222" t="s">
        <v>414</v>
      </c>
      <c r="BL243" s="222" t="s">
        <v>414</v>
      </c>
      <c r="BM243" s="222" t="s">
        <v>414</v>
      </c>
      <c r="BN243" s="222" t="s">
        <v>414</v>
      </c>
      <c r="BO243" s="222" t="s">
        <v>414</v>
      </c>
      <c r="BP243" s="222" t="s">
        <v>414</v>
      </c>
      <c r="BQ243" s="222" t="s">
        <v>414</v>
      </c>
      <c r="BR243" s="1874" t="s">
        <v>414</v>
      </c>
      <c r="BS243" s="222" t="s">
        <v>414</v>
      </c>
      <c r="BT243" s="222" t="s">
        <v>414</v>
      </c>
      <c r="BU243" s="222" t="s">
        <v>414</v>
      </c>
      <c r="BV243" s="222" t="s">
        <v>414</v>
      </c>
      <c r="BW243" s="222" t="s">
        <v>414</v>
      </c>
      <c r="BX243" s="222" t="s">
        <v>414</v>
      </c>
      <c r="BY243" s="222" t="s">
        <v>414</v>
      </c>
      <c r="BZ243" s="222" t="s">
        <v>414</v>
      </c>
      <c r="CA243" s="222" t="s">
        <v>414</v>
      </c>
      <c r="CB243" s="222" t="s">
        <v>414</v>
      </c>
      <c r="CC243" s="222" t="s">
        <v>414</v>
      </c>
      <c r="CD243" s="74"/>
      <c r="CE243" s="74"/>
    </row>
    <row r="244" spans="1:83" ht="12.75" customHeight="1" outlineLevel="1">
      <c r="A244" s="746"/>
      <c r="B244" s="349" t="s">
        <v>658</v>
      </c>
      <c r="C244" s="780" t="s">
        <v>414</v>
      </c>
      <c r="D244" s="780" t="s">
        <v>414</v>
      </c>
      <c r="E244" s="780" t="s">
        <v>414</v>
      </c>
      <c r="F244" s="780" t="s">
        <v>414</v>
      </c>
      <c r="G244" s="780" t="s">
        <v>414</v>
      </c>
      <c r="H244" s="780" t="s">
        <v>414</v>
      </c>
      <c r="I244" s="780" t="s">
        <v>414</v>
      </c>
      <c r="J244" s="780" t="s">
        <v>414</v>
      </c>
      <c r="K244" s="780" t="s">
        <v>414</v>
      </c>
      <c r="L244" s="780" t="s">
        <v>414</v>
      </c>
      <c r="M244" s="780" t="s">
        <v>414</v>
      </c>
      <c r="N244" s="780" t="s">
        <v>414</v>
      </c>
      <c r="O244" s="780" t="s">
        <v>414</v>
      </c>
      <c r="P244" s="780" t="s">
        <v>414</v>
      </c>
      <c r="Q244" s="780" t="s">
        <v>414</v>
      </c>
      <c r="R244" s="780" t="s">
        <v>414</v>
      </c>
      <c r="S244" s="780" t="s">
        <v>414</v>
      </c>
      <c r="T244" s="780" t="s">
        <v>414</v>
      </c>
      <c r="U244" s="780" t="s">
        <v>414</v>
      </c>
      <c r="V244" s="780" t="s">
        <v>414</v>
      </c>
      <c r="W244" s="780" t="s">
        <v>414</v>
      </c>
      <c r="X244" s="780" t="s">
        <v>414</v>
      </c>
      <c r="Y244" s="780" t="s">
        <v>414</v>
      </c>
      <c r="Z244" s="780" t="s">
        <v>414</v>
      </c>
      <c r="AA244" s="780" t="s">
        <v>414</v>
      </c>
      <c r="AB244" s="780" t="s">
        <v>414</v>
      </c>
      <c r="AC244" s="780" t="s">
        <v>414</v>
      </c>
      <c r="AD244" s="780" t="s">
        <v>414</v>
      </c>
      <c r="AE244" s="780" t="s">
        <v>414</v>
      </c>
      <c r="AF244" s="780" t="s">
        <v>414</v>
      </c>
      <c r="AG244" s="780" t="s">
        <v>414</v>
      </c>
      <c r="AH244" s="780" t="s">
        <v>414</v>
      </c>
      <c r="AI244" s="780" t="s">
        <v>414</v>
      </c>
      <c r="AJ244" s="780" t="s">
        <v>414</v>
      </c>
      <c r="AK244" s="780" t="s">
        <v>414</v>
      </c>
      <c r="AL244" s="780" t="s">
        <v>414</v>
      </c>
      <c r="AM244" s="780" t="s">
        <v>414</v>
      </c>
      <c r="AN244" s="780" t="s">
        <v>414</v>
      </c>
      <c r="AO244" s="780" t="s">
        <v>414</v>
      </c>
      <c r="AP244" s="780" t="s">
        <v>414</v>
      </c>
      <c r="AQ244" s="780" t="s">
        <v>414</v>
      </c>
      <c r="AR244" s="780" t="s">
        <v>414</v>
      </c>
      <c r="AS244" s="780" t="s">
        <v>414</v>
      </c>
      <c r="AT244" s="780" t="s">
        <v>414</v>
      </c>
      <c r="AU244" s="780" t="s">
        <v>414</v>
      </c>
      <c r="AV244" s="780" t="s">
        <v>414</v>
      </c>
      <c r="AW244" s="222" t="s">
        <v>414</v>
      </c>
      <c r="AX244" s="222" t="s">
        <v>414</v>
      </c>
      <c r="AY244" s="222" t="s">
        <v>414</v>
      </c>
      <c r="AZ244" s="222" t="s">
        <v>414</v>
      </c>
      <c r="BA244" s="222" t="s">
        <v>414</v>
      </c>
      <c r="BB244" s="222" t="s">
        <v>414</v>
      </c>
      <c r="BC244" s="222" t="s">
        <v>414</v>
      </c>
      <c r="BD244" s="222" t="s">
        <v>414</v>
      </c>
      <c r="BE244" s="222" t="s">
        <v>414</v>
      </c>
      <c r="BF244" s="222" t="s">
        <v>414</v>
      </c>
      <c r="BG244" s="222" t="s">
        <v>414</v>
      </c>
      <c r="BH244" s="222" t="s">
        <v>414</v>
      </c>
      <c r="BI244" s="222" t="s">
        <v>414</v>
      </c>
      <c r="BJ244" s="222" t="s">
        <v>414</v>
      </c>
      <c r="BK244" s="222" t="s">
        <v>414</v>
      </c>
      <c r="BL244" s="222" t="s">
        <v>414</v>
      </c>
      <c r="BM244" s="222" t="s">
        <v>414</v>
      </c>
      <c r="BN244" s="222" t="s">
        <v>414</v>
      </c>
      <c r="BO244" s="222" t="s">
        <v>414</v>
      </c>
      <c r="BP244" s="222" t="s">
        <v>414</v>
      </c>
      <c r="BQ244" s="222" t="s">
        <v>414</v>
      </c>
      <c r="BR244" s="1874" t="s">
        <v>414</v>
      </c>
      <c r="BS244" s="222" t="s">
        <v>414</v>
      </c>
      <c r="BT244" s="222" t="s">
        <v>414</v>
      </c>
      <c r="BU244" s="222" t="s">
        <v>414</v>
      </c>
      <c r="BV244" s="222" t="s">
        <v>414</v>
      </c>
      <c r="BW244" s="222" t="s">
        <v>414</v>
      </c>
      <c r="BX244" s="222" t="s">
        <v>414</v>
      </c>
      <c r="BY244" s="222" t="s">
        <v>414</v>
      </c>
      <c r="BZ244" s="222" t="s">
        <v>414</v>
      </c>
      <c r="CA244" s="222" t="s">
        <v>414</v>
      </c>
      <c r="CB244" s="222" t="s">
        <v>414</v>
      </c>
      <c r="CC244" s="222" t="s">
        <v>414</v>
      </c>
    </row>
    <row r="245" spans="1:83" ht="12.75" customHeight="1" outlineLevel="1">
      <c r="A245" s="746"/>
      <c r="B245" s="349" t="s">
        <v>662</v>
      </c>
      <c r="C245" s="780" t="s">
        <v>414</v>
      </c>
      <c r="D245" s="780" t="s">
        <v>414</v>
      </c>
      <c r="E245" s="780" t="s">
        <v>414</v>
      </c>
      <c r="F245" s="780" t="s">
        <v>414</v>
      </c>
      <c r="G245" s="780" t="s">
        <v>414</v>
      </c>
      <c r="H245" s="780" t="s">
        <v>414</v>
      </c>
      <c r="I245" s="780" t="s">
        <v>414</v>
      </c>
      <c r="J245" s="780" t="s">
        <v>414</v>
      </c>
      <c r="K245" s="780" t="s">
        <v>414</v>
      </c>
      <c r="L245" s="780" t="s">
        <v>414</v>
      </c>
      <c r="M245" s="780" t="s">
        <v>414</v>
      </c>
      <c r="N245" s="780" t="s">
        <v>414</v>
      </c>
      <c r="O245" s="780" t="s">
        <v>414</v>
      </c>
      <c r="P245" s="780" t="s">
        <v>414</v>
      </c>
      <c r="Q245" s="780" t="s">
        <v>414</v>
      </c>
      <c r="R245" s="780" t="s">
        <v>414</v>
      </c>
      <c r="S245" s="780" t="s">
        <v>414</v>
      </c>
      <c r="T245" s="780" t="s">
        <v>414</v>
      </c>
      <c r="U245" s="780" t="s">
        <v>414</v>
      </c>
      <c r="V245" s="780" t="s">
        <v>414</v>
      </c>
      <c r="W245" s="780" t="s">
        <v>414</v>
      </c>
      <c r="X245" s="780" t="s">
        <v>414</v>
      </c>
      <c r="Y245" s="780" t="s">
        <v>414</v>
      </c>
      <c r="Z245" s="780" t="s">
        <v>414</v>
      </c>
      <c r="AA245" s="780" t="s">
        <v>414</v>
      </c>
      <c r="AB245" s="780" t="s">
        <v>414</v>
      </c>
      <c r="AC245" s="780" t="s">
        <v>414</v>
      </c>
      <c r="AD245" s="780" t="s">
        <v>414</v>
      </c>
      <c r="AE245" s="780" t="s">
        <v>414</v>
      </c>
      <c r="AF245" s="780" t="s">
        <v>414</v>
      </c>
      <c r="AG245" s="780" t="s">
        <v>414</v>
      </c>
      <c r="AH245" s="780" t="s">
        <v>414</v>
      </c>
      <c r="AI245" s="780" t="s">
        <v>414</v>
      </c>
      <c r="AJ245" s="780" t="s">
        <v>414</v>
      </c>
      <c r="AK245" s="780" t="s">
        <v>414</v>
      </c>
      <c r="AL245" s="780" t="s">
        <v>414</v>
      </c>
      <c r="AM245" s="780" t="s">
        <v>414</v>
      </c>
      <c r="AN245" s="780" t="s">
        <v>414</v>
      </c>
      <c r="AO245" s="780" t="s">
        <v>414</v>
      </c>
      <c r="AP245" s="780" t="s">
        <v>414</v>
      </c>
      <c r="AQ245" s="780" t="s">
        <v>414</v>
      </c>
      <c r="AR245" s="780" t="s">
        <v>414</v>
      </c>
      <c r="AS245" s="780" t="s">
        <v>414</v>
      </c>
      <c r="AT245" s="780" t="s">
        <v>414</v>
      </c>
      <c r="AU245" s="780" t="s">
        <v>414</v>
      </c>
      <c r="AV245" s="780" t="s">
        <v>414</v>
      </c>
      <c r="AW245" s="222" t="s">
        <v>414</v>
      </c>
      <c r="AX245" s="222" t="s">
        <v>414</v>
      </c>
      <c r="AY245" s="222" t="s">
        <v>414</v>
      </c>
      <c r="AZ245" s="222" t="s">
        <v>414</v>
      </c>
      <c r="BA245" s="222" t="s">
        <v>414</v>
      </c>
      <c r="BB245" s="222" t="s">
        <v>414</v>
      </c>
      <c r="BC245" s="222" t="s">
        <v>414</v>
      </c>
      <c r="BD245" s="222" t="s">
        <v>414</v>
      </c>
      <c r="BE245" s="222" t="s">
        <v>414</v>
      </c>
      <c r="BF245" s="222" t="s">
        <v>414</v>
      </c>
      <c r="BG245" s="222" t="s">
        <v>414</v>
      </c>
      <c r="BH245" s="222" t="s">
        <v>414</v>
      </c>
      <c r="BI245" s="222" t="s">
        <v>414</v>
      </c>
      <c r="BJ245" s="222" t="s">
        <v>414</v>
      </c>
      <c r="BK245" s="222" t="s">
        <v>414</v>
      </c>
      <c r="BL245" s="222" t="s">
        <v>414</v>
      </c>
      <c r="BM245" s="222" t="s">
        <v>414</v>
      </c>
      <c r="BN245" s="222" t="s">
        <v>414</v>
      </c>
      <c r="BO245" s="222" t="s">
        <v>414</v>
      </c>
      <c r="BP245" s="222" t="s">
        <v>414</v>
      </c>
      <c r="BQ245" s="222" t="s">
        <v>414</v>
      </c>
      <c r="BR245" s="1874" t="s">
        <v>414</v>
      </c>
      <c r="BS245" s="222" t="s">
        <v>414</v>
      </c>
      <c r="BT245" s="222" t="s">
        <v>414</v>
      </c>
      <c r="BU245" s="222" t="s">
        <v>414</v>
      </c>
      <c r="BV245" s="222" t="s">
        <v>414</v>
      </c>
      <c r="BW245" s="222" t="s">
        <v>414</v>
      </c>
      <c r="BX245" s="222" t="s">
        <v>414</v>
      </c>
      <c r="BY245" s="222" t="s">
        <v>414</v>
      </c>
      <c r="BZ245" s="222" t="s">
        <v>414</v>
      </c>
      <c r="CA245" s="222" t="s">
        <v>414</v>
      </c>
      <c r="CB245" s="222" t="s">
        <v>414</v>
      </c>
      <c r="CC245" s="222" t="s">
        <v>414</v>
      </c>
    </row>
    <row r="246" spans="1:83">
      <c r="A246" s="746"/>
      <c r="B246" s="438"/>
      <c r="C246" s="438"/>
      <c r="D246" s="438"/>
      <c r="E246" s="438"/>
      <c r="F246" s="438"/>
      <c r="G246" s="438"/>
      <c r="H246" s="438"/>
      <c r="I246" s="438"/>
      <c r="J246" s="438"/>
      <c r="K246" s="438"/>
      <c r="L246" s="438"/>
      <c r="M246" s="438"/>
      <c r="N246" s="438"/>
      <c r="O246" s="438"/>
      <c r="P246" s="438"/>
      <c r="Q246" s="438"/>
      <c r="R246" s="438"/>
      <c r="S246" s="438"/>
      <c r="T246" s="438"/>
      <c r="U246" s="438"/>
      <c r="V246" s="438"/>
      <c r="W246" s="438"/>
      <c r="X246" s="438"/>
      <c r="Y246" s="438"/>
      <c r="Z246" s="438"/>
      <c r="AA246" s="438"/>
      <c r="AB246" s="438"/>
      <c r="AC246" s="438"/>
      <c r="AD246" s="438"/>
      <c r="AE246" s="438"/>
      <c r="AF246" s="438"/>
      <c r="AG246" s="438"/>
      <c r="AH246" s="438"/>
      <c r="AI246" s="438"/>
      <c r="AJ246" s="438"/>
      <c r="AK246" s="438"/>
      <c r="AL246" s="438"/>
      <c r="AM246" s="438"/>
      <c r="AN246" s="438"/>
      <c r="AO246" s="438"/>
      <c r="AP246" s="438"/>
      <c r="AQ246" s="438"/>
      <c r="AR246" s="438"/>
      <c r="AS246" s="438"/>
      <c r="AT246" s="438"/>
      <c r="AU246" s="438"/>
      <c r="AV246" s="438"/>
      <c r="AW246" s="438"/>
      <c r="AX246" s="438"/>
      <c r="AY246" s="438"/>
      <c r="AZ246" s="438"/>
      <c r="BA246" s="438"/>
      <c r="BB246" s="438"/>
      <c r="BC246" s="438"/>
      <c r="BD246" s="438"/>
      <c r="BE246" s="438"/>
      <c r="BF246" s="438"/>
      <c r="BG246" s="438"/>
      <c r="BH246" s="438"/>
      <c r="BJ246" s="438"/>
      <c r="BM246" s="438"/>
      <c r="BN246" s="438"/>
      <c r="BO246" s="438"/>
      <c r="BP246" s="438"/>
      <c r="BU246" s="438"/>
      <c r="BV246" s="438"/>
      <c r="BW246" s="438"/>
      <c r="BX246" s="438"/>
      <c r="BY246" s="438"/>
      <c r="BZ246" s="438"/>
      <c r="CA246" s="438"/>
      <c r="CB246" s="438"/>
      <c r="CC246" s="438"/>
      <c r="CD246" s="438"/>
    </row>
    <row r="247" spans="1:83">
      <c r="A247" s="746"/>
      <c r="B247" s="536" t="s">
        <v>645</v>
      </c>
      <c r="C247" s="438"/>
      <c r="D247" s="438"/>
      <c r="E247" s="438"/>
      <c r="F247" s="438"/>
      <c r="G247" s="438"/>
      <c r="H247" s="438"/>
      <c r="I247" s="438"/>
      <c r="J247" s="438"/>
      <c r="K247" s="438"/>
      <c r="L247" s="438"/>
      <c r="M247" s="438"/>
      <c r="N247" s="438"/>
      <c r="O247" s="438"/>
      <c r="P247" s="438"/>
      <c r="Q247" s="438"/>
      <c r="R247" s="438"/>
      <c r="S247" s="438"/>
      <c r="T247" s="438"/>
      <c r="U247" s="438"/>
      <c r="V247" s="438"/>
      <c r="W247" s="438"/>
      <c r="X247" s="438"/>
      <c r="Y247" s="438"/>
      <c r="Z247" s="438"/>
      <c r="AA247" s="438"/>
      <c r="AB247" s="438"/>
      <c r="AC247" s="438"/>
      <c r="AD247" s="438"/>
      <c r="AE247" s="438"/>
      <c r="AF247" s="438"/>
      <c r="AG247" s="438"/>
      <c r="AH247" s="438"/>
      <c r="AI247" s="438"/>
      <c r="AJ247" s="438"/>
      <c r="AK247" s="438"/>
      <c r="AL247" s="438"/>
      <c r="AM247" s="438"/>
      <c r="AN247" s="438"/>
      <c r="AO247" s="438"/>
      <c r="AP247" s="438"/>
      <c r="AQ247" s="438"/>
      <c r="AR247" s="438"/>
      <c r="AS247" s="438"/>
      <c r="AT247" s="438"/>
      <c r="AU247" s="438"/>
      <c r="AV247" s="438"/>
      <c r="AW247" s="438"/>
      <c r="AX247" s="438"/>
      <c r="AY247" s="438"/>
      <c r="AZ247" s="438"/>
      <c r="BA247" s="438"/>
      <c r="BB247" s="438"/>
      <c r="BC247" s="438"/>
      <c r="BD247" s="438"/>
      <c r="BE247" s="438"/>
      <c r="BF247" s="438"/>
      <c r="BG247" s="438"/>
      <c r="BH247" s="438"/>
      <c r="BJ247" s="438"/>
      <c r="BM247" s="438"/>
      <c r="BN247" s="438"/>
      <c r="BO247" s="438"/>
      <c r="BP247" s="438"/>
      <c r="BU247" s="438"/>
      <c r="BV247" s="438"/>
      <c r="BW247" s="438"/>
      <c r="BX247" s="438"/>
      <c r="BY247" s="438"/>
      <c r="BZ247" s="438"/>
      <c r="CA247" s="438"/>
      <c r="CB247" s="438"/>
      <c r="CC247" s="438"/>
      <c r="CD247" s="438"/>
    </row>
    <row r="248" spans="1:83">
      <c r="A248" s="746"/>
      <c r="B248" s="349" t="s">
        <v>659</v>
      </c>
      <c r="C248" s="438"/>
      <c r="D248" s="438"/>
      <c r="E248" s="438"/>
      <c r="F248" s="438"/>
      <c r="G248" s="438"/>
      <c r="H248" s="438"/>
      <c r="I248" s="438"/>
      <c r="J248" s="438"/>
      <c r="K248" s="438"/>
      <c r="L248" s="438"/>
      <c r="M248" s="438"/>
      <c r="N248" s="438"/>
      <c r="O248" s="438"/>
      <c r="P248" s="438"/>
      <c r="Q248" s="438"/>
      <c r="R248" s="438"/>
      <c r="S248" s="438"/>
      <c r="T248" s="438"/>
      <c r="U248" s="438"/>
      <c r="V248" s="438"/>
      <c r="W248" s="438"/>
      <c r="X248" s="438"/>
      <c r="Y248" s="438"/>
      <c r="Z248" s="438"/>
      <c r="AA248" s="438"/>
      <c r="AB248" s="438"/>
      <c r="AC248" s="438"/>
      <c r="AD248" s="438"/>
      <c r="AE248" s="438"/>
      <c r="AF248" s="438"/>
      <c r="AG248" s="438"/>
      <c r="AH248" s="438"/>
      <c r="AI248" s="438"/>
      <c r="AJ248" s="438"/>
      <c r="AK248" s="438"/>
      <c r="AL248" s="438"/>
      <c r="AM248" s="438"/>
      <c r="AN248" s="438"/>
      <c r="AO248" s="438"/>
      <c r="AP248" s="537"/>
      <c r="AQ248" s="438"/>
      <c r="AR248" s="438"/>
      <c r="AS248" s="537">
        <v>26.71</v>
      </c>
      <c r="AT248" s="438"/>
      <c r="AU248" s="438"/>
      <c r="AV248" s="537">
        <f>+AS248</f>
        <v>26.71</v>
      </c>
      <c r="AW248" s="438"/>
      <c r="AX248" s="438"/>
      <c r="AY248" s="537">
        <f>+AV248</f>
        <v>26.71</v>
      </c>
      <c r="AZ248" s="438"/>
      <c r="BA248" s="438"/>
      <c r="BB248" s="744">
        <f>Summary!N4</f>
        <v>88.1</v>
      </c>
      <c r="BC248" s="438"/>
      <c r="BD248" s="438"/>
      <c r="BE248" s="537">
        <f>+BB248</f>
        <v>88.1</v>
      </c>
      <c r="BF248" s="438"/>
      <c r="BG248" s="438"/>
      <c r="BH248" s="537">
        <f>+BE248</f>
        <v>88.1</v>
      </c>
      <c r="BI248" s="13">
        <f>+BH248</f>
        <v>88.1</v>
      </c>
      <c r="BJ248" s="537">
        <f t="shared" ref="BJ248:BW248" si="695">+BI248</f>
        <v>88.1</v>
      </c>
      <c r="BK248" s="13">
        <f>+BJ248</f>
        <v>88.1</v>
      </c>
      <c r="BL248" s="13">
        <f>+BK248</f>
        <v>88.1</v>
      </c>
      <c r="BM248" s="537">
        <f t="shared" si="695"/>
        <v>88.1</v>
      </c>
      <c r="BN248" s="537">
        <f t="shared" si="695"/>
        <v>88.1</v>
      </c>
      <c r="BO248" s="537">
        <f t="shared" si="695"/>
        <v>88.1</v>
      </c>
      <c r="BP248" s="537">
        <f>+BO248</f>
        <v>88.1</v>
      </c>
      <c r="BQ248" s="13">
        <f t="shared" si="695"/>
        <v>88.1</v>
      </c>
      <c r="BR248" s="1654">
        <f t="shared" si="695"/>
        <v>88.1</v>
      </c>
      <c r="BS248" s="13">
        <f t="shared" si="695"/>
        <v>88.1</v>
      </c>
      <c r="BT248" s="13">
        <f t="shared" si="695"/>
        <v>88.1</v>
      </c>
      <c r="BU248" s="537">
        <f t="shared" si="695"/>
        <v>88.1</v>
      </c>
      <c r="BV248" s="537">
        <f t="shared" si="695"/>
        <v>88.1</v>
      </c>
      <c r="BW248" s="537">
        <f t="shared" si="695"/>
        <v>88.1</v>
      </c>
      <c r="BX248" s="537">
        <f t="shared" ref="BX248" si="696">+BW248</f>
        <v>88.1</v>
      </c>
      <c r="BY248" s="537">
        <f t="shared" ref="BY248" si="697">+BX248</f>
        <v>88.1</v>
      </c>
      <c r="BZ248" s="537">
        <f t="shared" ref="BZ248" si="698">+BY248</f>
        <v>88.1</v>
      </c>
      <c r="CA248" s="537">
        <f t="shared" ref="CA248" si="699">+BZ248</f>
        <v>88.1</v>
      </c>
      <c r="CB248" s="537">
        <f t="shared" ref="CB248" si="700">+CA248</f>
        <v>88.1</v>
      </c>
      <c r="CC248" s="537">
        <f t="shared" ref="CC248" si="701">+CB248</f>
        <v>88.1</v>
      </c>
      <c r="CD248" s="438"/>
    </row>
    <row r="249" spans="1:83">
      <c r="A249" s="746"/>
      <c r="B249" s="349" t="s">
        <v>646</v>
      </c>
      <c r="C249" s="438"/>
      <c r="D249" s="438"/>
      <c r="E249" s="438"/>
      <c r="F249" s="438"/>
      <c r="G249" s="438"/>
      <c r="H249" s="438"/>
      <c r="I249" s="438"/>
      <c r="J249" s="438"/>
      <c r="K249" s="438"/>
      <c r="L249" s="438"/>
      <c r="M249" s="438"/>
      <c r="N249" s="438"/>
      <c r="O249" s="438"/>
      <c r="P249" s="438"/>
      <c r="Q249" s="438"/>
      <c r="R249" s="438"/>
      <c r="S249" s="438"/>
      <c r="T249" s="438"/>
      <c r="U249" s="438"/>
      <c r="V249" s="438"/>
      <c r="W249" s="438"/>
      <c r="X249" s="438"/>
      <c r="Y249" s="438"/>
      <c r="Z249" s="438"/>
      <c r="AA249" s="438"/>
      <c r="AB249" s="438"/>
      <c r="AC249" s="438"/>
      <c r="AD249" s="438"/>
      <c r="AE249" s="438"/>
      <c r="AF249" s="438"/>
      <c r="AG249" s="438"/>
      <c r="AH249" s="438"/>
      <c r="AI249" s="438"/>
      <c r="AJ249" s="438"/>
      <c r="AK249" s="438"/>
      <c r="AL249" s="438"/>
      <c r="AM249" s="438"/>
      <c r="AN249" s="438"/>
      <c r="AO249" s="438"/>
      <c r="AP249" s="537"/>
      <c r="AQ249" s="438"/>
      <c r="AR249" s="438"/>
      <c r="AS249" s="537">
        <v>394</v>
      </c>
      <c r="AT249" s="438"/>
      <c r="AU249" s="438"/>
      <c r="AV249" s="537">
        <v>0</v>
      </c>
      <c r="AW249" s="438"/>
      <c r="AX249" s="438"/>
      <c r="AY249" s="537">
        <v>0</v>
      </c>
      <c r="AZ249" s="438"/>
      <c r="BA249" s="438"/>
      <c r="BB249" s="537">
        <v>0</v>
      </c>
      <c r="BC249" s="438"/>
      <c r="BD249" s="438"/>
      <c r="BE249" s="537">
        <v>0</v>
      </c>
      <c r="BF249" s="438"/>
      <c r="BG249" s="438"/>
      <c r="BH249" s="537">
        <v>0</v>
      </c>
      <c r="BI249" s="13">
        <v>0</v>
      </c>
      <c r="BJ249" s="537">
        <v>0</v>
      </c>
      <c r="BK249" s="13">
        <v>0</v>
      </c>
      <c r="BL249" s="13">
        <v>0</v>
      </c>
      <c r="BM249" s="537">
        <v>0</v>
      </c>
      <c r="BN249" s="537">
        <v>0</v>
      </c>
      <c r="BO249" s="537">
        <v>0</v>
      </c>
      <c r="BP249" s="537">
        <v>0</v>
      </c>
      <c r="BQ249" s="13">
        <v>0</v>
      </c>
      <c r="BR249" s="1654">
        <v>0</v>
      </c>
      <c r="BS249" s="13">
        <v>0</v>
      </c>
      <c r="BT249" s="13">
        <v>0</v>
      </c>
      <c r="BU249" s="537">
        <v>0</v>
      </c>
      <c r="BV249" s="537">
        <v>0</v>
      </c>
      <c r="BW249" s="537">
        <v>0</v>
      </c>
      <c r="BX249" s="537">
        <v>0</v>
      </c>
      <c r="BY249" s="537">
        <v>0</v>
      </c>
      <c r="BZ249" s="537">
        <v>0</v>
      </c>
      <c r="CA249" s="537">
        <v>0</v>
      </c>
      <c r="CB249" s="537">
        <v>0</v>
      </c>
      <c r="CC249" s="537">
        <v>0</v>
      </c>
      <c r="CD249" s="537"/>
    </row>
    <row r="250" spans="1:83">
      <c r="A250" s="746"/>
      <c r="B250" s="349" t="s">
        <v>647</v>
      </c>
      <c r="C250" s="438"/>
      <c r="D250" s="438"/>
      <c r="E250" s="438"/>
      <c r="F250" s="438"/>
      <c r="G250" s="438"/>
      <c r="H250" s="438"/>
      <c r="I250" s="438"/>
      <c r="J250" s="438"/>
      <c r="K250" s="438"/>
      <c r="L250" s="438"/>
      <c r="M250" s="438"/>
      <c r="N250" s="438"/>
      <c r="O250" s="438"/>
      <c r="P250" s="438"/>
      <c r="Q250" s="438"/>
      <c r="R250" s="438"/>
      <c r="S250" s="438"/>
      <c r="T250" s="438"/>
      <c r="U250" s="438"/>
      <c r="V250" s="438"/>
      <c r="W250" s="438"/>
      <c r="X250" s="438"/>
      <c r="Y250" s="438"/>
      <c r="Z250" s="438"/>
      <c r="AA250" s="438"/>
      <c r="AB250" s="438"/>
      <c r="AC250" s="438"/>
      <c r="AD250" s="438"/>
      <c r="AE250" s="438"/>
      <c r="AF250" s="438"/>
      <c r="AG250" s="438"/>
      <c r="AH250" s="438"/>
      <c r="AI250" s="438"/>
      <c r="AJ250" s="438"/>
      <c r="AK250" s="438"/>
      <c r="AL250" s="438"/>
      <c r="AM250" s="438"/>
      <c r="AN250" s="438"/>
      <c r="AO250" s="438"/>
      <c r="AP250" s="745"/>
      <c r="AQ250" s="438"/>
      <c r="AR250" s="438"/>
      <c r="AS250" s="745">
        <f>15.046182</f>
        <v>15.046182</v>
      </c>
      <c r="AT250" s="438"/>
      <c r="AU250" s="438"/>
      <c r="AV250" s="745">
        <f>+AV249/AV248</f>
        <v>0</v>
      </c>
      <c r="AW250" s="438"/>
      <c r="AX250" s="438"/>
      <c r="AY250" s="745">
        <f>IFERROR(+AY249/AY248,"na")</f>
        <v>0</v>
      </c>
      <c r="AZ250" s="438"/>
      <c r="BA250" s="438"/>
      <c r="BB250" s="745">
        <f>+BB249/BB248</f>
        <v>0</v>
      </c>
      <c r="BC250" s="438"/>
      <c r="BD250" s="438"/>
      <c r="BE250" s="745">
        <f>+BE249/BE248</f>
        <v>0</v>
      </c>
      <c r="BF250" s="438"/>
      <c r="BG250" s="438"/>
      <c r="BH250" s="745">
        <f>+BH249/BH248</f>
        <v>0</v>
      </c>
      <c r="BI250" s="1211">
        <f t="shared" ref="BI250:BW250" si="702">+BI249/BI248</f>
        <v>0</v>
      </c>
      <c r="BJ250" s="745">
        <f t="shared" si="702"/>
        <v>0</v>
      </c>
      <c r="BK250" s="1211">
        <f t="shared" ref="BK250:BL250" si="703">+BK249/BK248</f>
        <v>0</v>
      </c>
      <c r="BL250" s="1211">
        <f t="shared" si="703"/>
        <v>0</v>
      </c>
      <c r="BM250" s="745">
        <f t="shared" si="702"/>
        <v>0</v>
      </c>
      <c r="BN250" s="745">
        <f t="shared" si="702"/>
        <v>0</v>
      </c>
      <c r="BO250" s="745">
        <f t="shared" si="702"/>
        <v>0</v>
      </c>
      <c r="BP250" s="745">
        <f t="shared" si="702"/>
        <v>0</v>
      </c>
      <c r="BQ250" s="1211">
        <f t="shared" si="702"/>
        <v>0</v>
      </c>
      <c r="BR250" s="1875">
        <f t="shared" si="702"/>
        <v>0</v>
      </c>
      <c r="BS250" s="1211">
        <f t="shared" si="702"/>
        <v>0</v>
      </c>
      <c r="BT250" s="1211">
        <f t="shared" si="702"/>
        <v>0</v>
      </c>
      <c r="BU250" s="745">
        <f t="shared" si="702"/>
        <v>0</v>
      </c>
      <c r="BV250" s="745">
        <f t="shared" si="702"/>
        <v>0</v>
      </c>
      <c r="BW250" s="745">
        <f t="shared" si="702"/>
        <v>0</v>
      </c>
      <c r="BX250" s="745">
        <f t="shared" ref="BX250:CC250" si="704">+BX249/BX248</f>
        <v>0</v>
      </c>
      <c r="BY250" s="745">
        <f t="shared" si="704"/>
        <v>0</v>
      </c>
      <c r="BZ250" s="745">
        <f t="shared" si="704"/>
        <v>0</v>
      </c>
      <c r="CA250" s="745">
        <f t="shared" si="704"/>
        <v>0</v>
      </c>
      <c r="CB250" s="745">
        <f t="shared" si="704"/>
        <v>0</v>
      </c>
      <c r="CC250" s="745">
        <f t="shared" si="704"/>
        <v>0</v>
      </c>
      <c r="CD250" s="438"/>
    </row>
    <row r="251" spans="1:83">
      <c r="A251" s="746"/>
      <c r="B251" s="349" t="s">
        <v>648</v>
      </c>
      <c r="C251" s="438"/>
      <c r="D251" s="438"/>
      <c r="E251" s="438"/>
      <c r="F251" s="438"/>
      <c r="G251" s="438"/>
      <c r="H251" s="438"/>
      <c r="I251" s="438"/>
      <c r="J251" s="438"/>
      <c r="K251" s="438"/>
      <c r="L251" s="438"/>
      <c r="M251" s="438"/>
      <c r="N251" s="438"/>
      <c r="O251" s="438"/>
      <c r="P251" s="438"/>
      <c r="Q251" s="438"/>
      <c r="R251" s="438"/>
      <c r="S251" s="438"/>
      <c r="T251" s="438"/>
      <c r="U251" s="438"/>
      <c r="V251" s="438"/>
      <c r="W251" s="438"/>
      <c r="X251" s="438"/>
      <c r="Y251" s="438"/>
      <c r="Z251" s="438"/>
      <c r="AA251" s="438"/>
      <c r="AB251" s="438"/>
      <c r="AC251" s="438"/>
      <c r="AD251" s="438"/>
      <c r="AE251" s="438"/>
      <c r="AF251" s="438"/>
      <c r="AG251" s="438"/>
      <c r="AH251" s="438"/>
      <c r="AI251" s="438"/>
      <c r="AJ251" s="438"/>
      <c r="AK251" s="438"/>
      <c r="AL251" s="438"/>
      <c r="AM251" s="438"/>
      <c r="AN251" s="438"/>
      <c r="AO251" s="438"/>
      <c r="AP251" s="537"/>
      <c r="AQ251" s="438"/>
      <c r="AR251" s="438"/>
      <c r="AS251" s="537">
        <v>0</v>
      </c>
      <c r="AT251" s="438"/>
      <c r="AU251" s="438"/>
      <c r="AV251" s="537">
        <v>0</v>
      </c>
      <c r="AW251" s="438"/>
      <c r="AX251" s="438"/>
      <c r="AY251" s="537">
        <v>0</v>
      </c>
      <c r="AZ251" s="438"/>
      <c r="BA251" s="438"/>
      <c r="BB251" s="537">
        <v>0</v>
      </c>
      <c r="BC251" s="438"/>
      <c r="BD251" s="438"/>
      <c r="BE251" s="537">
        <v>0</v>
      </c>
      <c r="BF251" s="438"/>
      <c r="BG251" s="438"/>
      <c r="BH251" s="537">
        <v>0</v>
      </c>
      <c r="BI251" s="13">
        <v>0</v>
      </c>
      <c r="BJ251" s="537">
        <v>0</v>
      </c>
      <c r="BK251" s="13">
        <v>0</v>
      </c>
      <c r="BL251" s="13">
        <v>0</v>
      </c>
      <c r="BM251" s="537">
        <v>0</v>
      </c>
      <c r="BN251" s="537">
        <v>0</v>
      </c>
      <c r="BO251" s="537">
        <v>0</v>
      </c>
      <c r="BP251" s="537">
        <v>0</v>
      </c>
      <c r="BQ251" s="13">
        <v>0</v>
      </c>
      <c r="BR251" s="1654">
        <v>0</v>
      </c>
      <c r="BS251" s="13">
        <v>0</v>
      </c>
      <c r="BT251" s="13">
        <v>0</v>
      </c>
      <c r="BU251" s="537">
        <v>0</v>
      </c>
      <c r="BV251" s="537">
        <v>0</v>
      </c>
      <c r="BW251" s="537">
        <v>0</v>
      </c>
      <c r="BX251" s="537">
        <v>0</v>
      </c>
      <c r="BY251" s="537">
        <v>0</v>
      </c>
      <c r="BZ251" s="537">
        <v>0</v>
      </c>
      <c r="CA251" s="537">
        <v>0</v>
      </c>
      <c r="CB251" s="537">
        <v>0</v>
      </c>
      <c r="CC251" s="537">
        <v>0</v>
      </c>
      <c r="CD251" s="438"/>
    </row>
    <row r="252" spans="1:83">
      <c r="A252" s="746"/>
      <c r="B252" s="349" t="s">
        <v>649</v>
      </c>
      <c r="C252" s="438"/>
      <c r="D252" s="438"/>
      <c r="E252" s="438"/>
      <c r="F252" s="438"/>
      <c r="G252" s="438"/>
      <c r="H252" s="438"/>
      <c r="I252" s="438"/>
      <c r="J252" s="438"/>
      <c r="K252" s="438"/>
      <c r="L252" s="438"/>
      <c r="M252" s="438"/>
      <c r="N252" s="438"/>
      <c r="O252" s="438"/>
      <c r="P252" s="438"/>
      <c r="Q252" s="438"/>
      <c r="R252" s="438"/>
      <c r="S252" s="438"/>
      <c r="T252" s="438"/>
      <c r="U252" s="438"/>
      <c r="V252" s="438"/>
      <c r="W252" s="438"/>
      <c r="X252" s="438"/>
      <c r="Y252" s="438"/>
      <c r="Z252" s="438"/>
      <c r="AA252" s="438"/>
      <c r="AB252" s="438"/>
      <c r="AC252" s="438"/>
      <c r="AD252" s="438"/>
      <c r="AE252" s="438"/>
      <c r="AF252" s="438"/>
      <c r="AG252" s="438"/>
      <c r="AH252" s="438"/>
      <c r="AI252" s="438"/>
      <c r="AJ252" s="438"/>
      <c r="AK252" s="438"/>
      <c r="AL252" s="438"/>
      <c r="AM252" s="438"/>
      <c r="AN252" s="438"/>
      <c r="AO252" s="438"/>
      <c r="AP252" s="537"/>
      <c r="AQ252" s="438"/>
      <c r="AR252" s="438"/>
      <c r="AS252" s="537">
        <f t="shared" ref="AS252:BH252" si="705">+AS251/AS248</f>
        <v>0</v>
      </c>
      <c r="AT252" s="438"/>
      <c r="AU252" s="438"/>
      <c r="AV252" s="537">
        <f t="shared" si="705"/>
        <v>0</v>
      </c>
      <c r="AW252" s="438"/>
      <c r="AX252" s="438"/>
      <c r="AY252" s="537">
        <f t="shared" si="705"/>
        <v>0</v>
      </c>
      <c r="AZ252" s="438"/>
      <c r="BA252" s="438"/>
      <c r="BB252" s="537">
        <f t="shared" si="705"/>
        <v>0</v>
      </c>
      <c r="BC252" s="438"/>
      <c r="BD252" s="438"/>
      <c r="BE252" s="537">
        <f t="shared" si="705"/>
        <v>0</v>
      </c>
      <c r="BF252" s="438"/>
      <c r="BG252" s="438"/>
      <c r="BH252" s="537">
        <f t="shared" si="705"/>
        <v>0</v>
      </c>
      <c r="BI252" s="13">
        <f t="shared" ref="BI252:BW252" si="706">+BI251/BI248</f>
        <v>0</v>
      </c>
      <c r="BJ252" s="537">
        <f t="shared" si="706"/>
        <v>0</v>
      </c>
      <c r="BK252" s="13">
        <f t="shared" ref="BK252:BL252" si="707">+BK251/BK248</f>
        <v>0</v>
      </c>
      <c r="BL252" s="13">
        <f t="shared" si="707"/>
        <v>0</v>
      </c>
      <c r="BM252" s="537">
        <f t="shared" si="706"/>
        <v>0</v>
      </c>
      <c r="BN252" s="537">
        <f t="shared" si="706"/>
        <v>0</v>
      </c>
      <c r="BO252" s="537">
        <f t="shared" si="706"/>
        <v>0</v>
      </c>
      <c r="BP252" s="537">
        <f t="shared" si="706"/>
        <v>0</v>
      </c>
      <c r="BQ252" s="13">
        <f t="shared" si="706"/>
        <v>0</v>
      </c>
      <c r="BR252" s="1654">
        <f t="shared" si="706"/>
        <v>0</v>
      </c>
      <c r="BS252" s="13">
        <f t="shared" si="706"/>
        <v>0</v>
      </c>
      <c r="BT252" s="13">
        <f t="shared" si="706"/>
        <v>0</v>
      </c>
      <c r="BU252" s="537">
        <f t="shared" si="706"/>
        <v>0</v>
      </c>
      <c r="BV252" s="537">
        <f t="shared" si="706"/>
        <v>0</v>
      </c>
      <c r="BW252" s="537">
        <f t="shared" si="706"/>
        <v>0</v>
      </c>
      <c r="BX252" s="537">
        <f t="shared" ref="BX252:CC252" si="708">+BX251/BX248</f>
        <v>0</v>
      </c>
      <c r="BY252" s="537">
        <f t="shared" si="708"/>
        <v>0</v>
      </c>
      <c r="BZ252" s="537">
        <f t="shared" si="708"/>
        <v>0</v>
      </c>
      <c r="CA252" s="537">
        <f t="shared" si="708"/>
        <v>0</v>
      </c>
      <c r="CB252" s="537">
        <f t="shared" si="708"/>
        <v>0</v>
      </c>
      <c r="CC252" s="537">
        <f t="shared" si="708"/>
        <v>0</v>
      </c>
      <c r="CD252" s="438"/>
    </row>
    <row r="253" spans="1:83">
      <c r="A253" s="438"/>
    </row>
    <row r="254" spans="1:83">
      <c r="A254" s="438"/>
    </row>
    <row r="255" spans="1:83">
      <c r="A255" s="438"/>
      <c r="B255" s="349" t="s">
        <v>918</v>
      </c>
      <c r="BF255" s="537">
        <f t="shared" ref="BF255:BV255" si="709">BF70</f>
        <v>-0.7</v>
      </c>
      <c r="BG255" s="537">
        <f t="shared" si="709"/>
        <v>-0.7</v>
      </c>
      <c r="BH255" s="537">
        <f t="shared" si="709"/>
        <v>-1.4</v>
      </c>
      <c r="BI255" s="13">
        <f t="shared" si="709"/>
        <v>-1.4</v>
      </c>
      <c r="BJ255" s="537">
        <f t="shared" si="709"/>
        <v>-3.0000000000000004</v>
      </c>
      <c r="BK255" s="13">
        <f t="shared" ref="BK255:BL255" si="710">BK70</f>
        <v>-4.4000000000000004</v>
      </c>
      <c r="BL255" s="13">
        <f t="shared" si="710"/>
        <v>-1</v>
      </c>
      <c r="BM255" s="537">
        <f t="shared" si="709"/>
        <v>-0.8</v>
      </c>
      <c r="BN255" s="537">
        <f t="shared" si="709"/>
        <v>-1.8</v>
      </c>
      <c r="BO255" s="537">
        <f t="shared" si="709"/>
        <v>-1.2</v>
      </c>
      <c r="BP255" s="537">
        <f t="shared" si="709"/>
        <v>-1.0999999999999999</v>
      </c>
      <c r="BQ255" s="13">
        <f t="shared" si="709"/>
        <v>-2.2999999999999998</v>
      </c>
      <c r="BR255" s="1654">
        <f t="shared" si="709"/>
        <v>-0.8</v>
      </c>
      <c r="BS255" s="13">
        <f t="shared" si="709"/>
        <v>-0.8</v>
      </c>
      <c r="BT255" s="13">
        <f t="shared" si="709"/>
        <v>-1.6</v>
      </c>
      <c r="BU255" s="537">
        <f t="shared" si="709"/>
        <v>-0.8</v>
      </c>
      <c r="BV255" s="537">
        <f t="shared" si="709"/>
        <v>-0.8</v>
      </c>
      <c r="BW255" s="537">
        <f>BW70</f>
        <v>-1.6</v>
      </c>
      <c r="BX255" s="537">
        <f t="shared" ref="BX255:BY255" si="711">BX70</f>
        <v>-0.8</v>
      </c>
      <c r="BY255" s="537">
        <f t="shared" si="711"/>
        <v>-0.8</v>
      </c>
      <c r="BZ255" s="537">
        <f>BZ70</f>
        <v>-1.6</v>
      </c>
      <c r="CA255" s="537">
        <f t="shared" ref="CA255:CB255" si="712">CA70</f>
        <v>-0.8</v>
      </c>
      <c r="CB255" s="537">
        <f t="shared" si="712"/>
        <v>-0.8</v>
      </c>
      <c r="CC255" s="537">
        <f>CC70</f>
        <v>-1.6</v>
      </c>
    </row>
    <row r="256" spans="1:83">
      <c r="A256" s="438"/>
      <c r="BK256" s="438"/>
    </row>
    <row r="257" spans="1:81">
      <c r="A257" s="438"/>
      <c r="BK257" s="438"/>
    </row>
    <row r="258" spans="1:81">
      <c r="A258" s="438"/>
      <c r="AM258" t="s">
        <v>738</v>
      </c>
      <c r="AP258" t="s">
        <v>227</v>
      </c>
      <c r="AS258" t="s">
        <v>734</v>
      </c>
      <c r="AV258" t="s">
        <v>735</v>
      </c>
      <c r="BK258" s="438"/>
    </row>
    <row r="259" spans="1:81">
      <c r="A259" s="438"/>
      <c r="AM259" t="s">
        <v>739</v>
      </c>
      <c r="AP259" s="308">
        <f>259-AP260</f>
        <v>242.36250000000001</v>
      </c>
      <c r="AS259" s="308">
        <v>26.2</v>
      </c>
      <c r="AV259" s="308">
        <f>AP259/AS259</f>
        <v>9.2504770992366421</v>
      </c>
      <c r="AY259" s="308"/>
      <c r="BB259" s="308"/>
      <c r="BE259" s="307"/>
      <c r="BH259" s="307"/>
      <c r="BI259" s="307"/>
      <c r="BJ259" s="307"/>
      <c r="BK259" s="1296"/>
      <c r="BL259" s="307"/>
      <c r="BM259" s="307"/>
      <c r="BN259" s="307"/>
      <c r="BO259" s="307"/>
      <c r="BP259" s="307"/>
      <c r="BQ259" s="307"/>
      <c r="BR259" s="1876"/>
      <c r="BS259" s="307"/>
      <c r="BT259" s="307"/>
      <c r="BU259" s="307"/>
      <c r="BV259" s="307"/>
      <c r="BW259" s="307"/>
      <c r="BX259" s="307"/>
      <c r="BY259" s="307"/>
      <c r="BZ259" s="307"/>
      <c r="CA259" s="307"/>
      <c r="CB259" s="307"/>
      <c r="CC259" s="307"/>
    </row>
    <row r="260" spans="1:81">
      <c r="A260" s="438"/>
      <c r="AM260" t="s">
        <v>733</v>
      </c>
      <c r="AP260" s="308">
        <f>AV260*AS260</f>
        <v>16.637500000000003</v>
      </c>
      <c r="AS260" s="308">
        <v>30.25</v>
      </c>
      <c r="AV260" s="308">
        <v>0.55000000000000004</v>
      </c>
      <c r="AY260" s="308"/>
      <c r="BB260" s="308"/>
      <c r="BE260" s="307"/>
      <c r="BH260" s="307"/>
      <c r="BI260" s="307"/>
      <c r="BJ260" s="307"/>
      <c r="BK260" s="1296"/>
      <c r="BL260" s="307"/>
      <c r="BM260" s="307"/>
      <c r="BN260" s="307"/>
      <c r="BO260" s="307"/>
      <c r="BP260" s="307"/>
      <c r="BQ260" s="307"/>
      <c r="BR260" s="1876"/>
      <c r="BS260" s="307"/>
      <c r="BT260" s="307"/>
      <c r="BU260" s="307"/>
      <c r="BV260" s="307"/>
      <c r="BW260" s="307"/>
      <c r="BX260" s="307"/>
      <c r="BY260" s="307"/>
      <c r="BZ260" s="307"/>
      <c r="CA260" s="307"/>
      <c r="CB260" s="307"/>
      <c r="CC260" s="307"/>
    </row>
    <row r="261" spans="1:81">
      <c r="A261" s="438"/>
      <c r="AM261" t="s">
        <v>736</v>
      </c>
      <c r="AP261" s="307">
        <f>135-AP262</f>
        <v>86.490000000000009</v>
      </c>
      <c r="AS261" s="307">
        <v>26.2</v>
      </c>
      <c r="AV261" s="307">
        <f>AP261/AS261</f>
        <v>3.3011450381679395</v>
      </c>
      <c r="AY261" s="307"/>
      <c r="BB261" s="307"/>
      <c r="BE261" s="307"/>
      <c r="BH261" s="307"/>
      <c r="BI261" s="307"/>
      <c r="BJ261" s="307"/>
      <c r="BK261" s="1296"/>
      <c r="BL261" s="307"/>
      <c r="BM261" s="307"/>
      <c r="BN261" s="307"/>
      <c r="BO261" s="307"/>
      <c r="BP261" s="307"/>
      <c r="BQ261" s="307"/>
      <c r="BR261" s="1876"/>
      <c r="BS261" s="307"/>
      <c r="BT261" s="307"/>
      <c r="BU261" s="307"/>
      <c r="BV261" s="307"/>
      <c r="BW261" s="307"/>
      <c r="BX261" s="307"/>
      <c r="BY261" s="307"/>
      <c r="BZ261" s="307"/>
      <c r="CA261" s="307"/>
      <c r="CB261" s="307"/>
      <c r="CC261" s="307"/>
    </row>
    <row r="262" spans="1:81">
      <c r="A262" s="438"/>
      <c r="AM262" t="s">
        <v>737</v>
      </c>
      <c r="AP262" s="307">
        <f>AV262*AS262</f>
        <v>48.51</v>
      </c>
      <c r="AS262" s="307">
        <v>29.4</v>
      </c>
      <c r="AV262" s="307">
        <v>1.65</v>
      </c>
      <c r="AY262" s="307"/>
      <c r="BB262" s="307"/>
      <c r="BK262" s="438"/>
    </row>
    <row r="263" spans="1:81">
      <c r="A263" s="438"/>
      <c r="AM263" t="s">
        <v>219</v>
      </c>
      <c r="AP263" s="308">
        <f>SUM(AP259:AP262)</f>
        <v>394</v>
      </c>
      <c r="AS263" s="308">
        <f>AP263/AV263</f>
        <v>26.708927081379322</v>
      </c>
      <c r="AV263" s="308">
        <f>SUM(AV259:AV262)</f>
        <v>14.751622137404583</v>
      </c>
      <c r="AY263" s="308"/>
      <c r="BB263" s="308"/>
      <c r="BE263" s="307"/>
      <c r="BH263" s="307"/>
      <c r="BI263" s="307"/>
      <c r="BJ263" s="307"/>
      <c r="BK263" s="1296"/>
      <c r="BL263" s="307"/>
      <c r="BM263" s="307"/>
      <c r="BN263" s="307"/>
      <c r="BO263" s="307"/>
      <c r="BP263" s="307"/>
      <c r="BQ263" s="307"/>
      <c r="BR263" s="1876"/>
      <c r="BS263" s="307"/>
      <c r="BT263" s="307"/>
      <c r="BU263" s="307"/>
      <c r="BV263" s="307"/>
      <c r="BW263" s="307"/>
      <c r="BX263" s="307"/>
      <c r="BY263" s="307"/>
      <c r="BZ263" s="307"/>
      <c r="CA263" s="307"/>
      <c r="CB263" s="307"/>
      <c r="CC263" s="307"/>
    </row>
    <row r="264" spans="1:81">
      <c r="A264" s="438"/>
      <c r="BK264" s="438"/>
    </row>
    <row r="265" spans="1:81">
      <c r="A265" s="438"/>
      <c r="BK265" s="438"/>
    </row>
    <row r="266" spans="1:81">
      <c r="A266" s="438"/>
      <c r="B266" s="295" t="s">
        <v>847</v>
      </c>
      <c r="BK266" s="438"/>
    </row>
    <row r="267" spans="1:81">
      <c r="A267" s="438"/>
      <c r="B267" s="259" t="s">
        <v>848</v>
      </c>
      <c r="R267" s="296"/>
      <c r="S267" s="296"/>
      <c r="T267" s="296"/>
      <c r="U267" s="296"/>
      <c r="V267" s="296"/>
      <c r="W267" s="296"/>
      <c r="X267" s="296"/>
      <c r="Y267" s="296"/>
      <c r="Z267" s="296"/>
      <c r="AA267" s="296"/>
      <c r="AB267" s="296"/>
      <c r="AC267" s="296"/>
      <c r="AD267" s="296"/>
      <c r="AE267" s="296"/>
      <c r="AF267" s="296"/>
      <c r="AG267" s="296"/>
      <c r="AJ267" s="296"/>
      <c r="AM267" s="296"/>
      <c r="AP267" s="296"/>
      <c r="AS267" s="296">
        <f>Drivers!T73</f>
        <v>8.5999999999999993E-2</v>
      </c>
      <c r="AV267" s="296">
        <f>Drivers!U73</f>
        <v>6.2E-2</v>
      </c>
      <c r="AY267" s="296">
        <f>Drivers!X73</f>
        <v>2.8000000000000001E-2</v>
      </c>
      <c r="BB267" s="296">
        <f>Drivers!AA73</f>
        <v>0.122</v>
      </c>
      <c r="BE267" s="296">
        <f>Drivers!AD73</f>
        <v>0.12</v>
      </c>
      <c r="BF267" s="296">
        <f>Drivers!AE73</f>
        <v>-2.5000000000000001E-2</v>
      </c>
      <c r="BG267" s="296">
        <f>Drivers!AF73</f>
        <v>9.2999999999999999E-2</v>
      </c>
      <c r="BH267" s="1148">
        <f>Drivers!AG73</f>
        <v>3.4000000000000002E-2</v>
      </c>
      <c r="BI267" s="1212">
        <f>Drivers!AH73</f>
        <v>8.5000000000000006E-2</v>
      </c>
      <c r="BJ267" s="296">
        <f>Drivers!AI73</f>
        <v>1.0999999999999996E-2</v>
      </c>
      <c r="BK267" s="1297">
        <f>Drivers!AJ73</f>
        <v>4.8000000000000001E-2</v>
      </c>
      <c r="BL267" s="1212">
        <f>Drivers!AK73</f>
        <v>1E-3</v>
      </c>
      <c r="BM267" s="296">
        <f>Drivers!AL73</f>
        <v>1.0999999999999999E-2</v>
      </c>
      <c r="BN267" s="1148">
        <f>Drivers!AM73</f>
        <v>6.0000000000000001E-3</v>
      </c>
      <c r="BO267" s="1148">
        <f>Drivers!AN73</f>
        <v>7.1999999999999995E-2</v>
      </c>
      <c r="BP267" s="296">
        <f>Drivers!AO73</f>
        <v>7.1999999999999995E-2</v>
      </c>
      <c r="BQ267" s="1148">
        <f>Drivers!AP73</f>
        <v>7.1999999999999995E-2</v>
      </c>
      <c r="BR267" s="1877">
        <f>Drivers!AQ73</f>
        <v>0.05</v>
      </c>
      <c r="BS267" s="296">
        <f>Drivers!AR73</f>
        <v>2.4999999999999994E-2</v>
      </c>
      <c r="BT267" s="296">
        <f>Drivers!AS73</f>
        <v>3.7499999999999999E-2</v>
      </c>
      <c r="BU267" s="296">
        <f>Drivers!AT73</f>
        <v>0.04</v>
      </c>
      <c r="BV267" s="296">
        <f>Drivers!AU73</f>
        <v>0.04</v>
      </c>
      <c r="BW267" s="296">
        <f>Drivers!AV73</f>
        <v>0.04</v>
      </c>
      <c r="BX267" s="296">
        <f>Drivers!AW73</f>
        <v>0.04</v>
      </c>
      <c r="BY267" s="296">
        <f>Drivers!AX73</f>
        <v>0.04</v>
      </c>
      <c r="BZ267" s="296">
        <f>Drivers!AY73</f>
        <v>0.04</v>
      </c>
      <c r="CA267" s="296">
        <f>Drivers!AZ73</f>
        <v>0.04</v>
      </c>
      <c r="CB267" s="296">
        <f>Drivers!BA73</f>
        <v>0.04</v>
      </c>
      <c r="CC267" s="296">
        <f>Drivers!BB73</f>
        <v>0.04</v>
      </c>
    </row>
    <row r="268" spans="1:81">
      <c r="A268" s="438"/>
      <c r="B268" s="259" t="s">
        <v>849</v>
      </c>
      <c r="R268" s="296"/>
      <c r="S268" s="296"/>
      <c r="T268" s="296"/>
      <c r="U268" s="296"/>
      <c r="V268" s="296"/>
      <c r="W268" s="296"/>
      <c r="X268" s="296"/>
      <c r="Y268" s="296"/>
      <c r="Z268" s="296"/>
      <c r="AA268" s="296"/>
      <c r="AB268" s="296"/>
      <c r="AC268" s="296"/>
      <c r="AD268" s="296"/>
      <c r="AE268" s="296"/>
      <c r="AF268" s="296"/>
      <c r="AG268" s="296"/>
      <c r="AJ268" s="296"/>
      <c r="AM268" s="296"/>
      <c r="AP268" s="296"/>
      <c r="AS268" s="296">
        <f>Drivers!T309</f>
        <v>-1.2999999999999999E-2</v>
      </c>
      <c r="AV268" s="296">
        <f>Drivers!U309</f>
        <v>8.9999999999999993E-3</v>
      </c>
      <c r="AY268" s="296">
        <f>Drivers!X309</f>
        <v>8.9999999999999993E-3</v>
      </c>
      <c r="BB268" s="296">
        <f>Drivers!AA309</f>
        <v>0.108</v>
      </c>
      <c r="BE268" s="296">
        <f>Drivers!AD309</f>
        <v>0.13700000000000001</v>
      </c>
      <c r="BF268" s="296">
        <f>Drivers!AE309</f>
        <v>-1.2999999999999999E-2</v>
      </c>
      <c r="BG268" s="296">
        <f>Drivers!AF309</f>
        <v>6.7000000000000004E-2</v>
      </c>
      <c r="BH268" s="1148">
        <f>Drivers!AG309</f>
        <v>2.7E-2</v>
      </c>
      <c r="BI268" s="1212">
        <f>Drivers!AH309</f>
        <v>7.2999999999999995E-2</v>
      </c>
      <c r="BJ268" s="296">
        <f>Drivers!AI309</f>
        <v>-5.6999999999999995E-2</v>
      </c>
      <c r="BK268" s="1297">
        <f>Drivers!AJ309</f>
        <v>8.0000000000000002E-3</v>
      </c>
      <c r="BL268" s="1212">
        <f>Drivers!AK309</f>
        <v>-9.9000000000000005E-2</v>
      </c>
      <c r="BM268" s="296">
        <f>Drivers!AL309</f>
        <v>3.0000000000000027E-3</v>
      </c>
      <c r="BN268" s="1148">
        <f>Drivers!AM309</f>
        <v>-4.8000000000000001E-2</v>
      </c>
      <c r="BO268" s="1148">
        <f>Drivers!AN309</f>
        <v>8.7999999999999995E-2</v>
      </c>
      <c r="BP268" s="296">
        <f>Drivers!AO309</f>
        <v>4.200000000000001E-2</v>
      </c>
      <c r="BQ268" s="1148">
        <f>Drivers!AP309</f>
        <v>6.5000000000000002E-2</v>
      </c>
      <c r="BR268" s="1877">
        <f>Drivers!AQ309</f>
        <v>0.04</v>
      </c>
      <c r="BS268" s="296">
        <f>Drivers!AR309</f>
        <v>2.5000000000000001E-2</v>
      </c>
      <c r="BT268" s="296">
        <f>Drivers!AS309</f>
        <v>3.2500000000000001E-2</v>
      </c>
      <c r="BU268" s="296">
        <f>Drivers!AT309</f>
        <v>0.03</v>
      </c>
      <c r="BV268" s="296">
        <f>Drivers!AU309</f>
        <v>0.03</v>
      </c>
      <c r="BW268" s="296">
        <f>Drivers!AV309</f>
        <v>0.03</v>
      </c>
      <c r="BX268" s="296">
        <f>Drivers!AW309</f>
        <v>3.5000000000000003E-2</v>
      </c>
      <c r="BY268" s="296">
        <f>Drivers!AX309</f>
        <v>3.5000000000000003E-2</v>
      </c>
      <c r="BZ268" s="296">
        <f>Drivers!AY309</f>
        <v>3.5000000000000003E-2</v>
      </c>
      <c r="CA268" s="296">
        <f>Drivers!AZ309</f>
        <v>3.5000000000000003E-2</v>
      </c>
      <c r="CB268" s="296">
        <f>Drivers!BA309</f>
        <v>3.5000000000000003E-2</v>
      </c>
      <c r="CC268" s="296">
        <f>Drivers!BB309</f>
        <v>3.5000000000000003E-2</v>
      </c>
    </row>
    <row r="269" spans="1:81">
      <c r="A269" s="438"/>
      <c r="B269" s="259" t="s">
        <v>851</v>
      </c>
      <c r="AS269" s="296">
        <f>Drivers!T271</f>
        <v>6.3250253097430445E-2</v>
      </c>
      <c r="AV269" s="296">
        <f>Drivers!U271</f>
        <v>6.4387514593475345E-2</v>
      </c>
      <c r="AY269" s="296">
        <f>Drivers!X271</f>
        <v>6.383834109183241E-2</v>
      </c>
      <c r="BB269" s="296">
        <f>Drivers!AA271</f>
        <v>7.3624245614694772E-2</v>
      </c>
      <c r="BE269" s="296">
        <f>Drivers!AD271</f>
        <v>8.7798818157399941E-2</v>
      </c>
      <c r="BF269" s="296">
        <f>Drivers!AE271</f>
        <v>8.8861875094970358E-2</v>
      </c>
      <c r="BG269" s="296">
        <f>Drivers!AF271</f>
        <v>8.6889194769442527E-2</v>
      </c>
      <c r="BH269" s="1148">
        <f>Drivers!AG271</f>
        <v>8.7936738481400781E-2</v>
      </c>
      <c r="BI269" s="1212">
        <f>Drivers!AH271</f>
        <v>9.5101426660722244E-2</v>
      </c>
      <c r="BJ269" s="296">
        <f>Drivers!AI271</f>
        <v>7.1213607006390955E-2</v>
      </c>
      <c r="BK269" s="1297">
        <f>Drivers!AJ271</f>
        <v>8.4309741678251171E-2</v>
      </c>
      <c r="BL269" s="1212">
        <f>Drivers!AK271</f>
        <v>8.1491521672982778E-2</v>
      </c>
      <c r="BM269" s="296">
        <f>Drivers!AL271</f>
        <v>6.5647121677574458E-2</v>
      </c>
      <c r="BN269" s="1148">
        <f>Drivers!AM271</f>
        <v>7.4312773264345905E-2</v>
      </c>
      <c r="BO269" s="1148">
        <f>Drivers!AN271</f>
        <v>8.1673203963666396E-2</v>
      </c>
      <c r="BP269" s="296">
        <f>Drivers!AO271</f>
        <v>6.6232961586121422E-2</v>
      </c>
      <c r="BQ269" s="1148">
        <f>Drivers!AP271</f>
        <v>7.4656492848293718E-2</v>
      </c>
      <c r="BR269" s="1877">
        <f>Drivers!AQ271</f>
        <v>8.2732678073049376E-2</v>
      </c>
      <c r="BS269" s="296">
        <f>Drivers!AR271</f>
        <v>6.6587344636619819E-2</v>
      </c>
      <c r="BT269" s="296">
        <f>Drivers!AS271</f>
        <v>7.5489621622528938E-2</v>
      </c>
      <c r="BU269" s="296">
        <f>Drivers!AT271</f>
        <v>8.053963139866599E-2</v>
      </c>
      <c r="BV269" s="296">
        <f>Drivers!AU271</f>
        <v>6.4525708922045635E-2</v>
      </c>
      <c r="BW269" s="296">
        <f>Drivers!AV271</f>
        <v>7.3354097172863245E-2</v>
      </c>
      <c r="BX269" s="296">
        <f>Drivers!AW271</f>
        <v>8.0859085384096085E-2</v>
      </c>
      <c r="BY269" s="296">
        <f>Drivers!AX271</f>
        <v>6.4922014310913365E-2</v>
      </c>
      <c r="BZ269" s="296">
        <f>Drivers!AY271</f>
        <v>7.3708034801542394E-2</v>
      </c>
      <c r="CA269" s="296">
        <f>Drivers!AZ271</f>
        <v>8.1169046943908002E-2</v>
      </c>
      <c r="CB269" s="296">
        <f>Drivers!BA271</f>
        <v>6.5306925693024792E-2</v>
      </c>
      <c r="CC269" s="296">
        <f>Drivers!BB271</f>
        <v>7.4051626754790864E-2</v>
      </c>
    </row>
    <row r="270" spans="1:81">
      <c r="A270" s="438"/>
      <c r="B270" s="259" t="s">
        <v>850</v>
      </c>
      <c r="AS270" s="296">
        <f>Drivers!T351</f>
        <v>3.6872218690400506E-2</v>
      </c>
      <c r="AV270" s="296">
        <f>Drivers!U351</f>
        <v>2.8982058725550847E-2</v>
      </c>
      <c r="AY270" s="296">
        <f>Drivers!X351</f>
        <v>3.3940127566460268E-2</v>
      </c>
      <c r="BB270" s="296">
        <f>Drivers!AA351</f>
        <v>4.7220361687876751E-2</v>
      </c>
      <c r="BE270" s="296">
        <f>Drivers!AD351</f>
        <v>7.9058806200979492E-2</v>
      </c>
      <c r="BF270" s="296">
        <f>Drivers!AE351</f>
        <v>8.4132277337779615E-2</v>
      </c>
      <c r="BG270" s="296">
        <f>Drivers!AF351</f>
        <v>8.9111111111111127E-2</v>
      </c>
      <c r="BH270" s="1148">
        <f>Drivers!AG351</f>
        <v>8.6541908654190869E-2</v>
      </c>
      <c r="BI270" s="1212">
        <f>Drivers!AH351</f>
        <v>8.6139896373056996E-2</v>
      </c>
      <c r="BJ270" s="296">
        <f>Drivers!AI351</f>
        <v>6.3041765169424738E-2</v>
      </c>
      <c r="BK270" s="1297">
        <f>Drivers!AJ351</f>
        <v>7.5719872022751517E-2</v>
      </c>
      <c r="BL270" s="1212">
        <f>Drivers!AK351</f>
        <v>6.6503702638579326E-2</v>
      </c>
      <c r="BM270" s="296">
        <f>Drivers!AL351</f>
        <v>5.0923769600993637E-2</v>
      </c>
      <c r="BN270" s="1148">
        <f>Drivers!AM351</f>
        <v>5.9012354895300663E-2</v>
      </c>
      <c r="BO270" s="1148">
        <f>Drivers!AN351</f>
        <v>6.5512246510402952E-2</v>
      </c>
      <c r="BP270" s="296">
        <f>Drivers!AO351</f>
        <v>5.4969543901351954E-2</v>
      </c>
      <c r="BQ270" s="1148">
        <f>Drivers!AP351</f>
        <v>6.0558464223385691E-2</v>
      </c>
      <c r="BR270" s="1877">
        <f>Drivers!AQ351</f>
        <v>6.793168880455408E-2</v>
      </c>
      <c r="BS270" s="296">
        <f>Drivers!AR351</f>
        <v>5.4259185754267913E-2</v>
      </c>
      <c r="BT270" s="296">
        <f>Drivers!AS351</f>
        <v>6.1558178399084458E-2</v>
      </c>
      <c r="BU270" s="296">
        <f>Drivers!AT351</f>
        <v>6.7075078449795197E-2</v>
      </c>
      <c r="BV270" s="296">
        <f>Drivers!AU351</f>
        <v>5.3430785103999484E-2</v>
      </c>
      <c r="BW270" s="296">
        <f>Drivers!AV351</f>
        <v>6.0714718148914604E-2</v>
      </c>
      <c r="BX270" s="296">
        <f>Drivers!AW351</f>
        <v>6.7359086925876652E-2</v>
      </c>
      <c r="BY270" s="296">
        <f>Drivers!AX351</f>
        <v>5.3770667873999145E-2</v>
      </c>
      <c r="BZ270" s="296">
        <f>Drivers!AY351</f>
        <v>6.1024772725872853E-2</v>
      </c>
      <c r="CA270" s="296">
        <f>Drivers!AZ351</f>
        <v>6.7640351358710965E-2</v>
      </c>
      <c r="CB270" s="296">
        <f>Drivers!BA351</f>
        <v>5.4107266752501146E-2</v>
      </c>
      <c r="CC270" s="296">
        <f>Drivers!BB351</f>
        <v>6.1331831606435336E-2</v>
      </c>
    </row>
    <row r="271" spans="1:81">
      <c r="A271" s="438"/>
      <c r="BK271" s="438"/>
    </row>
    <row r="272" spans="1:81">
      <c r="A272" s="438"/>
      <c r="BK272" s="438"/>
    </row>
    <row r="273" spans="1:70">
      <c r="A273" s="438"/>
      <c r="BI273" t="s">
        <v>920</v>
      </c>
      <c r="BJ273" t="s">
        <v>926</v>
      </c>
      <c r="BK273" s="438" t="s">
        <v>866</v>
      </c>
      <c r="BL273" t="s">
        <v>932</v>
      </c>
      <c r="BM273" t="s">
        <v>946</v>
      </c>
      <c r="BN273" t="s">
        <v>887</v>
      </c>
      <c r="BO273" t="s">
        <v>968</v>
      </c>
      <c r="BR273" s="1303" t="s">
        <v>976</v>
      </c>
    </row>
  </sheetData>
  <phoneticPr fontId="61" type="noConversion"/>
  <pageMargins left="0.75" right="0.75" top="1" bottom="1" header="0.5" footer="0.5"/>
  <pageSetup paperSize="9" orientation="portrait" horizontalDpi="300" verticalDpi="300" r:id="rId1"/>
  <headerFooter alignWithMargins="0"/>
  <ignoredErrors>
    <ignoredError sqref="BH68 AX196:BH196 BA192:BB192 AV68:BE71 AX73:BA73 AX75:BH77 AX74 AX79:BH79 AX78:AZ78 AX199:BH201 AX198:BC198 BE198:BF198 AX81:BH83 AX80 AX88:BH91 AX84:BB84 BD84:BE84 BG84:BH84 AX86:AZ86 AX87:BA87 AX93:BH94 AX92 BS91:BW93 AU88:AU93 BI106:BJ106 BP106 AX197:BD197 BH197:BH198 BC73:BH73 BE192 AX203:BH203 AX202:AY202 BJ76:BJ77 BJ79 BJ81:BJ84 BJ88:BJ91 BJ93:BJ94 BP76:BP77 BP79 BP81:BP83 BP84 BP88:BQ91 BP93:BQ94 BR105:BW105 BS196 BN71 BJ72:BK72 BJ68:BL71 BJ73:BL75 BP75 BU69:BV69 BS69 BW68 BP68 BM68:BM87 BM91:BM93 BJ196 BP71 AY105:BN105 BR71:BW71 BU68 BO106 BP72 BR72:BW74 BR68 BR84:BW84 BR75:BS75 BP199:BP200 BP198 BS198 BR199:BW200 BS197:BW197 BR106:BW106 BU75:BW75 BU198:BW198 BU196:BW196 BU201:BW201 BP202:BP203 BP74 BS70:BW70 BT202:BW203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8">
    <tabColor rgb="FF00B050"/>
  </sheetPr>
  <dimension ref="A1:AZ91"/>
  <sheetViews>
    <sheetView showGridLines="0" zoomScaleNormal="100" workbookViewId="0">
      <pane xSplit="2" ySplit="4" topLeftCell="U5" activePane="bottomRight" state="frozen"/>
      <selection activeCell="BV17" sqref="BV17"/>
      <selection pane="topRight" activeCell="BV17" sqref="BV17"/>
      <selection pane="bottomLeft" activeCell="BV17" sqref="BV17"/>
      <selection pane="bottomRight" activeCell="AI17" sqref="AI17"/>
    </sheetView>
  </sheetViews>
  <sheetFormatPr defaultRowHeight="13.2" customHeight="1" outlineLevelRow="1" outlineLevelCol="1"/>
  <cols>
    <col min="1" max="1" width="17.44140625" hidden="1" customWidth="1" outlineLevel="1"/>
    <col min="2" max="2" width="41.109375" customWidth="1" collapsed="1"/>
    <col min="3" max="3" width="7.5546875" hidden="1" customWidth="1" outlineLevel="1"/>
    <col min="4" max="4" width="8.88671875" hidden="1" customWidth="1" outlineLevel="1"/>
    <col min="5" max="5" width="7.88671875" hidden="1" customWidth="1" outlineLevel="1"/>
    <col min="6" max="16" width="7.6640625" hidden="1" customWidth="1" outlineLevel="1"/>
    <col min="17" max="17" width="7.6640625" customWidth="1" collapsed="1"/>
    <col min="18" max="21" width="7.6640625" customWidth="1"/>
    <col min="22" max="22" width="8.109375" customWidth="1"/>
    <col min="23" max="23" width="8.6640625" customWidth="1"/>
    <col min="24" max="24" width="7.6640625" customWidth="1"/>
    <col min="25" max="25" width="9" customWidth="1"/>
    <col min="26" max="26" width="8.6640625" customWidth="1"/>
    <col min="27" max="27" width="7.6640625" customWidth="1"/>
    <col min="28" max="28" width="8.109375" customWidth="1"/>
    <col min="29" max="30" width="7.6640625" customWidth="1"/>
    <col min="31" max="31" width="8.6640625" customWidth="1"/>
    <col min="32" max="32" width="7.6640625" style="1303" customWidth="1"/>
    <col min="33" max="43" width="7.6640625" customWidth="1"/>
    <col min="44" max="44" width="13.5546875" customWidth="1"/>
    <col min="46" max="46" width="40.5546875" hidden="1" customWidth="1" outlineLevel="1"/>
    <col min="47" max="47" width="8" hidden="1" customWidth="1" outlineLevel="1"/>
    <col min="48" max="51" width="9.109375" hidden="1" customWidth="1" outlineLevel="1"/>
    <col min="52" max="52" width="8.88671875" customWidth="1" collapsed="1"/>
  </cols>
  <sheetData>
    <row r="1" spans="1:45">
      <c r="A1" s="13"/>
      <c r="B1" s="11"/>
      <c r="C1" s="11"/>
      <c r="D1" s="67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74"/>
      <c r="X1" s="1174"/>
      <c r="Y1" s="1174"/>
      <c r="Z1" s="1174"/>
      <c r="AA1" s="11"/>
      <c r="AB1" s="1174"/>
      <c r="AC1" s="11"/>
      <c r="AD1" s="11"/>
      <c r="AE1" s="11"/>
      <c r="AF1" s="1306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3"/>
      <c r="AS1" s="12"/>
    </row>
    <row r="2" spans="1:45" ht="18.75" customHeight="1">
      <c r="A2" s="13"/>
      <c r="B2" s="14" t="s">
        <v>580</v>
      </c>
      <c r="C2" s="15"/>
      <c r="D2" s="68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175"/>
      <c r="X2" s="1175"/>
      <c r="Y2" s="1175"/>
      <c r="Z2" s="1175"/>
      <c r="AA2" s="15"/>
      <c r="AB2" s="1175"/>
      <c r="AC2" s="15"/>
      <c r="AD2" s="15"/>
      <c r="AE2" s="15"/>
      <c r="AF2" s="1544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3"/>
      <c r="AS2" s="12"/>
    </row>
    <row r="3" spans="1:45">
      <c r="A3" s="13"/>
      <c r="B3" s="11"/>
      <c r="C3" s="126"/>
      <c r="D3" s="127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176"/>
      <c r="X3" s="1176"/>
      <c r="Y3" s="1176"/>
      <c r="Z3" s="1176"/>
      <c r="AA3" s="128"/>
      <c r="AB3" s="1176"/>
      <c r="AC3" s="128"/>
      <c r="AD3" s="128"/>
      <c r="AE3" s="128"/>
      <c r="AF3" s="1545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3"/>
      <c r="AS3" s="13"/>
    </row>
    <row r="4" spans="1:45">
      <c r="A4" s="13"/>
      <c r="B4" s="19" t="s">
        <v>661</v>
      </c>
      <c r="C4" s="20" t="s">
        <v>209</v>
      </c>
      <c r="D4" s="20" t="s">
        <v>210</v>
      </c>
      <c r="E4" s="20" t="s">
        <v>211</v>
      </c>
      <c r="F4" s="20" t="s">
        <v>212</v>
      </c>
      <c r="G4" s="20" t="s">
        <v>213</v>
      </c>
      <c r="H4" s="20" t="s">
        <v>214</v>
      </c>
      <c r="I4" s="20" t="s">
        <v>215</v>
      </c>
      <c r="J4" s="20" t="s">
        <v>216</v>
      </c>
      <c r="K4" s="20" t="s">
        <v>217</v>
      </c>
      <c r="L4" s="20" t="s">
        <v>199</v>
      </c>
      <c r="M4" s="20" t="s">
        <v>200</v>
      </c>
      <c r="N4" s="20" t="s">
        <v>201</v>
      </c>
      <c r="O4" s="20" t="s">
        <v>251</v>
      </c>
      <c r="P4" s="20" t="s">
        <v>701</v>
      </c>
      <c r="Q4" s="20" t="s">
        <v>704</v>
      </c>
      <c r="R4" s="20" t="s">
        <v>705</v>
      </c>
      <c r="S4" s="20" t="s">
        <v>840</v>
      </c>
      <c r="T4" s="20" t="s">
        <v>846</v>
      </c>
      <c r="U4" s="20" t="s">
        <v>869</v>
      </c>
      <c r="V4" s="20" t="s">
        <v>873</v>
      </c>
      <c r="W4" s="1177" t="s">
        <v>920</v>
      </c>
      <c r="X4" s="1177" t="s">
        <v>926</v>
      </c>
      <c r="Y4" s="1177" t="s">
        <v>866</v>
      </c>
      <c r="Z4" s="1177" t="s">
        <v>932</v>
      </c>
      <c r="AA4" s="80" t="s">
        <v>946</v>
      </c>
      <c r="AB4" s="1177" t="s">
        <v>887</v>
      </c>
      <c r="AC4" s="80" t="s">
        <v>968</v>
      </c>
      <c r="AD4" s="80" t="s">
        <v>977</v>
      </c>
      <c r="AE4" s="80" t="s">
        <v>923</v>
      </c>
      <c r="AF4" s="1298" t="s">
        <v>903</v>
      </c>
      <c r="AG4" s="80" t="s">
        <v>904</v>
      </c>
      <c r="AH4" s="80" t="str">
        <f>BS!AH4</f>
        <v>FY26E</v>
      </c>
      <c r="AI4" s="80" t="s">
        <v>905</v>
      </c>
      <c r="AJ4" s="80" t="s">
        <v>906</v>
      </c>
      <c r="AK4" s="80" t="str">
        <f>BS!AK4</f>
        <v>FY27E</v>
      </c>
      <c r="AL4" s="80" t="s">
        <v>942</v>
      </c>
      <c r="AM4" s="80" t="s">
        <v>943</v>
      </c>
      <c r="AN4" s="80" t="str">
        <f>BS!AN4</f>
        <v>FY28E</v>
      </c>
      <c r="AO4" s="80" t="s">
        <v>944</v>
      </c>
      <c r="AP4" s="80" t="s">
        <v>945</v>
      </c>
      <c r="AQ4" s="80" t="str">
        <f>BS!AQ4</f>
        <v>FY29E</v>
      </c>
      <c r="AR4" s="13"/>
      <c r="AS4" s="13"/>
    </row>
    <row r="5" spans="1:45" ht="5.7" customHeight="1">
      <c r="A5" s="13"/>
      <c r="B5" s="844"/>
      <c r="C5" s="845"/>
      <c r="D5" s="729"/>
      <c r="E5" s="845"/>
      <c r="F5" s="845"/>
      <c r="G5" s="845"/>
      <c r="H5" s="845"/>
      <c r="I5" s="845"/>
      <c r="J5" s="845"/>
      <c r="K5" s="845"/>
      <c r="L5" s="845"/>
      <c r="M5" s="845"/>
      <c r="N5" s="845"/>
      <c r="O5" s="845"/>
      <c r="P5" s="845"/>
      <c r="Q5" s="845"/>
      <c r="R5" s="845"/>
      <c r="S5" s="845"/>
      <c r="T5" s="845"/>
      <c r="U5" s="845"/>
      <c r="V5" s="845"/>
      <c r="W5" s="1178"/>
      <c r="X5" s="1178"/>
      <c r="Y5" s="1178"/>
      <c r="Z5" s="1178"/>
      <c r="AA5" s="12"/>
      <c r="AB5" s="1178"/>
      <c r="AC5" s="12"/>
      <c r="AD5" s="12"/>
      <c r="AE5" s="12"/>
      <c r="AF5" s="1546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3"/>
      <c r="AS5" s="13"/>
    </row>
    <row r="6" spans="1:45">
      <c r="A6" s="13"/>
      <c r="B6" s="867" t="s">
        <v>170</v>
      </c>
      <c r="C6" s="850"/>
      <c r="D6" s="850"/>
      <c r="E6" s="850"/>
      <c r="F6" s="850"/>
      <c r="G6" s="850"/>
      <c r="H6" s="850"/>
      <c r="I6" s="850"/>
      <c r="J6" s="850"/>
      <c r="K6" s="850"/>
      <c r="L6" s="850"/>
      <c r="M6" s="850"/>
      <c r="N6" s="850"/>
      <c r="O6" s="850"/>
      <c r="P6" s="850"/>
      <c r="Q6" s="850"/>
      <c r="R6" s="850"/>
      <c r="S6" s="850"/>
      <c r="T6" s="850"/>
      <c r="U6" s="850"/>
      <c r="V6" s="850"/>
      <c r="W6" s="249"/>
      <c r="X6" s="249"/>
      <c r="Y6" s="249"/>
      <c r="Z6" s="249"/>
      <c r="AA6" s="23"/>
      <c r="AB6" s="249"/>
      <c r="AC6" s="23"/>
      <c r="AD6" s="23"/>
      <c r="AE6" s="249"/>
      <c r="AF6" s="1299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13"/>
      <c r="AS6" s="13"/>
    </row>
    <row r="7" spans="1:45">
      <c r="A7" s="13"/>
      <c r="B7" s="844" t="s">
        <v>253</v>
      </c>
      <c r="C7" s="847">
        <v>388.99099999999999</v>
      </c>
      <c r="D7" s="847">
        <v>491.73599999999999</v>
      </c>
      <c r="E7" s="847">
        <v>757.96400000000006</v>
      </c>
      <c r="F7" s="847">
        <v>1038.663</v>
      </c>
      <c r="G7" s="847">
        <v>1397.827</v>
      </c>
      <c r="H7" s="847">
        <v>1985.1410000000001</v>
      </c>
      <c r="I7" s="847">
        <v>2511.8879999999999</v>
      </c>
      <c r="J7" s="847">
        <v>2965.8229999999999</v>
      </c>
      <c r="K7" s="847">
        <v>3267.49</v>
      </c>
      <c r="L7" s="847">
        <v>3448.13</v>
      </c>
      <c r="M7" s="847">
        <v>3646.509</v>
      </c>
      <c r="N7" s="847">
        <v>3832.9789999999998</v>
      </c>
      <c r="O7" s="847">
        <v>4012.13</v>
      </c>
      <c r="P7" s="847">
        <v>4355.75</v>
      </c>
      <c r="Q7" s="847">
        <v>6205.5</v>
      </c>
      <c r="R7" s="847">
        <v>7551.9</v>
      </c>
      <c r="S7" s="847">
        <v>7804.9</v>
      </c>
      <c r="T7" s="775">
        <v>8759.2999999999993</v>
      </c>
      <c r="U7" s="775">
        <v>9837.1</v>
      </c>
      <c r="V7" s="775">
        <v>10194.5</v>
      </c>
      <c r="W7" s="775">
        <v>5791.5</v>
      </c>
      <c r="X7" s="249">
        <f>Y7-W7</f>
        <v>4810.5</v>
      </c>
      <c r="Y7" s="775">
        <v>10602</v>
      </c>
      <c r="Z7" s="775">
        <v>5765.3</v>
      </c>
      <c r="AA7" s="249">
        <f>AB7-Z7</f>
        <v>4853.2</v>
      </c>
      <c r="AB7" s="775">
        <v>10618.5</v>
      </c>
      <c r="AC7" s="1894">
        <v>6236.5</v>
      </c>
      <c r="AD7" s="249">
        <f>AE7-AC7</f>
        <v>5389.9</v>
      </c>
      <c r="AE7" s="775">
        <v>11626.4</v>
      </c>
      <c r="AF7" s="1692">
        <v>6674</v>
      </c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12"/>
      <c r="AS7" s="69"/>
    </row>
    <row r="8" spans="1:45">
      <c r="A8" s="13"/>
      <c r="B8" s="844" t="s">
        <v>254</v>
      </c>
      <c r="C8" s="847">
        <v>-358.24200000000002</v>
      </c>
      <c r="D8" s="847">
        <v>-468.959</v>
      </c>
      <c r="E8" s="847">
        <v>-747.09400000000005</v>
      </c>
      <c r="F8" s="847">
        <v>-1006.0890000000001</v>
      </c>
      <c r="G8" s="847">
        <v>-1311.4649999999999</v>
      </c>
      <c r="H8" s="847">
        <v>-1905.7919999999999</v>
      </c>
      <c r="I8" s="847">
        <v>-2318.308</v>
      </c>
      <c r="J8" s="847">
        <v>-2755.14</v>
      </c>
      <c r="K8" s="847">
        <v>-3101.569</v>
      </c>
      <c r="L8" s="847">
        <v>-3171.643</v>
      </c>
      <c r="M8" s="847">
        <v>-3442.1039999999998</v>
      </c>
      <c r="N8" s="847">
        <v>-3723.982</v>
      </c>
      <c r="O8" s="847">
        <v>-3767.2109999999998</v>
      </c>
      <c r="P8" s="847">
        <v>-4101.2280000000001</v>
      </c>
      <c r="Q8" s="847">
        <v>-5908.8</v>
      </c>
      <c r="R8" s="847">
        <v>-7130.5</v>
      </c>
      <c r="S8" s="847">
        <v>-7373.8</v>
      </c>
      <c r="T8" s="775">
        <v>-7624.5</v>
      </c>
      <c r="U8" s="775">
        <v>-9096.7000000000007</v>
      </c>
      <c r="V8" s="775">
        <v>-9283.5</v>
      </c>
      <c r="W8" s="775">
        <v>-4984</v>
      </c>
      <c r="X8" s="249">
        <f t="shared" ref="X8:X12" si="0">Y8-W8</f>
        <v>-4597.8999999999996</v>
      </c>
      <c r="Y8" s="775">
        <v>-9581.9</v>
      </c>
      <c r="Z8" s="775">
        <v>-5035.3</v>
      </c>
      <c r="AA8" s="249">
        <f t="shared" ref="AA8:AA12" si="1">AB8-Z8</f>
        <v>-4632.9999999999991</v>
      </c>
      <c r="AB8" s="775">
        <v>-9668.2999999999993</v>
      </c>
      <c r="AC8" s="1894">
        <v>-5451.8</v>
      </c>
      <c r="AD8" s="249">
        <f t="shared" ref="AD8:AD12" si="2">AE8-AC8</f>
        <v>-5212.8</v>
      </c>
      <c r="AE8" s="775">
        <v>-10664.6</v>
      </c>
      <c r="AF8" s="1692">
        <v>-5933.7</v>
      </c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12"/>
      <c r="AS8" s="13"/>
    </row>
    <row r="9" spans="1:45">
      <c r="A9" s="13"/>
      <c r="B9" s="844" t="s">
        <v>255</v>
      </c>
      <c r="C9" s="847">
        <v>-3.3370000000000002</v>
      </c>
      <c r="D9" s="847">
        <v>-3.0579999999999998</v>
      </c>
      <c r="E9" s="847">
        <v>-5.7050000000000001</v>
      </c>
      <c r="F9" s="847">
        <v>-6.41</v>
      </c>
      <c r="G9" s="847">
        <v>-8.3930000000000007</v>
      </c>
      <c r="H9" s="847">
        <v>-9.9570000000000007</v>
      </c>
      <c r="I9" s="847">
        <v>-8.31</v>
      </c>
      <c r="J9" s="847">
        <v>-6.4909999999999997</v>
      </c>
      <c r="K9" s="847">
        <v>-6.0469999999999997</v>
      </c>
      <c r="L9" s="847">
        <v>-12.765000000000001</v>
      </c>
      <c r="M9" s="847">
        <v>-8.8960000000000008</v>
      </c>
      <c r="N9" s="847">
        <v>-7.4960000000000004</v>
      </c>
      <c r="O9" s="847">
        <v>-5.6890000000000001</v>
      </c>
      <c r="P9" s="847">
        <v>-3.657</v>
      </c>
      <c r="Q9" s="847">
        <v>-9.3000000000000007</v>
      </c>
      <c r="R9" s="847">
        <v>-15</v>
      </c>
      <c r="S9" s="847">
        <v>-13.8</v>
      </c>
      <c r="T9" s="775">
        <v>-11.5</v>
      </c>
      <c r="U9" s="775">
        <v>-3.3</v>
      </c>
      <c r="V9" s="775">
        <v>-1.3</v>
      </c>
      <c r="W9" s="775">
        <v>-0.9</v>
      </c>
      <c r="X9" s="249">
        <f t="shared" si="0"/>
        <v>-2.8000000000000003</v>
      </c>
      <c r="Y9" s="775">
        <v>-3.7</v>
      </c>
      <c r="Z9" s="775">
        <v>-0.8</v>
      </c>
      <c r="AA9" s="249">
        <f t="shared" si="1"/>
        <v>-1.0999999999999999</v>
      </c>
      <c r="AB9" s="775">
        <v>-1.9</v>
      </c>
      <c r="AC9" s="1894">
        <v>-1.2</v>
      </c>
      <c r="AD9" s="249">
        <f t="shared" si="2"/>
        <v>-0.5</v>
      </c>
      <c r="AE9" s="775">
        <v>-1.7</v>
      </c>
      <c r="AF9" s="1692">
        <v>-0.2</v>
      </c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12"/>
      <c r="AS9" s="13"/>
    </row>
    <row r="10" spans="1:45">
      <c r="A10" s="13"/>
      <c r="B10" s="844" t="s">
        <v>256</v>
      </c>
      <c r="C10" s="847">
        <v>0.316</v>
      </c>
      <c r="D10" s="847">
        <v>0.35599999999999998</v>
      </c>
      <c r="E10" s="847">
        <v>0.56000000000000005</v>
      </c>
      <c r="F10" s="847">
        <f>0.672+0.118</f>
        <v>0.79</v>
      </c>
      <c r="G10" s="847">
        <v>1.2889999999999999</v>
      </c>
      <c r="H10" s="847">
        <v>1.008</v>
      </c>
      <c r="I10" s="847">
        <v>1.5640000000000001</v>
      </c>
      <c r="J10" s="847">
        <v>1.448</v>
      </c>
      <c r="K10" s="847">
        <v>2.2360000000000002</v>
      </c>
      <c r="L10" s="847">
        <v>0.56799999999999995</v>
      </c>
      <c r="M10" s="847">
        <v>0.45500000000000002</v>
      </c>
      <c r="N10" s="847">
        <v>0.40200000000000002</v>
      </c>
      <c r="O10" s="847">
        <v>0.55200000000000005</v>
      </c>
      <c r="P10" s="847">
        <v>0.52100000000000002</v>
      </c>
      <c r="Q10" s="847">
        <v>1.7</v>
      </c>
      <c r="R10" s="847">
        <v>0.5</v>
      </c>
      <c r="S10" s="847">
        <v>0.7</v>
      </c>
      <c r="T10" s="775">
        <v>1.1000000000000001</v>
      </c>
      <c r="U10" s="775">
        <v>1.6</v>
      </c>
      <c r="V10" s="775">
        <v>0.8</v>
      </c>
      <c r="W10" s="775">
        <v>1.8</v>
      </c>
      <c r="X10" s="249">
        <f t="shared" si="0"/>
        <v>2.6000000000000005</v>
      </c>
      <c r="Y10" s="775">
        <v>4.4000000000000004</v>
      </c>
      <c r="Z10" s="775">
        <v>5.5</v>
      </c>
      <c r="AA10" s="249">
        <f t="shared" si="1"/>
        <v>5.6999999999999993</v>
      </c>
      <c r="AB10" s="775">
        <v>11.2</v>
      </c>
      <c r="AC10" s="1894">
        <v>6.8</v>
      </c>
      <c r="AD10" s="249">
        <f t="shared" si="2"/>
        <v>4.7</v>
      </c>
      <c r="AE10" s="775">
        <v>11.5</v>
      </c>
      <c r="AF10" s="1692">
        <v>3.8</v>
      </c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12"/>
      <c r="AS10" s="13"/>
    </row>
    <row r="11" spans="1:45">
      <c r="A11" s="13"/>
      <c r="B11" s="844" t="s">
        <v>257</v>
      </c>
      <c r="C11" s="847">
        <v>-4.0819999999999999</v>
      </c>
      <c r="D11" s="847">
        <v>-5.282</v>
      </c>
      <c r="E11" s="847">
        <v>-9.1419999999999995</v>
      </c>
      <c r="F11" s="847">
        <v>-11.333</v>
      </c>
      <c r="G11" s="847">
        <v>-15.228999999999999</v>
      </c>
      <c r="H11" s="847">
        <v>-27.963000000000001</v>
      </c>
      <c r="I11" s="847">
        <v>-41.256999999999998</v>
      </c>
      <c r="J11" s="847">
        <v>-53.536999999999999</v>
      </c>
      <c r="K11" s="847">
        <v>-52.164999999999999</v>
      </c>
      <c r="L11" s="847">
        <v>-49.283000000000001</v>
      </c>
      <c r="M11" s="847">
        <v>-39.554000000000002</v>
      </c>
      <c r="N11" s="847">
        <v>-60.576999999999998</v>
      </c>
      <c r="O11" s="847">
        <v>-59.886000000000003</v>
      </c>
      <c r="P11" s="847">
        <v>-66.245999999999995</v>
      </c>
      <c r="Q11" s="847">
        <v>-98.5</v>
      </c>
      <c r="R11" s="847">
        <v>-114.8</v>
      </c>
      <c r="S11" s="847">
        <v>-116.4</v>
      </c>
      <c r="T11" s="775">
        <v>-118.2</v>
      </c>
      <c r="U11" s="775">
        <v>-158.69999999999999</v>
      </c>
      <c r="V11" s="775">
        <v>-264.39999999999998</v>
      </c>
      <c r="W11" s="775">
        <v>-163.9</v>
      </c>
      <c r="X11" s="249">
        <f t="shared" si="0"/>
        <v>-118.6</v>
      </c>
      <c r="Y11" s="775">
        <v>-282.5</v>
      </c>
      <c r="Z11" s="775">
        <v>-89</v>
      </c>
      <c r="AA11" s="249">
        <f t="shared" si="1"/>
        <v>-88.699999999999989</v>
      </c>
      <c r="AB11" s="775">
        <v>-177.7</v>
      </c>
      <c r="AC11" s="1894">
        <v>-117.9</v>
      </c>
      <c r="AD11" s="249">
        <f t="shared" si="2"/>
        <v>-106.79999999999998</v>
      </c>
      <c r="AE11" s="775">
        <v>-224.7</v>
      </c>
      <c r="AF11" s="1692">
        <v>-115.6</v>
      </c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12"/>
      <c r="AS11" s="13"/>
    </row>
    <row r="12" spans="1:45">
      <c r="A12" s="13"/>
      <c r="B12" s="844" t="s">
        <v>860</v>
      </c>
      <c r="C12" s="847"/>
      <c r="D12" s="847"/>
      <c r="E12" s="847"/>
      <c r="F12" s="847"/>
      <c r="G12" s="847"/>
      <c r="H12" s="847"/>
      <c r="I12" s="847"/>
      <c r="J12" s="847"/>
      <c r="K12" s="847"/>
      <c r="L12" s="847"/>
      <c r="M12" s="847"/>
      <c r="N12" s="847"/>
      <c r="O12" s="847"/>
      <c r="P12" s="847"/>
      <c r="Q12" s="847"/>
      <c r="R12" s="847"/>
      <c r="S12" s="847"/>
      <c r="T12" s="775">
        <v>-24.9</v>
      </c>
      <c r="U12" s="775">
        <v>-21.3</v>
      </c>
      <c r="V12" s="775">
        <v>-18.7</v>
      </c>
      <c r="W12" s="775">
        <v>-9.4</v>
      </c>
      <c r="X12" s="249">
        <f t="shared" si="0"/>
        <v>-12.499999999999998</v>
      </c>
      <c r="Y12" s="775">
        <v>-21.9</v>
      </c>
      <c r="Z12" s="775">
        <v>-13.9</v>
      </c>
      <c r="AA12" s="249">
        <f t="shared" si="1"/>
        <v>-15.299999999999999</v>
      </c>
      <c r="AB12" s="775">
        <v>-29.2</v>
      </c>
      <c r="AC12" s="1894">
        <v>-16.8</v>
      </c>
      <c r="AD12" s="249">
        <f t="shared" si="2"/>
        <v>-18.499999999999996</v>
      </c>
      <c r="AE12" s="775">
        <v>-35.299999999999997</v>
      </c>
      <c r="AF12" s="1692">
        <v>-19.2</v>
      </c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12"/>
      <c r="AS12" s="13"/>
    </row>
    <row r="13" spans="1:45">
      <c r="A13" s="72"/>
      <c r="B13" s="28" t="s">
        <v>171</v>
      </c>
      <c r="C13" s="29">
        <f t="shared" ref="C13:S13" si="3">SUM(C7:C11)</f>
        <v>23.645999999999965</v>
      </c>
      <c r="D13" s="29">
        <f t="shared" si="3"/>
        <v>14.792999999999989</v>
      </c>
      <c r="E13" s="29">
        <f t="shared" si="3"/>
        <v>-3.4169999999999945</v>
      </c>
      <c r="F13" s="145">
        <f t="shared" si="3"/>
        <v>15.620999999999954</v>
      </c>
      <c r="G13" s="29">
        <f t="shared" si="3"/>
        <v>64.029000000000082</v>
      </c>
      <c r="H13" s="29">
        <f t="shared" si="3"/>
        <v>42.437000000000161</v>
      </c>
      <c r="I13" s="29">
        <f t="shared" si="3"/>
        <v>145.57699999999991</v>
      </c>
      <c r="J13" s="29">
        <f t="shared" si="3"/>
        <v>152.10300000000001</v>
      </c>
      <c r="K13" s="29">
        <f t="shared" si="3"/>
        <v>109.94499999999982</v>
      </c>
      <c r="L13" s="29">
        <f>SUM(L7:L11)</f>
        <v>215.00700000000006</v>
      </c>
      <c r="M13" s="29">
        <f t="shared" si="3"/>
        <v>156.4100000000002</v>
      </c>
      <c r="N13" s="29">
        <f t="shared" si="3"/>
        <v>41.325999999999851</v>
      </c>
      <c r="O13" s="29">
        <f t="shared" si="3"/>
        <v>179.89600000000033</v>
      </c>
      <c r="P13" s="29">
        <f t="shared" si="3"/>
        <v>185.13999999999993</v>
      </c>
      <c r="Q13" s="29">
        <f t="shared" si="3"/>
        <v>190.5999999999998</v>
      </c>
      <c r="R13" s="29">
        <f t="shared" si="3"/>
        <v>292.09999999999962</v>
      </c>
      <c r="S13" s="538">
        <f t="shared" si="3"/>
        <v>301.59999999999945</v>
      </c>
      <c r="T13" s="538">
        <f>SUM(T7:T12)</f>
        <v>981.29999999999916</v>
      </c>
      <c r="U13" s="538">
        <f>SUM(U7:U12)</f>
        <v>558.69999999999982</v>
      </c>
      <c r="V13" s="538">
        <f>SUM(V7:V12)</f>
        <v>627.4</v>
      </c>
      <c r="W13" s="1151">
        <f>SUM(W7:W12)</f>
        <v>635.1</v>
      </c>
      <c r="X13" s="538">
        <f t="shared" ref="X13:AK13" si="4">SUM(X7:X12)</f>
        <v>81.300000000000352</v>
      </c>
      <c r="Y13" s="1284">
        <f t="shared" si="4"/>
        <v>716.40000000000032</v>
      </c>
      <c r="Z13" s="1284">
        <f>SUM(Z7:Z12)</f>
        <v>631.80000000000007</v>
      </c>
      <c r="AA13" s="538">
        <f t="shared" ref="AA13" si="5">SUM(AA7:AA12)</f>
        <v>120.80000000000074</v>
      </c>
      <c r="AB13" s="1542">
        <f t="shared" si="4"/>
        <v>752.60000000000082</v>
      </c>
      <c r="AC13" s="1542">
        <f>SUM(AC7:AC12)</f>
        <v>655.5999999999998</v>
      </c>
      <c r="AD13" s="1542">
        <f t="shared" ref="AD13" si="6">SUM(AD7:AD12)</f>
        <v>55.99999999999946</v>
      </c>
      <c r="AE13" s="1542">
        <f t="shared" si="4"/>
        <v>711.59999999999923</v>
      </c>
      <c r="AF13" s="1663">
        <f t="shared" si="4"/>
        <v>609.1</v>
      </c>
      <c r="AG13" s="29">
        <f t="shared" si="4"/>
        <v>0</v>
      </c>
      <c r="AH13" s="29">
        <f t="shared" si="4"/>
        <v>0</v>
      </c>
      <c r="AI13" s="29">
        <f t="shared" si="4"/>
        <v>0</v>
      </c>
      <c r="AJ13" s="29">
        <f t="shared" si="4"/>
        <v>0</v>
      </c>
      <c r="AK13" s="29">
        <f t="shared" si="4"/>
        <v>0</v>
      </c>
      <c r="AL13" s="29">
        <f t="shared" ref="AL13:AQ13" si="7">SUM(AL7:AL12)</f>
        <v>0</v>
      </c>
      <c r="AM13" s="29">
        <f t="shared" si="7"/>
        <v>0</v>
      </c>
      <c r="AN13" s="29">
        <f t="shared" si="7"/>
        <v>0</v>
      </c>
      <c r="AO13" s="29">
        <f t="shared" si="7"/>
        <v>0</v>
      </c>
      <c r="AP13" s="29">
        <f t="shared" si="7"/>
        <v>0</v>
      </c>
      <c r="AQ13" s="29">
        <f t="shared" si="7"/>
        <v>0</v>
      </c>
      <c r="AR13" s="12"/>
      <c r="AS13" s="30"/>
    </row>
    <row r="14" spans="1:45">
      <c r="A14" s="13"/>
      <c r="B14" s="844"/>
      <c r="C14" s="875"/>
      <c r="D14" s="875"/>
      <c r="E14" s="875"/>
      <c r="F14" s="875"/>
      <c r="G14" s="875"/>
      <c r="H14" s="875"/>
      <c r="I14" s="875"/>
      <c r="J14" s="875"/>
      <c r="K14" s="875"/>
      <c r="L14" s="875"/>
      <c r="M14" s="309"/>
      <c r="N14" s="309"/>
      <c r="O14" s="309"/>
      <c r="P14" s="309"/>
      <c r="Q14" s="309"/>
      <c r="R14" s="309"/>
      <c r="S14" s="309"/>
      <c r="T14" s="729"/>
      <c r="U14" s="729"/>
      <c r="V14" s="729"/>
      <c r="W14" s="249"/>
      <c r="X14" s="249"/>
      <c r="Y14" s="249"/>
      <c r="Z14" s="249"/>
      <c r="AA14" s="23"/>
      <c r="AB14" s="249"/>
      <c r="AC14" s="23"/>
      <c r="AD14" s="23"/>
      <c r="AE14" s="23"/>
      <c r="AF14" s="1299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12"/>
      <c r="AS14" s="13"/>
    </row>
    <row r="15" spans="1:45">
      <c r="A15" s="72" t="s">
        <v>281</v>
      </c>
      <c r="B15" s="844" t="s">
        <v>165</v>
      </c>
      <c r="C15" s="309">
        <f>VLOOKUP($A$15,'P&amp;L'!1:1048576,MATCH(CFS!C$4,'P&amp;L'!$4:$4,FALSE),FALSE)</f>
        <v>16.781000000000002</v>
      </c>
      <c r="D15" s="309">
        <f>VLOOKUP($A$15,'P&amp;L'!1:1048576,MATCH(CFS!D$4,'P&amp;L'!$4:$4,FALSE),FALSE)</f>
        <v>22.731999999999999</v>
      </c>
      <c r="E15" s="309">
        <f>VLOOKUP($A$15,'P&amp;L'!1:1048576,MATCH(CFS!E$4,'P&amp;L'!$4:$4,FALSE),FALSE)</f>
        <v>37.031999999999996</v>
      </c>
      <c r="F15" s="309">
        <f>VLOOKUP($A$15,'P&amp;L'!1:1048576,MATCH(CFS!F$4,'P&amp;L'!$4:$4,FALSE),FALSE)</f>
        <v>44.561</v>
      </c>
      <c r="G15" s="309">
        <f>VLOOKUP($A$15,'P&amp;L'!1:1048576,MATCH(CFS!G$4,'P&amp;L'!$4:$4,FALSE),FALSE)</f>
        <v>65.534000000000006</v>
      </c>
      <c r="H15" s="309">
        <f>VLOOKUP($A$15,'P&amp;L'!1:1048576,MATCH(CFS!H$4,'P&amp;L'!$4:$4,FALSE),FALSE)</f>
        <v>102.29899999999999</v>
      </c>
      <c r="I15" s="309">
        <f>VLOOKUP($A$15,'P&amp;L'!1:1048576,MATCH(CFS!I$4,'P&amp;L'!$4:$4,FALSE),FALSE)</f>
        <v>141.96600000000001</v>
      </c>
      <c r="J15" s="309">
        <f>VLOOKUP($A$15,'P&amp;L'!1:1048576,MATCH(CFS!J$4,'P&amp;L'!$4:$4,FALSE),FALSE)</f>
        <v>175.11</v>
      </c>
      <c r="K15" s="309">
        <f>VLOOKUP($A$15,'P&amp;L'!1:1048576,MATCH(CFS!K$4,'P&amp;L'!$4:$4,FALSE),FALSE)</f>
        <v>162.613</v>
      </c>
      <c r="L15" s="309">
        <f>VLOOKUP($A$15,'P&amp;L'!1:1048576,MATCH(CFS!L$4,'P&amp;L'!$4:$4,FALSE),FALSE)</f>
        <v>161.459</v>
      </c>
      <c r="M15" s="309">
        <f>VLOOKUP($A$15,'P&amp;L'!1:1048576,MATCH(CFS!M$4,'P&amp;L'!$4:$4,FALSE),FALSE)</f>
        <v>177.75300000000001</v>
      </c>
      <c r="N15" s="309">
        <f>VLOOKUP($A$15,'P&amp;L'!1:1048576,MATCH(CFS!N$4,'P&amp;L'!$4:$4,FALSE),FALSE)</f>
        <v>191.12</v>
      </c>
      <c r="O15" s="309">
        <f>VLOOKUP($A$15,'P&amp;L'!1:1048576,MATCH(CFS!O$4,'P&amp;L'!$4:$4,FALSE),FALSE)</f>
        <v>200.90700000000001</v>
      </c>
      <c r="P15" s="309">
        <f>VLOOKUP($A$15,'P&amp;L'!1:1048576,MATCH(CFS!P$4,'P&amp;L'!$4:$4,FALSE),FALSE)</f>
        <v>221.17500000000001</v>
      </c>
      <c r="Q15" s="309">
        <f>VLOOKUP($A$15,'P&amp;L'!1:1048576,MATCH(CFS!Q$4,'P&amp;L'!$4:$4,FALSE),FALSE)</f>
        <v>268.2</v>
      </c>
      <c r="R15" s="309">
        <f>VLOOKUP($A$15,'P&amp;L'!1:1048576,MATCH(CFS!R$4,'P&amp;L'!$4:$4,FALSE),FALSE)</f>
        <v>350.59999999999997</v>
      </c>
      <c r="S15" s="309">
        <f>VLOOKUP($A$15,'P&amp;L'!1:1048576,MATCH(CFS!S$4,'P&amp;L'!$4:$4,FALSE),FALSE)</f>
        <v>372.90000000000003</v>
      </c>
      <c r="T15" s="729">
        <f>VLOOKUP($A$15,'P&amp;L'!1:1048576,MATCH(CFS!T$4,'P&amp;L'!$4:$4,FALSE),FALSE)</f>
        <v>483.20000000000005</v>
      </c>
      <c r="U15" s="729">
        <f>VLOOKUP($A$15,'P&amp;L'!1:1048576,MATCH(CFS!U$4,'P&amp;L'!$4:$4,FALSE),FALSE)</f>
        <v>743.1</v>
      </c>
      <c r="V15" s="729">
        <f>VLOOKUP($A$15,'P&amp;L'!1:1048576,MATCH(CFS!V$4,'P&amp;L'!$4:$4,FALSE),FALSE)</f>
        <v>794.59999999999991</v>
      </c>
      <c r="W15" s="729">
        <f>VLOOKUP($A$15,'P&amp;L'!1:1048576,MATCH(CFS!W$4,'P&amp;L'!$4:$4,FALSE),FALSE)</f>
        <v>479.2</v>
      </c>
      <c r="X15" s="249">
        <f>VLOOKUP($A$15,'P&amp;L'!1:1048576,MATCH(CFS!X$4,'P&amp;L'!$4:$4,FALSE),FALSE)</f>
        <v>289.8</v>
      </c>
      <c r="Y15" s="249">
        <f>VLOOKUP($A$15,'P&amp;L'!1:1048576,MATCH(CFS!Y$4,'P&amp;L'!$4:$4,FALSE),FALSE)</f>
        <v>769</v>
      </c>
      <c r="Z15" s="309">
        <f>VLOOKUP($A$15,'P&amp;L'!1:1048576,MATCH(CFS!Z$4,'P&amp;L'!$4:$4,FALSE),FALSE)</f>
        <v>386.7</v>
      </c>
      <c r="AA15" s="249">
        <f>VLOOKUP($A$15,'P&amp;L'!1:1048576,MATCH(CFS!AA$4,'P&amp;L'!$4:$4,FALSE),FALSE)</f>
        <v>260.49999999999994</v>
      </c>
      <c r="AB15" s="249">
        <f>VLOOKUP($A$15,'P&amp;L'!1:1048576,MATCH(CFS!AB$4,'P&amp;L'!$4:$4,FALSE),FALSE)</f>
        <v>647.19999999999993</v>
      </c>
      <c r="AC15" s="729">
        <f>VLOOKUP($A$15,'P&amp;L'!1:1048576,MATCH(CFS!AC$4,'P&amp;L'!$4:$4,FALSE),FALSE)</f>
        <v>419.90000000000003</v>
      </c>
      <c r="AD15" s="1180">
        <f>VLOOKUP($A$15,'P&amp;L'!1:1048576,MATCH(CFS!AD$4,'P&amp;L'!$4:$4,FALSE),FALSE)</f>
        <v>274.19999999999993</v>
      </c>
      <c r="AE15" s="249">
        <f>VLOOKUP($A$15,'P&amp;L'!1:1048576,MATCH(CFS!AE$4,'P&amp;L'!$4:$4,FALSE),FALSE)</f>
        <v>694.09999999999991</v>
      </c>
      <c r="AF15" s="1775">
        <f>VLOOKUP($A$15,'P&amp;L'!1:1048576,MATCH(CFS!AF$4,'P&amp;L'!$4:$4,FALSE),FALSE)</f>
        <v>454</v>
      </c>
      <c r="AG15" s="1180">
        <f>VLOOKUP($A$15,'P&amp;L'!1:1048576,MATCH(CFS!AG$4,'P&amp;L'!$4:$4,FALSE),FALSE)</f>
        <v>299.74192521296516</v>
      </c>
      <c r="AH15" s="1180">
        <f>VLOOKUP($A$15,'P&amp;L'!1:1048576,MATCH(CFS!AH$4,'P&amp;L'!$4:$4,FALSE),FALSE)</f>
        <v>753.74192521296516</v>
      </c>
      <c r="AI15" s="1180">
        <f>VLOOKUP($A$15,'P&amp;L'!1:1048576,MATCH(CFS!AI$4,'P&amp;L'!$4:$4,FALSE),FALSE)</f>
        <v>462.29499825171848</v>
      </c>
      <c r="AJ15" s="1180">
        <f>VLOOKUP($A$15,'P&amp;L'!1:1048576,MATCH(CFS!AJ$4,'P&amp;L'!$4:$4,FALSE),FALSE)</f>
        <v>305.39218045061097</v>
      </c>
      <c r="AK15" s="1180">
        <f>VLOOKUP($A$15,'P&amp;L'!1:1048576,MATCH(CFS!AK$4,'P&amp;L'!$4:$4,FALSE),FALSE)</f>
        <v>767.68717870232945</v>
      </c>
      <c r="AL15" s="1180">
        <f>VLOOKUP($A$15,'P&amp;L'!1:1048576,MATCH(CFS!AL$4,'P&amp;L'!$4:$4,FALSE),FALSE)</f>
        <v>488.71109506951535</v>
      </c>
      <c r="AM15" s="1180">
        <f>VLOOKUP($A$15,'P&amp;L'!1:1048576,MATCH(CFS!AM$4,'P&amp;L'!$4:$4,FALSE),FALSE)</f>
        <v>317.31163138343726</v>
      </c>
      <c r="AN15" s="1180">
        <f>VLOOKUP($A$15,'P&amp;L'!1:1048576,MATCH(CFS!AN$4,'P&amp;L'!$4:$4,FALSE),FALSE)</f>
        <v>806.02272645295261</v>
      </c>
      <c r="AO15" s="1180">
        <f>VLOOKUP($A$15,'P&amp;L'!1:1048576,MATCH(CFS!AO$4,'P&amp;L'!$4:$4,FALSE),FALSE)</f>
        <v>512.41632904668973</v>
      </c>
      <c r="AP15" s="1180">
        <f>VLOOKUP($A$15,'P&amp;L'!1:1048576,MATCH(CFS!AP$4,'P&amp;L'!$4:$4,FALSE),FALSE)</f>
        <v>333.27546593914826</v>
      </c>
      <c r="AQ15" s="1180">
        <f>VLOOKUP($A$15,'P&amp;L'!1:1048576,MATCH(CFS!AQ$4,'P&amp;L'!$4:$4,FALSE),FALSE)</f>
        <v>845.69179498583799</v>
      </c>
      <c r="AR15" s="12"/>
      <c r="AS15" s="13"/>
    </row>
    <row r="16" spans="1:45">
      <c r="A16" s="129" t="s">
        <v>385</v>
      </c>
      <c r="B16" s="844" t="s">
        <v>123</v>
      </c>
      <c r="C16" s="309">
        <f>VLOOKUP($A$16,Drivers!1:1048576,MATCH(CFS!C$4,Drivers!2:2,FALSE),FALSE)</f>
        <v>1.319</v>
      </c>
      <c r="D16" s="309">
        <f>VLOOKUP($A$16,Drivers!1:1048576,MATCH(CFS!D$4,Drivers!2:2,FALSE),FALSE)</f>
        <v>3.1680000000000001</v>
      </c>
      <c r="E16" s="309">
        <f>VLOOKUP($A$16,Drivers!1:1048576,MATCH(CFS!E$4,Drivers!2:2,FALSE),FALSE)</f>
        <v>5.2679999999999998</v>
      </c>
      <c r="F16" s="309">
        <f>VLOOKUP($A$16,Drivers!1:1048576,MATCH(CFS!F$4,Drivers!2:2,FALSE),FALSE)</f>
        <v>7.4390000000000001</v>
      </c>
      <c r="G16" s="309">
        <f>VLOOKUP($A$16,Drivers!1:1048576,MATCH(CFS!G$4,Drivers!2:2,FALSE),FALSE)</f>
        <v>10.853999999999999</v>
      </c>
      <c r="H16" s="309">
        <f>VLOOKUP($A$16,Drivers!1:1048576,MATCH(CFS!H$4,Drivers!2:2,FALSE),FALSE)</f>
        <v>14.690999999999999</v>
      </c>
      <c r="I16" s="309">
        <f>VLOOKUP($A$16,Drivers!1:1048576,MATCH(CFS!I$4,Drivers!2:2,FALSE),FALSE)</f>
        <v>18.748999999999999</v>
      </c>
      <c r="J16" s="309">
        <f>VLOOKUP($A$16,Drivers!1:1048576,MATCH(CFS!J$4,Drivers!2:2,FALSE),FALSE)</f>
        <v>23.277000000000001</v>
      </c>
      <c r="K16" s="309">
        <f>VLOOKUP($A$16,Drivers!1:1048576,MATCH(CFS!K$4,Drivers!2:2,FALSE),FALSE)</f>
        <v>27.286999999999999</v>
      </c>
      <c r="L16" s="309">
        <f>VLOOKUP($A$16,Drivers!1:1048576,MATCH(CFS!L$4,Drivers!2:2,FALSE),FALSE)</f>
        <v>30.754000000000001</v>
      </c>
      <c r="M16" s="309">
        <f>VLOOKUP($A$16,Drivers!1:1048576,MATCH(CFS!M$4,Drivers!2:2,FALSE),FALSE)</f>
        <v>33.231999999999999</v>
      </c>
      <c r="N16" s="309">
        <f>VLOOKUP($A$16,Drivers!1:1048576,MATCH(CFS!N$4,Drivers!2:2,FALSE),FALSE)</f>
        <v>35.53</v>
      </c>
      <c r="O16" s="309">
        <f>VLOOKUP($A$16,Drivers!1:1048576,MATCH(CFS!O$4,Drivers!2:2,FALSE),FALSE)</f>
        <v>39.124000000000002</v>
      </c>
      <c r="P16" s="309">
        <f>VLOOKUP($A$16,Drivers!1:1048576,MATCH(CFS!P$4,Drivers!2:2,FALSE),FALSE)</f>
        <v>40.901000000000003</v>
      </c>
      <c r="Q16" s="309">
        <f>VLOOKUP($A$16,Drivers!1:1048576,MATCH(CFS!Q$4,Drivers!2:2,FALSE),FALSE)</f>
        <v>53.900000000000006</v>
      </c>
      <c r="R16" s="309">
        <f>VLOOKUP($A$16,Drivers!1:1048576,MATCH(CFS!R$4,Drivers!2:2,FALSE),FALSE)</f>
        <v>61.1</v>
      </c>
      <c r="S16" s="309">
        <f>VLOOKUP($A$16,Drivers!1:1048576,MATCH(CFS!S$4,Drivers!2:2,FALSE),FALSE)</f>
        <v>56.2</v>
      </c>
      <c r="T16" s="729">
        <f>VLOOKUP($A$16,Drivers!1:1048576,MATCH(CFS!T$4,Drivers!2:2,FALSE),FALSE)</f>
        <v>229.3</v>
      </c>
      <c r="U16" s="729">
        <f>VLOOKUP($A$16,Drivers!1:1048576,MATCH(CFS!U$4,Drivers!2:2,FALSE),FALSE)</f>
        <v>218.5</v>
      </c>
      <c r="V16" s="729">
        <f>VLOOKUP($A$16,Drivers!1:1048576,MATCH(CFS!V$4,Drivers!2:2,FALSE),FALSE)</f>
        <v>219.3</v>
      </c>
      <c r="W16" s="729">
        <f>VLOOKUP($A$16,Drivers!1:1048576,MATCH(CFS!W$4,Drivers!2:2,FALSE),FALSE)</f>
        <v>113.40000000000003</v>
      </c>
      <c r="X16" s="249">
        <f>VLOOKUP($A$16,Drivers!1:1048576,MATCH(CFS!X$4,Drivers!2:2,FALSE),FALSE)</f>
        <v>110.80000000000001</v>
      </c>
      <c r="Y16" s="249">
        <f>VLOOKUP($A$16,Drivers!1:1048576,MATCH(CFS!Y$4,Drivers!2:2,FALSE),FALSE)</f>
        <v>224.2</v>
      </c>
      <c r="Z16" s="309">
        <f>VLOOKUP($A$16,Drivers!1:1048576,MATCH(CFS!Z$4,Drivers!2:2,FALSE),FALSE)</f>
        <v>118.5</v>
      </c>
      <c r="AA16" s="249">
        <f>VLOOKUP($A$16,Drivers!1:1048576,MATCH(CFS!AA$4,Drivers!2:2,FALSE),FALSE)</f>
        <v>118.59999999999991</v>
      </c>
      <c r="AB16" s="249">
        <f>VLOOKUP($A$16,Drivers!1:1048576,MATCH(CFS!AB$4,Drivers!2:2,FALSE),FALSE)</f>
        <v>237.1</v>
      </c>
      <c r="AC16" s="729">
        <f>VLOOKUP($A$16,Drivers!1:1048576,MATCH(CFS!AC$4,Drivers!2:2,FALSE),FALSE)</f>
        <v>125.99999999999996</v>
      </c>
      <c r="AD16" s="1180">
        <f>VLOOKUP($A$16,Drivers!1:1048576,MATCH(CFS!AD$4,Drivers!2:2,FALSE),FALSE)</f>
        <v>132.80000000000007</v>
      </c>
      <c r="AE16" s="249">
        <f>VLOOKUP($A$16,Drivers!1:1048576,MATCH(CFS!AE$4,Drivers!2:2,FALSE),FALSE)</f>
        <v>258.8</v>
      </c>
      <c r="AF16" s="1775">
        <f>VLOOKUP($A$16,Drivers!1:1048576,MATCH(CFS!AF$4,Drivers!2:2,FALSE),FALSE)</f>
        <v>134.99999999999997</v>
      </c>
      <c r="AG16" s="1180">
        <f>VLOOKUP($A$16,Drivers!1:1048576,MATCH(CFS!AG$4,Drivers!2:2,FALSE),FALSE)</f>
        <v>133.46491574585644</v>
      </c>
      <c r="AH16" s="1180">
        <f>VLOOKUP($A$16,Drivers!1:1048576,MATCH(CFS!AH$4,Drivers!2:2,FALSE),FALSE)</f>
        <v>268.46491574585639</v>
      </c>
      <c r="AI16" s="1180">
        <f>VLOOKUP($A$16,Drivers!1:1048576,MATCH(CFS!AI$4,Drivers!2:2,FALSE),FALSE)</f>
        <v>138.43199999999996</v>
      </c>
      <c r="AJ16" s="1180">
        <f>VLOOKUP($A$16,Drivers!1:1048576,MATCH(CFS!AJ$4,Drivers!2:2,FALSE),FALSE)</f>
        <v>136.83962071823211</v>
      </c>
      <c r="AK16" s="1180">
        <f>VLOOKUP($A$16,Drivers!1:1048576,MATCH(CFS!AK$4,Drivers!2:2,FALSE),FALSE)</f>
        <v>275.2716207182321</v>
      </c>
      <c r="AL16" s="1180">
        <f>VLOOKUP($A$16,Drivers!1:1048576,MATCH(CFS!AL$4,Drivers!2:2,FALSE),FALSE)</f>
        <v>140.20102500000002</v>
      </c>
      <c r="AM16" s="1180">
        <f>VLOOKUP($A$16,Drivers!1:1048576,MATCH(CFS!AM$4,Drivers!2:2,FALSE),FALSE)</f>
        <v>142.05032077727901</v>
      </c>
      <c r="AN16" s="1180">
        <f>VLOOKUP($A$16,Drivers!1:1048576,MATCH(CFS!AN$4,Drivers!2:2,FALSE),FALSE)</f>
        <v>282.25134577727903</v>
      </c>
      <c r="AO16" s="1180">
        <f>VLOOKUP($A$16,Drivers!1:1048576,MATCH(CFS!AO$4,Drivers!2:2,FALSE),FALSE)</f>
        <v>143.75776950000002</v>
      </c>
      <c r="AP16" s="1180">
        <f>VLOOKUP($A$16,Drivers!1:1048576,MATCH(CFS!AP$4,Drivers!2:2,FALSE),FALSE)</f>
        <v>145.65073249903486</v>
      </c>
      <c r="AQ16" s="1180">
        <f>VLOOKUP($A$16,Drivers!1:1048576,MATCH(CFS!AQ$4,Drivers!2:2,FALSE),FALSE)</f>
        <v>289.40850199903485</v>
      </c>
      <c r="AR16" s="951"/>
      <c r="AS16" s="13"/>
    </row>
    <row r="17" spans="1:45">
      <c r="A17" s="72" t="s">
        <v>288</v>
      </c>
      <c r="B17" s="844" t="s">
        <v>258</v>
      </c>
      <c r="C17" s="309">
        <f>VLOOKUP($A$17,'P&amp;L'!1:1048576,MATCH(CFS!C$4,'P&amp;L'!4:4,FALSE),FALSE)</f>
        <v>-3.7160000000000002</v>
      </c>
      <c r="D17" s="309">
        <f>VLOOKUP($A$17,'P&amp;L'!1:1048576,MATCH(CFS!D$4,'P&amp;L'!4:4,FALSE),FALSE)</f>
        <v>-5.899</v>
      </c>
      <c r="E17" s="309">
        <f>VLOOKUP($A$17,'P&amp;L'!1:1048576,MATCH(CFS!E$4,'P&amp;L'!4:4,FALSE),FALSE)</f>
        <v>-9.4420000000000002</v>
      </c>
      <c r="F17" s="309">
        <f>VLOOKUP($A$17,'P&amp;L'!1:1048576,MATCH(CFS!F$4,'P&amp;L'!4:4,FALSE),FALSE)</f>
        <v>-11.954000000000001</v>
      </c>
      <c r="G17" s="309">
        <f>VLOOKUP($A$17,'P&amp;L'!1:1048576,MATCH(CFS!G$4,'P&amp;L'!4:4,FALSE),FALSE)</f>
        <v>-18.003</v>
      </c>
      <c r="H17" s="309">
        <f>VLOOKUP($A$17,'P&amp;L'!1:1048576,MATCH(CFS!H$4,'P&amp;L'!4:4,FALSE),FALSE)</f>
        <v>-28.875</v>
      </c>
      <c r="I17" s="309">
        <f>VLOOKUP($A$17,'P&amp;L'!1:1048576,MATCH(CFS!I$4,'P&amp;L'!4:4,FALSE),FALSE)</f>
        <v>-41.055</v>
      </c>
      <c r="J17" s="309">
        <f>VLOOKUP($A$17,'P&amp;L'!1:1048576,MATCH(CFS!J$4,'P&amp;L'!4:4,FALSE),FALSE)</f>
        <v>-50.948999999999998</v>
      </c>
      <c r="K17" s="309">
        <f>VLOOKUP($A$17,'P&amp;L'!1:1048576,MATCH(CFS!K$4,'P&amp;L'!4:4,FALSE),FALSE)</f>
        <v>-48.886000000000003</v>
      </c>
      <c r="L17" s="309">
        <f>VLOOKUP($A$17,'P&amp;L'!1:1048576,MATCH(CFS!L$4,'P&amp;L'!4:4,FALSE),FALSE)</f>
        <v>-43.731999999999999</v>
      </c>
      <c r="M17" s="309">
        <f>VLOOKUP($A$17,'P&amp;L'!1:1048576,MATCH(CFS!M$4,'P&amp;L'!4:4,FALSE),FALSE)</f>
        <v>-51.42</v>
      </c>
      <c r="N17" s="309">
        <f>VLOOKUP($A$17,'P&amp;L'!1:1048576,MATCH(CFS!N$4,'P&amp;L'!4:4,FALSE),FALSE)</f>
        <v>-54.23</v>
      </c>
      <c r="O17" s="309">
        <f>VLOOKUP($A$17,'P&amp;L'!1:1048576,MATCH(CFS!O$4,'P&amp;L'!4:4,FALSE),FALSE)</f>
        <v>-59.021000000000001</v>
      </c>
      <c r="P17" s="309">
        <f>VLOOKUP($A$17,'P&amp;L'!1:1048576,MATCH(CFS!P$4,'P&amp;L'!4:4,FALSE),FALSE)</f>
        <v>-65.658000000000001</v>
      </c>
      <c r="Q17" s="309">
        <f>VLOOKUP($A$17,'P&amp;L'!1:1048576,MATCH(CFS!Q$4,'P&amp;L'!4:4,FALSE),FALSE)</f>
        <v>-86.8</v>
      </c>
      <c r="R17" s="309">
        <f>VLOOKUP($A$17,'P&amp;L'!1:1048576,MATCH(CFS!R$4,'P&amp;L'!4:4,FALSE),FALSE)</f>
        <v>-101.3</v>
      </c>
      <c r="S17" s="309">
        <f>VLOOKUP($A$17,'P&amp;L'!1:1048576,MATCH(CFS!S$4,'P&amp;L'!4:4,FALSE),FALSE)</f>
        <v>-109.5</v>
      </c>
      <c r="T17" s="729">
        <f>VLOOKUP($A$17,'P&amp;L'!1:1048576,MATCH(CFS!T$4,'P&amp;L'!4:4,FALSE),FALSE)</f>
        <v>-145.69999999999999</v>
      </c>
      <c r="U17" s="729">
        <f>VLOOKUP($A$17,'P&amp;L'!1:1048576,MATCH(CFS!U$4,'P&amp;L'!4:4,FALSE),FALSE)</f>
        <v>-213.9</v>
      </c>
      <c r="V17" s="729">
        <f>VLOOKUP($A$17,'P&amp;L'!1:1048576,MATCH(CFS!V$4,'P&amp;L'!4:4,FALSE),FALSE)</f>
        <v>-230.4</v>
      </c>
      <c r="W17" s="729">
        <f>VLOOKUP($A$17,'P&amp;L'!1:1048576,MATCH(CFS!W$4,'P&amp;L'!4:4,FALSE),FALSE)</f>
        <v>-140.30000000000001</v>
      </c>
      <c r="X17" s="249">
        <f>VLOOKUP($A$17,'P&amp;L'!1:1048576,MATCH(CFS!X$4,'P&amp;L'!4:4,FALSE),FALSE)</f>
        <v>-82.199999999999989</v>
      </c>
      <c r="Y17" s="249">
        <f>VLOOKUP($A$17,'P&amp;L'!1:1048576,MATCH(CFS!Y$4,'P&amp;L'!4:4,FALSE),FALSE)</f>
        <v>-222.5</v>
      </c>
      <c r="Z17" s="309">
        <f>VLOOKUP($A$17,'P&amp;L'!1:1048576,MATCH(CFS!Z$4,'P&amp;L'!4:4,FALSE),FALSE)</f>
        <v>-113</v>
      </c>
      <c r="AA17" s="249">
        <f>VLOOKUP($A$17,'P&amp;L'!1:1048576,MATCH(CFS!AA$4,'P&amp;L'!4:4,FALSE),FALSE)</f>
        <v>-75.599999999999994</v>
      </c>
      <c r="AB17" s="249">
        <f>VLOOKUP($A$17,'P&amp;L'!1:1048576,MATCH(CFS!AB$4,'P&amp;L'!4:4,FALSE),FALSE)</f>
        <v>-188.6</v>
      </c>
      <c r="AC17" s="729">
        <f>VLOOKUP($A$17,'P&amp;L'!1:1048576,MATCH(CFS!AC$4,'P&amp;L'!4:4,FALSE),FALSE)</f>
        <v>-123.2</v>
      </c>
      <c r="AD17" s="1180">
        <f>VLOOKUP($A$17,'P&amp;L'!1:1048576,MATCH(CFS!AD$4,'P&amp;L'!4:4,FALSE),FALSE)</f>
        <v>-81.999999999999986</v>
      </c>
      <c r="AE17" s="249">
        <f>VLOOKUP($A$17,'P&amp;L'!1:1048576,MATCH(CFS!AE$4,'P&amp;L'!4:4,FALSE),FALSE)</f>
        <v>-205.2</v>
      </c>
      <c r="AF17" s="1775">
        <f>VLOOKUP($A$17,'P&amp;L'!1:1048576,MATCH(CFS!AF$4,'P&amp;L'!4:4,FALSE),FALSE)</f>
        <v>-131.9</v>
      </c>
      <c r="AG17" s="1180">
        <f>VLOOKUP($A$17,'P&amp;L'!1:1048576,MATCH(CFS!AG$4,'P&amp;L'!4:4,FALSE),FALSE)</f>
        <v>-85.043395765378989</v>
      </c>
      <c r="AH17" s="1180">
        <f>VLOOKUP($A$17,'P&amp;L'!1:1048576,MATCH(CFS!AH$4,'P&amp;L'!4:4,FALSE),FALSE)</f>
        <v>-216.94339576537899</v>
      </c>
      <c r="AI17" s="1180">
        <f>VLOOKUP($A$17,'P&amp;L'!1:1048576,MATCH(CFS!AI$4,'P&amp;L'!4:4,FALSE),FALSE)</f>
        <v>-133.24422937634537</v>
      </c>
      <c r="AJ17" s="1180">
        <f>VLOOKUP($A$17,'P&amp;L'!1:1048576,MATCH(CFS!AJ$4,'P&amp;L'!4:4,FALSE),FALSE)</f>
        <v>-86.990705898131665</v>
      </c>
      <c r="AK17" s="1180">
        <f>VLOOKUP($A$17,'P&amp;L'!1:1048576,MATCH(CFS!AK$4,'P&amp;L'!4:4,FALSE),FALSE)</f>
        <v>-220.23493527447704</v>
      </c>
      <c r="AL17" s="1180">
        <f>VLOOKUP($A$17,'P&amp;L'!1:1048576,MATCH(CFS!AL$4,'P&amp;L'!4:4,FALSE),FALSE)</f>
        <v>-141.01612279216971</v>
      </c>
      <c r="AM17" s="1180">
        <f>VLOOKUP($A$17,'P&amp;L'!1:1048576,MATCH(CFS!AM$4,'P&amp;L'!4:4,FALSE),FALSE)</f>
        <v>-90.447544073241545</v>
      </c>
      <c r="AN17" s="1180">
        <f>VLOOKUP($A$17,'P&amp;L'!1:1048576,MATCH(CFS!AN$4,'P&amp;L'!4:4,FALSE),FALSE)</f>
        <v>-231.46366686541126</v>
      </c>
      <c r="AO17" s="1180">
        <f>VLOOKUP($A$17,'P&amp;L'!1:1048576,MATCH(CFS!AO$4,'P&amp;L'!4:4,FALSE),FALSE)</f>
        <v>-147.76804420308795</v>
      </c>
      <c r="AP17" s="1180">
        <f>VLOOKUP($A$17,'P&amp;L'!1:1048576,MATCH(CFS!AP$4,'P&amp;L'!4:4,FALSE),FALSE)</f>
        <v>-94.892251954631519</v>
      </c>
      <c r="AQ17" s="1180">
        <f>VLOOKUP($A$17,'P&amp;L'!1:1048576,MATCH(CFS!AQ$4,'P&amp;L'!4:4,FALSE),FALSE)</f>
        <v>-242.66029615771947</v>
      </c>
      <c r="AR17" s="12"/>
      <c r="AS17" s="13"/>
    </row>
    <row r="18" spans="1:45">
      <c r="A18" s="72" t="s">
        <v>283</v>
      </c>
      <c r="B18" s="844" t="s">
        <v>259</v>
      </c>
      <c r="C18" s="309">
        <f>VLOOKUP($A$18,'P&amp;L'!1:1048576,MATCH(CFS!C$4,'P&amp;L'!4:4,FALSE),FALSE)</f>
        <v>0</v>
      </c>
      <c r="D18" s="309">
        <f>VLOOKUP($A$18,'P&amp;L'!1:1048576,MATCH(CFS!D$4,'P&amp;L'!4:4,FALSE),FALSE)</f>
        <v>0</v>
      </c>
      <c r="E18" s="309">
        <f>VLOOKUP($A$18,'P&amp;L'!1:1048576,MATCH(CFS!E$4,'P&amp;L'!4:4,FALSE),FALSE)</f>
        <v>0</v>
      </c>
      <c r="F18" s="309">
        <f>VLOOKUP($A$18,'P&amp;L'!1:1048576,MATCH(CFS!F$4,'P&amp;L'!4:4,FALSE),FALSE)</f>
        <v>0</v>
      </c>
      <c r="G18" s="309">
        <f>VLOOKUP($A$18,'P&amp;L'!1:1048576,MATCH(CFS!G$4,'P&amp;L'!4:4,FALSE),FALSE)</f>
        <v>0</v>
      </c>
      <c r="H18" s="309">
        <f>VLOOKUP($A$18,'P&amp;L'!1:1048576,MATCH(CFS!H$4,'P&amp;L'!4:4,FALSE),FALSE)</f>
        <v>0</v>
      </c>
      <c r="I18" s="309">
        <f>VLOOKUP($A$18,'P&amp;L'!1:1048576,MATCH(CFS!I$4,'P&amp;L'!4:4,FALSE),FALSE)</f>
        <v>0</v>
      </c>
      <c r="J18" s="309">
        <f>VLOOKUP($A$18,'P&amp;L'!1:1048576,MATCH(CFS!J$4,'P&amp;L'!4:4,FALSE),FALSE)</f>
        <v>0</v>
      </c>
      <c r="K18" s="309">
        <f>VLOOKUP($A$18,'P&amp;L'!1:1048576,MATCH(CFS!K$4,'P&amp;L'!4:4,FALSE),FALSE)</f>
        <v>0</v>
      </c>
      <c r="L18" s="309">
        <f>VLOOKUP($A$18,'P&amp;L'!1:1048576,MATCH(CFS!L$4,'P&amp;L'!4:4,FALSE),FALSE)</f>
        <v>0</v>
      </c>
      <c r="M18" s="309">
        <f>VLOOKUP($A$18,'P&amp;L'!1:1048576,MATCH(CFS!M$4,'P&amp;L'!4:4,FALSE),FALSE)</f>
        <v>0</v>
      </c>
      <c r="N18" s="309">
        <f>VLOOKUP($A$18,'P&amp;L'!1:1048576,MATCH(CFS!N$4,'P&amp;L'!4:4,FALSE),FALSE)</f>
        <v>0</v>
      </c>
      <c r="O18" s="309">
        <f>VLOOKUP($A$18,'P&amp;L'!1:1048576,MATCH(CFS!O$4,'P&amp;L'!4:4,FALSE),FALSE)</f>
        <v>0</v>
      </c>
      <c r="P18" s="309">
        <f>VLOOKUP($A$18,'P&amp;L'!1:1048576,MATCH(CFS!P$4,'P&amp;L'!4:4,FALSE),FALSE)</f>
        <v>0</v>
      </c>
      <c r="Q18" s="309">
        <f>VLOOKUP($A$18,'P&amp;L'!1:1048576,MATCH(CFS!Q$4,'P&amp;L'!4:4,FALSE),FALSE)</f>
        <v>0</v>
      </c>
      <c r="R18" s="309">
        <f>VLOOKUP($A$18,'P&amp;L'!1:1048576,MATCH(CFS!R$4,'P&amp;L'!4:4,FALSE),FALSE)</f>
        <v>-16.600000000000001</v>
      </c>
      <c r="S18" s="309">
        <f>VLOOKUP($A$18,'P&amp;L'!1:1048576,MATCH(CFS!S$4,'P&amp;L'!4:4,FALSE),FALSE)</f>
        <v>-14.3</v>
      </c>
      <c r="T18" s="729">
        <f>VLOOKUP($A$18,'P&amp;L'!1:1048576,MATCH(CFS!T$4,'P&amp;L'!4:4,FALSE),FALSE)</f>
        <v>-36.4</v>
      </c>
      <c r="U18" s="729">
        <f>VLOOKUP($A$18,'P&amp;L'!1:1048576,MATCH(CFS!U$4,'P&amp;L'!4:4,FALSE),FALSE)</f>
        <v>-24.7</v>
      </c>
      <c r="V18" s="729">
        <f>VLOOKUP($A$18,'P&amp;L'!1:1048576,MATCH(CFS!V$4,'P&amp;L'!4:4,FALSE),FALSE)</f>
        <v>-20.099999999999998</v>
      </c>
      <c r="W18" s="729">
        <f>VLOOKUP($A$18,'P&amp;L'!1:1048576,MATCH(CFS!W$4,'P&amp;L'!4:4,FALSE),FALSE)</f>
        <v>-10.8</v>
      </c>
      <c r="X18" s="249">
        <f>VLOOKUP($A$18,'P&amp;L'!1:1048576,MATCH(CFS!X$4,'P&amp;L'!4:4,FALSE),FALSE)</f>
        <v>-15.499999999999998</v>
      </c>
      <c r="Y18" s="249">
        <f>VLOOKUP($A$18,'P&amp;L'!1:1048576,MATCH(CFS!Y$4,'P&amp;L'!4:4,FALSE),FALSE)</f>
        <v>-26.299999999999997</v>
      </c>
      <c r="Z18" s="309">
        <f>VLOOKUP($A$18,'P&amp;L'!1:1048576,MATCH(CFS!Z$4,'P&amp;L'!4:4,FALSE),FALSE)</f>
        <v>-14.9</v>
      </c>
      <c r="AA18" s="249">
        <f>VLOOKUP($A$18,'P&amp;L'!1:1048576,MATCH(CFS!AA$4,'P&amp;L'!4:4,FALSE),FALSE)</f>
        <v>-16.099999999999998</v>
      </c>
      <c r="AB18" s="249">
        <f>VLOOKUP($A$18,'P&amp;L'!1:1048576,MATCH(CFS!AB$4,'P&amp;L'!4:4,FALSE),FALSE)</f>
        <v>-31</v>
      </c>
      <c r="AC18" s="729">
        <f>VLOOKUP($A$18,'P&amp;L'!1:1048576,MATCH(CFS!AC$4,'P&amp;L'!4:4,FALSE),FALSE)</f>
        <v>-18</v>
      </c>
      <c r="AD18" s="1180">
        <f>VLOOKUP($A$18,'P&amp;L'!1:1048576,MATCH(CFS!AD$4,'P&amp;L'!4:4,FALSE),FALSE)</f>
        <v>-19.599999999999998</v>
      </c>
      <c r="AE18" s="249">
        <f>VLOOKUP($A$18,'P&amp;L'!1:1048576,MATCH(CFS!AE$4,'P&amp;L'!4:4,FALSE),FALSE)</f>
        <v>-37.599999999999994</v>
      </c>
      <c r="AF18" s="1775">
        <f>VLOOKUP($A$18,'P&amp;L'!1:1048576,MATCH(CFS!AF$4,'P&amp;L'!4:4,FALSE),FALSE)</f>
        <v>-20</v>
      </c>
      <c r="AG18" s="1180">
        <f>VLOOKUP($A$18,'P&amp;L'!1:1048576,MATCH(CFS!AG$4,'P&amp;L'!4:4,FALSE),FALSE)</f>
        <v>-20.43</v>
      </c>
      <c r="AH18" s="1180">
        <f>VLOOKUP($A$18,'P&amp;L'!1:1048576,MATCH(CFS!AH$4,'P&amp;L'!4:4,FALSE),FALSE)</f>
        <v>-40.43</v>
      </c>
      <c r="AI18" s="1180">
        <f>VLOOKUP($A$18,'P&amp;L'!1:1048576,MATCH(CFS!AI$4,'P&amp;L'!4:4,FALSE),FALSE)</f>
        <v>-20.797450000000001</v>
      </c>
      <c r="AJ18" s="1180">
        <f>VLOOKUP($A$18,'P&amp;L'!1:1048576,MATCH(CFS!AJ$4,'P&amp;L'!4:4,FALSE),FALSE)</f>
        <v>-20.797450000000001</v>
      </c>
      <c r="AK18" s="1180">
        <f>VLOOKUP($A$18,'P&amp;L'!1:1048576,MATCH(CFS!AK$4,'P&amp;L'!4:4,FALSE),FALSE)</f>
        <v>-41.594900000000003</v>
      </c>
      <c r="AL18" s="1180">
        <f>VLOOKUP($A$18,'P&amp;L'!1:1048576,MATCH(CFS!AL$4,'P&amp;L'!4:4,FALSE),FALSE)</f>
        <v>-21.3973735</v>
      </c>
      <c r="AM18" s="1180">
        <f>VLOOKUP($A$18,'P&amp;L'!1:1048576,MATCH(CFS!AM$4,'P&amp;L'!4:4,FALSE),FALSE)</f>
        <v>-21.3973735</v>
      </c>
      <c r="AN18" s="1180">
        <f>VLOOKUP($A$18,'P&amp;L'!1:1048576,MATCH(CFS!AN$4,'P&amp;L'!4:4,FALSE),FALSE)</f>
        <v>-42.794747000000001</v>
      </c>
      <c r="AO18" s="1180">
        <f>VLOOKUP($A$18,'P&amp;L'!1:1048576,MATCH(CFS!AO$4,'P&amp;L'!4:4,FALSE),FALSE)</f>
        <v>-22.015294705000002</v>
      </c>
      <c r="AP18" s="1180">
        <f>VLOOKUP($A$18,'P&amp;L'!1:1048576,MATCH(CFS!AP$4,'P&amp;L'!4:4,FALSE),FALSE)</f>
        <v>-22.015294705000002</v>
      </c>
      <c r="AQ18" s="1180">
        <f>VLOOKUP($A$18,'P&amp;L'!1:1048576,MATCH(CFS!AQ$4,'P&amp;L'!4:4,FALSE),FALSE)</f>
        <v>-44.030589410000005</v>
      </c>
      <c r="AR18" s="12"/>
      <c r="AS18" s="13"/>
    </row>
    <row r="19" spans="1:45">
      <c r="A19" s="72" t="s">
        <v>282</v>
      </c>
      <c r="B19" s="844" t="s">
        <v>256</v>
      </c>
      <c r="C19" s="309">
        <f>VLOOKUP($A$19,'P&amp;L'!1:1048576,MATCH(CFS!C$4,'P&amp;L'!4:4,FALSE),FALSE)</f>
        <v>0.316</v>
      </c>
      <c r="D19" s="309">
        <f>VLOOKUP($A$19,'P&amp;L'!1:1048576,MATCH(CFS!D$4,'P&amp;L'!4:4,FALSE),FALSE)</f>
        <v>0.35599999999999998</v>
      </c>
      <c r="E19" s="309">
        <f>VLOOKUP($A$19,'P&amp;L'!1:1048576,MATCH(CFS!E$4,'P&amp;L'!4:4,FALSE),FALSE)</f>
        <v>0.56000000000000005</v>
      </c>
      <c r="F19" s="309">
        <f>VLOOKUP($A$19,'P&amp;L'!1:1048576,MATCH(CFS!F$4,'P&amp;L'!4:4,FALSE),FALSE)</f>
        <v>0.67200000000000004</v>
      </c>
      <c r="G19" s="309">
        <f>VLOOKUP($A$19,'P&amp;L'!1:1048576,MATCH(CFS!G$4,'P&amp;L'!4:4,FALSE),FALSE)</f>
        <v>1.302</v>
      </c>
      <c r="H19" s="309">
        <f>VLOOKUP($A$19,'P&amp;L'!1:1048576,MATCH(CFS!H$4,'P&amp;L'!4:4,FALSE),FALSE)</f>
        <v>1.008</v>
      </c>
      <c r="I19" s="309">
        <f>VLOOKUP($A$19,'P&amp;L'!1:1048576,MATCH(CFS!I$4,'P&amp;L'!4:4,FALSE),FALSE)</f>
        <v>1.5620000000000001</v>
      </c>
      <c r="J19" s="309">
        <f>VLOOKUP($A$19,'P&amp;L'!1:1048576,MATCH(CFS!J$4,'P&amp;L'!4:4,FALSE),FALSE)</f>
        <v>1.448</v>
      </c>
      <c r="K19" s="309">
        <f>VLOOKUP($A$19,'P&amp;L'!1:1048576,MATCH(CFS!K$4,'P&amp;L'!4:4,FALSE),FALSE)</f>
        <v>2.2360000000000002</v>
      </c>
      <c r="L19" s="309">
        <f>VLOOKUP($A$19,'P&amp;L'!1:1048576,MATCH(CFS!L$4,'P&amp;L'!4:4,FALSE),FALSE)</f>
        <v>0.56799999999999995</v>
      </c>
      <c r="M19" s="309">
        <f>VLOOKUP($A$19,'P&amp;L'!1:1048576,MATCH(CFS!M$4,'P&amp;L'!4:4,FALSE),FALSE)</f>
        <v>0.45500000000000002</v>
      </c>
      <c r="N19" s="309">
        <f>VLOOKUP($A$19,'P&amp;L'!1:1048576,MATCH(CFS!N$4,'P&amp;L'!4:4,FALSE),FALSE)</f>
        <v>0.40200000000000002</v>
      </c>
      <c r="O19" s="309">
        <f>VLOOKUP($A$19,'P&amp;L'!1:1048576,MATCH(CFS!O$4,'P&amp;L'!4:4,FALSE),FALSE)</f>
        <v>0.55200000000000005</v>
      </c>
      <c r="P19" s="309">
        <f>VLOOKUP($A$19,'P&amp;L'!1:1048576,MATCH(CFS!P$4,'P&amp;L'!4:4,FALSE),FALSE)</f>
        <v>0.52100000000000035</v>
      </c>
      <c r="Q19" s="309">
        <f>VLOOKUP($A$19,'P&amp;L'!1:1048576,MATCH(CFS!Q$4,'P&amp;L'!4:4,FALSE),FALSE)</f>
        <v>1.6999999999999993</v>
      </c>
      <c r="R19" s="309">
        <f>VLOOKUP($A$19,'P&amp;L'!1:1048576,MATCH(CFS!R$4,'P&amp;L'!4:4,FALSE),FALSE)</f>
        <v>0.5</v>
      </c>
      <c r="S19" s="309">
        <f>VLOOKUP($A$19,'P&amp;L'!1:1048576,MATCH(CFS!S$4,'P&amp;L'!4:4,FALSE),FALSE)</f>
        <v>0.7</v>
      </c>
      <c r="T19" s="729">
        <f>VLOOKUP($A$19,'P&amp;L'!1:1048576,MATCH(CFS!T$4,'P&amp;L'!4:4,FALSE),FALSE)</f>
        <v>1.1000000000000001</v>
      </c>
      <c r="U19" s="729">
        <f>VLOOKUP($A$19,'P&amp;L'!1:1048576,MATCH(CFS!U$4,'P&amp;L'!4:4,FALSE),FALSE)</f>
        <v>1.6</v>
      </c>
      <c r="V19" s="729">
        <f>VLOOKUP($A$19,'P&amp;L'!1:1048576,MATCH(CFS!V$4,'P&amp;L'!4:4,FALSE),FALSE)</f>
        <v>0.8</v>
      </c>
      <c r="W19" s="729">
        <f>VLOOKUP($A$19,'P&amp;L'!1:1048576,MATCH(CFS!W$4,'P&amp;L'!4:4,FALSE),FALSE)</f>
        <v>1.8</v>
      </c>
      <c r="X19" s="249">
        <f>VLOOKUP($A$19,'P&amp;L'!1:1048576,MATCH(CFS!X$4,'P&amp;L'!4:4,FALSE),FALSE)</f>
        <v>2.6000000000000005</v>
      </c>
      <c r="Y19" s="249">
        <f>VLOOKUP($A$19,'P&amp;L'!1:1048576,MATCH(CFS!Y$4,'P&amp;L'!4:4,FALSE),FALSE)</f>
        <v>4.4000000000000004</v>
      </c>
      <c r="Z19" s="309">
        <f>VLOOKUP($A$19,'P&amp;L'!1:1048576,MATCH(CFS!Z$4,'P&amp;L'!4:4,FALSE),FALSE)</f>
        <v>5.5</v>
      </c>
      <c r="AA19" s="249">
        <f>VLOOKUP($A$19,'P&amp;L'!1:1048576,MATCH(CFS!AA$4,'P&amp;L'!4:4,FALSE),FALSE)</f>
        <v>5.6999999999999993</v>
      </c>
      <c r="AB19" s="249">
        <f>VLOOKUP($A$19,'P&amp;L'!1:1048576,MATCH(CFS!AB$4,'P&amp;L'!4:4,FALSE),FALSE)</f>
        <v>11.2</v>
      </c>
      <c r="AC19" s="729">
        <f>VLOOKUP($A$19,'P&amp;L'!1:1048576,MATCH(CFS!AC$4,'P&amp;L'!4:4,FALSE),FALSE)</f>
        <v>6.8</v>
      </c>
      <c r="AD19" s="1180">
        <f>VLOOKUP($A$19,'P&amp;L'!1:1048576,MATCH(CFS!AD$4,'P&amp;L'!4:4,FALSE),FALSE)</f>
        <v>4.7</v>
      </c>
      <c r="AE19" s="249">
        <f>VLOOKUP($A$19,'P&amp;L'!1:1048576,MATCH(CFS!AE$4,'P&amp;L'!4:4,FALSE),FALSE)</f>
        <v>11.5</v>
      </c>
      <c r="AF19" s="1775">
        <f>VLOOKUP($A$19,'P&amp;L'!1:1048576,MATCH(CFS!AF$4,'P&amp;L'!4:4,FALSE),FALSE)</f>
        <v>3.8</v>
      </c>
      <c r="AG19" s="1180">
        <f>VLOOKUP($A$19,'P&amp;L'!1:1048576,MATCH(CFS!AG$4,'P&amp;L'!4:4,FALSE),FALSE)</f>
        <v>3.60110058264336</v>
      </c>
      <c r="AH19" s="1180">
        <f>VLOOKUP($A$19,'P&amp;L'!1:1048576,MATCH(CFS!AH$4,'P&amp;L'!4:4,FALSE),FALSE)</f>
        <v>7.4011005826433598</v>
      </c>
      <c r="AI19" s="1180">
        <f>VLOOKUP($A$19,'P&amp;L'!1:1048576,MATCH(CFS!AI$4,'P&amp;L'!4:4,FALSE),FALSE)</f>
        <v>2.6498830027660585</v>
      </c>
      <c r="AJ19" s="1180">
        <f>VLOOKUP($A$19,'P&amp;L'!1:1048576,MATCH(CFS!AJ$4,'P&amp;L'!4:4,FALSE),FALSE)</f>
        <v>2.9057689801432032</v>
      </c>
      <c r="AK19" s="1180">
        <f>VLOOKUP($A$19,'P&amp;L'!1:1048576,MATCH(CFS!AK$4,'P&amp;L'!4:4,FALSE),FALSE)</f>
        <v>5.5556519829092617</v>
      </c>
      <c r="AL19" s="1180">
        <f>VLOOKUP($A$19,'P&amp;L'!1:1048576,MATCH(CFS!AL$4,'P&amp;L'!4:4,FALSE),FALSE)</f>
        <v>2.7400210710503785</v>
      </c>
      <c r="AM19" s="1180">
        <f>VLOOKUP($A$19,'P&amp;L'!1:1048576,MATCH(CFS!AM$4,'P&amp;L'!4:4,FALSE),FALSE)</f>
        <v>2.9831773617224568</v>
      </c>
      <c r="AN19" s="1180">
        <f>VLOOKUP($A$19,'P&amp;L'!1:1048576,MATCH(CFS!AN$4,'P&amp;L'!4:4,FALSE),FALSE)</f>
        <v>5.7231984327728354</v>
      </c>
      <c r="AO19" s="1180">
        <f>VLOOKUP($A$19,'P&amp;L'!1:1048576,MATCH(CFS!AO$4,'P&amp;L'!4:4,FALSE),FALSE)</f>
        <v>2.1591130019367983</v>
      </c>
      <c r="AP19" s="1180">
        <f>VLOOKUP($A$19,'P&amp;L'!1:1048576,MATCH(CFS!AP$4,'P&amp;L'!4:4,FALSE),FALSE)</f>
        <v>2.3274586674364746</v>
      </c>
      <c r="AQ19" s="1180">
        <f>VLOOKUP($A$19,'P&amp;L'!1:1048576,MATCH(CFS!AQ$4,'P&amp;L'!4:4,FALSE),FALSE)</f>
        <v>4.4865716693732729</v>
      </c>
      <c r="AR19" s="12"/>
      <c r="AS19" s="13"/>
    </row>
    <row r="20" spans="1:45">
      <c r="A20" s="72" t="s">
        <v>386</v>
      </c>
      <c r="B20" s="844" t="s">
        <v>198</v>
      </c>
      <c r="C20" s="309">
        <f>-VLOOKUP($A$20,BS!1:1048576,MATCH(CFS!C$4,BS!4:4,FALSE),FALSE)</f>
        <v>0</v>
      </c>
      <c r="D20" s="309">
        <f>-VLOOKUP($A$20,BS!1:1048576,MATCH(CFS!D$4,BS!4:4,FALSE),FALSE)</f>
        <v>-4.7020000000000017</v>
      </c>
      <c r="E20" s="309">
        <f>-VLOOKUP($A$20,BS!1:1048576,MATCH(CFS!E$4,BS!4:4,FALSE),FALSE)</f>
        <v>-29.268999999999991</v>
      </c>
      <c r="F20" s="309">
        <f>-VLOOKUP($A$20,BS!1:1048576,MATCH(CFS!F$4,BS!4:4,FALSE),FALSE)</f>
        <v>-22.831000000000003</v>
      </c>
      <c r="G20" s="309">
        <f>-VLOOKUP($A$20,BS!1:1048576,MATCH(CFS!G$4,BS!4:4,FALSE),FALSE)</f>
        <v>-4.3219999999999885</v>
      </c>
      <c r="H20" s="309">
        <f>-VLOOKUP($A$20,BS!1:1048576,MATCH(CFS!H$4,BS!4:4,FALSE),FALSE)</f>
        <v>-47.790999999999983</v>
      </c>
      <c r="I20" s="309">
        <f>-VLOOKUP($A$20,BS!1:1048576,MATCH(CFS!I$4,BS!4:4,FALSE),FALSE)</f>
        <v>7.9319999999999595</v>
      </c>
      <c r="J20" s="309">
        <f>-VLOOKUP($A$20,BS!1:1048576,MATCH(CFS!J$4,BS!4:4,FALSE),FALSE)</f>
        <v>2.0899999999999892</v>
      </c>
      <c r="K20" s="309">
        <f>-VLOOKUP($A$20,BS!1:1048576,MATCH(CFS!K$4,BS!4:4,FALSE),FALSE)</f>
        <v>-54.842000000000013</v>
      </c>
      <c r="L20" s="309">
        <f>-VLOOKUP($A$20,BS!1:1048576,MATCH(CFS!L$4,BS!4:4,FALSE),FALSE)</f>
        <v>77.725000000000023</v>
      </c>
      <c r="M20" s="309">
        <f>-VLOOKUP($A$20,BS!1:1048576,MATCH(CFS!M$4,BS!4:4,FALSE),FALSE)</f>
        <v>-17.36099999999999</v>
      </c>
      <c r="N20" s="309">
        <f>-VLOOKUP($A$20,BS!1:1048576,MATCH(CFS!N$4,BS!4:4,FALSE),FALSE)</f>
        <v>-123.16500000000001</v>
      </c>
      <c r="O20" s="309">
        <f>-VLOOKUP($A$20,BS!1:1048576,MATCH(CFS!O$4,BS!4:4,FALSE),FALSE)</f>
        <v>-8.3559999999999803</v>
      </c>
      <c r="P20" s="309">
        <f>-VLOOKUP($A$20,BS!1:1048576,MATCH(CFS!P$4,BS!4:4,FALSE),FALSE)</f>
        <v>-24.835000000000008</v>
      </c>
      <c r="Q20" s="309">
        <f>-VLOOKUP($A$20,BS!1:1048576,MATCH(CFS!Q$4,BS!4:4,FALSE),FALSE)</f>
        <v>-149.11799999999999</v>
      </c>
      <c r="R20" s="309">
        <f>-VLOOKUP($A$20,BS!1:1048576,MATCH(CFS!R$4,BS!4:4,FALSE),FALSE)</f>
        <v>-21.80000000000004</v>
      </c>
      <c r="S20" s="309">
        <f>-VLOOKUP($A$20,BS!1:1048576,MATCH(CFS!S$4,BS!4:4,FALSE),FALSE)</f>
        <v>-37.899999999999949</v>
      </c>
      <c r="T20" s="729">
        <f>-VLOOKUP($A$20,BS!1:1048576,MATCH(CFS!T$4,BS!4:4,FALSE),FALSE)</f>
        <v>362.90000000000009</v>
      </c>
      <c r="U20" s="729">
        <f>-VLOOKUP($A$20,BS!1:1048576,MATCH(CFS!U$4,BS!4:4,FALSE),FALSE)</f>
        <v>-267.5</v>
      </c>
      <c r="V20" s="729">
        <f>-VLOOKUP($A$20,BS!1:1048576,MATCH(CFS!V$4,BS!4:4,FALSE),FALSE)</f>
        <v>-173.29999999999995</v>
      </c>
      <c r="W20" s="729">
        <f>-VLOOKUP($A$20,BS!1:1048576,MATCH(CFS!W$4,BS!4:4,FALSE),FALSE)</f>
        <v>208.99999999999991</v>
      </c>
      <c r="X20" s="249">
        <f>-VLOOKUP($A$20,BS!1:1048576,MATCH(CFS!X$4,BS!4:4,FALSE),FALSE)</f>
        <v>-189.60000000000008</v>
      </c>
      <c r="Y20" s="249">
        <f>-VLOOKUP($A$20,BS!1:1048576,MATCH(CFS!Y$4,BS!4:4,FALSE),FALSE)</f>
        <v>19.399999999999835</v>
      </c>
      <c r="Z20" s="309">
        <f>-VLOOKUP($A$20,BS!1:1048576,MATCH(CFS!Z$4,BS!4:4,FALSE),FALSE)</f>
        <v>189.50000000000017</v>
      </c>
      <c r="AA20" s="249">
        <f>-VLOOKUP($A$20,BS!1:1048576,MATCH(CFS!AA$4,BS!4:4,FALSE),FALSE)</f>
        <v>-170.50000000000003</v>
      </c>
      <c r="AB20" s="249">
        <f>-VLOOKUP($A$20,BS!1:1048576,MATCH(CFS!AB$4,BS!4:4,FALSE),FALSE)</f>
        <v>19.000000000000142</v>
      </c>
      <c r="AC20" s="729">
        <f>-VLOOKUP($A$20,BS!1:1048576,MATCH(CFS!AC$4,BS!4:4,FALSE),FALSE)</f>
        <v>147.89999999999975</v>
      </c>
      <c r="AD20" s="249">
        <f>-VLOOKUP($A$20,BS!1:1048576,MATCH(CFS!AD$4,BS!4:4,FALSE),FALSE)</f>
        <v>-239.09999999999985</v>
      </c>
      <c r="AE20" s="249">
        <f>-VLOOKUP($A$20,BS!1:1048576,MATCH(CFS!AE$4,BS!4:4,FALSE),FALSE)</f>
        <v>-91.200000000000045</v>
      </c>
      <c r="AF20" s="1775">
        <f>-VLOOKUP($A$20,BS!1:1048576,MATCH(CFS!AF$4,BS!4:4,FALSE),FALSE)</f>
        <v>141.69999999999985</v>
      </c>
      <c r="AG20" s="249">
        <f>-VLOOKUP($A$20,BS!1:1048576,MATCH(CFS!AG$4,BS!4:4,FALSE),FALSE)</f>
        <v>-175.6972453642837</v>
      </c>
      <c r="AH20" s="249">
        <f>-VLOOKUP($A$20,BS!1:1048576,MATCH(CFS!AH$4,BS!4:4,FALSE),FALSE)</f>
        <v>-33.997245364283856</v>
      </c>
      <c r="AI20" s="249">
        <f>-VLOOKUP($A$20,BS!1:1048576,MATCH(CFS!AI$4,BS!4:4,FALSE),FALSE)</f>
        <v>-88.478920642688422</v>
      </c>
      <c r="AJ20" s="249">
        <f>-VLOOKUP($A$20,BS!1:1048576,MATCH(CFS!AJ$4,BS!4:4,FALSE),FALSE)</f>
        <v>60.663303085638233</v>
      </c>
      <c r="AK20" s="249">
        <f>-VLOOKUP($A$20,BS!1:1048576,MATCH(CFS!AK$4,BS!4:4,FALSE),FALSE)</f>
        <v>-27.815617557050189</v>
      </c>
      <c r="AL20" s="249">
        <f>-VLOOKUP($A$20,BS!1:1048576,MATCH(CFS!AL$4,BS!4:4,FALSE),FALSE)</f>
        <v>-92.521343861869184</v>
      </c>
      <c r="AM20" s="249">
        <f>-VLOOKUP($A$20,BS!1:1048576,MATCH(CFS!AM$4,BS!4:4,FALSE),FALSE)</f>
        <v>64.734068737278363</v>
      </c>
      <c r="AN20" s="249">
        <f>-VLOOKUP($A$20,BS!1:1048576,MATCH(CFS!AN$4,BS!4:4,FALSE),FALSE)</f>
        <v>-27.78727512459082</v>
      </c>
      <c r="AO20" s="249">
        <f>-VLOOKUP($A$20,BS!1:1048576,MATCH(CFS!AO$4,BS!4:4,FALSE),FALSE)</f>
        <v>-96.444926143822869</v>
      </c>
      <c r="AP20" s="249">
        <f>-VLOOKUP($A$20,BS!1:1048576,MATCH(CFS!AP$4,BS!4:4,FALSE),FALSE)</f>
        <v>67.428185932928841</v>
      </c>
      <c r="AQ20" s="249">
        <f>-VLOOKUP($A$20,BS!1:1048576,MATCH(CFS!AQ$4,BS!4:4,FALSE),FALSE)</f>
        <v>-29.016740210894028</v>
      </c>
      <c r="AR20" s="12"/>
      <c r="AS20" s="13"/>
    </row>
    <row r="21" spans="1:45">
      <c r="A21" s="13"/>
      <c r="B21" s="844" t="s">
        <v>90</v>
      </c>
      <c r="C21" s="309">
        <f t="shared" ref="C21:V21" si="8">C13-SUM(C15:C20)</f>
        <v>8.9459999999999642</v>
      </c>
      <c r="D21" s="309">
        <f t="shared" si="8"/>
        <v>-0.86200000000000898</v>
      </c>
      <c r="E21" s="309">
        <f t="shared" si="8"/>
        <v>-7.5660000000000025</v>
      </c>
      <c r="F21" s="309">
        <f t="shared" si="8"/>
        <v>-2.2660000000000391</v>
      </c>
      <c r="G21" s="309">
        <f t="shared" si="8"/>
        <v>8.6640000000000654</v>
      </c>
      <c r="H21" s="309">
        <f t="shared" si="8"/>
        <v>1.1050000000001532</v>
      </c>
      <c r="I21" s="309">
        <f t="shared" si="8"/>
        <v>16.422999999999973</v>
      </c>
      <c r="J21" s="309">
        <f t="shared" si="8"/>
        <v>1.1270000000000095</v>
      </c>
      <c r="K21" s="309">
        <f t="shared" si="8"/>
        <v>21.536999999999836</v>
      </c>
      <c r="L21" s="309">
        <f t="shared" si="8"/>
        <v>-11.766999999999967</v>
      </c>
      <c r="M21" s="309">
        <f t="shared" si="8"/>
        <v>13.751000000000175</v>
      </c>
      <c r="N21" s="309">
        <f t="shared" si="8"/>
        <v>-8.3310000000001452</v>
      </c>
      <c r="O21" s="309">
        <f t="shared" si="8"/>
        <v>6.6900000000003104</v>
      </c>
      <c r="P21" s="309">
        <f t="shared" si="8"/>
        <v>13.035999999999945</v>
      </c>
      <c r="Q21" s="309">
        <f t="shared" si="8"/>
        <v>102.71799999999979</v>
      </c>
      <c r="R21" s="309">
        <f t="shared" si="8"/>
        <v>19.599999999999739</v>
      </c>
      <c r="S21" s="309">
        <f t="shared" si="8"/>
        <v>33.499999999999432</v>
      </c>
      <c r="T21" s="729">
        <f t="shared" si="8"/>
        <v>86.899999999999068</v>
      </c>
      <c r="U21" s="729">
        <f t="shared" si="8"/>
        <v>101.5999999999998</v>
      </c>
      <c r="V21" s="729">
        <f t="shared" si="8"/>
        <v>36.500000000000114</v>
      </c>
      <c r="W21" s="729">
        <f t="shared" ref="W21" si="9">W13-SUM(W15:W20)</f>
        <v>-17.199999999999932</v>
      </c>
      <c r="X21" s="249">
        <f>Y21-W21</f>
        <v>-34.599999999999682</v>
      </c>
      <c r="Y21" s="249">
        <f>Y13-SUM(Y15:Y20)</f>
        <v>-51.799999999999613</v>
      </c>
      <c r="Z21" s="309">
        <f>Z13-SUM(Z15:Z20)</f>
        <v>59.499999999999886</v>
      </c>
      <c r="AA21" s="249">
        <f>AB21-Z21</f>
        <v>-1.7999999999991587</v>
      </c>
      <c r="AB21" s="249">
        <f>AB13-SUM(AB15:AB20)</f>
        <v>57.700000000000728</v>
      </c>
      <c r="AC21" s="249">
        <f>AC13-SUM(AC15:AC20)</f>
        <v>96.200000000000045</v>
      </c>
      <c r="AD21" s="1693">
        <f>AD13-SUM(AD15:AD20)</f>
        <v>-15.000000000000654</v>
      </c>
      <c r="AE21" s="249">
        <f>AE13-SUM(AE15:AE20)</f>
        <v>81.199999999999477</v>
      </c>
      <c r="AF21" s="1300">
        <f>AF13-SUM(AF15:AF20)</f>
        <v>26.500000000000114</v>
      </c>
      <c r="AG21" s="1698">
        <v>0</v>
      </c>
      <c r="AH21" s="1698">
        <f>+AF21+AG21</f>
        <v>26.500000000000114</v>
      </c>
      <c r="AI21" s="1698">
        <f t="shared" ref="AI21" si="10">AK21*0.5</f>
        <v>0</v>
      </c>
      <c r="AJ21" s="1698">
        <f t="shared" ref="AJ21" si="11">AK21-AI21</f>
        <v>0</v>
      </c>
      <c r="AK21" s="1698">
        <v>0</v>
      </c>
      <c r="AL21" s="1698">
        <f t="shared" ref="AL21" si="12">AN21*0.5</f>
        <v>0</v>
      </c>
      <c r="AM21" s="1698">
        <f t="shared" ref="AM21" si="13">AN21-AL21</f>
        <v>0</v>
      </c>
      <c r="AN21" s="249">
        <f t="shared" ref="AN21" si="14">AK21*1.03</f>
        <v>0</v>
      </c>
      <c r="AO21" s="249">
        <f t="shared" ref="AO21" si="15">AQ21*0.5</f>
        <v>0</v>
      </c>
      <c r="AP21" s="249">
        <f t="shared" ref="AP21" si="16">AQ21-AO21</f>
        <v>0</v>
      </c>
      <c r="AQ21" s="249">
        <f t="shared" ref="AQ21" si="17">AN21*1.03</f>
        <v>0</v>
      </c>
      <c r="AR21" s="12"/>
      <c r="AS21" s="13"/>
    </row>
    <row r="22" spans="1:45">
      <c r="A22" s="72" t="s">
        <v>408</v>
      </c>
      <c r="B22" s="28" t="s">
        <v>171</v>
      </c>
      <c r="C22" s="29">
        <f t="shared" ref="C22:P22" si="18">C13</f>
        <v>23.645999999999965</v>
      </c>
      <c r="D22" s="29">
        <f t="shared" si="18"/>
        <v>14.792999999999989</v>
      </c>
      <c r="E22" s="29">
        <f t="shared" si="18"/>
        <v>-3.4169999999999945</v>
      </c>
      <c r="F22" s="29">
        <f t="shared" si="18"/>
        <v>15.620999999999954</v>
      </c>
      <c r="G22" s="29">
        <f t="shared" si="18"/>
        <v>64.029000000000082</v>
      </c>
      <c r="H22" s="29">
        <f t="shared" si="18"/>
        <v>42.437000000000161</v>
      </c>
      <c r="I22" s="29">
        <f t="shared" si="18"/>
        <v>145.57699999999991</v>
      </c>
      <c r="J22" s="29">
        <f t="shared" si="18"/>
        <v>152.10300000000001</v>
      </c>
      <c r="K22" s="29">
        <f t="shared" si="18"/>
        <v>109.94499999999982</v>
      </c>
      <c r="L22" s="29">
        <f t="shared" si="18"/>
        <v>215.00700000000006</v>
      </c>
      <c r="M22" s="29">
        <f t="shared" si="18"/>
        <v>156.4100000000002</v>
      </c>
      <c r="N22" s="29">
        <f t="shared" si="18"/>
        <v>41.325999999999851</v>
      </c>
      <c r="O22" s="29">
        <f t="shared" si="18"/>
        <v>179.89600000000033</v>
      </c>
      <c r="P22" s="29">
        <f t="shared" si="18"/>
        <v>185.13999999999993</v>
      </c>
      <c r="Q22" s="29">
        <f t="shared" ref="Q22:AK22" si="19">SUM(Q14:Q21)</f>
        <v>190.5999999999998</v>
      </c>
      <c r="R22" s="29">
        <f t="shared" si="19"/>
        <v>292.09999999999962</v>
      </c>
      <c r="S22" s="29">
        <f t="shared" si="19"/>
        <v>301.59999999999945</v>
      </c>
      <c r="T22" s="538">
        <f t="shared" si="19"/>
        <v>981.29999999999916</v>
      </c>
      <c r="U22" s="538">
        <f t="shared" si="19"/>
        <v>558.69999999999982</v>
      </c>
      <c r="V22" s="538">
        <f t="shared" si="19"/>
        <v>627.4</v>
      </c>
      <c r="W22" s="1151">
        <f t="shared" ref="W22:AE22" si="20">SUM(W14:W21)</f>
        <v>635.1</v>
      </c>
      <c r="X22" s="538">
        <f t="shared" si="20"/>
        <v>81.300000000000296</v>
      </c>
      <c r="Y22" s="1284">
        <f t="shared" si="20"/>
        <v>716.40000000000032</v>
      </c>
      <c r="Z22" s="1284">
        <f t="shared" si="20"/>
        <v>631.80000000000007</v>
      </c>
      <c r="AA22" s="538">
        <f t="shared" si="20"/>
        <v>120.80000000000067</v>
      </c>
      <c r="AB22" s="1542">
        <f t="shared" si="20"/>
        <v>752.60000000000082</v>
      </c>
      <c r="AC22" s="1542">
        <f t="shared" si="20"/>
        <v>655.5999999999998</v>
      </c>
      <c r="AD22" s="1542">
        <f t="shared" si="19"/>
        <v>55.99999999999946</v>
      </c>
      <c r="AE22" s="1542">
        <f t="shared" si="20"/>
        <v>711.59999999999923</v>
      </c>
      <c r="AF22" s="1429">
        <f t="shared" si="19"/>
        <v>609.1</v>
      </c>
      <c r="AG22" s="538">
        <f t="shared" si="19"/>
        <v>155.63730041180227</v>
      </c>
      <c r="AH22" s="538">
        <f t="shared" si="19"/>
        <v>764.73730041180227</v>
      </c>
      <c r="AI22" s="538">
        <f t="shared" si="19"/>
        <v>360.85628123545064</v>
      </c>
      <c r="AJ22" s="538">
        <f t="shared" si="19"/>
        <v>398.01271733649281</v>
      </c>
      <c r="AK22" s="538">
        <f t="shared" si="19"/>
        <v>758.86899857194339</v>
      </c>
      <c r="AL22" s="538">
        <f t="shared" ref="AL22:AQ22" si="21">SUM(AL14:AL21)</f>
        <v>376.71730098652682</v>
      </c>
      <c r="AM22" s="538">
        <f t="shared" si="21"/>
        <v>415.23428068647559</v>
      </c>
      <c r="AN22" s="538">
        <f t="shared" si="21"/>
        <v>791.95158167300247</v>
      </c>
      <c r="AO22" s="538">
        <f t="shared" si="21"/>
        <v>392.1049464967158</v>
      </c>
      <c r="AP22" s="538">
        <f t="shared" si="21"/>
        <v>431.77429637891697</v>
      </c>
      <c r="AQ22" s="538">
        <f t="shared" si="21"/>
        <v>823.87924287563249</v>
      </c>
      <c r="AR22" s="12"/>
      <c r="AS22" s="30"/>
    </row>
    <row r="23" spans="1:45" ht="7.5" customHeight="1">
      <c r="A23" s="72"/>
      <c r="B23" s="844"/>
      <c r="C23" s="1091"/>
      <c r="D23" s="1091"/>
      <c r="E23" s="1091"/>
      <c r="F23" s="1091"/>
      <c r="G23" s="1091"/>
      <c r="H23" s="1091"/>
      <c r="I23" s="1091"/>
      <c r="J23" s="1091"/>
      <c r="K23" s="309"/>
      <c r="L23" s="309"/>
      <c r="M23" s="309"/>
      <c r="N23" s="309"/>
      <c r="O23" s="309"/>
      <c r="P23" s="309"/>
      <c r="Q23" s="309"/>
      <c r="R23" s="309"/>
      <c r="S23" s="309"/>
      <c r="T23" s="729"/>
      <c r="U23" s="729"/>
      <c r="V23" s="729"/>
      <c r="W23" s="729"/>
      <c r="X23" s="249"/>
      <c r="Y23" s="249"/>
      <c r="Z23" s="729"/>
      <c r="AA23" s="249"/>
      <c r="AB23" s="249"/>
      <c r="AC23" s="249"/>
      <c r="AD23" s="249"/>
      <c r="AE23" s="249"/>
      <c r="AF23" s="1300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12"/>
      <c r="AS23" s="13"/>
    </row>
    <row r="24" spans="1:45">
      <c r="A24" s="13"/>
      <c r="B24" s="867" t="s">
        <v>172</v>
      </c>
      <c r="C24" s="847"/>
      <c r="D24" s="847"/>
      <c r="E24" s="847"/>
      <c r="F24" s="847"/>
      <c r="G24" s="847"/>
      <c r="H24" s="847"/>
      <c r="I24" s="847"/>
      <c r="J24" s="847"/>
      <c r="K24" s="847"/>
      <c r="L24" s="847"/>
      <c r="M24" s="847"/>
      <c r="N24" s="847"/>
      <c r="O24" s="847"/>
      <c r="P24" s="847"/>
      <c r="Q24" s="847"/>
      <c r="R24" s="847"/>
      <c r="S24" s="847"/>
      <c r="T24" s="775"/>
      <c r="U24" s="775"/>
      <c r="V24" s="775"/>
      <c r="W24" s="775"/>
      <c r="X24" s="249"/>
      <c r="Y24" s="775"/>
      <c r="Z24" s="775"/>
      <c r="AA24" s="249"/>
      <c r="AB24" s="775"/>
      <c r="AC24" s="249"/>
      <c r="AD24" s="249"/>
      <c r="AE24" s="249"/>
      <c r="AF24" s="1300"/>
      <c r="AG24" s="249"/>
      <c r="AH24" s="249"/>
      <c r="AI24" s="249"/>
      <c r="AJ24" s="249"/>
      <c r="AK24" s="249"/>
      <c r="AL24" s="249"/>
      <c r="AM24" s="249"/>
      <c r="AN24" s="249"/>
      <c r="AO24" s="249"/>
      <c r="AP24" s="249"/>
      <c r="AQ24" s="249"/>
      <c r="AR24" s="12"/>
      <c r="AS24" s="13"/>
    </row>
    <row r="25" spans="1:45">
      <c r="A25" s="13"/>
      <c r="B25" s="844" t="s">
        <v>365</v>
      </c>
      <c r="C25" s="847">
        <v>0.47799999999999998</v>
      </c>
      <c r="D25" s="847">
        <v>0.14499999999999999</v>
      </c>
      <c r="E25" s="847">
        <v>5.1999999999999998E-2</v>
      </c>
      <c r="F25" s="847">
        <v>0.2</v>
      </c>
      <c r="G25" s="847">
        <v>0.18</v>
      </c>
      <c r="H25" s="847">
        <v>0.23400000000000001</v>
      </c>
      <c r="I25" s="847">
        <v>0.59099999999999997</v>
      </c>
      <c r="J25" s="847">
        <v>1.0629999999999999</v>
      </c>
      <c r="K25" s="847">
        <v>1.1439999999999999</v>
      </c>
      <c r="L25" s="847">
        <v>1.2569999999999999</v>
      </c>
      <c r="M25" s="847">
        <v>1.2030000000000001</v>
      </c>
      <c r="N25" s="847">
        <v>0.67400000000000004</v>
      </c>
      <c r="O25" s="847">
        <v>0.496</v>
      </c>
      <c r="P25" s="847">
        <v>0.34200000000000003</v>
      </c>
      <c r="Q25" s="847">
        <v>0.2</v>
      </c>
      <c r="R25" s="847">
        <v>0.4</v>
      </c>
      <c r="S25" s="847">
        <v>0.2</v>
      </c>
      <c r="T25" s="775">
        <v>0.1</v>
      </c>
      <c r="U25" s="775">
        <v>0</v>
      </c>
      <c r="V25" s="775">
        <v>0.2</v>
      </c>
      <c r="W25" s="775">
        <v>0.1</v>
      </c>
      <c r="X25" s="732">
        <f>+Y25-W25</f>
        <v>0.19999999999999998</v>
      </c>
      <c r="Y25" s="775">
        <v>0.3</v>
      </c>
      <c r="Z25" s="775">
        <v>0.1</v>
      </c>
      <c r="AA25" s="732">
        <f>+AB25-Z25</f>
        <v>0</v>
      </c>
      <c r="AB25" s="1894">
        <v>0.1</v>
      </c>
      <c r="AC25" s="775">
        <v>0</v>
      </c>
      <c r="AD25" s="1328">
        <f>+AE25-AC25</f>
        <v>0.2</v>
      </c>
      <c r="AE25" s="1179">
        <v>0.2</v>
      </c>
      <c r="AF25" s="1797">
        <v>0</v>
      </c>
      <c r="AG25" s="1328">
        <v>0</v>
      </c>
      <c r="AH25" s="1328">
        <f t="shared" ref="AH25" si="22">+AF25+AG25</f>
        <v>0</v>
      </c>
      <c r="AI25" s="1328">
        <v>0</v>
      </c>
      <c r="AJ25" s="1328">
        <v>0</v>
      </c>
      <c r="AK25" s="1328">
        <f t="shared" ref="AK25" si="23">+AI25+AJ25</f>
        <v>0</v>
      </c>
      <c r="AL25" s="1328">
        <v>0</v>
      </c>
      <c r="AM25" s="1328">
        <v>0</v>
      </c>
      <c r="AN25" s="1328">
        <f t="shared" ref="AN25" si="24">+AL25+AM25</f>
        <v>0</v>
      </c>
      <c r="AO25" s="1328">
        <v>0</v>
      </c>
      <c r="AP25" s="1328">
        <v>0</v>
      </c>
      <c r="AQ25" s="1328">
        <f t="shared" ref="AQ25" si="25">+AO25+AP25</f>
        <v>0</v>
      </c>
      <c r="AR25" s="12"/>
      <c r="AS25" s="13"/>
    </row>
    <row r="26" spans="1:45">
      <c r="A26" s="72" t="s">
        <v>409</v>
      </c>
      <c r="B26" s="844" t="s">
        <v>252</v>
      </c>
      <c r="C26" s="847">
        <v>-6.2530000000000001</v>
      </c>
      <c r="D26" s="847">
        <v>-10.282</v>
      </c>
      <c r="E26" s="847">
        <v>-15.811999999999999</v>
      </c>
      <c r="F26" s="847">
        <v>-29.045999999999999</v>
      </c>
      <c r="G26" s="847">
        <v>-34.405999999999999</v>
      </c>
      <c r="H26" s="847">
        <v>-51.573</v>
      </c>
      <c r="I26" s="847">
        <v>-44.444000000000003</v>
      </c>
      <c r="J26" s="847">
        <v>-54.46</v>
      </c>
      <c r="K26" s="847">
        <v>-45.063000000000002</v>
      </c>
      <c r="L26" s="847">
        <v>-46.078000000000003</v>
      </c>
      <c r="M26" s="847">
        <v>-35.307000000000002</v>
      </c>
      <c r="N26" s="847">
        <v>-35.914000000000001</v>
      </c>
      <c r="O26" s="847">
        <v>-42.466000000000001</v>
      </c>
      <c r="P26" s="847">
        <v>-52.343000000000004</v>
      </c>
      <c r="Q26" s="847">
        <v>-49.1</v>
      </c>
      <c r="R26" s="847">
        <v>-54.4</v>
      </c>
      <c r="S26" s="847">
        <v>-59.3</v>
      </c>
      <c r="T26" s="775">
        <v>-43.1</v>
      </c>
      <c r="U26" s="775">
        <v>-57.7</v>
      </c>
      <c r="V26" s="775">
        <v>-57.6</v>
      </c>
      <c r="W26" s="775">
        <v>-34.1</v>
      </c>
      <c r="X26" s="249">
        <f>+Y26-W26</f>
        <v>-37.9</v>
      </c>
      <c r="Y26" s="775">
        <v>-72</v>
      </c>
      <c r="Z26" s="775">
        <v>-36.700000000000003</v>
      </c>
      <c r="AA26" s="249">
        <f>+AB26-Z26</f>
        <v>-37.799999999999997</v>
      </c>
      <c r="AB26" s="775">
        <v>-74.5</v>
      </c>
      <c r="AC26" s="1894">
        <v>-38.700000000000003</v>
      </c>
      <c r="AD26" s="1180">
        <f>+AE26-AC26</f>
        <v>-43.599999999999994</v>
      </c>
      <c r="AE26" s="775">
        <v>-82.3</v>
      </c>
      <c r="AF26" s="1773">
        <v>-46.9</v>
      </c>
      <c r="AG26" s="1180">
        <f>-Drivers!AR412</f>
        <v>-42.308009823927655</v>
      </c>
      <c r="AH26" s="1180">
        <f>-Drivers!AS412</f>
        <v>-89.208009823927654</v>
      </c>
      <c r="AI26" s="1180">
        <f>-Drivers!AT412</f>
        <v>-49.381378820547326</v>
      </c>
      <c r="AJ26" s="1180">
        <f>-Drivers!AU412</f>
        <v>-49.381378820547326</v>
      </c>
      <c r="AK26" s="1180">
        <f>-Drivers!AV412</f>
        <v>-98.762757641094652</v>
      </c>
      <c r="AL26" s="1180">
        <f>-Drivers!AW412</f>
        <v>-51.456429662202247</v>
      </c>
      <c r="AM26" s="1180">
        <f>-Drivers!AX412</f>
        <v>-51.456429662202247</v>
      </c>
      <c r="AN26" s="1180">
        <f>-Drivers!AY412</f>
        <v>-102.91285932440449</v>
      </c>
      <c r="AO26" s="1180">
        <f>-Drivers!AZ412</f>
        <v>-53.6212310067814</v>
      </c>
      <c r="AP26" s="1180">
        <f>-Drivers!BA412</f>
        <v>-53.6212310067814</v>
      </c>
      <c r="AQ26" s="1180">
        <f>-Drivers!BB412</f>
        <v>-107.2424620135628</v>
      </c>
      <c r="AR26" s="12"/>
      <c r="AS26" s="13"/>
    </row>
    <row r="27" spans="1:45">
      <c r="A27" s="72"/>
      <c r="B27" s="844" t="s">
        <v>587</v>
      </c>
      <c r="C27" s="847"/>
      <c r="D27" s="847">
        <v>-3.5430000000000001</v>
      </c>
      <c r="E27" s="847"/>
      <c r="F27" s="847">
        <v>0</v>
      </c>
      <c r="G27" s="847">
        <v>0</v>
      </c>
      <c r="H27" s="847">
        <v>0</v>
      </c>
      <c r="I27" s="847">
        <v>0</v>
      </c>
      <c r="J27" s="847">
        <v>-2.3879999999999999</v>
      </c>
      <c r="K27" s="847">
        <v>0</v>
      </c>
      <c r="L27" s="847">
        <v>0</v>
      </c>
      <c r="M27" s="847">
        <v>0</v>
      </c>
      <c r="N27" s="847">
        <v>0</v>
      </c>
      <c r="O27" s="847">
        <v>0</v>
      </c>
      <c r="P27" s="847">
        <v>0</v>
      </c>
      <c r="Q27" s="847"/>
      <c r="R27" s="847">
        <v>0</v>
      </c>
      <c r="S27" s="847">
        <v>0</v>
      </c>
      <c r="T27" s="775">
        <v>0</v>
      </c>
      <c r="U27" s="775">
        <v>0</v>
      </c>
      <c r="V27" s="775">
        <v>0</v>
      </c>
      <c r="W27" s="775">
        <v>0</v>
      </c>
      <c r="X27" s="1179">
        <f>Y27-W27</f>
        <v>0</v>
      </c>
      <c r="Y27" s="775">
        <v>0</v>
      </c>
      <c r="Z27" s="775">
        <v>0</v>
      </c>
      <c r="AA27" s="1179">
        <f>AB27-Z27</f>
        <v>0</v>
      </c>
      <c r="AB27" s="775">
        <v>0</v>
      </c>
      <c r="AC27" s="775">
        <v>0</v>
      </c>
      <c r="AD27" s="1328">
        <f>AE27-AC27</f>
        <v>0</v>
      </c>
      <c r="AE27" s="775">
        <v>0</v>
      </c>
      <c r="AF27" s="1797">
        <v>0</v>
      </c>
      <c r="AG27" s="1328">
        <f>AH27-AF27</f>
        <v>0</v>
      </c>
      <c r="AH27" s="1328">
        <v>0</v>
      </c>
      <c r="AI27" s="1328">
        <v>0</v>
      </c>
      <c r="AJ27" s="1328">
        <f>AK27-AI27</f>
        <v>0</v>
      </c>
      <c r="AK27" s="1328">
        <v>0</v>
      </c>
      <c r="AL27" s="1328">
        <v>0</v>
      </c>
      <c r="AM27" s="1328">
        <f>AN27-AL27</f>
        <v>0</v>
      </c>
      <c r="AN27" s="1328">
        <v>0</v>
      </c>
      <c r="AO27" s="1328">
        <v>0</v>
      </c>
      <c r="AP27" s="1328">
        <f>AQ27-AO27</f>
        <v>0</v>
      </c>
      <c r="AQ27" s="1328">
        <v>0</v>
      </c>
      <c r="AR27" s="12"/>
      <c r="AS27" s="13"/>
    </row>
    <row r="28" spans="1:45">
      <c r="A28" s="13"/>
      <c r="B28" s="844" t="s">
        <v>588</v>
      </c>
      <c r="C28" s="847">
        <v>-6.0000000000000001E-3</v>
      </c>
      <c r="D28" s="847"/>
      <c r="E28" s="847">
        <f>-0.45-21.66</f>
        <v>-22.11</v>
      </c>
      <c r="F28" s="847">
        <v>0</v>
      </c>
      <c r="G28" s="847">
        <v>-19.231000000000002</v>
      </c>
      <c r="H28" s="847">
        <v>-8.1850000000000005</v>
      </c>
      <c r="I28" s="847">
        <v>0</v>
      </c>
      <c r="J28" s="847">
        <v>0</v>
      </c>
      <c r="K28" s="847">
        <v>0</v>
      </c>
      <c r="L28" s="847">
        <v>0</v>
      </c>
      <c r="M28" s="847">
        <v>-4.1970000000000001</v>
      </c>
      <c r="N28" s="847">
        <v>0</v>
      </c>
      <c r="O28" s="847">
        <v>0</v>
      </c>
      <c r="P28" s="847">
        <v>0</v>
      </c>
      <c r="Q28" s="847">
        <v>-836.6</v>
      </c>
      <c r="R28" s="847">
        <v>0</v>
      </c>
      <c r="S28" s="847">
        <v>0</v>
      </c>
      <c r="T28" s="775">
        <v>0</v>
      </c>
      <c r="U28" s="775">
        <v>0</v>
      </c>
      <c r="V28" s="775">
        <v>0</v>
      </c>
      <c r="W28" s="775">
        <v>0</v>
      </c>
      <c r="X28" s="1179">
        <f t="shared" ref="X28:X29" si="26">Y28-W28</f>
        <v>0</v>
      </c>
      <c r="Y28" s="775">
        <v>0</v>
      </c>
      <c r="Z28" s="775">
        <v>0</v>
      </c>
      <c r="AA28" s="1179">
        <f t="shared" ref="AA28:AA29" si="27">AB28-Z28</f>
        <v>0</v>
      </c>
      <c r="AB28" s="775">
        <v>0</v>
      </c>
      <c r="AC28" s="1894">
        <v>-41</v>
      </c>
      <c r="AD28" s="1328">
        <f t="shared" ref="AD28:AD29" si="28">AE28-AC28</f>
        <v>0.20000000000000284</v>
      </c>
      <c r="AE28" s="775">
        <v>-40.799999999999997</v>
      </c>
      <c r="AF28" s="1327">
        <v>0</v>
      </c>
      <c r="AG28" s="1328">
        <f t="shared" ref="AG28:AG29" si="29">AH28-AF28</f>
        <v>0</v>
      </c>
      <c r="AH28" s="1179">
        <v>0</v>
      </c>
      <c r="AI28" s="1179">
        <v>0</v>
      </c>
      <c r="AJ28" s="1328">
        <f t="shared" ref="AJ28:AJ29" si="30">AK28-AI28</f>
        <v>0</v>
      </c>
      <c r="AK28" s="1179">
        <v>0</v>
      </c>
      <c r="AL28" s="1179">
        <v>0</v>
      </c>
      <c r="AM28" s="1328">
        <f t="shared" ref="AM28:AM29" si="31">AN28-AL28</f>
        <v>0</v>
      </c>
      <c r="AN28" s="1179">
        <v>0</v>
      </c>
      <c r="AO28" s="1179">
        <v>0</v>
      </c>
      <c r="AP28" s="1328">
        <f t="shared" ref="AP28:AP29" si="32">AQ28-AO28</f>
        <v>0</v>
      </c>
      <c r="AQ28" s="1179">
        <v>0</v>
      </c>
      <c r="AR28" s="12"/>
      <c r="AS28" s="13"/>
    </row>
    <row r="29" spans="1:45">
      <c r="A29" s="13"/>
      <c r="B29" s="844" t="s">
        <v>583</v>
      </c>
      <c r="C29" s="847"/>
      <c r="D29" s="847"/>
      <c r="E29" s="847">
        <v>0</v>
      </c>
      <c r="F29" s="847">
        <v>0</v>
      </c>
      <c r="G29" s="847">
        <v>0</v>
      </c>
      <c r="H29" s="847">
        <v>0</v>
      </c>
      <c r="I29" s="847">
        <v>0</v>
      </c>
      <c r="J29" s="847">
        <v>0</v>
      </c>
      <c r="K29" s="847">
        <v>0</v>
      </c>
      <c r="L29" s="847">
        <v>0</v>
      </c>
      <c r="M29" s="847">
        <v>0</v>
      </c>
      <c r="N29" s="847">
        <v>-3</v>
      </c>
      <c r="O29" s="847">
        <v>-2.4</v>
      </c>
      <c r="P29" s="847">
        <v>0</v>
      </c>
      <c r="Q29" s="847">
        <v>0</v>
      </c>
      <c r="R29" s="847">
        <v>0</v>
      </c>
      <c r="S29" s="847">
        <v>0</v>
      </c>
      <c r="T29" s="775">
        <v>0</v>
      </c>
      <c r="U29" s="775">
        <v>0</v>
      </c>
      <c r="V29" s="775">
        <v>0</v>
      </c>
      <c r="W29" s="775">
        <v>0</v>
      </c>
      <c r="X29" s="1179">
        <f t="shared" si="26"/>
        <v>0</v>
      </c>
      <c r="Y29" s="775">
        <v>0</v>
      </c>
      <c r="Z29" s="775">
        <v>0</v>
      </c>
      <c r="AA29" s="1179">
        <f t="shared" si="27"/>
        <v>0</v>
      </c>
      <c r="AB29" s="775">
        <v>0</v>
      </c>
      <c r="AC29" s="775">
        <v>0</v>
      </c>
      <c r="AD29" s="1328">
        <f t="shared" si="28"/>
        <v>0</v>
      </c>
      <c r="AE29" s="775">
        <v>0</v>
      </c>
      <c r="AF29" s="1327">
        <v>0</v>
      </c>
      <c r="AG29" s="1328">
        <f t="shared" si="29"/>
        <v>0</v>
      </c>
      <c r="AH29" s="1179">
        <v>0</v>
      </c>
      <c r="AI29" s="1179">
        <v>0</v>
      </c>
      <c r="AJ29" s="1328">
        <f t="shared" si="30"/>
        <v>0</v>
      </c>
      <c r="AK29" s="1179">
        <v>0</v>
      </c>
      <c r="AL29" s="1179">
        <v>0</v>
      </c>
      <c r="AM29" s="1328">
        <f t="shared" si="31"/>
        <v>0</v>
      </c>
      <c r="AN29" s="1179">
        <v>0</v>
      </c>
      <c r="AO29" s="1179">
        <v>0</v>
      </c>
      <c r="AP29" s="1328">
        <f t="shared" si="32"/>
        <v>0</v>
      </c>
      <c r="AQ29" s="1179">
        <v>0</v>
      </c>
      <c r="AR29" s="12"/>
      <c r="AS29" s="13"/>
    </row>
    <row r="30" spans="1:45">
      <c r="A30" s="13"/>
      <c r="B30" s="844" t="s">
        <v>925</v>
      </c>
      <c r="C30" s="847"/>
      <c r="D30" s="847"/>
      <c r="E30" s="847"/>
      <c r="F30" s="847"/>
      <c r="G30" s="847"/>
      <c r="H30" s="847"/>
      <c r="I30" s="847"/>
      <c r="J30" s="847"/>
      <c r="K30" s="847"/>
      <c r="L30" s="847"/>
      <c r="M30" s="847"/>
      <c r="N30" s="847"/>
      <c r="O30" s="847"/>
      <c r="P30" s="847"/>
      <c r="Q30" s="847"/>
      <c r="R30" s="847"/>
      <c r="S30" s="847"/>
      <c r="T30" s="775"/>
      <c r="U30" s="775"/>
      <c r="V30" s="775"/>
      <c r="W30" s="775"/>
      <c r="X30" s="1214">
        <v>0</v>
      </c>
      <c r="Y30" s="775">
        <v>0</v>
      </c>
      <c r="Z30" s="775"/>
      <c r="AA30" s="1214">
        <v>0</v>
      </c>
      <c r="AB30" s="775">
        <v>0</v>
      </c>
      <c r="AC30" s="775"/>
      <c r="AD30" s="1328">
        <v>0</v>
      </c>
      <c r="AE30" s="775"/>
      <c r="AF30" s="1327"/>
      <c r="AG30" s="1328"/>
      <c r="AH30" s="1179"/>
      <c r="AI30" s="1179"/>
      <c r="AJ30" s="1328"/>
      <c r="AK30" s="1179"/>
      <c r="AL30" s="1179"/>
      <c r="AM30" s="1328"/>
      <c r="AN30" s="1179"/>
      <c r="AO30" s="1179"/>
      <c r="AP30" s="1328"/>
      <c r="AQ30" s="1179"/>
      <c r="AR30" s="12"/>
      <c r="AS30" s="13"/>
    </row>
    <row r="31" spans="1:45">
      <c r="A31" s="30"/>
      <c r="B31" s="158" t="s">
        <v>173</v>
      </c>
      <c r="C31" s="29">
        <f t="shared" ref="C31:O31" si="33">SUM(C23:C29)</f>
        <v>-5.7810000000000006</v>
      </c>
      <c r="D31" s="29">
        <f t="shared" si="33"/>
        <v>-13.68</v>
      </c>
      <c r="E31" s="29">
        <f t="shared" si="33"/>
        <v>-37.869999999999997</v>
      </c>
      <c r="F31" s="29">
        <f t="shared" si="33"/>
        <v>-28.846</v>
      </c>
      <c r="G31" s="29">
        <f t="shared" si="33"/>
        <v>-53.457000000000001</v>
      </c>
      <c r="H31" s="29">
        <f t="shared" si="33"/>
        <v>-59.524000000000001</v>
      </c>
      <c r="I31" s="29">
        <f t="shared" si="33"/>
        <v>-43.853000000000002</v>
      </c>
      <c r="J31" s="29">
        <f t="shared" si="33"/>
        <v>-55.784999999999997</v>
      </c>
      <c r="K31" s="29">
        <f t="shared" si="33"/>
        <v>-43.919000000000004</v>
      </c>
      <c r="L31" s="29">
        <f t="shared" si="33"/>
        <v>-44.821000000000005</v>
      </c>
      <c r="M31" s="29">
        <f t="shared" si="33"/>
        <v>-38.301000000000002</v>
      </c>
      <c r="N31" s="29">
        <f t="shared" si="33"/>
        <v>-38.24</v>
      </c>
      <c r="O31" s="29">
        <f t="shared" si="33"/>
        <v>-44.37</v>
      </c>
      <c r="P31" s="29">
        <f t="shared" ref="P31:U31" si="34">SUM(P23:P29)</f>
        <v>-52.001000000000005</v>
      </c>
      <c r="Q31" s="29">
        <f t="shared" si="34"/>
        <v>-885.5</v>
      </c>
      <c r="R31" s="29">
        <f t="shared" si="34"/>
        <v>-54</v>
      </c>
      <c r="S31" s="29">
        <f t="shared" si="34"/>
        <v>-59.099999999999994</v>
      </c>
      <c r="T31" s="538">
        <f t="shared" si="34"/>
        <v>-43</v>
      </c>
      <c r="U31" s="538">
        <f t="shared" si="34"/>
        <v>-57.7</v>
      </c>
      <c r="V31" s="538">
        <f t="shared" ref="V31:AM31" si="35">SUM(V23:V29)</f>
        <v>-57.4</v>
      </c>
      <c r="W31" s="1151">
        <f t="shared" si="35"/>
        <v>-34</v>
      </c>
      <c r="X31" s="538">
        <f>SUM(X23:X30)</f>
        <v>-37.699999999999996</v>
      </c>
      <c r="Y31" s="1284">
        <f>SUM(Y23:Y30)</f>
        <v>-71.7</v>
      </c>
      <c r="Z31" s="1284">
        <f t="shared" ref="Z31" si="36">SUM(Z23:Z29)</f>
        <v>-36.6</v>
      </c>
      <c r="AA31" s="538">
        <f>SUM(AA23:AA30)</f>
        <v>-37.799999999999997</v>
      </c>
      <c r="AB31" s="1542">
        <f>SUM(AB23:AB30)</f>
        <v>-74.400000000000006</v>
      </c>
      <c r="AC31" s="1542">
        <f t="shared" ref="AC31:AD31" si="37">SUM(AC23:AC29)</f>
        <v>-79.7</v>
      </c>
      <c r="AD31" s="1542">
        <f t="shared" si="37"/>
        <v>-43.199999999999989</v>
      </c>
      <c r="AE31" s="1542">
        <f t="shared" si="35"/>
        <v>-122.89999999999999</v>
      </c>
      <c r="AF31" s="1429">
        <f t="shared" ref="AF31:AG31" si="38">SUM(AF23:AF29)</f>
        <v>-46.9</v>
      </c>
      <c r="AG31" s="538">
        <f t="shared" si="38"/>
        <v>-42.308009823927655</v>
      </c>
      <c r="AH31" s="538">
        <f t="shared" si="35"/>
        <v>-89.208009823927654</v>
      </c>
      <c r="AI31" s="538">
        <f t="shared" ref="AI31:AJ31" si="39">SUM(AI23:AI29)</f>
        <v>-49.381378820547326</v>
      </c>
      <c r="AJ31" s="538">
        <f t="shared" si="39"/>
        <v>-49.381378820547326</v>
      </c>
      <c r="AK31" s="538">
        <f t="shared" si="35"/>
        <v>-98.762757641094652</v>
      </c>
      <c r="AL31" s="538">
        <f t="shared" si="35"/>
        <v>-51.456429662202247</v>
      </c>
      <c r="AM31" s="538">
        <f t="shared" si="35"/>
        <v>-51.456429662202247</v>
      </c>
      <c r="AN31" s="538">
        <f t="shared" ref="AN31:AQ31" si="40">SUM(AN23:AN29)</f>
        <v>-102.91285932440449</v>
      </c>
      <c r="AO31" s="538">
        <f t="shared" si="40"/>
        <v>-53.6212310067814</v>
      </c>
      <c r="AP31" s="538">
        <f t="shared" si="40"/>
        <v>-53.6212310067814</v>
      </c>
      <c r="AQ31" s="538">
        <f t="shared" si="40"/>
        <v>-107.2424620135628</v>
      </c>
      <c r="AR31" s="12"/>
      <c r="AS31" s="30"/>
    </row>
    <row r="32" spans="1:45" ht="7.5" customHeight="1">
      <c r="A32" s="13"/>
      <c r="B32" s="844"/>
      <c r="C32" s="850"/>
      <c r="D32" s="850"/>
      <c r="E32" s="850"/>
      <c r="F32" s="850"/>
      <c r="G32" s="850"/>
      <c r="H32" s="850"/>
      <c r="I32" s="850"/>
      <c r="J32" s="850"/>
      <c r="K32" s="850"/>
      <c r="L32" s="850"/>
      <c r="M32" s="850"/>
      <c r="N32" s="850"/>
      <c r="O32" s="850"/>
      <c r="P32" s="850"/>
      <c r="Q32" s="850"/>
      <c r="R32" s="850"/>
      <c r="S32" s="850"/>
      <c r="T32" s="774"/>
      <c r="U32" s="774"/>
      <c r="V32" s="774"/>
      <c r="W32" s="249"/>
      <c r="X32" s="249"/>
      <c r="Y32" s="729"/>
      <c r="Z32" s="249"/>
      <c r="AA32" s="249"/>
      <c r="AB32" s="729"/>
      <c r="AC32" s="249"/>
      <c r="AD32" s="249"/>
      <c r="AE32" s="249"/>
      <c r="AF32" s="1300"/>
      <c r="AG32" s="249"/>
      <c r="AH32" s="249"/>
      <c r="AI32" s="249"/>
      <c r="AJ32" s="249"/>
      <c r="AK32" s="249"/>
      <c r="AL32" s="249"/>
      <c r="AM32" s="249"/>
      <c r="AN32" s="249"/>
      <c r="AO32" s="249"/>
      <c r="AP32" s="249"/>
      <c r="AQ32" s="249"/>
      <c r="AR32" s="12"/>
      <c r="AS32" s="13"/>
    </row>
    <row r="33" spans="1:45">
      <c r="A33" s="13"/>
      <c r="B33" s="867" t="s">
        <v>174</v>
      </c>
      <c r="C33" s="847"/>
      <c r="D33" s="847"/>
      <c r="E33" s="847"/>
      <c r="F33" s="847"/>
      <c r="G33" s="847"/>
      <c r="H33" s="847"/>
      <c r="I33" s="847"/>
      <c r="J33" s="847"/>
      <c r="K33" s="847"/>
      <c r="L33" s="847"/>
      <c r="M33" s="847"/>
      <c r="N33" s="847"/>
      <c r="O33" s="847"/>
      <c r="P33" s="847"/>
      <c r="Q33" s="847"/>
      <c r="R33" s="847"/>
      <c r="S33" s="847"/>
      <c r="T33" s="775"/>
      <c r="U33" s="775"/>
      <c r="V33" s="775"/>
      <c r="W33" s="249"/>
      <c r="X33" s="249"/>
      <c r="Y33" s="729"/>
      <c r="Z33" s="249"/>
      <c r="AA33" s="249"/>
      <c r="AB33" s="729"/>
      <c r="AC33" s="249"/>
      <c r="AD33" s="249"/>
      <c r="AE33" s="249"/>
      <c r="AF33" s="1300"/>
      <c r="AG33" s="249"/>
      <c r="AH33" s="249"/>
      <c r="AI33" s="249"/>
      <c r="AJ33" s="249"/>
      <c r="AK33" s="249"/>
      <c r="AL33" s="249"/>
      <c r="AM33" s="249"/>
      <c r="AN33" s="249"/>
      <c r="AO33" s="249"/>
      <c r="AP33" s="249"/>
      <c r="AQ33" s="249"/>
      <c r="AR33" s="12"/>
      <c r="AS33" s="13"/>
    </row>
    <row r="34" spans="1:45">
      <c r="A34" s="13" t="s">
        <v>953</v>
      </c>
      <c r="B34" s="844" t="s">
        <v>371</v>
      </c>
      <c r="C34" s="847"/>
      <c r="D34" s="847">
        <v>10.295999999999999</v>
      </c>
      <c r="E34" s="847">
        <v>0.23200000000000001</v>
      </c>
      <c r="F34" s="847">
        <v>0.60799999999999998</v>
      </c>
      <c r="G34" s="847">
        <v>2.2349999999999999</v>
      </c>
      <c r="H34" s="847">
        <v>2.96</v>
      </c>
      <c r="I34" s="847">
        <v>4.1589999999999998</v>
      </c>
      <c r="J34" s="847">
        <v>6.8380000000000001</v>
      </c>
      <c r="K34" s="847">
        <f>9.305-173.333</f>
        <v>-164.02799999999999</v>
      </c>
      <c r="L34" s="847">
        <v>3.5139999999999998</v>
      </c>
      <c r="M34" s="847">
        <f>1.082</f>
        <v>1.0820000000000001</v>
      </c>
      <c r="N34" s="847">
        <f>21.523-25.83</f>
        <v>-4.3069999999999986</v>
      </c>
      <c r="O34" s="847">
        <f>3.125-4.97</f>
        <v>-1.8449999999999998</v>
      </c>
      <c r="P34" s="847">
        <f>5.955-13.181</f>
        <v>-7.2259999999999991</v>
      </c>
      <c r="Q34" s="847">
        <v>395.9</v>
      </c>
      <c r="R34" s="847">
        <v>3</v>
      </c>
      <c r="S34" s="847">
        <v>1.9</v>
      </c>
      <c r="T34" s="775">
        <v>1.3</v>
      </c>
      <c r="U34" s="775">
        <v>0</v>
      </c>
      <c r="V34" s="775"/>
      <c r="W34" s="1179">
        <f>+'P&amp;L'!BI249+'P&amp;L'!BI251</f>
        <v>0</v>
      </c>
      <c r="X34" s="1179">
        <f>Y34-W34</f>
        <v>0</v>
      </c>
      <c r="Y34" s="1179">
        <v>0</v>
      </c>
      <c r="Z34" s="1179">
        <v>0</v>
      </c>
      <c r="AA34" s="1179">
        <f>AB34-Z34</f>
        <v>0</v>
      </c>
      <c r="AB34" s="1179">
        <v>0</v>
      </c>
      <c r="AC34" s="1179">
        <f>+'P&amp;L'!BO249+'P&amp;L'!BO251</f>
        <v>0</v>
      </c>
      <c r="AD34" s="1179">
        <f>AE34-AC34</f>
        <v>0</v>
      </c>
      <c r="AE34" s="1179">
        <v>0</v>
      </c>
      <c r="AF34" s="1327">
        <f>+'P&amp;L'!BR249+'P&amp;L'!BR251</f>
        <v>0</v>
      </c>
      <c r="AG34" s="1179">
        <f>+'P&amp;L'!BS249+'P&amp;L'!BS251</f>
        <v>0</v>
      </c>
      <c r="AH34" s="1179">
        <f>+'P&amp;L'!BT249+'P&amp;L'!BT251</f>
        <v>0</v>
      </c>
      <c r="AI34" s="1179">
        <f>+'P&amp;L'!BU249+'P&amp;L'!BU251</f>
        <v>0</v>
      </c>
      <c r="AJ34" s="1179">
        <f>+'P&amp;L'!BV249+'P&amp;L'!BV251</f>
        <v>0</v>
      </c>
      <c r="AK34" s="1179">
        <f>+'P&amp;L'!BW249+'P&amp;L'!BW251</f>
        <v>0</v>
      </c>
      <c r="AL34" s="1179">
        <f>+'P&amp;L'!BX249+'P&amp;L'!BX251</f>
        <v>0</v>
      </c>
      <c r="AM34" s="1179">
        <f>+'P&amp;L'!BY249+'P&amp;L'!BY251</f>
        <v>0</v>
      </c>
      <c r="AN34" s="1179">
        <f>+'P&amp;L'!BZ249+'P&amp;L'!BZ251</f>
        <v>0</v>
      </c>
      <c r="AO34" s="1179">
        <f>+'P&amp;L'!CA249+'P&amp;L'!CA251</f>
        <v>0</v>
      </c>
      <c r="AP34" s="1179">
        <f>+'P&amp;L'!CB249+'P&amp;L'!CB251</f>
        <v>0</v>
      </c>
      <c r="AQ34" s="1179">
        <f>+'P&amp;L'!CC249+'P&amp;L'!CC251</f>
        <v>0</v>
      </c>
      <c r="AR34" s="12"/>
      <c r="AS34" s="13"/>
    </row>
    <row r="35" spans="1:45">
      <c r="A35" s="13"/>
      <c r="B35" s="844" t="s">
        <v>584</v>
      </c>
      <c r="C35" s="847">
        <f>32-35.171-4.024+3.105</f>
        <v>-4.09</v>
      </c>
      <c r="D35" s="847">
        <f>-0.601-3.368+9.69</f>
        <v>5.7210000000000001</v>
      </c>
      <c r="E35" s="847">
        <f>13.142-4.495+25</f>
        <v>33.646999999999998</v>
      </c>
      <c r="F35" s="847">
        <f>-20.117+43.024</f>
        <v>22.907</v>
      </c>
      <c r="G35" s="847">
        <v>15.792999999999999</v>
      </c>
      <c r="H35" s="847">
        <v>5.8410000000000002</v>
      </c>
      <c r="I35" s="847">
        <v>-35.277999999999999</v>
      </c>
      <c r="J35" s="847">
        <v>-20</v>
      </c>
      <c r="K35" s="847">
        <v>163.334</v>
      </c>
      <c r="L35" s="847">
        <v>-84.174000000000007</v>
      </c>
      <c r="M35" s="847">
        <v>-26.21</v>
      </c>
      <c r="N35" s="847">
        <v>54.063000000000002</v>
      </c>
      <c r="O35" s="847">
        <v>-40.113</v>
      </c>
      <c r="P35" s="847">
        <v>-30</v>
      </c>
      <c r="Q35" s="847">
        <v>450</v>
      </c>
      <c r="R35" s="847">
        <v>-89.7</v>
      </c>
      <c r="S35" s="847">
        <v>-30.5</v>
      </c>
      <c r="T35" s="775">
        <v>-440</v>
      </c>
      <c r="U35" s="775">
        <v>0</v>
      </c>
      <c r="V35" s="775">
        <f>60-0.6</f>
        <v>59.4</v>
      </c>
      <c r="W35" s="775">
        <v>-60</v>
      </c>
      <c r="X35" s="249">
        <f t="shared" ref="X35:X39" si="41">Y35-W35</f>
        <v>50</v>
      </c>
      <c r="Y35" s="775">
        <v>-10</v>
      </c>
      <c r="Z35" s="775">
        <v>-50</v>
      </c>
      <c r="AA35" s="249">
        <f t="shared" ref="AA35:AA37" si="42">AB35-Z35</f>
        <v>15.200000000000003</v>
      </c>
      <c r="AB35" s="570">
        <v>-34.799999999999997</v>
      </c>
      <c r="AC35" s="1894">
        <v>-15</v>
      </c>
      <c r="AD35" s="249">
        <f t="shared" ref="AD35:AD37" si="43">AE35-AC35</f>
        <v>-1.3999999999999986</v>
      </c>
      <c r="AE35" s="570">
        <v>-16.399999999999999</v>
      </c>
      <c r="AF35" s="1798">
        <f>AH35*0.5</f>
        <v>0</v>
      </c>
      <c r="AG35" s="1180">
        <f>AH35-AF35</f>
        <v>0</v>
      </c>
      <c r="AH35" s="1180"/>
      <c r="AI35" s="1180">
        <f>AK35*0.5</f>
        <v>0</v>
      </c>
      <c r="AJ35" s="1180">
        <f>AK35-AI35</f>
        <v>0</v>
      </c>
      <c r="AK35" s="1180"/>
      <c r="AL35" s="1180">
        <f>AN35*0.5</f>
        <v>0</v>
      </c>
      <c r="AM35" s="1180">
        <f>AN35-AL35</f>
        <v>0</v>
      </c>
      <c r="AN35" s="1180"/>
      <c r="AO35" s="1180">
        <f>AQ35*0.5</f>
        <v>0</v>
      </c>
      <c r="AP35" s="1180">
        <f>AQ35-AO35</f>
        <v>0</v>
      </c>
      <c r="AQ35" s="1180"/>
      <c r="AR35" s="12"/>
      <c r="AS35" s="13"/>
    </row>
    <row r="36" spans="1:45">
      <c r="A36" s="13" t="s">
        <v>954</v>
      </c>
      <c r="B36" s="844" t="s">
        <v>585</v>
      </c>
      <c r="C36" s="847">
        <v>-1.347</v>
      </c>
      <c r="D36" s="847">
        <v>0</v>
      </c>
      <c r="E36" s="847">
        <v>0</v>
      </c>
      <c r="F36" s="847">
        <v>0</v>
      </c>
      <c r="G36" s="847">
        <v>0</v>
      </c>
      <c r="H36" s="847"/>
      <c r="I36" s="847">
        <v>0</v>
      </c>
      <c r="J36" s="847">
        <v>0</v>
      </c>
      <c r="K36" s="847">
        <v>-0.95499999999999996</v>
      </c>
      <c r="L36" s="847">
        <v>-1.2999999999999999E-2</v>
      </c>
      <c r="M36" s="847">
        <v>-0.63200000000000001</v>
      </c>
      <c r="N36" s="847">
        <v>-6.4000000000000001E-2</v>
      </c>
      <c r="O36" s="847">
        <v>-0.48399999999999999</v>
      </c>
      <c r="P36" s="847">
        <v>-0.09</v>
      </c>
      <c r="Q36" s="847">
        <v>-1.7</v>
      </c>
      <c r="R36" s="847">
        <v>-0.8</v>
      </c>
      <c r="S36" s="847">
        <v>-0.6</v>
      </c>
      <c r="T36" s="775">
        <v>-0.1</v>
      </c>
      <c r="U36" s="775"/>
      <c r="V36" s="775"/>
      <c r="W36" s="775">
        <v>0</v>
      </c>
      <c r="X36" s="249">
        <f t="shared" si="41"/>
        <v>0</v>
      </c>
      <c r="Y36" s="775">
        <v>0</v>
      </c>
      <c r="Z36" s="775">
        <v>0</v>
      </c>
      <c r="AA36" s="249">
        <f t="shared" si="42"/>
        <v>0</v>
      </c>
      <c r="AB36" s="775">
        <v>0</v>
      </c>
      <c r="AC36" s="775"/>
      <c r="AD36" s="249">
        <f t="shared" si="43"/>
        <v>0</v>
      </c>
      <c r="AE36" s="775">
        <v>0</v>
      </c>
      <c r="AF36" s="1300"/>
      <c r="AG36" s="249"/>
      <c r="AH36" s="249"/>
      <c r="AI36" s="249"/>
      <c r="AJ36" s="249"/>
      <c r="AK36" s="249"/>
      <c r="AL36" s="249"/>
      <c r="AM36" s="249"/>
      <c r="AN36" s="249"/>
      <c r="AO36" s="249"/>
      <c r="AP36" s="249"/>
      <c r="AQ36" s="249"/>
      <c r="AR36" s="12"/>
      <c r="AS36" s="13"/>
    </row>
    <row r="37" spans="1:45">
      <c r="A37" s="13" t="s">
        <v>955</v>
      </c>
      <c r="B37" s="844" t="s">
        <v>586</v>
      </c>
      <c r="C37" s="847"/>
      <c r="D37" s="847">
        <v>0</v>
      </c>
      <c r="E37" s="847">
        <v>0</v>
      </c>
      <c r="F37" s="847">
        <v>0</v>
      </c>
      <c r="G37" s="847">
        <v>0</v>
      </c>
      <c r="H37" s="847"/>
      <c r="I37" s="847">
        <v>0</v>
      </c>
      <c r="J37" s="847">
        <v>0</v>
      </c>
      <c r="K37" s="847">
        <v>-0.80100000000000005</v>
      </c>
      <c r="L37" s="847">
        <v>-0.04</v>
      </c>
      <c r="M37" s="847">
        <v>0</v>
      </c>
      <c r="N37" s="847">
        <v>-0.11799999999999999</v>
      </c>
      <c r="O37" s="847">
        <v>-2.4E-2</v>
      </c>
      <c r="P37" s="847">
        <v>-4.3999999999999997E-2</v>
      </c>
      <c r="Q37" s="847">
        <v>-9.1999999999999993</v>
      </c>
      <c r="R37" s="847">
        <v>0</v>
      </c>
      <c r="S37" s="847">
        <v>-8.8000000000000007</v>
      </c>
      <c r="T37" s="775">
        <v>-32.9</v>
      </c>
      <c r="U37" s="775">
        <v>-10.199999999999999</v>
      </c>
      <c r="V37" s="775">
        <f>-250-0.6-28.2</f>
        <v>-278.8</v>
      </c>
      <c r="W37" s="775">
        <f>-0.4-17.3</f>
        <v>-17.7</v>
      </c>
      <c r="X37" s="249">
        <f t="shared" si="41"/>
        <v>9.9999999999997868E-2</v>
      </c>
      <c r="Y37" s="775">
        <f>-17.3-0.3</f>
        <v>-17.600000000000001</v>
      </c>
      <c r="Z37" s="775">
        <v>-17</v>
      </c>
      <c r="AA37" s="249">
        <f t="shared" si="42"/>
        <v>0</v>
      </c>
      <c r="AB37" s="775">
        <v>-17</v>
      </c>
      <c r="AC37" s="1898">
        <v>-20.9</v>
      </c>
      <c r="AD37" s="249">
        <f t="shared" si="43"/>
        <v>0</v>
      </c>
      <c r="AE37" s="775">
        <v>-20.9</v>
      </c>
      <c r="AF37" s="1694">
        <f>-26.9+0</f>
        <v>-26.9</v>
      </c>
      <c r="AG37" s="249">
        <v>0</v>
      </c>
      <c r="AH37" s="249">
        <f>+AF37+AG37</f>
        <v>-26.9</v>
      </c>
      <c r="AI37" s="249"/>
      <c r="AJ37" s="249"/>
      <c r="AK37" s="249"/>
      <c r="AL37" s="249"/>
      <c r="AM37" s="249"/>
      <c r="AN37" s="249"/>
      <c r="AO37" s="249"/>
      <c r="AP37" s="249"/>
      <c r="AQ37" s="249"/>
      <c r="AR37" s="12"/>
      <c r="AS37" s="13"/>
    </row>
    <row r="38" spans="1:45">
      <c r="A38" s="13" t="s">
        <v>410</v>
      </c>
      <c r="B38" s="844" t="s">
        <v>175</v>
      </c>
      <c r="C38" s="847"/>
      <c r="D38" s="847">
        <v>-13.688000000000001</v>
      </c>
      <c r="E38" s="847">
        <v>-7.3929999999999998</v>
      </c>
      <c r="F38" s="847">
        <v>-7.4279999999999999</v>
      </c>
      <c r="G38" s="847">
        <v>-9.3859999999999992</v>
      </c>
      <c r="H38" s="847">
        <v>-16.913</v>
      </c>
      <c r="I38" s="847">
        <v>-33.216999999999999</v>
      </c>
      <c r="J38" s="847">
        <v>-67.082999999999998</v>
      </c>
      <c r="K38" s="847">
        <v>-88.411000000000001</v>
      </c>
      <c r="L38" s="847">
        <v>-77.031000000000006</v>
      </c>
      <c r="M38" s="847">
        <v>-65.263000000000005</v>
      </c>
      <c r="N38" s="847">
        <v>-77.183000000000007</v>
      </c>
      <c r="O38" s="847">
        <v>-87.174000000000007</v>
      </c>
      <c r="P38" s="847">
        <v>-93.204999999999998</v>
      </c>
      <c r="Q38" s="847">
        <v>-119.1</v>
      </c>
      <c r="R38" s="847">
        <v>-151.6</v>
      </c>
      <c r="S38" s="847">
        <v>-157.4</v>
      </c>
      <c r="T38" s="775">
        <v>-172.3</v>
      </c>
      <c r="U38" s="775">
        <v>-310.2</v>
      </c>
      <c r="V38" s="775">
        <v>-310.2</v>
      </c>
      <c r="W38" s="775">
        <v>-167.3</v>
      </c>
      <c r="X38" s="249">
        <f t="shared" si="41"/>
        <v>-215.39999999999998</v>
      </c>
      <c r="Y38" s="775">
        <v>-382.7</v>
      </c>
      <c r="Z38" s="775">
        <v>-125.7</v>
      </c>
      <c r="AA38" s="249">
        <f>AB38-Z38</f>
        <v>-172.8</v>
      </c>
      <c r="AB38" s="775">
        <v>-298.5</v>
      </c>
      <c r="AC38" s="1894">
        <v>-200.1</v>
      </c>
      <c r="AD38" s="249">
        <f>AE38-AC38</f>
        <v>-185.79999999999998</v>
      </c>
      <c r="AE38" s="775">
        <v>-385.9</v>
      </c>
      <c r="AF38" s="1773">
        <v>-224.1</v>
      </c>
      <c r="AG38" s="249">
        <f>-BS!AF184</f>
        <v>-224.1</v>
      </c>
      <c r="AH38" s="249">
        <f t="shared" ref="AH38" si="44">+AG38+AF38</f>
        <v>-448.2</v>
      </c>
      <c r="AI38" s="249">
        <f>-BS!AG184</f>
        <v>-157.86482601602529</v>
      </c>
      <c r="AJ38" s="249">
        <f>-BS!AI184</f>
        <v>-232.94758265860438</v>
      </c>
      <c r="AK38" s="249">
        <f t="shared" ref="AK38" si="45">+AJ38+AI38</f>
        <v>-390.81240867462964</v>
      </c>
      <c r="AL38" s="249">
        <f>-BS!AJ184</f>
        <v>-160.39090193021323</v>
      </c>
      <c r="AM38" s="249">
        <f>-BS!AL184</f>
        <v>-246.54150157379704</v>
      </c>
      <c r="AN38" s="249">
        <f t="shared" ref="AN38" si="46">+AM38+AL38</f>
        <v>-406.93240350401027</v>
      </c>
      <c r="AO38" s="249">
        <f>-BS!AM184</f>
        <v>-166.86087437805199</v>
      </c>
      <c r="AP38" s="249">
        <f>-BS!AO184</f>
        <v>-258.35026264352888</v>
      </c>
      <c r="AQ38" s="249">
        <f t="shared" ref="AQ38" si="47">+AP38+AO38</f>
        <v>-425.21113702158084</v>
      </c>
      <c r="AR38" s="12"/>
      <c r="AS38" s="13"/>
    </row>
    <row r="39" spans="1:45">
      <c r="A39" s="13" t="s">
        <v>956</v>
      </c>
      <c r="B39" s="844" t="s">
        <v>861</v>
      </c>
      <c r="C39" s="847"/>
      <c r="D39" s="847"/>
      <c r="E39" s="847"/>
      <c r="F39" s="847"/>
      <c r="G39" s="847"/>
      <c r="H39" s="847"/>
      <c r="I39" s="847"/>
      <c r="J39" s="847"/>
      <c r="K39" s="847"/>
      <c r="L39" s="847"/>
      <c r="M39" s="847"/>
      <c r="N39" s="847"/>
      <c r="O39" s="847"/>
      <c r="P39" s="847"/>
      <c r="Q39" s="847"/>
      <c r="R39" s="847"/>
      <c r="S39" s="847"/>
      <c r="T39" s="775">
        <v>-161.80000000000001</v>
      </c>
      <c r="U39" s="775">
        <v>-168.9</v>
      </c>
      <c r="V39" s="775">
        <v>-177.6</v>
      </c>
      <c r="W39" s="775">
        <v>-91.1</v>
      </c>
      <c r="X39" s="1180">
        <f t="shared" si="41"/>
        <v>-91.700000000000017</v>
      </c>
      <c r="Y39" s="775">
        <v>-182.8</v>
      </c>
      <c r="Z39" s="775">
        <v>-91.9</v>
      </c>
      <c r="AA39" s="1180">
        <f>AB39-Z39</f>
        <v>-95.699999999999989</v>
      </c>
      <c r="AB39" s="775">
        <v>-187.6</v>
      </c>
      <c r="AC39" s="1894">
        <v>-101.1</v>
      </c>
      <c r="AD39" s="249">
        <f>AE39-AC39</f>
        <v>-98.1</v>
      </c>
      <c r="AE39" s="775">
        <v>-199.2</v>
      </c>
      <c r="AF39" s="1773">
        <v>-105.2</v>
      </c>
      <c r="AG39" s="1180">
        <f>+AH39-AF39</f>
        <v>-99.975999999999985</v>
      </c>
      <c r="AH39" s="1180">
        <f>+AE39*1.03</f>
        <v>-205.17599999999999</v>
      </c>
      <c r="AI39" s="1180">
        <f t="shared" ref="AI39" si="48">0.5*AK39</f>
        <v>-105.66564</v>
      </c>
      <c r="AJ39" s="1180">
        <f t="shared" ref="AJ39" si="49">+AK39-AI39</f>
        <v>-105.66564</v>
      </c>
      <c r="AK39" s="1180">
        <f t="shared" ref="AK39" si="50">+AH39*1.03</f>
        <v>-211.33127999999999</v>
      </c>
      <c r="AL39" s="1180">
        <f t="shared" ref="AL39" si="51">0.5*AN39</f>
        <v>-108.83560919999999</v>
      </c>
      <c r="AM39" s="1180">
        <f t="shared" ref="AM39" si="52">+AN39-AL39</f>
        <v>-108.83560919999999</v>
      </c>
      <c r="AN39" s="1180">
        <f t="shared" ref="AN39" si="53">+AK39*1.03</f>
        <v>-217.67121839999999</v>
      </c>
      <c r="AO39" s="1180">
        <f t="shared" ref="AO39" si="54">0.5*AQ39</f>
        <v>-112.100677476</v>
      </c>
      <c r="AP39" s="1180">
        <f t="shared" ref="AP39" si="55">+AQ39-AO39</f>
        <v>-112.100677476</v>
      </c>
      <c r="AQ39" s="1180">
        <f t="shared" ref="AQ39" si="56">+AN39*1.03</f>
        <v>-224.201354952</v>
      </c>
      <c r="AR39" s="12"/>
      <c r="AS39" s="13"/>
    </row>
    <row r="40" spans="1:45">
      <c r="A40" s="30"/>
      <c r="B40" s="28" t="s">
        <v>176</v>
      </c>
      <c r="C40" s="29">
        <f t="shared" ref="C40:O40" si="57">SUM(C34:C38)</f>
        <v>-5.4369999999999994</v>
      </c>
      <c r="D40" s="29">
        <f t="shared" si="57"/>
        <v>2.3289999999999988</v>
      </c>
      <c r="E40" s="29">
        <f>SUM(E34:E39)</f>
        <v>26.485999999999997</v>
      </c>
      <c r="F40" s="29">
        <f t="shared" si="57"/>
        <v>16.087</v>
      </c>
      <c r="G40" s="29">
        <f t="shared" si="57"/>
        <v>8.6419999999999995</v>
      </c>
      <c r="H40" s="29">
        <f t="shared" si="57"/>
        <v>-8.1120000000000001</v>
      </c>
      <c r="I40" s="29">
        <f t="shared" si="57"/>
        <v>-64.335999999999999</v>
      </c>
      <c r="J40" s="29">
        <f t="shared" si="57"/>
        <v>-80.245000000000005</v>
      </c>
      <c r="K40" s="29">
        <f t="shared" si="57"/>
        <v>-90.86099999999999</v>
      </c>
      <c r="L40" s="29">
        <f t="shared" si="57"/>
        <v>-157.74400000000003</v>
      </c>
      <c r="M40" s="29">
        <f t="shared" si="57"/>
        <v>-91.02300000000001</v>
      </c>
      <c r="N40" s="29">
        <f t="shared" si="57"/>
        <v>-27.609000000000009</v>
      </c>
      <c r="O40" s="29">
        <f t="shared" si="57"/>
        <v>-129.64000000000001</v>
      </c>
      <c r="P40" s="29">
        <f>SUM(P34:P38)</f>
        <v>-130.565</v>
      </c>
      <c r="Q40" s="29">
        <f>SUM(Q34:Q38)</f>
        <v>715.89999999999986</v>
      </c>
      <c r="R40" s="29">
        <f>SUM(R34:R38)</f>
        <v>-239.1</v>
      </c>
      <c r="S40" s="29">
        <f>SUM(S34:S38)</f>
        <v>-195.4</v>
      </c>
      <c r="T40" s="538">
        <f t="shared" ref="T40:AE40" si="58">SUM(T34:T39)</f>
        <v>-805.8</v>
      </c>
      <c r="U40" s="538">
        <f t="shared" si="58"/>
        <v>-489.29999999999995</v>
      </c>
      <c r="V40" s="538">
        <f t="shared" si="58"/>
        <v>-707.2</v>
      </c>
      <c r="W40" s="1151">
        <f t="shared" ref="W40:AB40" si="59">SUM(W34:W39)</f>
        <v>-336.1</v>
      </c>
      <c r="X40" s="538">
        <f t="shared" si="59"/>
        <v>-257</v>
      </c>
      <c r="Y40" s="1284">
        <f t="shared" si="59"/>
        <v>-593.1</v>
      </c>
      <c r="Z40" s="1284">
        <f t="shared" si="59"/>
        <v>-284.60000000000002</v>
      </c>
      <c r="AA40" s="538">
        <f t="shared" si="59"/>
        <v>-253.3</v>
      </c>
      <c r="AB40" s="1542">
        <f t="shared" si="59"/>
        <v>-537.9</v>
      </c>
      <c r="AC40" s="1542">
        <f t="shared" ref="AC40:AD40" si="60">SUM(AC34:AC39)</f>
        <v>-337.1</v>
      </c>
      <c r="AD40" s="1542">
        <f t="shared" si="60"/>
        <v>-285.29999999999995</v>
      </c>
      <c r="AE40" s="1542">
        <f t="shared" si="58"/>
        <v>-622.4</v>
      </c>
      <c r="AF40" s="1429">
        <f t="shared" ref="AF40:AG40" si="61">SUM(AF34:AF39)</f>
        <v>-356.2</v>
      </c>
      <c r="AG40" s="538">
        <f t="shared" si="61"/>
        <v>-324.07599999999996</v>
      </c>
      <c r="AH40" s="538">
        <f>SUM(AH34:AH39)</f>
        <v>-680.27599999999995</v>
      </c>
      <c r="AI40" s="538">
        <f t="shared" ref="AI40:AJ40" si="62">SUM(AI34:AI39)</f>
        <v>-263.53046601602529</v>
      </c>
      <c r="AJ40" s="538">
        <f t="shared" si="62"/>
        <v>-338.6132226586044</v>
      </c>
      <c r="AK40" s="538">
        <f>SUM(AK34:AK39)</f>
        <v>-602.14368867462963</v>
      </c>
      <c r="AL40" s="538">
        <f t="shared" ref="AL40:AM40" si="63">SUM(AL34:AL39)</f>
        <v>-269.22651113021323</v>
      </c>
      <c r="AM40" s="538">
        <f t="shared" si="63"/>
        <v>-355.37711077379703</v>
      </c>
      <c r="AN40" s="538">
        <f>SUM(AN34:AN39)</f>
        <v>-624.6036219040102</v>
      </c>
      <c r="AO40" s="538">
        <f t="shared" ref="AO40:AP40" si="64">SUM(AO34:AO39)</f>
        <v>-278.961551854052</v>
      </c>
      <c r="AP40" s="538">
        <f t="shared" si="64"/>
        <v>-370.45094011952887</v>
      </c>
      <c r="AQ40" s="538">
        <f>SUM(AQ34:AQ39)</f>
        <v>-649.41249197358081</v>
      </c>
      <c r="AR40" s="12"/>
      <c r="AS40" s="30"/>
    </row>
    <row r="41" spans="1:45" ht="7.5" customHeight="1">
      <c r="A41" s="13"/>
      <c r="B41" s="867"/>
      <c r="C41" s="827"/>
      <c r="D41" s="827"/>
      <c r="E41" s="827"/>
      <c r="F41" s="827"/>
      <c r="G41" s="827"/>
      <c r="H41" s="827"/>
      <c r="I41" s="827"/>
      <c r="J41" s="827"/>
      <c r="K41" s="827"/>
      <c r="L41" s="827"/>
      <c r="M41" s="827"/>
      <c r="N41" s="827"/>
      <c r="O41" s="827"/>
      <c r="P41" s="827"/>
      <c r="Q41" s="827"/>
      <c r="R41" s="827"/>
      <c r="S41" s="827"/>
      <c r="T41" s="344"/>
      <c r="U41" s="344"/>
      <c r="V41" s="344"/>
      <c r="W41" s="59"/>
      <c r="X41" s="59"/>
      <c r="Y41" s="59"/>
      <c r="Z41" s="59"/>
      <c r="AA41" s="59"/>
      <c r="AB41" s="59"/>
      <c r="AC41" s="59"/>
      <c r="AD41" s="59"/>
      <c r="AE41" s="59"/>
      <c r="AF41" s="1314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12"/>
      <c r="AS41" s="13"/>
    </row>
    <row r="42" spans="1:45">
      <c r="A42" s="93" t="s">
        <v>431</v>
      </c>
      <c r="B42" s="158" t="s">
        <v>177</v>
      </c>
      <c r="C42" s="159">
        <f t="shared" ref="C42:O42" si="65">C22+C31+C40</f>
        <v>12.427999999999967</v>
      </c>
      <c r="D42" s="159">
        <f t="shared" si="65"/>
        <v>3.4419999999999877</v>
      </c>
      <c r="E42" s="159">
        <f t="shared" si="65"/>
        <v>-14.800999999999995</v>
      </c>
      <c r="F42" s="159">
        <f t="shared" si="65"/>
        <v>2.8619999999999539</v>
      </c>
      <c r="G42" s="159">
        <f t="shared" si="65"/>
        <v>19.21400000000008</v>
      </c>
      <c r="H42" s="159">
        <f t="shared" si="65"/>
        <v>-25.198999999999842</v>
      </c>
      <c r="I42" s="159">
        <f t="shared" si="65"/>
        <v>37.387999999999906</v>
      </c>
      <c r="J42" s="159">
        <f t="shared" si="65"/>
        <v>16.073000000000008</v>
      </c>
      <c r="K42" s="159">
        <f t="shared" si="65"/>
        <v>-24.835000000000178</v>
      </c>
      <c r="L42" s="159">
        <f t="shared" si="65"/>
        <v>12.442000000000036</v>
      </c>
      <c r="M42" s="160">
        <f t="shared" si="65"/>
        <v>27.086000000000183</v>
      </c>
      <c r="N42" s="159">
        <f t="shared" si="65"/>
        <v>-24.52300000000016</v>
      </c>
      <c r="O42" s="159">
        <f t="shared" si="65"/>
        <v>5.8860000000003083</v>
      </c>
      <c r="P42" s="159">
        <f t="shared" ref="P42:U42" si="66">P22+P31+P40</f>
        <v>2.573999999999927</v>
      </c>
      <c r="Q42" s="159">
        <f t="shared" si="66"/>
        <v>20.999999999999659</v>
      </c>
      <c r="R42" s="159">
        <f>R22+R31+R40</f>
        <v>-1.0000000000003695</v>
      </c>
      <c r="S42" s="159">
        <f t="shared" si="66"/>
        <v>47.099999999999454</v>
      </c>
      <c r="T42" s="160">
        <f t="shared" si="66"/>
        <v>132.4999999999992</v>
      </c>
      <c r="U42" s="160">
        <f t="shared" si="66"/>
        <v>11.699999999999875</v>
      </c>
      <c r="V42" s="160">
        <f t="shared" ref="V42:AM42" si="67">V22+V31+V40</f>
        <v>-137.20000000000005</v>
      </c>
      <c r="W42" s="1150">
        <f>W22+W31+W40</f>
        <v>265</v>
      </c>
      <c r="X42" s="160">
        <f>X22+X31+X40</f>
        <v>-213.39999999999969</v>
      </c>
      <c r="Y42" s="1304">
        <f t="shared" si="67"/>
        <v>51.60000000000025</v>
      </c>
      <c r="Z42" s="1304">
        <f>Z22+Z31+Z40</f>
        <v>310.60000000000002</v>
      </c>
      <c r="AA42" s="160">
        <f>AA22+AA31+AA40</f>
        <v>-170.29999999999933</v>
      </c>
      <c r="AB42" s="1543">
        <f t="shared" ref="AB42" si="68">AB22+AB31+AB40</f>
        <v>140.30000000000086</v>
      </c>
      <c r="AC42" s="1543">
        <f t="shared" ref="AC42:AD42" si="69">AC22+AC31+AC40</f>
        <v>238.79999999999973</v>
      </c>
      <c r="AD42" s="1543">
        <f t="shared" si="69"/>
        <v>-272.50000000000045</v>
      </c>
      <c r="AE42" s="1543">
        <f t="shared" si="67"/>
        <v>-33.700000000000728</v>
      </c>
      <c r="AF42" s="1547">
        <f t="shared" ref="AF42:AG42" si="70">AF22+AF31+AF40</f>
        <v>206.00000000000006</v>
      </c>
      <c r="AG42" s="160">
        <f t="shared" si="70"/>
        <v>-210.74670941212534</v>
      </c>
      <c r="AH42" s="160">
        <f t="shared" si="67"/>
        <v>-4.7467094121253695</v>
      </c>
      <c r="AI42" s="160">
        <f t="shared" ref="AI42:AJ42" si="71">AI22+AI31+AI40</f>
        <v>47.944436398878054</v>
      </c>
      <c r="AJ42" s="160">
        <f t="shared" si="71"/>
        <v>10.018115857341058</v>
      </c>
      <c r="AK42" s="160">
        <f t="shared" si="67"/>
        <v>57.962552256219169</v>
      </c>
      <c r="AL42" s="160">
        <f t="shared" si="67"/>
        <v>56.034360194111343</v>
      </c>
      <c r="AM42" s="160">
        <f t="shared" si="67"/>
        <v>8.4007402504763036</v>
      </c>
      <c r="AN42" s="160">
        <f t="shared" ref="AN42:AQ42" si="72">AN22+AN31+AN40</f>
        <v>64.435100444587761</v>
      </c>
      <c r="AO42" s="160">
        <f t="shared" si="72"/>
        <v>59.522163635882407</v>
      </c>
      <c r="AP42" s="160">
        <f t="shared" si="72"/>
        <v>7.7021252526067201</v>
      </c>
      <c r="AQ42" s="160">
        <f t="shared" si="72"/>
        <v>67.2242888884889</v>
      </c>
      <c r="AR42" s="12"/>
      <c r="AS42" s="13"/>
    </row>
    <row r="43" spans="1:45" ht="7.5" customHeight="1">
      <c r="A43" s="13"/>
      <c r="B43" s="1092"/>
      <c r="C43" s="827"/>
      <c r="D43" s="827"/>
      <c r="E43" s="827"/>
      <c r="F43" s="827"/>
      <c r="G43" s="827"/>
      <c r="H43" s="827"/>
      <c r="I43" s="827"/>
      <c r="J43" s="827"/>
      <c r="K43" s="827"/>
      <c r="L43" s="827"/>
      <c r="M43" s="827"/>
      <c r="N43" s="827"/>
      <c r="O43" s="827"/>
      <c r="P43" s="827"/>
      <c r="Q43" s="827"/>
      <c r="R43" s="827"/>
      <c r="S43" s="827"/>
      <c r="T43" s="344"/>
      <c r="U43" s="344"/>
      <c r="V43" s="344"/>
      <c r="W43" s="59"/>
      <c r="X43" s="59"/>
      <c r="Y43" s="344"/>
      <c r="Z43" s="59"/>
      <c r="AA43" s="59"/>
      <c r="AB43" s="344"/>
      <c r="AC43" s="59"/>
      <c r="AD43" s="59"/>
      <c r="AE43" s="59"/>
      <c r="AF43" s="1314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12"/>
      <c r="AS43" s="13"/>
    </row>
    <row r="44" spans="1:45">
      <c r="A44" s="13"/>
      <c r="B44" s="1093" t="s">
        <v>178</v>
      </c>
      <c r="C44" s="775">
        <v>0.56200000000000006</v>
      </c>
      <c r="D44" s="309">
        <f>C47</f>
        <v>12.989999999999966</v>
      </c>
      <c r="E44" s="309">
        <f>D47</f>
        <v>16.431999999999952</v>
      </c>
      <c r="F44" s="309">
        <f>E47</f>
        <v>1.6309999999999576</v>
      </c>
      <c r="G44" s="309">
        <f t="shared" ref="G44:N44" si="73">F47</f>
        <v>4.4929999999999115</v>
      </c>
      <c r="H44" s="309">
        <f t="shared" si="73"/>
        <v>23.706999999999994</v>
      </c>
      <c r="I44" s="309">
        <f t="shared" si="73"/>
        <v>-1.4919999999998481</v>
      </c>
      <c r="J44" s="309">
        <f t="shared" si="73"/>
        <v>35.790000000000056</v>
      </c>
      <c r="K44" s="309">
        <f t="shared" si="73"/>
        <v>51.735000000000063</v>
      </c>
      <c r="L44" s="309">
        <f t="shared" si="73"/>
        <v>27.245999999999885</v>
      </c>
      <c r="M44" s="309">
        <f t="shared" si="73"/>
        <v>39.709999999999916</v>
      </c>
      <c r="N44" s="309">
        <f t="shared" si="73"/>
        <v>67.368000000000109</v>
      </c>
      <c r="O44" s="309">
        <f t="shared" ref="O44:V44" si="74">N47</f>
        <v>43.444999999999951</v>
      </c>
      <c r="P44" s="729">
        <f t="shared" si="74"/>
        <v>49.131000000000256</v>
      </c>
      <c r="Q44" s="729">
        <f t="shared" si="74"/>
        <v>51.884000000000185</v>
      </c>
      <c r="R44" s="729">
        <f t="shared" si="74"/>
        <v>72.78399999999985</v>
      </c>
      <c r="S44" s="729">
        <f>R47</f>
        <v>71.983999999999483</v>
      </c>
      <c r="T44" s="729">
        <f t="shared" si="74"/>
        <v>119.18399999999893</v>
      </c>
      <c r="U44" s="729">
        <f t="shared" si="74"/>
        <v>251.48399999999816</v>
      </c>
      <c r="V44" s="729">
        <f t="shared" si="74"/>
        <v>263.18399999999804</v>
      </c>
      <c r="W44" s="249">
        <f>V47</f>
        <v>125.58399999999799</v>
      </c>
      <c r="X44" s="249">
        <f>W47</f>
        <v>391.18399999999804</v>
      </c>
      <c r="Y44" s="729">
        <f>+V47</f>
        <v>125.58399999999799</v>
      </c>
      <c r="Z44" s="249">
        <f>Y47</f>
        <v>177.28399999999823</v>
      </c>
      <c r="AA44" s="249">
        <f>Z47</f>
        <v>487.98399999999828</v>
      </c>
      <c r="AB44" s="729">
        <f>+Y47</f>
        <v>177.28399999999823</v>
      </c>
      <c r="AC44" s="249">
        <f>AB47</f>
        <v>317.68399999999912</v>
      </c>
      <c r="AD44" s="249">
        <f>AC47</f>
        <v>556.38399999999876</v>
      </c>
      <c r="AE44" s="249">
        <f>AB47</f>
        <v>317.68399999999912</v>
      </c>
      <c r="AF44" s="1300">
        <f>AE47</f>
        <v>284.08399999999841</v>
      </c>
      <c r="AG44" s="249">
        <f>AF47</f>
        <v>489.48399999999845</v>
      </c>
      <c r="AH44" s="249">
        <f>AE47</f>
        <v>284.08399999999841</v>
      </c>
      <c r="AI44" s="249">
        <f>AH47</f>
        <v>278.73729058787302</v>
      </c>
      <c r="AJ44" s="249">
        <f>AI47</f>
        <v>326.68172698675107</v>
      </c>
      <c r="AK44" s="249">
        <f>AH47</f>
        <v>278.73729058787302</v>
      </c>
      <c r="AL44" s="249">
        <f>AK47</f>
        <v>336.69984284409219</v>
      </c>
      <c r="AM44" s="249">
        <f>AL47</f>
        <v>392.73420303820353</v>
      </c>
      <c r="AN44" s="249">
        <f>AK47</f>
        <v>336.69984284409219</v>
      </c>
      <c r="AO44" s="249">
        <f>AN47</f>
        <v>401.13494328867995</v>
      </c>
      <c r="AP44" s="249">
        <f>AO47</f>
        <v>460.65710692456236</v>
      </c>
      <c r="AQ44" s="249">
        <f>AN47</f>
        <v>401.13494328867995</v>
      </c>
      <c r="AR44" s="12"/>
      <c r="AS44" s="13"/>
    </row>
    <row r="45" spans="1:45">
      <c r="A45" s="13"/>
      <c r="B45" s="844" t="s">
        <v>179</v>
      </c>
      <c r="C45" s="850"/>
      <c r="D45" s="850"/>
      <c r="E45" s="847">
        <v>0</v>
      </c>
      <c r="F45" s="847">
        <v>0</v>
      </c>
      <c r="G45" s="847">
        <v>0</v>
      </c>
      <c r="H45" s="847">
        <v>0</v>
      </c>
      <c r="I45" s="847">
        <v>-0.106</v>
      </c>
      <c r="J45" s="847">
        <v>-0.128</v>
      </c>
      <c r="K45" s="847">
        <v>0.34599999999999997</v>
      </c>
      <c r="L45" s="847">
        <v>2.1999999999999999E-2</v>
      </c>
      <c r="M45" s="847">
        <v>0.57199999999999995</v>
      </c>
      <c r="N45" s="847">
        <v>0.6</v>
      </c>
      <c r="O45" s="847">
        <v>-0.2</v>
      </c>
      <c r="P45" s="847">
        <v>0.17899999999999999</v>
      </c>
      <c r="Q45" s="847">
        <v>-0.1</v>
      </c>
      <c r="R45" s="847">
        <v>0.2</v>
      </c>
      <c r="S45" s="847">
        <v>0.1</v>
      </c>
      <c r="T45" s="775">
        <v>-0.2</v>
      </c>
      <c r="U45" s="775">
        <v>0</v>
      </c>
      <c r="V45" s="775">
        <v>-0.4</v>
      </c>
      <c r="W45" s="775">
        <v>0.6</v>
      </c>
      <c r="X45" s="732">
        <f>+Y45-W45</f>
        <v>-0.5</v>
      </c>
      <c r="Y45" s="775">
        <v>0.1</v>
      </c>
      <c r="Z45" s="775">
        <v>0.1</v>
      </c>
      <c r="AA45" s="732">
        <f>+AB45-Z45</f>
        <v>0</v>
      </c>
      <c r="AB45" s="775">
        <v>0.1</v>
      </c>
      <c r="AC45" s="1894">
        <v>-0.1</v>
      </c>
      <c r="AD45" s="1179">
        <f>+AE45-AC45</f>
        <v>0.2</v>
      </c>
      <c r="AE45" s="1179">
        <v>0.1</v>
      </c>
      <c r="AF45" s="1799">
        <v>-0.6</v>
      </c>
      <c r="AG45" s="1179">
        <v>0</v>
      </c>
      <c r="AH45" s="1179">
        <f>+AF45+AG45</f>
        <v>-0.6</v>
      </c>
      <c r="AI45" s="1179">
        <v>0</v>
      </c>
      <c r="AJ45" s="1179">
        <f>AK45-AI45</f>
        <v>0</v>
      </c>
      <c r="AK45" s="1179">
        <v>0</v>
      </c>
      <c r="AL45" s="1179">
        <v>0</v>
      </c>
      <c r="AM45" s="1179">
        <f>AN45-AL45</f>
        <v>0</v>
      </c>
      <c r="AN45" s="1179">
        <v>0</v>
      </c>
      <c r="AO45" s="1179">
        <v>0</v>
      </c>
      <c r="AP45" s="1179">
        <f>AQ45-AO45</f>
        <v>0</v>
      </c>
      <c r="AQ45" s="1179">
        <v>0</v>
      </c>
      <c r="AR45" s="12"/>
      <c r="AS45" s="13"/>
    </row>
    <row r="46" spans="1:45">
      <c r="A46" s="13"/>
      <c r="B46" s="844" t="s">
        <v>433</v>
      </c>
      <c r="C46" s="875"/>
      <c r="D46" s="875"/>
      <c r="E46" s="875"/>
      <c r="F46" s="875"/>
      <c r="G46" s="875"/>
      <c r="H46" s="875"/>
      <c r="I46" s="875"/>
      <c r="J46" s="875"/>
      <c r="K46" s="875"/>
      <c r="L46" s="875"/>
      <c r="M46" s="875"/>
      <c r="N46" s="875"/>
      <c r="O46" s="875"/>
      <c r="P46" s="875"/>
      <c r="Q46" s="875"/>
      <c r="R46" s="875"/>
      <c r="S46" s="875"/>
      <c r="T46" s="1094"/>
      <c r="U46" s="1094"/>
      <c r="V46" s="1094"/>
      <c r="W46" s="1213"/>
      <c r="X46" s="1181"/>
      <c r="Y46" s="1213"/>
      <c r="Z46" s="1213"/>
      <c r="AA46" s="1181"/>
      <c r="AB46" s="1213"/>
      <c r="AC46" s="1181"/>
      <c r="AD46" s="1181"/>
      <c r="AE46" s="1181"/>
      <c r="AF46" s="1548"/>
      <c r="AG46" s="1181"/>
      <c r="AH46" s="1181"/>
      <c r="AI46" s="1181"/>
      <c r="AJ46" s="1181"/>
      <c r="AK46" s="1181"/>
      <c r="AL46" s="1181"/>
      <c r="AM46" s="1181"/>
      <c r="AN46" s="1181"/>
      <c r="AO46" s="1181"/>
      <c r="AP46" s="1181"/>
      <c r="AQ46" s="1181"/>
      <c r="AR46" s="12"/>
      <c r="AS46" s="13"/>
    </row>
    <row r="47" spans="1:45">
      <c r="A47" s="13"/>
      <c r="B47" s="158" t="s">
        <v>180</v>
      </c>
      <c r="C47" s="164">
        <f>C42+C44+C45</f>
        <v>12.989999999999966</v>
      </c>
      <c r="D47" s="164">
        <f t="shared" ref="D47:K47" si="75">D42+D44+D45</f>
        <v>16.431999999999952</v>
      </c>
      <c r="E47" s="164">
        <f t="shared" si="75"/>
        <v>1.6309999999999576</v>
      </c>
      <c r="F47" s="159">
        <f t="shared" si="75"/>
        <v>4.4929999999999115</v>
      </c>
      <c r="G47" s="159">
        <f t="shared" si="75"/>
        <v>23.706999999999994</v>
      </c>
      <c r="H47" s="159">
        <f t="shared" si="75"/>
        <v>-1.4919999999998481</v>
      </c>
      <c r="I47" s="159">
        <f t="shared" si="75"/>
        <v>35.790000000000056</v>
      </c>
      <c r="J47" s="159">
        <f t="shared" si="75"/>
        <v>51.735000000000063</v>
      </c>
      <c r="K47" s="159">
        <f t="shared" si="75"/>
        <v>27.245999999999885</v>
      </c>
      <c r="L47" s="159">
        <f t="shared" ref="L47:T47" si="76">L42+L44+L45</f>
        <v>39.709999999999916</v>
      </c>
      <c r="M47" s="159">
        <f t="shared" si="76"/>
        <v>67.368000000000109</v>
      </c>
      <c r="N47" s="159">
        <f t="shared" si="76"/>
        <v>43.444999999999951</v>
      </c>
      <c r="O47" s="159">
        <f t="shared" si="76"/>
        <v>49.131000000000256</v>
      </c>
      <c r="P47" s="159">
        <f t="shared" si="76"/>
        <v>51.884000000000185</v>
      </c>
      <c r="Q47" s="159">
        <f t="shared" si="76"/>
        <v>72.78399999999985</v>
      </c>
      <c r="R47" s="159">
        <f>R42+R44+R45</f>
        <v>71.983999999999483</v>
      </c>
      <c r="S47" s="160">
        <f>S42+S44+S45</f>
        <v>119.18399999999893</v>
      </c>
      <c r="T47" s="160">
        <f t="shared" si="76"/>
        <v>251.48399999999816</v>
      </c>
      <c r="U47" s="160">
        <f t="shared" ref="U47:AM47" si="77">U42+U44+U45</f>
        <v>263.18399999999804</v>
      </c>
      <c r="V47" s="160">
        <f t="shared" si="77"/>
        <v>125.58399999999799</v>
      </c>
      <c r="W47" s="1150">
        <f t="shared" ref="W47:Y47" si="78">W42+W44+W45</f>
        <v>391.18399999999804</v>
      </c>
      <c r="X47" s="160">
        <f t="shared" si="78"/>
        <v>177.28399999999834</v>
      </c>
      <c r="Y47" s="1304">
        <f t="shared" si="78"/>
        <v>177.28399999999823</v>
      </c>
      <c r="Z47" s="1304">
        <f t="shared" ref="Z47:AB47" si="79">Z42+Z44+Z45</f>
        <v>487.98399999999828</v>
      </c>
      <c r="AA47" s="160">
        <f t="shared" si="79"/>
        <v>317.68399999999895</v>
      </c>
      <c r="AB47" s="1543">
        <f t="shared" si="79"/>
        <v>317.68399999999912</v>
      </c>
      <c r="AC47" s="1543">
        <f>AC42+AC44+AC45</f>
        <v>556.38399999999876</v>
      </c>
      <c r="AD47" s="1543">
        <f>AD42+AD44+AD45</f>
        <v>284.0839999999983</v>
      </c>
      <c r="AE47" s="1543">
        <f>AE42+AE44+AE45</f>
        <v>284.08399999999841</v>
      </c>
      <c r="AF47" s="1547">
        <f t="shared" ref="AF47:AG47" si="80">AF42+AF44+AF45</f>
        <v>489.48399999999845</v>
      </c>
      <c r="AG47" s="160">
        <f t="shared" si="80"/>
        <v>278.73729058787308</v>
      </c>
      <c r="AH47" s="160">
        <f t="shared" si="77"/>
        <v>278.73729058787302</v>
      </c>
      <c r="AI47" s="160">
        <f t="shared" ref="AI47:AJ47" si="81">AI42+AI44+AI45</f>
        <v>326.68172698675107</v>
      </c>
      <c r="AJ47" s="160">
        <f t="shared" si="81"/>
        <v>336.69984284409213</v>
      </c>
      <c r="AK47" s="160">
        <f t="shared" si="77"/>
        <v>336.69984284409219</v>
      </c>
      <c r="AL47" s="160">
        <f t="shared" si="77"/>
        <v>392.73420303820353</v>
      </c>
      <c r="AM47" s="160">
        <f t="shared" si="77"/>
        <v>401.13494328867984</v>
      </c>
      <c r="AN47" s="160">
        <f t="shared" ref="AN47:AQ47" si="82">AN42+AN44+AN45</f>
        <v>401.13494328867995</v>
      </c>
      <c r="AO47" s="160">
        <f t="shared" si="82"/>
        <v>460.65710692456236</v>
      </c>
      <c r="AP47" s="160">
        <f t="shared" si="82"/>
        <v>468.35923217716908</v>
      </c>
      <c r="AQ47" s="160">
        <f t="shared" si="82"/>
        <v>468.35923217716885</v>
      </c>
      <c r="AR47" s="44"/>
      <c r="AS47" s="13"/>
    </row>
    <row r="48" spans="1:45">
      <c r="A48" s="24"/>
      <c r="B48" s="881"/>
      <c r="C48" s="539"/>
      <c r="D48" s="539"/>
      <c r="E48" s="539"/>
      <c r="F48" s="539"/>
      <c r="G48" s="539"/>
      <c r="H48" s="539"/>
      <c r="I48" s="539"/>
      <c r="J48" s="539"/>
      <c r="K48" s="539"/>
      <c r="L48" s="539"/>
      <c r="M48" s="539"/>
      <c r="N48" s="539"/>
      <c r="O48" s="539"/>
      <c r="P48" s="539"/>
      <c r="Q48" s="539"/>
      <c r="R48" s="539"/>
      <c r="S48" s="539"/>
      <c r="T48" s="539"/>
      <c r="U48" s="539"/>
      <c r="V48" s="539"/>
      <c r="W48" s="854"/>
      <c r="X48" s="854"/>
      <c r="Y48" s="854"/>
      <c r="Z48" s="854"/>
      <c r="AA48" s="854"/>
      <c r="AB48" s="854"/>
      <c r="AC48" s="539"/>
      <c r="AD48" s="539"/>
      <c r="AE48" s="146"/>
      <c r="AF48" s="1800"/>
      <c r="AG48" s="539"/>
      <c r="AH48" s="539"/>
      <c r="AI48" s="539"/>
      <c r="AJ48" s="539"/>
      <c r="AK48" s="539"/>
      <c r="AL48" s="539"/>
      <c r="AM48" s="539"/>
      <c r="AN48" s="539"/>
      <c r="AO48" s="539"/>
      <c r="AP48" s="539"/>
      <c r="AQ48" s="539"/>
      <c r="AR48" s="31"/>
      <c r="AS48" s="24"/>
    </row>
    <row r="49" spans="1:45">
      <c r="A49" s="10"/>
      <c r="B49" s="1095"/>
      <c r="C49" s="1096"/>
      <c r="D49" s="1096"/>
      <c r="E49" s="1096"/>
      <c r="F49" s="1096"/>
      <c r="G49" s="1096"/>
      <c r="H49" s="1096"/>
      <c r="I49" s="1096"/>
      <c r="J49" s="1096"/>
      <c r="K49" s="1096"/>
      <c r="L49" s="1096"/>
      <c r="M49" s="1096"/>
      <c r="N49" s="1096"/>
      <c r="O49" s="1096"/>
      <c r="P49" s="1096"/>
      <c r="Q49" s="1096"/>
      <c r="R49" s="1096"/>
      <c r="S49" s="1096"/>
      <c r="T49" s="1096"/>
      <c r="U49" s="1096"/>
      <c r="V49" s="1096"/>
      <c r="W49" s="729"/>
      <c r="X49" s="729"/>
      <c r="Y49" s="729"/>
      <c r="Z49" s="729"/>
      <c r="AA49" s="729"/>
      <c r="AB49" s="729"/>
      <c r="AC49" s="9"/>
      <c r="AD49" s="9"/>
      <c r="AE49" s="9"/>
      <c r="AF49" s="154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10"/>
    </row>
    <row r="50" spans="1:45">
      <c r="A50" s="13"/>
      <c r="B50" s="844" t="s">
        <v>435</v>
      </c>
      <c r="C50" s="871"/>
      <c r="D50" s="871"/>
      <c r="E50" s="871"/>
      <c r="F50" s="871"/>
      <c r="G50" s="871"/>
      <c r="H50" s="847">
        <v>-1.492</v>
      </c>
      <c r="I50" s="871"/>
      <c r="J50" s="871"/>
      <c r="K50" s="871"/>
      <c r="L50" s="871"/>
      <c r="M50" s="871"/>
      <c r="N50" s="871"/>
      <c r="O50" s="871"/>
      <c r="P50" s="871"/>
      <c r="Q50" s="871"/>
      <c r="R50" s="871"/>
      <c r="S50" s="871"/>
      <c r="T50" s="871"/>
      <c r="U50" s="871"/>
      <c r="V50" s="871"/>
      <c r="W50" s="1214"/>
      <c r="X50" s="1214"/>
      <c r="Y50" s="1214"/>
      <c r="Z50" s="1179"/>
      <c r="AA50" s="1214"/>
      <c r="AB50" s="1214"/>
      <c r="AC50" s="27"/>
      <c r="AD50" s="27"/>
      <c r="AE50" s="27"/>
      <c r="AF50" s="1550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12"/>
      <c r="AS50" s="13"/>
    </row>
    <row r="51" spans="1:45">
      <c r="A51" s="13"/>
      <c r="B51" s="844" t="s">
        <v>437</v>
      </c>
      <c r="C51" s="309"/>
      <c r="D51" s="309">
        <f t="shared" ref="D51:N51" si="83">+D50-C50</f>
        <v>0</v>
      </c>
      <c r="E51" s="309">
        <f t="shared" si="83"/>
        <v>0</v>
      </c>
      <c r="F51" s="309">
        <f t="shared" si="83"/>
        <v>0</v>
      </c>
      <c r="G51" s="309">
        <f t="shared" si="83"/>
        <v>0</v>
      </c>
      <c r="H51" s="309">
        <f t="shared" si="83"/>
        <v>-1.492</v>
      </c>
      <c r="I51" s="309">
        <f t="shared" si="83"/>
        <v>1.492</v>
      </c>
      <c r="J51" s="309">
        <f t="shared" si="83"/>
        <v>0</v>
      </c>
      <c r="K51" s="309">
        <f t="shared" si="83"/>
        <v>0</v>
      </c>
      <c r="L51" s="309">
        <f t="shared" si="83"/>
        <v>0</v>
      </c>
      <c r="M51" s="309">
        <f t="shared" si="83"/>
        <v>0</v>
      </c>
      <c r="N51" s="309">
        <f t="shared" si="83"/>
        <v>0</v>
      </c>
      <c r="O51" s="309">
        <f t="shared" ref="O51:V51" si="84">+O50-N50</f>
        <v>0</v>
      </c>
      <c r="P51" s="309">
        <f t="shared" si="84"/>
        <v>0</v>
      </c>
      <c r="Q51" s="309">
        <f t="shared" si="84"/>
        <v>0</v>
      </c>
      <c r="R51" s="309">
        <f t="shared" si="84"/>
        <v>0</v>
      </c>
      <c r="S51" s="309">
        <f t="shared" si="84"/>
        <v>0</v>
      </c>
      <c r="T51" s="309">
        <f t="shared" si="84"/>
        <v>0</v>
      </c>
      <c r="U51" s="309">
        <f t="shared" si="84"/>
        <v>0</v>
      </c>
      <c r="V51" s="309">
        <f t="shared" si="84"/>
        <v>0</v>
      </c>
      <c r="W51" s="729">
        <f>+W50-V50</f>
        <v>0</v>
      </c>
      <c r="X51" s="729">
        <f>+X50-W50</f>
        <v>0</v>
      </c>
      <c r="Y51" s="729">
        <f>+Y50-V50</f>
        <v>0</v>
      </c>
      <c r="Z51" s="249">
        <f>+Z50-Y50</f>
        <v>0</v>
      </c>
      <c r="AA51" s="729">
        <f>+AA50-Z50</f>
        <v>0</v>
      </c>
      <c r="AB51" s="729">
        <f>+AB50-Y50</f>
        <v>0</v>
      </c>
      <c r="AC51" s="23">
        <f>+AC50-AB50</f>
        <v>0</v>
      </c>
      <c r="AD51" s="23">
        <f>+AD50-AC50</f>
        <v>0</v>
      </c>
      <c r="AE51" s="23">
        <f>+AE50-AB50</f>
        <v>0</v>
      </c>
      <c r="AF51" s="1299">
        <f>+AF50-AE50</f>
        <v>0</v>
      </c>
      <c r="AG51" s="23">
        <f>+AG50-AF50</f>
        <v>0</v>
      </c>
      <c r="AH51" s="23">
        <f>+AH50-AE50</f>
        <v>0</v>
      </c>
      <c r="AI51" s="23">
        <f>+AI50-AH50</f>
        <v>0</v>
      </c>
      <c r="AJ51" s="23">
        <f>+AJ50-AI50</f>
        <v>0</v>
      </c>
      <c r="AK51" s="23">
        <f>+AK50-AH50</f>
        <v>0</v>
      </c>
      <c r="AL51" s="23">
        <f>+AL50-AK50</f>
        <v>0</v>
      </c>
      <c r="AM51" s="23">
        <f>+AM50-AL50</f>
        <v>0</v>
      </c>
      <c r="AN51" s="23">
        <f>+AN50-AK50</f>
        <v>0</v>
      </c>
      <c r="AO51" s="23">
        <f>+AO50-AN50</f>
        <v>0</v>
      </c>
      <c r="AP51" s="23">
        <f>+AP50-AO50</f>
        <v>0</v>
      </c>
      <c r="AQ51" s="23">
        <f>+AQ50-AN50</f>
        <v>0</v>
      </c>
      <c r="AR51" s="12"/>
      <c r="AS51" s="13"/>
    </row>
    <row r="52" spans="1:45">
      <c r="A52" s="13"/>
      <c r="B52" s="844" t="s">
        <v>434</v>
      </c>
      <c r="C52" s="871"/>
      <c r="D52" s="871"/>
      <c r="E52" s="871"/>
      <c r="F52" s="871"/>
      <c r="G52" s="871"/>
      <c r="H52" s="871"/>
      <c r="I52" s="871"/>
      <c r="J52" s="871"/>
      <c r="K52" s="871"/>
      <c r="L52" s="871"/>
      <c r="M52" s="871"/>
      <c r="N52" s="871"/>
      <c r="O52" s="871"/>
      <c r="P52" s="871"/>
      <c r="Q52" s="871"/>
      <c r="R52" s="871"/>
      <c r="S52" s="871"/>
      <c r="T52" s="871"/>
      <c r="U52" s="871"/>
      <c r="V52" s="871"/>
      <c r="W52" s="1214"/>
      <c r="X52" s="1214"/>
      <c r="Y52" s="1214"/>
      <c r="Z52" s="1179"/>
      <c r="AA52" s="1214"/>
      <c r="AB52" s="1214"/>
      <c r="AC52" s="27"/>
      <c r="AD52" s="27"/>
      <c r="AE52" s="27"/>
      <c r="AF52" s="1550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12"/>
      <c r="AS52" s="13"/>
    </row>
    <row r="53" spans="1:45">
      <c r="A53" s="13"/>
      <c r="B53" s="844" t="s">
        <v>436</v>
      </c>
      <c r="C53" s="309"/>
      <c r="D53" s="729">
        <f t="shared" ref="D53:L53" si="85">+D52-C52</f>
        <v>0</v>
      </c>
      <c r="E53" s="309">
        <f t="shared" si="85"/>
        <v>0</v>
      </c>
      <c r="F53" s="309">
        <f t="shared" si="85"/>
        <v>0</v>
      </c>
      <c r="G53" s="309">
        <f t="shared" si="85"/>
        <v>0</v>
      </c>
      <c r="H53" s="309">
        <f t="shared" si="85"/>
        <v>0</v>
      </c>
      <c r="I53" s="309">
        <f t="shared" si="85"/>
        <v>0</v>
      </c>
      <c r="J53" s="309">
        <f t="shared" si="85"/>
        <v>0</v>
      </c>
      <c r="K53" s="309">
        <f t="shared" si="85"/>
        <v>0</v>
      </c>
      <c r="L53" s="309">
        <f t="shared" si="85"/>
        <v>0</v>
      </c>
      <c r="M53" s="309">
        <f>+M52-L52</f>
        <v>0</v>
      </c>
      <c r="N53" s="309">
        <f t="shared" ref="N53:V53" si="86">+N52-M52</f>
        <v>0</v>
      </c>
      <c r="O53" s="309">
        <f t="shared" si="86"/>
        <v>0</v>
      </c>
      <c r="P53" s="309">
        <f t="shared" si="86"/>
        <v>0</v>
      </c>
      <c r="Q53" s="309">
        <f t="shared" si="86"/>
        <v>0</v>
      </c>
      <c r="R53" s="309">
        <f t="shared" si="86"/>
        <v>0</v>
      </c>
      <c r="S53" s="309">
        <f t="shared" si="86"/>
        <v>0</v>
      </c>
      <c r="T53" s="309">
        <f t="shared" si="86"/>
        <v>0</v>
      </c>
      <c r="U53" s="309">
        <f t="shared" si="86"/>
        <v>0</v>
      </c>
      <c r="V53" s="309">
        <f t="shared" si="86"/>
        <v>0</v>
      </c>
      <c r="W53" s="729">
        <f>+W52-V52</f>
        <v>0</v>
      </c>
      <c r="X53" s="729">
        <f>+X52-W52</f>
        <v>0</v>
      </c>
      <c r="Y53" s="729">
        <f>+Y52-V52</f>
        <v>0</v>
      </c>
      <c r="Z53" s="249">
        <f>+Z52-Y52</f>
        <v>0</v>
      </c>
      <c r="AA53" s="729">
        <f>+AA52-Z52</f>
        <v>0</v>
      </c>
      <c r="AB53" s="729">
        <f>+AB52-Y52</f>
        <v>0</v>
      </c>
      <c r="AC53" s="23">
        <f>+AC52-AB52</f>
        <v>0</v>
      </c>
      <c r="AD53" s="23">
        <f>+AD52-AC52</f>
        <v>0</v>
      </c>
      <c r="AE53" s="23">
        <f>+AE52-AB52</f>
        <v>0</v>
      </c>
      <c r="AF53" s="1299">
        <f>+AF52-AE52</f>
        <v>0</v>
      </c>
      <c r="AG53" s="23">
        <f>+AG52-AF52</f>
        <v>0</v>
      </c>
      <c r="AH53" s="23">
        <f>+AH52-AE52</f>
        <v>0</v>
      </c>
      <c r="AI53" s="23">
        <f>+AI52-AH52</f>
        <v>0</v>
      </c>
      <c r="AJ53" s="23">
        <f>+AJ52-AI52</f>
        <v>0</v>
      </c>
      <c r="AK53" s="23">
        <f>+AK52-AH52</f>
        <v>0</v>
      </c>
      <c r="AL53" s="23">
        <f>+AL52-AK52</f>
        <v>0</v>
      </c>
      <c r="AM53" s="23">
        <f>+AM52-AL52</f>
        <v>0</v>
      </c>
      <c r="AN53" s="23">
        <f>+AN52-AK52</f>
        <v>0</v>
      </c>
      <c r="AO53" s="23">
        <f>+AO52-AN52</f>
        <v>0</v>
      </c>
      <c r="AP53" s="23">
        <f>+AP52-AO52</f>
        <v>0</v>
      </c>
      <c r="AQ53" s="23">
        <f>+AQ52-AN52</f>
        <v>0</v>
      </c>
      <c r="AR53" s="13"/>
      <c r="AS53" s="13"/>
    </row>
    <row r="54" spans="1:45">
      <c r="A54" s="37"/>
      <c r="B54" s="851" t="s">
        <v>88</v>
      </c>
      <c r="C54" s="852">
        <f>BS!C2</f>
        <v>0</v>
      </c>
      <c r="D54" s="852">
        <f>BS!D2</f>
        <v>0</v>
      </c>
      <c r="E54" s="852">
        <f>BS!E2</f>
        <v>0</v>
      </c>
      <c r="F54" s="852">
        <f>BS!F2</f>
        <v>0</v>
      </c>
      <c r="G54" s="852">
        <f>BS!G2</f>
        <v>0</v>
      </c>
      <c r="H54" s="852">
        <f>BS!H2</f>
        <v>0</v>
      </c>
      <c r="I54" s="852">
        <f>BS!I2</f>
        <v>0</v>
      </c>
      <c r="J54" s="852">
        <f>BS!J2</f>
        <v>0</v>
      </c>
      <c r="K54" s="852">
        <f>BS!K2</f>
        <v>0</v>
      </c>
      <c r="L54" s="852">
        <f>BS!L2</f>
        <v>0</v>
      </c>
      <c r="M54" s="852">
        <f>BS!M2</f>
        <v>0</v>
      </c>
      <c r="N54" s="852">
        <f>BS!N2</f>
        <v>0</v>
      </c>
      <c r="O54" s="852">
        <f>BS!O2</f>
        <v>0</v>
      </c>
      <c r="P54" s="852">
        <f>BS!P2</f>
        <v>0</v>
      </c>
      <c r="Q54" s="852">
        <f>BS!Q2</f>
        <v>0</v>
      </c>
      <c r="R54" s="852">
        <f>BS!R2</f>
        <v>0</v>
      </c>
      <c r="S54" s="852">
        <f>BS!S2</f>
        <v>0</v>
      </c>
      <c r="T54" s="852">
        <f>BS!T2</f>
        <v>0</v>
      </c>
      <c r="U54" s="852">
        <f>BS!U2</f>
        <v>0</v>
      </c>
      <c r="V54" s="852">
        <f>BS!V2</f>
        <v>0</v>
      </c>
      <c r="W54" s="854">
        <f>BS!W2</f>
        <v>-1.8189894035458565E-12</v>
      </c>
      <c r="X54" s="854">
        <f>BS!X2</f>
        <v>0</v>
      </c>
      <c r="Y54" s="854">
        <f>BS!Y2</f>
        <v>0</v>
      </c>
      <c r="Z54" s="1387">
        <f>BS!Z2</f>
        <v>0</v>
      </c>
      <c r="AA54" s="854">
        <f>BS!AA2</f>
        <v>0</v>
      </c>
      <c r="AB54" s="854">
        <f>BS!AB2</f>
        <v>0</v>
      </c>
      <c r="AC54" s="34">
        <f>BS!AC2</f>
        <v>-1.6000000001213266E-2</v>
      </c>
      <c r="AD54" s="34">
        <f>BS!AD2</f>
        <v>-1.0160000000012133</v>
      </c>
      <c r="AE54" s="34">
        <f>BS!AE2</f>
        <v>-1.6000000001213266E-2</v>
      </c>
      <c r="AF54" s="1551">
        <f>BS!AF2</f>
        <v>0</v>
      </c>
      <c r="AG54" s="34">
        <f>BS!AG2</f>
        <v>0</v>
      </c>
      <c r="AH54" s="34">
        <f>BS!AH2</f>
        <v>0</v>
      </c>
      <c r="AI54" s="34">
        <f>BS!AI2</f>
        <v>0</v>
      </c>
      <c r="AJ54" s="34">
        <f>BS!AJ2</f>
        <v>0</v>
      </c>
      <c r="AK54" s="34">
        <f>BS!AK2</f>
        <v>0</v>
      </c>
      <c r="AL54" s="34">
        <f>BS!AL2</f>
        <v>-2.0463630789890885E-12</v>
      </c>
      <c r="AM54" s="34">
        <f>BS!AM2</f>
        <v>-2.0463630789890885E-12</v>
      </c>
      <c r="AN54" s="34">
        <f>BS!AN2</f>
        <v>-1.8189894035458565E-12</v>
      </c>
      <c r="AO54" s="34">
        <f>BS!AO2</f>
        <v>0</v>
      </c>
      <c r="AP54" s="34">
        <f>BS!AP2</f>
        <v>0</v>
      </c>
      <c r="AQ54" s="34">
        <f>BS!AQ2</f>
        <v>0</v>
      </c>
      <c r="AR54" s="37"/>
      <c r="AS54" s="37"/>
    </row>
    <row r="55" spans="1:45">
      <c r="A55" s="13" t="s">
        <v>428</v>
      </c>
      <c r="B55" s="844" t="s">
        <v>427</v>
      </c>
      <c r="C55" s="309">
        <f t="shared" ref="C55:M55" si="87">C28</f>
        <v>-6.0000000000000001E-3</v>
      </c>
      <c r="D55" s="309">
        <f t="shared" si="87"/>
        <v>0</v>
      </c>
      <c r="E55" s="309">
        <f t="shared" si="87"/>
        <v>-22.11</v>
      </c>
      <c r="F55" s="309">
        <f t="shared" si="87"/>
        <v>0</v>
      </c>
      <c r="G55" s="309">
        <f t="shared" si="87"/>
        <v>-19.231000000000002</v>
      </c>
      <c r="H55" s="309">
        <f t="shared" si="87"/>
        <v>-8.1850000000000005</v>
      </c>
      <c r="I55" s="309">
        <f t="shared" si="87"/>
        <v>0</v>
      </c>
      <c r="J55" s="309">
        <f t="shared" si="87"/>
        <v>0</v>
      </c>
      <c r="K55" s="309">
        <f t="shared" si="87"/>
        <v>0</v>
      </c>
      <c r="L55" s="309">
        <f t="shared" si="87"/>
        <v>0</v>
      </c>
      <c r="M55" s="309">
        <f t="shared" si="87"/>
        <v>-4.1970000000000001</v>
      </c>
      <c r="N55" s="309">
        <f>N28</f>
        <v>0</v>
      </c>
      <c r="O55" s="309">
        <f t="shared" ref="O55:T55" si="88">O28</f>
        <v>0</v>
      </c>
      <c r="P55" s="309">
        <f>P28</f>
        <v>0</v>
      </c>
      <c r="Q55" s="309">
        <f t="shared" si="88"/>
        <v>-836.6</v>
      </c>
      <c r="R55" s="309">
        <f>R28</f>
        <v>0</v>
      </c>
      <c r="S55" s="309">
        <f t="shared" si="88"/>
        <v>0</v>
      </c>
      <c r="T55" s="309">
        <f t="shared" si="88"/>
        <v>0</v>
      </c>
      <c r="U55" s="309">
        <f>U28</f>
        <v>0</v>
      </c>
      <c r="V55" s="309">
        <f t="shared" ref="V55:AK55" si="89">V28</f>
        <v>0</v>
      </c>
      <c r="W55" s="729">
        <f t="shared" ref="W55:X55" si="90">W28</f>
        <v>0</v>
      </c>
      <c r="X55" s="729">
        <f t="shared" si="90"/>
        <v>0</v>
      </c>
      <c r="Y55" s="729">
        <f t="shared" si="89"/>
        <v>0</v>
      </c>
      <c r="Z55" s="249">
        <f t="shared" si="89"/>
        <v>0</v>
      </c>
      <c r="AA55" s="729">
        <f t="shared" si="89"/>
        <v>0</v>
      </c>
      <c r="AB55" s="729">
        <f t="shared" ref="AB55" si="91">AB28</f>
        <v>0</v>
      </c>
      <c r="AC55" s="23">
        <f t="shared" si="89"/>
        <v>-41</v>
      </c>
      <c r="AD55" s="23">
        <f t="shared" si="89"/>
        <v>0.20000000000000284</v>
      </c>
      <c r="AE55" s="23">
        <f t="shared" si="89"/>
        <v>-40.799999999999997</v>
      </c>
      <c r="AF55" s="1299">
        <f t="shared" si="89"/>
        <v>0</v>
      </c>
      <c r="AG55" s="23">
        <f t="shared" si="89"/>
        <v>0</v>
      </c>
      <c r="AH55" s="23">
        <f t="shared" si="89"/>
        <v>0</v>
      </c>
      <c r="AI55" s="23">
        <f t="shared" si="89"/>
        <v>0</v>
      </c>
      <c r="AJ55" s="23">
        <f t="shared" si="89"/>
        <v>0</v>
      </c>
      <c r="AK55" s="23">
        <f t="shared" si="89"/>
        <v>0</v>
      </c>
      <c r="AL55" s="23">
        <f t="shared" ref="AL55:AQ55" si="92">AL28</f>
        <v>0</v>
      </c>
      <c r="AM55" s="23">
        <f t="shared" si="92"/>
        <v>0</v>
      </c>
      <c r="AN55" s="23">
        <f t="shared" si="92"/>
        <v>0</v>
      </c>
      <c r="AO55" s="23">
        <f t="shared" si="92"/>
        <v>0</v>
      </c>
      <c r="AP55" s="23">
        <f t="shared" si="92"/>
        <v>0</v>
      </c>
      <c r="AQ55" s="23">
        <f t="shared" si="92"/>
        <v>0</v>
      </c>
      <c r="AR55" s="12"/>
      <c r="AS55" s="13"/>
    </row>
    <row r="56" spans="1:45">
      <c r="A56" s="13" t="s">
        <v>430</v>
      </c>
      <c r="B56" s="844" t="s">
        <v>429</v>
      </c>
      <c r="C56" s="309">
        <f t="shared" ref="C56:M56" si="93">C35</f>
        <v>-4.09</v>
      </c>
      <c r="D56" s="309">
        <f t="shared" si="93"/>
        <v>5.7210000000000001</v>
      </c>
      <c r="E56" s="309">
        <f t="shared" si="93"/>
        <v>33.646999999999998</v>
      </c>
      <c r="F56" s="309">
        <f t="shared" si="93"/>
        <v>22.907</v>
      </c>
      <c r="G56" s="309">
        <f t="shared" si="93"/>
        <v>15.792999999999999</v>
      </c>
      <c r="H56" s="309">
        <f t="shared" si="93"/>
        <v>5.8410000000000002</v>
      </c>
      <c r="I56" s="309">
        <f t="shared" si="93"/>
        <v>-35.277999999999999</v>
      </c>
      <c r="J56" s="309">
        <f t="shared" si="93"/>
        <v>-20</v>
      </c>
      <c r="K56" s="309">
        <f t="shared" si="93"/>
        <v>163.334</v>
      </c>
      <c r="L56" s="309">
        <f t="shared" si="93"/>
        <v>-84.174000000000007</v>
      </c>
      <c r="M56" s="309">
        <f t="shared" si="93"/>
        <v>-26.21</v>
      </c>
      <c r="N56" s="309">
        <f>N35</f>
        <v>54.063000000000002</v>
      </c>
      <c r="O56" s="309">
        <f t="shared" ref="O56:T56" si="94">O35</f>
        <v>-40.113</v>
      </c>
      <c r="P56" s="309">
        <f t="shared" si="94"/>
        <v>-30</v>
      </c>
      <c r="Q56" s="309">
        <f t="shared" si="94"/>
        <v>450</v>
      </c>
      <c r="R56" s="309">
        <f>R35</f>
        <v>-89.7</v>
      </c>
      <c r="S56" s="309">
        <f t="shared" si="94"/>
        <v>-30.5</v>
      </c>
      <c r="T56" s="309">
        <f t="shared" si="94"/>
        <v>-440</v>
      </c>
      <c r="U56" s="309">
        <f t="shared" ref="U56:AK56" si="95">U35</f>
        <v>0</v>
      </c>
      <c r="V56" s="309">
        <f t="shared" si="95"/>
        <v>59.4</v>
      </c>
      <c r="W56" s="729">
        <f>W35</f>
        <v>-60</v>
      </c>
      <c r="X56" s="729">
        <f t="shared" ref="X56" si="96">X35</f>
        <v>50</v>
      </c>
      <c r="Y56" s="729">
        <f t="shared" si="95"/>
        <v>-10</v>
      </c>
      <c r="Z56" s="249">
        <f>Z35</f>
        <v>-50</v>
      </c>
      <c r="AA56" s="729">
        <f t="shared" ref="AA56:AB56" si="97">AA35</f>
        <v>15.200000000000003</v>
      </c>
      <c r="AB56" s="729">
        <f t="shared" si="97"/>
        <v>-34.799999999999997</v>
      </c>
      <c r="AC56" s="23">
        <f t="shared" si="95"/>
        <v>-15</v>
      </c>
      <c r="AD56" s="23">
        <f t="shared" si="95"/>
        <v>-1.3999999999999986</v>
      </c>
      <c r="AE56" s="23">
        <f t="shared" si="95"/>
        <v>-16.399999999999999</v>
      </c>
      <c r="AF56" s="1299">
        <f t="shared" si="95"/>
        <v>0</v>
      </c>
      <c r="AG56" s="23">
        <f t="shared" si="95"/>
        <v>0</v>
      </c>
      <c r="AH56" s="23">
        <f t="shared" si="95"/>
        <v>0</v>
      </c>
      <c r="AI56" s="23">
        <f t="shared" si="95"/>
        <v>0</v>
      </c>
      <c r="AJ56" s="23">
        <f t="shared" si="95"/>
        <v>0</v>
      </c>
      <c r="AK56" s="23">
        <f t="shared" si="95"/>
        <v>0</v>
      </c>
      <c r="AL56" s="23">
        <f t="shared" ref="AL56:AQ56" si="98">AL35</f>
        <v>0</v>
      </c>
      <c r="AM56" s="23">
        <f t="shared" si="98"/>
        <v>0</v>
      </c>
      <c r="AN56" s="23">
        <f t="shared" si="98"/>
        <v>0</v>
      </c>
      <c r="AO56" s="23">
        <f t="shared" si="98"/>
        <v>0</v>
      </c>
      <c r="AP56" s="23">
        <f t="shared" si="98"/>
        <v>0</v>
      </c>
      <c r="AQ56" s="23">
        <f t="shared" si="98"/>
        <v>0</v>
      </c>
      <c r="AR56" s="12"/>
      <c r="AS56" s="13"/>
    </row>
    <row r="57" spans="1:45">
      <c r="A57" s="37"/>
      <c r="B57" s="851"/>
      <c r="C57" s="852"/>
      <c r="D57" s="854"/>
      <c r="E57" s="853"/>
      <c r="F57" s="853"/>
      <c r="G57" s="853"/>
      <c r="H57" s="853"/>
      <c r="I57" s="853"/>
      <c r="J57" s="853"/>
      <c r="K57" s="853"/>
      <c r="L57" s="853"/>
      <c r="M57" s="853"/>
      <c r="N57" s="853"/>
      <c r="O57" s="853"/>
      <c r="P57" s="853"/>
      <c r="Q57" s="853"/>
      <c r="R57" s="853"/>
      <c r="S57" s="853"/>
      <c r="T57" s="853"/>
      <c r="U57" s="853"/>
      <c r="V57" s="853"/>
      <c r="W57" s="854"/>
      <c r="X57" s="854"/>
      <c r="Y57" s="854"/>
      <c r="Z57" s="1387"/>
      <c r="AA57" s="854"/>
      <c r="AB57" s="854"/>
      <c r="AC57" s="34"/>
      <c r="AD57" s="34"/>
      <c r="AE57" s="34"/>
      <c r="AF57" s="1551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7"/>
      <c r="AS57" s="37"/>
    </row>
    <row r="58" spans="1:45">
      <c r="A58" s="37"/>
      <c r="B58" s="876" t="s">
        <v>181</v>
      </c>
      <c r="C58" s="852"/>
      <c r="D58" s="854"/>
      <c r="E58" s="853"/>
      <c r="F58" s="853"/>
      <c r="G58" s="853"/>
      <c r="H58" s="853"/>
      <c r="I58" s="853"/>
      <c r="J58" s="853"/>
      <c r="K58" s="853"/>
      <c r="L58" s="853"/>
      <c r="M58" s="853"/>
      <c r="N58" s="853"/>
      <c r="O58" s="853"/>
      <c r="P58" s="853"/>
      <c r="Q58" s="853"/>
      <c r="R58" s="853"/>
      <c r="S58" s="853"/>
      <c r="T58" s="853"/>
      <c r="U58" s="853"/>
      <c r="V58" s="853"/>
      <c r="W58" s="854"/>
      <c r="X58" s="854"/>
      <c r="Y58" s="854"/>
      <c r="Z58" s="1387"/>
      <c r="AA58" s="854"/>
      <c r="AB58" s="854"/>
      <c r="AC58" s="34"/>
      <c r="AD58" s="34"/>
      <c r="AE58" s="34"/>
      <c r="AF58" s="1551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7"/>
      <c r="AS58" s="37"/>
    </row>
    <row r="59" spans="1:45" hidden="1" outlineLevel="1">
      <c r="A59" s="37"/>
      <c r="B59" s="851"/>
      <c r="C59" s="852"/>
      <c r="D59" s="854"/>
      <c r="E59" s="853"/>
      <c r="F59" s="853"/>
      <c r="G59" s="853"/>
      <c r="H59" s="853"/>
      <c r="I59" s="853"/>
      <c r="J59" s="853"/>
      <c r="K59" s="853"/>
      <c r="L59" s="853"/>
      <c r="M59" s="853"/>
      <c r="N59" s="853"/>
      <c r="O59" s="853"/>
      <c r="P59" s="853"/>
      <c r="Q59" s="853"/>
      <c r="R59" s="853"/>
      <c r="S59" s="853"/>
      <c r="T59" s="853"/>
      <c r="U59" s="853"/>
      <c r="V59" s="853"/>
      <c r="W59" s="854"/>
      <c r="X59" s="854"/>
      <c r="Y59" s="854"/>
      <c r="Z59" s="1387"/>
      <c r="AA59" s="854"/>
      <c r="AB59" s="854"/>
      <c r="AC59" s="34"/>
      <c r="AD59" s="34"/>
      <c r="AE59" s="34"/>
      <c r="AF59" s="1551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7"/>
      <c r="AS59" s="37"/>
    </row>
    <row r="60" spans="1:45" hidden="1" outlineLevel="1">
      <c r="A60" s="37"/>
      <c r="B60" s="877" t="s">
        <v>182</v>
      </c>
      <c r="C60" s="906">
        <f>'P&amp;L'!C139</f>
        <v>16.781000000000002</v>
      </c>
      <c r="D60" s="906">
        <f>'P&amp;L'!F139</f>
        <v>22.731999999999999</v>
      </c>
      <c r="E60" s="906">
        <f>'P&amp;L'!I139</f>
        <v>37.031999999999996</v>
      </c>
      <c r="F60" s="906">
        <f>'P&amp;L'!L139</f>
        <v>44.561</v>
      </c>
      <c r="G60" s="906">
        <f>'P&amp;L'!O139</f>
        <v>65.534000000000006</v>
      </c>
      <c r="H60" s="906">
        <f>'P&amp;L'!R139</f>
        <v>102.29899999999999</v>
      </c>
      <c r="I60" s="906">
        <f>'P&amp;L'!U139</f>
        <v>141.96600000000001</v>
      </c>
      <c r="J60" s="906">
        <f>'P&amp;L'!X139</f>
        <v>175.11</v>
      </c>
      <c r="K60" s="906">
        <f>'P&amp;L'!AA139</f>
        <v>196.01300000000001</v>
      </c>
      <c r="L60" s="906">
        <f>'P&amp;L'!AD139</f>
        <v>161.459</v>
      </c>
      <c r="M60" s="906">
        <f>'P&amp;L'!AG139</f>
        <v>177.75300000000001</v>
      </c>
      <c r="N60" s="906">
        <f>'P&amp;L'!AJ139</f>
        <v>191.12</v>
      </c>
      <c r="O60" s="906">
        <f>'P&amp;L'!AM139</f>
        <v>200.90700000000001</v>
      </c>
      <c r="P60" s="906">
        <f>'P&amp;L'!AP139</f>
        <v>221.17500000000001</v>
      </c>
      <c r="Q60" s="906">
        <f>'P&amp;L'!AS139</f>
        <v>306.39999999999998</v>
      </c>
      <c r="R60" s="906">
        <f>'P&amp;L'!AV139</f>
        <v>350.59999999999997</v>
      </c>
      <c r="S60" s="906">
        <f>'P&amp;L'!AY139</f>
        <v>372.90000000000003</v>
      </c>
      <c r="T60" s="906">
        <f>'P&amp;L'!BB139</f>
        <v>502.90000000000003</v>
      </c>
      <c r="U60" s="906">
        <f>'P&amp;L'!BE139</f>
        <v>743.1</v>
      </c>
      <c r="V60" s="906">
        <f>'P&amp;L'!BH139</f>
        <v>794.59999999999991</v>
      </c>
      <c r="W60" s="1215">
        <f>'P&amp;L'!BI139</f>
        <v>479.2</v>
      </c>
      <c r="X60" s="1097"/>
      <c r="Y60" s="1215">
        <f>'P&amp;L'!BK139</f>
        <v>769</v>
      </c>
      <c r="Z60" s="1388">
        <f>'P&amp;L'!BL139</f>
        <v>386.7</v>
      </c>
      <c r="AA60" s="1097"/>
      <c r="AB60" s="1215">
        <f>'P&amp;L'!BN139</f>
        <v>647.19999999999993</v>
      </c>
      <c r="AC60" s="1678"/>
      <c r="AD60" s="1678"/>
      <c r="AE60" s="1678"/>
      <c r="AF60" s="1552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37"/>
      <c r="AS60" s="37"/>
    </row>
    <row r="61" spans="1:45" hidden="1" outlineLevel="1">
      <c r="A61" s="37"/>
      <c r="B61" s="537"/>
      <c r="C61" s="848"/>
      <c r="D61" s="848"/>
      <c r="E61" s="848"/>
      <c r="F61" s="848"/>
      <c r="G61" s="848"/>
      <c r="H61" s="848"/>
      <c r="I61" s="891"/>
      <c r="J61" s="891"/>
      <c r="K61" s="891"/>
      <c r="L61" s="891"/>
      <c r="M61" s="891"/>
      <c r="N61" s="891"/>
      <c r="O61" s="891"/>
      <c r="P61" s="891"/>
      <c r="Q61" s="891"/>
      <c r="R61" s="891"/>
      <c r="S61" s="891"/>
      <c r="T61" s="891"/>
      <c r="U61" s="891"/>
      <c r="V61" s="891"/>
      <c r="W61" s="1216"/>
      <c r="X61" s="1216"/>
      <c r="Y61" s="1216"/>
      <c r="Z61" s="1389"/>
      <c r="AA61" s="1216"/>
      <c r="AB61" s="1216"/>
      <c r="AC61" s="53"/>
      <c r="AD61" s="53"/>
      <c r="AE61" s="53"/>
      <c r="AF61" s="15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37"/>
      <c r="AS61" s="37"/>
    </row>
    <row r="62" spans="1:45" hidden="1" outlineLevel="1">
      <c r="A62" s="37"/>
      <c r="B62" s="537" t="s">
        <v>183</v>
      </c>
      <c r="C62" s="848">
        <f t="shared" ref="C62:V62" si="99">C16</f>
        <v>1.319</v>
      </c>
      <c r="D62" s="848">
        <f t="shared" si="99"/>
        <v>3.1680000000000001</v>
      </c>
      <c r="E62" s="848">
        <f t="shared" si="99"/>
        <v>5.2679999999999998</v>
      </c>
      <c r="F62" s="848">
        <f t="shared" si="99"/>
        <v>7.4390000000000001</v>
      </c>
      <c r="G62" s="848">
        <f t="shared" si="99"/>
        <v>10.853999999999999</v>
      </c>
      <c r="H62" s="848">
        <f t="shared" si="99"/>
        <v>14.690999999999999</v>
      </c>
      <c r="I62" s="848">
        <f t="shared" si="99"/>
        <v>18.748999999999999</v>
      </c>
      <c r="J62" s="848">
        <f t="shared" si="99"/>
        <v>23.277000000000001</v>
      </c>
      <c r="K62" s="848">
        <f t="shared" si="99"/>
        <v>27.286999999999999</v>
      </c>
      <c r="L62" s="848">
        <f t="shared" si="99"/>
        <v>30.754000000000001</v>
      </c>
      <c r="M62" s="848">
        <f t="shared" si="99"/>
        <v>33.231999999999999</v>
      </c>
      <c r="N62" s="848">
        <f t="shared" si="99"/>
        <v>35.53</v>
      </c>
      <c r="O62" s="848">
        <f t="shared" si="99"/>
        <v>39.124000000000002</v>
      </c>
      <c r="P62" s="848">
        <f t="shared" si="99"/>
        <v>40.901000000000003</v>
      </c>
      <c r="Q62" s="848">
        <f t="shared" si="99"/>
        <v>53.900000000000006</v>
      </c>
      <c r="R62" s="848">
        <f t="shared" si="99"/>
        <v>61.1</v>
      </c>
      <c r="S62" s="848">
        <f t="shared" si="99"/>
        <v>56.2</v>
      </c>
      <c r="T62" s="848">
        <f t="shared" si="99"/>
        <v>229.3</v>
      </c>
      <c r="U62" s="848">
        <f t="shared" si="99"/>
        <v>218.5</v>
      </c>
      <c r="V62" s="848">
        <f t="shared" si="99"/>
        <v>219.3</v>
      </c>
      <c r="W62" s="1216">
        <f t="shared" ref="W62" si="100">W16</f>
        <v>113.40000000000003</v>
      </c>
      <c r="X62" s="931"/>
      <c r="Y62" s="1216">
        <f t="shared" ref="Y62" si="101">Y16</f>
        <v>224.2</v>
      </c>
      <c r="Z62" s="1389">
        <f t="shared" ref="Z62" si="102">Z16</f>
        <v>118.5</v>
      </c>
      <c r="AA62" s="931"/>
      <c r="AB62" s="1216">
        <f t="shared" ref="AB62" si="103">AB16</f>
        <v>237.1</v>
      </c>
      <c r="AC62" s="1679"/>
      <c r="AD62" s="1679"/>
      <c r="AE62" s="1679"/>
      <c r="AF62" s="1554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37"/>
      <c r="AS62" s="37"/>
    </row>
    <row r="63" spans="1:45" hidden="1" outlineLevel="1">
      <c r="A63" s="37"/>
      <c r="B63" s="537" t="s">
        <v>184</v>
      </c>
      <c r="C63" s="848">
        <f t="shared" ref="C63:M63" si="104">C26</f>
        <v>-6.2530000000000001</v>
      </c>
      <c r="D63" s="848">
        <f t="shared" si="104"/>
        <v>-10.282</v>
      </c>
      <c r="E63" s="848">
        <f t="shared" si="104"/>
        <v>-15.811999999999999</v>
      </c>
      <c r="F63" s="848">
        <f t="shared" si="104"/>
        <v>-29.045999999999999</v>
      </c>
      <c r="G63" s="848">
        <f t="shared" si="104"/>
        <v>-34.405999999999999</v>
      </c>
      <c r="H63" s="848">
        <f t="shared" si="104"/>
        <v>-51.573</v>
      </c>
      <c r="I63" s="848">
        <f t="shared" si="104"/>
        <v>-44.444000000000003</v>
      </c>
      <c r="J63" s="848">
        <f t="shared" si="104"/>
        <v>-54.46</v>
      </c>
      <c r="K63" s="848">
        <f t="shared" si="104"/>
        <v>-45.063000000000002</v>
      </c>
      <c r="L63" s="848">
        <f t="shared" si="104"/>
        <v>-46.078000000000003</v>
      </c>
      <c r="M63" s="848">
        <f t="shared" si="104"/>
        <v>-35.307000000000002</v>
      </c>
      <c r="N63" s="848">
        <f>N26</f>
        <v>-35.914000000000001</v>
      </c>
      <c r="O63" s="848">
        <f t="shared" ref="O63:T63" si="105">O26</f>
        <v>-42.466000000000001</v>
      </c>
      <c r="P63" s="848">
        <f t="shared" si="105"/>
        <v>-52.343000000000004</v>
      </c>
      <c r="Q63" s="848">
        <f t="shared" si="105"/>
        <v>-49.1</v>
      </c>
      <c r="R63" s="848">
        <f>R26</f>
        <v>-54.4</v>
      </c>
      <c r="S63" s="848">
        <f t="shared" si="105"/>
        <v>-59.3</v>
      </c>
      <c r="T63" s="848">
        <f t="shared" si="105"/>
        <v>-43.1</v>
      </c>
      <c r="U63" s="848">
        <f>U26</f>
        <v>-57.7</v>
      </c>
      <c r="V63" s="848">
        <f>V26</f>
        <v>-57.6</v>
      </c>
      <c r="W63" s="1216">
        <f>W26</f>
        <v>-34.1</v>
      </c>
      <c r="X63" s="931"/>
      <c r="Y63" s="1216">
        <f>Y26</f>
        <v>-72</v>
      </c>
      <c r="Z63" s="1389">
        <f>Z26</f>
        <v>-36.700000000000003</v>
      </c>
      <c r="AA63" s="931"/>
      <c r="AB63" s="1216">
        <f>AB26</f>
        <v>-74.5</v>
      </c>
      <c r="AC63" s="1679"/>
      <c r="AD63" s="1679"/>
      <c r="AE63" s="1679"/>
      <c r="AF63" s="1554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37"/>
      <c r="AS63" s="37"/>
    </row>
    <row r="64" spans="1:45" hidden="1" outlineLevel="1">
      <c r="A64" s="37"/>
      <c r="B64" s="537" t="s">
        <v>185</v>
      </c>
      <c r="C64" s="848">
        <f t="shared" ref="C64:M64" si="106">C20</f>
        <v>0</v>
      </c>
      <c r="D64" s="848">
        <f t="shared" si="106"/>
        <v>-4.7020000000000017</v>
      </c>
      <c r="E64" s="848">
        <f t="shared" si="106"/>
        <v>-29.268999999999991</v>
      </c>
      <c r="F64" s="848">
        <f t="shared" si="106"/>
        <v>-22.831000000000003</v>
      </c>
      <c r="G64" s="848">
        <f t="shared" si="106"/>
        <v>-4.3219999999999885</v>
      </c>
      <c r="H64" s="848">
        <f t="shared" si="106"/>
        <v>-47.790999999999983</v>
      </c>
      <c r="I64" s="848">
        <f t="shared" si="106"/>
        <v>7.9319999999999595</v>
      </c>
      <c r="J64" s="848">
        <f t="shared" si="106"/>
        <v>2.0899999999999892</v>
      </c>
      <c r="K64" s="848">
        <f t="shared" si="106"/>
        <v>-54.842000000000013</v>
      </c>
      <c r="L64" s="848">
        <f t="shared" si="106"/>
        <v>77.725000000000023</v>
      </c>
      <c r="M64" s="848">
        <f t="shared" si="106"/>
        <v>-17.36099999999999</v>
      </c>
      <c r="N64" s="848">
        <f>N20</f>
        <v>-123.16500000000001</v>
      </c>
      <c r="O64" s="848">
        <f t="shared" ref="O64:T64" si="107">O20</f>
        <v>-8.3559999999999803</v>
      </c>
      <c r="P64" s="848">
        <f t="shared" si="107"/>
        <v>-24.835000000000008</v>
      </c>
      <c r="Q64" s="848">
        <f t="shared" si="107"/>
        <v>-149.11799999999999</v>
      </c>
      <c r="R64" s="848">
        <f>R20</f>
        <v>-21.80000000000004</v>
      </c>
      <c r="S64" s="848">
        <f t="shared" si="107"/>
        <v>-37.899999999999949</v>
      </c>
      <c r="T64" s="848">
        <f t="shared" si="107"/>
        <v>362.90000000000009</v>
      </c>
      <c r="U64" s="848">
        <f>U20</f>
        <v>-267.5</v>
      </c>
      <c r="V64" s="848">
        <f>V20</f>
        <v>-173.29999999999995</v>
      </c>
      <c r="W64" s="1216">
        <f>W20</f>
        <v>208.99999999999991</v>
      </c>
      <c r="X64" s="931"/>
      <c r="Y64" s="1216">
        <f>Y20</f>
        <v>19.399999999999835</v>
      </c>
      <c r="Z64" s="1389">
        <f>Z20</f>
        <v>189.50000000000017</v>
      </c>
      <c r="AA64" s="931"/>
      <c r="AB64" s="1216">
        <f>AB20</f>
        <v>19.000000000000142</v>
      </c>
      <c r="AC64" s="1679"/>
      <c r="AD64" s="1679"/>
      <c r="AE64" s="1679"/>
      <c r="AF64" s="1554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37"/>
      <c r="AS64" s="37"/>
    </row>
    <row r="65" spans="1:45" hidden="1" outlineLevel="1">
      <c r="A65" s="37"/>
      <c r="B65" s="537" t="s">
        <v>186</v>
      </c>
      <c r="C65" s="848"/>
      <c r="D65" s="848"/>
      <c r="E65" s="848"/>
      <c r="F65" s="848"/>
      <c r="G65" s="848"/>
      <c r="H65" s="848"/>
      <c r="I65" s="848"/>
      <c r="J65" s="848"/>
      <c r="K65" s="848"/>
      <c r="L65" s="848"/>
      <c r="M65" s="848"/>
      <c r="N65" s="848"/>
      <c r="O65" s="848"/>
      <c r="P65" s="848"/>
      <c r="Q65" s="848"/>
      <c r="R65" s="848"/>
      <c r="S65" s="848"/>
      <c r="T65" s="848"/>
      <c r="U65" s="848"/>
      <c r="V65" s="848"/>
      <c r="W65" s="1216"/>
      <c r="X65" s="931"/>
      <c r="Y65" s="1216"/>
      <c r="Z65" s="1389"/>
      <c r="AA65" s="931"/>
      <c r="AB65" s="1216"/>
      <c r="AC65" s="1679"/>
      <c r="AD65" s="1679"/>
      <c r="AE65" s="1679"/>
      <c r="AF65" s="1554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37"/>
      <c r="AS65" s="37"/>
    </row>
    <row r="66" spans="1:45" hidden="1" outlineLevel="1">
      <c r="A66" s="93" t="s">
        <v>284</v>
      </c>
      <c r="B66" s="537" t="s">
        <v>187</v>
      </c>
      <c r="C66" s="848">
        <f>VLOOKUP($A$66,'P&amp;L'!1:1048576,MATCH(C4,'P&amp;L'!4:4,FALSE),FALSE)</f>
        <v>-4.1070000000000002</v>
      </c>
      <c r="D66" s="848">
        <f>VLOOKUP($A$66,'P&amp;L'!1:1048576,MATCH(D4,'P&amp;L'!4:4,FALSE),FALSE)</f>
        <v>-2.702</v>
      </c>
      <c r="E66" s="848">
        <f>VLOOKUP($A$66,'P&amp;L'!1:1048576,MATCH(E4,'P&amp;L'!4:4,FALSE),FALSE)</f>
        <v>-5.1449999999999996</v>
      </c>
      <c r="F66" s="848">
        <f>VLOOKUP($A$66,'P&amp;L'!1:1048576,MATCH(F4,'P&amp;L'!4:4,FALSE),FALSE)</f>
        <v>-5.7380000000000004</v>
      </c>
      <c r="G66" s="848">
        <f>VLOOKUP($A$66,'P&amp;L'!1:1048576,MATCH(G4,'P&amp;L'!4:4,FALSE),FALSE)</f>
        <v>-6.1549999999999994</v>
      </c>
      <c r="H66" s="848">
        <f>VLOOKUP($A$66,'P&amp;L'!1:1048576,MATCH(H4,'P&amp;L'!4:4,FALSE),FALSE)</f>
        <v>-8.2890000000000015</v>
      </c>
      <c r="I66" s="848">
        <f>VLOOKUP($A$66,'P&amp;L'!1:1048576,MATCH(I4,'P&amp;L'!4:4,FALSE),FALSE)</f>
        <v>-6.4739999999999993</v>
      </c>
      <c r="J66" s="848">
        <f>VLOOKUP($A$66,'P&amp;L'!1:1048576,MATCH(J4,'P&amp;L'!4:4,FALSE),FALSE)</f>
        <v>-5.5090000000000003</v>
      </c>
      <c r="K66" s="848">
        <f>VLOOKUP($A$66,'P&amp;L'!1:1048576,MATCH(K4,'P&amp;L'!4:4,FALSE),FALSE)</f>
        <v>-4.032</v>
      </c>
      <c r="L66" s="848">
        <f>VLOOKUP($A$66,'P&amp;L'!1:1048576,MATCH(L4,'P&amp;L'!4:4,FALSE),FALSE)</f>
        <v>-13.086</v>
      </c>
      <c r="M66" s="848">
        <f>VLOOKUP($A$66,'P&amp;L'!1:1048576,MATCH(M4,'P&amp;L'!4:4,FALSE),FALSE)</f>
        <v>-9.7010000000000005</v>
      </c>
      <c r="N66" s="848">
        <f>VLOOKUP($A$66,'P&amp;L'!1:1048576,MATCH(N4,'P&amp;L'!4:4,FALSE),FALSE)</f>
        <v>-8.4430000000000014</v>
      </c>
      <c r="O66" s="848">
        <f>VLOOKUP($A$66,'P&amp;L'!1:1048576,MATCH(O4,'P&amp;L'!4:4,FALSE),FALSE)</f>
        <v>-5.375</v>
      </c>
      <c r="P66" s="848">
        <f>VLOOKUP($A$66,'P&amp;L'!1:1048576,MATCH(P4,'P&amp;L'!4:4,FALSE),FALSE)</f>
        <v>-3.3359999999999999</v>
      </c>
      <c r="Q66" s="848">
        <f>VLOOKUP($A$66,'P&amp;L'!1:1048576,MATCH(Q4,'P&amp;L'!4:4,FALSE),FALSE)</f>
        <v>-9</v>
      </c>
      <c r="R66" s="848">
        <f>VLOOKUP($A$66,'P&amp;L'!1:1048576,MATCH(R4,'P&amp;L'!4:4,FALSE),FALSE)</f>
        <v>-16.100000000000001</v>
      </c>
      <c r="S66" s="848">
        <f>VLOOKUP($A$66,'P&amp;L'!1:1048576,MATCH(S4,'P&amp;L'!4:4,FALSE),FALSE)</f>
        <v>-13.600000000000001</v>
      </c>
      <c r="T66" s="848">
        <f>VLOOKUP($A$66,'P&amp;L'!1:1048576,MATCH(T4,'P&amp;L'!4:4,FALSE),FALSE)</f>
        <v>-35.299999999999997</v>
      </c>
      <c r="U66" s="848">
        <f>VLOOKUP($A$66,'P&amp;L'!1:1048576,MATCH(U4,'P&amp;L'!4:4,FALSE),FALSE)</f>
        <v>-19.7</v>
      </c>
      <c r="V66" s="848">
        <f>VLOOKUP($A$66,'P&amp;L'!1:1048576,MATCH(V4,'P&amp;L'!4:4,FALSE),FALSE)</f>
        <v>-19.299999999999997</v>
      </c>
      <c r="W66" s="1216">
        <f>VLOOKUP($A$66,'P&amp;L'!1:1048576,MATCH(W4,'P&amp;L'!4:4,FALSE),FALSE)</f>
        <v>-9</v>
      </c>
      <c r="X66" s="931"/>
      <c r="Y66" s="1216">
        <f>VLOOKUP($A$66,'P&amp;L'!1:1048576,MATCH(Y4,'P&amp;L'!4:4,FALSE),FALSE)</f>
        <v>-21.9</v>
      </c>
      <c r="Z66" s="1389">
        <f>VLOOKUP($A$66,'P&amp;L'!1:1048576,MATCH(Z4,'P&amp;L'!4:4,FALSE),FALSE)</f>
        <v>-9.4</v>
      </c>
      <c r="AA66" s="931"/>
      <c r="AB66" s="1216">
        <f>VLOOKUP($A$66,'P&amp;L'!1:1048576,MATCH(AB4,'P&amp;L'!4:4,FALSE),FALSE)</f>
        <v>-19.8</v>
      </c>
      <c r="AC66" s="1679"/>
      <c r="AD66" s="1679"/>
      <c r="AE66" s="1679"/>
      <c r="AF66" s="1554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37"/>
      <c r="AS66" s="37"/>
    </row>
    <row r="67" spans="1:45" hidden="1" outlineLevel="1">
      <c r="A67" s="93" t="s">
        <v>288</v>
      </c>
      <c r="B67" s="537" t="s">
        <v>188</v>
      </c>
      <c r="C67" s="848">
        <f>VLOOKUP($A$67,'P&amp;L'!1:1048576,MATCH(C4,'P&amp;L'!4:4,FALSE),FALSE)</f>
        <v>-3.7160000000000002</v>
      </c>
      <c r="D67" s="848">
        <f>VLOOKUP($A$67,'P&amp;L'!1:1048576,MATCH(D4,'P&amp;L'!4:4,FALSE),FALSE)</f>
        <v>-5.899</v>
      </c>
      <c r="E67" s="848">
        <f>VLOOKUP($A$67,'P&amp;L'!1:1048576,MATCH(E4,'P&amp;L'!4:4,FALSE),FALSE)</f>
        <v>-9.4420000000000002</v>
      </c>
      <c r="F67" s="848">
        <f>VLOOKUP($A$67,'P&amp;L'!1:1048576,MATCH(F4,'P&amp;L'!4:4,FALSE),FALSE)</f>
        <v>-11.954000000000001</v>
      </c>
      <c r="G67" s="848">
        <f>VLOOKUP($A$67,'P&amp;L'!1:1048576,MATCH(G4,'P&amp;L'!4:4,FALSE),FALSE)</f>
        <v>-18.003</v>
      </c>
      <c r="H67" s="848">
        <f>VLOOKUP($A$67,'P&amp;L'!1:1048576,MATCH(H4,'P&amp;L'!4:4,FALSE),FALSE)</f>
        <v>-28.875</v>
      </c>
      <c r="I67" s="848">
        <f>VLOOKUP($A$67,'P&amp;L'!1:1048576,MATCH(I4,'P&amp;L'!4:4,FALSE),FALSE)</f>
        <v>-41.055</v>
      </c>
      <c r="J67" s="848">
        <f>VLOOKUP($A$67,'P&amp;L'!1:1048576,MATCH(J4,'P&amp;L'!4:4,FALSE),FALSE)</f>
        <v>-50.948999999999998</v>
      </c>
      <c r="K67" s="848">
        <f>VLOOKUP($A$67,'P&amp;L'!1:1048576,MATCH(K4,'P&amp;L'!4:4,FALSE),FALSE)</f>
        <v>-48.886000000000003</v>
      </c>
      <c r="L67" s="848">
        <f>VLOOKUP($A$67,'P&amp;L'!1:1048576,MATCH(L4,'P&amp;L'!4:4,FALSE),FALSE)</f>
        <v>-43.731999999999999</v>
      </c>
      <c r="M67" s="848">
        <f>VLOOKUP($A$67,'P&amp;L'!1:1048576,MATCH(M4,'P&amp;L'!4:4,FALSE),FALSE)</f>
        <v>-51.42</v>
      </c>
      <c r="N67" s="848">
        <f>VLOOKUP($A$67,'P&amp;L'!1:1048576,MATCH(N4,'P&amp;L'!4:4,FALSE),FALSE)</f>
        <v>-54.23</v>
      </c>
      <c r="O67" s="848">
        <f>VLOOKUP($A$67,'P&amp;L'!1:1048576,MATCH(O4,'P&amp;L'!4:4,FALSE),FALSE)</f>
        <v>-59.021000000000001</v>
      </c>
      <c r="P67" s="848">
        <f>VLOOKUP($A$67,'P&amp;L'!1:1048576,MATCH(P4,'P&amp;L'!4:4,FALSE),FALSE)</f>
        <v>-65.658000000000001</v>
      </c>
      <c r="Q67" s="848">
        <f>VLOOKUP($A$67,'P&amp;L'!1:1048576,MATCH(Q4,'P&amp;L'!4:4,FALSE),FALSE)</f>
        <v>-86.8</v>
      </c>
      <c r="R67" s="848">
        <f>VLOOKUP($A$67,'P&amp;L'!1:1048576,MATCH(R4,'P&amp;L'!4:4,FALSE),FALSE)</f>
        <v>-101.3</v>
      </c>
      <c r="S67" s="848">
        <f>VLOOKUP($A$67,'P&amp;L'!1:1048576,MATCH(S4,'P&amp;L'!4:4,FALSE),FALSE)</f>
        <v>-109.5</v>
      </c>
      <c r="T67" s="848">
        <f>VLOOKUP($A$67,'P&amp;L'!1:1048576,MATCH(T4,'P&amp;L'!4:4,FALSE),FALSE)</f>
        <v>-145.69999999999999</v>
      </c>
      <c r="U67" s="848">
        <f>VLOOKUP($A$67,'P&amp;L'!1:1048576,MATCH(U4,'P&amp;L'!4:4,FALSE),FALSE)</f>
        <v>-213.9</v>
      </c>
      <c r="V67" s="848">
        <f>VLOOKUP($A$67,'P&amp;L'!1:1048576,MATCH(V4,'P&amp;L'!4:4,FALSE),FALSE)</f>
        <v>-230.4</v>
      </c>
      <c r="W67" s="1216">
        <f>VLOOKUP($A$67,'P&amp;L'!1:1048576,MATCH(W4,'P&amp;L'!4:4,FALSE),FALSE)</f>
        <v>-140.30000000000001</v>
      </c>
      <c r="X67" s="931"/>
      <c r="Y67" s="1216">
        <f>VLOOKUP($A$67,'P&amp;L'!1:1048576,MATCH(Y4,'P&amp;L'!4:4,FALSE),FALSE)</f>
        <v>-222.5</v>
      </c>
      <c r="Z67" s="1389">
        <f>VLOOKUP($A$67,'P&amp;L'!1:1048576,MATCH(Z4,'P&amp;L'!4:4,FALSE),FALSE)</f>
        <v>-113</v>
      </c>
      <c r="AA67" s="931"/>
      <c r="AB67" s="1216">
        <f>VLOOKUP($A$67,'P&amp;L'!1:1048576,MATCH(AB4,'P&amp;L'!4:4,FALSE),FALSE)</f>
        <v>-188.6</v>
      </c>
      <c r="AC67" s="1679"/>
      <c r="AD67" s="1679"/>
      <c r="AE67" s="1679"/>
      <c r="AF67" s="1554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37"/>
      <c r="AS67" s="37"/>
    </row>
    <row r="68" spans="1:45" hidden="1" outlineLevel="1">
      <c r="A68" s="37"/>
      <c r="B68" s="537" t="s">
        <v>90</v>
      </c>
      <c r="C68" s="848">
        <f t="shared" ref="C68:M68" si="108">+C21</f>
        <v>8.9459999999999642</v>
      </c>
      <c r="D68" s="848">
        <f t="shared" si="108"/>
        <v>-0.86200000000000898</v>
      </c>
      <c r="E68" s="848">
        <f t="shared" si="108"/>
        <v>-7.5660000000000025</v>
      </c>
      <c r="F68" s="848">
        <f t="shared" si="108"/>
        <v>-2.2660000000000391</v>
      </c>
      <c r="G68" s="848">
        <f t="shared" si="108"/>
        <v>8.6640000000000654</v>
      </c>
      <c r="H68" s="848">
        <f t="shared" si="108"/>
        <v>1.1050000000001532</v>
      </c>
      <c r="I68" s="891">
        <f t="shared" si="108"/>
        <v>16.422999999999973</v>
      </c>
      <c r="J68" s="891">
        <f t="shared" si="108"/>
        <v>1.1270000000000095</v>
      </c>
      <c r="K68" s="891">
        <f t="shared" si="108"/>
        <v>21.536999999999836</v>
      </c>
      <c r="L68" s="891">
        <f t="shared" si="108"/>
        <v>-11.766999999999967</v>
      </c>
      <c r="M68" s="891">
        <f t="shared" si="108"/>
        <v>13.751000000000175</v>
      </c>
      <c r="N68" s="891">
        <f>+N21</f>
        <v>-8.3310000000001452</v>
      </c>
      <c r="O68" s="891"/>
      <c r="P68" s="891"/>
      <c r="Q68" s="891"/>
      <c r="R68" s="891"/>
      <c r="S68" s="891"/>
      <c r="T68" s="891"/>
      <c r="U68" s="891"/>
      <c r="V68" s="891"/>
      <c r="W68" s="1216"/>
      <c r="X68" s="1216"/>
      <c r="Y68" s="1216"/>
      <c r="Z68" s="1389"/>
      <c r="AA68" s="1216"/>
      <c r="AB68" s="1216"/>
      <c r="AC68" s="53"/>
      <c r="AD68" s="53"/>
      <c r="AE68" s="53"/>
      <c r="AF68" s="15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37"/>
      <c r="AS68" s="37"/>
    </row>
    <row r="69" spans="1:45" hidden="1" outlineLevel="1">
      <c r="A69" s="149"/>
      <c r="B69" s="877" t="s">
        <v>189</v>
      </c>
      <c r="C69" s="1097">
        <f t="shared" ref="C69:M69" si="109">SUM(C60:C68)</f>
        <v>12.969999999999965</v>
      </c>
      <c r="D69" s="906">
        <f t="shared" si="109"/>
        <v>1.4529999999999879</v>
      </c>
      <c r="E69" s="906">
        <f t="shared" si="109"/>
        <v>-24.933999999999994</v>
      </c>
      <c r="F69" s="906">
        <f t="shared" si="109"/>
        <v>-19.835000000000043</v>
      </c>
      <c r="G69" s="906">
        <f t="shared" si="109"/>
        <v>22.166000000000082</v>
      </c>
      <c r="H69" s="906">
        <f t="shared" si="109"/>
        <v>-18.432999999999829</v>
      </c>
      <c r="I69" s="906">
        <f t="shared" si="109"/>
        <v>93.096999999999923</v>
      </c>
      <c r="J69" s="906">
        <f t="shared" si="109"/>
        <v>90.685999999999993</v>
      </c>
      <c r="K69" s="906">
        <f t="shared" si="109"/>
        <v>92.013999999999839</v>
      </c>
      <c r="L69" s="906">
        <f t="shared" si="109"/>
        <v>155.27500000000003</v>
      </c>
      <c r="M69" s="906">
        <f t="shared" si="109"/>
        <v>110.94700000000019</v>
      </c>
      <c r="N69" s="906">
        <f>SUM(N60:N68)</f>
        <v>-3.4330000000001561</v>
      </c>
      <c r="O69" s="906">
        <f t="shared" ref="O69:T69" si="110">SUM(O60:O68)</f>
        <v>124.813</v>
      </c>
      <c r="P69" s="906">
        <f t="shared" si="110"/>
        <v>115.90399999999998</v>
      </c>
      <c r="Q69" s="906">
        <f t="shared" si="110"/>
        <v>66.28199999999994</v>
      </c>
      <c r="R69" s="906">
        <f>SUM(R60:R68)</f>
        <v>218.09999999999997</v>
      </c>
      <c r="S69" s="906">
        <f t="shared" si="110"/>
        <v>208.80000000000007</v>
      </c>
      <c r="T69" s="906">
        <f t="shared" si="110"/>
        <v>871</v>
      </c>
      <c r="U69" s="906">
        <f>SUM(U60:U68)</f>
        <v>402.79999999999995</v>
      </c>
      <c r="V69" s="906">
        <f>SUM(V60:V68)</f>
        <v>533.29999999999995</v>
      </c>
      <c r="W69" s="1215">
        <f>SUM(W60:W68)</f>
        <v>618.19999999999982</v>
      </c>
      <c r="X69" s="1097"/>
      <c r="Y69" s="1215">
        <f>SUM(Y60:Y68)</f>
        <v>696.19999999999993</v>
      </c>
      <c r="Z69" s="1388">
        <f>SUM(Z60:Z68)</f>
        <v>535.60000000000025</v>
      </c>
      <c r="AA69" s="1097"/>
      <c r="AB69" s="1215">
        <f>SUM(AB60:AB68)</f>
        <v>620.40000000000009</v>
      </c>
      <c r="AC69" s="1678"/>
      <c r="AD69" s="1678"/>
      <c r="AE69" s="1678"/>
      <c r="AF69" s="1552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149"/>
      <c r="AS69" s="149"/>
    </row>
    <row r="70" spans="1:45" hidden="1" outlineLevel="1">
      <c r="A70" s="71"/>
      <c r="B70" s="589" t="s">
        <v>190</v>
      </c>
      <c r="C70" s="1098"/>
      <c r="D70" s="1098">
        <f t="shared" ref="D70:O70" si="111">D69/C69-1</f>
        <v>-0.88797224363916794</v>
      </c>
      <c r="E70" s="1098">
        <f t="shared" si="111"/>
        <v>-18.160357880247904</v>
      </c>
      <c r="F70" s="1098">
        <f t="shared" si="111"/>
        <v>-0.2044998796823595</v>
      </c>
      <c r="G70" s="1098">
        <f t="shared" si="111"/>
        <v>-2.1175195361734325</v>
      </c>
      <c r="H70" s="1098">
        <f t="shared" si="111"/>
        <v>-1.8315889199675071</v>
      </c>
      <c r="I70" s="1098">
        <f t="shared" si="111"/>
        <v>-6.050561492974599</v>
      </c>
      <c r="J70" s="1098">
        <f t="shared" si="111"/>
        <v>-2.5897719582799961E-2</v>
      </c>
      <c r="K70" s="1098">
        <f t="shared" si="111"/>
        <v>1.4643936219481013E-2</v>
      </c>
      <c r="L70" s="1098">
        <f t="shared" si="111"/>
        <v>0.68751494337818486</v>
      </c>
      <c r="M70" s="1098">
        <f t="shared" si="111"/>
        <v>-0.2854805989373681</v>
      </c>
      <c r="N70" s="1098">
        <f t="shared" si="111"/>
        <v>-1.030942702371404</v>
      </c>
      <c r="O70" s="1098">
        <f t="shared" si="111"/>
        <v>-37.356830760266334</v>
      </c>
      <c r="P70" s="1098">
        <f t="shared" ref="P70:W70" si="112">P69/O69-1</f>
        <v>-7.1378782658857776E-2</v>
      </c>
      <c r="Q70" s="1098">
        <f t="shared" si="112"/>
        <v>-0.42813017669795739</v>
      </c>
      <c r="R70" s="1098">
        <f t="shared" si="112"/>
        <v>2.2904861048248417</v>
      </c>
      <c r="S70" s="1098">
        <f t="shared" si="112"/>
        <v>-4.2640990371388798E-2</v>
      </c>
      <c r="T70" s="1098">
        <f t="shared" si="112"/>
        <v>3.1714559386973162</v>
      </c>
      <c r="U70" s="1098">
        <f t="shared" si="112"/>
        <v>-0.53754305396096447</v>
      </c>
      <c r="V70" s="1098">
        <f t="shared" si="112"/>
        <v>0.32398212512413105</v>
      </c>
      <c r="W70" s="1217">
        <f t="shared" si="112"/>
        <v>0.15919744984061479</v>
      </c>
      <c r="X70" s="1218"/>
      <c r="Y70" s="1217"/>
      <c r="Z70" s="1390">
        <f t="shared" ref="Z70" si="113">Z69/Y69-1</f>
        <v>-0.23068083883941348</v>
      </c>
      <c r="AA70" s="1218"/>
      <c r="AB70" s="1217"/>
      <c r="AC70" s="1680"/>
      <c r="AD70" s="1680"/>
      <c r="AE70" s="1680"/>
      <c r="AF70" s="1555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1"/>
      <c r="AS70" s="71"/>
    </row>
    <row r="71" spans="1:45" hidden="1" outlineLevel="1">
      <c r="A71" s="71"/>
      <c r="B71" s="589"/>
      <c r="C71" s="1098"/>
      <c r="D71" s="1098"/>
      <c r="E71" s="1098"/>
      <c r="F71" s="1098"/>
      <c r="G71" s="1098"/>
      <c r="H71" s="1098"/>
      <c r="I71" s="1098"/>
      <c r="J71" s="1098"/>
      <c r="K71" s="1098"/>
      <c r="L71" s="1098"/>
      <c r="M71" s="1098"/>
      <c r="N71" s="1098"/>
      <c r="O71" s="1098"/>
      <c r="P71" s="1098"/>
      <c r="Q71" s="1098"/>
      <c r="R71" s="1098"/>
      <c r="S71" s="1098"/>
      <c r="T71" s="1098"/>
      <c r="U71" s="1098"/>
      <c r="V71" s="1098"/>
      <c r="W71" s="1217"/>
      <c r="X71" s="1218"/>
      <c r="Y71" s="1217"/>
      <c r="Z71" s="1390"/>
      <c r="AA71" s="1218"/>
      <c r="AB71" s="1217"/>
      <c r="AC71" s="1680"/>
      <c r="AD71" s="1680"/>
      <c r="AE71" s="1680"/>
      <c r="AF71" s="1555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1"/>
      <c r="AS71" s="71"/>
    </row>
    <row r="72" spans="1:45" hidden="1" outlineLevel="1">
      <c r="A72" s="37"/>
      <c r="B72" s="537" t="str">
        <f>B38</f>
        <v>Dividends paid</v>
      </c>
      <c r="C72" s="848">
        <f t="shared" ref="C72:M72" si="114">C38</f>
        <v>0</v>
      </c>
      <c r="D72" s="848">
        <f t="shared" si="114"/>
        <v>-13.688000000000001</v>
      </c>
      <c r="E72" s="848">
        <f t="shared" si="114"/>
        <v>-7.3929999999999998</v>
      </c>
      <c r="F72" s="848">
        <f t="shared" si="114"/>
        <v>-7.4279999999999999</v>
      </c>
      <c r="G72" s="848">
        <f t="shared" si="114"/>
        <v>-9.3859999999999992</v>
      </c>
      <c r="H72" s="848">
        <f t="shared" si="114"/>
        <v>-16.913</v>
      </c>
      <c r="I72" s="848">
        <f t="shared" si="114"/>
        <v>-33.216999999999999</v>
      </c>
      <c r="J72" s="848">
        <f t="shared" si="114"/>
        <v>-67.082999999999998</v>
      </c>
      <c r="K72" s="848">
        <f t="shared" si="114"/>
        <v>-88.411000000000001</v>
      </c>
      <c r="L72" s="848">
        <f t="shared" si="114"/>
        <v>-77.031000000000006</v>
      </c>
      <c r="M72" s="848">
        <f t="shared" si="114"/>
        <v>-65.263000000000005</v>
      </c>
      <c r="N72" s="848">
        <f>N38</f>
        <v>-77.183000000000007</v>
      </c>
      <c r="O72" s="848">
        <f t="shared" ref="O72:T72" si="115">O38</f>
        <v>-87.174000000000007</v>
      </c>
      <c r="P72" s="848">
        <f t="shared" si="115"/>
        <v>-93.204999999999998</v>
      </c>
      <c r="Q72" s="848">
        <f t="shared" si="115"/>
        <v>-119.1</v>
      </c>
      <c r="R72" s="848">
        <f>R38</f>
        <v>-151.6</v>
      </c>
      <c r="S72" s="848">
        <f t="shared" si="115"/>
        <v>-157.4</v>
      </c>
      <c r="T72" s="848">
        <f t="shared" si="115"/>
        <v>-172.3</v>
      </c>
      <c r="U72" s="848">
        <f>U38</f>
        <v>-310.2</v>
      </c>
      <c r="V72" s="848">
        <f>V38</f>
        <v>-310.2</v>
      </c>
      <c r="W72" s="1216">
        <f>W38</f>
        <v>-167.3</v>
      </c>
      <c r="X72" s="931"/>
      <c r="Y72" s="1216">
        <f>Y38</f>
        <v>-382.7</v>
      </c>
      <c r="Z72" s="1389">
        <f>Z38</f>
        <v>-125.7</v>
      </c>
      <c r="AA72" s="931"/>
      <c r="AB72" s="1216">
        <f>AB38</f>
        <v>-298.5</v>
      </c>
      <c r="AC72" s="1679"/>
      <c r="AD72" s="1679"/>
      <c r="AE72" s="1679"/>
      <c r="AF72" s="1554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37"/>
      <c r="AS72" s="37"/>
    </row>
    <row r="73" spans="1:45" hidden="1" outlineLevel="1">
      <c r="A73" s="148"/>
      <c r="B73" s="877" t="s">
        <v>191</v>
      </c>
      <c r="C73" s="906">
        <f t="shared" ref="C73:T73" si="116">C69+C72</f>
        <v>12.969999999999965</v>
      </c>
      <c r="D73" s="906">
        <f t="shared" si="116"/>
        <v>-12.235000000000014</v>
      </c>
      <c r="E73" s="906">
        <f t="shared" si="116"/>
        <v>-32.326999999999991</v>
      </c>
      <c r="F73" s="906">
        <f t="shared" si="116"/>
        <v>-27.263000000000044</v>
      </c>
      <c r="G73" s="906">
        <f t="shared" si="116"/>
        <v>12.780000000000083</v>
      </c>
      <c r="H73" s="906">
        <f t="shared" si="116"/>
        <v>-35.345999999999833</v>
      </c>
      <c r="I73" s="906">
        <f t="shared" si="116"/>
        <v>59.879999999999924</v>
      </c>
      <c r="J73" s="906">
        <f t="shared" si="116"/>
        <v>23.602999999999994</v>
      </c>
      <c r="K73" s="906">
        <f t="shared" si="116"/>
        <v>3.6029999999998381</v>
      </c>
      <c r="L73" s="906">
        <f t="shared" si="116"/>
        <v>78.244000000000028</v>
      </c>
      <c r="M73" s="906">
        <f t="shared" si="116"/>
        <v>45.684000000000182</v>
      </c>
      <c r="N73" s="906">
        <f t="shared" si="116"/>
        <v>-80.616000000000156</v>
      </c>
      <c r="O73" s="906">
        <f t="shared" si="116"/>
        <v>37.638999999999996</v>
      </c>
      <c r="P73" s="906">
        <f t="shared" si="116"/>
        <v>22.698999999999984</v>
      </c>
      <c r="Q73" s="906">
        <f t="shared" si="116"/>
        <v>-52.818000000000055</v>
      </c>
      <c r="R73" s="906">
        <f>R69+R72</f>
        <v>66.499999999999972</v>
      </c>
      <c r="S73" s="906">
        <f t="shared" si="116"/>
        <v>51.400000000000063</v>
      </c>
      <c r="T73" s="906">
        <f t="shared" si="116"/>
        <v>698.7</v>
      </c>
      <c r="U73" s="906">
        <f>U69+U72</f>
        <v>92.599999999999966</v>
      </c>
      <c r="V73" s="906">
        <f>V69+V72</f>
        <v>223.09999999999997</v>
      </c>
      <c r="W73" s="1215">
        <f>W69+W72</f>
        <v>450.89999999999981</v>
      </c>
      <c r="X73" s="1097"/>
      <c r="Y73" s="1215">
        <f>Y69+Y72</f>
        <v>313.49999999999994</v>
      </c>
      <c r="Z73" s="1388">
        <f>Z69+Z72</f>
        <v>409.90000000000026</v>
      </c>
      <c r="AA73" s="1097"/>
      <c r="AB73" s="1215">
        <f>AB69+AB72</f>
        <v>321.90000000000009</v>
      </c>
      <c r="AC73" s="1678"/>
      <c r="AD73" s="1678"/>
      <c r="AE73" s="1678"/>
      <c r="AF73" s="1552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148"/>
      <c r="AS73" s="148"/>
    </row>
    <row r="74" spans="1:45" hidden="1" outlineLevel="1">
      <c r="A74" s="37"/>
      <c r="B74" s="537"/>
      <c r="C74" s="848"/>
      <c r="D74" s="848"/>
      <c r="E74" s="848"/>
      <c r="F74" s="848"/>
      <c r="G74" s="848"/>
      <c r="H74" s="848"/>
      <c r="I74" s="891"/>
      <c r="J74" s="891"/>
      <c r="K74" s="891"/>
      <c r="L74" s="891"/>
      <c r="M74" s="891"/>
      <c r="N74" s="891"/>
      <c r="O74" s="891"/>
      <c r="P74" s="891"/>
      <c r="Q74" s="891"/>
      <c r="R74" s="891"/>
      <c r="S74" s="891"/>
      <c r="T74" s="891"/>
      <c r="U74" s="891"/>
      <c r="V74" s="891"/>
      <c r="W74" s="1216"/>
      <c r="X74" s="1216"/>
      <c r="Y74" s="1216"/>
      <c r="Z74" s="1389"/>
      <c r="AA74" s="1216"/>
      <c r="AB74" s="1216"/>
      <c r="AC74" s="53"/>
      <c r="AD74" s="53"/>
      <c r="AE74" s="53"/>
      <c r="AF74" s="15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37"/>
      <c r="AS74" s="37"/>
    </row>
    <row r="75" spans="1:45" hidden="1" outlineLevel="1">
      <c r="A75" s="37"/>
      <c r="B75" s="537" t="s">
        <v>192</v>
      </c>
      <c r="C75" s="848">
        <f>'P&amp;L'!C103</f>
        <v>83.185000000000002</v>
      </c>
      <c r="D75" s="848">
        <f>'P&amp;L'!F103</f>
        <v>86.375</v>
      </c>
      <c r="E75" s="848">
        <f>'P&amp;L'!I103</f>
        <v>104.229</v>
      </c>
      <c r="F75" s="848">
        <f>'P&amp;L'!L103</f>
        <v>105.253</v>
      </c>
      <c r="G75" s="848">
        <f>'P&amp;L'!O103</f>
        <v>106.054</v>
      </c>
      <c r="H75" s="848">
        <f>'P&amp;L'!R103</f>
        <v>107.255</v>
      </c>
      <c r="I75" s="848">
        <f>'P&amp;L'!U103</f>
        <v>107.76900000000001</v>
      </c>
      <c r="J75" s="848">
        <f>'P&amp;L'!X103</f>
        <v>109.43300000000001</v>
      </c>
      <c r="K75" s="848">
        <f>'P&amp;L'!AA103</f>
        <v>108.496</v>
      </c>
      <c r="L75" s="848">
        <f>'P&amp;L'!AD103</f>
        <v>98.841999999999999</v>
      </c>
      <c r="M75" s="848">
        <f>'P&amp;L'!AG103</f>
        <v>99.453000000000003</v>
      </c>
      <c r="N75" s="848">
        <f>'P&amp;L'!AJ103</f>
        <v>101.161</v>
      </c>
      <c r="O75" s="848">
        <f>'P&amp;L'!AM103</f>
        <v>100.03700000000001</v>
      </c>
      <c r="P75" s="848">
        <f>'P&amp;L'!AP103</f>
        <v>100.03700000000001</v>
      </c>
      <c r="Q75" s="848">
        <f>'P&amp;L'!AS103</f>
        <v>112.7</v>
      </c>
      <c r="R75" s="848">
        <f>'P&amp;L'!AV103</f>
        <v>115.9</v>
      </c>
      <c r="S75" s="848">
        <f>'P&amp;L'!AY103</f>
        <v>116.1</v>
      </c>
      <c r="T75" s="848">
        <f>'P&amp;L'!BB103</f>
        <v>116</v>
      </c>
      <c r="U75" s="848">
        <f>'P&amp;L'!BE103</f>
        <v>115.6</v>
      </c>
      <c r="V75" s="848">
        <f>'P&amp;L'!BH103</f>
        <v>114.2</v>
      </c>
      <c r="W75" s="1216">
        <f>'P&amp;L'!BI103</f>
        <v>109.7</v>
      </c>
      <c r="X75" s="931"/>
      <c r="Y75" s="1216">
        <f>'P&amp;L'!BK103</f>
        <v>109.8</v>
      </c>
      <c r="Z75" s="1389">
        <f>'P&amp;L'!BL103</f>
        <v>109.8</v>
      </c>
      <c r="AA75" s="931"/>
      <c r="AB75" s="1216">
        <f>'P&amp;L'!BN103</f>
        <v>109.5</v>
      </c>
      <c r="AC75" s="1679"/>
      <c r="AD75" s="1679"/>
      <c r="AE75" s="1679"/>
      <c r="AF75" s="1554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37"/>
      <c r="AS75" s="37"/>
    </row>
    <row r="76" spans="1:45" hidden="1" outlineLevel="1">
      <c r="A76" s="37"/>
      <c r="B76" s="537"/>
      <c r="C76" s="848"/>
      <c r="D76" s="931"/>
      <c r="E76" s="848"/>
      <c r="F76" s="848"/>
      <c r="G76" s="848"/>
      <c r="H76" s="848"/>
      <c r="I76" s="891"/>
      <c r="J76" s="891"/>
      <c r="K76" s="891"/>
      <c r="L76" s="891"/>
      <c r="M76" s="891"/>
      <c r="N76" s="891"/>
      <c r="O76" s="891"/>
      <c r="P76" s="891"/>
      <c r="Q76" s="891"/>
      <c r="R76" s="891"/>
      <c r="S76" s="891"/>
      <c r="T76" s="891"/>
      <c r="U76" s="891"/>
      <c r="V76" s="891"/>
      <c r="W76" s="1216"/>
      <c r="X76" s="1216"/>
      <c r="Y76" s="1216"/>
      <c r="Z76" s="1389"/>
      <c r="AA76" s="1216"/>
      <c r="AB76" s="1216"/>
      <c r="AC76" s="53"/>
      <c r="AD76" s="53"/>
      <c r="AE76" s="53"/>
      <c r="AF76" s="15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37"/>
      <c r="AS76" s="37"/>
    </row>
    <row r="77" spans="1:45" hidden="1" outlineLevel="1">
      <c r="A77" s="151"/>
      <c r="B77" s="877" t="s">
        <v>193</v>
      </c>
      <c r="C77" s="1097">
        <f t="shared" ref="C77:O77" si="117">C69/C75*100</f>
        <v>15.591753320911181</v>
      </c>
      <c r="D77" s="1097">
        <f t="shared" si="117"/>
        <v>1.6821997105643853</v>
      </c>
      <c r="E77" s="1097">
        <f t="shared" si="117"/>
        <v>-23.922324880791329</v>
      </c>
      <c r="F77" s="1097">
        <f t="shared" si="117"/>
        <v>-18.845068549115034</v>
      </c>
      <c r="G77" s="1097">
        <f t="shared" si="117"/>
        <v>20.900673241933433</v>
      </c>
      <c r="H77" s="1097">
        <f t="shared" si="117"/>
        <v>-17.186145168057273</v>
      </c>
      <c r="I77" s="1097">
        <f t="shared" si="117"/>
        <v>86.385695329825751</v>
      </c>
      <c r="J77" s="1097">
        <f t="shared" si="117"/>
        <v>82.868970054736678</v>
      </c>
      <c r="K77" s="1097">
        <f t="shared" si="117"/>
        <v>84.808656540333132</v>
      </c>
      <c r="L77" s="1097">
        <f t="shared" si="117"/>
        <v>157.09415026001096</v>
      </c>
      <c r="M77" s="1097">
        <f t="shared" si="117"/>
        <v>111.55721798236371</v>
      </c>
      <c r="N77" s="1097">
        <f t="shared" si="117"/>
        <v>-3.393600300511221</v>
      </c>
      <c r="O77" s="1097">
        <f t="shared" si="117"/>
        <v>124.76683627057987</v>
      </c>
      <c r="P77" s="1097">
        <f t="shared" ref="P77:V77" si="118">P69/P75*100</f>
        <v>115.86113138138887</v>
      </c>
      <c r="Q77" s="1097">
        <f t="shared" si="118"/>
        <v>58.812777284826922</v>
      </c>
      <c r="R77" s="1097">
        <f t="shared" si="118"/>
        <v>188.17946505608279</v>
      </c>
      <c r="S77" s="1097">
        <f t="shared" si="118"/>
        <v>179.84496124031014</v>
      </c>
      <c r="T77" s="1097">
        <f t="shared" si="118"/>
        <v>750.86206896551721</v>
      </c>
      <c r="U77" s="1097">
        <f t="shared" si="118"/>
        <v>348.44290657439444</v>
      </c>
      <c r="V77" s="1097">
        <f t="shared" si="118"/>
        <v>466.98774080560418</v>
      </c>
      <c r="W77" s="1215">
        <f t="shared" ref="W77" si="119">W69/W75*100</f>
        <v>563.5369188696443</v>
      </c>
      <c r="X77" s="1097"/>
      <c r="Y77" s="1215">
        <f t="shared" ref="Y77" si="120">Y69/Y75*100</f>
        <v>634.06193078324225</v>
      </c>
      <c r="Z77" s="1388">
        <f t="shared" ref="Z77" si="121">Z69/Z75*100</f>
        <v>487.79599271402577</v>
      </c>
      <c r="AA77" s="1097"/>
      <c r="AB77" s="1215">
        <f t="shared" ref="AB77" si="122">AB69/AB75*100</f>
        <v>566.57534246575358</v>
      </c>
      <c r="AC77" s="1681"/>
      <c r="AD77" s="1681"/>
      <c r="AE77" s="1681"/>
      <c r="AF77" s="1556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1"/>
      <c r="AS77" s="151"/>
    </row>
    <row r="78" spans="1:45" hidden="1" outlineLevel="1">
      <c r="A78" s="71"/>
      <c r="B78" s="589" t="s">
        <v>190</v>
      </c>
      <c r="C78" s="1098"/>
      <c r="D78" s="1098">
        <f t="shared" ref="D78:O78" si="123">D77/C77-1</f>
        <v>-0.89210965079159699</v>
      </c>
      <c r="E78" s="1098">
        <f t="shared" si="123"/>
        <v>-15.220858992280581</v>
      </c>
      <c r="F78" s="1098">
        <f t="shared" si="123"/>
        <v>-0.21223925170220936</v>
      </c>
      <c r="G78" s="1098">
        <f t="shared" si="123"/>
        <v>-2.1090791836315677</v>
      </c>
      <c r="H78" s="1098">
        <f t="shared" si="123"/>
        <v>-1.8222771089295042</v>
      </c>
      <c r="I78" s="1098">
        <f t="shared" si="123"/>
        <v>-6.026473038897926</v>
      </c>
      <c r="J78" s="1098">
        <f t="shared" si="123"/>
        <v>-4.070957884476134E-2</v>
      </c>
      <c r="K78" s="1098">
        <f t="shared" si="123"/>
        <v>2.3406668193356905E-2</v>
      </c>
      <c r="L78" s="1098">
        <f t="shared" si="123"/>
        <v>0.8523362669387462</v>
      </c>
      <c r="M78" s="1098">
        <f t="shared" si="123"/>
        <v>-0.28987032427546022</v>
      </c>
      <c r="N78" s="1098">
        <f t="shared" si="123"/>
        <v>-1.0304202664954205</v>
      </c>
      <c r="O78" s="1098">
        <f t="shared" si="123"/>
        <v>-37.765330393147558</v>
      </c>
      <c r="P78" s="1098">
        <f t="shared" ref="P78:W78" si="124">P77/O77-1</f>
        <v>-7.1378782658857665E-2</v>
      </c>
      <c r="Q78" s="1098">
        <f t="shared" si="124"/>
        <v>-0.49238561212363408</v>
      </c>
      <c r="R78" s="1098">
        <f t="shared" si="124"/>
        <v>2.1996357550798935</v>
      </c>
      <c r="S78" s="1098">
        <f t="shared" si="124"/>
        <v>-4.4290187631730871E-2</v>
      </c>
      <c r="T78" s="1098">
        <f t="shared" si="124"/>
        <v>3.17505202140309</v>
      </c>
      <c r="U78" s="1098">
        <f t="shared" si="124"/>
        <v>-0.53594285691584664</v>
      </c>
      <c r="V78" s="1098">
        <f t="shared" si="124"/>
        <v>0.34021307937258793</v>
      </c>
      <c r="W78" s="1217">
        <f t="shared" si="124"/>
        <v>0.20674884933270921</v>
      </c>
      <c r="X78" s="1218"/>
      <c r="Y78" s="1217"/>
      <c r="Z78" s="1390">
        <f t="shared" ref="Z78" si="125">Z77/Y77-1</f>
        <v>-0.23068083883941348</v>
      </c>
      <c r="AA78" s="1218"/>
      <c r="AB78" s="1217"/>
      <c r="AC78" s="1680"/>
      <c r="AD78" s="1680"/>
      <c r="AE78" s="1680"/>
      <c r="AF78" s="1555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1"/>
      <c r="AS78" s="71"/>
    </row>
    <row r="79" spans="1:45" collapsed="1">
      <c r="A79" s="37"/>
      <c r="B79" s="851"/>
      <c r="C79" s="852"/>
      <c r="D79" s="854"/>
      <c r="E79" s="853"/>
      <c r="F79" s="853"/>
      <c r="G79" s="853"/>
      <c r="H79" s="853"/>
      <c r="I79" s="853"/>
      <c r="J79" s="853"/>
      <c r="K79" s="853"/>
      <c r="L79" s="853"/>
      <c r="M79" s="853"/>
      <c r="N79" s="853"/>
      <c r="O79" s="853"/>
      <c r="P79" s="853"/>
      <c r="Q79" s="853"/>
      <c r="R79" s="853"/>
      <c r="S79" s="853"/>
      <c r="T79" s="853"/>
      <c r="U79" s="853"/>
      <c r="V79" s="853"/>
      <c r="W79" s="854"/>
      <c r="X79" s="854"/>
      <c r="Y79" s="854"/>
      <c r="Z79" s="1387"/>
      <c r="AA79" s="854"/>
      <c r="AB79" s="854"/>
      <c r="AC79" s="34"/>
      <c r="AD79" s="34"/>
      <c r="AE79" s="34"/>
      <c r="AF79" s="1551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7"/>
      <c r="AS79" s="37"/>
    </row>
    <row r="80" spans="1:45">
      <c r="A80" s="37"/>
      <c r="B80" s="851"/>
      <c r="C80" s="852"/>
      <c r="D80" s="854"/>
      <c r="E80" s="853"/>
      <c r="F80" s="853"/>
      <c r="G80" s="853"/>
      <c r="H80" s="853"/>
      <c r="I80" s="853"/>
      <c r="J80" s="853"/>
      <c r="K80" s="853"/>
      <c r="L80" s="853"/>
      <c r="M80" s="853"/>
      <c r="N80" s="853"/>
      <c r="O80" s="853"/>
      <c r="P80" s="853"/>
      <c r="Q80" s="853"/>
      <c r="R80" s="853"/>
      <c r="S80" s="853"/>
      <c r="T80" s="853"/>
      <c r="U80" s="853"/>
      <c r="V80" s="853"/>
      <c r="W80" s="854"/>
      <c r="X80" s="854"/>
      <c r="Y80" s="854"/>
      <c r="Z80" s="1387"/>
      <c r="AA80" s="854"/>
      <c r="AB80" s="854"/>
      <c r="AC80" s="34"/>
      <c r="AD80" s="34"/>
      <c r="AE80" s="34"/>
      <c r="AF80" s="1551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7"/>
      <c r="AS80" s="37"/>
    </row>
    <row r="81" spans="1:45">
      <c r="A81" s="37"/>
      <c r="B81" s="851"/>
      <c r="C81" s="852"/>
      <c r="D81" s="854"/>
      <c r="E81" s="853"/>
      <c r="F81" s="853"/>
      <c r="G81" s="853"/>
      <c r="H81" s="853"/>
      <c r="I81" s="853"/>
      <c r="J81" s="853"/>
      <c r="K81" s="853"/>
      <c r="L81" s="853"/>
      <c r="M81" s="853"/>
      <c r="N81" s="853"/>
      <c r="O81" s="853"/>
      <c r="P81" s="853"/>
      <c r="Q81" s="853"/>
      <c r="R81" s="853"/>
      <c r="S81" s="853"/>
      <c r="T81" s="853"/>
      <c r="U81" s="853"/>
      <c r="V81" s="853"/>
      <c r="W81" s="854"/>
      <c r="X81" s="854"/>
      <c r="Y81" s="854"/>
      <c r="Z81" s="1387"/>
      <c r="AA81" s="854"/>
      <c r="AB81" s="854"/>
      <c r="AC81" s="34"/>
      <c r="AD81" s="34"/>
      <c r="AE81" s="34"/>
      <c r="AF81" s="1551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7"/>
      <c r="AS81" s="37"/>
    </row>
    <row r="82" spans="1:45">
      <c r="A82" s="37"/>
      <c r="B82" s="1099"/>
      <c r="C82" s="1100" t="str">
        <f t="shared" ref="C82:N82" si="126">C4</f>
        <v>FY03</v>
      </c>
      <c r="D82" s="1100" t="str">
        <f t="shared" si="126"/>
        <v>FY04</v>
      </c>
      <c r="E82" s="1100" t="str">
        <f t="shared" si="126"/>
        <v>FY05</v>
      </c>
      <c r="F82" s="1100" t="str">
        <f t="shared" si="126"/>
        <v>FY06</v>
      </c>
      <c r="G82" s="1100" t="str">
        <f t="shared" si="126"/>
        <v>FY07</v>
      </c>
      <c r="H82" s="1100" t="str">
        <f t="shared" si="126"/>
        <v>FY08</v>
      </c>
      <c r="I82" s="1100" t="str">
        <f t="shared" si="126"/>
        <v>FY09</v>
      </c>
      <c r="J82" s="1100" t="str">
        <f t="shared" si="126"/>
        <v>FY10</v>
      </c>
      <c r="K82" s="1100" t="str">
        <f t="shared" si="126"/>
        <v>FY11</v>
      </c>
      <c r="L82" s="1100" t="str">
        <f t="shared" si="126"/>
        <v>FY12</v>
      </c>
      <c r="M82" s="1100" t="str">
        <f t="shared" si="126"/>
        <v>FY13</v>
      </c>
      <c r="N82" s="1100" t="str">
        <f t="shared" si="126"/>
        <v>FY14</v>
      </c>
      <c r="O82" s="1100"/>
      <c r="P82" s="1100"/>
      <c r="Q82" s="1100"/>
      <c r="R82" s="1100"/>
      <c r="S82" s="1100"/>
      <c r="T82" s="1100"/>
      <c r="U82" s="1100"/>
      <c r="V82" s="1100"/>
      <c r="W82" s="729"/>
      <c r="X82" s="729"/>
      <c r="Y82" s="729"/>
      <c r="Z82" s="249"/>
      <c r="AA82" s="729"/>
      <c r="AB82" s="729"/>
      <c r="AC82" s="23"/>
      <c r="AD82" s="23"/>
      <c r="AE82" s="23"/>
      <c r="AF82" s="1299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37"/>
      <c r="AS82" s="37"/>
    </row>
    <row r="83" spans="1:45">
      <c r="A83" s="37"/>
      <c r="B83" s="1099" t="s">
        <v>195</v>
      </c>
      <c r="C83" s="309">
        <v>619.70000000000005</v>
      </c>
      <c r="D83" s="309">
        <v>683.20000000000016</v>
      </c>
      <c r="E83" s="309">
        <v>752.50000000000045</v>
      </c>
      <c r="F83" s="309">
        <v>781.10000000000059</v>
      </c>
      <c r="G83" s="309">
        <v>834.00000000000057</v>
      </c>
      <c r="H83" s="309">
        <v>866.89999999999941</v>
      </c>
      <c r="I83" s="309">
        <v>964.8000000000003</v>
      </c>
      <c r="J83" s="309">
        <v>1036.5</v>
      </c>
      <c r="K83" s="309">
        <v>1074.0999999999992</v>
      </c>
      <c r="L83" s="309">
        <v>1128.9000000000005</v>
      </c>
      <c r="M83" s="309"/>
      <c r="N83" s="309"/>
      <c r="O83" s="309"/>
      <c r="P83" s="309"/>
      <c r="Q83" s="309"/>
      <c r="R83" s="309"/>
      <c r="S83" s="309"/>
      <c r="T83" s="309"/>
      <c r="U83" s="309"/>
      <c r="V83" s="309"/>
      <c r="W83" s="729"/>
      <c r="X83" s="729"/>
      <c r="Y83" s="729"/>
      <c r="Z83" s="249"/>
      <c r="AA83" s="729"/>
      <c r="AB83" s="729"/>
      <c r="AC83" s="31"/>
      <c r="AD83" s="31"/>
      <c r="AE83" s="31"/>
      <c r="AF83" s="1309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7"/>
      <c r="AS83" s="37"/>
    </row>
    <row r="84" spans="1:45">
      <c r="A84" s="37"/>
      <c r="B84" s="1099" t="s">
        <v>196</v>
      </c>
      <c r="C84" s="1101">
        <f t="shared" ref="C84:K84" si="127">C22/C83</f>
        <v>3.8157172825560699E-2</v>
      </c>
      <c r="D84" s="1101">
        <f t="shared" si="127"/>
        <v>2.1652517564402788E-2</v>
      </c>
      <c r="E84" s="1101">
        <f t="shared" si="127"/>
        <v>-4.5408637873754053E-3</v>
      </c>
      <c r="F84" s="1101">
        <f t="shared" si="127"/>
        <v>1.9998719754192731E-2</v>
      </c>
      <c r="G84" s="1101">
        <f t="shared" si="127"/>
        <v>7.6773381294964069E-2</v>
      </c>
      <c r="H84" s="1101">
        <f t="shared" si="127"/>
        <v>4.8952589687392078E-2</v>
      </c>
      <c r="I84" s="1101">
        <f t="shared" si="127"/>
        <v>0.15088826699834149</v>
      </c>
      <c r="J84" s="1101">
        <f t="shared" si="127"/>
        <v>0.14674674384949349</v>
      </c>
      <c r="K84" s="1101">
        <f t="shared" si="127"/>
        <v>0.10236011544548916</v>
      </c>
      <c r="L84" s="1101">
        <f>L22/L83</f>
        <v>0.19045708211533346</v>
      </c>
      <c r="M84" s="1101"/>
      <c r="N84" s="1101"/>
      <c r="O84" s="1101"/>
      <c r="P84" s="1101"/>
      <c r="Q84" s="1101"/>
      <c r="R84" s="1101"/>
      <c r="S84" s="1101"/>
      <c r="T84" s="1101"/>
      <c r="U84" s="1101"/>
      <c r="V84" s="1101"/>
      <c r="W84" s="1216"/>
      <c r="X84" s="1216"/>
      <c r="Y84" s="1216"/>
      <c r="Z84" s="1389"/>
      <c r="AA84" s="1216"/>
      <c r="AB84" s="1216"/>
      <c r="AC84" s="24"/>
      <c r="AD84" s="24"/>
      <c r="AE84" s="24"/>
      <c r="AF84" s="1557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37"/>
      <c r="AS84" s="37"/>
    </row>
    <row r="85" spans="1:45">
      <c r="A85" s="37"/>
      <c r="B85" s="851"/>
      <c r="C85" s="852"/>
      <c r="D85" s="854"/>
      <c r="E85" s="853"/>
      <c r="F85" s="853"/>
      <c r="G85" s="853"/>
      <c r="H85" s="853"/>
      <c r="I85" s="853"/>
      <c r="J85" s="853"/>
      <c r="K85" s="853"/>
      <c r="L85" s="853"/>
      <c r="M85" s="853"/>
      <c r="N85" s="853"/>
      <c r="O85" s="853"/>
      <c r="P85" s="853"/>
      <c r="Q85" s="853"/>
      <c r="R85" s="853"/>
      <c r="S85" s="853"/>
      <c r="T85" s="853"/>
      <c r="U85" s="853"/>
      <c r="V85" s="853"/>
      <c r="W85" s="854"/>
      <c r="X85" s="854"/>
      <c r="Y85" s="854"/>
      <c r="Z85" s="1387"/>
      <c r="AA85" s="854"/>
      <c r="AB85" s="854"/>
      <c r="AC85" s="34"/>
      <c r="AD85" s="34"/>
      <c r="AE85" s="34"/>
      <c r="AF85" s="1551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7"/>
      <c r="AS85" s="37"/>
    </row>
    <row r="86" spans="1:45">
      <c r="A86" s="38"/>
      <c r="B86" s="1102"/>
      <c r="C86" s="1103"/>
      <c r="D86" s="1104"/>
      <c r="E86" s="1103"/>
      <c r="F86" s="309"/>
      <c r="G86" s="309"/>
      <c r="H86" s="309"/>
      <c r="I86" s="309"/>
      <c r="J86" s="309"/>
      <c r="K86" s="309"/>
      <c r="L86" s="309"/>
      <c r="M86" s="309"/>
      <c r="N86" s="309"/>
      <c r="O86" s="309"/>
      <c r="P86" s="309"/>
      <c r="Q86" s="309"/>
      <c r="R86" s="309"/>
      <c r="S86" s="309"/>
      <c r="T86" s="309"/>
      <c r="U86" s="309"/>
      <c r="V86" s="309"/>
      <c r="W86" s="729"/>
      <c r="X86" s="729"/>
      <c r="Y86" s="729"/>
      <c r="Z86" s="249"/>
      <c r="AA86" s="729"/>
      <c r="AB86" s="729"/>
      <c r="AC86" s="31"/>
      <c r="AD86" s="31"/>
      <c r="AE86" s="31"/>
      <c r="AF86" s="1309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8"/>
      <c r="AS86" s="38"/>
    </row>
    <row r="87" spans="1:45">
      <c r="A87" s="13"/>
      <c r="B87" s="537"/>
      <c r="C87" s="848"/>
      <c r="D87" s="931"/>
      <c r="E87" s="848"/>
      <c r="F87" s="848"/>
      <c r="G87" s="848"/>
      <c r="H87" s="848"/>
      <c r="I87" s="891"/>
      <c r="J87" s="891"/>
      <c r="K87" s="891"/>
      <c r="L87" s="891"/>
      <c r="M87" s="891"/>
      <c r="N87" s="891"/>
      <c r="O87" s="891"/>
      <c r="P87" s="891"/>
      <c r="Q87" s="891"/>
      <c r="R87" s="891"/>
      <c r="S87" s="891"/>
      <c r="T87" s="891"/>
      <c r="U87" s="891"/>
      <c r="V87" s="891"/>
      <c r="W87" s="1216"/>
      <c r="X87" s="1216"/>
      <c r="Y87" s="1216"/>
      <c r="Z87" s="1389"/>
      <c r="AA87" s="1216"/>
      <c r="AB87" s="1216"/>
      <c r="AC87" s="53"/>
      <c r="AD87" s="53"/>
      <c r="AE87" s="53"/>
      <c r="AF87" s="15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13"/>
      <c r="AS87" s="13"/>
    </row>
    <row r="88" spans="1:45">
      <c r="A88" s="39"/>
      <c r="B88" s="1099"/>
      <c r="C88" s="309"/>
      <c r="D88" s="729"/>
      <c r="E88" s="309"/>
      <c r="F88" s="309"/>
      <c r="G88" s="309"/>
      <c r="H88" s="309"/>
      <c r="I88" s="309"/>
      <c r="J88" s="309"/>
      <c r="K88" s="309"/>
      <c r="L88" s="309"/>
      <c r="M88" s="309"/>
      <c r="N88" s="309"/>
      <c r="O88" s="309"/>
      <c r="P88" s="309"/>
      <c r="Q88" s="309"/>
      <c r="R88" s="309"/>
      <c r="S88" s="309"/>
      <c r="T88" s="309"/>
      <c r="U88" s="309"/>
      <c r="V88" s="309"/>
      <c r="W88" s="249"/>
      <c r="X88" s="249"/>
      <c r="Y88" s="249"/>
      <c r="Z88" s="249"/>
      <c r="AA88" s="249"/>
      <c r="AB88" s="249"/>
      <c r="AC88" s="23"/>
      <c r="AD88" s="23"/>
      <c r="AE88" s="23"/>
      <c r="AF88" s="1299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39"/>
      <c r="AS88" s="39"/>
    </row>
    <row r="89" spans="1:45">
      <c r="AF89"/>
    </row>
    <row r="90" spans="1:45">
      <c r="B90" s="438"/>
      <c r="C90" s="438"/>
      <c r="D90" s="438"/>
      <c r="E90" s="438"/>
      <c r="F90" s="438"/>
      <c r="G90" s="438"/>
      <c r="H90" s="438"/>
      <c r="I90" s="438"/>
      <c r="J90" s="438"/>
      <c r="K90" s="438"/>
      <c r="L90" s="438"/>
      <c r="M90" s="438"/>
      <c r="N90" s="438"/>
      <c r="O90" s="438"/>
      <c r="P90" s="438"/>
      <c r="Q90" s="438"/>
      <c r="R90" s="438"/>
      <c r="S90" s="438"/>
      <c r="T90" s="438"/>
      <c r="U90" s="438"/>
      <c r="W90" s="1182"/>
      <c r="X90" s="1182"/>
      <c r="Y90" s="1182"/>
      <c r="Z90" s="1182"/>
    </row>
    <row r="91" spans="1:45">
      <c r="B91" s="438"/>
      <c r="C91" s="438"/>
      <c r="D91" s="438"/>
      <c r="E91" s="438"/>
      <c r="F91" s="438"/>
      <c r="G91" s="438"/>
      <c r="H91" s="438"/>
      <c r="I91" s="438"/>
      <c r="J91" s="438"/>
      <c r="K91" s="438"/>
      <c r="L91" s="438"/>
      <c r="M91" s="438"/>
      <c r="N91" s="438"/>
      <c r="O91" s="438"/>
      <c r="P91" s="438"/>
      <c r="Q91" s="438"/>
      <c r="R91" s="438"/>
      <c r="S91" s="438"/>
      <c r="T91" s="438"/>
      <c r="U91" s="438"/>
      <c r="W91" s="1182" t="s">
        <v>920</v>
      </c>
      <c r="X91" s="1182" t="s">
        <v>926</v>
      </c>
      <c r="Y91" s="1182" t="s">
        <v>866</v>
      </c>
      <c r="Z91" s="1182" t="s">
        <v>932</v>
      </c>
      <c r="AA91" t="s">
        <v>946</v>
      </c>
      <c r="AB91" t="s">
        <v>887</v>
      </c>
      <c r="AC91" t="s">
        <v>968</v>
      </c>
      <c r="AF91" s="1303" t="s">
        <v>976</v>
      </c>
    </row>
  </sheetData>
  <phoneticPr fontId="61" type="noConversion"/>
  <dataValidations disablePrompts="1" count="1">
    <dataValidation type="list" allowBlank="1" showInputMessage="1" showErrorMessage="1" sqref="AS7" xr:uid="{00000000-0002-0000-0D00-000000000000}">
      <formula1>$AS$1:$AS$2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ignoredErrors>
    <ignoredError sqref="Y46 X18:X19 X23:Y24 AD44:AJ44 Y49:Y53 AG26:AJ26 AD46:AJ46 AD48:AJ53 AF47:AJ47 AD23:AJ24 AD20 AB51:AB53 AC48:AC53 AC23:AC24 AC46 AC44 AD18:AD19 AG18:AJ19 AG20:AJ20 AD22 AF22:AJ22 AI45:AJ45" 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tabColor rgb="FF00B050"/>
  </sheetPr>
  <dimension ref="A1:AY258"/>
  <sheetViews>
    <sheetView showGridLines="0" topLeftCell="A2" zoomScaleNormal="100" workbookViewId="0">
      <pane xSplit="2" ySplit="4" topLeftCell="T6" activePane="bottomRight" state="frozen"/>
      <selection activeCell="BV17" sqref="BV17"/>
      <selection pane="topRight" activeCell="BV17" sqref="BV17"/>
      <selection pane="bottomLeft" activeCell="BV17" sqref="BV17"/>
      <selection pane="bottomRight" activeCell="AI42" sqref="AI42"/>
    </sheetView>
  </sheetViews>
  <sheetFormatPr defaultRowHeight="13.2" customHeight="1" outlineLevelRow="2" outlineLevelCol="1"/>
  <cols>
    <col min="2" max="2" width="37.6640625" customWidth="1"/>
    <col min="3" max="16" width="7.6640625" hidden="1" customWidth="1" outlineLevel="1"/>
    <col min="17" max="17" width="7.6640625" customWidth="1" collapsed="1"/>
    <col min="18" max="21" width="7.6640625" customWidth="1"/>
    <col min="22" max="22" width="9.109375" customWidth="1"/>
    <col min="23" max="23" width="7.33203125" hidden="1" customWidth="1" outlineLevel="1"/>
    <col min="24" max="24" width="9.109375" hidden="1" customWidth="1" outlineLevel="1"/>
    <col min="25" max="25" width="9.109375" customWidth="1" collapsed="1"/>
    <col min="26" max="26" width="7.6640625" hidden="1" customWidth="1" outlineLevel="1"/>
    <col min="27" max="27" width="9.109375" hidden="1" customWidth="1" outlineLevel="1"/>
    <col min="28" max="28" width="9.109375" customWidth="1" collapsed="1"/>
    <col min="29" max="30" width="9.109375" hidden="1" customWidth="1" outlineLevel="1"/>
    <col min="31" max="31" width="9.109375" customWidth="1" collapsed="1"/>
    <col min="32" max="32" width="9.109375" style="1303" hidden="1" customWidth="1" outlineLevel="1"/>
    <col min="33" max="33" width="7.6640625" hidden="1" customWidth="1" outlineLevel="1"/>
    <col min="34" max="34" width="9.109375" customWidth="1" collapsed="1"/>
    <col min="35" max="36" width="9.109375" hidden="1" customWidth="1" outlineLevel="1"/>
    <col min="37" max="37" width="9.109375" customWidth="1" collapsed="1"/>
    <col min="38" max="39" width="9.109375" hidden="1" customWidth="1" outlineLevel="1"/>
    <col min="40" max="40" width="9.109375" customWidth="1" collapsed="1"/>
    <col min="41" max="42" width="9.109375" hidden="1" customWidth="1" outlineLevel="1"/>
    <col min="43" max="43" width="9.109375" customWidth="1" collapsed="1"/>
    <col min="44" max="44" width="3.5546875" customWidth="1"/>
    <col min="45" max="45" width="22.109375" hidden="1" customWidth="1" outlineLevel="1"/>
    <col min="46" max="46" width="8" hidden="1" customWidth="1" outlineLevel="1"/>
    <col min="47" max="50" width="9.109375" hidden="1" customWidth="1" outlineLevel="1"/>
    <col min="51" max="51" width="8.88671875" customWidth="1" collapsed="1"/>
  </cols>
  <sheetData>
    <row r="1" spans="1:44">
      <c r="A1" s="13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19"/>
      <c r="X1" s="11"/>
      <c r="Y1" s="1219"/>
      <c r="Z1" s="11"/>
      <c r="AA1" s="11"/>
      <c r="AB1" s="11"/>
      <c r="AC1" s="11"/>
      <c r="AD1" s="11"/>
      <c r="AE1" s="11"/>
      <c r="AF1" s="1306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3"/>
    </row>
    <row r="2" spans="1:44" ht="18.75" customHeight="1">
      <c r="A2" s="13"/>
      <c r="B2" s="14" t="s">
        <v>579</v>
      </c>
      <c r="C2" s="16">
        <f t="shared" ref="C2:AK2" si="0">C48</f>
        <v>0</v>
      </c>
      <c r="D2" s="16">
        <f t="shared" si="0"/>
        <v>0</v>
      </c>
      <c r="E2" s="16">
        <f t="shared" si="0"/>
        <v>0</v>
      </c>
      <c r="F2" s="16">
        <f t="shared" si="0"/>
        <v>0</v>
      </c>
      <c r="G2" s="16">
        <f t="shared" si="0"/>
        <v>0</v>
      </c>
      <c r="H2" s="16">
        <f t="shared" si="0"/>
        <v>0</v>
      </c>
      <c r="I2" s="16">
        <f t="shared" si="0"/>
        <v>0</v>
      </c>
      <c r="J2" s="16">
        <f t="shared" si="0"/>
        <v>0</v>
      </c>
      <c r="K2" s="16">
        <f t="shared" si="0"/>
        <v>0</v>
      </c>
      <c r="L2" s="16">
        <f t="shared" si="0"/>
        <v>0</v>
      </c>
      <c r="M2" s="16">
        <f t="shared" si="0"/>
        <v>0</v>
      </c>
      <c r="N2" s="16">
        <f t="shared" si="0"/>
        <v>0</v>
      </c>
      <c r="O2" s="16">
        <f t="shared" si="0"/>
        <v>0</v>
      </c>
      <c r="P2" s="16">
        <f t="shared" si="0"/>
        <v>0</v>
      </c>
      <c r="Q2" s="312">
        <f t="shared" si="0"/>
        <v>0</v>
      </c>
      <c r="R2" s="312">
        <f>R48</f>
        <v>0</v>
      </c>
      <c r="S2" s="312">
        <f t="shared" si="0"/>
        <v>0</v>
      </c>
      <c r="T2" s="312">
        <f t="shared" si="0"/>
        <v>0</v>
      </c>
      <c r="U2" s="516">
        <f t="shared" si="0"/>
        <v>0</v>
      </c>
      <c r="V2" s="1149">
        <f t="shared" si="0"/>
        <v>0</v>
      </c>
      <c r="W2" s="1149">
        <f t="shared" si="0"/>
        <v>-1.8189894035458565E-12</v>
      </c>
      <c r="X2" s="516">
        <f t="shared" si="0"/>
        <v>0</v>
      </c>
      <c r="Y2" s="1149">
        <f t="shared" si="0"/>
        <v>0</v>
      </c>
      <c r="Z2" s="1149">
        <f t="shared" si="0"/>
        <v>0</v>
      </c>
      <c r="AA2" s="516">
        <f t="shared" si="0"/>
        <v>0</v>
      </c>
      <c r="AB2" s="1149">
        <f t="shared" si="0"/>
        <v>0</v>
      </c>
      <c r="AC2" s="1149">
        <f t="shared" si="0"/>
        <v>-1.6000000001213266E-2</v>
      </c>
      <c r="AD2" s="516">
        <f t="shared" si="0"/>
        <v>-1.0160000000012133</v>
      </c>
      <c r="AE2" s="1149">
        <f t="shared" si="0"/>
        <v>-1.6000000001213266E-2</v>
      </c>
      <c r="AF2" s="1307">
        <f t="shared" si="0"/>
        <v>0</v>
      </c>
      <c r="AG2" s="516">
        <f t="shared" si="0"/>
        <v>0</v>
      </c>
      <c r="AH2" s="516">
        <f t="shared" si="0"/>
        <v>0</v>
      </c>
      <c r="AI2" s="516">
        <f t="shared" si="0"/>
        <v>0</v>
      </c>
      <c r="AJ2" s="516">
        <f t="shared" si="0"/>
        <v>0</v>
      </c>
      <c r="AK2" s="516">
        <f t="shared" si="0"/>
        <v>0</v>
      </c>
      <c r="AL2" s="516">
        <f t="shared" ref="AL2:AN2" si="1">AL48</f>
        <v>-2.0463630789890885E-12</v>
      </c>
      <c r="AM2" s="516">
        <f t="shared" si="1"/>
        <v>-2.0463630789890885E-12</v>
      </c>
      <c r="AN2" s="516">
        <f t="shared" si="1"/>
        <v>-1.8189894035458565E-12</v>
      </c>
      <c r="AO2" s="516">
        <f t="shared" ref="AO2:AQ2" si="2">AO48</f>
        <v>0</v>
      </c>
      <c r="AP2" s="516">
        <f t="shared" si="2"/>
        <v>0</v>
      </c>
      <c r="AQ2" s="516">
        <f t="shared" si="2"/>
        <v>0</v>
      </c>
      <c r="AR2" s="636"/>
    </row>
    <row r="3" spans="1:44">
      <c r="A3" s="13"/>
      <c r="B3" s="11"/>
      <c r="C3" s="11"/>
      <c r="D3" s="17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30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637"/>
    </row>
    <row r="4" spans="1:44">
      <c r="A4" s="13"/>
      <c r="B4" s="19" t="s">
        <v>661</v>
      </c>
      <c r="C4" s="20" t="s">
        <v>209</v>
      </c>
      <c r="D4" s="20" t="s">
        <v>210</v>
      </c>
      <c r="E4" s="20" t="s">
        <v>211</v>
      </c>
      <c r="F4" s="20" t="s">
        <v>212</v>
      </c>
      <c r="G4" s="20" t="s">
        <v>213</v>
      </c>
      <c r="H4" s="20" t="s">
        <v>214</v>
      </c>
      <c r="I4" s="20" t="s">
        <v>215</v>
      </c>
      <c r="J4" s="20" t="s">
        <v>216</v>
      </c>
      <c r="K4" s="20" t="s">
        <v>217</v>
      </c>
      <c r="L4" s="20" t="s">
        <v>199</v>
      </c>
      <c r="M4" s="20" t="s">
        <v>200</v>
      </c>
      <c r="N4" s="20" t="s">
        <v>201</v>
      </c>
      <c r="O4" s="20" t="s">
        <v>251</v>
      </c>
      <c r="P4" s="20" t="s">
        <v>701</v>
      </c>
      <c r="Q4" s="20" t="s">
        <v>704</v>
      </c>
      <c r="R4" s="20" t="s">
        <v>705</v>
      </c>
      <c r="S4" s="20" t="s">
        <v>840</v>
      </c>
      <c r="T4" s="20" t="s">
        <v>846</v>
      </c>
      <c r="U4" s="20" t="s">
        <v>869</v>
      </c>
      <c r="V4" s="1141" t="s">
        <v>873</v>
      </c>
      <c r="W4" s="1209" t="s">
        <v>920</v>
      </c>
      <c r="X4" s="80" t="s">
        <v>926</v>
      </c>
      <c r="Y4" s="1209" t="s">
        <v>866</v>
      </c>
      <c r="Z4" s="80" t="s">
        <v>932</v>
      </c>
      <c r="AA4" s="80" t="s">
        <v>946</v>
      </c>
      <c r="AB4" s="1209" t="s">
        <v>887</v>
      </c>
      <c r="AC4" s="80" t="s">
        <v>968</v>
      </c>
      <c r="AD4" s="80" t="s">
        <v>977</v>
      </c>
      <c r="AE4" s="80" t="s">
        <v>923</v>
      </c>
      <c r="AF4" s="1298" t="s">
        <v>903</v>
      </c>
      <c r="AG4" s="80" t="s">
        <v>904</v>
      </c>
      <c r="AH4" s="80" t="str">
        <f>'P&amp;L'!BT4</f>
        <v>FY26E</v>
      </c>
      <c r="AI4" s="80" t="s">
        <v>905</v>
      </c>
      <c r="AJ4" s="80" t="s">
        <v>906</v>
      </c>
      <c r="AK4" s="80" t="str">
        <f>'P&amp;L'!BW4</f>
        <v>FY27E</v>
      </c>
      <c r="AL4" s="80" t="s">
        <v>942</v>
      </c>
      <c r="AM4" s="80" t="s">
        <v>943</v>
      </c>
      <c r="AN4" s="80" t="str">
        <f>'P&amp;L'!BZ4</f>
        <v>FY28E</v>
      </c>
      <c r="AO4" s="80" t="s">
        <v>944</v>
      </c>
      <c r="AP4" s="80" t="s">
        <v>945</v>
      </c>
      <c r="AQ4" s="80" t="str">
        <f>'P&amp;L'!CC4</f>
        <v>FY29E</v>
      </c>
      <c r="AR4" s="638"/>
    </row>
    <row r="5" spans="1:44" ht="13.5" customHeight="1">
      <c r="A5" s="13"/>
      <c r="B5" s="844"/>
      <c r="C5" s="845"/>
      <c r="D5" s="845"/>
      <c r="E5" s="845"/>
      <c r="F5" s="845"/>
      <c r="G5" s="845"/>
      <c r="H5" s="846"/>
      <c r="I5" s="846"/>
      <c r="J5" s="846"/>
      <c r="K5" s="846"/>
      <c r="L5" s="846"/>
      <c r="M5" s="846"/>
      <c r="N5" s="846"/>
      <c r="O5" s="846"/>
      <c r="P5" s="846"/>
      <c r="Q5" s="846"/>
      <c r="R5" s="846"/>
      <c r="S5" s="846"/>
      <c r="T5" s="846"/>
      <c r="U5" s="846"/>
      <c r="V5" s="846"/>
      <c r="W5" s="846"/>
      <c r="X5" s="846"/>
      <c r="Y5" s="846"/>
      <c r="Z5" s="22"/>
      <c r="AA5" s="22"/>
      <c r="AB5" s="846"/>
      <c r="AC5" s="22"/>
      <c r="AD5" s="846"/>
      <c r="AE5" s="846"/>
      <c r="AF5" s="1655"/>
      <c r="AG5" s="846"/>
      <c r="AH5" s="846"/>
      <c r="AI5" s="846"/>
      <c r="AJ5" s="846"/>
      <c r="AK5" s="846"/>
      <c r="AL5" s="846"/>
      <c r="AM5" s="846"/>
      <c r="AN5" s="846"/>
      <c r="AO5" s="846"/>
      <c r="AP5" s="846"/>
      <c r="AQ5" s="846"/>
      <c r="AR5" s="22"/>
    </row>
    <row r="6" spans="1:44">
      <c r="A6" s="53"/>
      <c r="B6" s="441" t="s">
        <v>65</v>
      </c>
      <c r="C6" s="847">
        <v>12.99</v>
      </c>
      <c r="D6" s="847">
        <v>16.431999999999999</v>
      </c>
      <c r="E6" s="847">
        <v>1.631</v>
      </c>
      <c r="F6" s="847">
        <v>4.4930000000000003</v>
      </c>
      <c r="G6" s="847">
        <v>23.707000000000001</v>
      </c>
      <c r="H6" s="847">
        <v>0</v>
      </c>
      <c r="I6" s="847">
        <v>35.79</v>
      </c>
      <c r="J6" s="847">
        <v>51.734999999999999</v>
      </c>
      <c r="K6" s="847">
        <v>27.245999999999999</v>
      </c>
      <c r="L6" s="847">
        <v>39.71</v>
      </c>
      <c r="M6" s="847">
        <v>67.367999999999995</v>
      </c>
      <c r="N6" s="847">
        <v>43.445</v>
      </c>
      <c r="O6" s="847">
        <v>49.131</v>
      </c>
      <c r="P6" s="847">
        <v>51.884</v>
      </c>
      <c r="Q6" s="847">
        <v>72.8</v>
      </c>
      <c r="R6" s="775">
        <v>72</v>
      </c>
      <c r="S6" s="775">
        <v>119.2</v>
      </c>
      <c r="T6" s="847">
        <v>251.5</v>
      </c>
      <c r="U6" s="847">
        <v>263.2</v>
      </c>
      <c r="V6" s="847">
        <v>125.6</v>
      </c>
      <c r="W6" s="847">
        <f>CFS!W47</f>
        <v>391.18399999999804</v>
      </c>
      <c r="X6" s="896">
        <f>+Y6</f>
        <v>177.3</v>
      </c>
      <c r="Y6" s="1275">
        <v>177.3</v>
      </c>
      <c r="Z6" s="937">
        <f>CFS!Z47</f>
        <v>487.98399999999828</v>
      </c>
      <c r="AA6" s="1275">
        <f>+AB6</f>
        <v>317.7</v>
      </c>
      <c r="AB6" s="1899">
        <v>317.7</v>
      </c>
      <c r="AC6" s="309">
        <f>CFS!AC47</f>
        <v>556.38399999999876</v>
      </c>
      <c r="AD6" s="1275">
        <f>+AE6</f>
        <v>284.08399999999841</v>
      </c>
      <c r="AE6" s="23">
        <f>CFS!AE47</f>
        <v>284.08399999999841</v>
      </c>
      <c r="AF6" s="1299">
        <f>CFS!AF47</f>
        <v>489.48399999999845</v>
      </c>
      <c r="AG6" s="309">
        <f>CFS!AG47</f>
        <v>278.73729058787308</v>
      </c>
      <c r="AH6" s="309">
        <f>CFS!AH47</f>
        <v>278.73729058787302</v>
      </c>
      <c r="AI6" s="309">
        <f>CFS!AI47</f>
        <v>326.68172698675107</v>
      </c>
      <c r="AJ6" s="309">
        <f>CFS!AJ47</f>
        <v>336.69984284409213</v>
      </c>
      <c r="AK6" s="309">
        <f>CFS!AK47</f>
        <v>336.69984284409219</v>
      </c>
      <c r="AL6" s="309">
        <f>CFS!AL47</f>
        <v>392.73420303820353</v>
      </c>
      <c r="AM6" s="309">
        <f>CFS!AM47</f>
        <v>401.13494328867984</v>
      </c>
      <c r="AN6" s="309">
        <f>CFS!AN47</f>
        <v>401.13494328867995</v>
      </c>
      <c r="AO6" s="309">
        <f>CFS!AO47</f>
        <v>460.65710692456236</v>
      </c>
      <c r="AP6" s="309">
        <f>CFS!AP47</f>
        <v>468.35923217716908</v>
      </c>
      <c r="AQ6" s="309">
        <f>CFS!AQ47</f>
        <v>468.35923217716885</v>
      </c>
      <c r="AR6" s="23"/>
    </row>
    <row r="7" spans="1:44">
      <c r="A7" s="53"/>
      <c r="B7" s="441" t="s">
        <v>66</v>
      </c>
      <c r="C7" s="848">
        <f t="shared" ref="C7:S7" si="3">C55</f>
        <v>7.6989999999999998</v>
      </c>
      <c r="D7" s="848">
        <f t="shared" si="3"/>
        <v>13.17</v>
      </c>
      <c r="E7" s="848">
        <f t="shared" si="3"/>
        <v>19.852</v>
      </c>
      <c r="F7" s="848">
        <f t="shared" si="3"/>
        <v>28.282</v>
      </c>
      <c r="G7" s="848">
        <f t="shared" si="3"/>
        <v>45.177</v>
      </c>
      <c r="H7" s="848">
        <f t="shared" si="3"/>
        <v>52.996000000000002</v>
      </c>
      <c r="I7" s="848">
        <f t="shared" si="3"/>
        <v>60.268999999999998</v>
      </c>
      <c r="J7" s="848">
        <f t="shared" si="3"/>
        <v>63.499000000000002</v>
      </c>
      <c r="K7" s="848">
        <f t="shared" si="3"/>
        <v>58.253</v>
      </c>
      <c r="L7" s="848">
        <f t="shared" si="3"/>
        <v>58.378</v>
      </c>
      <c r="M7" s="848">
        <f t="shared" si="3"/>
        <v>64.245999999999995</v>
      </c>
      <c r="N7" s="848">
        <f t="shared" si="3"/>
        <v>70.745000000000005</v>
      </c>
      <c r="O7" s="848">
        <f t="shared" si="3"/>
        <v>81.48</v>
      </c>
      <c r="P7" s="848">
        <f t="shared" si="3"/>
        <v>98.072999999999993</v>
      </c>
      <c r="Q7" s="848">
        <f t="shared" si="3"/>
        <v>196.6</v>
      </c>
      <c r="R7" s="848">
        <f t="shared" si="3"/>
        <v>204.7</v>
      </c>
      <c r="S7" s="848">
        <f t="shared" si="3"/>
        <v>254.4</v>
      </c>
      <c r="T7" s="848">
        <f>T55</f>
        <v>220.3</v>
      </c>
      <c r="U7" s="848">
        <f>U55</f>
        <v>211.6</v>
      </c>
      <c r="V7" s="891">
        <f>V55</f>
        <v>132.6</v>
      </c>
      <c r="W7" s="891">
        <f>W55</f>
        <v>174.3</v>
      </c>
      <c r="X7" s="910">
        <f t="shared" ref="X7:AK7" si="4">X55</f>
        <v>146.5</v>
      </c>
      <c r="Y7" s="911">
        <f>Y55</f>
        <v>146.5</v>
      </c>
      <c r="Z7" s="53">
        <f>Z55</f>
        <v>178.2</v>
      </c>
      <c r="AA7" s="910">
        <f t="shared" ref="AA7" si="5">AA55</f>
        <v>135.1</v>
      </c>
      <c r="AB7" s="911">
        <f>AB55</f>
        <v>135.1</v>
      </c>
      <c r="AC7" s="891">
        <f t="shared" si="4"/>
        <v>205.2</v>
      </c>
      <c r="AD7" s="910">
        <f t="shared" si="4"/>
        <v>186.5</v>
      </c>
      <c r="AE7" s="911">
        <f>AE55</f>
        <v>186.5</v>
      </c>
      <c r="AF7" s="1553">
        <f t="shared" si="4"/>
        <v>242.1</v>
      </c>
      <c r="AG7" s="848">
        <f t="shared" si="4"/>
        <v>200.7180221038372</v>
      </c>
      <c r="AH7" s="848">
        <f t="shared" si="4"/>
        <v>200.7180221038372</v>
      </c>
      <c r="AI7" s="848">
        <f t="shared" si="4"/>
        <v>228.06659536733224</v>
      </c>
      <c r="AJ7" s="848">
        <f t="shared" si="4"/>
        <v>209.1446632399651</v>
      </c>
      <c r="AK7" s="848">
        <f t="shared" si="4"/>
        <v>209.1446632399651</v>
      </c>
      <c r="AL7" s="848">
        <f t="shared" ref="AL7:AN7" si="6">AL55</f>
        <v>238.11168256945274</v>
      </c>
      <c r="AM7" s="848">
        <f t="shared" si="6"/>
        <v>217.93311386344479</v>
      </c>
      <c r="AN7" s="848">
        <f t="shared" si="6"/>
        <v>217.93311386344479</v>
      </c>
      <c r="AO7" s="848">
        <f t="shared" ref="AO7:AQ7" si="7">AO55</f>
        <v>248.1294652254706</v>
      </c>
      <c r="AP7" s="848">
        <f t="shared" si="7"/>
        <v>227.10168426401532</v>
      </c>
      <c r="AQ7" s="848">
        <f t="shared" si="7"/>
        <v>227.10168426401532</v>
      </c>
      <c r="AR7" s="219"/>
    </row>
    <row r="8" spans="1:44">
      <c r="A8" s="53"/>
      <c r="B8" s="441" t="s">
        <v>67</v>
      </c>
      <c r="C8" s="309">
        <f t="shared" ref="C8:O8" si="8">C62</f>
        <v>49.073999999999998</v>
      </c>
      <c r="D8" s="309">
        <f t="shared" si="8"/>
        <v>70.349000000000004</v>
      </c>
      <c r="E8" s="309">
        <f t="shared" si="8"/>
        <v>102.157</v>
      </c>
      <c r="F8" s="309">
        <f t="shared" si="8"/>
        <v>161.137</v>
      </c>
      <c r="G8" s="309">
        <f t="shared" si="8"/>
        <v>211.18899999999999</v>
      </c>
      <c r="H8" s="309">
        <f t="shared" si="8"/>
        <v>271.87799999999999</v>
      </c>
      <c r="I8" s="309">
        <f t="shared" si="8"/>
        <v>324.51900000000001</v>
      </c>
      <c r="J8" s="309">
        <f t="shared" si="8"/>
        <v>334.75400000000002</v>
      </c>
      <c r="K8" s="309">
        <f t="shared" si="8"/>
        <v>406.93900000000002</v>
      </c>
      <c r="L8" s="309">
        <f t="shared" si="8"/>
        <v>428.29</v>
      </c>
      <c r="M8" s="309">
        <f t="shared" si="8"/>
        <v>426</v>
      </c>
      <c r="N8" s="309">
        <f t="shared" si="8"/>
        <v>458.625</v>
      </c>
      <c r="O8" s="309">
        <f t="shared" si="8"/>
        <v>478.87099999999998</v>
      </c>
      <c r="P8" s="309">
        <f t="shared" ref="P8:Y8" si="9">P62</f>
        <v>546.43700000000001</v>
      </c>
      <c r="Q8" s="309">
        <f t="shared" si="9"/>
        <v>859.9</v>
      </c>
      <c r="R8" s="309">
        <f t="shared" si="9"/>
        <v>891.1</v>
      </c>
      <c r="S8" s="309">
        <f t="shared" si="9"/>
        <v>886.7</v>
      </c>
      <c r="T8" s="309">
        <f t="shared" si="9"/>
        <v>739.3</v>
      </c>
      <c r="U8" s="309">
        <f t="shared" si="9"/>
        <v>938.8</v>
      </c>
      <c r="V8" s="309">
        <f t="shared" si="9"/>
        <v>1135.3</v>
      </c>
      <c r="W8" s="309">
        <f t="shared" si="9"/>
        <v>1211.4000000000001</v>
      </c>
      <c r="X8" s="896">
        <f t="shared" si="9"/>
        <v>1040.9000000000001</v>
      </c>
      <c r="Y8" s="896">
        <f t="shared" si="9"/>
        <v>1040.9000000000001</v>
      </c>
      <c r="Z8" s="23">
        <f t="shared" ref="Z8:AB8" si="10">Z62</f>
        <v>1163.8</v>
      </c>
      <c r="AA8" s="896">
        <f t="shared" si="10"/>
        <v>1093.5999999999999</v>
      </c>
      <c r="AB8" s="896">
        <f t="shared" si="10"/>
        <v>1093.5999999999999</v>
      </c>
      <c r="AC8" s="309">
        <f t="shared" ref="AC8:AE8" si="11">AC62</f>
        <v>1320.4</v>
      </c>
      <c r="AD8" s="896">
        <f t="shared" si="11"/>
        <v>1298.5</v>
      </c>
      <c r="AE8" s="896">
        <f t="shared" si="11"/>
        <v>1298.5</v>
      </c>
      <c r="AF8" s="1299">
        <f t="shared" ref="AF8:AG8" si="12">AF62</f>
        <v>1408.9</v>
      </c>
      <c r="AG8" s="309">
        <f t="shared" si="12"/>
        <v>1340.3755921073844</v>
      </c>
      <c r="AH8" s="309">
        <f>AH62</f>
        <v>1340.3755921073844</v>
      </c>
      <c r="AI8" s="309">
        <f t="shared" ref="AI8:AJ8" si="13">AI62</f>
        <v>1529.8796689828839</v>
      </c>
      <c r="AJ8" s="309">
        <f t="shared" si="13"/>
        <v>1400.4814190122436</v>
      </c>
      <c r="AK8" s="309">
        <f>AK62</f>
        <v>1400.4814190122436</v>
      </c>
      <c r="AL8" s="309">
        <f t="shared" ref="AL8:AM8" si="14">AL62</f>
        <v>1597.4998250626268</v>
      </c>
      <c r="AM8" s="309">
        <f t="shared" si="14"/>
        <v>1459.3777749656883</v>
      </c>
      <c r="AN8" s="309">
        <f>AN62</f>
        <v>1459.3777749656883</v>
      </c>
      <c r="AO8" s="309">
        <f t="shared" ref="AO8:AP8" si="15">AO62</f>
        <v>1664.7483567892591</v>
      </c>
      <c r="AP8" s="309">
        <f t="shared" si="15"/>
        <v>1520.9071013776909</v>
      </c>
      <c r="AQ8" s="309">
        <f>AQ62</f>
        <v>1520.9071013776909</v>
      </c>
      <c r="AR8" s="23"/>
    </row>
    <row r="9" spans="1:44">
      <c r="A9" s="53"/>
      <c r="B9" s="441" t="s">
        <v>220</v>
      </c>
      <c r="C9" s="847">
        <v>0.68100000000000005</v>
      </c>
      <c r="D9" s="847">
        <v>1.127</v>
      </c>
      <c r="E9" s="847">
        <v>2.6480000000000001</v>
      </c>
      <c r="F9" s="847">
        <v>2.8450000000000002</v>
      </c>
      <c r="G9" s="847">
        <v>3.5489999999999999</v>
      </c>
      <c r="H9" s="847">
        <v>5.3280000000000003</v>
      </c>
      <c r="I9" s="847">
        <v>5.6609999999999996</v>
      </c>
      <c r="J9" s="847">
        <v>4.5199999999999996</v>
      </c>
      <c r="K9" s="847">
        <v>8.6340000000000003</v>
      </c>
      <c r="L9" s="847">
        <v>7.6820000000000004</v>
      </c>
      <c r="M9" s="847">
        <v>6.0380000000000003</v>
      </c>
      <c r="N9" s="847">
        <v>5.3319999999999999</v>
      </c>
      <c r="O9" s="847">
        <v>7.4160000000000004</v>
      </c>
      <c r="P9" s="847">
        <v>6.1239999999999997</v>
      </c>
      <c r="Q9" s="847">
        <v>41.4</v>
      </c>
      <c r="R9" s="847">
        <v>42.7</v>
      </c>
      <c r="S9" s="847">
        <v>34.6</v>
      </c>
      <c r="T9" s="847">
        <v>34.700000000000003</v>
      </c>
      <c r="U9" s="847">
        <v>35.700000000000003</v>
      </c>
      <c r="V9" s="847">
        <v>31.2</v>
      </c>
      <c r="W9" s="847">
        <v>37.200000000000003</v>
      </c>
      <c r="X9" s="896">
        <f>Y9</f>
        <v>34.6</v>
      </c>
      <c r="Y9" s="1275">
        <v>34.6</v>
      </c>
      <c r="Z9" s="1398">
        <v>43.9</v>
      </c>
      <c r="AA9" s="896">
        <f>AB9</f>
        <v>39.9</v>
      </c>
      <c r="AB9" s="1275">
        <v>39.9</v>
      </c>
      <c r="AC9" s="1900">
        <v>50.9</v>
      </c>
      <c r="AD9" s="896">
        <f>AE9</f>
        <v>46.5</v>
      </c>
      <c r="AE9" s="1275">
        <v>46.5</v>
      </c>
      <c r="AF9" s="1906">
        <v>59.2</v>
      </c>
      <c r="AG9" s="309">
        <f t="shared" ref="AG9:AK9" si="16">AF9</f>
        <v>59.2</v>
      </c>
      <c r="AH9" s="309">
        <f t="shared" si="16"/>
        <v>59.2</v>
      </c>
      <c r="AI9" s="309">
        <f t="shared" si="16"/>
        <v>59.2</v>
      </c>
      <c r="AJ9" s="309">
        <f t="shared" si="16"/>
        <v>59.2</v>
      </c>
      <c r="AK9" s="309">
        <f t="shared" si="16"/>
        <v>59.2</v>
      </c>
      <c r="AL9" s="309">
        <f t="shared" ref="AL9" si="17">AK9</f>
        <v>59.2</v>
      </c>
      <c r="AM9" s="309">
        <f t="shared" ref="AM9" si="18">AL9</f>
        <v>59.2</v>
      </c>
      <c r="AN9" s="309">
        <f t="shared" ref="AN9" si="19">AM9</f>
        <v>59.2</v>
      </c>
      <c r="AO9" s="309">
        <f t="shared" ref="AO9" si="20">AN9</f>
        <v>59.2</v>
      </c>
      <c r="AP9" s="309">
        <f t="shared" ref="AP9" si="21">AO9</f>
        <v>59.2</v>
      </c>
      <c r="AQ9" s="309">
        <f t="shared" ref="AQ9" si="22">AP9</f>
        <v>59.2</v>
      </c>
      <c r="AR9" s="23"/>
    </row>
    <row r="10" spans="1:44">
      <c r="A10" s="53" t="s">
        <v>400</v>
      </c>
      <c r="B10" s="220" t="s">
        <v>68</v>
      </c>
      <c r="C10" s="159">
        <f t="shared" ref="C10:O10" si="23">SUM(C6:C9)</f>
        <v>70.444000000000003</v>
      </c>
      <c r="D10" s="159">
        <f t="shared" si="23"/>
        <v>101.07799999999999</v>
      </c>
      <c r="E10" s="159">
        <f t="shared" si="23"/>
        <v>126.288</v>
      </c>
      <c r="F10" s="159">
        <f t="shared" si="23"/>
        <v>196.75700000000001</v>
      </c>
      <c r="G10" s="159">
        <f t="shared" si="23"/>
        <v>283.62199999999996</v>
      </c>
      <c r="H10" s="159">
        <f t="shared" si="23"/>
        <v>330.20199999999994</v>
      </c>
      <c r="I10" s="159">
        <f t="shared" si="23"/>
        <v>426.23899999999998</v>
      </c>
      <c r="J10" s="159">
        <f t="shared" si="23"/>
        <v>454.50800000000004</v>
      </c>
      <c r="K10" s="159">
        <f t="shared" si="23"/>
        <v>501.072</v>
      </c>
      <c r="L10" s="159">
        <f t="shared" si="23"/>
        <v>534.06000000000006</v>
      </c>
      <c r="M10" s="159">
        <f t="shared" si="23"/>
        <v>563.65200000000004</v>
      </c>
      <c r="N10" s="159">
        <f t="shared" si="23"/>
        <v>578.14700000000005</v>
      </c>
      <c r="O10" s="159">
        <f t="shared" si="23"/>
        <v>616.89800000000002</v>
      </c>
      <c r="P10" s="159">
        <f t="shared" ref="P10:U10" si="24">SUM(P6:P9)</f>
        <v>702.51800000000003</v>
      </c>
      <c r="Q10" s="159">
        <f t="shared" si="24"/>
        <v>1170.7</v>
      </c>
      <c r="R10" s="159">
        <f t="shared" si="24"/>
        <v>1210.5</v>
      </c>
      <c r="S10" s="160">
        <f t="shared" si="24"/>
        <v>1294.9000000000001</v>
      </c>
      <c r="T10" s="160">
        <f t="shared" si="24"/>
        <v>1245.8</v>
      </c>
      <c r="U10" s="160">
        <f t="shared" si="24"/>
        <v>1449.3</v>
      </c>
      <c r="V10" s="1150">
        <f t="shared" ref="V10:AM10" si="25">SUM(V6:V9)</f>
        <v>1424.7</v>
      </c>
      <c r="W10" s="1150">
        <f t="shared" si="25"/>
        <v>1814.0839999999982</v>
      </c>
      <c r="X10" s="1229">
        <f t="shared" si="25"/>
        <v>1399.3</v>
      </c>
      <c r="Y10" s="1276">
        <f t="shared" ref="Y10:AA10" si="26">SUM(Y6:Y9)</f>
        <v>1399.3</v>
      </c>
      <c r="Z10" s="160">
        <f t="shared" si="26"/>
        <v>1873.8839999999982</v>
      </c>
      <c r="AA10" s="1229">
        <f t="shared" si="26"/>
        <v>1586.3</v>
      </c>
      <c r="AB10" s="1558">
        <f t="shared" ref="AB10:AD10" si="27">SUM(AB6:AB9)</f>
        <v>1586.3</v>
      </c>
      <c r="AC10" s="1543">
        <f t="shared" si="27"/>
        <v>2132.8839999999987</v>
      </c>
      <c r="AD10" s="1229">
        <f t="shared" si="27"/>
        <v>1815.5839999999985</v>
      </c>
      <c r="AE10" s="1558">
        <f t="shared" ref="AE10" si="28">SUM(AE6:AE9)</f>
        <v>1815.5839999999985</v>
      </c>
      <c r="AF10" s="1547">
        <f t="shared" ref="AF10:AG10" si="29">SUM(AF6:AF9)</f>
        <v>2199.6839999999984</v>
      </c>
      <c r="AG10" s="939">
        <f t="shared" si="29"/>
        <v>1879.0309047990947</v>
      </c>
      <c r="AH10" s="939">
        <f t="shared" si="25"/>
        <v>1879.0309047990947</v>
      </c>
      <c r="AI10" s="939">
        <f t="shared" ref="AI10:AJ10" si="30">SUM(AI6:AI9)</f>
        <v>2143.827991336967</v>
      </c>
      <c r="AJ10" s="939">
        <f t="shared" si="30"/>
        <v>2005.5259250963009</v>
      </c>
      <c r="AK10" s="939">
        <f t="shared" si="25"/>
        <v>2005.5259250963009</v>
      </c>
      <c r="AL10" s="939">
        <f t="shared" si="25"/>
        <v>2287.5457106702829</v>
      </c>
      <c r="AM10" s="939">
        <f t="shared" si="25"/>
        <v>2137.6458321178129</v>
      </c>
      <c r="AN10" s="939">
        <f t="shared" ref="AN10:AP10" si="31">SUM(AN6:AN9)</f>
        <v>2137.6458321178129</v>
      </c>
      <c r="AO10" s="939">
        <f t="shared" si="31"/>
        <v>2432.7349289392919</v>
      </c>
      <c r="AP10" s="939">
        <f t="shared" si="31"/>
        <v>2275.568017818875</v>
      </c>
      <c r="AQ10" s="939">
        <f t="shared" ref="AQ10" si="32">SUM(AQ6:AQ9)</f>
        <v>2275.568017818875</v>
      </c>
      <c r="AR10" s="32"/>
    </row>
    <row r="11" spans="1:44">
      <c r="A11" s="53"/>
      <c r="B11" s="441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896"/>
      <c r="X11" s="896"/>
      <c r="Y11" s="896"/>
      <c r="Z11" s="31"/>
      <c r="AA11" s="896"/>
      <c r="AB11" s="896"/>
      <c r="AC11" s="31"/>
      <c r="AD11" s="309"/>
      <c r="AE11" s="896"/>
      <c r="AF11" s="1326"/>
      <c r="AG11" s="309"/>
      <c r="AH11" s="309"/>
      <c r="AI11" s="309"/>
      <c r="AJ11" s="309"/>
      <c r="AK11" s="309"/>
      <c r="AL11" s="309"/>
      <c r="AM11" s="309"/>
      <c r="AN11" s="309"/>
      <c r="AO11" s="309"/>
      <c r="AP11" s="309"/>
      <c r="AQ11" s="309"/>
      <c r="AR11" s="23"/>
    </row>
    <row r="12" spans="1:44">
      <c r="A12" s="55"/>
      <c r="B12" s="441" t="s">
        <v>582</v>
      </c>
      <c r="C12" s="847">
        <f>0.006+0.781</f>
        <v>0.78700000000000003</v>
      </c>
      <c r="D12" s="847">
        <f>0.006+0.247</f>
        <v>0.253</v>
      </c>
      <c r="E12" s="847">
        <f>0.006+0.568+0.205</f>
        <v>0.77899999999999991</v>
      </c>
      <c r="F12" s="847">
        <f>0.689+0.674</f>
        <v>1.363</v>
      </c>
      <c r="G12" s="847">
        <f>0.689+0.847</f>
        <v>1.536</v>
      </c>
      <c r="H12" s="847">
        <v>0.60899999999999999</v>
      </c>
      <c r="I12" s="847">
        <v>3.0000000000000001E-3</v>
      </c>
      <c r="J12" s="847">
        <v>3.0000000000000001E-3</v>
      </c>
      <c r="K12" s="847">
        <v>3.0000000000000001E-3</v>
      </c>
      <c r="L12" s="847">
        <v>3.0000000000000001E-3</v>
      </c>
      <c r="M12" s="847">
        <v>3.0000000000000001E-3</v>
      </c>
      <c r="N12" s="847">
        <v>3.0000000000000001E-3</v>
      </c>
      <c r="O12" s="847">
        <v>3.0000000000000001E-3</v>
      </c>
      <c r="P12" s="847">
        <v>0</v>
      </c>
      <c r="Q12" s="847">
        <v>46.8</v>
      </c>
      <c r="R12" s="847">
        <v>45.9</v>
      </c>
      <c r="S12" s="847">
        <v>40.799999999999997</v>
      </c>
      <c r="T12" s="847">
        <v>38.4</v>
      </c>
      <c r="U12" s="847">
        <v>39</v>
      </c>
      <c r="V12" s="847">
        <v>44.1</v>
      </c>
      <c r="W12" s="847">
        <v>48.6</v>
      </c>
      <c r="X12" s="896">
        <f>Y12</f>
        <v>50.2</v>
      </c>
      <c r="Y12" s="1275">
        <v>50.2</v>
      </c>
      <c r="Z12" s="1398">
        <v>52.3</v>
      </c>
      <c r="AA12" s="896">
        <f>AB12</f>
        <v>53.5</v>
      </c>
      <c r="AB12" s="1275">
        <v>53.5</v>
      </c>
      <c r="AC12" s="1900">
        <v>55.7</v>
      </c>
      <c r="AD12" s="896">
        <f>AE12</f>
        <v>57.2</v>
      </c>
      <c r="AE12" s="1275">
        <v>57.2</v>
      </c>
      <c r="AF12" s="1773">
        <v>58.9</v>
      </c>
      <c r="AG12" s="309">
        <f t="shared" ref="AG12:AK12" si="33">AF12</f>
        <v>58.9</v>
      </c>
      <c r="AH12" s="309">
        <f t="shared" si="33"/>
        <v>58.9</v>
      </c>
      <c r="AI12" s="309">
        <f t="shared" si="33"/>
        <v>58.9</v>
      </c>
      <c r="AJ12" s="309">
        <f t="shared" si="33"/>
        <v>58.9</v>
      </c>
      <c r="AK12" s="309">
        <f t="shared" si="33"/>
        <v>58.9</v>
      </c>
      <c r="AL12" s="309">
        <f t="shared" ref="AL12" si="34">AK12</f>
        <v>58.9</v>
      </c>
      <c r="AM12" s="309">
        <f t="shared" ref="AM12" si="35">AL12</f>
        <v>58.9</v>
      </c>
      <c r="AN12" s="309">
        <f t="shared" ref="AN12" si="36">AM12</f>
        <v>58.9</v>
      </c>
      <c r="AO12" s="309">
        <f t="shared" ref="AO12" si="37">AN12</f>
        <v>58.9</v>
      </c>
      <c r="AP12" s="309">
        <f t="shared" ref="AP12" si="38">AO12</f>
        <v>58.9</v>
      </c>
      <c r="AQ12" s="309">
        <f t="shared" ref="AQ12" si="39">AP12</f>
        <v>58.9</v>
      </c>
      <c r="AR12" s="23"/>
    </row>
    <row r="13" spans="1:44">
      <c r="A13" s="53" t="s">
        <v>401</v>
      </c>
      <c r="B13" s="441" t="s">
        <v>69</v>
      </c>
      <c r="C13" s="847">
        <v>14.88</v>
      </c>
      <c r="D13" s="847">
        <v>21.94</v>
      </c>
      <c r="E13" s="847">
        <v>35.908000000000001</v>
      </c>
      <c r="F13" s="847">
        <v>57.206000000000003</v>
      </c>
      <c r="G13" s="847">
        <v>80.144000000000005</v>
      </c>
      <c r="H13" s="847">
        <v>112.923</v>
      </c>
      <c r="I13" s="847">
        <v>136.06299999999999</v>
      </c>
      <c r="J13" s="847">
        <v>163.982</v>
      </c>
      <c r="K13" s="847">
        <v>169.59</v>
      </c>
      <c r="L13" s="847">
        <v>182.048</v>
      </c>
      <c r="M13" s="847">
        <v>181.09800000000001</v>
      </c>
      <c r="N13" s="847">
        <v>181.56399999999999</v>
      </c>
      <c r="O13" s="847">
        <v>176.208</v>
      </c>
      <c r="P13" s="847">
        <v>183.57</v>
      </c>
      <c r="Q13" s="847">
        <v>208.2</v>
      </c>
      <c r="R13" s="847">
        <v>198</v>
      </c>
      <c r="S13" s="847">
        <v>191.5</v>
      </c>
      <c r="T13" s="847">
        <v>172.3</v>
      </c>
      <c r="U13" s="847">
        <v>169</v>
      </c>
      <c r="V13" s="847">
        <v>169</v>
      </c>
      <c r="W13" s="847">
        <v>173.7</v>
      </c>
      <c r="X13" s="896">
        <f t="shared" ref="X13" si="40">X132</f>
        <v>182.8</v>
      </c>
      <c r="Y13" s="1275">
        <v>182.8</v>
      </c>
      <c r="Z13" s="1398">
        <v>190.3</v>
      </c>
      <c r="AA13" s="896">
        <f t="shared" ref="AA13" si="41">AA132</f>
        <v>196.9</v>
      </c>
      <c r="AB13" s="1275">
        <v>196.9</v>
      </c>
      <c r="AC13" s="1900">
        <v>214</v>
      </c>
      <c r="AD13" s="896">
        <f t="shared" ref="AD13" si="42">AD132</f>
        <v>224.8</v>
      </c>
      <c r="AE13" s="1275">
        <v>224.8</v>
      </c>
      <c r="AF13" s="1773">
        <v>237.4</v>
      </c>
      <c r="AG13" s="309">
        <f t="shared" ref="AG13" si="43">AG132</f>
        <v>240.54309407807125</v>
      </c>
      <c r="AH13" s="309">
        <f>AH132</f>
        <v>240.54309407807125</v>
      </c>
      <c r="AI13" s="309">
        <f t="shared" ref="AI13:AJ13" si="44">AI132</f>
        <v>250.14247289861859</v>
      </c>
      <c r="AJ13" s="309">
        <f t="shared" si="44"/>
        <v>261.33423100093381</v>
      </c>
      <c r="AK13" s="309">
        <f>AK132</f>
        <v>261.33423100093381</v>
      </c>
      <c r="AL13" s="309">
        <f t="shared" ref="AL13:AM13" si="45">AL132</f>
        <v>271.23963566313603</v>
      </c>
      <c r="AM13" s="309">
        <f t="shared" si="45"/>
        <v>279.29574454805925</v>
      </c>
      <c r="AN13" s="309">
        <f>AN132</f>
        <v>279.2957445480593</v>
      </c>
      <c r="AO13" s="309">
        <f t="shared" ref="AO13:AP13" si="46">AO132</f>
        <v>287.80920605484067</v>
      </c>
      <c r="AP13" s="309">
        <f t="shared" si="46"/>
        <v>294.42970456258718</v>
      </c>
      <c r="AQ13" s="309">
        <f>AQ132</f>
        <v>294.42970456258729</v>
      </c>
      <c r="AR13" s="23"/>
    </row>
    <row r="14" spans="1:44">
      <c r="A14" s="53" t="s">
        <v>406</v>
      </c>
      <c r="B14" s="441" t="s">
        <v>70</v>
      </c>
      <c r="C14" s="847">
        <v>43.094000000000001</v>
      </c>
      <c r="D14" s="847">
        <f>46.518</f>
        <v>46.518000000000001</v>
      </c>
      <c r="E14" s="847">
        <f>20.015+46.636</f>
        <v>66.65100000000001</v>
      </c>
      <c r="F14" s="847">
        <f>20.015+46.636</f>
        <v>66.65100000000001</v>
      </c>
      <c r="G14" s="847">
        <f>46.636+34.017</f>
        <v>80.653000000000006</v>
      </c>
      <c r="H14" s="847">
        <f>46.636+34.538</f>
        <v>81.174000000000007</v>
      </c>
      <c r="I14" s="847">
        <v>81.352000000000004</v>
      </c>
      <c r="J14" s="847">
        <v>83.861000000000004</v>
      </c>
      <c r="K14" s="847">
        <v>78.671999999999997</v>
      </c>
      <c r="L14" s="847">
        <v>78.841999999999999</v>
      </c>
      <c r="M14" s="847">
        <v>83.712000000000003</v>
      </c>
      <c r="N14" s="847">
        <v>85.218000000000004</v>
      </c>
      <c r="O14" s="847">
        <v>84.540999999999997</v>
      </c>
      <c r="P14" s="847">
        <v>85.59</v>
      </c>
      <c r="Q14" s="847">
        <v>1026.5999999999999</v>
      </c>
      <c r="R14" s="847">
        <v>1037.3</v>
      </c>
      <c r="S14" s="847">
        <v>1037.3</v>
      </c>
      <c r="T14" s="847">
        <v>1031.4000000000001</v>
      </c>
      <c r="U14" s="847">
        <v>1031.4000000000001</v>
      </c>
      <c r="V14" s="847">
        <v>1031.4000000000001</v>
      </c>
      <c r="W14" s="847">
        <v>1031.4000000000001</v>
      </c>
      <c r="X14" s="896">
        <f t="shared" ref="X14" si="47">X147</f>
        <v>1031.4000000000001</v>
      </c>
      <c r="Y14" s="1275">
        <v>1031.4000000000001</v>
      </c>
      <c r="Z14" s="1398">
        <v>1031.4000000000001</v>
      </c>
      <c r="AA14" s="896">
        <f t="shared" ref="AA14" si="48">AA147</f>
        <v>1031.4000000000001</v>
      </c>
      <c r="AB14" s="1275">
        <v>1031.4000000000001</v>
      </c>
      <c r="AC14" s="1900">
        <v>1080.0999999999999</v>
      </c>
      <c r="AD14" s="896">
        <f t="shared" ref="AD14" si="49">AD147</f>
        <v>1080.7</v>
      </c>
      <c r="AE14" s="1275">
        <v>1080.7</v>
      </c>
      <c r="AF14" s="1773">
        <v>1080.7</v>
      </c>
      <c r="AG14" s="309">
        <f t="shared" ref="AG14" si="50">AG147</f>
        <v>1080.7</v>
      </c>
      <c r="AH14" s="309">
        <f>AH147</f>
        <v>1080.7</v>
      </c>
      <c r="AI14" s="309">
        <f t="shared" ref="AI14:AJ14" si="51">AI147</f>
        <v>1080.7</v>
      </c>
      <c r="AJ14" s="309">
        <f t="shared" si="51"/>
        <v>1080.7</v>
      </c>
      <c r="AK14" s="309">
        <f>AK147</f>
        <v>1080.7</v>
      </c>
      <c r="AL14" s="309">
        <f t="shared" ref="AL14:AM14" si="52">AL147</f>
        <v>1080.7</v>
      </c>
      <c r="AM14" s="309">
        <f t="shared" si="52"/>
        <v>1080.7</v>
      </c>
      <c r="AN14" s="309">
        <f>AN147</f>
        <v>1080.7</v>
      </c>
      <c r="AO14" s="309">
        <f t="shared" ref="AO14:AP14" si="53">AO147</f>
        <v>1080.7</v>
      </c>
      <c r="AP14" s="309">
        <f t="shared" si="53"/>
        <v>1080.7</v>
      </c>
      <c r="AQ14" s="309">
        <f>AQ147</f>
        <v>1080.7</v>
      </c>
      <c r="AR14" s="23"/>
    </row>
    <row r="15" spans="1:44">
      <c r="A15" s="53"/>
      <c r="B15" s="441" t="s">
        <v>71</v>
      </c>
      <c r="C15" s="847">
        <v>1.7270000000000001</v>
      </c>
      <c r="D15" s="847">
        <v>0.41399999999999998</v>
      </c>
      <c r="E15" s="847">
        <v>1.984</v>
      </c>
      <c r="F15" s="847">
        <v>4.867</v>
      </c>
      <c r="G15" s="847">
        <v>7.4459999999999997</v>
      </c>
      <c r="H15" s="847">
        <v>10.927</v>
      </c>
      <c r="I15" s="847">
        <v>17.994</v>
      </c>
      <c r="J15" s="847">
        <v>11.968</v>
      </c>
      <c r="K15" s="847">
        <v>17.802</v>
      </c>
      <c r="L15" s="847">
        <v>16.196000000000002</v>
      </c>
      <c r="M15" s="847">
        <v>14.839</v>
      </c>
      <c r="N15" s="847">
        <v>14.909000000000001</v>
      </c>
      <c r="O15" s="847">
        <v>17.363</v>
      </c>
      <c r="P15" s="847">
        <v>20.702999999999999</v>
      </c>
      <c r="Q15" s="847">
        <v>0</v>
      </c>
      <c r="R15" s="847">
        <f>Q15</f>
        <v>0</v>
      </c>
      <c r="S15" s="847">
        <v>2.7</v>
      </c>
      <c r="T15" s="847">
        <v>22.2</v>
      </c>
      <c r="U15" s="847">
        <v>30.3</v>
      </c>
      <c r="V15" s="847">
        <v>30.6</v>
      </c>
      <c r="W15" s="847">
        <v>41.9</v>
      </c>
      <c r="X15" s="896">
        <f>Y15</f>
        <v>41.1</v>
      </c>
      <c r="Y15" s="1275">
        <v>41.1</v>
      </c>
      <c r="Z15" s="1398">
        <v>46.7</v>
      </c>
      <c r="AA15" s="896">
        <f>AB15</f>
        <v>50.2</v>
      </c>
      <c r="AB15" s="1275">
        <v>50.2</v>
      </c>
      <c r="AC15" s="1900">
        <v>63.2</v>
      </c>
      <c r="AD15" s="896">
        <f>AE15</f>
        <v>65.7</v>
      </c>
      <c r="AE15" s="1275">
        <v>65.7</v>
      </c>
      <c r="AF15" s="1773">
        <v>69.8</v>
      </c>
      <c r="AG15" s="309">
        <f t="shared" ref="AG15:AK16" si="54">AF15</f>
        <v>69.8</v>
      </c>
      <c r="AH15" s="848">
        <f t="shared" si="54"/>
        <v>69.8</v>
      </c>
      <c r="AI15" s="309">
        <f t="shared" si="54"/>
        <v>69.8</v>
      </c>
      <c r="AJ15" s="309">
        <f t="shared" si="54"/>
        <v>69.8</v>
      </c>
      <c r="AK15" s="848">
        <f t="shared" si="54"/>
        <v>69.8</v>
      </c>
      <c r="AL15" s="309">
        <f t="shared" ref="AL15" si="55">AK15</f>
        <v>69.8</v>
      </c>
      <c r="AM15" s="309">
        <f t="shared" ref="AM15" si="56">AL15</f>
        <v>69.8</v>
      </c>
      <c r="AN15" s="848">
        <f t="shared" ref="AN15:AN16" si="57">AM15</f>
        <v>69.8</v>
      </c>
      <c r="AO15" s="309">
        <f t="shared" ref="AO15" si="58">AN15</f>
        <v>69.8</v>
      </c>
      <c r="AP15" s="309">
        <f t="shared" ref="AP15" si="59">AO15</f>
        <v>69.8</v>
      </c>
      <c r="AQ15" s="848">
        <f t="shared" ref="AQ15:AQ16" si="60">AP15</f>
        <v>69.8</v>
      </c>
      <c r="AR15" s="219"/>
    </row>
    <row r="16" spans="1:44">
      <c r="A16" s="53"/>
      <c r="B16" s="441" t="s">
        <v>858</v>
      </c>
      <c r="C16" s="847"/>
      <c r="D16" s="847"/>
      <c r="E16" s="847"/>
      <c r="F16" s="847"/>
      <c r="G16" s="847"/>
      <c r="H16" s="847"/>
      <c r="I16" s="847"/>
      <c r="J16" s="847"/>
      <c r="K16" s="847"/>
      <c r="L16" s="847"/>
      <c r="M16" s="847"/>
      <c r="N16" s="847"/>
      <c r="O16" s="847"/>
      <c r="P16" s="847"/>
      <c r="Q16" s="847"/>
      <c r="R16" s="847"/>
      <c r="S16" s="847"/>
      <c r="T16" s="847">
        <v>642.20000000000005</v>
      </c>
      <c r="U16" s="847">
        <v>536.29999999999995</v>
      </c>
      <c r="V16" s="847">
        <v>461.6</v>
      </c>
      <c r="W16" s="847">
        <v>488.9</v>
      </c>
      <c r="X16" s="910">
        <f>+Y16</f>
        <v>530.1</v>
      </c>
      <c r="Y16" s="1275">
        <v>530.1</v>
      </c>
      <c r="Z16" s="1398">
        <v>548.6</v>
      </c>
      <c r="AA16" s="910">
        <f>+AB16</f>
        <v>568.29999999999995</v>
      </c>
      <c r="AB16" s="1275">
        <v>568.29999999999995</v>
      </c>
      <c r="AC16" s="1900">
        <v>619.79999999999995</v>
      </c>
      <c r="AD16" s="910">
        <f>+AE16</f>
        <v>638.70000000000005</v>
      </c>
      <c r="AE16" s="1275">
        <v>638.70000000000005</v>
      </c>
      <c r="AF16" s="1774">
        <v>656.2</v>
      </c>
      <c r="AG16" s="848">
        <f>AF16-CFS!AG39-AG168</f>
        <v>661.87599999999998</v>
      </c>
      <c r="AH16" s="848">
        <f t="shared" ref="AH16" si="61">AG16</f>
        <v>661.87599999999998</v>
      </c>
      <c r="AI16" s="848">
        <f>AH16-CFS!AI39-AI168</f>
        <v>668.89163999999994</v>
      </c>
      <c r="AJ16" s="848">
        <f>AI16-CFS!AJ39-AJ168</f>
        <v>675.90728000000001</v>
      </c>
      <c r="AK16" s="848">
        <f t="shared" si="54"/>
        <v>675.90728000000001</v>
      </c>
      <c r="AL16" s="848">
        <f>AK16-CFS!AL39-AL168</f>
        <v>686.09288920000006</v>
      </c>
      <c r="AM16" s="848">
        <f>AL16-CFS!AM39-AM168</f>
        <v>696.2784984000001</v>
      </c>
      <c r="AN16" s="848">
        <f t="shared" si="57"/>
        <v>696.2784984000001</v>
      </c>
      <c r="AO16" s="848">
        <f>AN16-CFS!AO39-AO168</f>
        <v>709.72917587600011</v>
      </c>
      <c r="AP16" s="848">
        <f>AO16-CFS!AP39-AP168</f>
        <v>723.17985335200012</v>
      </c>
      <c r="AQ16" s="848">
        <f t="shared" si="60"/>
        <v>723.17985335200012</v>
      </c>
      <c r="AR16" s="219"/>
    </row>
    <row r="17" spans="1:44">
      <c r="A17" s="53"/>
      <c r="B17" s="221" t="s">
        <v>72</v>
      </c>
      <c r="C17" s="29">
        <f t="shared" ref="C17:O17" si="62">SUM(C12:C15)</f>
        <v>60.488</v>
      </c>
      <c r="D17" s="29">
        <f t="shared" si="62"/>
        <v>69.125</v>
      </c>
      <c r="E17" s="29">
        <f t="shared" si="62"/>
        <v>105.322</v>
      </c>
      <c r="F17" s="29">
        <f t="shared" si="62"/>
        <v>130.08700000000002</v>
      </c>
      <c r="G17" s="29">
        <f t="shared" si="62"/>
        <v>169.77900000000002</v>
      </c>
      <c r="H17" s="29">
        <f t="shared" si="62"/>
        <v>205.63300000000001</v>
      </c>
      <c r="I17" s="29">
        <f t="shared" si="62"/>
        <v>235.41199999999998</v>
      </c>
      <c r="J17" s="29">
        <f t="shared" si="62"/>
        <v>259.81400000000002</v>
      </c>
      <c r="K17" s="29">
        <f t="shared" si="62"/>
        <v>266.06700000000001</v>
      </c>
      <c r="L17" s="29">
        <f t="shared" si="62"/>
        <v>277.089</v>
      </c>
      <c r="M17" s="29">
        <f t="shared" si="62"/>
        <v>279.65199999999999</v>
      </c>
      <c r="N17" s="29">
        <f t="shared" si="62"/>
        <v>281.69399999999996</v>
      </c>
      <c r="O17" s="29">
        <f t="shared" si="62"/>
        <v>278.11499999999995</v>
      </c>
      <c r="P17" s="29">
        <f>SUM(P12:P15)</f>
        <v>289.86299999999994</v>
      </c>
      <c r="Q17" s="29">
        <f>SUM(Q12:Q15)</f>
        <v>1281.5999999999999</v>
      </c>
      <c r="R17" s="29">
        <f>SUM(R12:R15)</f>
        <v>1281.2</v>
      </c>
      <c r="S17" s="538">
        <f>SUM(S12:S15)</f>
        <v>1272.3</v>
      </c>
      <c r="T17" s="538">
        <f t="shared" ref="T17:AG17" si="63">SUM(T12:T16)</f>
        <v>1906.5000000000002</v>
      </c>
      <c r="U17" s="538">
        <f t="shared" si="63"/>
        <v>1806</v>
      </c>
      <c r="V17" s="1151">
        <f t="shared" si="63"/>
        <v>1736.6999999999998</v>
      </c>
      <c r="W17" s="1151">
        <f t="shared" ref="W17:X17" si="64">SUM(W12:W16)</f>
        <v>1784.5</v>
      </c>
      <c r="X17" s="1229">
        <f t="shared" si="64"/>
        <v>1835.6</v>
      </c>
      <c r="Y17" s="1277">
        <f t="shared" si="63"/>
        <v>1835.6</v>
      </c>
      <c r="Z17" s="160">
        <f t="shared" si="63"/>
        <v>1869.3000000000002</v>
      </c>
      <c r="AA17" s="1229">
        <f t="shared" si="63"/>
        <v>1900.3000000000002</v>
      </c>
      <c r="AB17" s="1559">
        <f t="shared" ref="AB17:AD17" si="65">SUM(AB12:AB16)</f>
        <v>1900.3000000000002</v>
      </c>
      <c r="AC17" s="1543">
        <f t="shared" si="65"/>
        <v>2032.8</v>
      </c>
      <c r="AD17" s="1229">
        <f t="shared" si="65"/>
        <v>2067.1000000000004</v>
      </c>
      <c r="AE17" s="1559">
        <f t="shared" si="63"/>
        <v>2067.1000000000004</v>
      </c>
      <c r="AF17" s="1547">
        <f t="shared" si="63"/>
        <v>2103</v>
      </c>
      <c r="AG17" s="940">
        <f t="shared" si="63"/>
        <v>2111.8190940780714</v>
      </c>
      <c r="AH17" s="940">
        <f>SUM(AH12:AH16)</f>
        <v>2111.8190940780714</v>
      </c>
      <c r="AI17" s="940">
        <f t="shared" ref="AI17:AJ17" si="66">SUM(AI12:AI16)</f>
        <v>2128.4341128986184</v>
      </c>
      <c r="AJ17" s="940">
        <f t="shared" si="66"/>
        <v>2146.6415110009339</v>
      </c>
      <c r="AK17" s="940">
        <f>SUM(AK12:AK16)</f>
        <v>2146.6415110009339</v>
      </c>
      <c r="AL17" s="940">
        <f t="shared" ref="AL17:AM17" si="67">SUM(AL12:AL16)</f>
        <v>2166.7325248631359</v>
      </c>
      <c r="AM17" s="940">
        <f t="shared" si="67"/>
        <v>2184.9742429480593</v>
      </c>
      <c r="AN17" s="940">
        <f>SUM(AN12:AN16)</f>
        <v>2184.9742429480593</v>
      </c>
      <c r="AO17" s="940">
        <f t="shared" ref="AO17:AP17" si="68">SUM(AO12:AO16)</f>
        <v>2206.9383819308409</v>
      </c>
      <c r="AP17" s="940">
        <f t="shared" si="68"/>
        <v>2227.0095579145873</v>
      </c>
      <c r="AQ17" s="940">
        <f>SUM(AQ12:AQ16)</f>
        <v>2227.0095579145873</v>
      </c>
      <c r="AR17" s="32"/>
    </row>
    <row r="18" spans="1:44">
      <c r="A18" s="53"/>
      <c r="B18" s="441"/>
      <c r="C18" s="309"/>
      <c r="D18" s="309"/>
      <c r="E18" s="309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09"/>
      <c r="X18" s="896"/>
      <c r="Y18" s="896"/>
      <c r="Z18" s="23"/>
      <c r="AA18" s="896"/>
      <c r="AB18" s="896"/>
      <c r="AC18" s="23"/>
      <c r="AD18" s="309"/>
      <c r="AE18" s="896"/>
      <c r="AF18" s="1299"/>
      <c r="AG18" s="309"/>
      <c r="AH18" s="309"/>
      <c r="AI18" s="309"/>
      <c r="AJ18" s="309"/>
      <c r="AK18" s="309"/>
      <c r="AL18" s="309"/>
      <c r="AM18" s="309"/>
      <c r="AN18" s="309"/>
      <c r="AO18" s="309"/>
      <c r="AP18" s="309"/>
      <c r="AQ18" s="309"/>
      <c r="AR18" s="23"/>
    </row>
    <row r="19" spans="1:44">
      <c r="A19" s="53" t="s">
        <v>402</v>
      </c>
      <c r="B19" s="221" t="s">
        <v>73</v>
      </c>
      <c r="C19" s="29">
        <f t="shared" ref="C19:O19" si="69">C10+C17</f>
        <v>130.93200000000002</v>
      </c>
      <c r="D19" s="29">
        <f t="shared" si="69"/>
        <v>170.20299999999997</v>
      </c>
      <c r="E19" s="29">
        <f t="shared" si="69"/>
        <v>231.61</v>
      </c>
      <c r="F19" s="29">
        <f t="shared" si="69"/>
        <v>326.84400000000005</v>
      </c>
      <c r="G19" s="29">
        <f t="shared" si="69"/>
        <v>453.40099999999995</v>
      </c>
      <c r="H19" s="29">
        <f t="shared" si="69"/>
        <v>535.83499999999992</v>
      </c>
      <c r="I19" s="29">
        <f t="shared" si="69"/>
        <v>661.65099999999995</v>
      </c>
      <c r="J19" s="29">
        <f t="shared" si="69"/>
        <v>714.32200000000012</v>
      </c>
      <c r="K19" s="29">
        <f t="shared" si="69"/>
        <v>767.13900000000001</v>
      </c>
      <c r="L19" s="29">
        <f t="shared" si="69"/>
        <v>811.14900000000011</v>
      </c>
      <c r="M19" s="29">
        <f t="shared" si="69"/>
        <v>843.30400000000009</v>
      </c>
      <c r="N19" s="29">
        <f t="shared" si="69"/>
        <v>859.84100000000001</v>
      </c>
      <c r="O19" s="29">
        <f t="shared" si="69"/>
        <v>895.01299999999992</v>
      </c>
      <c r="P19" s="29">
        <f t="shared" ref="P19:U19" si="70">P10+P17</f>
        <v>992.38099999999997</v>
      </c>
      <c r="Q19" s="29">
        <f>Q10+Q17</f>
        <v>2452.3000000000002</v>
      </c>
      <c r="R19" s="29">
        <f>R10+R17</f>
        <v>2491.6999999999998</v>
      </c>
      <c r="S19" s="29">
        <f t="shared" si="70"/>
        <v>2567.1999999999998</v>
      </c>
      <c r="T19" s="29">
        <f t="shared" si="70"/>
        <v>3152.3</v>
      </c>
      <c r="U19" s="29">
        <f t="shared" si="70"/>
        <v>3255.3</v>
      </c>
      <c r="V19" s="1152">
        <f t="shared" ref="V19:AK19" si="71">V10+V17</f>
        <v>3161.3999999999996</v>
      </c>
      <c r="W19" s="1152">
        <f t="shared" ref="W19:X19" si="72">W10+W17</f>
        <v>3598.583999999998</v>
      </c>
      <c r="X19" s="1229">
        <f t="shared" si="72"/>
        <v>3234.8999999999996</v>
      </c>
      <c r="Y19" s="1277">
        <f t="shared" si="71"/>
        <v>3234.8999999999996</v>
      </c>
      <c r="Z19" s="160">
        <f t="shared" si="71"/>
        <v>3743.1839999999984</v>
      </c>
      <c r="AA19" s="1229">
        <f t="shared" si="71"/>
        <v>3486.6000000000004</v>
      </c>
      <c r="AB19" s="1559">
        <f t="shared" ref="AB19:AC19" si="73">AB10+AB17</f>
        <v>3486.6000000000004</v>
      </c>
      <c r="AC19" s="1543">
        <f t="shared" si="73"/>
        <v>4165.6839999999984</v>
      </c>
      <c r="AD19" s="939">
        <f t="shared" si="71"/>
        <v>3882.6839999999988</v>
      </c>
      <c r="AE19" s="1559">
        <f t="shared" si="71"/>
        <v>3882.6839999999988</v>
      </c>
      <c r="AF19" s="1547">
        <f t="shared" si="71"/>
        <v>4302.6839999999984</v>
      </c>
      <c r="AG19" s="939">
        <f t="shared" si="71"/>
        <v>3990.8499988771664</v>
      </c>
      <c r="AH19" s="939">
        <f t="shared" si="71"/>
        <v>3990.8499988771664</v>
      </c>
      <c r="AI19" s="939">
        <f t="shared" si="71"/>
        <v>4272.2621042355859</v>
      </c>
      <c r="AJ19" s="939">
        <f t="shared" si="71"/>
        <v>4152.1674360972347</v>
      </c>
      <c r="AK19" s="939">
        <f t="shared" si="71"/>
        <v>4152.1674360972347</v>
      </c>
      <c r="AL19" s="939">
        <f t="shared" ref="AL19:AN19" si="74">AL10+AL17</f>
        <v>4454.2782355334184</v>
      </c>
      <c r="AM19" s="939">
        <f t="shared" si="74"/>
        <v>4322.6200750658718</v>
      </c>
      <c r="AN19" s="939">
        <f t="shared" si="74"/>
        <v>4322.6200750658718</v>
      </c>
      <c r="AO19" s="939">
        <f t="shared" ref="AO19:AQ19" si="75">AO10+AO17</f>
        <v>4639.6733108701328</v>
      </c>
      <c r="AP19" s="939">
        <f t="shared" si="75"/>
        <v>4502.5775757334623</v>
      </c>
      <c r="AQ19" s="939">
        <f t="shared" si="75"/>
        <v>4502.5775757334623</v>
      </c>
      <c r="AR19" s="32"/>
    </row>
    <row r="20" spans="1:44">
      <c r="A20" s="53"/>
      <c r="B20" s="441"/>
      <c r="C20" s="309"/>
      <c r="D20" s="309"/>
      <c r="E20" s="309"/>
      <c r="F20" s="309"/>
      <c r="G20" s="309"/>
      <c r="H20" s="309"/>
      <c r="I20" s="309"/>
      <c r="J20" s="309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896"/>
      <c r="Y20" s="896"/>
      <c r="Z20" s="23"/>
      <c r="AA20" s="896"/>
      <c r="AB20" s="896"/>
      <c r="AC20" s="23"/>
      <c r="AD20" s="309"/>
      <c r="AE20" s="896"/>
      <c r="AF20" s="1299"/>
      <c r="AG20" s="309"/>
      <c r="AH20" s="309"/>
      <c r="AI20" s="309"/>
      <c r="AJ20" s="309"/>
      <c r="AK20" s="309"/>
      <c r="AL20" s="309"/>
      <c r="AM20" s="309"/>
      <c r="AN20" s="309"/>
      <c r="AO20" s="309"/>
      <c r="AP20" s="309"/>
      <c r="AQ20" s="309"/>
      <c r="AR20" s="23"/>
    </row>
    <row r="21" spans="1:44">
      <c r="A21" s="53"/>
      <c r="B21" s="441" t="s">
        <v>74</v>
      </c>
      <c r="C21" s="309">
        <f t="shared" ref="C21:M21" si="76">C69</f>
        <v>46.917999999999999</v>
      </c>
      <c r="D21" s="309">
        <f>D69</f>
        <v>68.962000000000003</v>
      </c>
      <c r="E21" s="309">
        <f>E69</f>
        <v>78.183000000000007</v>
      </c>
      <c r="F21" s="309">
        <f t="shared" si="76"/>
        <v>122.762</v>
      </c>
      <c r="G21" s="309">
        <f t="shared" si="76"/>
        <v>185.387</v>
      </c>
      <c r="H21" s="309">
        <f t="shared" si="76"/>
        <v>206.10400000000001</v>
      </c>
      <c r="I21" s="309">
        <f t="shared" si="76"/>
        <v>273.95</v>
      </c>
      <c r="J21" s="309">
        <f t="shared" si="76"/>
        <v>289.505</v>
      </c>
      <c r="K21" s="309">
        <f t="shared" si="76"/>
        <v>301.60199999999998</v>
      </c>
      <c r="L21" s="309">
        <f t="shared" si="76"/>
        <v>400.803</v>
      </c>
      <c r="M21" s="309">
        <f t="shared" si="76"/>
        <v>387.02</v>
      </c>
      <c r="N21" s="309">
        <f t="shared" ref="N21:T21" si="77">N69</f>
        <v>302.97899999999998</v>
      </c>
      <c r="O21" s="309">
        <f t="shared" si="77"/>
        <v>325.60399999999998</v>
      </c>
      <c r="P21" s="309">
        <f t="shared" si="77"/>
        <v>384.928</v>
      </c>
      <c r="Q21" s="309">
        <f>Q69</f>
        <v>647.79999999999995</v>
      </c>
      <c r="R21" s="309">
        <f>R69</f>
        <v>665.3</v>
      </c>
      <c r="S21" s="309">
        <f t="shared" si="77"/>
        <v>672.7</v>
      </c>
      <c r="T21" s="309">
        <f t="shared" si="77"/>
        <v>854.1</v>
      </c>
      <c r="U21" s="309">
        <f t="shared" ref="U21:AM21" si="78">U69</f>
        <v>777.4</v>
      </c>
      <c r="V21" s="309">
        <f t="shared" si="78"/>
        <v>721.6</v>
      </c>
      <c r="W21" s="309">
        <f t="shared" si="78"/>
        <v>1048.4000000000001</v>
      </c>
      <c r="X21" s="896">
        <f t="shared" si="78"/>
        <v>660.5</v>
      </c>
      <c r="Y21" s="896">
        <f t="shared" si="78"/>
        <v>660.5</v>
      </c>
      <c r="Z21" s="23">
        <f t="shared" ref="Z21:AA21" si="79">Z69</f>
        <v>1004.6</v>
      </c>
      <c r="AA21" s="896">
        <f t="shared" si="79"/>
        <v>720.8</v>
      </c>
      <c r="AB21" s="896">
        <f t="shared" si="78"/>
        <v>720.8</v>
      </c>
      <c r="AC21" s="309">
        <f t="shared" ref="AC21:AF21" si="80">AC69</f>
        <v>1165.5999999999999</v>
      </c>
      <c r="AD21" s="896">
        <f t="shared" si="80"/>
        <v>885.9</v>
      </c>
      <c r="AE21" s="896">
        <f t="shared" si="80"/>
        <v>885.9</v>
      </c>
      <c r="AF21" s="1326">
        <f t="shared" si="80"/>
        <v>1193.5999999999999</v>
      </c>
      <c r="AG21" s="309">
        <f t="shared" ref="AG21" si="81">AG69</f>
        <v>907.99636884693768</v>
      </c>
      <c r="AH21" s="309">
        <f t="shared" si="78"/>
        <v>907.99636884693768</v>
      </c>
      <c r="AI21" s="309">
        <f t="shared" ref="AI21:AJ21" si="82">AI69</f>
        <v>1036.3700983432439</v>
      </c>
      <c r="AJ21" s="309">
        <f t="shared" si="82"/>
        <v>948.71321933087461</v>
      </c>
      <c r="AK21" s="309">
        <f t="shared" si="78"/>
        <v>948.71321933087461</v>
      </c>
      <c r="AL21" s="309">
        <f t="shared" si="78"/>
        <v>1082.1773008488763</v>
      </c>
      <c r="AM21" s="309">
        <f t="shared" si="78"/>
        <v>988.61075078320823</v>
      </c>
      <c r="AN21" s="309">
        <f t="shared" ref="AN21:AP21" si="83">AN69</f>
        <v>988.61075078320823</v>
      </c>
      <c r="AO21" s="309">
        <f t="shared" si="83"/>
        <v>1127.7327578249819</v>
      </c>
      <c r="AP21" s="309">
        <f t="shared" si="83"/>
        <v>1030.2919073848873</v>
      </c>
      <c r="AQ21" s="309">
        <f t="shared" ref="AQ21" si="84">AQ69</f>
        <v>1030.2919073848873</v>
      </c>
      <c r="AR21" s="23"/>
    </row>
    <row r="22" spans="1:44">
      <c r="A22" s="53"/>
      <c r="B22" s="441" t="s">
        <v>75</v>
      </c>
      <c r="C22" s="309">
        <f t="shared" ref="C22:N22" si="85">C82</f>
        <v>3.2890000000000001</v>
      </c>
      <c r="D22" s="309">
        <f t="shared" si="85"/>
        <v>4.3639999999999999</v>
      </c>
      <c r="E22" s="309">
        <f t="shared" si="85"/>
        <v>6.3449999999999998</v>
      </c>
      <c r="F22" s="309">
        <f t="shared" si="85"/>
        <v>0.51900000000000002</v>
      </c>
      <c r="G22" s="309">
        <f t="shared" si="85"/>
        <v>0.70199999999999996</v>
      </c>
      <c r="H22" s="309">
        <f t="shared" si="85"/>
        <v>1.502</v>
      </c>
      <c r="I22" s="309">
        <f t="shared" si="85"/>
        <v>0</v>
      </c>
      <c r="J22" s="309">
        <f t="shared" si="85"/>
        <v>35</v>
      </c>
      <c r="K22" s="309">
        <f t="shared" si="85"/>
        <v>0</v>
      </c>
      <c r="L22" s="309">
        <f t="shared" si="85"/>
        <v>0</v>
      </c>
      <c r="M22" s="309">
        <f t="shared" si="85"/>
        <v>0</v>
      </c>
      <c r="N22" s="309">
        <f t="shared" si="85"/>
        <v>0</v>
      </c>
      <c r="O22" s="309">
        <f t="shared" ref="O22:T22" si="86">O82</f>
        <v>0</v>
      </c>
      <c r="P22" s="309">
        <f t="shared" si="86"/>
        <v>0</v>
      </c>
      <c r="Q22" s="309">
        <f>Q82</f>
        <v>0</v>
      </c>
      <c r="R22" s="309">
        <f>R82</f>
        <v>0</v>
      </c>
      <c r="S22" s="309">
        <f t="shared" si="86"/>
        <v>0</v>
      </c>
      <c r="T22" s="309">
        <f t="shared" si="86"/>
        <v>0</v>
      </c>
      <c r="U22" s="309">
        <f t="shared" ref="U22:AM22" si="87">U82</f>
        <v>0</v>
      </c>
      <c r="V22" s="309">
        <f t="shared" si="87"/>
        <v>0</v>
      </c>
      <c r="W22" s="309">
        <f t="shared" si="87"/>
        <v>0</v>
      </c>
      <c r="X22" s="896">
        <f t="shared" si="87"/>
        <v>0</v>
      </c>
      <c r="Y22" s="896">
        <f t="shared" si="87"/>
        <v>0</v>
      </c>
      <c r="Z22" s="23">
        <f t="shared" ref="Z22:AB22" si="88">Z82</f>
        <v>0</v>
      </c>
      <c r="AA22" s="896">
        <f>AB22</f>
        <v>15</v>
      </c>
      <c r="AB22" s="896">
        <f t="shared" si="88"/>
        <v>15</v>
      </c>
      <c r="AC22" s="729">
        <f t="shared" ref="AC22:AF22" si="89">AC82</f>
        <v>0.3</v>
      </c>
      <c r="AD22" s="896">
        <f>AE22</f>
        <v>0</v>
      </c>
      <c r="AE22" s="896">
        <f t="shared" si="89"/>
        <v>0</v>
      </c>
      <c r="AF22" s="1775">
        <f t="shared" si="89"/>
        <v>0</v>
      </c>
      <c r="AG22" s="309">
        <f t="shared" ref="AG22" si="90">AG82</f>
        <v>0</v>
      </c>
      <c r="AH22" s="309">
        <f t="shared" si="87"/>
        <v>0</v>
      </c>
      <c r="AI22" s="309">
        <f t="shared" ref="AI22:AJ22" si="91">AI82</f>
        <v>0</v>
      </c>
      <c r="AJ22" s="309">
        <f t="shared" si="91"/>
        <v>0</v>
      </c>
      <c r="AK22" s="309">
        <f t="shared" si="87"/>
        <v>0</v>
      </c>
      <c r="AL22" s="309">
        <f t="shared" si="87"/>
        <v>0</v>
      </c>
      <c r="AM22" s="309">
        <f t="shared" si="87"/>
        <v>0</v>
      </c>
      <c r="AN22" s="309">
        <f t="shared" ref="AN22:AP22" si="92">AN82</f>
        <v>0</v>
      </c>
      <c r="AO22" s="309">
        <f t="shared" si="92"/>
        <v>0</v>
      </c>
      <c r="AP22" s="309">
        <f t="shared" si="92"/>
        <v>0</v>
      </c>
      <c r="AQ22" s="309">
        <f t="shared" ref="AQ22" si="93">AQ82</f>
        <v>0</v>
      </c>
      <c r="AR22" s="23"/>
    </row>
    <row r="23" spans="1:44">
      <c r="A23" s="53"/>
      <c r="B23" s="441" t="s">
        <v>76</v>
      </c>
      <c r="C23" s="847">
        <v>2.081</v>
      </c>
      <c r="D23" s="847">
        <v>2.448</v>
      </c>
      <c r="E23" s="847">
        <v>2.2839999999999998</v>
      </c>
      <c r="F23" s="847">
        <v>4.4530000000000003</v>
      </c>
      <c r="G23" s="847">
        <v>7.5759999999999996</v>
      </c>
      <c r="H23" s="847">
        <v>12.173</v>
      </c>
      <c r="I23" s="847">
        <v>18.204000000000001</v>
      </c>
      <c r="J23" s="847">
        <v>10.010999999999999</v>
      </c>
      <c r="K23" s="847">
        <v>12.064</v>
      </c>
      <c r="L23" s="847">
        <v>4.3739999999999997</v>
      </c>
      <c r="M23" s="847">
        <v>14.932</v>
      </c>
      <c r="N23" s="847">
        <v>8.1839999999999993</v>
      </c>
      <c r="O23" s="847">
        <v>9.4740000000000002</v>
      </c>
      <c r="P23" s="847">
        <v>10.92</v>
      </c>
      <c r="Q23" s="847">
        <v>11.8</v>
      </c>
      <c r="R23" s="847">
        <v>9.6</v>
      </c>
      <c r="S23" s="847">
        <v>5.0999999999999996</v>
      </c>
      <c r="T23" s="847">
        <v>32.299999999999997</v>
      </c>
      <c r="U23" s="847">
        <v>92.2</v>
      </c>
      <c r="V23" s="847">
        <v>54.8</v>
      </c>
      <c r="W23" s="847">
        <v>41.9</v>
      </c>
      <c r="X23" s="896">
        <f>Y23</f>
        <v>4.3</v>
      </c>
      <c r="Y23" s="1275">
        <v>4.3</v>
      </c>
      <c r="Z23" s="1398">
        <v>33.5</v>
      </c>
      <c r="AA23" s="896">
        <f>AB23</f>
        <v>23.9</v>
      </c>
      <c r="AB23" s="1275">
        <v>23.9</v>
      </c>
      <c r="AC23" s="1900">
        <v>38.9</v>
      </c>
      <c r="AD23" s="896">
        <f>AE23</f>
        <v>15.4</v>
      </c>
      <c r="AE23" s="1275">
        <v>15.4</v>
      </c>
      <c r="AF23" s="1906">
        <v>34.299999999999997</v>
      </c>
      <c r="AG23" s="309">
        <f t="shared" ref="AG23:AK23" si="94">AF23</f>
        <v>34.299999999999997</v>
      </c>
      <c r="AH23" s="309">
        <f t="shared" si="94"/>
        <v>34.299999999999997</v>
      </c>
      <c r="AI23" s="309">
        <f t="shared" si="94"/>
        <v>34.299999999999997</v>
      </c>
      <c r="AJ23" s="309">
        <f t="shared" si="94"/>
        <v>34.299999999999997</v>
      </c>
      <c r="AK23" s="309">
        <f t="shared" si="94"/>
        <v>34.299999999999997</v>
      </c>
      <c r="AL23" s="309">
        <f t="shared" ref="AL23:AL26" si="95">AK23</f>
        <v>34.299999999999997</v>
      </c>
      <c r="AM23" s="309">
        <f t="shared" ref="AM23:AM26" si="96">AL23</f>
        <v>34.299999999999997</v>
      </c>
      <c r="AN23" s="309">
        <f t="shared" ref="AN23:AN26" si="97">AM23</f>
        <v>34.299999999999997</v>
      </c>
      <c r="AO23" s="309">
        <f t="shared" ref="AO23:AO26" si="98">AN23</f>
        <v>34.299999999999997</v>
      </c>
      <c r="AP23" s="309">
        <f t="shared" ref="AP23:AP26" si="99">AO23</f>
        <v>34.299999999999997</v>
      </c>
      <c r="AQ23" s="309">
        <f t="shared" ref="AQ23:AQ26" si="100">AP23</f>
        <v>34.299999999999997</v>
      </c>
      <c r="AR23" s="23"/>
    </row>
    <row r="24" spans="1:44">
      <c r="A24" s="53"/>
      <c r="B24" s="441" t="s">
        <v>223</v>
      </c>
      <c r="C24" s="847">
        <v>0</v>
      </c>
      <c r="D24" s="847">
        <v>0</v>
      </c>
      <c r="E24" s="847">
        <v>0.84299999999999997</v>
      </c>
      <c r="F24" s="847">
        <v>1.1020000000000001</v>
      </c>
      <c r="G24" s="847">
        <v>1.244</v>
      </c>
      <c r="H24" s="847">
        <v>1.1850000000000001</v>
      </c>
      <c r="I24" s="847">
        <f>1.554+1.781</f>
        <v>3.335</v>
      </c>
      <c r="J24" s="847">
        <f>0.684+1.964</f>
        <v>2.6480000000000001</v>
      </c>
      <c r="K24" s="847">
        <f>0.645+2.311</f>
        <v>2.956</v>
      </c>
      <c r="L24" s="847">
        <f>1.303+2.328</f>
        <v>3.6309999999999998</v>
      </c>
      <c r="M24" s="847">
        <f>0.956+3.08</f>
        <v>4.0359999999999996</v>
      </c>
      <c r="N24" s="847">
        <f>4.111+0.079</f>
        <v>4.1899999999999995</v>
      </c>
      <c r="O24" s="847">
        <f>4.566+0.107</f>
        <v>4.673</v>
      </c>
      <c r="P24" s="847">
        <v>4.9530000000000003</v>
      </c>
      <c r="Q24" s="847">
        <f>9+141.8</f>
        <v>150.80000000000001</v>
      </c>
      <c r="R24" s="847">
        <f>150.5+8.3</f>
        <v>158.80000000000001</v>
      </c>
      <c r="S24" s="847">
        <f>165.8+8</f>
        <v>173.8</v>
      </c>
      <c r="T24" s="847">
        <v>196.6</v>
      </c>
      <c r="U24" s="847">
        <v>212.9</v>
      </c>
      <c r="V24" s="847">
        <v>253.5</v>
      </c>
      <c r="W24" s="847">
        <v>256.39999999999998</v>
      </c>
      <c r="X24" s="896">
        <f>Y24</f>
        <v>231</v>
      </c>
      <c r="Y24" s="1275">
        <v>231</v>
      </c>
      <c r="Z24" s="1398">
        <v>263.5</v>
      </c>
      <c r="AA24" s="896">
        <f>AB24</f>
        <v>248.1</v>
      </c>
      <c r="AB24" s="1275">
        <v>248.1</v>
      </c>
      <c r="AC24" s="1900">
        <f>328.2</f>
        <v>328.2</v>
      </c>
      <c r="AD24" s="896">
        <f>AE24</f>
        <v>311.5</v>
      </c>
      <c r="AE24" s="1275">
        <v>311.5</v>
      </c>
      <c r="AF24" s="1906">
        <v>327.2</v>
      </c>
      <c r="AG24" s="309">
        <f t="shared" ref="AG24:AK24" si="101">AF24</f>
        <v>327.2</v>
      </c>
      <c r="AH24" s="309">
        <f t="shared" si="101"/>
        <v>327.2</v>
      </c>
      <c r="AI24" s="309">
        <f t="shared" si="101"/>
        <v>327.2</v>
      </c>
      <c r="AJ24" s="309">
        <f t="shared" si="101"/>
        <v>327.2</v>
      </c>
      <c r="AK24" s="309">
        <f t="shared" si="101"/>
        <v>327.2</v>
      </c>
      <c r="AL24" s="309">
        <f t="shared" si="95"/>
        <v>327.2</v>
      </c>
      <c r="AM24" s="309">
        <f t="shared" si="96"/>
        <v>327.2</v>
      </c>
      <c r="AN24" s="309">
        <f t="shared" si="97"/>
        <v>327.2</v>
      </c>
      <c r="AO24" s="309">
        <f t="shared" si="98"/>
        <v>327.2</v>
      </c>
      <c r="AP24" s="309">
        <f t="shared" si="99"/>
        <v>327.2</v>
      </c>
      <c r="AQ24" s="309">
        <f t="shared" si="100"/>
        <v>327.2</v>
      </c>
      <c r="AR24" s="23"/>
    </row>
    <row r="25" spans="1:44">
      <c r="A25" s="53"/>
      <c r="B25" s="441" t="s">
        <v>77</v>
      </c>
      <c r="C25" s="847">
        <v>3.5379999999999998</v>
      </c>
      <c r="D25" s="847">
        <v>5.17</v>
      </c>
      <c r="E25" s="847">
        <v>7.1280000000000001</v>
      </c>
      <c r="F25" s="847">
        <v>9.5079999999999991</v>
      </c>
      <c r="G25" s="847">
        <v>14.49</v>
      </c>
      <c r="H25" s="847">
        <v>18.452999999999999</v>
      </c>
      <c r="I25" s="847">
        <v>28.234999999999999</v>
      </c>
      <c r="J25" s="847">
        <f>25.975</f>
        <v>25.975000000000001</v>
      </c>
      <c r="K25" s="847">
        <v>29.315999999999999</v>
      </c>
      <c r="L25" s="847">
        <v>30.672999999999998</v>
      </c>
      <c r="M25" s="847">
        <v>36.390999999999998</v>
      </c>
      <c r="N25" s="847">
        <v>36.840000000000003</v>
      </c>
      <c r="O25" s="847">
        <v>40.585000000000001</v>
      </c>
      <c r="P25" s="847">
        <v>46.031999999999996</v>
      </c>
      <c r="Q25" s="847">
        <v>75.400000000000006</v>
      </c>
      <c r="R25" s="847">
        <v>83.5</v>
      </c>
      <c r="S25" s="847">
        <v>93.9</v>
      </c>
      <c r="T25" s="847">
        <v>98.9</v>
      </c>
      <c r="U25" s="847">
        <v>105.5</v>
      </c>
      <c r="V25" s="847">
        <v>109.4</v>
      </c>
      <c r="W25" s="847">
        <f>109.7-0.016</f>
        <v>109.684</v>
      </c>
      <c r="X25" s="896">
        <f>Y25</f>
        <v>115</v>
      </c>
      <c r="Y25" s="1275">
        <v>115</v>
      </c>
      <c r="Z25" s="1398">
        <v>114.7</v>
      </c>
      <c r="AA25" s="896">
        <f>AB25</f>
        <v>120.4</v>
      </c>
      <c r="AB25" s="1275">
        <v>120.4</v>
      </c>
      <c r="AC25" s="1900">
        <v>128.1</v>
      </c>
      <c r="AD25" s="896">
        <f>AE25</f>
        <v>137</v>
      </c>
      <c r="AE25" s="1275">
        <v>137</v>
      </c>
      <c r="AF25" s="1906">
        <v>139</v>
      </c>
      <c r="AG25" s="309">
        <f t="shared" ref="AG25:AK25" si="102">AF25</f>
        <v>139</v>
      </c>
      <c r="AH25" s="309">
        <f t="shared" si="102"/>
        <v>139</v>
      </c>
      <c r="AI25" s="309">
        <f t="shared" si="102"/>
        <v>139</v>
      </c>
      <c r="AJ25" s="309">
        <f t="shared" si="102"/>
        <v>139</v>
      </c>
      <c r="AK25" s="309">
        <f t="shared" si="102"/>
        <v>139</v>
      </c>
      <c r="AL25" s="309">
        <f t="shared" si="95"/>
        <v>139</v>
      </c>
      <c r="AM25" s="309">
        <f t="shared" si="96"/>
        <v>139</v>
      </c>
      <c r="AN25" s="309">
        <f t="shared" si="97"/>
        <v>139</v>
      </c>
      <c r="AO25" s="309">
        <f t="shared" si="98"/>
        <v>139</v>
      </c>
      <c r="AP25" s="309">
        <f t="shared" si="99"/>
        <v>139</v>
      </c>
      <c r="AQ25" s="309">
        <f t="shared" si="100"/>
        <v>139</v>
      </c>
      <c r="AR25" s="23"/>
    </row>
    <row r="26" spans="1:44">
      <c r="A26" s="53"/>
      <c r="B26" s="441" t="s">
        <v>859</v>
      </c>
      <c r="C26" s="847"/>
      <c r="D26" s="847"/>
      <c r="E26" s="847"/>
      <c r="F26" s="847"/>
      <c r="G26" s="847"/>
      <c r="H26" s="847"/>
      <c r="I26" s="847"/>
      <c r="J26" s="847"/>
      <c r="K26" s="847"/>
      <c r="L26" s="847"/>
      <c r="M26" s="847"/>
      <c r="N26" s="847"/>
      <c r="O26" s="847"/>
      <c r="P26" s="847"/>
      <c r="Q26" s="847"/>
      <c r="R26" s="847"/>
      <c r="S26" s="847"/>
      <c r="T26" s="847">
        <v>164</v>
      </c>
      <c r="U26" s="847">
        <v>167.3</v>
      </c>
      <c r="V26" s="847">
        <v>167</v>
      </c>
      <c r="W26" s="847">
        <v>167.6</v>
      </c>
      <c r="X26" s="896">
        <f>Y26</f>
        <v>174.1</v>
      </c>
      <c r="Y26" s="1275">
        <v>174.1</v>
      </c>
      <c r="Z26" s="1398">
        <v>182.5</v>
      </c>
      <c r="AA26" s="896">
        <f>AB26</f>
        <v>182.6</v>
      </c>
      <c r="AB26" s="1275">
        <v>182.6</v>
      </c>
      <c r="AC26" s="1900">
        <v>195.3</v>
      </c>
      <c r="AD26" s="896">
        <f>AE26</f>
        <v>201.2</v>
      </c>
      <c r="AE26" s="1275">
        <v>201.2</v>
      </c>
      <c r="AF26" s="1906">
        <v>206.6</v>
      </c>
      <c r="AG26" s="309">
        <f t="shared" ref="AG26:AK26" si="103">AF26</f>
        <v>206.6</v>
      </c>
      <c r="AH26" s="309">
        <f t="shared" si="103"/>
        <v>206.6</v>
      </c>
      <c r="AI26" s="309">
        <f t="shared" si="103"/>
        <v>206.6</v>
      </c>
      <c r="AJ26" s="309">
        <f t="shared" si="103"/>
        <v>206.6</v>
      </c>
      <c r="AK26" s="309">
        <f t="shared" si="103"/>
        <v>206.6</v>
      </c>
      <c r="AL26" s="309">
        <f t="shared" si="95"/>
        <v>206.6</v>
      </c>
      <c r="AM26" s="309">
        <f t="shared" si="96"/>
        <v>206.6</v>
      </c>
      <c r="AN26" s="309">
        <f t="shared" si="97"/>
        <v>206.6</v>
      </c>
      <c r="AO26" s="309">
        <f t="shared" si="98"/>
        <v>206.6</v>
      </c>
      <c r="AP26" s="309">
        <f t="shared" si="99"/>
        <v>206.6</v>
      </c>
      <c r="AQ26" s="309">
        <f t="shared" si="100"/>
        <v>206.6</v>
      </c>
      <c r="AR26" s="23"/>
    </row>
    <row r="27" spans="1:44">
      <c r="A27" s="53" t="s">
        <v>404</v>
      </c>
      <c r="B27" s="221" t="s">
        <v>78</v>
      </c>
      <c r="C27" s="29">
        <f t="shared" ref="C27:O27" si="104">SUM(C21:C25)</f>
        <v>55.826000000000001</v>
      </c>
      <c r="D27" s="29">
        <f t="shared" si="104"/>
        <v>80.944000000000003</v>
      </c>
      <c r="E27" s="29">
        <f t="shared" si="104"/>
        <v>94.783000000000015</v>
      </c>
      <c r="F27" s="29">
        <f t="shared" si="104"/>
        <v>138.34400000000002</v>
      </c>
      <c r="G27" s="29">
        <f t="shared" si="104"/>
        <v>209.399</v>
      </c>
      <c r="H27" s="29">
        <f t="shared" si="104"/>
        <v>239.41700000000003</v>
      </c>
      <c r="I27" s="29">
        <f t="shared" si="104"/>
        <v>323.72399999999999</v>
      </c>
      <c r="J27" s="29">
        <f t="shared" si="104"/>
        <v>363.13900000000007</v>
      </c>
      <c r="K27" s="29">
        <f t="shared" si="104"/>
        <v>345.93799999999999</v>
      </c>
      <c r="L27" s="29">
        <f t="shared" si="104"/>
        <v>439.48099999999999</v>
      </c>
      <c r="M27" s="29">
        <f t="shared" si="104"/>
        <v>442.37900000000002</v>
      </c>
      <c r="N27" s="29">
        <f t="shared" si="104"/>
        <v>352.19299999999998</v>
      </c>
      <c r="O27" s="29">
        <f t="shared" si="104"/>
        <v>380.33599999999996</v>
      </c>
      <c r="P27" s="29">
        <f>SUM(P21:P25)</f>
        <v>446.83299999999997</v>
      </c>
      <c r="Q27" s="29">
        <f>SUM(Q21:Q25)</f>
        <v>885.79999999999984</v>
      </c>
      <c r="R27" s="29">
        <f>SUM(R21:R25)</f>
        <v>917.2</v>
      </c>
      <c r="S27" s="538">
        <f>SUM(S21:S25)</f>
        <v>945.50000000000011</v>
      </c>
      <c r="T27" s="538">
        <f t="shared" ref="T27:Y27" si="105">SUM(T21:T26)</f>
        <v>1345.9</v>
      </c>
      <c r="U27" s="538">
        <f t="shared" si="105"/>
        <v>1355.3</v>
      </c>
      <c r="V27" s="1151">
        <f t="shared" si="105"/>
        <v>1306.3000000000002</v>
      </c>
      <c r="W27" s="1151">
        <f t="shared" si="105"/>
        <v>1623.9840000000002</v>
      </c>
      <c r="X27" s="1229">
        <f t="shared" si="105"/>
        <v>1184.8999999999999</v>
      </c>
      <c r="Y27" s="1277">
        <f t="shared" si="105"/>
        <v>1184.8999999999999</v>
      </c>
      <c r="Z27" s="538">
        <f t="shared" ref="Z27:AB27" si="106">SUM(Z21:Z26)</f>
        <v>1598.8</v>
      </c>
      <c r="AA27" s="1229">
        <f t="shared" si="106"/>
        <v>1310.8</v>
      </c>
      <c r="AB27" s="1559">
        <f t="shared" si="106"/>
        <v>1310.8</v>
      </c>
      <c r="AC27" s="1542">
        <f t="shared" ref="AC27:AD27" si="107">SUM(AC21:AC26)</f>
        <v>1856.3999999999999</v>
      </c>
      <c r="AD27" s="1229">
        <f t="shared" si="107"/>
        <v>1551</v>
      </c>
      <c r="AE27" s="1559">
        <f t="shared" ref="AE27:AF27" si="108">SUM(AE21:AE26)</f>
        <v>1551</v>
      </c>
      <c r="AF27" s="1429">
        <f t="shared" si="108"/>
        <v>1900.6999999999998</v>
      </c>
      <c r="AG27" s="940">
        <f t="shared" ref="AG27" si="109">SUM(AG21:AG26)</f>
        <v>1615.0963688469376</v>
      </c>
      <c r="AH27" s="940">
        <f>SUM(AH21:AH26)</f>
        <v>1615.0963688469376</v>
      </c>
      <c r="AI27" s="940">
        <f t="shared" ref="AI27:AJ27" si="110">SUM(AI21:AI26)</f>
        <v>1743.4700983432438</v>
      </c>
      <c r="AJ27" s="940">
        <f t="shared" si="110"/>
        <v>1655.8132193308745</v>
      </c>
      <c r="AK27" s="940">
        <f>SUM(AK21:AK26)</f>
        <v>1655.8132193308745</v>
      </c>
      <c r="AL27" s="940">
        <f t="shared" ref="AL27:AM27" si="111">SUM(AL21:AL26)</f>
        <v>1789.2773008488762</v>
      </c>
      <c r="AM27" s="940">
        <f t="shared" si="111"/>
        <v>1695.7107507832081</v>
      </c>
      <c r="AN27" s="940">
        <f>SUM(AN21:AN26)</f>
        <v>1695.7107507832081</v>
      </c>
      <c r="AO27" s="940">
        <f t="shared" ref="AO27:AP27" si="112">SUM(AO21:AO26)</f>
        <v>1834.8327578249819</v>
      </c>
      <c r="AP27" s="940">
        <f t="shared" si="112"/>
        <v>1737.3919073848872</v>
      </c>
      <c r="AQ27" s="940">
        <f>SUM(AQ21:AQ26)</f>
        <v>1737.3919073848872</v>
      </c>
      <c r="AR27" s="32"/>
    </row>
    <row r="28" spans="1:44">
      <c r="A28" s="55"/>
      <c r="B28" s="849"/>
      <c r="C28" s="827"/>
      <c r="D28" s="827"/>
      <c r="E28" s="827"/>
      <c r="F28" s="827"/>
      <c r="G28" s="827"/>
      <c r="H28" s="827"/>
      <c r="I28" s="827"/>
      <c r="J28" s="827"/>
      <c r="K28" s="827"/>
      <c r="L28" s="827"/>
      <c r="M28" s="827"/>
      <c r="N28" s="827"/>
      <c r="O28" s="827"/>
      <c r="P28" s="827"/>
      <c r="Q28" s="827"/>
      <c r="R28" s="827"/>
      <c r="S28" s="827"/>
      <c r="T28" s="827"/>
      <c r="U28" s="827"/>
      <c r="V28" s="827"/>
      <c r="W28" s="827"/>
      <c r="X28" s="1230"/>
      <c r="Y28" s="1278"/>
      <c r="Z28" s="32"/>
      <c r="AA28" s="1230"/>
      <c r="AB28" s="1560"/>
      <c r="AC28" s="1670"/>
      <c r="AD28" s="933"/>
      <c r="AE28" s="1769"/>
      <c r="AF28" s="1776"/>
      <c r="AG28" s="933"/>
      <c r="AH28" s="933"/>
      <c r="AI28" s="933"/>
      <c r="AJ28" s="933"/>
      <c r="AK28" s="933"/>
      <c r="AL28" s="933"/>
      <c r="AM28" s="933"/>
      <c r="AN28" s="933"/>
      <c r="AO28" s="933"/>
      <c r="AP28" s="933"/>
      <c r="AQ28" s="933"/>
      <c r="AR28" s="32"/>
    </row>
    <row r="29" spans="1:44">
      <c r="A29" s="53"/>
      <c r="B29" s="441" t="s">
        <v>222</v>
      </c>
      <c r="C29" s="309">
        <f t="shared" ref="C29:N29" si="113">C87</f>
        <v>34.588999999999999</v>
      </c>
      <c r="D29" s="309">
        <f t="shared" si="113"/>
        <v>39.234999999999999</v>
      </c>
      <c r="E29" s="309">
        <f t="shared" si="113"/>
        <v>71.290999999999997</v>
      </c>
      <c r="F29" s="309">
        <f t="shared" si="113"/>
        <v>100.042</v>
      </c>
      <c r="G29" s="309">
        <f t="shared" si="113"/>
        <v>117.732</v>
      </c>
      <c r="H29" s="309">
        <f t="shared" si="113"/>
        <v>123.015</v>
      </c>
      <c r="I29" s="309">
        <f t="shared" si="113"/>
        <v>89.358000000000004</v>
      </c>
      <c r="J29" s="309">
        <f t="shared" si="113"/>
        <v>34.624000000000002</v>
      </c>
      <c r="K29" s="309">
        <f t="shared" si="113"/>
        <v>232.58199999999999</v>
      </c>
      <c r="L29" s="309">
        <f t="shared" si="113"/>
        <v>149.77500000000001</v>
      </c>
      <c r="M29" s="309">
        <f t="shared" si="113"/>
        <v>124.331</v>
      </c>
      <c r="N29" s="309">
        <f t="shared" si="113"/>
        <v>179.65299999999999</v>
      </c>
      <c r="O29" s="309">
        <f t="shared" ref="O29:Y29" si="114">O87</f>
        <v>139.46100000000001</v>
      </c>
      <c r="P29" s="309">
        <f t="shared" si="114"/>
        <v>109.736</v>
      </c>
      <c r="Q29" s="309">
        <f t="shared" si="114"/>
        <v>558.79999999999995</v>
      </c>
      <c r="R29" s="309">
        <f t="shared" si="114"/>
        <v>469.4</v>
      </c>
      <c r="S29" s="309">
        <f t="shared" si="114"/>
        <v>439.1</v>
      </c>
      <c r="T29" s="309">
        <f t="shared" si="114"/>
        <v>0</v>
      </c>
      <c r="U29" s="309">
        <f t="shared" si="114"/>
        <v>0</v>
      </c>
      <c r="V29" s="309">
        <f t="shared" si="114"/>
        <v>59.4</v>
      </c>
      <c r="W29" s="309">
        <f t="shared" si="114"/>
        <v>0</v>
      </c>
      <c r="X29" s="31">
        <f t="shared" si="114"/>
        <v>49.8</v>
      </c>
      <c r="Y29" s="31">
        <f t="shared" si="114"/>
        <v>49.8</v>
      </c>
      <c r="Z29" s="23">
        <f t="shared" ref="Z29:AB29" si="115">Z87</f>
        <v>0</v>
      </c>
      <c r="AA29" s="31">
        <f t="shared" si="115"/>
        <v>0</v>
      </c>
      <c r="AB29" s="31">
        <f t="shared" si="115"/>
        <v>0</v>
      </c>
      <c r="AC29" s="309">
        <f t="shared" ref="AC29:AF29" si="116">AC87</f>
        <v>1</v>
      </c>
      <c r="AD29" s="31">
        <f t="shared" si="116"/>
        <v>1</v>
      </c>
      <c r="AE29" s="1770">
        <f t="shared" si="116"/>
        <v>0</v>
      </c>
      <c r="AF29" s="1326">
        <f t="shared" si="116"/>
        <v>0</v>
      </c>
      <c r="AG29" s="309">
        <f t="shared" ref="AG29" si="117">AG87</f>
        <v>0</v>
      </c>
      <c r="AH29" s="309">
        <f>AH87</f>
        <v>0</v>
      </c>
      <c r="AI29" s="309">
        <f t="shared" ref="AI29:AJ29" si="118">AI87</f>
        <v>0</v>
      </c>
      <c r="AJ29" s="309">
        <f t="shared" si="118"/>
        <v>0</v>
      </c>
      <c r="AK29" s="309">
        <f>AK87</f>
        <v>0</v>
      </c>
      <c r="AL29" s="309">
        <f t="shared" ref="AL29:AM29" si="119">AL87</f>
        <v>0</v>
      </c>
      <c r="AM29" s="309">
        <f t="shared" si="119"/>
        <v>0</v>
      </c>
      <c r="AN29" s="309">
        <f>AN87</f>
        <v>0</v>
      </c>
      <c r="AO29" s="309">
        <f t="shared" ref="AO29:AP29" si="120">AO87</f>
        <v>0</v>
      </c>
      <c r="AP29" s="309">
        <f t="shared" si="120"/>
        <v>0</v>
      </c>
      <c r="AQ29" s="309">
        <f>AQ87</f>
        <v>0</v>
      </c>
      <c r="AR29" s="23"/>
    </row>
    <row r="30" spans="1:44">
      <c r="A30" s="53"/>
      <c r="B30" s="441" t="s">
        <v>221</v>
      </c>
      <c r="C30" s="847">
        <v>1.387</v>
      </c>
      <c r="D30" s="847">
        <v>0.32300000000000001</v>
      </c>
      <c r="E30" s="847">
        <v>0</v>
      </c>
      <c r="F30" s="847">
        <v>0</v>
      </c>
      <c r="G30" s="847">
        <v>0</v>
      </c>
      <c r="H30" s="847">
        <v>0</v>
      </c>
      <c r="I30" s="847">
        <v>0.58799999999999997</v>
      </c>
      <c r="J30" s="847">
        <v>7.9000000000000001E-2</v>
      </c>
      <c r="K30" s="847">
        <v>0.29199999999999998</v>
      </c>
      <c r="L30" s="847">
        <v>0.80300000000000005</v>
      </c>
      <c r="M30" s="847">
        <v>0</v>
      </c>
      <c r="N30" s="847">
        <v>2.5000000000000001E-2</v>
      </c>
      <c r="O30" s="847">
        <v>0</v>
      </c>
      <c r="P30" s="847">
        <v>0</v>
      </c>
      <c r="Q30" s="847"/>
      <c r="R30" s="847">
        <f>Q30</f>
        <v>0</v>
      </c>
      <c r="S30" s="847">
        <f>R30</f>
        <v>0</v>
      </c>
      <c r="T30" s="847">
        <f>S30</f>
        <v>0</v>
      </c>
      <c r="U30" s="847">
        <v>0</v>
      </c>
      <c r="V30" s="847">
        <v>0</v>
      </c>
      <c r="W30" s="847">
        <v>0</v>
      </c>
      <c r="X30" s="896">
        <f>Y30</f>
        <v>0</v>
      </c>
      <c r="Y30" s="1275">
        <v>0</v>
      </c>
      <c r="Z30" s="1398">
        <v>0</v>
      </c>
      <c r="AA30" s="896">
        <f>AB30</f>
        <v>0</v>
      </c>
      <c r="AB30" s="1275">
        <v>0</v>
      </c>
      <c r="AC30" s="1398">
        <v>0</v>
      </c>
      <c r="AD30" s="896">
        <f>AE30</f>
        <v>17.899999999999999</v>
      </c>
      <c r="AE30" s="1771">
        <v>17.899999999999999</v>
      </c>
      <c r="AF30" s="1657">
        <v>18.399999999999999</v>
      </c>
      <c r="AG30" s="309">
        <f>AH30</f>
        <v>17.899999999999999</v>
      </c>
      <c r="AH30" s="309">
        <f>AE30</f>
        <v>17.899999999999999</v>
      </c>
      <c r="AI30" s="309">
        <f>AH30</f>
        <v>17.899999999999999</v>
      </c>
      <c r="AJ30" s="309">
        <f>AK30</f>
        <v>17.899999999999999</v>
      </c>
      <c r="AK30" s="309">
        <f t="shared" ref="AK30" si="121">AH30</f>
        <v>17.899999999999999</v>
      </c>
      <c r="AL30" s="309">
        <f>AK30</f>
        <v>17.899999999999999</v>
      </c>
      <c r="AM30" s="309">
        <f>AN30</f>
        <v>17.899999999999999</v>
      </c>
      <c r="AN30" s="309">
        <f t="shared" ref="AN30" si="122">AK30</f>
        <v>17.899999999999999</v>
      </c>
      <c r="AO30" s="309">
        <f>AN30</f>
        <v>17.899999999999999</v>
      </c>
      <c r="AP30" s="309">
        <f>AQ30</f>
        <v>17.899999999999999</v>
      </c>
      <c r="AQ30" s="309">
        <f t="shared" ref="AQ30" si="123">AN30</f>
        <v>17.899999999999999</v>
      </c>
      <c r="AR30" s="23"/>
    </row>
    <row r="31" spans="1:44" ht="12" customHeight="1">
      <c r="A31" s="53"/>
      <c r="B31" s="441" t="s">
        <v>79</v>
      </c>
      <c r="C31" s="847">
        <v>0.66800000000000004</v>
      </c>
      <c r="D31" s="847">
        <v>0.82499999999999996</v>
      </c>
      <c r="E31" s="847">
        <v>0.73399999999999999</v>
      </c>
      <c r="F31" s="847">
        <v>0.77100000000000002</v>
      </c>
      <c r="G31" s="847">
        <v>0.68200000000000005</v>
      </c>
      <c r="H31" s="847">
        <v>0.71199999999999997</v>
      </c>
      <c r="I31" s="847">
        <v>3.8290000000000002</v>
      </c>
      <c r="J31" s="847">
        <v>4.4210000000000003</v>
      </c>
      <c r="K31" s="847">
        <v>14.465999999999999</v>
      </c>
      <c r="L31" s="847">
        <v>13.792</v>
      </c>
      <c r="M31" s="847">
        <v>9.4160000000000004</v>
      </c>
      <c r="N31" s="847">
        <v>8.6989999999999998</v>
      </c>
      <c r="O31" s="847">
        <v>6.0730000000000004</v>
      </c>
      <c r="P31" s="847">
        <v>6.3810000000000002</v>
      </c>
      <c r="Q31" s="847">
        <v>11.8</v>
      </c>
      <c r="R31" s="847">
        <v>12.5</v>
      </c>
      <c r="S31" s="847">
        <v>15.2</v>
      </c>
      <c r="T31" s="847">
        <v>41.5</v>
      </c>
      <c r="U31" s="847">
        <v>42.6</v>
      </c>
      <c r="V31" s="847">
        <v>42.7</v>
      </c>
      <c r="W31" s="847">
        <v>42.1</v>
      </c>
      <c r="X31" s="896">
        <f>Y31</f>
        <v>42.5</v>
      </c>
      <c r="Y31" s="1275">
        <v>42.5</v>
      </c>
      <c r="Z31" s="1398">
        <v>42.9</v>
      </c>
      <c r="AA31" s="896">
        <f>AB31</f>
        <v>41.9</v>
      </c>
      <c r="AB31" s="1275">
        <v>41.9</v>
      </c>
      <c r="AC31" s="1900">
        <v>44.9</v>
      </c>
      <c r="AD31" s="896">
        <f>AE31</f>
        <v>46.8</v>
      </c>
      <c r="AE31" s="1771">
        <v>46.8</v>
      </c>
      <c r="AF31" s="1906">
        <v>47.5</v>
      </c>
      <c r="AG31" s="309">
        <f t="shared" ref="AG31:AK33" si="124">AF31</f>
        <v>47.5</v>
      </c>
      <c r="AH31" s="309">
        <f t="shared" si="124"/>
        <v>47.5</v>
      </c>
      <c r="AI31" s="309">
        <f t="shared" si="124"/>
        <v>47.5</v>
      </c>
      <c r="AJ31" s="309">
        <f t="shared" si="124"/>
        <v>47.5</v>
      </c>
      <c r="AK31" s="309">
        <f t="shared" si="124"/>
        <v>47.5</v>
      </c>
      <c r="AL31" s="309">
        <f t="shared" ref="AL31:AL33" si="125">AK31</f>
        <v>47.5</v>
      </c>
      <c r="AM31" s="309">
        <f t="shared" ref="AM31:AM33" si="126">AL31</f>
        <v>47.5</v>
      </c>
      <c r="AN31" s="309">
        <f t="shared" ref="AN31:AN33" si="127">AM31</f>
        <v>47.5</v>
      </c>
      <c r="AO31" s="309">
        <f t="shared" ref="AO31:AO33" si="128">AN31</f>
        <v>47.5</v>
      </c>
      <c r="AP31" s="309">
        <f t="shared" ref="AP31:AP33" si="129">AO31</f>
        <v>47.5</v>
      </c>
      <c r="AQ31" s="309">
        <f t="shared" ref="AQ31:AQ33" si="130">AP31</f>
        <v>47.5</v>
      </c>
      <c r="AR31" s="23"/>
    </row>
    <row r="32" spans="1:44">
      <c r="A32" s="53"/>
      <c r="B32" s="441" t="s">
        <v>223</v>
      </c>
      <c r="C32" s="847"/>
      <c r="D32" s="847">
        <v>0</v>
      </c>
      <c r="E32" s="847">
        <f>2+0.564</f>
        <v>2.5640000000000001</v>
      </c>
      <c r="F32" s="847">
        <f>3.37+0.66</f>
        <v>4.03</v>
      </c>
      <c r="G32" s="847">
        <v>6.7859999999999996</v>
      </c>
      <c r="H32" s="847">
        <v>8.8010000000000002</v>
      </c>
      <c r="I32" s="847">
        <v>14.9</v>
      </c>
      <c r="J32" s="847">
        <v>18.763000000000002</v>
      </c>
      <c r="K32" s="847">
        <v>21.547999999999998</v>
      </c>
      <c r="L32" s="847">
        <f>22.797</f>
        <v>22.797000000000001</v>
      </c>
      <c r="M32" s="847">
        <v>23.35</v>
      </c>
      <c r="N32" s="847">
        <v>24.638000000000002</v>
      </c>
      <c r="O32" s="847">
        <v>25.664000000000001</v>
      </c>
      <c r="P32" s="847">
        <v>24.728999999999999</v>
      </c>
      <c r="Q32" s="847">
        <f>34.6+99.6+8.2</f>
        <v>142.39999999999998</v>
      </c>
      <c r="R32" s="847">
        <f>35.6+5.7+103.7</f>
        <v>145</v>
      </c>
      <c r="S32" s="847">
        <f>90.1+33.2</f>
        <v>123.3</v>
      </c>
      <c r="T32" s="847">
        <v>81.599999999999994</v>
      </c>
      <c r="U32" s="847">
        <v>85</v>
      </c>
      <c r="V32" s="847">
        <v>94.7</v>
      </c>
      <c r="W32" s="847">
        <v>101.1</v>
      </c>
      <c r="X32" s="896">
        <f>Y32</f>
        <v>106.9</v>
      </c>
      <c r="Y32" s="1275">
        <v>106.9</v>
      </c>
      <c r="Z32" s="1398">
        <v>110.9</v>
      </c>
      <c r="AA32" s="896">
        <f>AB32</f>
        <v>115</v>
      </c>
      <c r="AB32" s="1275">
        <v>115</v>
      </c>
      <c r="AC32" s="1904">
        <f>130.6+17</f>
        <v>147.6</v>
      </c>
      <c r="AD32" s="896">
        <f>AE32</f>
        <v>132</v>
      </c>
      <c r="AE32" s="1771">
        <v>132</v>
      </c>
      <c r="AF32" s="1907">
        <v>128.9</v>
      </c>
      <c r="AG32" s="309">
        <f t="shared" si="124"/>
        <v>128.9</v>
      </c>
      <c r="AH32" s="309">
        <f t="shared" si="124"/>
        <v>128.9</v>
      </c>
      <c r="AI32" s="309">
        <f t="shared" si="124"/>
        <v>128.9</v>
      </c>
      <c r="AJ32" s="309">
        <f t="shared" si="124"/>
        <v>128.9</v>
      </c>
      <c r="AK32" s="309">
        <f t="shared" si="124"/>
        <v>128.9</v>
      </c>
      <c r="AL32" s="309">
        <f t="shared" si="125"/>
        <v>128.9</v>
      </c>
      <c r="AM32" s="309">
        <f t="shared" si="126"/>
        <v>128.9</v>
      </c>
      <c r="AN32" s="309">
        <f t="shared" si="127"/>
        <v>128.9</v>
      </c>
      <c r="AO32" s="309">
        <f t="shared" si="128"/>
        <v>128.9</v>
      </c>
      <c r="AP32" s="309">
        <f t="shared" si="129"/>
        <v>128.9</v>
      </c>
      <c r="AQ32" s="309">
        <f t="shared" si="130"/>
        <v>128.9</v>
      </c>
      <c r="AR32" s="23"/>
    </row>
    <row r="33" spans="1:44">
      <c r="A33" s="53"/>
      <c r="B33" s="441" t="s">
        <v>859</v>
      </c>
      <c r="C33" s="847"/>
      <c r="D33" s="847"/>
      <c r="E33" s="847"/>
      <c r="F33" s="847"/>
      <c r="G33" s="847"/>
      <c r="H33" s="847"/>
      <c r="I33" s="847"/>
      <c r="J33" s="847"/>
      <c r="K33" s="847"/>
      <c r="L33" s="847"/>
      <c r="M33" s="847"/>
      <c r="N33" s="847"/>
      <c r="O33" s="847"/>
      <c r="P33" s="847"/>
      <c r="Q33" s="847"/>
      <c r="R33" s="847"/>
      <c r="S33" s="847"/>
      <c r="T33" s="847">
        <v>577.6</v>
      </c>
      <c r="U33" s="847">
        <v>464</v>
      </c>
      <c r="V33" s="847">
        <v>378</v>
      </c>
      <c r="W33" s="847">
        <v>397.9</v>
      </c>
      <c r="X33" s="1231">
        <f>+Y33</f>
        <v>431.2</v>
      </c>
      <c r="Y33" s="1275">
        <v>431.2</v>
      </c>
      <c r="Z33" s="1398">
        <v>441.4</v>
      </c>
      <c r="AA33" s="1231">
        <f>+AB33</f>
        <v>459.8</v>
      </c>
      <c r="AB33" s="1275">
        <v>459.8</v>
      </c>
      <c r="AC33" s="1900">
        <v>495.4</v>
      </c>
      <c r="AD33" s="1231">
        <f>+AE33</f>
        <v>513.20000000000005</v>
      </c>
      <c r="AE33" s="1771">
        <v>513.20000000000005</v>
      </c>
      <c r="AF33" s="1906">
        <v>523.79999999999995</v>
      </c>
      <c r="AG33" s="934">
        <f t="shared" si="124"/>
        <v>523.79999999999995</v>
      </c>
      <c r="AH33" s="934">
        <f t="shared" si="124"/>
        <v>523.79999999999995</v>
      </c>
      <c r="AI33" s="934">
        <f t="shared" si="124"/>
        <v>523.79999999999995</v>
      </c>
      <c r="AJ33" s="934">
        <f t="shared" si="124"/>
        <v>523.79999999999995</v>
      </c>
      <c r="AK33" s="934">
        <f t="shared" si="124"/>
        <v>523.79999999999995</v>
      </c>
      <c r="AL33" s="934">
        <f t="shared" si="125"/>
        <v>523.79999999999995</v>
      </c>
      <c r="AM33" s="934">
        <f t="shared" si="126"/>
        <v>523.79999999999995</v>
      </c>
      <c r="AN33" s="934">
        <f t="shared" si="127"/>
        <v>523.79999999999995</v>
      </c>
      <c r="AO33" s="934">
        <f t="shared" si="128"/>
        <v>523.79999999999995</v>
      </c>
      <c r="AP33" s="934">
        <f t="shared" si="129"/>
        <v>523.79999999999995</v>
      </c>
      <c r="AQ33" s="934">
        <f t="shared" si="130"/>
        <v>523.79999999999995</v>
      </c>
      <c r="AR33" s="23"/>
    </row>
    <row r="34" spans="1:44">
      <c r="A34" s="53"/>
      <c r="B34" s="221" t="s">
        <v>80</v>
      </c>
      <c r="C34" s="29">
        <f t="shared" ref="C34:N34" si="131">SUM(C29:C32)</f>
        <v>36.643999999999998</v>
      </c>
      <c r="D34" s="29">
        <f t="shared" si="131"/>
        <v>40.383000000000003</v>
      </c>
      <c r="E34" s="29">
        <f t="shared" si="131"/>
        <v>74.588999999999999</v>
      </c>
      <c r="F34" s="29">
        <f t="shared" si="131"/>
        <v>104.843</v>
      </c>
      <c r="G34" s="29">
        <f t="shared" si="131"/>
        <v>125.2</v>
      </c>
      <c r="H34" s="29">
        <f t="shared" si="131"/>
        <v>132.52799999999999</v>
      </c>
      <c r="I34" s="29">
        <f t="shared" si="131"/>
        <v>108.675</v>
      </c>
      <c r="J34" s="29">
        <f t="shared" si="131"/>
        <v>57.887</v>
      </c>
      <c r="K34" s="29">
        <f t="shared" si="131"/>
        <v>268.88799999999998</v>
      </c>
      <c r="L34" s="29">
        <f t="shared" si="131"/>
        <v>187.167</v>
      </c>
      <c r="M34" s="29">
        <f t="shared" si="131"/>
        <v>157.09700000000001</v>
      </c>
      <c r="N34" s="29">
        <f t="shared" si="131"/>
        <v>213.01500000000001</v>
      </c>
      <c r="O34" s="29">
        <f>SUM(O29:O32)</f>
        <v>171.19800000000004</v>
      </c>
      <c r="P34" s="29">
        <f>SUM(P29:P32)</f>
        <v>140.846</v>
      </c>
      <c r="Q34" s="29">
        <f>SUM(Q29:Q32)</f>
        <v>712.99999999999989</v>
      </c>
      <c r="R34" s="29">
        <f>SUM(R29:R32)</f>
        <v>626.9</v>
      </c>
      <c r="S34" s="538">
        <f>SUM(S29:S32)</f>
        <v>577.6</v>
      </c>
      <c r="T34" s="538">
        <f t="shared" ref="T34:AG34" si="132">SUM(T29:T33)</f>
        <v>700.7</v>
      </c>
      <c r="U34" s="538">
        <f t="shared" si="132"/>
        <v>591.6</v>
      </c>
      <c r="V34" s="1151">
        <f t="shared" si="132"/>
        <v>574.79999999999995</v>
      </c>
      <c r="W34" s="1151">
        <f t="shared" ref="W34:Y34" si="133">SUM(W29:W33)</f>
        <v>541.09999999999991</v>
      </c>
      <c r="X34" s="1229">
        <f t="shared" si="133"/>
        <v>630.4</v>
      </c>
      <c r="Y34" s="1277">
        <f t="shared" si="133"/>
        <v>630.4</v>
      </c>
      <c r="Z34" s="940">
        <f t="shared" ref="Z34:AB34" si="134">SUM(Z29:Z33)</f>
        <v>595.20000000000005</v>
      </c>
      <c r="AA34" s="1229">
        <f t="shared" si="134"/>
        <v>616.70000000000005</v>
      </c>
      <c r="AB34" s="1559">
        <f t="shared" si="134"/>
        <v>616.70000000000005</v>
      </c>
      <c r="AC34" s="1671">
        <f t="shared" ref="AC34:AD34" si="135">SUM(AC29:AC33)</f>
        <v>688.9</v>
      </c>
      <c r="AD34" s="1229">
        <f t="shared" si="135"/>
        <v>710.90000000000009</v>
      </c>
      <c r="AE34" s="1559">
        <f t="shared" si="132"/>
        <v>709.90000000000009</v>
      </c>
      <c r="AF34" s="1664">
        <f t="shared" si="132"/>
        <v>718.59999999999991</v>
      </c>
      <c r="AG34" s="940">
        <f t="shared" si="132"/>
        <v>718.09999999999991</v>
      </c>
      <c r="AH34" s="940">
        <f>SUM(AH29:AH33)</f>
        <v>718.09999999999991</v>
      </c>
      <c r="AI34" s="940">
        <f t="shared" ref="AI34:AJ34" si="136">SUM(AI29:AI33)</f>
        <v>718.09999999999991</v>
      </c>
      <c r="AJ34" s="940">
        <f t="shared" si="136"/>
        <v>718.09999999999991</v>
      </c>
      <c r="AK34" s="940">
        <f>SUM(AK29:AK33)</f>
        <v>718.09999999999991</v>
      </c>
      <c r="AL34" s="940">
        <f t="shared" ref="AL34:AM34" si="137">SUM(AL29:AL33)</f>
        <v>718.09999999999991</v>
      </c>
      <c r="AM34" s="940">
        <f t="shared" si="137"/>
        <v>718.09999999999991</v>
      </c>
      <c r="AN34" s="940">
        <f>SUM(AN29:AN33)</f>
        <v>718.09999999999991</v>
      </c>
      <c r="AO34" s="940">
        <f t="shared" ref="AO34:AP34" si="138">SUM(AO29:AO33)</f>
        <v>718.09999999999991</v>
      </c>
      <c r="AP34" s="940">
        <f t="shared" si="138"/>
        <v>718.09999999999991</v>
      </c>
      <c r="AQ34" s="940">
        <f>SUM(AQ29:AQ33)</f>
        <v>718.09999999999991</v>
      </c>
      <c r="AR34" s="32"/>
    </row>
    <row r="35" spans="1:44">
      <c r="A35" s="53"/>
      <c r="B35" s="849"/>
      <c r="C35" s="827"/>
      <c r="D35" s="827"/>
      <c r="E35" s="827"/>
      <c r="F35" s="827"/>
      <c r="G35" s="827"/>
      <c r="H35" s="827"/>
      <c r="I35" s="827"/>
      <c r="J35" s="827"/>
      <c r="K35" s="827"/>
      <c r="L35" s="827"/>
      <c r="M35" s="827"/>
      <c r="N35" s="827"/>
      <c r="O35" s="827"/>
      <c r="P35" s="827"/>
      <c r="Q35" s="827"/>
      <c r="R35" s="827"/>
      <c r="S35" s="827"/>
      <c r="T35" s="827"/>
      <c r="U35" s="827"/>
      <c r="V35" s="827"/>
      <c r="W35" s="827"/>
      <c r="X35" s="1171"/>
      <c r="Y35" s="1171"/>
      <c r="Z35" s="1171"/>
      <c r="AA35" s="1171"/>
      <c r="AB35" s="1171"/>
      <c r="AC35" s="1171"/>
      <c r="AD35" s="827"/>
      <c r="AE35" s="32"/>
      <c r="AF35" s="1311"/>
      <c r="AG35" s="827"/>
      <c r="AH35" s="827"/>
      <c r="AI35" s="827"/>
      <c r="AJ35" s="827"/>
      <c r="AK35" s="827"/>
      <c r="AL35" s="827"/>
      <c r="AM35" s="827"/>
      <c r="AN35" s="827"/>
      <c r="AO35" s="827"/>
      <c r="AP35" s="827"/>
      <c r="AQ35" s="827"/>
      <c r="AR35" s="32"/>
    </row>
    <row r="36" spans="1:44">
      <c r="A36" s="53" t="s">
        <v>405</v>
      </c>
      <c r="B36" s="221" t="s">
        <v>81</v>
      </c>
      <c r="C36" s="29">
        <f t="shared" ref="C36:N36" si="139">C27+C34</f>
        <v>92.47</v>
      </c>
      <c r="D36" s="29">
        <f t="shared" si="139"/>
        <v>121.327</v>
      </c>
      <c r="E36" s="29">
        <f t="shared" si="139"/>
        <v>169.37200000000001</v>
      </c>
      <c r="F36" s="29">
        <f t="shared" si="139"/>
        <v>243.18700000000001</v>
      </c>
      <c r="G36" s="29">
        <f t="shared" si="139"/>
        <v>334.59899999999999</v>
      </c>
      <c r="H36" s="29">
        <f t="shared" si="139"/>
        <v>371.94500000000005</v>
      </c>
      <c r="I36" s="29">
        <f t="shared" si="139"/>
        <v>432.399</v>
      </c>
      <c r="J36" s="29">
        <f t="shared" si="139"/>
        <v>421.02600000000007</v>
      </c>
      <c r="K36" s="29">
        <f t="shared" si="139"/>
        <v>614.82600000000002</v>
      </c>
      <c r="L36" s="29">
        <f t="shared" si="139"/>
        <v>626.64800000000002</v>
      </c>
      <c r="M36" s="29">
        <f t="shared" si="139"/>
        <v>599.476</v>
      </c>
      <c r="N36" s="29">
        <f t="shared" si="139"/>
        <v>565.20799999999997</v>
      </c>
      <c r="O36" s="29">
        <f t="shared" ref="O36:T36" si="140">O27+O34</f>
        <v>551.53399999999999</v>
      </c>
      <c r="P36" s="29">
        <f t="shared" si="140"/>
        <v>587.67899999999997</v>
      </c>
      <c r="Q36" s="29">
        <f>Q27+Q34</f>
        <v>1598.7999999999997</v>
      </c>
      <c r="R36" s="29">
        <f>R27+R34</f>
        <v>1544.1</v>
      </c>
      <c r="S36" s="538">
        <f t="shared" si="140"/>
        <v>1523.1000000000001</v>
      </c>
      <c r="T36" s="538">
        <f t="shared" si="140"/>
        <v>2046.6000000000001</v>
      </c>
      <c r="U36" s="538">
        <f t="shared" ref="U36:AK36" si="141">U27+U34</f>
        <v>1946.9</v>
      </c>
      <c r="V36" s="1151">
        <f t="shared" si="141"/>
        <v>1881.1000000000001</v>
      </c>
      <c r="W36" s="1151">
        <f t="shared" ref="W36:Y36" si="142">W27+W34</f>
        <v>2165.0839999999998</v>
      </c>
      <c r="X36" s="1229">
        <f t="shared" si="142"/>
        <v>1815.2999999999997</v>
      </c>
      <c r="Y36" s="1277">
        <f t="shared" si="142"/>
        <v>1815.2999999999997</v>
      </c>
      <c r="Z36" s="1229">
        <f t="shared" ref="Z36:AB36" si="143">Z27+Z34</f>
        <v>2194</v>
      </c>
      <c r="AA36" s="1229">
        <f t="shared" si="143"/>
        <v>1927.5</v>
      </c>
      <c r="AB36" s="1559">
        <f t="shared" si="143"/>
        <v>1927.5</v>
      </c>
      <c r="AC36" s="1672">
        <f t="shared" ref="AC36" si="144">AC27+AC34</f>
        <v>2545.2999999999997</v>
      </c>
      <c r="AD36" s="939">
        <f t="shared" si="141"/>
        <v>2261.9</v>
      </c>
      <c r="AE36" s="1559">
        <f t="shared" si="141"/>
        <v>2260.9</v>
      </c>
      <c r="AF36" s="1777">
        <f t="shared" si="141"/>
        <v>2619.2999999999997</v>
      </c>
      <c r="AG36" s="939">
        <f t="shared" si="141"/>
        <v>2333.1963688469377</v>
      </c>
      <c r="AH36" s="939">
        <f t="shared" si="141"/>
        <v>2333.1963688469377</v>
      </c>
      <c r="AI36" s="939">
        <f t="shared" si="141"/>
        <v>2461.5700983432434</v>
      </c>
      <c r="AJ36" s="939">
        <f t="shared" si="141"/>
        <v>2373.9132193308742</v>
      </c>
      <c r="AK36" s="939">
        <f t="shared" si="141"/>
        <v>2373.9132193308742</v>
      </c>
      <c r="AL36" s="939">
        <f t="shared" ref="AL36:AN36" si="145">AL27+AL34</f>
        <v>2507.3773008488761</v>
      </c>
      <c r="AM36" s="939">
        <f t="shared" si="145"/>
        <v>2413.8107507832083</v>
      </c>
      <c r="AN36" s="939">
        <f t="shared" si="145"/>
        <v>2413.8107507832083</v>
      </c>
      <c r="AO36" s="939">
        <f t="shared" ref="AO36:AQ36" si="146">AO27+AO34</f>
        <v>2552.9327578249818</v>
      </c>
      <c r="AP36" s="939">
        <f t="shared" si="146"/>
        <v>2455.4919073848869</v>
      </c>
      <c r="AQ36" s="939">
        <f t="shared" si="146"/>
        <v>2455.4919073848869</v>
      </c>
      <c r="AR36" s="32"/>
    </row>
    <row r="37" spans="1:44">
      <c r="A37" s="53"/>
      <c r="B37" s="849"/>
      <c r="C37" s="827"/>
      <c r="D37" s="827"/>
      <c r="E37" s="827"/>
      <c r="F37" s="827"/>
      <c r="G37" s="827"/>
      <c r="H37" s="827"/>
      <c r="I37" s="827"/>
      <c r="J37" s="827"/>
      <c r="K37" s="827"/>
      <c r="L37" s="827"/>
      <c r="M37" s="827"/>
      <c r="N37" s="827"/>
      <c r="O37" s="827"/>
      <c r="P37" s="827"/>
      <c r="Q37" s="827"/>
      <c r="R37" s="827"/>
      <c r="S37" s="827"/>
      <c r="T37" s="827"/>
      <c r="U37" s="827"/>
      <c r="V37" s="827"/>
      <c r="W37" s="827"/>
      <c r="X37" s="1171"/>
      <c r="Y37" s="1171"/>
      <c r="Z37" s="1171"/>
      <c r="AA37" s="1171"/>
      <c r="AB37" s="1171"/>
      <c r="AC37" s="1171"/>
      <c r="AD37" s="827"/>
      <c r="AE37" s="1171"/>
      <c r="AF37" s="1311"/>
      <c r="AG37" s="827"/>
      <c r="AH37" s="827"/>
      <c r="AI37" s="827"/>
      <c r="AJ37" s="827"/>
      <c r="AK37" s="827"/>
      <c r="AL37" s="827"/>
      <c r="AM37" s="827"/>
      <c r="AN37" s="827"/>
      <c r="AO37" s="827"/>
      <c r="AP37" s="827"/>
      <c r="AQ37" s="827"/>
      <c r="AR37" s="32"/>
    </row>
    <row r="38" spans="1:44">
      <c r="A38" s="53" t="s">
        <v>957</v>
      </c>
      <c r="B38" s="221" t="s">
        <v>82</v>
      </c>
      <c r="C38" s="29">
        <f t="shared" ref="C38:N38" si="147">C19-C36</f>
        <v>38.462000000000018</v>
      </c>
      <c r="D38" s="29">
        <f t="shared" si="147"/>
        <v>48.875999999999976</v>
      </c>
      <c r="E38" s="29">
        <f t="shared" si="147"/>
        <v>62.238</v>
      </c>
      <c r="F38" s="29">
        <f t="shared" si="147"/>
        <v>83.657000000000039</v>
      </c>
      <c r="G38" s="29">
        <f t="shared" si="147"/>
        <v>118.80199999999996</v>
      </c>
      <c r="H38" s="29">
        <f t="shared" si="147"/>
        <v>163.88999999999987</v>
      </c>
      <c r="I38" s="29">
        <f t="shared" si="147"/>
        <v>229.25199999999995</v>
      </c>
      <c r="J38" s="29">
        <f t="shared" si="147"/>
        <v>293.29600000000005</v>
      </c>
      <c r="K38" s="29">
        <f t="shared" si="147"/>
        <v>152.31299999999999</v>
      </c>
      <c r="L38" s="29">
        <f t="shared" si="147"/>
        <v>184.50100000000009</v>
      </c>
      <c r="M38" s="29">
        <f t="shared" si="147"/>
        <v>243.82800000000009</v>
      </c>
      <c r="N38" s="29">
        <f t="shared" si="147"/>
        <v>294.63300000000004</v>
      </c>
      <c r="O38" s="29">
        <f t="shared" ref="O38:T38" si="148">O19-O36</f>
        <v>343.47899999999993</v>
      </c>
      <c r="P38" s="29">
        <f t="shared" si="148"/>
        <v>404.702</v>
      </c>
      <c r="Q38" s="29">
        <f t="shared" si="148"/>
        <v>853.50000000000045</v>
      </c>
      <c r="R38" s="29">
        <f>R19-R36</f>
        <v>947.59999999999991</v>
      </c>
      <c r="S38" s="538">
        <f t="shared" si="148"/>
        <v>1044.0999999999997</v>
      </c>
      <c r="T38" s="538">
        <f t="shared" si="148"/>
        <v>1105.7</v>
      </c>
      <c r="U38" s="538">
        <f t="shared" ref="U38:AK38" si="149">U19-U36</f>
        <v>1308.4000000000001</v>
      </c>
      <c r="V38" s="1151">
        <f t="shared" si="149"/>
        <v>1280.2999999999995</v>
      </c>
      <c r="W38" s="1151">
        <f t="shared" ref="W38:Y38" si="150">W19-W36</f>
        <v>1433.4999999999982</v>
      </c>
      <c r="X38" s="1229">
        <f t="shared" si="150"/>
        <v>1419.6</v>
      </c>
      <c r="Y38" s="1277">
        <f t="shared" si="150"/>
        <v>1419.6</v>
      </c>
      <c r="Z38" s="1229">
        <f t="shared" ref="Z38:AB38" si="151">Z19-Z36</f>
        <v>1549.1839999999984</v>
      </c>
      <c r="AA38" s="1229">
        <f t="shared" si="151"/>
        <v>1559.1000000000004</v>
      </c>
      <c r="AB38" s="1559">
        <f t="shared" si="151"/>
        <v>1559.1000000000004</v>
      </c>
      <c r="AC38" s="1672">
        <f t="shared" ref="AC38" si="152">AC19-AC36</f>
        <v>1620.3839999999987</v>
      </c>
      <c r="AD38" s="939">
        <f t="shared" si="149"/>
        <v>1620.7839999999987</v>
      </c>
      <c r="AE38" s="1559">
        <f t="shared" si="149"/>
        <v>1621.7839999999987</v>
      </c>
      <c r="AF38" s="1777">
        <f t="shared" si="149"/>
        <v>1683.3839999999987</v>
      </c>
      <c r="AG38" s="939">
        <f t="shared" si="149"/>
        <v>1657.6536300302287</v>
      </c>
      <c r="AH38" s="939">
        <f t="shared" si="149"/>
        <v>1657.6536300302287</v>
      </c>
      <c r="AI38" s="939">
        <f t="shared" si="149"/>
        <v>1810.6920058923424</v>
      </c>
      <c r="AJ38" s="939">
        <f t="shared" si="149"/>
        <v>1778.2542167663605</v>
      </c>
      <c r="AK38" s="939">
        <f t="shared" si="149"/>
        <v>1778.2542167663605</v>
      </c>
      <c r="AL38" s="939">
        <f t="shared" ref="AL38:AN38" si="153">AL19-AL36</f>
        <v>1946.9009346845423</v>
      </c>
      <c r="AM38" s="939">
        <f t="shared" si="153"/>
        <v>1908.8093242826635</v>
      </c>
      <c r="AN38" s="939">
        <f t="shared" si="153"/>
        <v>1908.8093242826635</v>
      </c>
      <c r="AO38" s="939">
        <f t="shared" ref="AO38:AQ38" si="154">AO19-AO36</f>
        <v>2086.740553045151</v>
      </c>
      <c r="AP38" s="939">
        <f t="shared" si="154"/>
        <v>2047.0856683485754</v>
      </c>
      <c r="AQ38" s="939">
        <f t="shared" si="154"/>
        <v>2047.0856683485754</v>
      </c>
      <c r="AR38" s="32"/>
    </row>
    <row r="39" spans="1:44">
      <c r="A39" s="53"/>
      <c r="B39" s="849"/>
      <c r="C39" s="827"/>
      <c r="D39" s="827"/>
      <c r="E39" s="827"/>
      <c r="F39" s="827"/>
      <c r="G39" s="827"/>
      <c r="H39" s="827"/>
      <c r="I39" s="827"/>
      <c r="J39" s="827"/>
      <c r="K39" s="827"/>
      <c r="L39" s="827"/>
      <c r="M39" s="827"/>
      <c r="N39" s="827"/>
      <c r="O39" s="827"/>
      <c r="P39" s="827"/>
      <c r="Q39" s="827"/>
      <c r="R39" s="827"/>
      <c r="S39" s="827"/>
      <c r="T39" s="827"/>
      <c r="U39" s="827"/>
      <c r="V39" s="827"/>
      <c r="W39" s="827"/>
      <c r="X39" s="1171"/>
      <c r="Y39" s="1171"/>
      <c r="Z39" s="1171"/>
      <c r="AA39" s="1171"/>
      <c r="AB39" s="1171"/>
      <c r="AC39" s="1171"/>
      <c r="AD39" s="827"/>
      <c r="AE39" s="1171"/>
      <c r="AF39" s="1311"/>
      <c r="AG39" s="827"/>
      <c r="AH39" s="827"/>
      <c r="AI39" s="827"/>
      <c r="AJ39" s="827"/>
      <c r="AK39" s="827"/>
      <c r="AL39" s="827"/>
      <c r="AM39" s="827"/>
      <c r="AN39" s="827"/>
      <c r="AO39" s="827"/>
      <c r="AP39" s="827"/>
      <c r="AQ39" s="827"/>
      <c r="AR39" s="32"/>
    </row>
    <row r="40" spans="1:44">
      <c r="A40" s="53"/>
      <c r="B40" s="441" t="s">
        <v>224</v>
      </c>
      <c r="C40" s="847">
        <v>21.9</v>
      </c>
      <c r="D40" s="847">
        <v>32.195999999999998</v>
      </c>
      <c r="E40" s="847">
        <v>32.427999999999997</v>
      </c>
      <c r="F40" s="847">
        <v>33.036000000000001</v>
      </c>
      <c r="G40" s="847">
        <v>35.883000000000003</v>
      </c>
      <c r="H40" s="847">
        <v>39.543999999999997</v>
      </c>
      <c r="I40" s="847">
        <v>44.783000000000001</v>
      </c>
      <c r="J40" s="847">
        <v>53.578000000000003</v>
      </c>
      <c r="K40" s="847">
        <v>58.206000000000003</v>
      </c>
      <c r="L40" s="847">
        <v>61.692</v>
      </c>
      <c r="M40" s="847">
        <v>62.774000000000001</v>
      </c>
      <c r="N40" s="847">
        <v>58.383000000000003</v>
      </c>
      <c r="O40" s="847">
        <v>56.521000000000001</v>
      </c>
      <c r="P40" s="847">
        <v>49.264000000000003</v>
      </c>
      <c r="Q40" s="847">
        <v>438.7</v>
      </c>
      <c r="R40" s="847">
        <v>441.7</v>
      </c>
      <c r="S40" s="847">
        <v>434.8</v>
      </c>
      <c r="T40" s="847">
        <v>403.2</v>
      </c>
      <c r="U40" s="847">
        <v>393</v>
      </c>
      <c r="V40" s="847">
        <v>346.8</v>
      </c>
      <c r="W40" s="847">
        <v>329.3</v>
      </c>
      <c r="X40" s="896">
        <f>W40+CFS!X34</f>
        <v>329.3</v>
      </c>
      <c r="Y40" s="1275">
        <v>329.3</v>
      </c>
      <c r="Z40" s="1398">
        <v>312.3</v>
      </c>
      <c r="AA40" s="896">
        <f>+AB40</f>
        <v>312.3</v>
      </c>
      <c r="AB40" s="1275">
        <v>312.3</v>
      </c>
      <c r="AC40" s="1900">
        <v>291.39999999999998</v>
      </c>
      <c r="AD40" s="896">
        <f>+AE40</f>
        <v>291.39999999999998</v>
      </c>
      <c r="AE40" s="1275">
        <v>291.39999999999998</v>
      </c>
      <c r="AF40" s="1906">
        <v>264.5</v>
      </c>
      <c r="AG40" s="309">
        <f>AF40+CFS!AG34</f>
        <v>264.5</v>
      </c>
      <c r="AH40" s="309">
        <f>AG40+CFS!AH34</f>
        <v>264.5</v>
      </c>
      <c r="AI40" s="309">
        <f>AH40+CFS!AI34</f>
        <v>264.5</v>
      </c>
      <c r="AJ40" s="309">
        <f>AI40+CFS!AJ34</f>
        <v>264.5</v>
      </c>
      <c r="AK40" s="309">
        <f>AJ40+CFS!AK34</f>
        <v>264.5</v>
      </c>
      <c r="AL40" s="309">
        <f>AK40+CFS!AL34</f>
        <v>264.5</v>
      </c>
      <c r="AM40" s="309">
        <f>AL40+CFS!AM34</f>
        <v>264.5</v>
      </c>
      <c r="AN40" s="309">
        <f>AM40+CFS!AN34</f>
        <v>264.5</v>
      </c>
      <c r="AO40" s="309">
        <f>AN40+CFS!AO34</f>
        <v>264.5</v>
      </c>
      <c r="AP40" s="309">
        <f>AO40+CFS!AP34</f>
        <v>264.5</v>
      </c>
      <c r="AQ40" s="309">
        <f>AP40+CFS!AQ34</f>
        <v>264.5</v>
      </c>
      <c r="AR40" s="23"/>
    </row>
    <row r="41" spans="1:44">
      <c r="A41" s="53"/>
      <c r="B41" s="441" t="s">
        <v>83</v>
      </c>
      <c r="C41" s="847">
        <v>0</v>
      </c>
      <c r="D41" s="847">
        <v>0</v>
      </c>
      <c r="E41" s="847">
        <v>0.64400000000000002</v>
      </c>
      <c r="F41" s="847">
        <v>2.036</v>
      </c>
      <c r="G41" s="847">
        <v>2.3439999999999999</v>
      </c>
      <c r="H41" s="847">
        <v>1.2909999999999999</v>
      </c>
      <c r="I41" s="847">
        <v>0.193</v>
      </c>
      <c r="J41" s="847">
        <v>3.8730000000000002</v>
      </c>
      <c r="K41" s="847">
        <v>4.0279999999999996</v>
      </c>
      <c r="L41" s="847">
        <v>5.12</v>
      </c>
      <c r="M41" s="847">
        <v>11.762</v>
      </c>
      <c r="N41" s="847">
        <v>16.265000000000001</v>
      </c>
      <c r="O41" s="847">
        <v>17.635999999999999</v>
      </c>
      <c r="P41" s="847">
        <v>27.14</v>
      </c>
      <c r="Q41" s="847">
        <v>33.200000000000003</v>
      </c>
      <c r="R41" s="847">
        <v>42.7</v>
      </c>
      <c r="S41" s="847">
        <v>53.7</v>
      </c>
      <c r="T41" s="847">
        <v>66.8</v>
      </c>
      <c r="U41" s="847">
        <v>83.8</v>
      </c>
      <c r="V41" s="847">
        <v>22.8</v>
      </c>
      <c r="W41" s="847">
        <v>17.3</v>
      </c>
      <c r="X41" s="896">
        <f>+Y41</f>
        <v>25.4</v>
      </c>
      <c r="Y41" s="1275">
        <v>25.4</v>
      </c>
      <c r="Z41" s="1398">
        <v>21.1</v>
      </c>
      <c r="AA41" s="896">
        <f>+AB41</f>
        <v>28.5</v>
      </c>
      <c r="AB41" s="1275">
        <v>28.5</v>
      </c>
      <c r="AC41" s="1900">
        <v>7.6</v>
      </c>
      <c r="AD41" s="896">
        <f>+AE41</f>
        <v>14.9</v>
      </c>
      <c r="AE41" s="1275">
        <v>14.9</v>
      </c>
      <c r="AF41" s="1906">
        <f>5.4-0.016</f>
        <v>5.3840000000000003</v>
      </c>
      <c r="AG41" s="309">
        <f>AF41+0.484+0.016</f>
        <v>5.8840000000000003</v>
      </c>
      <c r="AH41" s="309">
        <f t="shared" ref="AH41:AK41" si="155">AG41</f>
        <v>5.8840000000000003</v>
      </c>
      <c r="AI41" s="309">
        <f t="shared" si="155"/>
        <v>5.8840000000000003</v>
      </c>
      <c r="AJ41" s="309">
        <f t="shared" si="155"/>
        <v>5.8840000000000003</v>
      </c>
      <c r="AK41" s="309">
        <f t="shared" si="155"/>
        <v>5.8840000000000003</v>
      </c>
      <c r="AL41" s="309">
        <f t="shared" ref="AL41" si="156">AK41</f>
        <v>5.8840000000000003</v>
      </c>
      <c r="AM41" s="309">
        <f t="shared" ref="AM41" si="157">AL41</f>
        <v>5.8840000000000003</v>
      </c>
      <c r="AN41" s="309">
        <f t="shared" ref="AN41" si="158">AM41</f>
        <v>5.8840000000000003</v>
      </c>
      <c r="AO41" s="309">
        <f t="shared" ref="AO41" si="159">AN41</f>
        <v>5.8840000000000003</v>
      </c>
      <c r="AP41" s="309">
        <f t="shared" ref="AP41" si="160">AO41</f>
        <v>5.8840000000000003</v>
      </c>
      <c r="AQ41" s="309">
        <f t="shared" ref="AQ41" si="161">AP41</f>
        <v>5.8840000000000003</v>
      </c>
      <c r="AR41" s="23"/>
    </row>
    <row r="42" spans="1:44">
      <c r="A42" s="53"/>
      <c r="B42" s="441" t="s">
        <v>84</v>
      </c>
      <c r="C42" s="847">
        <v>16.562000000000001</v>
      </c>
      <c r="D42" s="847">
        <v>16.68</v>
      </c>
      <c r="E42" s="847">
        <v>25.494</v>
      </c>
      <c r="F42" s="847">
        <v>43.88</v>
      </c>
      <c r="G42" s="847">
        <v>74.882999999999996</v>
      </c>
      <c r="H42" s="847">
        <v>123.05500000000001</v>
      </c>
      <c r="I42" s="847">
        <v>184.27600000000001</v>
      </c>
      <c r="J42" s="847">
        <v>235.845</v>
      </c>
      <c r="K42" s="847">
        <v>90.078999999999994</v>
      </c>
      <c r="L42" s="847">
        <v>117.68899999999999</v>
      </c>
      <c r="M42" s="847">
        <v>168.809</v>
      </c>
      <c r="N42" s="847">
        <v>219.98500000000001</v>
      </c>
      <c r="O42" s="847">
        <v>269.322</v>
      </c>
      <c r="P42" s="847">
        <v>328.298</v>
      </c>
      <c r="Q42" s="847">
        <v>381.6</v>
      </c>
      <c r="R42" s="847">
        <v>463.2</v>
      </c>
      <c r="S42" s="847">
        <v>555.6</v>
      </c>
      <c r="T42" s="847">
        <f t="shared" ref="T42:V42" si="162">T186</f>
        <v>635.70000000000005</v>
      </c>
      <c r="U42" s="847">
        <v>831.6</v>
      </c>
      <c r="V42" s="847">
        <f t="shared" si="162"/>
        <v>910.7</v>
      </c>
      <c r="W42" s="847">
        <v>1086.9000000000001</v>
      </c>
      <c r="X42" s="31">
        <f>X186</f>
        <v>1064.9000000000003</v>
      </c>
      <c r="Y42" s="1279">
        <v>1064.9000000000001</v>
      </c>
      <c r="Z42" s="1398">
        <f>1215.8-0.016</f>
        <v>1215.7839999999999</v>
      </c>
      <c r="AA42" s="31">
        <f>+AB42</f>
        <v>1218.3</v>
      </c>
      <c r="AB42" s="1279">
        <v>1218.3</v>
      </c>
      <c r="AC42" s="1900">
        <v>1316.1</v>
      </c>
      <c r="AD42" s="31">
        <f>+AE42</f>
        <v>1310.3</v>
      </c>
      <c r="AE42" s="1279">
        <v>1310.3</v>
      </c>
      <c r="AF42" s="1906">
        <v>1408.2</v>
      </c>
      <c r="AG42" s="309">
        <f>AG186</f>
        <v>1381.5028391117214</v>
      </c>
      <c r="AH42" s="309">
        <f>AH186</f>
        <v>1381.5028391117212</v>
      </c>
      <c r="AI42" s="309">
        <f>AI186</f>
        <v>1534.2347899738352</v>
      </c>
      <c r="AJ42" s="309">
        <f t="shared" ref="AJ42" si="163">AJ186</f>
        <v>1501.5196312017897</v>
      </c>
      <c r="AK42" s="309">
        <f>AK186</f>
        <v>1501.5196312017897</v>
      </c>
      <c r="AL42" s="309">
        <f t="shared" ref="AL42:AM42" si="164">AL186</f>
        <v>1669.8507313699724</v>
      </c>
      <c r="AM42" s="309">
        <f t="shared" si="164"/>
        <v>1631.4734302326483</v>
      </c>
      <c r="AN42" s="309">
        <f>AN186</f>
        <v>1631.4734302326481</v>
      </c>
      <c r="AO42" s="309">
        <f t="shared" ref="AO42:AP42" si="165">AO186</f>
        <v>1809.0795727126347</v>
      </c>
      <c r="AP42" s="309">
        <f t="shared" si="165"/>
        <v>1769.1304265585502</v>
      </c>
      <c r="AQ42" s="309">
        <f>AQ186</f>
        <v>1769.1304265585502</v>
      </c>
      <c r="AR42" s="23"/>
    </row>
    <row r="43" spans="1:44">
      <c r="A43" s="53"/>
      <c r="B43" s="221" t="s">
        <v>85</v>
      </c>
      <c r="C43" s="29">
        <f t="shared" ref="C43:N43" si="166">SUM(C40:C42)</f>
        <v>38.462000000000003</v>
      </c>
      <c r="D43" s="29">
        <f t="shared" si="166"/>
        <v>48.875999999999998</v>
      </c>
      <c r="E43" s="29">
        <f t="shared" si="166"/>
        <v>58.565999999999995</v>
      </c>
      <c r="F43" s="29">
        <f t="shared" si="166"/>
        <v>78.951999999999998</v>
      </c>
      <c r="G43" s="29">
        <f t="shared" si="166"/>
        <v>113.11</v>
      </c>
      <c r="H43" s="29">
        <f t="shared" si="166"/>
        <v>163.89</v>
      </c>
      <c r="I43" s="29">
        <f t="shared" si="166"/>
        <v>229.25200000000001</v>
      </c>
      <c r="J43" s="29">
        <f t="shared" si="166"/>
        <v>293.29599999999999</v>
      </c>
      <c r="K43" s="29">
        <f t="shared" si="166"/>
        <v>152.31299999999999</v>
      </c>
      <c r="L43" s="29">
        <f t="shared" si="166"/>
        <v>184.50099999999998</v>
      </c>
      <c r="M43" s="29">
        <f t="shared" si="166"/>
        <v>243.345</v>
      </c>
      <c r="N43" s="29">
        <f t="shared" si="166"/>
        <v>294.63300000000004</v>
      </c>
      <c r="O43" s="29">
        <f t="shared" ref="O43:T43" si="167">SUM(O40:O42)</f>
        <v>343.47899999999998</v>
      </c>
      <c r="P43" s="29">
        <f t="shared" si="167"/>
        <v>404.702</v>
      </c>
      <c r="Q43" s="29">
        <f>SUM(Q40:Q42)</f>
        <v>853.5</v>
      </c>
      <c r="R43" s="29">
        <f>SUM(R40:R42)</f>
        <v>947.59999999999991</v>
      </c>
      <c r="S43" s="538">
        <f t="shared" si="167"/>
        <v>1044.0999999999999</v>
      </c>
      <c r="T43" s="538">
        <f t="shared" si="167"/>
        <v>1105.7</v>
      </c>
      <c r="U43" s="538">
        <f t="shared" ref="U43:AM43" si="168">SUM(U40:U42)</f>
        <v>1308.4000000000001</v>
      </c>
      <c r="V43" s="1151">
        <f t="shared" si="168"/>
        <v>1280.3000000000002</v>
      </c>
      <c r="W43" s="1151">
        <f t="shared" si="168"/>
        <v>1433.5</v>
      </c>
      <c r="X43" s="1229">
        <f>SUM(X40:X42)</f>
        <v>1419.6000000000004</v>
      </c>
      <c r="Y43" s="1277">
        <f t="shared" si="168"/>
        <v>1419.6000000000001</v>
      </c>
      <c r="Z43" s="145">
        <f t="shared" ref="Z43" si="169">SUM(Z40:Z42)</f>
        <v>1549.184</v>
      </c>
      <c r="AA43" s="1229">
        <f>SUM(AA40:AA42)</f>
        <v>1559.1</v>
      </c>
      <c r="AB43" s="1559">
        <f t="shared" ref="AB43:AC43" si="170">SUM(AB40:AB42)</f>
        <v>1559.1</v>
      </c>
      <c r="AC43" s="1559">
        <f t="shared" si="170"/>
        <v>1615.1</v>
      </c>
      <c r="AD43" s="1229">
        <f>SUM(AD40:AD42)</f>
        <v>1616.6</v>
      </c>
      <c r="AE43" s="1559">
        <f t="shared" ref="AE43:AF43" si="171">SUM(AE40:AE42)</f>
        <v>1616.6</v>
      </c>
      <c r="AF43" s="1656">
        <f t="shared" si="171"/>
        <v>1678.0840000000001</v>
      </c>
      <c r="AG43" s="939">
        <f t="shared" ref="AG43" si="172">SUM(AG40:AG42)</f>
        <v>1651.8868391117214</v>
      </c>
      <c r="AH43" s="939">
        <f t="shared" si="168"/>
        <v>1651.8868391117212</v>
      </c>
      <c r="AI43" s="939">
        <f t="shared" ref="AI43:AJ43" si="173">SUM(AI40:AI42)</f>
        <v>1804.6187899738352</v>
      </c>
      <c r="AJ43" s="939">
        <f t="shared" si="173"/>
        <v>1771.9036312017897</v>
      </c>
      <c r="AK43" s="939">
        <f t="shared" si="168"/>
        <v>1771.9036312017897</v>
      </c>
      <c r="AL43" s="939">
        <f t="shared" si="168"/>
        <v>1940.2347313699725</v>
      </c>
      <c r="AM43" s="939">
        <f t="shared" si="168"/>
        <v>1901.8574302326483</v>
      </c>
      <c r="AN43" s="939">
        <f t="shared" ref="AN43:AP43" si="174">SUM(AN40:AN42)</f>
        <v>1901.8574302326481</v>
      </c>
      <c r="AO43" s="939">
        <f t="shared" si="174"/>
        <v>2079.4635727126347</v>
      </c>
      <c r="AP43" s="939">
        <f t="shared" si="174"/>
        <v>2039.5144265585502</v>
      </c>
      <c r="AQ43" s="939">
        <f t="shared" ref="AQ43" si="175">SUM(AQ40:AQ42)</f>
        <v>2039.5144265585502</v>
      </c>
      <c r="AR43" s="32"/>
    </row>
    <row r="44" spans="1:44">
      <c r="A44" s="53"/>
      <c r="B44" s="849"/>
      <c r="C44" s="827"/>
      <c r="D44" s="827"/>
      <c r="E44" s="827"/>
      <c r="F44" s="827"/>
      <c r="G44" s="827"/>
      <c r="H44" s="827"/>
      <c r="I44" s="827"/>
      <c r="J44" s="827"/>
      <c r="K44" s="827"/>
      <c r="L44" s="827"/>
      <c r="M44" s="827"/>
      <c r="N44" s="827"/>
      <c r="O44" s="827"/>
      <c r="P44" s="827"/>
      <c r="Q44" s="827"/>
      <c r="R44" s="827"/>
      <c r="S44" s="827"/>
      <c r="T44" s="827"/>
      <c r="U44" s="827"/>
      <c r="V44" s="827"/>
      <c r="W44" s="827"/>
      <c r="X44" s="1171"/>
      <c r="Y44" s="1171"/>
      <c r="Z44" s="1171"/>
      <c r="AA44" s="1171"/>
      <c r="AB44" s="1171"/>
      <c r="AC44" s="1171"/>
      <c r="AD44" s="1171"/>
      <c r="AE44" s="1171"/>
      <c r="AF44" s="1412"/>
      <c r="AG44" s="827"/>
      <c r="AH44" s="827"/>
      <c r="AI44" s="827"/>
      <c r="AJ44" s="827"/>
      <c r="AK44" s="827"/>
      <c r="AL44" s="827"/>
      <c r="AM44" s="827"/>
      <c r="AN44" s="827"/>
      <c r="AO44" s="827"/>
      <c r="AP44" s="827"/>
      <c r="AQ44" s="827"/>
      <c r="AR44" s="32"/>
    </row>
    <row r="45" spans="1:44">
      <c r="A45" s="53" t="s">
        <v>407</v>
      </c>
      <c r="B45" s="441" t="s">
        <v>86</v>
      </c>
      <c r="C45" s="850">
        <v>0</v>
      </c>
      <c r="D45" s="850">
        <v>0</v>
      </c>
      <c r="E45" s="850">
        <v>3.6720000000000002</v>
      </c>
      <c r="F45" s="850">
        <v>4.7050000000000001</v>
      </c>
      <c r="G45" s="850">
        <v>5.6920000000000002</v>
      </c>
      <c r="H45" s="850">
        <v>0</v>
      </c>
      <c r="I45" s="850">
        <v>0</v>
      </c>
      <c r="J45" s="850">
        <v>0</v>
      </c>
      <c r="K45" s="850">
        <v>0</v>
      </c>
      <c r="L45" s="850">
        <v>0</v>
      </c>
      <c r="M45" s="774">
        <v>0.48299999999999998</v>
      </c>
      <c r="N45" s="850">
        <v>0</v>
      </c>
      <c r="O45" s="850">
        <v>0</v>
      </c>
      <c r="P45" s="850">
        <v>0</v>
      </c>
      <c r="Q45" s="850">
        <f>-'P&amp;L'!AS86+P45</f>
        <v>0</v>
      </c>
      <c r="R45" s="850">
        <f>-'P&amp;L'!AV86+Q45</f>
        <v>0</v>
      </c>
      <c r="S45" s="850">
        <f>-'P&amp;L'!AY86+R45</f>
        <v>0</v>
      </c>
      <c r="T45" s="850">
        <f>-'P&amp;L'!BB86+S45</f>
        <v>0</v>
      </c>
      <c r="U45" s="850">
        <f>-'P&amp;L'!BE86+T45</f>
        <v>0</v>
      </c>
      <c r="V45" s="850">
        <f>-'P&amp;L'!BH86+U45</f>
        <v>0</v>
      </c>
      <c r="W45" s="850">
        <f>-'P&amp;L'!BI86+V45</f>
        <v>0</v>
      </c>
      <c r="X45" s="896">
        <f>-'P&amp;L'!BJ86+W45</f>
        <v>0</v>
      </c>
      <c r="Y45" s="1280">
        <f>-'P&amp;L'!BK86+X45</f>
        <v>0</v>
      </c>
      <c r="Z45" s="1280">
        <f>-'P&amp;L'!BL86+Y45</f>
        <v>0</v>
      </c>
      <c r="AA45" s="896">
        <f>-'P&amp;L'!BM86+Z45</f>
        <v>0</v>
      </c>
      <c r="AB45" s="1280">
        <f>-'P&amp;L'!BN86+AA45</f>
        <v>0</v>
      </c>
      <c r="AC45" s="1899">
        <v>5.3</v>
      </c>
      <c r="AD45" s="729">
        <f>+AE45</f>
        <v>5.2</v>
      </c>
      <c r="AE45" s="249">
        <v>5.2</v>
      </c>
      <c r="AF45" s="1773">
        <v>5.3</v>
      </c>
      <c r="AG45" s="729">
        <f>-'P&amp;L'!BS86+AF45</f>
        <v>5.7667909185082857</v>
      </c>
      <c r="AH45" s="1698">
        <f>-'P&amp;L'!BT86+AE45</f>
        <v>5.7667909185082857</v>
      </c>
      <c r="AI45" s="1698">
        <f>-'P&amp;L'!BU86+AH45</f>
        <v>6.0732159185082857</v>
      </c>
      <c r="AJ45" s="1698">
        <f>-'P&amp;L'!BV86+AI45</f>
        <v>6.350585564571821</v>
      </c>
      <c r="AK45" s="1698">
        <f>-'P&amp;L'!BW86+AH45</f>
        <v>6.350585564571821</v>
      </c>
      <c r="AL45" s="1698">
        <f>-'P&amp;L'!BX86+AK45</f>
        <v>6.6662033145718214</v>
      </c>
      <c r="AM45" s="1698">
        <f>-'P&amp;L'!BY86+AL45</f>
        <v>6.9518940500172635</v>
      </c>
      <c r="AN45" s="1698">
        <f>-'P&amp;L'!BZ86+AK45</f>
        <v>6.9518940500172635</v>
      </c>
      <c r="AO45" s="1698">
        <f>-'P&amp;L'!CA86+AN45</f>
        <v>7.2769803325172635</v>
      </c>
      <c r="AP45" s="1698">
        <f>-'P&amp;L'!CB86+AO45</f>
        <v>7.5712417900260682</v>
      </c>
      <c r="AQ45" s="1698">
        <f>-'P&amp;L'!CC86+AN45</f>
        <v>7.5712417900260682</v>
      </c>
      <c r="AR45" s="249"/>
    </row>
    <row r="46" spans="1:44">
      <c r="A46" s="53"/>
      <c r="B46" s="849"/>
      <c r="C46" s="827"/>
      <c r="D46" s="827"/>
      <c r="E46" s="827"/>
      <c r="F46" s="827"/>
      <c r="G46" s="827"/>
      <c r="H46" s="827"/>
      <c r="I46" s="827"/>
      <c r="J46" s="827"/>
      <c r="K46" s="827"/>
      <c r="L46" s="827"/>
      <c r="M46" s="827"/>
      <c r="N46" s="827"/>
      <c r="O46" s="827"/>
      <c r="P46" s="827"/>
      <c r="Q46" s="827"/>
      <c r="R46" s="827"/>
      <c r="S46" s="827"/>
      <c r="T46" s="827"/>
      <c r="U46" s="827"/>
      <c r="V46" s="827"/>
      <c r="W46" s="827"/>
      <c r="X46" s="1171"/>
      <c r="Y46" s="1171"/>
      <c r="Z46" s="1171"/>
      <c r="AA46" s="1171"/>
      <c r="AB46" s="1171"/>
      <c r="AC46" s="1171"/>
      <c r="AD46" s="827"/>
      <c r="AE46" s="1171"/>
      <c r="AF46" s="1311"/>
      <c r="AG46" s="827"/>
      <c r="AH46" s="827"/>
      <c r="AI46" s="827"/>
      <c r="AJ46" s="827"/>
      <c r="AK46" s="827"/>
      <c r="AL46" s="827"/>
      <c r="AM46" s="827"/>
      <c r="AN46" s="827"/>
      <c r="AO46" s="827"/>
      <c r="AP46" s="827"/>
      <c r="AQ46" s="827"/>
      <c r="AR46" s="32"/>
    </row>
    <row r="47" spans="1:44">
      <c r="A47" s="53" t="s">
        <v>769</v>
      </c>
      <c r="B47" s="221" t="s">
        <v>87</v>
      </c>
      <c r="C47" s="29">
        <f>C43+C45</f>
        <v>38.462000000000003</v>
      </c>
      <c r="D47" s="29">
        <f t="shared" ref="D47:O47" si="176">D43+D45</f>
        <v>48.875999999999998</v>
      </c>
      <c r="E47" s="29">
        <f t="shared" si="176"/>
        <v>62.237999999999992</v>
      </c>
      <c r="F47" s="29">
        <f t="shared" si="176"/>
        <v>83.656999999999996</v>
      </c>
      <c r="G47" s="29">
        <f t="shared" si="176"/>
        <v>118.80199999999999</v>
      </c>
      <c r="H47" s="29">
        <f t="shared" si="176"/>
        <v>163.89</v>
      </c>
      <c r="I47" s="29">
        <f t="shared" si="176"/>
        <v>229.25200000000001</v>
      </c>
      <c r="J47" s="29">
        <f t="shared" si="176"/>
        <v>293.29599999999999</v>
      </c>
      <c r="K47" s="29">
        <f t="shared" si="176"/>
        <v>152.31299999999999</v>
      </c>
      <c r="L47" s="29">
        <f t="shared" si="176"/>
        <v>184.50099999999998</v>
      </c>
      <c r="M47" s="29">
        <f>M43+M45</f>
        <v>243.828</v>
      </c>
      <c r="N47" s="29">
        <f t="shared" si="176"/>
        <v>294.63300000000004</v>
      </c>
      <c r="O47" s="29">
        <f t="shared" si="176"/>
        <v>343.47899999999998</v>
      </c>
      <c r="P47" s="29">
        <f t="shared" ref="P47:U47" si="177">P43+P45</f>
        <v>404.702</v>
      </c>
      <c r="Q47" s="29">
        <f>Q43+Q45</f>
        <v>853.5</v>
      </c>
      <c r="R47" s="29">
        <f>R43+R45</f>
        <v>947.59999999999991</v>
      </c>
      <c r="S47" s="29">
        <f t="shared" si="177"/>
        <v>1044.0999999999999</v>
      </c>
      <c r="T47" s="29">
        <f t="shared" si="177"/>
        <v>1105.7</v>
      </c>
      <c r="U47" s="29">
        <f t="shared" si="177"/>
        <v>1308.4000000000001</v>
      </c>
      <c r="V47" s="1152">
        <f t="shared" ref="V47:AM47" si="178">V43+V45</f>
        <v>1280.3000000000002</v>
      </c>
      <c r="W47" s="1152">
        <f t="shared" ref="W47" si="179">W43+W45</f>
        <v>1433.5</v>
      </c>
      <c r="X47" s="1229">
        <f t="shared" si="178"/>
        <v>1419.6000000000004</v>
      </c>
      <c r="Y47" s="1277">
        <f t="shared" si="178"/>
        <v>1419.6000000000001</v>
      </c>
      <c r="Z47" s="145">
        <f t="shared" si="178"/>
        <v>1549.184</v>
      </c>
      <c r="AA47" s="1229">
        <f t="shared" ref="AA47:AB47" si="180">AA43+AA45</f>
        <v>1559.1</v>
      </c>
      <c r="AB47" s="1559">
        <f t="shared" si="180"/>
        <v>1559.1</v>
      </c>
      <c r="AC47" s="1559">
        <f t="shared" ref="AC47:AD47" si="181">AC43+AC45</f>
        <v>1620.3999999999999</v>
      </c>
      <c r="AD47" s="939">
        <f t="shared" si="181"/>
        <v>1621.8</v>
      </c>
      <c r="AE47" s="1559">
        <f t="shared" ref="AE47:AF47" si="182">AE43+AE45</f>
        <v>1621.8</v>
      </c>
      <c r="AF47" s="1656">
        <f t="shared" si="182"/>
        <v>1683.384</v>
      </c>
      <c r="AG47" s="939">
        <f t="shared" ref="AG47" si="183">AG43+AG45</f>
        <v>1657.6536300302298</v>
      </c>
      <c r="AH47" s="939">
        <f t="shared" si="178"/>
        <v>1657.6536300302296</v>
      </c>
      <c r="AI47" s="939">
        <f t="shared" ref="AI47:AJ47" si="184">AI43+AI45</f>
        <v>1810.6920058923436</v>
      </c>
      <c r="AJ47" s="939">
        <f t="shared" si="184"/>
        <v>1778.2542167663617</v>
      </c>
      <c r="AK47" s="939">
        <f t="shared" si="178"/>
        <v>1778.2542167663617</v>
      </c>
      <c r="AL47" s="939">
        <f t="shared" si="178"/>
        <v>1946.9009346845444</v>
      </c>
      <c r="AM47" s="939">
        <f t="shared" si="178"/>
        <v>1908.8093242826656</v>
      </c>
      <c r="AN47" s="939">
        <f t="shared" ref="AN47:AP47" si="185">AN43+AN45</f>
        <v>1908.8093242826653</v>
      </c>
      <c r="AO47" s="939">
        <f t="shared" si="185"/>
        <v>2086.740553045152</v>
      </c>
      <c r="AP47" s="939">
        <f t="shared" si="185"/>
        <v>2047.0856683485763</v>
      </c>
      <c r="AQ47" s="939">
        <f t="shared" ref="AQ47" si="186">AQ43+AQ45</f>
        <v>2047.0856683485763</v>
      </c>
      <c r="AR47" s="32"/>
    </row>
    <row r="48" spans="1:44">
      <c r="A48" s="13"/>
      <c r="B48" s="851" t="s">
        <v>88</v>
      </c>
      <c r="C48" s="539">
        <f t="shared" ref="C48:T48" si="187">C38-C47</f>
        <v>0</v>
      </c>
      <c r="D48" s="852">
        <f t="shared" si="187"/>
        <v>0</v>
      </c>
      <c r="E48" s="539">
        <f t="shared" si="187"/>
        <v>0</v>
      </c>
      <c r="F48" s="539">
        <f t="shared" si="187"/>
        <v>0</v>
      </c>
      <c r="G48" s="853">
        <f t="shared" si="187"/>
        <v>0</v>
      </c>
      <c r="H48" s="853">
        <f t="shared" si="187"/>
        <v>0</v>
      </c>
      <c r="I48" s="853">
        <f t="shared" si="187"/>
        <v>0</v>
      </c>
      <c r="J48" s="854">
        <f t="shared" si="187"/>
        <v>0</v>
      </c>
      <c r="K48" s="539">
        <f t="shared" si="187"/>
        <v>0</v>
      </c>
      <c r="L48" s="539">
        <f t="shared" si="187"/>
        <v>0</v>
      </c>
      <c r="M48" s="853">
        <f t="shared" si="187"/>
        <v>0</v>
      </c>
      <c r="N48" s="855">
        <f t="shared" si="187"/>
        <v>0</v>
      </c>
      <c r="O48" s="855">
        <f t="shared" si="187"/>
        <v>0</v>
      </c>
      <c r="P48" s="855">
        <f>P38-P47</f>
        <v>0</v>
      </c>
      <c r="Q48" s="853">
        <f>Q38-Q47</f>
        <v>0</v>
      </c>
      <c r="R48" s="853">
        <f>R38-R47</f>
        <v>0</v>
      </c>
      <c r="S48" s="853">
        <f>S38-S47</f>
        <v>0</v>
      </c>
      <c r="T48" s="853">
        <f t="shared" si="187"/>
        <v>0</v>
      </c>
      <c r="U48" s="853">
        <f t="shared" ref="U48:AK48" si="188">U38-U47</f>
        <v>0</v>
      </c>
      <c r="V48" s="853">
        <f t="shared" si="188"/>
        <v>0</v>
      </c>
      <c r="W48" s="852">
        <f t="shared" ref="W48" si="189">W38-W47</f>
        <v>-1.8189894035458565E-12</v>
      </c>
      <c r="X48" s="539">
        <f t="shared" si="188"/>
        <v>0</v>
      </c>
      <c r="Y48" s="853">
        <f>Y38-Y47</f>
        <v>0</v>
      </c>
      <c r="Z48" s="1387">
        <f t="shared" ref="Z48:AA48" si="190">Z38-Z47</f>
        <v>0</v>
      </c>
      <c r="AA48" s="539">
        <f t="shared" si="190"/>
        <v>0</v>
      </c>
      <c r="AB48" s="853">
        <f>AB38-AB47</f>
        <v>0</v>
      </c>
      <c r="AC48" s="146">
        <f t="shared" ref="AC48:AD48" si="191">AC38-AC47</f>
        <v>-1.6000000001213266E-2</v>
      </c>
      <c r="AD48" s="539">
        <f t="shared" si="191"/>
        <v>-1.0160000000012133</v>
      </c>
      <c r="AE48" s="146">
        <f t="shared" si="188"/>
        <v>-1.6000000001213266E-2</v>
      </c>
      <c r="AF48" s="1778">
        <f t="shared" ref="AF48:AG48" si="192">AF38-AF47</f>
        <v>0</v>
      </c>
      <c r="AG48" s="539">
        <f t="shared" si="192"/>
        <v>0</v>
      </c>
      <c r="AH48" s="539">
        <f t="shared" si="188"/>
        <v>0</v>
      </c>
      <c r="AI48" s="539">
        <f t="shared" si="188"/>
        <v>0</v>
      </c>
      <c r="AJ48" s="539">
        <f t="shared" ref="AJ48" si="193">AJ38-AJ47</f>
        <v>0</v>
      </c>
      <c r="AK48" s="539">
        <f t="shared" si="188"/>
        <v>0</v>
      </c>
      <c r="AL48" s="539">
        <f t="shared" ref="AL48:AN48" si="194">AL38-AL47</f>
        <v>-2.0463630789890885E-12</v>
      </c>
      <c r="AM48" s="539">
        <f t="shared" si="194"/>
        <v>-2.0463630789890885E-12</v>
      </c>
      <c r="AN48" s="539">
        <f t="shared" si="194"/>
        <v>-1.8189894035458565E-12</v>
      </c>
      <c r="AO48" s="539">
        <f t="shared" ref="AO48:AQ48" si="195">AO38-AO47</f>
        <v>0</v>
      </c>
      <c r="AP48" s="539">
        <f t="shared" si="195"/>
        <v>0</v>
      </c>
      <c r="AQ48" s="539">
        <f t="shared" si="195"/>
        <v>0</v>
      </c>
      <c r="AR48" s="146"/>
    </row>
    <row r="49" spans="1:44" outlineLevel="2">
      <c r="A49" s="13"/>
      <c r="B49" s="537"/>
      <c r="C49" s="537"/>
      <c r="D49" s="537"/>
      <c r="E49" s="589"/>
      <c r="F49" s="537"/>
      <c r="G49" s="537"/>
      <c r="H49" s="537"/>
      <c r="I49" s="537"/>
      <c r="J49" s="537"/>
      <c r="K49" s="537"/>
      <c r="L49" s="856"/>
      <c r="M49" s="537"/>
      <c r="N49" s="856"/>
      <c r="O49" s="856"/>
      <c r="P49" s="856"/>
      <c r="Q49" s="856"/>
      <c r="R49" s="856"/>
      <c r="S49" s="856"/>
      <c r="T49" s="856"/>
      <c r="U49" s="856"/>
      <c r="V49" s="856"/>
      <c r="W49" s="856"/>
      <c r="X49" s="1170"/>
      <c r="Y49" s="856"/>
      <c r="Z49" s="63"/>
      <c r="AA49" s="1170"/>
      <c r="AB49" s="856"/>
      <c r="AC49" s="63"/>
      <c r="AD49" s="537"/>
      <c r="AE49" s="13"/>
      <c r="AF49" s="1779"/>
      <c r="AG49" s="537"/>
      <c r="AH49" s="537"/>
      <c r="AI49" s="537"/>
      <c r="AJ49" s="537"/>
      <c r="AK49" s="537"/>
      <c r="AL49" s="537"/>
      <c r="AM49" s="537"/>
      <c r="AN49" s="537"/>
      <c r="AO49" s="537"/>
      <c r="AP49" s="537"/>
      <c r="AQ49" s="537"/>
      <c r="AR49" s="13"/>
    </row>
    <row r="50" spans="1:44" outlineLevel="2">
      <c r="A50" s="13"/>
      <c r="B50" s="41" t="s">
        <v>96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131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21"/>
    </row>
    <row r="51" spans="1:44" outlineLevel="2">
      <c r="A51" s="13"/>
      <c r="B51" s="857" t="s">
        <v>97</v>
      </c>
      <c r="C51" s="858"/>
      <c r="D51" s="858"/>
      <c r="E51" s="858"/>
      <c r="F51" s="858"/>
      <c r="G51" s="858"/>
      <c r="H51" s="858"/>
      <c r="I51" s="858"/>
      <c r="J51" s="858"/>
      <c r="K51" s="858"/>
      <c r="L51" s="858"/>
      <c r="M51" s="858"/>
      <c r="N51" s="858">
        <f t="shared" ref="N51:S51" si="196">N55+N62-N69</f>
        <v>226.39100000000002</v>
      </c>
      <c r="O51" s="858">
        <f t="shared" si="196"/>
        <v>234.74700000000001</v>
      </c>
      <c r="P51" s="858">
        <f t="shared" si="196"/>
        <v>259.58199999999999</v>
      </c>
      <c r="Q51" s="858">
        <f t="shared" si="196"/>
        <v>408.70000000000005</v>
      </c>
      <c r="R51" s="858">
        <f t="shared" si="196"/>
        <v>430.5</v>
      </c>
      <c r="S51" s="858">
        <f t="shared" si="196"/>
        <v>468.40000000000009</v>
      </c>
      <c r="T51" s="858">
        <f t="shared" ref="T51:X51" si="197">T55+T62-T69</f>
        <v>105.49999999999989</v>
      </c>
      <c r="U51" s="858">
        <f t="shared" si="197"/>
        <v>372.99999999999989</v>
      </c>
      <c r="V51" s="858">
        <f>V55+V62-V69</f>
        <v>546.29999999999984</v>
      </c>
      <c r="W51" s="36">
        <f>W55+W62-W69</f>
        <v>337.29999999999995</v>
      </c>
      <c r="X51" s="858">
        <f t="shared" si="197"/>
        <v>526.90000000000009</v>
      </c>
      <c r="Y51" s="858">
        <f>Y55+Y62-Y69</f>
        <v>526.90000000000009</v>
      </c>
      <c r="Z51" s="36">
        <f>Z55+Z62-Z69</f>
        <v>337.4</v>
      </c>
      <c r="AA51" s="858">
        <f t="shared" ref="AA51" si="198">AA55+AA62-AA69</f>
        <v>507.89999999999986</v>
      </c>
      <c r="AB51" s="858">
        <f>AB55+AB62-AB69</f>
        <v>507.89999999999986</v>
      </c>
      <c r="AC51" s="36">
        <f>AC55+AC62-AC69</f>
        <v>360.00000000000023</v>
      </c>
      <c r="AD51" s="858">
        <f t="shared" ref="AD51" si="199">AD55+AD62-AD69</f>
        <v>599.1</v>
      </c>
      <c r="AE51" s="858">
        <f>AE55+AE62-AE69</f>
        <v>599.1</v>
      </c>
      <c r="AF51" s="1660">
        <f>AF55+AF62-AF69</f>
        <v>457.40000000000009</v>
      </c>
      <c r="AG51" s="858">
        <f t="shared" ref="AG51" si="200">AG55+AG62-AG69</f>
        <v>633.09724536428394</v>
      </c>
      <c r="AH51" s="858">
        <f>AH55+AH62-AH69</f>
        <v>633.09724536428394</v>
      </c>
      <c r="AI51" s="858">
        <f t="shared" ref="AI51:AJ51" si="201">AI55+AI62-AI69</f>
        <v>721.57616600697224</v>
      </c>
      <c r="AJ51" s="858">
        <f t="shared" si="201"/>
        <v>660.91286292133395</v>
      </c>
      <c r="AK51" s="858">
        <f>AK55+AK62-AK69</f>
        <v>660.91286292133395</v>
      </c>
      <c r="AL51" s="858">
        <f t="shared" ref="AL51:AM51" si="202">AL55+AL62-AL69</f>
        <v>753.43420678320331</v>
      </c>
      <c r="AM51" s="858">
        <f t="shared" si="202"/>
        <v>688.70013804592486</v>
      </c>
      <c r="AN51" s="858">
        <f>AN55+AN62-AN69</f>
        <v>688.70013804592486</v>
      </c>
      <c r="AO51" s="858">
        <f t="shared" ref="AO51:AP51" si="203">AO55+AO62-AO69</f>
        <v>785.1450641897477</v>
      </c>
      <c r="AP51" s="858">
        <f t="shared" si="203"/>
        <v>717.71687825681897</v>
      </c>
      <c r="AQ51" s="858">
        <f>AQ55+AQ62-AQ69</f>
        <v>717.71687825681897</v>
      </c>
      <c r="AR51" s="36"/>
    </row>
    <row r="52" spans="1:44" outlineLevel="1">
      <c r="A52" s="13"/>
      <c r="B52" s="857" t="s">
        <v>66</v>
      </c>
      <c r="C52" s="858"/>
      <c r="D52" s="858"/>
      <c r="E52" s="858"/>
      <c r="F52" s="858"/>
      <c r="G52" s="858"/>
      <c r="H52" s="858"/>
      <c r="I52" s="858"/>
      <c r="J52" s="858"/>
      <c r="K52" s="858"/>
      <c r="L52" s="858"/>
      <c r="M52" s="858"/>
      <c r="N52" s="858"/>
      <c r="O52" s="858"/>
      <c r="P52" s="858"/>
      <c r="Q52" s="858"/>
      <c r="R52" s="858"/>
      <c r="S52" s="858"/>
      <c r="T52" s="858"/>
      <c r="U52" s="858"/>
      <c r="V52" s="858"/>
      <c r="W52" s="36"/>
      <c r="X52" s="858"/>
      <c r="Y52" s="858"/>
      <c r="Z52" s="36"/>
      <c r="AA52" s="858"/>
      <c r="AB52" s="858"/>
      <c r="AC52" s="36"/>
      <c r="AD52" s="858"/>
      <c r="AE52" s="858"/>
      <c r="AF52" s="1660"/>
      <c r="AG52" s="858"/>
      <c r="AH52" s="858"/>
      <c r="AI52" s="858"/>
      <c r="AJ52" s="858"/>
      <c r="AK52" s="858"/>
      <c r="AL52" s="858"/>
      <c r="AM52" s="858"/>
      <c r="AN52" s="858"/>
      <c r="AO52" s="858"/>
      <c r="AP52" s="858"/>
      <c r="AQ52" s="858"/>
      <c r="AR52" s="36"/>
    </row>
    <row r="53" spans="1:44" outlineLevel="2">
      <c r="A53" s="13"/>
      <c r="B53" s="844" t="s">
        <v>98</v>
      </c>
      <c r="C53" s="309"/>
      <c r="D53" s="309">
        <f t="shared" ref="D53:V53" si="204">+C55</f>
        <v>7.6989999999999998</v>
      </c>
      <c r="E53" s="309">
        <f t="shared" si="204"/>
        <v>13.17</v>
      </c>
      <c r="F53" s="309">
        <f t="shared" si="204"/>
        <v>19.852</v>
      </c>
      <c r="G53" s="309">
        <f t="shared" si="204"/>
        <v>28.282</v>
      </c>
      <c r="H53" s="309">
        <f t="shared" si="204"/>
        <v>45.177</v>
      </c>
      <c r="I53" s="309">
        <f t="shared" si="204"/>
        <v>52.996000000000002</v>
      </c>
      <c r="J53" s="309">
        <f t="shared" si="204"/>
        <v>60.268999999999998</v>
      </c>
      <c r="K53" s="309">
        <f t="shared" si="204"/>
        <v>63.499000000000002</v>
      </c>
      <c r="L53" s="309">
        <f t="shared" si="204"/>
        <v>58.253</v>
      </c>
      <c r="M53" s="309">
        <f t="shared" si="204"/>
        <v>58.378</v>
      </c>
      <c r="N53" s="309">
        <f t="shared" si="204"/>
        <v>64.245999999999995</v>
      </c>
      <c r="O53" s="309">
        <f t="shared" si="204"/>
        <v>70.745000000000005</v>
      </c>
      <c r="P53" s="309">
        <f t="shared" si="204"/>
        <v>81.48</v>
      </c>
      <c r="Q53" s="309">
        <f t="shared" si="204"/>
        <v>98.072999999999993</v>
      </c>
      <c r="R53" s="309">
        <f t="shared" si="204"/>
        <v>196.6</v>
      </c>
      <c r="S53" s="309">
        <f t="shared" si="204"/>
        <v>204.7</v>
      </c>
      <c r="T53" s="309">
        <f t="shared" si="204"/>
        <v>254.4</v>
      </c>
      <c r="U53" s="309">
        <f t="shared" si="204"/>
        <v>220.3</v>
      </c>
      <c r="V53" s="309">
        <f t="shared" si="204"/>
        <v>211.6</v>
      </c>
      <c r="W53" s="23">
        <f>V55</f>
        <v>132.6</v>
      </c>
      <c r="X53" s="309">
        <f>W55</f>
        <v>174.3</v>
      </c>
      <c r="Y53" s="309">
        <f>+V55</f>
        <v>132.6</v>
      </c>
      <c r="Z53" s="23">
        <f>Y55</f>
        <v>146.5</v>
      </c>
      <c r="AA53" s="309">
        <f>Z55</f>
        <v>178.2</v>
      </c>
      <c r="AB53" s="309">
        <f>+Y55</f>
        <v>146.5</v>
      </c>
      <c r="AC53" s="23">
        <f>AB55</f>
        <v>135.1</v>
      </c>
      <c r="AD53" s="309">
        <f>AC55</f>
        <v>205.2</v>
      </c>
      <c r="AE53" s="309">
        <f>+AB55</f>
        <v>135.1</v>
      </c>
      <c r="AF53" s="1299">
        <f>AE55</f>
        <v>186.5</v>
      </c>
      <c r="AG53" s="309">
        <f>AF55</f>
        <v>242.1</v>
      </c>
      <c r="AH53" s="309">
        <f>+AE55</f>
        <v>186.5</v>
      </c>
      <c r="AI53" s="309">
        <f>AH55</f>
        <v>200.7180221038372</v>
      </c>
      <c r="AJ53" s="309">
        <f>AI55</f>
        <v>228.06659536733224</v>
      </c>
      <c r="AK53" s="309">
        <f>+AH55</f>
        <v>200.7180221038372</v>
      </c>
      <c r="AL53" s="309">
        <f>AK55</f>
        <v>209.1446632399651</v>
      </c>
      <c r="AM53" s="309">
        <f>AL55</f>
        <v>238.11168256945274</v>
      </c>
      <c r="AN53" s="309">
        <f>+AK55</f>
        <v>209.1446632399651</v>
      </c>
      <c r="AO53" s="309">
        <f>AN55</f>
        <v>217.93311386344479</v>
      </c>
      <c r="AP53" s="309">
        <f>AO55</f>
        <v>248.1294652254706</v>
      </c>
      <c r="AQ53" s="309">
        <f>+AN55</f>
        <v>217.93311386344479</v>
      </c>
      <c r="AR53" s="23"/>
    </row>
    <row r="54" spans="1:44" outlineLevel="2">
      <c r="A54" s="13"/>
      <c r="B54" s="844" t="s">
        <v>103</v>
      </c>
      <c r="C54" s="309"/>
      <c r="D54" s="309">
        <f t="shared" ref="D54:T54" si="205">D55-D53</f>
        <v>5.4710000000000001</v>
      </c>
      <c r="E54" s="309">
        <f t="shared" si="205"/>
        <v>6.6820000000000004</v>
      </c>
      <c r="F54" s="309">
        <f t="shared" si="205"/>
        <v>8.43</v>
      </c>
      <c r="G54" s="309">
        <f t="shared" si="205"/>
        <v>16.895</v>
      </c>
      <c r="H54" s="309">
        <f t="shared" si="205"/>
        <v>7.8190000000000026</v>
      </c>
      <c r="I54" s="309">
        <f t="shared" si="205"/>
        <v>7.2729999999999961</v>
      </c>
      <c r="J54" s="309">
        <f t="shared" si="205"/>
        <v>3.230000000000004</v>
      </c>
      <c r="K54" s="309">
        <f t="shared" si="205"/>
        <v>-5.2460000000000022</v>
      </c>
      <c r="L54" s="309">
        <f t="shared" si="205"/>
        <v>0.125</v>
      </c>
      <c r="M54" s="309">
        <f t="shared" si="205"/>
        <v>5.867999999999995</v>
      </c>
      <c r="N54" s="309">
        <f t="shared" si="205"/>
        <v>6.4990000000000094</v>
      </c>
      <c r="O54" s="309">
        <f>O55-O53</f>
        <v>10.734999999999999</v>
      </c>
      <c r="P54" s="309">
        <f>P55-P53</f>
        <v>16.592999999999989</v>
      </c>
      <c r="Q54" s="309">
        <f t="shared" si="205"/>
        <v>98.527000000000001</v>
      </c>
      <c r="R54" s="309">
        <f>R55-R53</f>
        <v>8.0999999999999943</v>
      </c>
      <c r="S54" s="309">
        <f t="shared" si="205"/>
        <v>49.700000000000017</v>
      </c>
      <c r="T54" s="309">
        <f t="shared" si="205"/>
        <v>-34.099999999999994</v>
      </c>
      <c r="U54" s="309">
        <f t="shared" ref="U54:AM54" si="206">U55-U53</f>
        <v>-8.7000000000000171</v>
      </c>
      <c r="V54" s="309">
        <f>V55-V53</f>
        <v>-79</v>
      </c>
      <c r="W54" s="23">
        <f t="shared" si="206"/>
        <v>41.700000000000017</v>
      </c>
      <c r="X54" s="309">
        <f t="shared" si="206"/>
        <v>-27.800000000000011</v>
      </c>
      <c r="Y54" s="309">
        <f t="shared" si="206"/>
        <v>13.900000000000006</v>
      </c>
      <c r="Z54" s="23">
        <f t="shared" ref="Z54:AB54" si="207">Z55-Z53</f>
        <v>31.699999999999989</v>
      </c>
      <c r="AA54" s="309">
        <f t="shared" si="207"/>
        <v>-43.099999999999994</v>
      </c>
      <c r="AB54" s="309">
        <f t="shared" si="207"/>
        <v>-11.400000000000006</v>
      </c>
      <c r="AC54" s="23">
        <f t="shared" ref="AC54" si="208">AC55-AC53</f>
        <v>70.099999999999994</v>
      </c>
      <c r="AD54" s="309">
        <f t="shared" ref="AD54:AF54" si="209">AD55-AD53</f>
        <v>-18.699999999999989</v>
      </c>
      <c r="AE54" s="309">
        <f t="shared" si="209"/>
        <v>51.400000000000006</v>
      </c>
      <c r="AF54" s="1299">
        <f t="shared" si="209"/>
        <v>55.599999999999994</v>
      </c>
      <c r="AG54" s="309">
        <f t="shared" ref="AG54" si="210">AG55-AG53</f>
        <v>-41.381977896162795</v>
      </c>
      <c r="AH54" s="309">
        <f t="shared" si="206"/>
        <v>14.2180221038372</v>
      </c>
      <c r="AI54" s="309">
        <f t="shared" ref="AI54:AJ54" si="211">AI55-AI53</f>
        <v>27.348573263495041</v>
      </c>
      <c r="AJ54" s="309">
        <f t="shared" si="211"/>
        <v>-18.921932127367143</v>
      </c>
      <c r="AK54" s="309">
        <f t="shared" si="206"/>
        <v>8.4266411361278983</v>
      </c>
      <c r="AL54" s="309">
        <f t="shared" si="206"/>
        <v>28.967019329487641</v>
      </c>
      <c r="AM54" s="309">
        <f t="shared" si="206"/>
        <v>-20.178568706007951</v>
      </c>
      <c r="AN54" s="309">
        <f t="shared" ref="AN54:AP54" si="212">AN55-AN53</f>
        <v>8.7884506234796902</v>
      </c>
      <c r="AO54" s="309">
        <f t="shared" si="212"/>
        <v>30.196351362025808</v>
      </c>
      <c r="AP54" s="309">
        <f t="shared" si="212"/>
        <v>-21.027780961455278</v>
      </c>
      <c r="AQ54" s="309">
        <f t="shared" ref="AQ54" si="213">AQ55-AQ53</f>
        <v>9.1685704005705304</v>
      </c>
      <c r="AR54" s="23"/>
    </row>
    <row r="55" spans="1:44" outlineLevel="2">
      <c r="A55" s="30"/>
      <c r="B55" s="161" t="s">
        <v>381</v>
      </c>
      <c r="C55" s="288">
        <v>7.6989999999999998</v>
      </c>
      <c r="D55" s="288">
        <v>13.17</v>
      </c>
      <c r="E55" s="288">
        <v>19.852</v>
      </c>
      <c r="F55" s="288">
        <v>28.282</v>
      </c>
      <c r="G55" s="288">
        <v>45.177</v>
      </c>
      <c r="H55" s="288">
        <v>52.996000000000002</v>
      </c>
      <c r="I55" s="288">
        <v>60.268999999999998</v>
      </c>
      <c r="J55" s="288">
        <v>63.499000000000002</v>
      </c>
      <c r="K55" s="288">
        <v>58.253</v>
      </c>
      <c r="L55" s="288">
        <v>58.378</v>
      </c>
      <c r="M55" s="288">
        <v>64.245999999999995</v>
      </c>
      <c r="N55" s="288">
        <v>70.745000000000005</v>
      </c>
      <c r="O55" s="288">
        <v>81.48</v>
      </c>
      <c r="P55" s="288">
        <v>98.072999999999993</v>
      </c>
      <c r="Q55" s="288">
        <v>196.6</v>
      </c>
      <c r="R55" s="288">
        <v>204.7</v>
      </c>
      <c r="S55" s="288">
        <v>254.4</v>
      </c>
      <c r="T55" s="288">
        <v>220.3</v>
      </c>
      <c r="U55" s="288">
        <v>211.6</v>
      </c>
      <c r="V55" s="1153">
        <v>132.6</v>
      </c>
      <c r="W55" s="1153">
        <v>174.3</v>
      </c>
      <c r="X55" s="912">
        <f>Y55</f>
        <v>146.5</v>
      </c>
      <c r="Y55" s="1281">
        <v>146.5</v>
      </c>
      <c r="Z55" s="1399">
        <v>178.2</v>
      </c>
      <c r="AA55" s="912">
        <f>AB55</f>
        <v>135.1</v>
      </c>
      <c r="AB55" s="1561">
        <v>135.1</v>
      </c>
      <c r="AC55" s="1901">
        <v>205.2</v>
      </c>
      <c r="AD55" s="912">
        <f t="shared" ref="AD55" si="214">AE55</f>
        <v>186.5</v>
      </c>
      <c r="AE55" s="1561">
        <v>186.5</v>
      </c>
      <c r="AF55" s="1780">
        <v>242.1</v>
      </c>
      <c r="AG55" s="912">
        <f t="shared" ref="AG55" si="215">AH55</f>
        <v>200.7180221038372</v>
      </c>
      <c r="AH55" s="912">
        <f>AH56*'P&amp;L'!BT6</f>
        <v>200.7180221038372</v>
      </c>
      <c r="AI55" s="912">
        <f>AI56*'P&amp;L'!BU6</f>
        <v>228.06659536733224</v>
      </c>
      <c r="AJ55" s="912">
        <f t="shared" ref="AJ55" si="216">AK55</f>
        <v>209.1446632399651</v>
      </c>
      <c r="AK55" s="912">
        <f>AK56*'P&amp;L'!BW6</f>
        <v>209.1446632399651</v>
      </c>
      <c r="AL55" s="912">
        <f>AL56*'P&amp;L'!BX6</f>
        <v>238.11168256945274</v>
      </c>
      <c r="AM55" s="912">
        <f t="shared" ref="AM55" si="217">AN55</f>
        <v>217.93311386344479</v>
      </c>
      <c r="AN55" s="912">
        <f>AN56*'P&amp;L'!BZ6</f>
        <v>217.93311386344479</v>
      </c>
      <c r="AO55" s="912">
        <f>AO56*'P&amp;L'!CA6</f>
        <v>248.1294652254706</v>
      </c>
      <c r="AP55" s="912">
        <f t="shared" ref="AP55" si="218">AQ55</f>
        <v>227.10168426401532</v>
      </c>
      <c r="AQ55" s="912">
        <f>AQ56*'P&amp;L'!CC6</f>
        <v>227.10168426401532</v>
      </c>
      <c r="AR55" s="23"/>
    </row>
    <row r="56" spans="1:44" outlineLevel="1">
      <c r="A56" s="13"/>
      <c r="B56" s="859" t="s">
        <v>104</v>
      </c>
      <c r="C56" s="860">
        <f>C55/'P&amp;L'!C6</f>
        <v>2.1636432616240674E-2</v>
      </c>
      <c r="D56" s="860">
        <f>D55/'P&amp;L'!F6</f>
        <v>2.9114173097796649E-2</v>
      </c>
      <c r="E56" s="860">
        <f>E55/'P&amp;L'!I6</f>
        <v>2.860753693026661E-2</v>
      </c>
      <c r="F56" s="860">
        <f>F55/'P&amp;L'!L6</f>
        <v>2.9902063921185933E-2</v>
      </c>
      <c r="G56" s="860">
        <f>G55/'P&amp;L'!O6</f>
        <v>3.5243950673915642E-2</v>
      </c>
      <c r="H56" s="860">
        <f>H55/'P&amp;L'!R6</f>
        <v>2.8982305240615042E-2</v>
      </c>
      <c r="I56" s="860">
        <f>I55/'P&amp;L'!U6</f>
        <v>2.5896910795757767E-2</v>
      </c>
      <c r="J56" s="860">
        <f>J55/'P&amp;L'!X6</f>
        <v>2.3248465943206946E-2</v>
      </c>
      <c r="K56" s="860">
        <f>K55/'P&amp;L'!AA6</f>
        <v>1.9685035378860814E-2</v>
      </c>
      <c r="L56" s="860">
        <f>L55/'P&amp;L'!AD6</f>
        <v>1.866428458158343E-2</v>
      </c>
      <c r="M56" s="860">
        <f>M55/'P&amp;L'!AG6</f>
        <v>1.9419054527868455E-2</v>
      </c>
      <c r="N56" s="860">
        <f>N55/'P&amp;L'!AJ6</f>
        <v>2.0306994567674434E-2</v>
      </c>
      <c r="O56" s="860">
        <f>O55/'P&amp;L'!AM6</f>
        <v>2.2310231601451864E-2</v>
      </c>
      <c r="P56" s="860">
        <f>P55/'P&amp;L'!AP6</f>
        <v>2.4800560985842084E-2</v>
      </c>
      <c r="Q56" s="860">
        <f>Q55/'P&amp;L'!AS6</f>
        <v>3.4932480454868513E-2</v>
      </c>
      <c r="R56" s="860">
        <f>R55/'P&amp;L'!AV6</f>
        <v>2.9864464642633089E-2</v>
      </c>
      <c r="S56" s="860">
        <f>S55/'P&amp;L'!AY6</f>
        <v>3.5854720730624505E-2</v>
      </c>
      <c r="T56" s="860">
        <f>T55/'P&amp;L'!BB6</f>
        <v>2.7819520387932669E-2</v>
      </c>
      <c r="U56" s="860">
        <f>U55/'P&amp;L'!BE6</f>
        <v>2.3732349345565885E-2</v>
      </c>
      <c r="V56" s="860">
        <f>V55/'P&amp;L'!BH6</f>
        <v>1.4363084922010399E-2</v>
      </c>
      <c r="W56" s="860">
        <f>W55/'P&amp;L'!BI6*0.5</f>
        <v>1.6510372264847969E-2</v>
      </c>
      <c r="X56" s="860">
        <f>X55/'P&amp;L'!BJ6*0.5</f>
        <v>1.6847213597368845E-2</v>
      </c>
      <c r="Y56" s="860">
        <f>Y55/'P&amp;L'!BK6</f>
        <v>1.5218565611235768E-2</v>
      </c>
      <c r="Z56" s="215">
        <f>Z55/'P&amp;L'!BL6*0.5</f>
        <v>1.7260417272040446E-2</v>
      </c>
      <c r="AA56" s="860">
        <f>AA55/'P&amp;L'!BM6*0.5</f>
        <v>1.5247274450940118E-2</v>
      </c>
      <c r="AB56" s="860">
        <f>AB55/'P&amp;L'!BN6</f>
        <v>1.4084066552687544E-2</v>
      </c>
      <c r="AC56" s="215">
        <f>AC55/'P&amp;L'!BO6*0.5</f>
        <v>1.8093961625282168E-2</v>
      </c>
      <c r="AD56" s="860">
        <f>AD55/'P&amp;L'!BP6*0.5</f>
        <v>1.9091393006305787E-2</v>
      </c>
      <c r="AE56" s="860">
        <f>AE55/'P&amp;L'!BQ6</f>
        <v>1.7669685830143628E-2</v>
      </c>
      <c r="AF56" s="1781">
        <f>AF55/'P&amp;L'!BR6*0.5</f>
        <v>1.989219923422017E-2</v>
      </c>
      <c r="AG56" s="860">
        <f>AG55/'P&amp;L'!BS6*0.5</f>
        <v>1.9811474568886236E-2</v>
      </c>
      <c r="AH56" s="913">
        <v>1.7999999999999999E-2</v>
      </c>
      <c r="AI56" s="913">
        <f>AK56*2</f>
        <v>3.5999999999999997E-2</v>
      </c>
      <c r="AJ56" s="860">
        <f>AJ55/'P&amp;L'!BV6</f>
        <v>3.9581010285158827E-2</v>
      </c>
      <c r="AK56" s="913">
        <v>1.7999999999999999E-2</v>
      </c>
      <c r="AL56" s="913">
        <f>AN56*2</f>
        <v>3.5999999999999997E-2</v>
      </c>
      <c r="AM56" s="860">
        <f>AM55/'P&amp;L'!BY6</f>
        <v>3.9673384461722284E-2</v>
      </c>
      <c r="AN56" s="913">
        <v>1.7999999999999999E-2</v>
      </c>
      <c r="AO56" s="913">
        <f>AQ56*2</f>
        <v>3.5999999999999997E-2</v>
      </c>
      <c r="AP56" s="860">
        <f>AP55/'P&amp;L'!CB6</f>
        <v>3.9673439977021038E-2</v>
      </c>
      <c r="AQ56" s="913">
        <v>1.7999999999999999E-2</v>
      </c>
      <c r="AR56" s="136"/>
    </row>
    <row r="57" spans="1:44" outlineLevel="1">
      <c r="A57" s="13"/>
      <c r="B57" s="844" t="s">
        <v>105</v>
      </c>
      <c r="C57" s="861">
        <f>+(C53+C55)/2/'P&amp;L'!C6*360</f>
        <v>3.8945578709233213</v>
      </c>
      <c r="D57" s="861">
        <f>+(D53+D55)/2/'P&amp;L'!F6*360</f>
        <v>8.304104943661752</v>
      </c>
      <c r="E57" s="861">
        <f>+(E53+E55)/2/'P&amp;L'!I6*360</f>
        <v>8.5654873671180489</v>
      </c>
      <c r="F57" s="861">
        <f>+(F53+F55)/2/'P&amp;L'!L6*360</f>
        <v>9.1604225323819204</v>
      </c>
      <c r="G57" s="861">
        <f>+(G53+G55)/2/'P&amp;L'!O6*360</f>
        <v>10.315367710559144</v>
      </c>
      <c r="H57" s="861">
        <f>+(H53+H55)/2/'P&amp;L'!R6*360</f>
        <v>9.6639439472722852</v>
      </c>
      <c r="I57" s="861">
        <f>+(I53+I55)/2/'P&amp;L'!U6*360</f>
        <v>8.7603651666805593</v>
      </c>
      <c r="J57" s="861">
        <f>+(J53+J55)/2/'P&amp;L'!X6*360</f>
        <v>8.1565836298932375</v>
      </c>
      <c r="K57" s="861">
        <f>+(K53+K55)/2/'P&amp;L'!AA6*360</f>
        <v>7.4057067780281036</v>
      </c>
      <c r="L57" s="861">
        <f>+(L53+L55)/2/'P&amp;L'!AD6*360</f>
        <v>6.7119488763958728</v>
      </c>
      <c r="M57" s="861">
        <f>+(M53+M55)/2/'P&amp;L'!AG6*360</f>
        <v>6.6715995647442865</v>
      </c>
      <c r="N57" s="861">
        <f>+(N53+N55)/2/'P&amp;L'!AJ6*360</f>
        <v>6.9747271279000502</v>
      </c>
      <c r="O57" s="861">
        <f>+(O53+O55)/2/'P&amp;L'!AM6*360</f>
        <v>7.5025957412319819</v>
      </c>
      <c r="P57" s="861">
        <f>+(P53+P55)/2/'P&amp;L'!AP6*360</f>
        <v>8.1729193845845707</v>
      </c>
      <c r="Q57" s="861">
        <f>+(Q53+Q55)/2/'P&amp;L'!AS6*360</f>
        <v>9.4245095948827302</v>
      </c>
      <c r="R57" s="858">
        <f>+(R53+R55)/2/'P&amp;L'!AV6*360</f>
        <v>10.538494084005659</v>
      </c>
      <c r="S57" s="858">
        <f>+(S53+S55)/2/'P&amp;L'!AY6*360</f>
        <v>11.646864826011587</v>
      </c>
      <c r="T57" s="858">
        <f>+(T53+T55)/2/'P&amp;L'!BB6*360</f>
        <v>10.790134993496572</v>
      </c>
      <c r="U57" s="858">
        <f>+(U53+U55)/2/'P&amp;L'!BE6*360</f>
        <v>8.719283094626574</v>
      </c>
      <c r="V57" s="858">
        <f>+(V53+V55)/2/'P&amp;L'!BH6*360</f>
        <v>6.7110051993067588</v>
      </c>
      <c r="W57" s="36">
        <f>(W53+W55)*0.5/'P&amp;L'!BI6*180</f>
        <v>5.2327365728900253</v>
      </c>
      <c r="X57" s="858">
        <f>(X53+X55)*0.5/'P&amp;L'!BJ6*180</f>
        <v>6.6404471123990909</v>
      </c>
      <c r="Y57" s="858">
        <f>+(Y53+Y55)/2/'P&amp;L'!BK6*360</f>
        <v>5.2187733732236357</v>
      </c>
      <c r="Z57" s="36">
        <f>(Z53+Z55)*0.5/'P&amp;L'!BL6*180</f>
        <v>5.6610681699308412</v>
      </c>
      <c r="AA57" s="858">
        <f>(AA53+AA55)*0.5/'P&amp;L'!BM6*180</f>
        <v>6.3645802767306954</v>
      </c>
      <c r="AB57" s="858">
        <f>+(AB53+AB55)/2/'P&amp;L'!BN6*360</f>
        <v>5.2841833117884995</v>
      </c>
      <c r="AC57" s="36">
        <f>(AC53+AC55)*0.5/'P&amp;L'!BO6*180</f>
        <v>5.4012062641083514</v>
      </c>
      <c r="AD57" s="858">
        <f>(AD53+AD55)*0.5/'P&amp;L'!BP6*180</f>
        <v>7.2174678568503792</v>
      </c>
      <c r="AE57" s="858">
        <f>+(AE53+AE55)/2/'P&amp;L'!BQ6*360</f>
        <v>5.4845188918785768</v>
      </c>
      <c r="AF57" s="1660">
        <f>(AF53+AF55)*0.5/'P&amp;L'!BR6*180</f>
        <v>6.3388822243767775</v>
      </c>
      <c r="AG57" s="858">
        <f>(AG53+AG55)*0.5/'P&amp;L'!BS6*180</f>
        <v>7.8673455451993144</v>
      </c>
      <c r="AH57" s="858">
        <f>+(AH53+AH55)/2/'P&amp;L'!BT6*360</f>
        <v>6.2504920009992864</v>
      </c>
      <c r="AI57" s="858">
        <f>(AI53+AI55)*0.5/'P&amp;L'!BU6*180</f>
        <v>6.0914758619910705</v>
      </c>
      <c r="AJ57" s="858">
        <f>(AJ53+AJ55)*0.5/'P&amp;L'!BV6*180</f>
        <v>7.4468727769928842</v>
      </c>
      <c r="AK57" s="858">
        <f>+(AK53+AK55)/2/'P&amp;L'!BW6*360</f>
        <v>6.3494572605482702</v>
      </c>
      <c r="AL57" s="858">
        <f>(AL53+AL55)*0.5/'P&amp;L'!BX6*180</f>
        <v>6.0858440240530207</v>
      </c>
      <c r="AM57" s="858">
        <f>(AM53+AM55)*0.5/'P&amp;L'!BY6*180</f>
        <v>7.4718138046650173</v>
      </c>
      <c r="AN57" s="858">
        <f>+(AN53+AN55)/2/'P&amp;L'!BZ6*360</f>
        <v>6.3493425725201345</v>
      </c>
      <c r="AO57" s="858">
        <f>(AO53+AO55)*0.5/'P&amp;L'!CA6*180</f>
        <v>6.0857051171892795</v>
      </c>
      <c r="AP57" s="858">
        <f>(AP53+AP55)*0.5/'P&amp;L'!CB6*180</f>
        <v>7.4718287937956784</v>
      </c>
      <c r="AQ57" s="858">
        <f>+(AQ53+AQ55)/2/'P&amp;L'!CC6*360</f>
        <v>6.3491944174957604</v>
      </c>
      <c r="AR57" s="35"/>
    </row>
    <row r="58" spans="1:44" outlineLevel="2">
      <c r="A58" s="13"/>
      <c r="B58" s="857"/>
      <c r="C58" s="858"/>
      <c r="D58" s="858"/>
      <c r="E58" s="858"/>
      <c r="F58" s="858"/>
      <c r="G58" s="858"/>
      <c r="H58" s="858"/>
      <c r="I58" s="858"/>
      <c r="J58" s="858"/>
      <c r="K58" s="858"/>
      <c r="L58" s="858"/>
      <c r="M58" s="858"/>
      <c r="N58" s="858"/>
      <c r="O58" s="858"/>
      <c r="P58" s="858"/>
      <c r="Q58" s="858"/>
      <c r="R58" s="858"/>
      <c r="S58" s="858"/>
      <c r="T58" s="858"/>
      <c r="U58" s="858"/>
      <c r="V58" s="858"/>
      <c r="W58" s="36"/>
      <c r="X58" s="858"/>
      <c r="Y58" s="858"/>
      <c r="Z58" s="36"/>
      <c r="AA58" s="858"/>
      <c r="AB58" s="858"/>
      <c r="AC58" s="36"/>
      <c r="AD58" s="858"/>
      <c r="AE58" s="858"/>
      <c r="AF58" s="1660"/>
      <c r="AG58" s="858"/>
      <c r="AH58" s="858"/>
      <c r="AI58" s="858"/>
      <c r="AJ58" s="858"/>
      <c r="AK58" s="858"/>
      <c r="AL58" s="858"/>
      <c r="AM58" s="858"/>
      <c r="AN58" s="858"/>
      <c r="AO58" s="858"/>
      <c r="AP58" s="858"/>
      <c r="AQ58" s="858"/>
      <c r="AR58" s="36"/>
    </row>
    <row r="59" spans="1:44" outlineLevel="2">
      <c r="A59" s="13"/>
      <c r="B59" s="857" t="s">
        <v>67</v>
      </c>
      <c r="C59" s="858"/>
      <c r="D59" s="858"/>
      <c r="E59" s="858"/>
      <c r="F59" s="858"/>
      <c r="G59" s="858"/>
      <c r="H59" s="858"/>
      <c r="I59" s="858"/>
      <c r="J59" s="858"/>
      <c r="K59" s="858"/>
      <c r="L59" s="858"/>
      <c r="M59" s="858"/>
      <c r="N59" s="858"/>
      <c r="O59" s="858"/>
      <c r="P59" s="858"/>
      <c r="Q59" s="858"/>
      <c r="R59" s="858"/>
      <c r="S59" s="858"/>
      <c r="T59" s="858"/>
      <c r="U59" s="858"/>
      <c r="V59" s="858"/>
      <c r="W59" s="36"/>
      <c r="X59" s="858"/>
      <c r="Y59" s="858"/>
      <c r="Z59" s="36"/>
      <c r="AA59" s="858"/>
      <c r="AB59" s="858"/>
      <c r="AC59" s="36"/>
      <c r="AD59" s="858"/>
      <c r="AE59" s="858"/>
      <c r="AF59" s="1660"/>
      <c r="AG59" s="858"/>
      <c r="AH59" s="858"/>
      <c r="AI59" s="858"/>
      <c r="AJ59" s="858"/>
      <c r="AK59" s="858"/>
      <c r="AL59" s="858"/>
      <c r="AM59" s="858"/>
      <c r="AN59" s="858"/>
      <c r="AO59" s="858"/>
      <c r="AP59" s="858"/>
      <c r="AQ59" s="858"/>
      <c r="AR59" s="36"/>
    </row>
    <row r="60" spans="1:44" outlineLevel="2">
      <c r="A60" s="13"/>
      <c r="B60" s="844" t="s">
        <v>98</v>
      </c>
      <c r="C60" s="309"/>
      <c r="D60" s="309">
        <f t="shared" ref="D60:I60" si="219">C62</f>
        <v>49.073999999999998</v>
      </c>
      <c r="E60" s="309">
        <f t="shared" si="219"/>
        <v>70.349000000000004</v>
      </c>
      <c r="F60" s="309">
        <f>E62</f>
        <v>102.157</v>
      </c>
      <c r="G60" s="309">
        <f t="shared" si="219"/>
        <v>161.137</v>
      </c>
      <c r="H60" s="309">
        <f t="shared" si="219"/>
        <v>211.18899999999999</v>
      </c>
      <c r="I60" s="309">
        <f t="shared" si="219"/>
        <v>271.87799999999999</v>
      </c>
      <c r="J60" s="309">
        <f>I62</f>
        <v>324.51900000000001</v>
      </c>
      <c r="K60" s="309">
        <f>J62</f>
        <v>334.75400000000002</v>
      </c>
      <c r="L60" s="309">
        <f>K62</f>
        <v>406.93900000000002</v>
      </c>
      <c r="M60" s="309">
        <f t="shared" ref="M60:V60" si="220">+L62</f>
        <v>428.29</v>
      </c>
      <c r="N60" s="309">
        <f t="shared" si="220"/>
        <v>426</v>
      </c>
      <c r="O60" s="309">
        <f t="shared" si="220"/>
        <v>458.625</v>
      </c>
      <c r="P60" s="309">
        <f t="shared" si="220"/>
        <v>478.87099999999998</v>
      </c>
      <c r="Q60" s="309">
        <f t="shared" si="220"/>
        <v>546.43700000000001</v>
      </c>
      <c r="R60" s="309">
        <f t="shared" si="220"/>
        <v>859.9</v>
      </c>
      <c r="S60" s="309">
        <f t="shared" si="220"/>
        <v>891.1</v>
      </c>
      <c r="T60" s="309">
        <f t="shared" si="220"/>
        <v>886.7</v>
      </c>
      <c r="U60" s="309">
        <f t="shared" si="220"/>
        <v>739.3</v>
      </c>
      <c r="V60" s="309">
        <f t="shared" si="220"/>
        <v>938.8</v>
      </c>
      <c r="W60" s="309">
        <f>V62</f>
        <v>1135.3</v>
      </c>
      <c r="X60" s="309">
        <f>W62</f>
        <v>1211.4000000000001</v>
      </c>
      <c r="Y60" s="309">
        <f>+V62</f>
        <v>1135.3</v>
      </c>
      <c r="Z60" s="23">
        <f>Y62</f>
        <v>1040.9000000000001</v>
      </c>
      <c r="AA60" s="309">
        <f>Z62</f>
        <v>1163.8</v>
      </c>
      <c r="AB60" s="309">
        <f>+Y62</f>
        <v>1040.9000000000001</v>
      </c>
      <c r="AC60" s="23">
        <f>AB62</f>
        <v>1093.5999999999999</v>
      </c>
      <c r="AD60" s="309">
        <f>AC62</f>
        <v>1320.4</v>
      </c>
      <c r="AE60" s="309">
        <f>+AB62</f>
        <v>1093.5999999999999</v>
      </c>
      <c r="AF60" s="1299">
        <f>AE62</f>
        <v>1298.5</v>
      </c>
      <c r="AG60" s="309">
        <f t="shared" ref="AG60" si="221">AF62</f>
        <v>1408.9</v>
      </c>
      <c r="AH60" s="309">
        <f t="shared" ref="AH60" si="222">+AE62</f>
        <v>1298.5</v>
      </c>
      <c r="AI60" s="309">
        <f t="shared" ref="AI60:AJ60" si="223">AH62</f>
        <v>1340.3755921073844</v>
      </c>
      <c r="AJ60" s="309">
        <f t="shared" si="223"/>
        <v>1529.8796689828839</v>
      </c>
      <c r="AK60" s="309">
        <f t="shared" ref="AK60" si="224">+AH62</f>
        <v>1340.3755921073844</v>
      </c>
      <c r="AL60" s="309">
        <f t="shared" ref="AL60" si="225">AK62</f>
        <v>1400.4814190122436</v>
      </c>
      <c r="AM60" s="309">
        <f t="shared" ref="AM60" si="226">AL62</f>
        <v>1597.4998250626268</v>
      </c>
      <c r="AN60" s="309">
        <f t="shared" ref="AN60" si="227">+AK62</f>
        <v>1400.4814190122436</v>
      </c>
      <c r="AO60" s="309">
        <f t="shared" ref="AO60" si="228">AN62</f>
        <v>1459.3777749656883</v>
      </c>
      <c r="AP60" s="309">
        <f t="shared" ref="AP60" si="229">AO62</f>
        <v>1664.7483567892591</v>
      </c>
      <c r="AQ60" s="309">
        <f t="shared" ref="AQ60" si="230">+AN62</f>
        <v>1459.3777749656883</v>
      </c>
      <c r="AR60" s="23"/>
    </row>
    <row r="61" spans="1:44" outlineLevel="2">
      <c r="A61" s="13"/>
      <c r="B61" s="844" t="s">
        <v>99</v>
      </c>
      <c r="C61" s="309"/>
      <c r="D61" s="309">
        <f t="shared" ref="D61:N61" si="231">+D62-D60</f>
        <v>21.275000000000006</v>
      </c>
      <c r="E61" s="309">
        <f t="shared" si="231"/>
        <v>31.807999999999993</v>
      </c>
      <c r="F61" s="309">
        <f t="shared" si="231"/>
        <v>58.980000000000004</v>
      </c>
      <c r="G61" s="309">
        <f t="shared" si="231"/>
        <v>50.051999999999992</v>
      </c>
      <c r="H61" s="309">
        <f t="shared" si="231"/>
        <v>60.688999999999993</v>
      </c>
      <c r="I61" s="309">
        <f t="shared" si="231"/>
        <v>52.64100000000002</v>
      </c>
      <c r="J61" s="309">
        <f t="shared" si="231"/>
        <v>10.235000000000014</v>
      </c>
      <c r="K61" s="309">
        <f t="shared" si="231"/>
        <v>72.185000000000002</v>
      </c>
      <c r="L61" s="309">
        <f t="shared" si="231"/>
        <v>21.350999999999999</v>
      </c>
      <c r="M61" s="309">
        <f t="shared" si="231"/>
        <v>-2.2900000000000205</v>
      </c>
      <c r="N61" s="309">
        <f t="shared" si="231"/>
        <v>32.625</v>
      </c>
      <c r="O61" s="309">
        <f t="shared" ref="O61:AG61" si="232">+O62-O60</f>
        <v>20.245999999999981</v>
      </c>
      <c r="P61" s="309">
        <f t="shared" si="232"/>
        <v>67.566000000000031</v>
      </c>
      <c r="Q61" s="309">
        <f t="shared" si="232"/>
        <v>313.46299999999997</v>
      </c>
      <c r="R61" s="309">
        <f t="shared" si="232"/>
        <v>31.200000000000045</v>
      </c>
      <c r="S61" s="309">
        <f t="shared" si="232"/>
        <v>-4.3999999999999773</v>
      </c>
      <c r="T61" s="309">
        <f t="shared" si="232"/>
        <v>-147.40000000000009</v>
      </c>
      <c r="U61" s="309">
        <f t="shared" si="232"/>
        <v>199.5</v>
      </c>
      <c r="V61" s="309">
        <f>+V62-V60</f>
        <v>196.5</v>
      </c>
      <c r="W61" s="309">
        <f t="shared" ref="W61:X61" si="233">+W62-W60</f>
        <v>76.100000000000136</v>
      </c>
      <c r="X61" s="309">
        <f t="shared" si="233"/>
        <v>-170.5</v>
      </c>
      <c r="Y61" s="309">
        <f t="shared" si="232"/>
        <v>-94.399999999999864</v>
      </c>
      <c r="Z61" s="23">
        <f t="shared" si="232"/>
        <v>122.89999999999986</v>
      </c>
      <c r="AA61" s="309">
        <f t="shared" si="232"/>
        <v>-70.200000000000045</v>
      </c>
      <c r="AB61" s="309">
        <f t="shared" ref="AB61:AC61" si="234">+AB62-AB60</f>
        <v>52.699999999999818</v>
      </c>
      <c r="AC61" s="23">
        <f t="shared" si="234"/>
        <v>226.80000000000018</v>
      </c>
      <c r="AD61" s="309">
        <f t="shared" si="232"/>
        <v>-21.900000000000091</v>
      </c>
      <c r="AE61" s="309">
        <f t="shared" si="232"/>
        <v>204.90000000000009</v>
      </c>
      <c r="AF61" s="1299">
        <f t="shared" si="232"/>
        <v>110.40000000000009</v>
      </c>
      <c r="AG61" s="309">
        <f t="shared" si="232"/>
        <v>-68.524407892615727</v>
      </c>
      <c r="AH61" s="309">
        <f>+AH62-AH60</f>
        <v>41.875592107384364</v>
      </c>
      <c r="AI61" s="309">
        <f t="shared" ref="AI61:AJ61" si="235">+AI62-AI60</f>
        <v>189.50407687549955</v>
      </c>
      <c r="AJ61" s="309">
        <f t="shared" si="235"/>
        <v>-129.39824997064034</v>
      </c>
      <c r="AK61" s="309">
        <f>+AK62-AK60</f>
        <v>60.105826904859214</v>
      </c>
      <c r="AL61" s="309">
        <f t="shared" ref="AL61:AM61" si="236">+AL62-AL60</f>
        <v>197.01840605038319</v>
      </c>
      <c r="AM61" s="309">
        <f t="shared" si="236"/>
        <v>-138.12205009693844</v>
      </c>
      <c r="AN61" s="309">
        <f>+AN62-AN60</f>
        <v>58.896355953444754</v>
      </c>
      <c r="AO61" s="309">
        <f t="shared" ref="AO61:AP61" si="237">+AO62-AO60</f>
        <v>205.37058182357077</v>
      </c>
      <c r="AP61" s="309">
        <f t="shared" si="237"/>
        <v>-143.84125541156823</v>
      </c>
      <c r="AQ61" s="309">
        <f>+AQ62-AQ60</f>
        <v>61.529326412002547</v>
      </c>
      <c r="AR61" s="23"/>
    </row>
    <row r="62" spans="1:44" outlineLevel="2">
      <c r="A62" s="30"/>
      <c r="B62" s="161" t="s">
        <v>100</v>
      </c>
      <c r="C62" s="288">
        <v>49.073999999999998</v>
      </c>
      <c r="D62" s="288">
        <v>70.349000000000004</v>
      </c>
      <c r="E62" s="288">
        <v>102.157</v>
      </c>
      <c r="F62" s="288">
        <v>161.137</v>
      </c>
      <c r="G62" s="288">
        <v>211.18899999999999</v>
      </c>
      <c r="H62" s="288">
        <v>271.87799999999999</v>
      </c>
      <c r="I62" s="288">
        <v>324.51900000000001</v>
      </c>
      <c r="J62" s="288">
        <v>334.75400000000002</v>
      </c>
      <c r="K62" s="288">
        <v>406.93900000000002</v>
      </c>
      <c r="L62" s="288">
        <v>428.29</v>
      </c>
      <c r="M62" s="288">
        <v>426</v>
      </c>
      <c r="N62" s="288">
        <v>458.625</v>
      </c>
      <c r="O62" s="288">
        <v>478.87099999999998</v>
      </c>
      <c r="P62" s="288">
        <v>546.43700000000001</v>
      </c>
      <c r="Q62" s="288">
        <v>859.9</v>
      </c>
      <c r="R62" s="288">
        <v>891.1</v>
      </c>
      <c r="S62" s="288">
        <v>886.7</v>
      </c>
      <c r="T62" s="288">
        <v>739.3</v>
      </c>
      <c r="U62" s="288">
        <v>938.8</v>
      </c>
      <c r="V62" s="1153">
        <v>1135.3</v>
      </c>
      <c r="W62" s="1153">
        <v>1211.4000000000001</v>
      </c>
      <c r="X62" s="879">
        <f>Y62</f>
        <v>1040.9000000000001</v>
      </c>
      <c r="Y62" s="1281">
        <v>1040.9000000000001</v>
      </c>
      <c r="Z62" s="1399">
        <v>1163.8</v>
      </c>
      <c r="AA62" s="879">
        <f>AB62</f>
        <v>1093.5999999999999</v>
      </c>
      <c r="AB62" s="1561">
        <v>1093.5999999999999</v>
      </c>
      <c r="AC62" s="1901">
        <v>1320.4</v>
      </c>
      <c r="AD62" s="879">
        <f>AE62</f>
        <v>1298.5</v>
      </c>
      <c r="AE62" s="1561">
        <v>1298.5</v>
      </c>
      <c r="AF62" s="1782">
        <v>1408.9</v>
      </c>
      <c r="AG62" s="879">
        <f>AH62</f>
        <v>1340.3755921073844</v>
      </c>
      <c r="AH62" s="879">
        <f>AH63*-'P&amp;L'!BT10</f>
        <v>1340.3755921073844</v>
      </c>
      <c r="AI62" s="879">
        <f>AI63*-'P&amp;L'!BU10</f>
        <v>1529.8796689828839</v>
      </c>
      <c r="AJ62" s="879">
        <f>AK62</f>
        <v>1400.4814190122436</v>
      </c>
      <c r="AK62" s="879">
        <f>AK63*-'P&amp;L'!BW10</f>
        <v>1400.4814190122436</v>
      </c>
      <c r="AL62" s="879">
        <f>AL63*-'P&amp;L'!BX10</f>
        <v>1597.4998250626268</v>
      </c>
      <c r="AM62" s="879">
        <f>AN62</f>
        <v>1459.3777749656883</v>
      </c>
      <c r="AN62" s="879">
        <f>AN63*-'P&amp;L'!BZ10</f>
        <v>1459.3777749656883</v>
      </c>
      <c r="AO62" s="879">
        <f>AO63*-'P&amp;L'!CA10</f>
        <v>1664.7483567892591</v>
      </c>
      <c r="AP62" s="879">
        <f>AQ62</f>
        <v>1520.9071013776909</v>
      </c>
      <c r="AQ62" s="879">
        <f>AQ63*-'P&amp;L'!CC10</f>
        <v>1520.9071013776909</v>
      </c>
      <c r="AR62" s="23"/>
    </row>
    <row r="63" spans="1:44" outlineLevel="1">
      <c r="A63" s="13"/>
      <c r="B63" s="859" t="s">
        <v>101</v>
      </c>
      <c r="C63" s="860">
        <f>-BS!C62/'P&amp;L'!C10</f>
        <v>0.17786814835756304</v>
      </c>
      <c r="D63" s="860">
        <f>-BS!D62/'P&amp;L'!F10</f>
        <v>0.20307371666267346</v>
      </c>
      <c r="E63" s="860">
        <f>-BS!E62/'P&amp;L'!I10</f>
        <v>0.19085419850465754</v>
      </c>
      <c r="F63" s="860">
        <f>-BS!F62/'P&amp;L'!L10</f>
        <v>0.21971379679436048</v>
      </c>
      <c r="G63" s="860">
        <f>-BS!G62/'P&amp;L'!O10</f>
        <v>0.21151091961966112</v>
      </c>
      <c r="H63" s="860">
        <f>-BS!H62/'P&amp;L'!R10</f>
        <v>0.1902744330671795</v>
      </c>
      <c r="I63" s="860">
        <f>-BS!I62/'P&amp;L'!U10</f>
        <v>0.17794782513331597</v>
      </c>
      <c r="J63" s="860">
        <f>-BS!J62/'P&amp;L'!X10</f>
        <v>0.15663629276856664</v>
      </c>
      <c r="K63" s="860">
        <f>-BS!K62/'P&amp;L'!AA10</f>
        <v>0.17637602590819096</v>
      </c>
      <c r="L63" s="860">
        <f>-BS!L62/'P&amp;L'!AD10</f>
        <v>0.17353994915642948</v>
      </c>
      <c r="M63" s="860">
        <f>-BS!M62/'P&amp;L'!AG10</f>
        <v>0.16408635101999311</v>
      </c>
      <c r="N63" s="860">
        <f>-BS!N62/'P&amp;L'!AJ10</f>
        <v>0.16813036468296361</v>
      </c>
      <c r="O63" s="860">
        <f>-BS!O62/'P&amp;L'!AM10</f>
        <v>0.16779629718527353</v>
      </c>
      <c r="P63" s="860">
        <f>-BS!P62/'P&amp;L'!AP10</f>
        <v>0.17689432283423528</v>
      </c>
      <c r="Q63" s="860">
        <f>-BS!Q62/'P&amp;L'!AS10</f>
        <v>0.19554017943871113</v>
      </c>
      <c r="R63" s="860">
        <f>-BS!R62/'P&amp;L'!AV10</f>
        <v>0.16550891530460624</v>
      </c>
      <c r="S63" s="860">
        <f>-BS!S62/'P&amp;L'!AY10</f>
        <v>0.15921782693792533</v>
      </c>
      <c r="T63" s="860">
        <f>-BS!T62/'P&amp;L'!BB10</f>
        <v>0.11876686801182368</v>
      </c>
      <c r="U63" s="860">
        <f>-BS!U62/'P&amp;L'!BE10</f>
        <v>0.13529521970341118</v>
      </c>
      <c r="V63" s="860">
        <f>-BS!V62/'P&amp;L'!BH10</f>
        <v>0.15874769282398343</v>
      </c>
      <c r="W63" s="860">
        <f>-BS!W62/'P&amp;L'!BI10*0.5</f>
        <v>0.14857605416145414</v>
      </c>
      <c r="X63" s="860">
        <f>-X62/'P&amp;L'!BJ10/2</f>
        <v>0.15456462342599195</v>
      </c>
      <c r="Y63" s="860">
        <f>-BS!Y62/'P&amp;L'!BK10</f>
        <v>0.13983261462405461</v>
      </c>
      <c r="Z63" s="215">
        <f>-BS!Z62/'P&amp;L'!BL10*0.5</f>
        <v>0.14492067840510048</v>
      </c>
      <c r="AA63" s="860">
        <f>-AA62/'P&amp;L'!BM10/2</f>
        <v>0.15910611924229642</v>
      </c>
      <c r="AB63" s="860">
        <f>-BS!AB62/'P&amp;L'!BN10</f>
        <v>0.14675254965110035</v>
      </c>
      <c r="AC63" s="215">
        <f>-BS!AC62/'P&amp;L'!BO10*0.5</f>
        <v>0.14949504098546262</v>
      </c>
      <c r="AD63" s="860">
        <f>-AD62/'P&amp;L'!BP10</f>
        <v>0.34368217669789841</v>
      </c>
      <c r="AE63" s="860">
        <f>-BS!AE62/'P&amp;L'!BQ10</f>
        <v>0.1584618764033974</v>
      </c>
      <c r="AF63" s="1781">
        <f>-BS!AF62/'P&amp;L'!BR10*0.5</f>
        <v>0.1489984982761903</v>
      </c>
      <c r="AG63" s="860">
        <f>-AG62/'P&amp;L'!BS10</f>
        <v>0.34196007459389688</v>
      </c>
      <c r="AH63" s="913">
        <v>0.155</v>
      </c>
      <c r="AI63" s="913">
        <f>AK63*2</f>
        <v>0.31</v>
      </c>
      <c r="AJ63" s="860">
        <f>-AJ62/'P&amp;L'!BV10</f>
        <v>0.3415584837152269</v>
      </c>
      <c r="AK63" s="913">
        <v>0.155</v>
      </c>
      <c r="AL63" s="913">
        <f>AN63*2</f>
        <v>0.31</v>
      </c>
      <c r="AM63" s="860">
        <f>-AM62/'P&amp;L'!BY10</f>
        <v>0.34240692526369504</v>
      </c>
      <c r="AN63" s="913">
        <v>0.155</v>
      </c>
      <c r="AO63" s="913">
        <f>AQ63*2</f>
        <v>0.31</v>
      </c>
      <c r="AP63" s="860">
        <f>-AP62/'P&amp;L'!CB10</f>
        <v>0.34238101453769071</v>
      </c>
      <c r="AQ63" s="913">
        <f>+AN63</f>
        <v>0.155</v>
      </c>
      <c r="AR63" s="136"/>
    </row>
    <row r="64" spans="1:44" outlineLevel="1">
      <c r="A64" s="13"/>
      <c r="B64" s="844" t="s">
        <v>102</v>
      </c>
      <c r="C64" s="862">
        <f>-'P&amp;L'!C10/((C60+C62)/2)</f>
        <v>11.244284142315687</v>
      </c>
      <c r="D64" s="862">
        <f>-'P&amp;L'!F10/((D60+D62)/2)</f>
        <v>5.8015792602764957</v>
      </c>
      <c r="E64" s="862">
        <f>-'P&amp;L'!I10/((E60+E62)/2)</f>
        <v>6.2057203807403791</v>
      </c>
      <c r="F64" s="862">
        <f>-'P&amp;L'!L10/((F60+F62)/2)</f>
        <v>5.5709207198037181</v>
      </c>
      <c r="G64" s="862">
        <f>-'P&amp;L'!O10/((G60+G62)/2)</f>
        <v>5.3634610529482218</v>
      </c>
      <c r="H64" s="862">
        <f>-'P&amp;L'!R10/((H60+H62)/2)</f>
        <v>5.91583776163555</v>
      </c>
      <c r="I64" s="862">
        <f>-'P&amp;L'!U10/((I60+I62)/2)</f>
        <v>6.115641091420648</v>
      </c>
      <c r="J64" s="862">
        <f>-'P&amp;L'!X10/((J60+J62)/2)</f>
        <v>6.4833293643149341</v>
      </c>
      <c r="K64" s="862">
        <f>-'P&amp;L'!AA10/((K60+K62)/2)</f>
        <v>6.2215067420078123</v>
      </c>
      <c r="L64" s="862">
        <f>-'P&amp;L'!AD10/((L60+L62)/2)</f>
        <v>5.909665492936667</v>
      </c>
      <c r="M64" s="862">
        <f>-'P&amp;L'!AG10/((M60+M62)/2)</f>
        <v>6.0780156621287853</v>
      </c>
      <c r="N64" s="862">
        <f>-'P&amp;L'!AJ10/((N60+N62)/2)</f>
        <v>6.1671194008760768</v>
      </c>
      <c r="O64" s="862">
        <f>-'P&amp;L'!AM10/((O60+O62)/2)</f>
        <v>6.0883097101214299</v>
      </c>
      <c r="P64" s="862">
        <f>-'P&amp;L'!AP10/((P60+P62)/2)</f>
        <v>6.02562156932356</v>
      </c>
      <c r="Q64" s="862">
        <f>-'P&amp;L'!AS10/((Q60+Q62)/2)</f>
        <v>6.2539230355170909</v>
      </c>
      <c r="R64" s="862">
        <f>-'P&amp;L'!AV10/((R60+R62)/2)</f>
        <v>6.1496287835522558</v>
      </c>
      <c r="S64" s="862">
        <f>-'P&amp;L'!AY10/((S60+S62)/2)</f>
        <v>6.2651591855101811</v>
      </c>
      <c r="T64" s="862">
        <f>-'P&amp;L'!BB10/((T60+T62)/2)</f>
        <v>7.6565805658056574</v>
      </c>
      <c r="U64" s="862">
        <f>-'P&amp;L'!BE10/((U60+U62)/2)</f>
        <v>8.2699481556522265</v>
      </c>
      <c r="V64" s="862">
        <f>-'P&amp;L'!BH10/((V60+V62)/2)</f>
        <v>6.8960995130418024</v>
      </c>
      <c r="W64" s="862">
        <f>-'P&amp;L'!BI10/((BS!W60+BS!W62)/2)*2</f>
        <v>6.9488217496910556</v>
      </c>
      <c r="X64" s="862">
        <f>-'P&amp;L'!BJ10/((BS!X60+BS!X62)/2)*2</f>
        <v>5.9800204235670193</v>
      </c>
      <c r="Y64" s="862">
        <f>-'P&amp;L'!BK10/((Y60+Y62)/2)</f>
        <v>6.8411910669975189</v>
      </c>
      <c r="Z64" s="46">
        <f>-'P&amp;L'!BL10/((BS!Z60+BS!Z62)/2)*2</f>
        <v>7.2849820837302133</v>
      </c>
      <c r="AA64" s="862">
        <f>-'P&amp;L'!BM10/((BS!AA60+BS!AA62)/2)*2</f>
        <v>6.0896606715690611</v>
      </c>
      <c r="AB64" s="862">
        <f>-'P&amp;L'!BN10/((AB60+AB62)/2)</f>
        <v>6.9824314827828529</v>
      </c>
      <c r="AC64" s="46">
        <f>-'P&amp;L'!BO10/((BS!AC60+BS!AC62)/2)*2</f>
        <v>7.3176470588235292</v>
      </c>
      <c r="AD64" s="862">
        <f>-'P&amp;L'!BP10/((BS!AD60+BS!AD62)/2)*2</f>
        <v>5.7706670739623513</v>
      </c>
      <c r="AE64" s="862">
        <f>-'P&amp;L'!BQ10/((AE60+AE62)/2)</f>
        <v>6.8512185945403639</v>
      </c>
      <c r="AF64" s="1783">
        <f>-'P&amp;L'!BR10/((BS!AF60+BS!AF62)/2)*2</f>
        <v>6.9851518061608919</v>
      </c>
      <c r="AG64" s="862">
        <f>-'P&amp;L'!BS10/((BS!AG60+BS!AG62)/2)*2</f>
        <v>5.7028614758906722</v>
      </c>
      <c r="AH64" s="862">
        <f>-'P&amp;L'!BT10/((AH60+AH62)/2)</f>
        <v>6.553991776704442</v>
      </c>
      <c r="AI64" s="862">
        <f>-'P&amp;L'!BU10/((BS!AI60+BS!AI62)/2)*2</f>
        <v>6.8775704701912819</v>
      </c>
      <c r="AJ64" s="862">
        <f>-'P&amp;L'!BV10/((BS!AJ60+BS!AJ62)/2)*2</f>
        <v>5.5969461293062279</v>
      </c>
      <c r="AK64" s="862">
        <f>-'P&amp;L'!BW10/((AK60+AK62)/2)</f>
        <v>6.5930940264092595</v>
      </c>
      <c r="AL64" s="862">
        <f>-'P&amp;L'!BX10/((BS!AL60+BS!AL62)/2)*2</f>
        <v>6.8755937046933866</v>
      </c>
      <c r="AM64" s="862">
        <f>-'P&amp;L'!BY10/((BS!AM60+BS!AM62)/2)*2</f>
        <v>5.5770832845549574</v>
      </c>
      <c r="AN64" s="862">
        <f>-'P&amp;L'!BZ10/((AN60+AN62)/2)</f>
        <v>6.5844783571692567</v>
      </c>
      <c r="AO64" s="862">
        <f>-'P&amp;L'!CA10/((BS!AO60+BS!AO62)/2)*2</f>
        <v>6.8757223788863335</v>
      </c>
      <c r="AP64" s="862">
        <f>-'P&amp;L'!CB10/((BS!AP60+BS!AP62)/2)*2</f>
        <v>5.5776877927273931</v>
      </c>
      <c r="AQ64" s="862">
        <f>-'P&amp;L'!CC10/((AQ60+AQ62)/2)</f>
        <v>6.5848093635230907</v>
      </c>
      <c r="AR64" s="46"/>
    </row>
    <row r="65" spans="1:44" outlineLevel="1">
      <c r="A65" s="13"/>
      <c r="B65" s="844"/>
      <c r="C65" s="858"/>
      <c r="D65" s="858"/>
      <c r="E65" s="858"/>
      <c r="F65" s="858"/>
      <c r="G65" s="858"/>
      <c r="H65" s="858"/>
      <c r="I65" s="858"/>
      <c r="J65" s="858"/>
      <c r="K65" s="858"/>
      <c r="L65" s="858"/>
      <c r="M65" s="858"/>
      <c r="N65" s="858"/>
      <c r="O65" s="858"/>
      <c r="P65" s="858"/>
      <c r="Q65" s="858"/>
      <c r="R65" s="858"/>
      <c r="S65" s="858"/>
      <c r="T65" s="858"/>
      <c r="U65" s="858"/>
      <c r="V65" s="858"/>
      <c r="W65" s="858"/>
      <c r="X65" s="858"/>
      <c r="Y65" s="858"/>
      <c r="Z65" s="36"/>
      <c r="AA65" s="858"/>
      <c r="AB65" s="858"/>
      <c r="AC65" s="36"/>
      <c r="AD65" s="858"/>
      <c r="AE65" s="858"/>
      <c r="AF65" s="1660"/>
      <c r="AG65" s="858"/>
      <c r="AH65" s="858"/>
      <c r="AI65" s="858"/>
      <c r="AJ65" s="858"/>
      <c r="AK65" s="858"/>
      <c r="AL65" s="858"/>
      <c r="AM65" s="858"/>
      <c r="AN65" s="858"/>
      <c r="AO65" s="858"/>
      <c r="AP65" s="858"/>
      <c r="AQ65" s="858"/>
      <c r="AR65" s="36"/>
    </row>
    <row r="66" spans="1:44" outlineLevel="1">
      <c r="A66" s="13"/>
      <c r="B66" s="857" t="s">
        <v>74</v>
      </c>
      <c r="C66" s="309"/>
      <c r="D66" s="309"/>
      <c r="E66" s="309"/>
      <c r="F66" s="309"/>
      <c r="G66" s="309"/>
      <c r="H66" s="309"/>
      <c r="I66" s="309"/>
      <c r="J66" s="309"/>
      <c r="K66" s="309"/>
      <c r="L66" s="309"/>
      <c r="M66" s="309"/>
      <c r="N66" s="309"/>
      <c r="O66" s="309"/>
      <c r="P66" s="309"/>
      <c r="Q66" s="309"/>
      <c r="R66" s="309"/>
      <c r="S66" s="309"/>
      <c r="T66" s="309"/>
      <c r="U66" s="309"/>
      <c r="V66" s="309"/>
      <c r="W66" s="309"/>
      <c r="X66" s="309"/>
      <c r="Y66" s="309"/>
      <c r="Z66" s="23"/>
      <c r="AA66" s="309"/>
      <c r="AB66" s="309"/>
      <c r="AC66" s="23"/>
      <c r="AD66" s="309"/>
      <c r="AE66" s="309"/>
      <c r="AF66" s="1299"/>
      <c r="AG66" s="309"/>
      <c r="AH66" s="309"/>
      <c r="AI66" s="309"/>
      <c r="AJ66" s="309"/>
      <c r="AK66" s="309"/>
      <c r="AL66" s="309"/>
      <c r="AM66" s="309"/>
      <c r="AN66" s="309"/>
      <c r="AO66" s="309"/>
      <c r="AP66" s="309"/>
      <c r="AQ66" s="309"/>
      <c r="AR66" s="23"/>
    </row>
    <row r="67" spans="1:44" outlineLevel="1">
      <c r="A67" s="13"/>
      <c r="B67" s="844" t="s">
        <v>98</v>
      </c>
      <c r="C67" s="309"/>
      <c r="D67" s="309">
        <f t="shared" ref="D67:N67" si="238">+C69</f>
        <v>46.917999999999999</v>
      </c>
      <c r="E67" s="309">
        <f t="shared" si="238"/>
        <v>68.962000000000003</v>
      </c>
      <c r="F67" s="309">
        <f t="shared" si="238"/>
        <v>78.183000000000007</v>
      </c>
      <c r="G67" s="309">
        <f t="shared" si="238"/>
        <v>122.762</v>
      </c>
      <c r="H67" s="309">
        <f t="shared" si="238"/>
        <v>185.387</v>
      </c>
      <c r="I67" s="309">
        <f t="shared" si="238"/>
        <v>206.10400000000001</v>
      </c>
      <c r="J67" s="309">
        <f t="shared" si="238"/>
        <v>273.95</v>
      </c>
      <c r="K67" s="309">
        <f t="shared" si="238"/>
        <v>289.505</v>
      </c>
      <c r="L67" s="309">
        <f t="shared" si="238"/>
        <v>301.60199999999998</v>
      </c>
      <c r="M67" s="309">
        <f t="shared" si="238"/>
        <v>400.803</v>
      </c>
      <c r="N67" s="309">
        <f t="shared" si="238"/>
        <v>387.02</v>
      </c>
      <c r="O67" s="309">
        <f t="shared" ref="O67:V67" si="239">+N69</f>
        <v>302.97899999999998</v>
      </c>
      <c r="P67" s="309">
        <f t="shared" si="239"/>
        <v>325.60399999999998</v>
      </c>
      <c r="Q67" s="309">
        <f t="shared" si="239"/>
        <v>384.928</v>
      </c>
      <c r="R67" s="309">
        <f t="shared" si="239"/>
        <v>647.79999999999995</v>
      </c>
      <c r="S67" s="309">
        <f t="shared" si="239"/>
        <v>665.3</v>
      </c>
      <c r="T67" s="309">
        <f t="shared" si="239"/>
        <v>672.7</v>
      </c>
      <c r="U67" s="309">
        <f t="shared" si="239"/>
        <v>854.1</v>
      </c>
      <c r="V67" s="309">
        <f t="shared" si="239"/>
        <v>777.4</v>
      </c>
      <c r="W67" s="309">
        <f>V69</f>
        <v>721.6</v>
      </c>
      <c r="X67" s="309">
        <f>W69</f>
        <v>1048.4000000000001</v>
      </c>
      <c r="Y67" s="309">
        <f>+V69</f>
        <v>721.6</v>
      </c>
      <c r="Z67" s="23">
        <f>Y69</f>
        <v>660.5</v>
      </c>
      <c r="AA67" s="309">
        <f>Z69</f>
        <v>1004.6</v>
      </c>
      <c r="AB67" s="309">
        <f>+Y69</f>
        <v>660.5</v>
      </c>
      <c r="AC67" s="23">
        <f>AB69</f>
        <v>720.8</v>
      </c>
      <c r="AD67" s="309">
        <f>AC69</f>
        <v>1165.5999999999999</v>
      </c>
      <c r="AE67" s="309">
        <f>+AB69</f>
        <v>720.8</v>
      </c>
      <c r="AF67" s="1299">
        <f>AE69</f>
        <v>885.9</v>
      </c>
      <c r="AG67" s="309">
        <f>AF69</f>
        <v>1193.5999999999999</v>
      </c>
      <c r="AH67" s="309">
        <f>+AE69</f>
        <v>885.9</v>
      </c>
      <c r="AI67" s="309">
        <f>AH69</f>
        <v>907.99636884693768</v>
      </c>
      <c r="AJ67" s="309">
        <f>AI69</f>
        <v>1036.3700983432439</v>
      </c>
      <c r="AK67" s="309">
        <f>+AH69</f>
        <v>907.99636884693768</v>
      </c>
      <c r="AL67" s="309">
        <f>AK69</f>
        <v>948.71321933087461</v>
      </c>
      <c r="AM67" s="309">
        <f>AL69</f>
        <v>1082.1773008488763</v>
      </c>
      <c r="AN67" s="309">
        <f>+AK69</f>
        <v>948.71321933087461</v>
      </c>
      <c r="AO67" s="309">
        <f>AN69</f>
        <v>988.61075078320823</v>
      </c>
      <c r="AP67" s="309">
        <f>AO69</f>
        <v>1127.7327578249819</v>
      </c>
      <c r="AQ67" s="309">
        <f>+AN69</f>
        <v>988.61075078320823</v>
      </c>
      <c r="AR67" s="23"/>
    </row>
    <row r="68" spans="1:44" outlineLevel="1">
      <c r="A68" s="13"/>
      <c r="B68" s="844" t="s">
        <v>103</v>
      </c>
      <c r="C68" s="309"/>
      <c r="D68" s="309">
        <f t="shared" ref="D68:O68" si="240">+D69-D67</f>
        <v>22.044000000000004</v>
      </c>
      <c r="E68" s="309">
        <f t="shared" si="240"/>
        <v>9.2210000000000036</v>
      </c>
      <c r="F68" s="309">
        <f t="shared" si="240"/>
        <v>44.578999999999994</v>
      </c>
      <c r="G68" s="309">
        <f t="shared" si="240"/>
        <v>62.625</v>
      </c>
      <c r="H68" s="309">
        <f t="shared" si="240"/>
        <v>20.717000000000013</v>
      </c>
      <c r="I68" s="309">
        <f t="shared" si="240"/>
        <v>67.845999999999975</v>
      </c>
      <c r="J68" s="309">
        <f t="shared" si="240"/>
        <v>15.555000000000007</v>
      </c>
      <c r="K68" s="309">
        <f t="shared" si="240"/>
        <v>12.09699999999998</v>
      </c>
      <c r="L68" s="309">
        <f t="shared" si="240"/>
        <v>99.201000000000022</v>
      </c>
      <c r="M68" s="309">
        <f t="shared" si="240"/>
        <v>-13.783000000000015</v>
      </c>
      <c r="N68" s="309">
        <f t="shared" si="240"/>
        <v>-84.040999999999997</v>
      </c>
      <c r="O68" s="309">
        <f t="shared" si="240"/>
        <v>22.625</v>
      </c>
      <c r="P68" s="309">
        <f t="shared" ref="P68:U68" si="241">+P69-P67</f>
        <v>59.324000000000012</v>
      </c>
      <c r="Q68" s="309">
        <f t="shared" si="241"/>
        <v>262.87199999999996</v>
      </c>
      <c r="R68" s="309">
        <f t="shared" si="241"/>
        <v>17.5</v>
      </c>
      <c r="S68" s="309">
        <f t="shared" si="241"/>
        <v>7.4000000000000909</v>
      </c>
      <c r="T68" s="309">
        <f>+T69-T67</f>
        <v>181.39999999999998</v>
      </c>
      <c r="U68" s="309">
        <f t="shared" si="241"/>
        <v>-76.700000000000045</v>
      </c>
      <c r="V68" s="309">
        <f t="shared" ref="V68:AM68" si="242">+V69-V67</f>
        <v>-55.799999999999955</v>
      </c>
      <c r="W68" s="309">
        <f t="shared" si="242"/>
        <v>326.80000000000007</v>
      </c>
      <c r="X68" s="309">
        <f t="shared" ref="X68" si="243">+X69-X67</f>
        <v>-387.90000000000009</v>
      </c>
      <c r="Y68" s="309">
        <f>+Y69-Y67</f>
        <v>-61.100000000000023</v>
      </c>
      <c r="Z68" s="23">
        <f t="shared" ref="Z68:AA68" si="244">+Z69-Z67</f>
        <v>344.1</v>
      </c>
      <c r="AA68" s="309">
        <f t="shared" si="244"/>
        <v>-283.80000000000007</v>
      </c>
      <c r="AB68" s="309">
        <f>+AB69-AB67</f>
        <v>60.299999999999955</v>
      </c>
      <c r="AC68" s="23">
        <f t="shared" ref="AC68" si="245">+AC69-AC67</f>
        <v>444.79999999999995</v>
      </c>
      <c r="AD68" s="309">
        <f t="shared" ref="AD68" si="246">+AD69-AD67</f>
        <v>-279.69999999999993</v>
      </c>
      <c r="AE68" s="309">
        <f>+AE69-AE67</f>
        <v>165.10000000000002</v>
      </c>
      <c r="AF68" s="1299">
        <f t="shared" ref="AF68:AG68" si="247">+AF69-AF67</f>
        <v>307.69999999999993</v>
      </c>
      <c r="AG68" s="309">
        <f t="shared" si="247"/>
        <v>-285.60363115306222</v>
      </c>
      <c r="AH68" s="309">
        <f t="shared" si="242"/>
        <v>22.096368846937708</v>
      </c>
      <c r="AI68" s="309">
        <f t="shared" ref="AI68:AJ68" si="248">+AI69-AI67</f>
        <v>128.37372949630617</v>
      </c>
      <c r="AJ68" s="309">
        <f t="shared" si="248"/>
        <v>-87.656879012369245</v>
      </c>
      <c r="AK68" s="309">
        <f t="shared" si="242"/>
        <v>40.716850483936923</v>
      </c>
      <c r="AL68" s="309">
        <f t="shared" si="242"/>
        <v>133.46408151800165</v>
      </c>
      <c r="AM68" s="309">
        <f t="shared" si="242"/>
        <v>-93.566550065668025</v>
      </c>
      <c r="AN68" s="309">
        <f t="shared" ref="AN68:AP68" si="249">+AN69-AN67</f>
        <v>39.897531452333624</v>
      </c>
      <c r="AO68" s="309">
        <f t="shared" si="249"/>
        <v>139.12200704177371</v>
      </c>
      <c r="AP68" s="309">
        <f t="shared" si="249"/>
        <v>-97.440850440094664</v>
      </c>
      <c r="AQ68" s="309">
        <f t="shared" ref="AQ68" si="250">+AQ69-AQ67</f>
        <v>41.681156601679049</v>
      </c>
      <c r="AR68" s="23"/>
    </row>
    <row r="69" spans="1:44" outlineLevel="2">
      <c r="A69" s="30"/>
      <c r="B69" s="161" t="s">
        <v>106</v>
      </c>
      <c r="C69" s="288">
        <v>46.917999999999999</v>
      </c>
      <c r="D69" s="288">
        <v>68.962000000000003</v>
      </c>
      <c r="E69" s="288">
        <v>78.183000000000007</v>
      </c>
      <c r="F69" s="288">
        <v>122.762</v>
      </c>
      <c r="G69" s="288">
        <v>185.387</v>
      </c>
      <c r="H69" s="288">
        <v>206.10400000000001</v>
      </c>
      <c r="I69" s="288">
        <v>273.95</v>
      </c>
      <c r="J69" s="288">
        <v>289.505</v>
      </c>
      <c r="K69" s="288">
        <v>301.60199999999998</v>
      </c>
      <c r="L69" s="288">
        <v>400.803</v>
      </c>
      <c r="M69" s="288">
        <v>387.02</v>
      </c>
      <c r="N69" s="288">
        <v>302.97899999999998</v>
      </c>
      <c r="O69" s="288">
        <v>325.60399999999998</v>
      </c>
      <c r="P69" s="288">
        <v>384.928</v>
      </c>
      <c r="Q69" s="288">
        <v>647.79999999999995</v>
      </c>
      <c r="R69" s="288">
        <v>665.3</v>
      </c>
      <c r="S69" s="288">
        <v>672.7</v>
      </c>
      <c r="T69" s="288">
        <v>854.1</v>
      </c>
      <c r="U69" s="288">
        <v>777.4</v>
      </c>
      <c r="V69" s="1153">
        <v>721.6</v>
      </c>
      <c r="W69" s="1153">
        <v>1048.4000000000001</v>
      </c>
      <c r="X69" s="879">
        <f>Y69</f>
        <v>660.5</v>
      </c>
      <c r="Y69" s="1281">
        <v>660.5</v>
      </c>
      <c r="Z69" s="1399">
        <v>1004.6</v>
      </c>
      <c r="AA69" s="879">
        <f>AB69</f>
        <v>720.8</v>
      </c>
      <c r="AB69" s="1561">
        <v>720.8</v>
      </c>
      <c r="AC69" s="1901">
        <v>1165.5999999999999</v>
      </c>
      <c r="AD69" s="879">
        <f>AE69</f>
        <v>885.9</v>
      </c>
      <c r="AE69" s="1561">
        <v>885.9</v>
      </c>
      <c r="AF69" s="1782">
        <v>1193.5999999999999</v>
      </c>
      <c r="AG69" s="879">
        <f>AH69</f>
        <v>907.99636884693768</v>
      </c>
      <c r="AH69" s="879">
        <f>-AH70*'P&amp;L'!BT10</f>
        <v>907.99636884693768</v>
      </c>
      <c r="AI69" s="879">
        <f>-AI70*'P&amp;L'!BU10</f>
        <v>1036.3700983432439</v>
      </c>
      <c r="AJ69" s="879">
        <f>AK69</f>
        <v>948.71321933087461</v>
      </c>
      <c r="AK69" s="879">
        <f>-AK70*'P&amp;L'!BW10</f>
        <v>948.71321933087461</v>
      </c>
      <c r="AL69" s="879">
        <f>-AL70*'P&amp;L'!BX10</f>
        <v>1082.1773008488763</v>
      </c>
      <c r="AM69" s="879">
        <f>AN69</f>
        <v>988.61075078320823</v>
      </c>
      <c r="AN69" s="879">
        <f>-AN70*'P&amp;L'!BZ10</f>
        <v>988.61075078320823</v>
      </c>
      <c r="AO69" s="879">
        <f>-AO70*'P&amp;L'!CA10</f>
        <v>1127.7327578249819</v>
      </c>
      <c r="AP69" s="879">
        <f>AQ69</f>
        <v>1030.2919073848873</v>
      </c>
      <c r="AQ69" s="879">
        <f>-AQ70*'P&amp;L'!CC10</f>
        <v>1030.2919073848873</v>
      </c>
      <c r="AR69" s="23"/>
    </row>
    <row r="70" spans="1:44" outlineLevel="1">
      <c r="A70" s="47"/>
      <c r="B70" s="863" t="s">
        <v>101</v>
      </c>
      <c r="C70" s="860">
        <f>-C69/'P&amp;L'!C10</f>
        <v>0.17005375116436691</v>
      </c>
      <c r="D70" s="860">
        <f>-D69/'P&amp;L'!F10</f>
        <v>0.19906991781676053</v>
      </c>
      <c r="E70" s="860">
        <f>-E69/'P&amp;L'!I10</f>
        <v>0.14606491774121835</v>
      </c>
      <c r="F70" s="860">
        <f>-F69/'P&amp;L'!L10</f>
        <v>0.16738865140885881</v>
      </c>
      <c r="G70" s="860">
        <f>-G69/'P&amp;L'!O10</f>
        <v>0.18566958911463247</v>
      </c>
      <c r="H70" s="860">
        <f>-H69/'P&amp;L'!R10</f>
        <v>0.14424235043982217</v>
      </c>
      <c r="I70" s="860">
        <f>-I69/'P&amp;L'!U10</f>
        <v>0.1502186518979533</v>
      </c>
      <c r="J70" s="860">
        <f>-J69/'P&amp;L'!X10</f>
        <v>0.135463623849047</v>
      </c>
      <c r="K70" s="860">
        <f>-K69/'P&amp;L'!AA10</f>
        <v>0.1307207275929862</v>
      </c>
      <c r="L70" s="860">
        <f>-L69/'P&amp;L'!AD10</f>
        <v>0.16240241948619955</v>
      </c>
      <c r="M70" s="860">
        <f>-M69/'P&amp;L'!AG10</f>
        <v>0.149072064722436</v>
      </c>
      <c r="N70" s="860">
        <f>-N69/'P&amp;L'!AJ10</f>
        <v>0.11107107061603626</v>
      </c>
      <c r="O70" s="860">
        <f>-O69/'P&amp;L'!AM10</f>
        <v>0.1140915727799633</v>
      </c>
      <c r="P70" s="860">
        <f>-P69/'P&amp;L'!AP10</f>
        <v>0.12461011589613535</v>
      </c>
      <c r="Q70" s="860">
        <f>-Q69/'P&amp;L'!AS10</f>
        <v>0.14730890596627175</v>
      </c>
      <c r="R70" s="860">
        <f>-R69/'P&amp;L'!AV10</f>
        <v>0.12356983655274888</v>
      </c>
      <c r="S70" s="860">
        <f>-S69/'P&amp;L'!AY10</f>
        <v>0.12079151029789374</v>
      </c>
      <c r="T70" s="860">
        <f>-T69/'P&amp;L'!BB10</f>
        <v>0.13720922760570622</v>
      </c>
      <c r="U70" s="860">
        <f>-U69/'P&amp;L'!BE10</f>
        <v>0.11203504878294829</v>
      </c>
      <c r="V70" s="860">
        <f>-V69/'P&amp;L'!BH10</f>
        <v>0.10090049779070417</v>
      </c>
      <c r="W70" s="860">
        <f>-W69/'P&amp;L'!BI10*0.5</f>
        <v>0.12858439424043958</v>
      </c>
      <c r="X70" s="860">
        <f>-X69/'P&amp;L'!BJ10/2</f>
        <v>9.8078522214302688E-2</v>
      </c>
      <c r="Y70" s="860">
        <f>-Y69/'P&amp;L'!BK10</f>
        <v>8.8730369833017644E-2</v>
      </c>
      <c r="Z70" s="215">
        <f>-Z69/'P&amp;L'!BL10*0.5</f>
        <v>0.12509650586506613</v>
      </c>
      <c r="AA70" s="860">
        <f>-AA69/'P&amp;L'!BM10/2</f>
        <v>0.10486804201705127</v>
      </c>
      <c r="AB70" s="860">
        <f>-AB69/'P&amp;L'!BN10</f>
        <v>9.6725711218464835E-2</v>
      </c>
      <c r="AC70" s="215">
        <f>-AC69/'P&amp;L'!BO10*0.5</f>
        <v>0.13196866083963588</v>
      </c>
      <c r="AD70" s="860">
        <f>-AD69/'P&amp;L'!BP10</f>
        <v>0.23447673495315224</v>
      </c>
      <c r="AE70" s="860">
        <f>-AE69/'P&amp;L'!BQ10</f>
        <v>0.10811041687005758</v>
      </c>
      <c r="AF70" s="1781">
        <f>-AF69/'P&amp;L'!BR10*0.5</f>
        <v>0.12622940417521522</v>
      </c>
      <c r="AG70" s="860">
        <f>-AG69/'P&amp;L'!BS10</f>
        <v>0.23165037311199463</v>
      </c>
      <c r="AH70" s="913">
        <v>0.105</v>
      </c>
      <c r="AI70" s="913">
        <f>AK70*2</f>
        <v>0.21</v>
      </c>
      <c r="AJ70" s="860">
        <f>-AJ69/'P&amp;L'!BV10</f>
        <v>0.23137832767805691</v>
      </c>
      <c r="AK70" s="913">
        <v>0.105</v>
      </c>
      <c r="AL70" s="913">
        <f>AN70*2</f>
        <v>0.21</v>
      </c>
      <c r="AM70" s="860">
        <f>-AM69/'P&amp;L'!BY10</f>
        <v>0.23195307840443857</v>
      </c>
      <c r="AN70" s="913">
        <v>0.105</v>
      </c>
      <c r="AO70" s="913">
        <f>AQ70*2</f>
        <v>0.21</v>
      </c>
      <c r="AP70" s="860">
        <f>-AP69/'P&amp;L'!CB10</f>
        <v>0.23193552597714531</v>
      </c>
      <c r="AQ70" s="913">
        <v>0.105</v>
      </c>
      <c r="AR70" s="136"/>
    </row>
    <row r="71" spans="1:44" outlineLevel="1">
      <c r="A71" s="13"/>
      <c r="B71" s="844" t="s">
        <v>107</v>
      </c>
      <c r="C71" s="861">
        <f>-(C69+C67)/2/'P&amp;L'!C10*360</f>
        <v>30.609675209586044</v>
      </c>
      <c r="D71" s="861">
        <f>-(D69+D67)/2/'P&amp;L'!F10*360</f>
        <v>60.211130387591972</v>
      </c>
      <c r="E71" s="861">
        <f>-(E69+E67)/2/'P&amp;L'!I10*360</f>
        <v>49.482496422312821</v>
      </c>
      <c r="F71" s="861">
        <f>-(F69+F67)/2/'P&amp;L'!L10*360</f>
        <v>49.318716380667986</v>
      </c>
      <c r="G71" s="861">
        <f>-(G69+G67)/2/'P&amp;L'!O10*360</f>
        <v>55.551369183897897</v>
      </c>
      <c r="H71" s="861">
        <f>-(H69+H67)/2/'P&amp;L'!R10*360</f>
        <v>49.317455085231501</v>
      </c>
      <c r="I71" s="861">
        <f>-(I69+I67)/2/'P&amp;L'!U10*360</f>
        <v>47.382192550756024</v>
      </c>
      <c r="J71" s="861">
        <f>-(J69+J67)/2/'P&amp;L'!X10*360</f>
        <v>47.456790423846428</v>
      </c>
      <c r="K71" s="861">
        <f>-(K69+K67)/2/'P&amp;L'!AA10*360</f>
        <v>46.115704413615667</v>
      </c>
      <c r="L71" s="861">
        <f>-(L69+L67)/2/'P&amp;L'!AD10*360</f>
        <v>51.229678576898671</v>
      </c>
      <c r="M71" s="861">
        <f>-(M69+M67)/2/'P&amp;L'!AG10*360</f>
        <v>54.621549853362268</v>
      </c>
      <c r="N71" s="861">
        <f>-(N69+N67)/2/'P&amp;L'!AJ10*360</f>
        <v>45.531231463959529</v>
      </c>
      <c r="O71" s="861">
        <f>-(O69+O67)/2/'P&amp;L'!AM10*360</f>
        <v>39.645963061555086</v>
      </c>
      <c r="P71" s="861">
        <f>-(P69+P67)/2/'P&amp;L'!AP10*360</f>
        <v>41.40282202444174</v>
      </c>
      <c r="Q71" s="861">
        <f>-(Q69+Q67)/2/'P&amp;L'!AS10*360</f>
        <v>42.271388902952246</v>
      </c>
      <c r="R71" s="861">
        <f>-(R69+R67)/2/'P&amp;L'!AV10*360</f>
        <v>43.900074294205048</v>
      </c>
      <c r="S71" s="861">
        <f>-(S69+S67)/2/'P&amp;L'!AY10*360</f>
        <v>43.245766820491639</v>
      </c>
      <c r="T71" s="861">
        <f>-(T69+T67)/2/'P&amp;L'!BB10*360</f>
        <v>44.149852204086891</v>
      </c>
      <c r="U71" s="861">
        <f>-(U69+U67)/2/'P&amp;L'!BE10*360</f>
        <v>42.322270100448193</v>
      </c>
      <c r="V71" s="861">
        <f>-(V69+V67)/2/'P&amp;L'!BH10*360</f>
        <v>37.728620168913253</v>
      </c>
      <c r="W71" s="861">
        <f>-(W69+W67)/2/'P&amp;L'!BI10*180</f>
        <v>39.075723011259107</v>
      </c>
      <c r="X71" s="861">
        <f>-(X69+X67)/2/'P&amp;L'!BJ10*180</f>
        <v>45.676229508196727</v>
      </c>
      <c r="Y71" s="861">
        <f>-(Y69+Y67)/2/'P&amp;L'!BK10*360</f>
        <v>33.42038447587958</v>
      </c>
      <c r="Z71" s="35">
        <f>-(Z69+Z67)/2/'P&amp;L'!BL10*180</f>
        <v>37.321993375339325</v>
      </c>
      <c r="AA71" s="861">
        <f>-(AA69+AA67)/2/'P&amp;L'!BM10*180</f>
        <v>45.184624785404623</v>
      </c>
      <c r="AB71" s="861">
        <f>-(AB69+AB67)/2/'P&amp;L'!BN10*360</f>
        <v>33.364734299516904</v>
      </c>
      <c r="AC71" s="35">
        <f>-(AC69+AC67)/2/'P&amp;L'!BO10*180</f>
        <v>38.443911054752952</v>
      </c>
      <c r="AD71" s="861">
        <f>-(AD69+AD67)/2/'P&amp;L'!BP10*180</f>
        <v>48.868508813720808</v>
      </c>
      <c r="AE71" s="861">
        <f>-(AE69+AE67)/2/'P&amp;L'!BQ10*360</f>
        <v>35.293127013570235</v>
      </c>
      <c r="AF71" s="1784">
        <f>-(AF69+AF67)/2/'P&amp;L'!BR10*180</f>
        <v>39.585228113961804</v>
      </c>
      <c r="AG71" s="861">
        <f>-(AG69+AG67)/2/'P&amp;L'!BS10*180</f>
        <v>48.254821242643693</v>
      </c>
      <c r="AH71" s="861">
        <f>-(AH69+AH67)/2/'P&amp;L'!BT10*360</f>
        <v>37.340062729835076</v>
      </c>
      <c r="AI71" s="861">
        <f>-(AI69+AI67)/2/'P&amp;L'!BU10*180</f>
        <v>35.458883162145597</v>
      </c>
      <c r="AJ71" s="861">
        <f>-(AJ69+AJ67)/2/'P&amp;L'!BV10*180</f>
        <v>43.572148473075373</v>
      </c>
      <c r="AK71" s="861">
        <f>-(AK69+AK67)/2/'P&amp;L'!BW10*360</f>
        <v>36.988850267429427</v>
      </c>
      <c r="AL71" s="861">
        <f>-(AL69+AL67)/2/'P&amp;L'!BX10*180</f>
        <v>35.469077757672828</v>
      </c>
      <c r="AM71" s="861">
        <f>-(AM69+AM67)/2/'P&amp;L'!BY10*180</f>
        <v>43.727331169198422</v>
      </c>
      <c r="AN71" s="861">
        <f>-(AN69+AN67)/2/'P&amp;L'!BZ10*360</f>
        <v>37.037249500016344</v>
      </c>
      <c r="AO71" s="861">
        <f>-(AO69+AO67)/2/'P&amp;L'!CA10*180</f>
        <v>35.468413979424724</v>
      </c>
      <c r="AP71" s="861">
        <f>-(AP69+AP67)/2/'P&amp;L'!CB10*180</f>
        <v>43.722592013829228</v>
      </c>
      <c r="AQ71" s="861">
        <f>-(AQ69+AQ67)/2/'P&amp;L'!CC10*360</f>
        <v>37.035387705052173</v>
      </c>
      <c r="AR71" s="35"/>
    </row>
    <row r="72" spans="1:44" outlineLevel="1">
      <c r="A72" s="13"/>
      <c r="B72" s="844"/>
      <c r="C72" s="861"/>
      <c r="D72" s="861"/>
      <c r="E72" s="861"/>
      <c r="F72" s="861"/>
      <c r="G72" s="861"/>
      <c r="H72" s="861"/>
      <c r="I72" s="861"/>
      <c r="J72" s="861"/>
      <c r="K72" s="861"/>
      <c r="L72" s="861"/>
      <c r="M72" s="861"/>
      <c r="N72" s="861"/>
      <c r="O72" s="861"/>
      <c r="P72" s="861"/>
      <c r="Q72" s="861"/>
      <c r="R72" s="861"/>
      <c r="S72" s="861"/>
      <c r="T72" s="861"/>
      <c r="U72" s="861"/>
      <c r="V72" s="861"/>
      <c r="W72" s="861"/>
      <c r="X72" s="861"/>
      <c r="Y72" s="861"/>
      <c r="Z72" s="35"/>
      <c r="AA72" s="861"/>
      <c r="AB72" s="861"/>
      <c r="AC72" s="35"/>
      <c r="AD72" s="861"/>
      <c r="AE72" s="861"/>
      <c r="AF72" s="1784"/>
      <c r="AG72" s="861"/>
      <c r="AH72" s="861"/>
      <c r="AI72" s="861"/>
      <c r="AJ72" s="861"/>
      <c r="AK72" s="861"/>
      <c r="AL72" s="861"/>
      <c r="AM72" s="861"/>
      <c r="AN72" s="861"/>
      <c r="AO72" s="861"/>
      <c r="AP72" s="861"/>
      <c r="AQ72" s="861"/>
      <c r="AR72" s="35"/>
    </row>
    <row r="73" spans="1:44" outlineLevel="1">
      <c r="A73" s="13" t="s">
        <v>386</v>
      </c>
      <c r="B73" s="857" t="s">
        <v>366</v>
      </c>
      <c r="C73" s="864">
        <f t="shared" ref="C73:S73" si="251">+C61+C54-C68</f>
        <v>0</v>
      </c>
      <c r="D73" s="864">
        <f t="shared" si="251"/>
        <v>4.7020000000000017</v>
      </c>
      <c r="E73" s="864">
        <f t="shared" si="251"/>
        <v>29.268999999999991</v>
      </c>
      <c r="F73" s="864">
        <f t="shared" si="251"/>
        <v>22.831000000000003</v>
      </c>
      <c r="G73" s="864">
        <f t="shared" si="251"/>
        <v>4.3219999999999885</v>
      </c>
      <c r="H73" s="864">
        <f t="shared" si="251"/>
        <v>47.790999999999983</v>
      </c>
      <c r="I73" s="864">
        <f t="shared" si="251"/>
        <v>-7.9319999999999595</v>
      </c>
      <c r="J73" s="864">
        <f t="shared" si="251"/>
        <v>-2.0899999999999892</v>
      </c>
      <c r="K73" s="864">
        <f t="shared" si="251"/>
        <v>54.842000000000013</v>
      </c>
      <c r="L73" s="864">
        <f t="shared" si="251"/>
        <v>-77.725000000000023</v>
      </c>
      <c r="M73" s="864">
        <f t="shared" si="251"/>
        <v>17.36099999999999</v>
      </c>
      <c r="N73" s="864">
        <f>+N61+N54-N68</f>
        <v>123.16500000000001</v>
      </c>
      <c r="O73" s="864">
        <f>+O61+O54-O68</f>
        <v>8.3559999999999803</v>
      </c>
      <c r="P73" s="864">
        <f>+P61+P54-P68</f>
        <v>24.835000000000008</v>
      </c>
      <c r="Q73" s="864">
        <f>+Q61+Q54-Q68</f>
        <v>149.11799999999999</v>
      </c>
      <c r="R73" s="864">
        <f t="shared" si="251"/>
        <v>21.80000000000004</v>
      </c>
      <c r="S73" s="864">
        <f t="shared" si="251"/>
        <v>37.899999999999949</v>
      </c>
      <c r="T73" s="864">
        <f t="shared" ref="T73:Y73" si="252">+T61+T54-T68</f>
        <v>-362.90000000000009</v>
      </c>
      <c r="U73" s="864">
        <f t="shared" si="252"/>
        <v>267.5</v>
      </c>
      <c r="V73" s="864">
        <f>+V61+V54-V68</f>
        <v>173.29999999999995</v>
      </c>
      <c r="W73" s="864">
        <f>+W61+W54-W68</f>
        <v>-208.99999999999991</v>
      </c>
      <c r="X73" s="864">
        <f>+X61+X54-X68</f>
        <v>189.60000000000008</v>
      </c>
      <c r="Y73" s="864">
        <f t="shared" si="252"/>
        <v>-19.399999999999835</v>
      </c>
      <c r="Z73" s="49">
        <f>+Z61+Z54-Z68</f>
        <v>-189.50000000000017</v>
      </c>
      <c r="AA73" s="864">
        <f>+AA61+AA54-AA68</f>
        <v>170.50000000000003</v>
      </c>
      <c r="AB73" s="864">
        <f t="shared" ref="AB73" si="253">+AB61+AB54-AB68</f>
        <v>-19.000000000000142</v>
      </c>
      <c r="AC73" s="49">
        <f>+AC61+AC54-AC68</f>
        <v>-147.89999999999975</v>
      </c>
      <c r="AD73" s="864">
        <f t="shared" ref="AD73:AE73" si="254">+AD61+AD54-AD68</f>
        <v>239.09999999999985</v>
      </c>
      <c r="AE73" s="864">
        <f t="shared" si="254"/>
        <v>91.200000000000045</v>
      </c>
      <c r="AF73" s="1785">
        <f>+AF61+AF54-AF68</f>
        <v>-141.69999999999985</v>
      </c>
      <c r="AG73" s="864">
        <f t="shared" ref="AG73" si="255">+AG61+AG54-AG68</f>
        <v>175.6972453642837</v>
      </c>
      <c r="AH73" s="864">
        <f>+AH61+AH54-AH68</f>
        <v>33.997245364283856</v>
      </c>
      <c r="AI73" s="864">
        <f t="shared" ref="AI73:AJ73" si="256">+AI61+AI54-AI68</f>
        <v>88.478920642688422</v>
      </c>
      <c r="AJ73" s="864">
        <f t="shared" si="256"/>
        <v>-60.663303085638233</v>
      </c>
      <c r="AK73" s="864">
        <f>+AK61+AK54-AK68</f>
        <v>27.815617557050189</v>
      </c>
      <c r="AL73" s="864">
        <f t="shared" ref="AL73:AM73" si="257">+AL61+AL54-AL68</f>
        <v>92.521343861869184</v>
      </c>
      <c r="AM73" s="864">
        <f t="shared" si="257"/>
        <v>-64.734068737278363</v>
      </c>
      <c r="AN73" s="864">
        <f>+AN61+AN54-AN68</f>
        <v>27.78727512459082</v>
      </c>
      <c r="AO73" s="864">
        <f t="shared" ref="AO73:AP73" si="258">+AO61+AO54-AO68</f>
        <v>96.444926143822869</v>
      </c>
      <c r="AP73" s="864">
        <f t="shared" si="258"/>
        <v>-67.428185932928841</v>
      </c>
      <c r="AQ73" s="864">
        <f>+AQ61+AQ54-AQ68</f>
        <v>29.016740210894028</v>
      </c>
      <c r="AR73" s="49"/>
    </row>
    <row r="74" spans="1:44" outlineLevel="1">
      <c r="A74" s="13"/>
      <c r="B74" s="844" t="s">
        <v>108</v>
      </c>
      <c r="C74" s="439">
        <f>C75/'P&amp;L'!C6</f>
        <v>2.7695420630348327E-2</v>
      </c>
      <c r="D74" s="439">
        <f>D75/'P&amp;L'!F6</f>
        <v>3.2180335443023983E-2</v>
      </c>
      <c r="E74" s="439">
        <f>E75/'P&amp;L'!I6</f>
        <v>6.3155042993444696E-2</v>
      </c>
      <c r="F74" s="439">
        <f>F75/'P&amp;L'!L6</f>
        <v>7.0475280206296967E-2</v>
      </c>
      <c r="G74" s="439">
        <f>G75/'P&amp;L'!O6</f>
        <v>5.5372875022331222E-2</v>
      </c>
      <c r="H74" s="439">
        <f>H75/'P&amp;L'!R6</f>
        <v>6.4952607619968433E-2</v>
      </c>
      <c r="I74" s="439">
        <f>I75/'P&amp;L'!U6</f>
        <v>4.7625840793446055E-2</v>
      </c>
      <c r="J74" s="439">
        <f>J75/'P&amp;L'!X6</f>
        <v>3.9815180938154462E-2</v>
      </c>
      <c r="K74" s="439">
        <f>K75/'P&amp;L'!AA6</f>
        <v>5.5280842834323399E-2</v>
      </c>
      <c r="L74" s="439">
        <f>L75/'P&amp;L'!AD6</f>
        <v>2.7452273041174098E-2</v>
      </c>
      <c r="M74" s="439">
        <f>M75/'P&amp;L'!AG6</f>
        <v>3.1201184862773543E-2</v>
      </c>
      <c r="N74" s="439">
        <f>N75/'P&amp;L'!AJ6</f>
        <v>6.4984391931166632E-2</v>
      </c>
      <c r="O74" s="439">
        <f>O75/'P&amp;L'!AM6</f>
        <v>6.4276631538365492E-2</v>
      </c>
      <c r="P74" s="439">
        <f>P75/'P&amp;L'!AP6</f>
        <v>6.5642727578710355E-2</v>
      </c>
      <c r="Q74" s="439">
        <f>Q75/'P&amp;L'!AS6</f>
        <v>7.2619047619047625E-2</v>
      </c>
      <c r="R74" s="439">
        <f>R75/'P&amp;L'!AV6</f>
        <v>6.2807288855171201E-2</v>
      </c>
      <c r="S74" s="439">
        <f>S75/'P&amp;L'!AY6</f>
        <v>6.6015531408115252E-2</v>
      </c>
      <c r="T74" s="439">
        <f>T75/'P&amp;L'!BB6</f>
        <v>1.33225574259051E-2</v>
      </c>
      <c r="U74" s="439">
        <f>U75/'P&amp;L'!BE6</f>
        <v>4.1834434337883142E-2</v>
      </c>
      <c r="V74" s="439">
        <f>V75/'P&amp;L'!BH6</f>
        <v>5.9174610051993051E-2</v>
      </c>
      <c r="W74" s="439">
        <f>W75/'P&amp;L'!BI6</f>
        <v>6.3900729373875143E-2</v>
      </c>
      <c r="X74" s="439">
        <f>X75/'P&amp;L'!BJ6</f>
        <v>0.12118493985602248</v>
      </c>
      <c r="Y74" s="439">
        <f>Y75/'P&amp;L'!BK6</f>
        <v>5.4734895703482105E-2</v>
      </c>
      <c r="Z74" s="48">
        <f>Z75/'P&amp;L'!BL6</f>
        <v>6.536099649367505E-2</v>
      </c>
      <c r="AA74" s="439">
        <f>AA75/'P&amp;L'!BM6</f>
        <v>0.11464234927657269</v>
      </c>
      <c r="AB74" s="439">
        <f>AB75/'P&amp;L'!BN6</f>
        <v>5.2948167299111781E-2</v>
      </c>
      <c r="AC74" s="48">
        <f>AC75/'P&amp;L'!BO6</f>
        <v>6.3487584650112908E-2</v>
      </c>
      <c r="AD74" s="439">
        <f>AD75/'P&amp;L'!BP6</f>
        <v>0.12265580214560641</v>
      </c>
      <c r="AE74" s="439">
        <f>AE75/'P&amp;L'!BQ6</f>
        <v>5.6760904991094097E-2</v>
      </c>
      <c r="AF74" s="1541">
        <f>AF75/'P&amp;L'!BR6</f>
        <v>7.5164741261729104E-2</v>
      </c>
      <c r="AG74" s="439">
        <f>AG75/'P&amp;L'!BS6</f>
        <v>0.12497721773760603</v>
      </c>
      <c r="AH74" s="439">
        <f>AH75/'P&amp;L'!BT6</f>
        <v>5.6774923831512052E-2</v>
      </c>
      <c r="AI74" s="439">
        <f>AI75/'P&amp;L'!BU6</f>
        <v>0.11389981042340692</v>
      </c>
      <c r="AJ74" s="439">
        <f>AJ75/'P&amp;L'!BV6</f>
        <v>0.125078968880351</v>
      </c>
      <c r="AK74" s="439">
        <f>AK75/'P&amp;L'!BW6</f>
        <v>5.6881353548737079E-2</v>
      </c>
      <c r="AL74" s="439">
        <f>AL75/'P&amp;L'!BX6</f>
        <v>0.11391138457174968</v>
      </c>
      <c r="AM74" s="439">
        <f>AM75/'P&amp;L'!BY6</f>
        <v>0.12537362895965232</v>
      </c>
      <c r="AN74" s="439">
        <f>AN75/'P&amp;L'!BZ6</f>
        <v>5.6882601570104954E-2</v>
      </c>
      <c r="AO74" s="439">
        <f>AO75/'P&amp;L'!CA6</f>
        <v>0.11391320367835733</v>
      </c>
      <c r="AP74" s="439">
        <f>AP75/'P&amp;L'!CB6</f>
        <v>0.12538126955022599</v>
      </c>
      <c r="AQ74" s="439">
        <f>AQ75/'P&amp;L'!CC6</f>
        <v>5.6885988540727725E-2</v>
      </c>
      <c r="AR74" s="48"/>
    </row>
    <row r="75" spans="1:44" outlineLevel="2">
      <c r="A75" s="13"/>
      <c r="B75" s="844" t="s">
        <v>109</v>
      </c>
      <c r="C75" s="865">
        <f t="shared" ref="C75:S75" si="259">+C62+C55-C69</f>
        <v>9.8549999999999969</v>
      </c>
      <c r="D75" s="865">
        <f t="shared" si="259"/>
        <v>14.557000000000002</v>
      </c>
      <c r="E75" s="865">
        <f t="shared" si="259"/>
        <v>43.825999999999993</v>
      </c>
      <c r="F75" s="865">
        <f t="shared" si="259"/>
        <v>66.657000000000011</v>
      </c>
      <c r="G75" s="865">
        <f t="shared" si="259"/>
        <v>70.978999999999985</v>
      </c>
      <c r="H75" s="865">
        <f t="shared" si="259"/>
        <v>118.76999999999995</v>
      </c>
      <c r="I75" s="865">
        <f t="shared" si="259"/>
        <v>110.83800000000002</v>
      </c>
      <c r="J75" s="865">
        <f t="shared" si="259"/>
        <v>108.74800000000005</v>
      </c>
      <c r="K75" s="865">
        <f t="shared" si="259"/>
        <v>163.59000000000003</v>
      </c>
      <c r="L75" s="865">
        <f t="shared" si="259"/>
        <v>85.865000000000009</v>
      </c>
      <c r="M75" s="865">
        <f t="shared" si="259"/>
        <v>103.226</v>
      </c>
      <c r="N75" s="865">
        <f>+N62+N55-N69</f>
        <v>226.39100000000002</v>
      </c>
      <c r="O75" s="865">
        <f>+O62+O55-O69</f>
        <v>234.74700000000001</v>
      </c>
      <c r="P75" s="865">
        <f>+P62+P55-P69</f>
        <v>259.58199999999999</v>
      </c>
      <c r="Q75" s="865">
        <f t="shared" si="259"/>
        <v>408.70000000000005</v>
      </c>
      <c r="R75" s="865">
        <f t="shared" si="259"/>
        <v>430.5</v>
      </c>
      <c r="S75" s="865">
        <f t="shared" si="259"/>
        <v>468.40000000000009</v>
      </c>
      <c r="T75" s="865">
        <f t="shared" ref="T75:Y75" si="260">+T62+T55-T69</f>
        <v>105.49999999999989</v>
      </c>
      <c r="U75" s="865">
        <f t="shared" si="260"/>
        <v>372.99999999999989</v>
      </c>
      <c r="V75" s="865">
        <f>+V62+V55-V69</f>
        <v>546.29999999999984</v>
      </c>
      <c r="W75" s="865">
        <f t="shared" si="260"/>
        <v>337.29999999999995</v>
      </c>
      <c r="X75" s="865">
        <f t="shared" si="260"/>
        <v>526.90000000000009</v>
      </c>
      <c r="Y75" s="865">
        <f t="shared" si="260"/>
        <v>526.90000000000009</v>
      </c>
      <c r="Z75" s="43">
        <f t="shared" ref="Z75:AB75" si="261">+Z62+Z55-Z69</f>
        <v>337.4</v>
      </c>
      <c r="AA75" s="865">
        <f t="shared" si="261"/>
        <v>507.89999999999986</v>
      </c>
      <c r="AB75" s="865">
        <f t="shared" si="261"/>
        <v>507.89999999999986</v>
      </c>
      <c r="AC75" s="43">
        <f t="shared" ref="AC75" si="262">+AC62+AC55-AC69</f>
        <v>360.00000000000023</v>
      </c>
      <c r="AD75" s="865">
        <f t="shared" ref="AD75:AF75" si="263">+AD62+AD55-AD69</f>
        <v>599.1</v>
      </c>
      <c r="AE75" s="865">
        <f t="shared" si="263"/>
        <v>599.1</v>
      </c>
      <c r="AF75" s="1786">
        <f t="shared" si="263"/>
        <v>457.40000000000009</v>
      </c>
      <c r="AG75" s="865">
        <f t="shared" ref="AG75" si="264">+AG62+AG55-AG69</f>
        <v>633.09724536428394</v>
      </c>
      <c r="AH75" s="865">
        <f>+AH62+AH55-AH69</f>
        <v>633.09724536428394</v>
      </c>
      <c r="AI75" s="865">
        <f t="shared" ref="AI75:AJ75" si="265">+AI62+AI55-AI69</f>
        <v>721.57616600697224</v>
      </c>
      <c r="AJ75" s="865">
        <f t="shared" si="265"/>
        <v>660.91286292133395</v>
      </c>
      <c r="AK75" s="865">
        <f>+AK62+AK55-AK69</f>
        <v>660.91286292133395</v>
      </c>
      <c r="AL75" s="865">
        <f t="shared" ref="AL75:AM75" si="266">+AL62+AL55-AL69</f>
        <v>753.43420678320331</v>
      </c>
      <c r="AM75" s="865">
        <f t="shared" si="266"/>
        <v>688.70013804592486</v>
      </c>
      <c r="AN75" s="865">
        <f>+AN62+AN55-AN69</f>
        <v>688.70013804592486</v>
      </c>
      <c r="AO75" s="865">
        <f t="shared" ref="AO75:AP75" si="267">+AO62+AO55-AO69</f>
        <v>785.1450641897477</v>
      </c>
      <c r="AP75" s="865">
        <f t="shared" si="267"/>
        <v>717.71687825681897</v>
      </c>
      <c r="AQ75" s="865">
        <f>+AQ62+AQ55-AQ69</f>
        <v>717.71687825681897</v>
      </c>
      <c r="AR75" s="43"/>
    </row>
    <row r="76" spans="1:44" outlineLevel="2">
      <c r="A76" s="13"/>
      <c r="B76" s="844"/>
      <c r="C76" s="865"/>
      <c r="D76" s="865"/>
      <c r="E76" s="865"/>
      <c r="F76" s="865"/>
      <c r="G76" s="865"/>
      <c r="H76" s="865"/>
      <c r="I76" s="865"/>
      <c r="J76" s="865"/>
      <c r="K76" s="865"/>
      <c r="L76" s="865"/>
      <c r="M76" s="865"/>
      <c r="N76" s="865"/>
      <c r="O76" s="865"/>
      <c r="P76" s="865"/>
      <c r="Q76" s="865"/>
      <c r="R76" s="865"/>
      <c r="S76" s="865"/>
      <c r="T76" s="865"/>
      <c r="U76" s="865"/>
      <c r="V76" s="865"/>
      <c r="W76" s="865"/>
      <c r="X76" s="865"/>
      <c r="Y76" s="865"/>
      <c r="Z76" s="43"/>
      <c r="AA76" s="865"/>
      <c r="AB76" s="865"/>
      <c r="AC76" s="43"/>
      <c r="AD76" s="865"/>
      <c r="AE76" s="865"/>
      <c r="AF76" s="1786"/>
      <c r="AG76" s="865"/>
      <c r="AH76" s="865"/>
      <c r="AI76" s="865"/>
      <c r="AJ76" s="865"/>
      <c r="AK76" s="865"/>
      <c r="AL76" s="865"/>
      <c r="AM76" s="865"/>
      <c r="AN76" s="865"/>
      <c r="AO76" s="865"/>
      <c r="AP76" s="865"/>
      <c r="AQ76" s="865"/>
      <c r="AR76" s="43"/>
    </row>
    <row r="77" spans="1:44">
      <c r="A77" s="13"/>
      <c r="B77" s="857" t="s">
        <v>127</v>
      </c>
      <c r="C77" s="537"/>
      <c r="D77" s="537"/>
      <c r="E77" s="537"/>
      <c r="F77" s="537"/>
      <c r="G77" s="537"/>
      <c r="H77" s="537"/>
      <c r="I77" s="537"/>
      <c r="J77" s="537"/>
      <c r="K77" s="537"/>
      <c r="L77" s="537"/>
      <c r="M77" s="856"/>
      <c r="N77" s="856"/>
      <c r="O77" s="856"/>
      <c r="P77" s="856"/>
      <c r="Q77" s="856"/>
      <c r="R77" s="856"/>
      <c r="S77" s="856"/>
      <c r="T77" s="856"/>
      <c r="U77" s="856"/>
      <c r="V77" s="856"/>
      <c r="W77" s="856"/>
      <c r="X77" s="537"/>
      <c r="Y77" s="537"/>
      <c r="Z77" s="63"/>
      <c r="AA77" s="537"/>
      <c r="AB77" s="537"/>
      <c r="AC77" s="63"/>
      <c r="AD77" s="537"/>
      <c r="AE77" s="537"/>
      <c r="AF77" s="1779"/>
      <c r="AG77" s="537"/>
      <c r="AH77" s="537"/>
      <c r="AI77" s="537"/>
      <c r="AJ77" s="537"/>
      <c r="AK77" s="537"/>
      <c r="AL77" s="537"/>
      <c r="AM77" s="537"/>
      <c r="AN77" s="537"/>
      <c r="AO77" s="537"/>
      <c r="AP77" s="537"/>
      <c r="AQ77" s="537"/>
      <c r="AR77" s="13"/>
    </row>
    <row r="78" spans="1:44">
      <c r="A78" s="39"/>
      <c r="B78" s="537"/>
      <c r="C78" s="537"/>
      <c r="D78" s="537"/>
      <c r="E78" s="537"/>
      <c r="F78" s="537"/>
      <c r="G78" s="537"/>
      <c r="H78" s="537"/>
      <c r="I78" s="537"/>
      <c r="J78" s="537"/>
      <c r="K78" s="537"/>
      <c r="L78" s="537"/>
      <c r="M78" s="537"/>
      <c r="N78" s="856"/>
      <c r="O78" s="856"/>
      <c r="P78" s="856"/>
      <c r="Q78" s="856"/>
      <c r="R78" s="856"/>
      <c r="S78" s="856"/>
      <c r="T78" s="856"/>
      <c r="U78" s="856"/>
      <c r="V78" s="856"/>
      <c r="W78" s="856"/>
      <c r="X78" s="537"/>
      <c r="Y78" s="537"/>
      <c r="Z78" s="63"/>
      <c r="AA78" s="537"/>
      <c r="AB78" s="537"/>
      <c r="AC78" s="63"/>
      <c r="AD78" s="537"/>
      <c r="AE78" s="537"/>
      <c r="AF78" s="1779"/>
      <c r="AG78" s="537"/>
      <c r="AH78" s="537"/>
      <c r="AI78" s="537"/>
      <c r="AJ78" s="537"/>
      <c r="AK78" s="537"/>
      <c r="AL78" s="537"/>
      <c r="AM78" s="537"/>
      <c r="AN78" s="537"/>
      <c r="AO78" s="537"/>
      <c r="AP78" s="537"/>
      <c r="AQ78" s="537"/>
      <c r="AR78" s="13"/>
    </row>
    <row r="79" spans="1:44">
      <c r="A79" s="39"/>
      <c r="B79" s="857" t="s">
        <v>128</v>
      </c>
      <c r="C79" s="864"/>
      <c r="D79" s="864"/>
      <c r="E79" s="864"/>
      <c r="F79" s="864"/>
      <c r="G79" s="864"/>
      <c r="H79" s="864"/>
      <c r="I79" s="864"/>
      <c r="J79" s="864"/>
      <c r="K79" s="864"/>
      <c r="L79" s="864"/>
      <c r="M79" s="864"/>
      <c r="N79" s="864"/>
      <c r="O79" s="864"/>
      <c r="P79" s="864"/>
      <c r="Q79" s="864"/>
      <c r="R79" s="864"/>
      <c r="S79" s="864"/>
      <c r="T79" s="864"/>
      <c r="U79" s="864"/>
      <c r="V79" s="864"/>
      <c r="W79" s="864"/>
      <c r="X79" s="864"/>
      <c r="Y79" s="864"/>
      <c r="Z79" s="49"/>
      <c r="AA79" s="864"/>
      <c r="AB79" s="864"/>
      <c r="AC79" s="49"/>
      <c r="AD79" s="864"/>
      <c r="AE79" s="864"/>
      <c r="AF79" s="1785"/>
      <c r="AG79" s="864"/>
      <c r="AH79" s="864"/>
      <c r="AI79" s="864"/>
      <c r="AJ79" s="864"/>
      <c r="AK79" s="864"/>
      <c r="AL79" s="864"/>
      <c r="AM79" s="864"/>
      <c r="AN79" s="864"/>
      <c r="AO79" s="864"/>
      <c r="AP79" s="864"/>
      <c r="AQ79" s="864"/>
      <c r="AR79" s="49"/>
    </row>
    <row r="80" spans="1:44">
      <c r="A80" s="39"/>
      <c r="B80" s="844" t="s">
        <v>98</v>
      </c>
      <c r="C80" s="309"/>
      <c r="D80" s="309">
        <f t="shared" ref="D80:M80" si="268">C82</f>
        <v>3.2890000000000001</v>
      </c>
      <c r="E80" s="309">
        <f t="shared" si="268"/>
        <v>4.3639999999999999</v>
      </c>
      <c r="F80" s="309">
        <f>E82</f>
        <v>6.3449999999999998</v>
      </c>
      <c r="G80" s="309">
        <f t="shared" si="268"/>
        <v>0.51900000000000002</v>
      </c>
      <c r="H80" s="309">
        <f t="shared" si="268"/>
        <v>0.70199999999999996</v>
      </c>
      <c r="I80" s="309">
        <f t="shared" si="268"/>
        <v>1.502</v>
      </c>
      <c r="J80" s="309">
        <f t="shared" si="268"/>
        <v>0</v>
      </c>
      <c r="K80" s="309">
        <f>J82</f>
        <v>35</v>
      </c>
      <c r="L80" s="309">
        <f t="shared" si="268"/>
        <v>0</v>
      </c>
      <c r="M80" s="309">
        <f t="shared" si="268"/>
        <v>0</v>
      </c>
      <c r="N80" s="309">
        <f t="shared" ref="N80:V80" si="269">M82</f>
        <v>0</v>
      </c>
      <c r="O80" s="309">
        <f t="shared" si="269"/>
        <v>0</v>
      </c>
      <c r="P80" s="309">
        <f t="shared" si="269"/>
        <v>0</v>
      </c>
      <c r="Q80" s="309">
        <f t="shared" si="269"/>
        <v>0</v>
      </c>
      <c r="R80" s="309">
        <f t="shared" si="269"/>
        <v>0</v>
      </c>
      <c r="S80" s="309">
        <f t="shared" si="269"/>
        <v>0</v>
      </c>
      <c r="T80" s="309">
        <f t="shared" si="269"/>
        <v>0</v>
      </c>
      <c r="U80" s="309">
        <f t="shared" si="269"/>
        <v>0</v>
      </c>
      <c r="V80" s="309">
        <f t="shared" si="269"/>
        <v>0</v>
      </c>
      <c r="W80" s="23">
        <f>V82</f>
        <v>0</v>
      </c>
      <c r="X80" s="309">
        <f>W82</f>
        <v>0</v>
      </c>
      <c r="Y80" s="309">
        <f>V82</f>
        <v>0</v>
      </c>
      <c r="Z80" s="23">
        <f>Y82</f>
        <v>0</v>
      </c>
      <c r="AA80" s="309">
        <f>Z82</f>
        <v>0</v>
      </c>
      <c r="AB80" s="309">
        <f>Y82</f>
        <v>0</v>
      </c>
      <c r="AC80" s="309">
        <f>AB82</f>
        <v>15</v>
      </c>
      <c r="AD80" s="309">
        <f>AC82</f>
        <v>0.3</v>
      </c>
      <c r="AE80" s="309">
        <f>AB82</f>
        <v>15</v>
      </c>
      <c r="AF80" s="1326">
        <f>AE82</f>
        <v>0</v>
      </c>
      <c r="AG80" s="309">
        <f>AF82</f>
        <v>0</v>
      </c>
      <c r="AH80" s="309">
        <f>AE82</f>
        <v>0</v>
      </c>
      <c r="AI80" s="309">
        <f>AH82</f>
        <v>0</v>
      </c>
      <c r="AJ80" s="309">
        <f>AI82</f>
        <v>0</v>
      </c>
      <c r="AK80" s="309">
        <f>AH82</f>
        <v>0</v>
      </c>
      <c r="AL80" s="309">
        <f>AK82</f>
        <v>0</v>
      </c>
      <c r="AM80" s="309">
        <f>AL82</f>
        <v>0</v>
      </c>
      <c r="AN80" s="309">
        <f>AK82</f>
        <v>0</v>
      </c>
      <c r="AO80" s="309">
        <f>AN82</f>
        <v>0</v>
      </c>
      <c r="AP80" s="309">
        <f>AO82</f>
        <v>0</v>
      </c>
      <c r="AQ80" s="309">
        <f>AN82</f>
        <v>0</v>
      </c>
      <c r="AR80" s="23"/>
    </row>
    <row r="81" spans="1:44">
      <c r="A81" s="39"/>
      <c r="B81" s="866" t="s">
        <v>129</v>
      </c>
      <c r="C81" s="309"/>
      <c r="D81" s="309">
        <f t="shared" ref="D81:L81" si="270">D82-D80</f>
        <v>1.0749999999999997</v>
      </c>
      <c r="E81" s="309">
        <f t="shared" si="270"/>
        <v>1.9809999999999999</v>
      </c>
      <c r="F81" s="309">
        <f>F82-F80</f>
        <v>-5.8259999999999996</v>
      </c>
      <c r="G81" s="309">
        <f t="shared" si="270"/>
        <v>0.18299999999999994</v>
      </c>
      <c r="H81" s="309">
        <f t="shared" si="270"/>
        <v>0.8</v>
      </c>
      <c r="I81" s="309">
        <f t="shared" si="270"/>
        <v>-1.502</v>
      </c>
      <c r="J81" s="309">
        <f t="shared" si="270"/>
        <v>35</v>
      </c>
      <c r="K81" s="309">
        <f t="shared" si="270"/>
        <v>-35</v>
      </c>
      <c r="L81" s="309">
        <f t="shared" si="270"/>
        <v>0</v>
      </c>
      <c r="M81" s="309">
        <f>M82-M80</f>
        <v>0</v>
      </c>
      <c r="N81" s="309">
        <f>N82-N80</f>
        <v>0</v>
      </c>
      <c r="O81" s="309">
        <v>0</v>
      </c>
      <c r="P81" s="309">
        <v>0</v>
      </c>
      <c r="Q81" s="309">
        <v>0</v>
      </c>
      <c r="R81" s="309">
        <v>0</v>
      </c>
      <c r="S81" s="309">
        <v>0</v>
      </c>
      <c r="T81" s="309">
        <v>0</v>
      </c>
      <c r="U81" s="309">
        <v>0</v>
      </c>
      <c r="V81" s="309">
        <v>0</v>
      </c>
      <c r="W81" s="50">
        <v>0</v>
      </c>
      <c r="X81" s="850">
        <v>0</v>
      </c>
      <c r="Y81" s="850">
        <v>0</v>
      </c>
      <c r="Z81" s="50">
        <v>0</v>
      </c>
      <c r="AA81" s="1900">
        <v>15</v>
      </c>
      <c r="AB81" s="850">
        <f>+AA81</f>
        <v>15</v>
      </c>
      <c r="AC81" s="309">
        <f>+AC82-AC80</f>
        <v>-14.7</v>
      </c>
      <c r="AD81" s="850">
        <v>0</v>
      </c>
      <c r="AE81" s="850">
        <f>+AE82-AE80</f>
        <v>-15</v>
      </c>
      <c r="AF81" s="1326">
        <f>+AF82-AF80</f>
        <v>0</v>
      </c>
      <c r="AG81" s="850">
        <v>0</v>
      </c>
      <c r="AH81" s="850">
        <v>0</v>
      </c>
      <c r="AI81" s="850">
        <v>0</v>
      </c>
      <c r="AJ81" s="850">
        <v>0</v>
      </c>
      <c r="AK81" s="850">
        <v>0</v>
      </c>
      <c r="AL81" s="850">
        <v>0</v>
      </c>
      <c r="AM81" s="850">
        <v>0</v>
      </c>
      <c r="AN81" s="850">
        <v>0</v>
      </c>
      <c r="AO81" s="850">
        <v>0</v>
      </c>
      <c r="AP81" s="850">
        <v>0</v>
      </c>
      <c r="AQ81" s="850">
        <v>0</v>
      </c>
      <c r="AR81" s="50"/>
    </row>
    <row r="82" spans="1:44" outlineLevel="2">
      <c r="A82" s="30"/>
      <c r="B82" s="161" t="s">
        <v>118</v>
      </c>
      <c r="C82" s="288">
        <v>3.2890000000000001</v>
      </c>
      <c r="D82" s="288">
        <v>4.3639999999999999</v>
      </c>
      <c r="E82" s="288">
        <v>6.3449999999999998</v>
      </c>
      <c r="F82" s="288">
        <v>0.51900000000000002</v>
      </c>
      <c r="G82" s="288">
        <v>0.70199999999999996</v>
      </c>
      <c r="H82" s="288">
        <v>1.502</v>
      </c>
      <c r="I82" s="288">
        <v>0</v>
      </c>
      <c r="J82" s="288">
        <v>35</v>
      </c>
      <c r="K82" s="288">
        <v>0</v>
      </c>
      <c r="L82" s="288">
        <v>0</v>
      </c>
      <c r="M82" s="288">
        <v>0</v>
      </c>
      <c r="N82" s="288">
        <v>0</v>
      </c>
      <c r="O82" s="288">
        <v>0</v>
      </c>
      <c r="P82" s="288">
        <v>0</v>
      </c>
      <c r="Q82" s="288">
        <f>Q80+Q81</f>
        <v>0</v>
      </c>
      <c r="R82" s="288">
        <f>R80+R81</f>
        <v>0</v>
      </c>
      <c r="S82" s="288">
        <f>S80+S81</f>
        <v>0</v>
      </c>
      <c r="T82" s="288">
        <f>T80+T81</f>
        <v>0</v>
      </c>
      <c r="U82" s="288">
        <f>U80+U81</f>
        <v>0</v>
      </c>
      <c r="V82" s="1153">
        <v>0</v>
      </c>
      <c r="W82" s="1220">
        <f t="shared" ref="W82:AK82" si="271">W80+W81</f>
        <v>0</v>
      </c>
      <c r="X82" s="879">
        <f t="shared" si="271"/>
        <v>0</v>
      </c>
      <c r="Y82" s="1282">
        <f t="shared" si="271"/>
        <v>0</v>
      </c>
      <c r="Z82" s="1400">
        <f t="shared" ref="Z82:AA82" si="272">Z80+Z81</f>
        <v>0</v>
      </c>
      <c r="AA82" s="879">
        <f t="shared" si="272"/>
        <v>15</v>
      </c>
      <c r="AB82" s="1562">
        <f t="shared" ref="AB82" si="273">AB80+AB81</f>
        <v>15</v>
      </c>
      <c r="AC82" s="1902">
        <v>0.3</v>
      </c>
      <c r="AD82" s="1699">
        <f t="shared" si="271"/>
        <v>0.3</v>
      </c>
      <c r="AE82" s="1562">
        <v>0</v>
      </c>
      <c r="AF82" s="1787">
        <v>0</v>
      </c>
      <c r="AG82" s="879">
        <f t="shared" si="271"/>
        <v>0</v>
      </c>
      <c r="AH82" s="879">
        <f t="shared" si="271"/>
        <v>0</v>
      </c>
      <c r="AI82" s="879">
        <f t="shared" si="271"/>
        <v>0</v>
      </c>
      <c r="AJ82" s="879">
        <f t="shared" si="271"/>
        <v>0</v>
      </c>
      <c r="AK82" s="879">
        <f t="shared" si="271"/>
        <v>0</v>
      </c>
      <c r="AL82" s="879">
        <f t="shared" ref="AL82:AN82" si="274">AL80+AL81</f>
        <v>0</v>
      </c>
      <c r="AM82" s="879">
        <f t="shared" si="274"/>
        <v>0</v>
      </c>
      <c r="AN82" s="879">
        <f t="shared" si="274"/>
        <v>0</v>
      </c>
      <c r="AO82" s="879">
        <f t="shared" ref="AO82:AQ82" si="275">AO80+AO81</f>
        <v>0</v>
      </c>
      <c r="AP82" s="879">
        <f t="shared" si="275"/>
        <v>0</v>
      </c>
      <c r="AQ82" s="879">
        <f t="shared" si="275"/>
        <v>0</v>
      </c>
      <c r="AR82" s="23"/>
    </row>
    <row r="83" spans="1:44">
      <c r="A83" s="39"/>
      <c r="B83" s="867"/>
      <c r="C83" s="309"/>
      <c r="D83" s="309"/>
      <c r="E83" s="309"/>
      <c r="F83" s="309"/>
      <c r="G83" s="309"/>
      <c r="H83" s="309"/>
      <c r="I83" s="309"/>
      <c r="J83" s="309"/>
      <c r="K83" s="309"/>
      <c r="L83" s="309"/>
      <c r="M83" s="309"/>
      <c r="N83" s="309"/>
      <c r="O83" s="309"/>
      <c r="P83" s="309"/>
      <c r="Q83" s="309"/>
      <c r="R83" s="309"/>
      <c r="S83" s="309"/>
      <c r="T83" s="309"/>
      <c r="U83" s="309"/>
      <c r="V83" s="309"/>
      <c r="W83" s="23"/>
      <c r="X83" s="309"/>
      <c r="Y83" s="309"/>
      <c r="Z83" s="23"/>
      <c r="AA83" s="309"/>
      <c r="AB83" s="23"/>
      <c r="AC83" s="309"/>
      <c r="AD83" s="309"/>
      <c r="AE83" s="23"/>
      <c r="AF83" s="1326"/>
      <c r="AG83" s="309"/>
      <c r="AH83" s="309"/>
      <c r="AI83" s="309"/>
      <c r="AJ83" s="309"/>
      <c r="AK83" s="309"/>
      <c r="AL83" s="309"/>
      <c r="AM83" s="309"/>
      <c r="AN83" s="309"/>
      <c r="AO83" s="309"/>
      <c r="AP83" s="309"/>
      <c r="AQ83" s="309"/>
      <c r="AR83" s="23"/>
    </row>
    <row r="84" spans="1:44">
      <c r="A84" s="39"/>
      <c r="B84" s="857" t="s">
        <v>130</v>
      </c>
      <c r="C84" s="827"/>
      <c r="D84" s="827"/>
      <c r="E84" s="827"/>
      <c r="F84" s="827"/>
      <c r="G84" s="827"/>
      <c r="H84" s="827"/>
      <c r="I84" s="827"/>
      <c r="J84" s="827"/>
      <c r="K84" s="827"/>
      <c r="L84" s="827"/>
      <c r="M84" s="827"/>
      <c r="N84" s="827"/>
      <c r="O84" s="827"/>
      <c r="P84" s="827"/>
      <c r="Q84" s="827"/>
      <c r="R84" s="827"/>
      <c r="S84" s="827"/>
      <c r="T84" s="827"/>
      <c r="U84" s="827"/>
      <c r="V84" s="827"/>
      <c r="W84" s="32"/>
      <c r="X84" s="827"/>
      <c r="Y84" s="827"/>
      <c r="Z84" s="32"/>
      <c r="AA84" s="827"/>
      <c r="AB84" s="32"/>
      <c r="AC84" s="827"/>
      <c r="AD84" s="827"/>
      <c r="AE84" s="32"/>
      <c r="AF84" s="1412"/>
      <c r="AG84" s="827"/>
      <c r="AH84" s="827"/>
      <c r="AI84" s="827"/>
      <c r="AJ84" s="827"/>
      <c r="AK84" s="827"/>
      <c r="AL84" s="827"/>
      <c r="AM84" s="827"/>
      <c r="AN84" s="827"/>
      <c r="AO84" s="827"/>
      <c r="AP84" s="827"/>
      <c r="AQ84" s="827"/>
      <c r="AR84" s="32"/>
    </row>
    <row r="85" spans="1:44">
      <c r="A85" s="39"/>
      <c r="B85" s="844" t="s">
        <v>98</v>
      </c>
      <c r="C85" s="309"/>
      <c r="D85" s="309">
        <f t="shared" ref="D85:N85" si="276">C87</f>
        <v>34.588999999999999</v>
      </c>
      <c r="E85" s="309">
        <f t="shared" si="276"/>
        <v>39.234999999999999</v>
      </c>
      <c r="F85" s="309">
        <f t="shared" si="276"/>
        <v>71.290999999999997</v>
      </c>
      <c r="G85" s="309">
        <f t="shared" si="276"/>
        <v>100.042</v>
      </c>
      <c r="H85" s="309">
        <f t="shared" si="276"/>
        <v>117.732</v>
      </c>
      <c r="I85" s="309">
        <f t="shared" si="276"/>
        <v>123.015</v>
      </c>
      <c r="J85" s="309">
        <f t="shared" si="276"/>
        <v>89.358000000000004</v>
      </c>
      <c r="K85" s="309">
        <f t="shared" si="276"/>
        <v>34.624000000000002</v>
      </c>
      <c r="L85" s="309">
        <f t="shared" si="276"/>
        <v>232.58199999999999</v>
      </c>
      <c r="M85" s="309">
        <f t="shared" si="276"/>
        <v>149.77500000000001</v>
      </c>
      <c r="N85" s="309">
        <f t="shared" si="276"/>
        <v>124.331</v>
      </c>
      <c r="O85" s="309">
        <f t="shared" ref="O85:V85" si="277">N87</f>
        <v>179.65299999999999</v>
      </c>
      <c r="P85" s="309">
        <f t="shared" si="277"/>
        <v>139.46100000000001</v>
      </c>
      <c r="Q85" s="309">
        <f t="shared" si="277"/>
        <v>109.736</v>
      </c>
      <c r="R85" s="309">
        <f t="shared" si="277"/>
        <v>558.79999999999995</v>
      </c>
      <c r="S85" s="309">
        <f t="shared" si="277"/>
        <v>469.4</v>
      </c>
      <c r="T85" s="309">
        <f t="shared" si="277"/>
        <v>439.1</v>
      </c>
      <c r="U85" s="309">
        <f t="shared" si="277"/>
        <v>0</v>
      </c>
      <c r="V85" s="729">
        <f t="shared" si="277"/>
        <v>0</v>
      </c>
      <c r="W85" s="249">
        <f>V87</f>
        <v>59.4</v>
      </c>
      <c r="X85" s="729">
        <f>W87</f>
        <v>0</v>
      </c>
      <c r="Y85" s="729">
        <f>V87</f>
        <v>59.4</v>
      </c>
      <c r="Z85" s="249">
        <f>Y87</f>
        <v>49.8</v>
      </c>
      <c r="AA85" s="729">
        <f>Z87</f>
        <v>0</v>
      </c>
      <c r="AB85" s="729">
        <f>Y87</f>
        <v>49.8</v>
      </c>
      <c r="AC85" s="23">
        <f>AB87</f>
        <v>0</v>
      </c>
      <c r="AD85" s="309">
        <f>AC87</f>
        <v>1</v>
      </c>
      <c r="AE85" s="23">
        <f>AB87</f>
        <v>0</v>
      </c>
      <c r="AF85" s="1326">
        <f>AE87</f>
        <v>0</v>
      </c>
      <c r="AG85" s="309">
        <f>AF87</f>
        <v>0</v>
      </c>
      <c r="AH85" s="309">
        <f>AE87</f>
        <v>0</v>
      </c>
      <c r="AI85" s="309">
        <f>AH87</f>
        <v>0</v>
      </c>
      <c r="AJ85" s="309">
        <f>AI87</f>
        <v>0</v>
      </c>
      <c r="AK85" s="309">
        <f>AH87</f>
        <v>0</v>
      </c>
      <c r="AL85" s="309">
        <f>AK87</f>
        <v>0</v>
      </c>
      <c r="AM85" s="309">
        <f>AL87</f>
        <v>0</v>
      </c>
      <c r="AN85" s="309">
        <f>AK87</f>
        <v>0</v>
      </c>
      <c r="AO85" s="309">
        <f>AN87</f>
        <v>0</v>
      </c>
      <c r="AP85" s="309">
        <f>AO87</f>
        <v>0</v>
      </c>
      <c r="AQ85" s="309">
        <f>AN87</f>
        <v>0</v>
      </c>
      <c r="AR85" s="23"/>
    </row>
    <row r="86" spans="1:44">
      <c r="A86" s="39"/>
      <c r="B86" s="866" t="s">
        <v>129</v>
      </c>
      <c r="C86" s="309"/>
      <c r="D86" s="309">
        <f t="shared" ref="D86:K86" si="278">D87-D85</f>
        <v>4.6460000000000008</v>
      </c>
      <c r="E86" s="309">
        <f t="shared" si="278"/>
        <v>32.055999999999997</v>
      </c>
      <c r="F86" s="309">
        <f t="shared" si="278"/>
        <v>28.751000000000005</v>
      </c>
      <c r="G86" s="309">
        <f t="shared" si="278"/>
        <v>17.689999999999998</v>
      </c>
      <c r="H86" s="309">
        <f t="shared" si="278"/>
        <v>5.2830000000000013</v>
      </c>
      <c r="I86" s="309">
        <f t="shared" si="278"/>
        <v>-33.656999999999996</v>
      </c>
      <c r="J86" s="309">
        <f t="shared" si="278"/>
        <v>-54.734000000000002</v>
      </c>
      <c r="K86" s="309">
        <f t="shared" si="278"/>
        <v>197.958</v>
      </c>
      <c r="L86" s="309">
        <f t="shared" ref="L86:S86" si="279">L87-L85</f>
        <v>-82.806999999999988</v>
      </c>
      <c r="M86" s="309">
        <f t="shared" si="279"/>
        <v>-25.444000000000003</v>
      </c>
      <c r="N86" s="309">
        <f t="shared" si="279"/>
        <v>55.321999999999989</v>
      </c>
      <c r="O86" s="309">
        <f t="shared" si="279"/>
        <v>-40.191999999999979</v>
      </c>
      <c r="P86" s="309">
        <f t="shared" si="279"/>
        <v>-29.725000000000009</v>
      </c>
      <c r="Q86" s="309">
        <f t="shared" si="279"/>
        <v>449.06399999999996</v>
      </c>
      <c r="R86" s="309">
        <f t="shared" si="279"/>
        <v>-89.399999999999977</v>
      </c>
      <c r="S86" s="309">
        <f t="shared" si="279"/>
        <v>-30.299999999999955</v>
      </c>
      <c r="T86" s="309">
        <f t="shared" ref="T86:Y86" si="280">T87-T85</f>
        <v>-439.1</v>
      </c>
      <c r="U86" s="309">
        <f t="shared" si="280"/>
        <v>0</v>
      </c>
      <c r="V86" s="729">
        <f t="shared" si="280"/>
        <v>59.4</v>
      </c>
      <c r="W86" s="249">
        <f t="shared" si="280"/>
        <v>-59.4</v>
      </c>
      <c r="X86" s="896">
        <f t="shared" si="280"/>
        <v>49.8</v>
      </c>
      <c r="Y86" s="729">
        <f t="shared" si="280"/>
        <v>-9.6000000000000014</v>
      </c>
      <c r="Z86" s="249">
        <f t="shared" ref="Z86:AA86" si="281">Z87-Z85</f>
        <v>-49.8</v>
      </c>
      <c r="AA86" s="896">
        <f t="shared" si="281"/>
        <v>0</v>
      </c>
      <c r="AB86" s="729">
        <f t="shared" ref="AB86" si="282">AB87-AB85</f>
        <v>-49.8</v>
      </c>
      <c r="AC86" s="23">
        <f>+AC87-AC85</f>
        <v>1</v>
      </c>
      <c r="AD86" s="23">
        <v>0</v>
      </c>
      <c r="AE86" s="23">
        <f>+AC86+AD86</f>
        <v>1</v>
      </c>
      <c r="AF86" s="1326">
        <f>AF87-AF85</f>
        <v>0</v>
      </c>
      <c r="AG86" s="309">
        <f>CFS!AG35</f>
        <v>0</v>
      </c>
      <c r="AH86" s="309">
        <f>CFS!AH35</f>
        <v>0</v>
      </c>
      <c r="AI86" s="309">
        <f>CFS!AI35</f>
        <v>0</v>
      </c>
      <c r="AJ86" s="309">
        <f>CFS!AJ35</f>
        <v>0</v>
      </c>
      <c r="AK86" s="309">
        <f>CFS!AK35</f>
        <v>0</v>
      </c>
      <c r="AL86" s="309">
        <f>CFS!AL35</f>
        <v>0</v>
      </c>
      <c r="AM86" s="309">
        <f>CFS!AM35</f>
        <v>0</v>
      </c>
      <c r="AN86" s="309">
        <f>CFS!AN35</f>
        <v>0</v>
      </c>
      <c r="AO86" s="309">
        <f>CFS!AO35</f>
        <v>0</v>
      </c>
      <c r="AP86" s="309">
        <f>CFS!AP35</f>
        <v>0</v>
      </c>
      <c r="AQ86" s="309">
        <f>CFS!AQ35</f>
        <v>0</v>
      </c>
      <c r="AR86" s="23"/>
    </row>
    <row r="87" spans="1:44" outlineLevel="2">
      <c r="A87" s="30"/>
      <c r="B87" s="161" t="s">
        <v>118</v>
      </c>
      <c r="C87" s="288">
        <v>34.588999999999999</v>
      </c>
      <c r="D87" s="288">
        <v>39.234999999999999</v>
      </c>
      <c r="E87" s="288">
        <v>71.290999999999997</v>
      </c>
      <c r="F87" s="288">
        <v>100.042</v>
      </c>
      <c r="G87" s="288">
        <v>117.732</v>
      </c>
      <c r="H87" s="288">
        <v>123.015</v>
      </c>
      <c r="I87" s="288">
        <v>89.358000000000004</v>
      </c>
      <c r="J87" s="288">
        <v>34.624000000000002</v>
      </c>
      <c r="K87" s="288">
        <v>232.58199999999999</v>
      </c>
      <c r="L87" s="288">
        <v>149.77500000000001</v>
      </c>
      <c r="M87" s="288">
        <v>124.331</v>
      </c>
      <c r="N87" s="288">
        <v>179.65299999999999</v>
      </c>
      <c r="O87" s="288">
        <v>139.46100000000001</v>
      </c>
      <c r="P87" s="288">
        <v>109.736</v>
      </c>
      <c r="Q87" s="288">
        <v>558.79999999999995</v>
      </c>
      <c r="R87" s="288">
        <v>469.4</v>
      </c>
      <c r="S87" s="288">
        <v>439.1</v>
      </c>
      <c r="T87" s="288">
        <v>0</v>
      </c>
      <c r="U87" s="288">
        <v>0</v>
      </c>
      <c r="V87" s="1227">
        <v>59.4</v>
      </c>
      <c r="W87" s="1153">
        <v>0</v>
      </c>
      <c r="X87" s="1228">
        <f>Y87</f>
        <v>49.8</v>
      </c>
      <c r="Y87" s="1283">
        <v>49.8</v>
      </c>
      <c r="Z87" s="1399">
        <v>0</v>
      </c>
      <c r="AA87" s="1228">
        <f>AB87</f>
        <v>0</v>
      </c>
      <c r="AB87" s="1563">
        <v>0</v>
      </c>
      <c r="AC87" s="1903">
        <v>1</v>
      </c>
      <c r="AD87" s="879">
        <f t="shared" ref="AD87" si="283">AD85+AD86</f>
        <v>1</v>
      </c>
      <c r="AE87" s="1676">
        <v>0</v>
      </c>
      <c r="AF87" s="1658">
        <v>0</v>
      </c>
      <c r="AG87" s="879">
        <f t="shared" ref="AG87" si="284">AG85+AG86</f>
        <v>0</v>
      </c>
      <c r="AH87" s="879">
        <f>AH85+AH86</f>
        <v>0</v>
      </c>
      <c r="AI87" s="879">
        <f t="shared" ref="AI87:AJ87" si="285">AI85+AI86</f>
        <v>0</v>
      </c>
      <c r="AJ87" s="879">
        <f t="shared" si="285"/>
        <v>0</v>
      </c>
      <c r="AK87" s="879">
        <f>AK85+AK86</f>
        <v>0</v>
      </c>
      <c r="AL87" s="879">
        <f t="shared" ref="AL87:AM87" si="286">AL85+AL86</f>
        <v>0</v>
      </c>
      <c r="AM87" s="879">
        <f t="shared" si="286"/>
        <v>0</v>
      </c>
      <c r="AN87" s="879">
        <f>AN85+AN86</f>
        <v>0</v>
      </c>
      <c r="AO87" s="879">
        <f t="shared" ref="AO87:AP87" si="287">AO85+AO86</f>
        <v>0</v>
      </c>
      <c r="AP87" s="879">
        <f t="shared" si="287"/>
        <v>0</v>
      </c>
      <c r="AQ87" s="879">
        <f>AQ85+AQ86</f>
        <v>0</v>
      </c>
      <c r="AR87" s="23"/>
    </row>
    <row r="88" spans="1:44">
      <c r="A88" s="39"/>
      <c r="B88" s="866"/>
      <c r="C88" s="309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309"/>
      <c r="O88" s="309"/>
      <c r="P88" s="309"/>
      <c r="Q88" s="309"/>
      <c r="R88" s="309"/>
      <c r="S88" s="309"/>
      <c r="T88" s="309"/>
      <c r="U88" s="309"/>
      <c r="V88" s="309"/>
      <c r="W88" s="23"/>
      <c r="X88" s="309"/>
      <c r="Y88" s="309"/>
      <c r="Z88" s="23"/>
      <c r="AA88" s="309"/>
      <c r="AB88" s="309"/>
      <c r="AC88" s="309"/>
      <c r="AD88" s="309"/>
      <c r="AE88" s="23"/>
      <c r="AF88" s="1326"/>
      <c r="AG88" s="309"/>
      <c r="AH88" s="309"/>
      <c r="AI88" s="309"/>
      <c r="AJ88" s="309"/>
      <c r="AK88" s="309"/>
      <c r="AL88" s="309"/>
      <c r="AM88" s="309"/>
      <c r="AN88" s="309"/>
      <c r="AO88" s="309"/>
      <c r="AP88" s="309"/>
      <c r="AQ88" s="309"/>
      <c r="AR88" s="23"/>
    </row>
    <row r="89" spans="1:44">
      <c r="A89" s="13" t="s">
        <v>403</v>
      </c>
      <c r="B89" s="857" t="s">
        <v>131</v>
      </c>
      <c r="C89" s="827">
        <f t="shared" ref="C89:T89" si="288">C82+C87</f>
        <v>37.878</v>
      </c>
      <c r="D89" s="827">
        <f t="shared" si="288"/>
        <v>43.598999999999997</v>
      </c>
      <c r="E89" s="827">
        <f t="shared" si="288"/>
        <v>77.635999999999996</v>
      </c>
      <c r="F89" s="827">
        <f t="shared" si="288"/>
        <v>100.56100000000001</v>
      </c>
      <c r="G89" s="827">
        <f t="shared" si="288"/>
        <v>118.434</v>
      </c>
      <c r="H89" s="827">
        <f t="shared" si="288"/>
        <v>124.517</v>
      </c>
      <c r="I89" s="827">
        <f t="shared" si="288"/>
        <v>89.358000000000004</v>
      </c>
      <c r="J89" s="827">
        <f t="shared" si="288"/>
        <v>69.623999999999995</v>
      </c>
      <c r="K89" s="827">
        <f>K82+K87</f>
        <v>232.58199999999999</v>
      </c>
      <c r="L89" s="827">
        <f>L82+L87</f>
        <v>149.77500000000001</v>
      </c>
      <c r="M89" s="827">
        <f>M82+M87</f>
        <v>124.331</v>
      </c>
      <c r="N89" s="827">
        <f t="shared" si="288"/>
        <v>179.65299999999999</v>
      </c>
      <c r="O89" s="827">
        <f t="shared" si="288"/>
        <v>139.46100000000001</v>
      </c>
      <c r="P89" s="827">
        <f t="shared" si="288"/>
        <v>109.736</v>
      </c>
      <c r="Q89" s="827">
        <f t="shared" si="288"/>
        <v>558.79999999999995</v>
      </c>
      <c r="R89" s="827">
        <f t="shared" si="288"/>
        <v>469.4</v>
      </c>
      <c r="S89" s="827">
        <f t="shared" si="288"/>
        <v>439.1</v>
      </c>
      <c r="T89" s="827">
        <f t="shared" si="288"/>
        <v>0</v>
      </c>
      <c r="U89" s="827">
        <f t="shared" ref="U89:AM89" si="289">U82+U87</f>
        <v>0</v>
      </c>
      <c r="V89" s="827">
        <f t="shared" si="289"/>
        <v>59.4</v>
      </c>
      <c r="W89" s="32">
        <f t="shared" si="289"/>
        <v>0</v>
      </c>
      <c r="X89" s="827">
        <f t="shared" si="289"/>
        <v>49.8</v>
      </c>
      <c r="Y89" s="827">
        <f t="shared" si="289"/>
        <v>49.8</v>
      </c>
      <c r="Z89" s="32">
        <f t="shared" ref="Z89:AB89" si="290">Z82+Z87</f>
        <v>0</v>
      </c>
      <c r="AA89" s="827">
        <f t="shared" si="290"/>
        <v>15</v>
      </c>
      <c r="AB89" s="827">
        <f t="shared" si="290"/>
        <v>15</v>
      </c>
      <c r="AC89" s="32">
        <f t="shared" ref="AC89" si="291">AC82+AC87</f>
        <v>1.3</v>
      </c>
      <c r="AD89" s="827">
        <f t="shared" ref="AD89:AF89" si="292">AD82+AD87</f>
        <v>1.3</v>
      </c>
      <c r="AE89" s="827">
        <f t="shared" si="292"/>
        <v>0</v>
      </c>
      <c r="AF89" s="1310">
        <f t="shared" si="292"/>
        <v>0</v>
      </c>
      <c r="AG89" s="827">
        <f t="shared" ref="AG89" si="293">AG82+AG87</f>
        <v>0</v>
      </c>
      <c r="AH89" s="827">
        <f t="shared" si="289"/>
        <v>0</v>
      </c>
      <c r="AI89" s="827">
        <f t="shared" ref="AI89:AJ89" si="294">AI82+AI87</f>
        <v>0</v>
      </c>
      <c r="AJ89" s="827">
        <f t="shared" si="294"/>
        <v>0</v>
      </c>
      <c r="AK89" s="827">
        <f t="shared" si="289"/>
        <v>0</v>
      </c>
      <c r="AL89" s="827">
        <f t="shared" si="289"/>
        <v>0</v>
      </c>
      <c r="AM89" s="827">
        <f t="shared" si="289"/>
        <v>0</v>
      </c>
      <c r="AN89" s="827">
        <f t="shared" ref="AN89:AP89" si="295">AN82+AN87</f>
        <v>0</v>
      </c>
      <c r="AO89" s="827">
        <f t="shared" si="295"/>
        <v>0</v>
      </c>
      <c r="AP89" s="827">
        <f t="shared" si="295"/>
        <v>0</v>
      </c>
      <c r="AQ89" s="827">
        <f t="shared" ref="AQ89" si="296">AQ82+AQ87</f>
        <v>0</v>
      </c>
      <c r="AR89" s="32"/>
    </row>
    <row r="90" spans="1:44">
      <c r="A90" s="13"/>
      <c r="B90" s="844" t="s">
        <v>907</v>
      </c>
      <c r="C90" s="827"/>
      <c r="D90" s="827"/>
      <c r="E90" s="827"/>
      <c r="F90" s="827"/>
      <c r="G90" s="827"/>
      <c r="H90" s="827"/>
      <c r="I90" s="827"/>
      <c r="J90" s="827"/>
      <c r="K90" s="827"/>
      <c r="L90" s="827"/>
      <c r="M90" s="827"/>
      <c r="N90" s="827"/>
      <c r="O90" s="827"/>
      <c r="P90" s="827"/>
      <c r="Q90" s="827"/>
      <c r="R90" s="827"/>
      <c r="S90" s="827"/>
      <c r="T90" s="827"/>
      <c r="U90" s="827"/>
      <c r="V90" s="827"/>
      <c r="W90" s="32">
        <f>AVERAGE(V89:W89)</f>
        <v>29.7</v>
      </c>
      <c r="X90" s="827">
        <f>AVERAGE(W89:X89)</f>
        <v>24.9</v>
      </c>
      <c r="Y90" s="827">
        <f>(Y89+V89)*0.5</f>
        <v>54.599999999999994</v>
      </c>
      <c r="Z90" s="32">
        <f>AVERAGE(Y89:Z89)</f>
        <v>24.9</v>
      </c>
      <c r="AA90" s="827">
        <f>AVERAGE(Z89:AA89)</f>
        <v>7.5</v>
      </c>
      <c r="AB90" s="827">
        <f>(AB89+Y89)*0.5</f>
        <v>32.4</v>
      </c>
      <c r="AC90" s="32">
        <f>AVERAGE(AB89:AC89)</f>
        <v>8.15</v>
      </c>
      <c r="AD90" s="827">
        <f>AVERAGE(AC89:AD89)</f>
        <v>1.3</v>
      </c>
      <c r="AE90" s="827">
        <f>(AE89+AB89)*0.5</f>
        <v>7.5</v>
      </c>
      <c r="AF90" s="1310">
        <f>AVERAGE(AE89:AF89)</f>
        <v>0</v>
      </c>
      <c r="AG90" s="827">
        <f t="shared" ref="AG90" si="297">AVERAGE(AF89:AG89)</f>
        <v>0</v>
      </c>
      <c r="AH90" s="827">
        <f t="shared" ref="AH90" si="298">(AH89+AE89)*0.5</f>
        <v>0</v>
      </c>
      <c r="AI90" s="827">
        <f t="shared" ref="AI90:AJ90" si="299">AVERAGE(AH89:AI89)</f>
        <v>0</v>
      </c>
      <c r="AJ90" s="827">
        <f t="shared" si="299"/>
        <v>0</v>
      </c>
      <c r="AK90" s="827">
        <f t="shared" ref="AK90" si="300">(AK89+AH89)*0.5</f>
        <v>0</v>
      </c>
      <c r="AL90" s="827">
        <f t="shared" ref="AL90" si="301">AVERAGE(AK89:AL89)</f>
        <v>0</v>
      </c>
      <c r="AM90" s="827">
        <f t="shared" ref="AM90" si="302">AVERAGE(AL89:AM89)</f>
        <v>0</v>
      </c>
      <c r="AN90" s="827">
        <f t="shared" ref="AN90" si="303">(AN89+AK89)*0.5</f>
        <v>0</v>
      </c>
      <c r="AO90" s="827">
        <f t="shared" ref="AO90" si="304">AVERAGE(AN89:AO89)</f>
        <v>0</v>
      </c>
      <c r="AP90" s="827">
        <f t="shared" ref="AP90" si="305">AVERAGE(AO89:AP89)</f>
        <v>0</v>
      </c>
      <c r="AQ90" s="827">
        <f t="shared" ref="AQ90" si="306">(AQ89+AN89)*0.5</f>
        <v>0</v>
      </c>
      <c r="AR90" s="32"/>
    </row>
    <row r="91" spans="1:44">
      <c r="A91" s="30"/>
      <c r="B91" s="859" t="s">
        <v>133</v>
      </c>
      <c r="C91" s="860"/>
      <c r="D91" s="860">
        <f t="shared" ref="D91:T91" si="307">-D92/((C89+D89)/2)</f>
        <v>7.506412852706898E-2</v>
      </c>
      <c r="E91" s="860">
        <f t="shared" si="307"/>
        <v>9.4114735843609534E-2</v>
      </c>
      <c r="F91" s="860">
        <f t="shared" si="307"/>
        <v>7.1942849767392264E-2</v>
      </c>
      <c r="G91" s="860">
        <f t="shared" si="307"/>
        <v>6.8102011461448883E-2</v>
      </c>
      <c r="H91" s="860">
        <f t="shared" si="307"/>
        <v>7.6533951290589472E-2</v>
      </c>
      <c r="I91" s="860">
        <f t="shared" si="307"/>
        <v>7.5146697837521911E-2</v>
      </c>
      <c r="J91" s="860">
        <f t="shared" si="307"/>
        <v>8.7519341812280632E-2</v>
      </c>
      <c r="K91" s="860">
        <f t="shared" si="307"/>
        <v>4.1481638352646864E-2</v>
      </c>
      <c r="L91" s="860">
        <f t="shared" si="307"/>
        <v>7.1420164924403118E-2</v>
      </c>
      <c r="M91" s="860">
        <f t="shared" si="307"/>
        <v>7.4102719385930993E-2</v>
      </c>
      <c r="N91" s="860">
        <f t="shared" si="307"/>
        <v>5.8193852308016221E-2</v>
      </c>
      <c r="O91" s="860">
        <f t="shared" si="307"/>
        <v>3.7146599647774767E-2</v>
      </c>
      <c r="P91" s="860">
        <f t="shared" si="307"/>
        <v>3.0955428837425813E-2</v>
      </c>
      <c r="Q91" s="860">
        <f t="shared" si="307"/>
        <v>3.2010243277848911E-2</v>
      </c>
      <c r="R91" s="860">
        <f t="shared" si="307"/>
        <v>3.2289437852557876E-2</v>
      </c>
      <c r="S91" s="860">
        <f t="shared" si="307"/>
        <v>3.1480462300495324E-2</v>
      </c>
      <c r="T91" s="860">
        <f t="shared" si="307"/>
        <v>0.16579366886813937</v>
      </c>
      <c r="U91" s="860" t="str">
        <f>IFERROR(-U92/((T89+U89)/2),"NA")</f>
        <v>NA</v>
      </c>
      <c r="V91" s="860">
        <f>-V92/((U89+V89)/2)</f>
        <v>4.7138047138047139E-2</v>
      </c>
      <c r="W91" s="215">
        <f>-W92/((V89+W89)/2)</f>
        <v>3.0303030303030304E-2</v>
      </c>
      <c r="X91" s="914">
        <f>X92/AVERAGE(W89:X89)</f>
        <v>-0.14056224899598396</v>
      </c>
      <c r="Y91" s="860">
        <f>-Y92/((V89+Y89)/2)</f>
        <v>8.0586080586080605E-2</v>
      </c>
      <c r="Z91" s="215">
        <f>-Z92/((Y89+Z89)/2)</f>
        <v>4.0160642570281124E-2</v>
      </c>
      <c r="AA91" s="914">
        <f>AA92/AVERAGE(Z89:AA89)</f>
        <v>-0.10666666666666667</v>
      </c>
      <c r="AB91" s="860">
        <f>-AB92/((Y89+AB89)/2)</f>
        <v>5.5555555555555559E-2</v>
      </c>
      <c r="AC91" s="215">
        <f>-AC92/((AB89+AC89)/2)</f>
        <v>0.14723926380368096</v>
      </c>
      <c r="AD91" s="914">
        <f>AE91*0.5</f>
        <v>0.15333333333333332</v>
      </c>
      <c r="AE91" s="860">
        <f>-AE92/((AB89+AE89)/2)</f>
        <v>0.30666666666666664</v>
      </c>
      <c r="AF91" s="1781" t="s">
        <v>852</v>
      </c>
      <c r="AG91" s="914">
        <f t="shared" ref="AG91" si="308">AH91*0.5</f>
        <v>2.75E-2</v>
      </c>
      <c r="AH91" s="915">
        <v>5.5E-2</v>
      </c>
      <c r="AI91" s="914">
        <f t="shared" ref="AI91" si="309">AK91*0.5</f>
        <v>2.2499999999999999E-2</v>
      </c>
      <c r="AJ91" s="914">
        <f t="shared" ref="AJ91" si="310">AK91*0.5</f>
        <v>2.2499999999999999E-2</v>
      </c>
      <c r="AK91" s="915">
        <v>4.4999999999999998E-2</v>
      </c>
      <c r="AL91" s="914">
        <f t="shared" ref="AL91" si="311">AN91*0.5</f>
        <v>1.7500000000000002E-2</v>
      </c>
      <c r="AM91" s="914">
        <f t="shared" ref="AM91" si="312">AN91*0.5</f>
        <v>1.7500000000000002E-2</v>
      </c>
      <c r="AN91" s="915">
        <v>3.5000000000000003E-2</v>
      </c>
      <c r="AO91" s="914">
        <f t="shared" ref="AO91" si="313">AQ91*0.5</f>
        <v>1.4999999999999999E-2</v>
      </c>
      <c r="AP91" s="914">
        <f t="shared" ref="AP91" si="314">AQ91*0.5</f>
        <v>1.4999999999999999E-2</v>
      </c>
      <c r="AQ91" s="915">
        <v>0.03</v>
      </c>
      <c r="AR91" s="639"/>
    </row>
    <row r="92" spans="1:44">
      <c r="A92" s="13"/>
      <c r="B92" s="844" t="s">
        <v>132</v>
      </c>
      <c r="C92" s="847">
        <f>'P&amp;L'!C69</f>
        <v>-4.423</v>
      </c>
      <c r="D92" s="847">
        <f>'P&amp;L'!F69</f>
        <v>-3.0579999999999998</v>
      </c>
      <c r="E92" s="847">
        <f>'P&amp;L'!I69</f>
        <v>-5.7050000000000001</v>
      </c>
      <c r="F92" s="847">
        <f>'P&amp;L'!L69</f>
        <v>-6.41</v>
      </c>
      <c r="G92" s="847">
        <f>'P&amp;L'!O69</f>
        <v>-7.4569999999999999</v>
      </c>
      <c r="H92" s="847">
        <f>'P&amp;L'!R69</f>
        <v>-9.2970000000000006</v>
      </c>
      <c r="I92" s="847">
        <f>'P&amp;L'!U69</f>
        <v>-8.0359999999999996</v>
      </c>
      <c r="J92" s="847">
        <f>'P&amp;L'!X69</f>
        <v>-6.9569999999999999</v>
      </c>
      <c r="K92" s="847">
        <f>'P&amp;L'!AA69</f>
        <v>-6.2679999999999998</v>
      </c>
      <c r="L92" s="847">
        <f>'P&amp;L'!AD69</f>
        <v>-13.654</v>
      </c>
      <c r="M92" s="847">
        <f>'P&amp;L'!AG69</f>
        <v>-10.156000000000001</v>
      </c>
      <c r="N92" s="847">
        <f>'P&amp;L'!AJ69</f>
        <v>-8.8450000000000006</v>
      </c>
      <c r="O92" s="847">
        <f>'P&amp;L'!AM69</f>
        <v>-5.9269999999999996</v>
      </c>
      <c r="P92" s="847">
        <f>'P&amp;L'!AP69</f>
        <v>-3.8570000000000002</v>
      </c>
      <c r="Q92" s="847">
        <f>'P&amp;L'!AS69</f>
        <v>-10.7</v>
      </c>
      <c r="R92" s="847">
        <f>'P&amp;L'!AV69</f>
        <v>-16.600000000000001</v>
      </c>
      <c r="S92" s="847">
        <f>'P&amp;L'!AY69</f>
        <v>-14.3</v>
      </c>
      <c r="T92" s="847">
        <f>'P&amp;L'!BB69</f>
        <v>-36.4</v>
      </c>
      <c r="U92" s="847">
        <f>'P&amp;L'!BE70</f>
        <v>-3.4</v>
      </c>
      <c r="V92" s="775">
        <f>'P&amp;L'!BH70</f>
        <v>-1.4</v>
      </c>
      <c r="W92" s="249">
        <v>-0.9</v>
      </c>
      <c r="X92" s="729">
        <f>+Y92-W92</f>
        <v>-3.5000000000000004</v>
      </c>
      <c r="Y92" s="775">
        <f>'P&amp;L'!BK70</f>
        <v>-4.4000000000000004</v>
      </c>
      <c r="Z92" s="775">
        <f>'P&amp;L'!BL70</f>
        <v>-1</v>
      </c>
      <c r="AA92" s="729">
        <f>+AB92-Z92</f>
        <v>-0.8</v>
      </c>
      <c r="AB92" s="775">
        <f>'P&amp;L'!BN70</f>
        <v>-1.8</v>
      </c>
      <c r="AC92" s="775">
        <f>'P&amp;L'!BO70</f>
        <v>-1.2</v>
      </c>
      <c r="AD92" s="729">
        <f>-AD91*AD94</f>
        <v>-0.12266666666666666</v>
      </c>
      <c r="AE92" s="775">
        <f>'P&amp;L'!BQ70</f>
        <v>-2.2999999999999998</v>
      </c>
      <c r="AF92" s="1313">
        <f>'P&amp;L'!BR70</f>
        <v>-0.8</v>
      </c>
      <c r="AG92" s="729">
        <f>+AF92</f>
        <v>-0.8</v>
      </c>
      <c r="AH92" s="729">
        <f>+AF92+AG92</f>
        <v>-1.6</v>
      </c>
      <c r="AI92" s="729">
        <f>+AK92*0.5</f>
        <v>-0.8</v>
      </c>
      <c r="AJ92" s="729">
        <f>+AK92-AI92</f>
        <v>-0.8</v>
      </c>
      <c r="AK92" s="729">
        <f>+AH92</f>
        <v>-1.6</v>
      </c>
      <c r="AL92" s="729">
        <f t="shared" ref="AL92" si="315">+AN92*0.5</f>
        <v>-0.8</v>
      </c>
      <c r="AM92" s="729">
        <f t="shared" ref="AM92" si="316">+AN92-AL92</f>
        <v>-0.8</v>
      </c>
      <c r="AN92" s="729">
        <f t="shared" ref="AN92" si="317">+AK92</f>
        <v>-1.6</v>
      </c>
      <c r="AO92" s="729">
        <f t="shared" ref="AO92" si="318">+AQ92*0.5</f>
        <v>-0.8</v>
      </c>
      <c r="AP92" s="729">
        <f t="shared" ref="AP92" si="319">+AQ92-AO92</f>
        <v>-0.8</v>
      </c>
      <c r="AQ92" s="729">
        <f t="shared" ref="AQ92" si="320">+AN92</f>
        <v>-1.6</v>
      </c>
      <c r="AR92" s="23"/>
    </row>
    <row r="93" spans="1:44">
      <c r="A93" s="13"/>
      <c r="B93" s="844"/>
      <c r="C93" s="847"/>
      <c r="D93" s="847"/>
      <c r="E93" s="847"/>
      <c r="F93" s="847"/>
      <c r="G93" s="847"/>
      <c r="H93" s="847"/>
      <c r="I93" s="847"/>
      <c r="J93" s="847"/>
      <c r="K93" s="847"/>
      <c r="L93" s="847"/>
      <c r="M93" s="847"/>
      <c r="N93" s="847"/>
      <c r="O93" s="847"/>
      <c r="P93" s="847"/>
      <c r="Q93" s="847"/>
      <c r="R93" s="847"/>
      <c r="S93" s="847"/>
      <c r="T93" s="847"/>
      <c r="U93" s="847"/>
      <c r="V93" s="775"/>
      <c r="W93" s="249"/>
      <c r="X93" s="439"/>
      <c r="Y93" s="729"/>
      <c r="Z93" s="249"/>
      <c r="AA93" s="249"/>
      <c r="AB93" s="249"/>
      <c r="AC93" s="249"/>
      <c r="AD93" s="729"/>
      <c r="AE93" s="249"/>
      <c r="AF93" s="1300"/>
      <c r="AG93" s="729"/>
      <c r="AH93" s="729"/>
      <c r="AI93" s="729"/>
      <c r="AJ93" s="729"/>
      <c r="AK93" s="729"/>
      <c r="AL93" s="729"/>
      <c r="AM93" s="729"/>
      <c r="AN93" s="729"/>
      <c r="AO93" s="729"/>
      <c r="AP93" s="729"/>
      <c r="AQ93" s="729"/>
      <c r="AR93" s="23"/>
    </row>
    <row r="94" spans="1:44" ht="23.25" customHeight="1">
      <c r="A94" s="13"/>
      <c r="B94" s="844"/>
      <c r="C94" s="847"/>
      <c r="D94" s="847"/>
      <c r="E94" s="847"/>
      <c r="F94" s="847"/>
      <c r="G94" s="847"/>
      <c r="H94" s="847"/>
      <c r="I94" s="847"/>
      <c r="J94" s="847"/>
      <c r="K94" s="847"/>
      <c r="L94" s="847"/>
      <c r="M94" s="847"/>
      <c r="N94" s="847"/>
      <c r="O94" s="847"/>
      <c r="P94" s="847"/>
      <c r="Q94" s="847"/>
      <c r="R94" s="847"/>
      <c r="S94" s="847"/>
      <c r="T94" s="847"/>
      <c r="U94" s="847"/>
      <c r="V94" s="775"/>
      <c r="W94" s="59">
        <v>29.7</v>
      </c>
      <c r="X94" s="59">
        <v>24.9</v>
      </c>
      <c r="Y94" s="344">
        <v>54.599999999999994</v>
      </c>
      <c r="Z94" s="59">
        <v>24.9</v>
      </c>
      <c r="AA94" s="59">
        <v>7.5</v>
      </c>
      <c r="AB94" s="59">
        <v>32.4</v>
      </c>
      <c r="AC94" s="1673">
        <v>8.15</v>
      </c>
      <c r="AD94" s="59">
        <v>0.8</v>
      </c>
      <c r="AE94" s="59">
        <v>7.5</v>
      </c>
      <c r="AF94" s="1314">
        <v>0</v>
      </c>
      <c r="AG94" s="59">
        <v>0</v>
      </c>
      <c r="AH94" s="59">
        <v>0</v>
      </c>
      <c r="AI94" s="59">
        <v>0</v>
      </c>
      <c r="AJ94" s="59">
        <v>0</v>
      </c>
      <c r="AK94" s="59">
        <v>0</v>
      </c>
      <c r="AL94" s="59">
        <v>0</v>
      </c>
      <c r="AM94" s="59">
        <v>0</v>
      </c>
      <c r="AN94" s="59">
        <v>0</v>
      </c>
      <c r="AO94" s="59">
        <v>0</v>
      </c>
      <c r="AP94" s="59">
        <v>0</v>
      </c>
      <c r="AQ94" s="59">
        <v>0</v>
      </c>
      <c r="AR94" s="23"/>
    </row>
    <row r="95" spans="1:44">
      <c r="A95" s="13"/>
      <c r="B95" s="537"/>
      <c r="C95" s="868"/>
      <c r="D95" s="868"/>
      <c r="E95" s="868"/>
      <c r="F95" s="868"/>
      <c r="G95" s="868"/>
      <c r="H95" s="868"/>
      <c r="I95" s="772"/>
      <c r="J95" s="772"/>
      <c r="K95" s="772"/>
      <c r="L95" s="537"/>
      <c r="M95" s="537"/>
      <c r="N95" s="537"/>
      <c r="O95" s="537"/>
      <c r="P95" s="537"/>
      <c r="Q95" s="537"/>
      <c r="R95" s="537"/>
      <c r="S95" s="537"/>
      <c r="T95" s="537"/>
      <c r="U95" s="537"/>
      <c r="V95" s="537"/>
      <c r="W95" s="13"/>
      <c r="X95" s="537"/>
      <c r="Y95" s="537"/>
      <c r="Z95" s="13"/>
      <c r="AA95" s="13"/>
      <c r="AB95" s="13"/>
      <c r="AC95" s="13"/>
      <c r="AD95" s="537"/>
      <c r="AE95" s="13"/>
      <c r="AF95" s="1654"/>
      <c r="AG95" s="537"/>
      <c r="AH95" s="537"/>
      <c r="AI95" s="537"/>
      <c r="AJ95" s="537"/>
      <c r="AK95" s="537"/>
      <c r="AL95" s="537"/>
      <c r="AM95" s="537"/>
      <c r="AN95" s="537"/>
      <c r="AO95" s="537"/>
      <c r="AP95" s="537"/>
      <c r="AQ95" s="537"/>
      <c r="AR95" s="13"/>
    </row>
    <row r="96" spans="1:44">
      <c r="A96" s="13"/>
      <c r="B96" s="857" t="s">
        <v>134</v>
      </c>
      <c r="C96" s="858"/>
      <c r="D96" s="858"/>
      <c r="E96" s="858"/>
      <c r="F96" s="858"/>
      <c r="G96" s="858"/>
      <c r="H96" s="858"/>
      <c r="I96" s="858"/>
      <c r="J96" s="858"/>
      <c r="K96" s="858"/>
      <c r="L96" s="858"/>
      <c r="M96" s="858"/>
      <c r="N96" s="858"/>
      <c r="O96" s="858"/>
      <c r="P96" s="858"/>
      <c r="Q96" s="858"/>
      <c r="R96" s="858"/>
      <c r="S96" s="858"/>
      <c r="T96" s="858"/>
      <c r="U96" s="858"/>
      <c r="V96" s="858"/>
      <c r="W96" s="36"/>
      <c r="X96" s="858"/>
      <c r="Y96" s="858"/>
      <c r="Z96" s="36"/>
      <c r="AA96" s="36"/>
      <c r="AB96" s="36"/>
      <c r="AC96" s="36"/>
      <c r="AD96" s="858"/>
      <c r="AE96" s="36"/>
      <c r="AF96" s="1660"/>
      <c r="AG96" s="858"/>
      <c r="AH96" s="858"/>
      <c r="AI96" s="858"/>
      <c r="AJ96" s="858"/>
      <c r="AK96" s="858"/>
      <c r="AL96" s="858"/>
      <c r="AM96" s="858"/>
      <c r="AN96" s="858"/>
      <c r="AO96" s="858"/>
      <c r="AP96" s="858"/>
      <c r="AQ96" s="858"/>
      <c r="AR96" s="36"/>
    </row>
    <row r="97" spans="1:44">
      <c r="A97" s="30"/>
      <c r="B97" s="844" t="s">
        <v>98</v>
      </c>
      <c r="C97" s="309"/>
      <c r="D97" s="309">
        <f t="shared" ref="D97:N97" si="321">C98</f>
        <v>12.99</v>
      </c>
      <c r="E97" s="309">
        <f t="shared" si="321"/>
        <v>16.431999999999999</v>
      </c>
      <c r="F97" s="309">
        <f t="shared" si="321"/>
        <v>1.631</v>
      </c>
      <c r="G97" s="309">
        <f t="shared" si="321"/>
        <v>4.4930000000000003</v>
      </c>
      <c r="H97" s="309">
        <f t="shared" si="321"/>
        <v>23.707000000000001</v>
      </c>
      <c r="I97" s="309">
        <f t="shared" si="321"/>
        <v>0</v>
      </c>
      <c r="J97" s="309">
        <f>I98</f>
        <v>35.79</v>
      </c>
      <c r="K97" s="309">
        <f>J98</f>
        <v>51.734999999999999</v>
      </c>
      <c r="L97" s="309">
        <f t="shared" si="321"/>
        <v>27.245999999999999</v>
      </c>
      <c r="M97" s="309">
        <f>L98</f>
        <v>39.71</v>
      </c>
      <c r="N97" s="309">
        <f t="shared" si="321"/>
        <v>67.367999999999995</v>
      </c>
      <c r="O97" s="309">
        <f t="shared" ref="O97:V97" si="322">N98</f>
        <v>43.445</v>
      </c>
      <c r="P97" s="309">
        <f t="shared" si="322"/>
        <v>49.131</v>
      </c>
      <c r="Q97" s="309">
        <f t="shared" si="322"/>
        <v>51.884</v>
      </c>
      <c r="R97" s="309">
        <f t="shared" si="322"/>
        <v>72.8</v>
      </c>
      <c r="S97" s="309">
        <f t="shared" si="322"/>
        <v>72</v>
      </c>
      <c r="T97" s="309">
        <f t="shared" si="322"/>
        <v>119.2</v>
      </c>
      <c r="U97" s="309">
        <f t="shared" si="322"/>
        <v>251.5</v>
      </c>
      <c r="V97" s="309">
        <f t="shared" si="322"/>
        <v>263.2</v>
      </c>
      <c r="W97" s="309">
        <f>V98</f>
        <v>125.6</v>
      </c>
      <c r="X97" s="309">
        <f>W98</f>
        <v>391.18399999999804</v>
      </c>
      <c r="Y97" s="309">
        <f>V98</f>
        <v>125.6</v>
      </c>
      <c r="Z97" s="23">
        <f>Y98</f>
        <v>177.3</v>
      </c>
      <c r="AA97" s="309">
        <f>Z98</f>
        <v>487.98399999999828</v>
      </c>
      <c r="AB97" s="309">
        <f>Y98</f>
        <v>177.3</v>
      </c>
      <c r="AC97" s="23">
        <f>AB98</f>
        <v>317.7</v>
      </c>
      <c r="AD97" s="309">
        <f>AC98</f>
        <v>556.38399999999876</v>
      </c>
      <c r="AE97" s="309">
        <f>AB98</f>
        <v>317.7</v>
      </c>
      <c r="AF97" s="1299">
        <f>AE98</f>
        <v>284.08399999999841</v>
      </c>
      <c r="AG97" s="309">
        <f>AF98</f>
        <v>489.48399999999845</v>
      </c>
      <c r="AH97" s="309">
        <f>AE98</f>
        <v>284.08399999999841</v>
      </c>
      <c r="AI97" s="309">
        <f>AH98</f>
        <v>278.73729058787302</v>
      </c>
      <c r="AJ97" s="309">
        <f>AI98</f>
        <v>326.68172698675107</v>
      </c>
      <c r="AK97" s="309">
        <f>AH98</f>
        <v>278.73729058787302</v>
      </c>
      <c r="AL97" s="309">
        <f>AK98</f>
        <v>336.69984284409219</v>
      </c>
      <c r="AM97" s="309">
        <f>AL98</f>
        <v>392.73420303820353</v>
      </c>
      <c r="AN97" s="309">
        <f>AK98</f>
        <v>336.69984284409219</v>
      </c>
      <c r="AO97" s="309">
        <f>AN98</f>
        <v>401.13494328867995</v>
      </c>
      <c r="AP97" s="309">
        <f>AO98</f>
        <v>460.65710692456236</v>
      </c>
      <c r="AQ97" s="309">
        <f>AN98</f>
        <v>401.13494328867995</v>
      </c>
      <c r="AR97" s="23"/>
    </row>
    <row r="98" spans="1:44">
      <c r="A98" s="13"/>
      <c r="B98" s="33" t="s">
        <v>118</v>
      </c>
      <c r="C98" s="29">
        <f t="shared" ref="C98:AK98" si="323">C6</f>
        <v>12.99</v>
      </c>
      <c r="D98" s="29">
        <f t="shared" si="323"/>
        <v>16.431999999999999</v>
      </c>
      <c r="E98" s="29">
        <f t="shared" si="323"/>
        <v>1.631</v>
      </c>
      <c r="F98" s="29">
        <f t="shared" si="323"/>
        <v>4.4930000000000003</v>
      </c>
      <c r="G98" s="29">
        <f t="shared" si="323"/>
        <v>23.707000000000001</v>
      </c>
      <c r="H98" s="29">
        <f t="shared" si="323"/>
        <v>0</v>
      </c>
      <c r="I98" s="29">
        <f t="shared" si="323"/>
        <v>35.79</v>
      </c>
      <c r="J98" s="29">
        <f t="shared" si="323"/>
        <v>51.734999999999999</v>
      </c>
      <c r="K98" s="29">
        <f t="shared" si="323"/>
        <v>27.245999999999999</v>
      </c>
      <c r="L98" s="29">
        <f t="shared" si="323"/>
        <v>39.71</v>
      </c>
      <c r="M98" s="29">
        <f t="shared" si="323"/>
        <v>67.367999999999995</v>
      </c>
      <c r="N98" s="29">
        <f t="shared" si="323"/>
        <v>43.445</v>
      </c>
      <c r="O98" s="29">
        <f t="shared" si="323"/>
        <v>49.131</v>
      </c>
      <c r="P98" s="29">
        <f t="shared" si="323"/>
        <v>51.884</v>
      </c>
      <c r="Q98" s="29">
        <f t="shared" si="323"/>
        <v>72.8</v>
      </c>
      <c r="R98" s="29">
        <f t="shared" si="323"/>
        <v>72</v>
      </c>
      <c r="S98" s="29">
        <f t="shared" si="323"/>
        <v>119.2</v>
      </c>
      <c r="T98" s="538">
        <f t="shared" si="323"/>
        <v>251.5</v>
      </c>
      <c r="U98" s="29">
        <f t="shared" si="323"/>
        <v>263.2</v>
      </c>
      <c r="V98" s="1151">
        <f t="shared" si="323"/>
        <v>125.6</v>
      </c>
      <c r="W98" s="1151">
        <f t="shared" si="323"/>
        <v>391.18399999999804</v>
      </c>
      <c r="X98" s="939">
        <f>X6</f>
        <v>177.3</v>
      </c>
      <c r="Y98" s="1284">
        <f t="shared" si="323"/>
        <v>177.3</v>
      </c>
      <c r="Z98" s="940">
        <f t="shared" ref="Z98" si="324">Z6</f>
        <v>487.98399999999828</v>
      </c>
      <c r="AA98" s="939">
        <f>AA6</f>
        <v>317.7</v>
      </c>
      <c r="AB98" s="1542">
        <f t="shared" ref="AB98:AC98" si="325">AB6</f>
        <v>317.7</v>
      </c>
      <c r="AC98" s="1671">
        <f t="shared" si="325"/>
        <v>556.38399999999876</v>
      </c>
      <c r="AD98" s="939">
        <f>AD6</f>
        <v>284.08399999999841</v>
      </c>
      <c r="AE98" s="1542">
        <f t="shared" ref="AE98:AF98" si="326">AE6</f>
        <v>284.08399999999841</v>
      </c>
      <c r="AF98" s="1664">
        <f t="shared" si="326"/>
        <v>489.48399999999845</v>
      </c>
      <c r="AG98" s="939">
        <f t="shared" si="323"/>
        <v>278.73729058787308</v>
      </c>
      <c r="AH98" s="939">
        <f t="shared" si="323"/>
        <v>278.73729058787302</v>
      </c>
      <c r="AI98" s="939">
        <f t="shared" si="323"/>
        <v>326.68172698675107</v>
      </c>
      <c r="AJ98" s="939">
        <f t="shared" si="323"/>
        <v>336.69984284409213</v>
      </c>
      <c r="AK98" s="939">
        <f t="shared" si="323"/>
        <v>336.69984284409219</v>
      </c>
      <c r="AL98" s="939">
        <f t="shared" ref="AL98:AN98" si="327">AL6</f>
        <v>392.73420303820353</v>
      </c>
      <c r="AM98" s="939">
        <f t="shared" si="327"/>
        <v>401.13494328867984</v>
      </c>
      <c r="AN98" s="939">
        <f t="shared" si="327"/>
        <v>401.13494328867995</v>
      </c>
      <c r="AO98" s="939">
        <f t="shared" ref="AO98:AQ98" si="328">AO6</f>
        <v>460.65710692456236</v>
      </c>
      <c r="AP98" s="939">
        <f t="shared" si="328"/>
        <v>468.35923217716908</v>
      </c>
      <c r="AQ98" s="939">
        <f t="shared" si="328"/>
        <v>468.35923217716885</v>
      </c>
      <c r="AR98" s="32"/>
    </row>
    <row r="99" spans="1:44">
      <c r="A99" s="30"/>
      <c r="B99" s="844" t="s">
        <v>135</v>
      </c>
      <c r="C99" s="309"/>
      <c r="D99" s="309">
        <f t="shared" ref="D99:S99" si="329">(D97+D98)/2</f>
        <v>14.710999999999999</v>
      </c>
      <c r="E99" s="309">
        <f t="shared" si="329"/>
        <v>9.0314999999999994</v>
      </c>
      <c r="F99" s="309">
        <f t="shared" si="329"/>
        <v>3.0620000000000003</v>
      </c>
      <c r="G99" s="309">
        <f t="shared" si="329"/>
        <v>14.100000000000001</v>
      </c>
      <c r="H99" s="309">
        <f t="shared" si="329"/>
        <v>11.8535</v>
      </c>
      <c r="I99" s="309">
        <f t="shared" si="329"/>
        <v>17.895</v>
      </c>
      <c r="J99" s="309">
        <f t="shared" si="329"/>
        <v>43.762500000000003</v>
      </c>
      <c r="K99" s="309">
        <f t="shared" si="329"/>
        <v>39.490499999999997</v>
      </c>
      <c r="L99" s="309">
        <f t="shared" si="329"/>
        <v>33.478000000000002</v>
      </c>
      <c r="M99" s="309">
        <f>(M97+M98)/2</f>
        <v>53.539000000000001</v>
      </c>
      <c r="N99" s="309">
        <f>(N97+N98)/2</f>
        <v>55.406499999999994</v>
      </c>
      <c r="O99" s="309">
        <f>(O97+O98)/2</f>
        <v>46.287999999999997</v>
      </c>
      <c r="P99" s="309">
        <f>(P97+P98)/2</f>
        <v>50.5075</v>
      </c>
      <c r="Q99" s="309">
        <f t="shared" si="329"/>
        <v>62.341999999999999</v>
      </c>
      <c r="R99" s="309">
        <f>(R97+R98)/2</f>
        <v>72.400000000000006</v>
      </c>
      <c r="S99" s="309">
        <f t="shared" si="329"/>
        <v>95.6</v>
      </c>
      <c r="T99" s="309">
        <f t="shared" ref="T99:Y99" si="330">(T97+T98)/2</f>
        <v>185.35</v>
      </c>
      <c r="U99" s="309">
        <f t="shared" si="330"/>
        <v>257.35000000000002</v>
      </c>
      <c r="V99" s="309">
        <f>(V97+V98)/2</f>
        <v>194.39999999999998</v>
      </c>
      <c r="W99" s="309">
        <f t="shared" si="330"/>
        <v>258.39199999999903</v>
      </c>
      <c r="X99" s="729">
        <f>(X97+X98)/2</f>
        <v>284.24199999999905</v>
      </c>
      <c r="Y99" s="309">
        <f t="shared" si="330"/>
        <v>151.44999999999999</v>
      </c>
      <c r="Z99" s="23">
        <f t="shared" ref="Z99" si="331">(Z97+Z98)/2</f>
        <v>332.64199999999914</v>
      </c>
      <c r="AA99" s="729">
        <f>(AA97+AA98)/2</f>
        <v>402.84199999999913</v>
      </c>
      <c r="AB99" s="309">
        <f t="shared" ref="AB99:AC99" si="332">(AB97+AB98)/2</f>
        <v>247.5</v>
      </c>
      <c r="AC99" s="23">
        <f t="shared" si="332"/>
        <v>437.04199999999935</v>
      </c>
      <c r="AD99" s="729">
        <f t="shared" ref="AD99:AF99" si="333">(AD97+AD98)/2</f>
        <v>420.23399999999856</v>
      </c>
      <c r="AE99" s="309">
        <f t="shared" si="333"/>
        <v>300.8919999999992</v>
      </c>
      <c r="AF99" s="1299">
        <f t="shared" si="333"/>
        <v>386.7839999999984</v>
      </c>
      <c r="AG99" s="729">
        <f>(AG97+AG98)/2</f>
        <v>384.11064529393576</v>
      </c>
      <c r="AH99" s="729">
        <f>(AH97+AH98)/2</f>
        <v>281.41064529393572</v>
      </c>
      <c r="AI99" s="729">
        <f t="shared" ref="AI99:AJ99" si="334">(AI97+AI98)/2</f>
        <v>302.70950878731207</v>
      </c>
      <c r="AJ99" s="729">
        <f t="shared" si="334"/>
        <v>331.6907849154216</v>
      </c>
      <c r="AK99" s="729">
        <f>(AK97+AK98)/2</f>
        <v>307.7185667159826</v>
      </c>
      <c r="AL99" s="729">
        <f t="shared" ref="AL99:AM99" si="335">(AL97+AL98)/2</f>
        <v>364.71702294114789</v>
      </c>
      <c r="AM99" s="729">
        <f t="shared" si="335"/>
        <v>396.93457316344166</v>
      </c>
      <c r="AN99" s="729">
        <f>(AN97+AN98)/2</f>
        <v>368.91739306638607</v>
      </c>
      <c r="AO99" s="729">
        <f t="shared" ref="AO99:AP99" si="336">(AO97+AO98)/2</f>
        <v>430.89602510662115</v>
      </c>
      <c r="AP99" s="729">
        <f t="shared" si="336"/>
        <v>464.50816955086572</v>
      </c>
      <c r="AQ99" s="729">
        <f>(AQ97+AQ98)/2</f>
        <v>434.7470877329244</v>
      </c>
      <c r="AR99" s="23"/>
    </row>
    <row r="100" spans="1:44">
      <c r="A100" s="13"/>
      <c r="B100" s="863" t="s">
        <v>133</v>
      </c>
      <c r="C100" s="860"/>
      <c r="D100" s="860">
        <f t="shared" ref="D100:M100" si="337">+D101/D99</f>
        <v>2.4199578546665761E-2</v>
      </c>
      <c r="E100" s="860">
        <f t="shared" si="337"/>
        <v>6.2005204008193551E-2</v>
      </c>
      <c r="F100" s="860">
        <f t="shared" si="337"/>
        <v>0.2194644023514043</v>
      </c>
      <c r="G100" s="860">
        <f t="shared" si="337"/>
        <v>9.2340425531914891E-2</v>
      </c>
      <c r="H100" s="860">
        <f t="shared" si="337"/>
        <v>8.5038174378875439E-2</v>
      </c>
      <c r="I100" s="860">
        <f t="shared" si="337"/>
        <v>8.7286951662475562E-2</v>
      </c>
      <c r="J100" s="860">
        <f t="shared" si="337"/>
        <v>3.30876892316481E-2</v>
      </c>
      <c r="K100" s="860">
        <f t="shared" si="337"/>
        <v>5.6621212696724536E-2</v>
      </c>
      <c r="L100" s="860">
        <f t="shared" si="337"/>
        <v>1.6966365971682894E-2</v>
      </c>
      <c r="M100" s="860">
        <f t="shared" si="337"/>
        <v>8.4984777451950922E-3</v>
      </c>
      <c r="N100" s="860">
        <f t="shared" ref="N100:S100" si="338">+N101/N99</f>
        <v>7.2554664163951895E-3</v>
      </c>
      <c r="O100" s="860">
        <f t="shared" si="338"/>
        <v>1.1925337020394056E-2</v>
      </c>
      <c r="P100" s="860">
        <f t="shared" si="338"/>
        <v>1.031529970796417E-2</v>
      </c>
      <c r="Q100" s="860">
        <f t="shared" si="338"/>
        <v>2.7268935869879045E-2</v>
      </c>
      <c r="R100" s="860">
        <f t="shared" si="338"/>
        <v>6.9060773480662981E-3</v>
      </c>
      <c r="S100" s="860">
        <f t="shared" si="338"/>
        <v>7.3221757322175732E-3</v>
      </c>
      <c r="T100" s="860">
        <f>+T101/T99</f>
        <v>5.9347181008902088E-3</v>
      </c>
      <c r="U100" s="860">
        <f>+U101/U99</f>
        <v>6.2172139110161255E-3</v>
      </c>
      <c r="V100" s="860">
        <f>+V101/V99</f>
        <v>4.11522633744856E-3</v>
      </c>
      <c r="W100" s="860">
        <f>+W101*2/W99</f>
        <v>1.3932319886064637E-2</v>
      </c>
      <c r="X100" s="860">
        <f>+X101*2/X99</f>
        <v>1.8294270375243695E-2</v>
      </c>
      <c r="Y100" s="860">
        <f>+Y101/Y99</f>
        <v>2.905249257180588E-2</v>
      </c>
      <c r="Z100" s="215">
        <f>+Z101*2/Z99</f>
        <v>3.3068584243721562E-2</v>
      </c>
      <c r="AA100" s="860">
        <f>+AA101*2/AA99</f>
        <v>2.829893605929874E-2</v>
      </c>
      <c r="AB100" s="860">
        <f>+AB101/AB99</f>
        <v>4.5252525252525252E-2</v>
      </c>
      <c r="AC100" s="215">
        <f>+AC101*2/AC99</f>
        <v>3.1118290690597288E-2</v>
      </c>
      <c r="AD100" s="916">
        <f t="shared" ref="AD100" si="339">0.5*AE100</f>
        <v>1.9109846722412078E-2</v>
      </c>
      <c r="AE100" s="860">
        <f>+AE101/AE99</f>
        <v>3.8219693444824156E-2</v>
      </c>
      <c r="AF100" s="1781">
        <f>+AF101*2/AF99</f>
        <v>1.9649209894928518E-2</v>
      </c>
      <c r="AG100" s="916">
        <f>0.5*AH100</f>
        <v>1.8749999999999999E-2</v>
      </c>
      <c r="AH100" s="917">
        <v>3.7499999999999999E-2</v>
      </c>
      <c r="AI100" s="916">
        <f t="shared" ref="AI100" si="340">0.5*AK100</f>
        <v>1.7500000000000002E-2</v>
      </c>
      <c r="AJ100" s="916">
        <f t="shared" ref="AJ100" si="341">0.5*AK100</f>
        <v>1.7500000000000002E-2</v>
      </c>
      <c r="AK100" s="917">
        <v>3.5000000000000003E-2</v>
      </c>
      <c r="AL100" s="916">
        <f t="shared" ref="AL100" si="342">0.5*AN100</f>
        <v>1.4999999999999999E-2</v>
      </c>
      <c r="AM100" s="916">
        <f t="shared" ref="AM100" si="343">0.5*AN100</f>
        <v>1.4999999999999999E-2</v>
      </c>
      <c r="AN100" s="917">
        <v>0.03</v>
      </c>
      <c r="AO100" s="916">
        <f t="shared" ref="AO100" si="344">0.5*AQ100</f>
        <v>0.01</v>
      </c>
      <c r="AP100" s="916">
        <f t="shared" ref="AP100" si="345">0.5*AQ100</f>
        <v>0.01</v>
      </c>
      <c r="AQ100" s="917">
        <v>0.02</v>
      </c>
      <c r="AR100" s="950"/>
    </row>
    <row r="101" spans="1:44">
      <c r="A101" s="13"/>
      <c r="B101" s="869" t="s">
        <v>136</v>
      </c>
      <c r="C101" s="870">
        <f>'P&amp;L'!C67</f>
        <v>0.316</v>
      </c>
      <c r="D101" s="870">
        <f>'P&amp;L'!F67</f>
        <v>0.35599999999999998</v>
      </c>
      <c r="E101" s="870">
        <f>'P&amp;L'!I67</f>
        <v>0.56000000000000005</v>
      </c>
      <c r="F101" s="870">
        <f>'P&amp;L'!L67</f>
        <v>0.67200000000000004</v>
      </c>
      <c r="G101" s="870">
        <f>'P&amp;L'!O67</f>
        <v>1.302</v>
      </c>
      <c r="H101" s="870">
        <f>'P&amp;L'!R67</f>
        <v>1.008</v>
      </c>
      <c r="I101" s="870">
        <f>'P&amp;L'!U67</f>
        <v>1.5620000000000001</v>
      </c>
      <c r="J101" s="870">
        <f>'P&amp;L'!X67</f>
        <v>1.448</v>
      </c>
      <c r="K101" s="870">
        <f>'P&amp;L'!AA67</f>
        <v>2.2360000000000002</v>
      </c>
      <c r="L101" s="870">
        <f>'P&amp;L'!AD67</f>
        <v>0.56799999999999995</v>
      </c>
      <c r="M101" s="870">
        <f>'P&amp;L'!AG67</f>
        <v>0.45500000000000002</v>
      </c>
      <c r="N101" s="870">
        <f>'P&amp;L'!AJ67</f>
        <v>0.40200000000000002</v>
      </c>
      <c r="O101" s="870">
        <f>'P&amp;L'!AM67</f>
        <v>0.55200000000000005</v>
      </c>
      <c r="P101" s="870">
        <f>'P&amp;L'!AP67</f>
        <v>0.52100000000000035</v>
      </c>
      <c r="Q101" s="870">
        <f>'P&amp;L'!AS67</f>
        <v>1.6999999999999993</v>
      </c>
      <c r="R101" s="870">
        <f>'P&amp;L'!AV67</f>
        <v>0.5</v>
      </c>
      <c r="S101" s="870">
        <f>'P&amp;L'!AY67</f>
        <v>0.7</v>
      </c>
      <c r="T101" s="870">
        <f>'P&amp;L'!BB67</f>
        <v>1.1000000000000001</v>
      </c>
      <c r="U101" s="870">
        <f>'P&amp;L'!BE67</f>
        <v>1.6</v>
      </c>
      <c r="V101" s="1154">
        <f>'P&amp;L'!BH67</f>
        <v>0.8</v>
      </c>
      <c r="W101" s="1154">
        <f>'P&amp;L'!BI67</f>
        <v>1.8</v>
      </c>
      <c r="X101" s="1154">
        <f>'P&amp;L'!BJ67</f>
        <v>2.6000000000000005</v>
      </c>
      <c r="Y101" s="1285">
        <f>'P&amp;L'!BK67</f>
        <v>4.4000000000000004</v>
      </c>
      <c r="Z101" s="1401">
        <f>'P&amp;L'!BL67</f>
        <v>5.5</v>
      </c>
      <c r="AA101" s="1154">
        <f>'P&amp;L'!BM67</f>
        <v>5.6999999999999993</v>
      </c>
      <c r="AB101" s="1564">
        <f>'P&amp;L'!BN67</f>
        <v>11.2</v>
      </c>
      <c r="AC101" s="1674">
        <f>'P&amp;L'!BO67</f>
        <v>6.8</v>
      </c>
      <c r="AD101" s="870">
        <f>AD103*AD100</f>
        <v>8.0306073275460896</v>
      </c>
      <c r="AE101" s="1564">
        <f>'P&amp;L'!BQ67</f>
        <v>11.5</v>
      </c>
      <c r="AF101" s="1661">
        <f>'P&amp;L'!BR67</f>
        <v>3.8</v>
      </c>
      <c r="AG101" s="870">
        <f>AG103*AG100*0.5</f>
        <v>3.60110058264336</v>
      </c>
      <c r="AH101" s="870">
        <f>+AF101+AG101</f>
        <v>7.4011005826433598</v>
      </c>
      <c r="AI101" s="870">
        <f>AI103*AI100*0.5</f>
        <v>2.6498830027660585</v>
      </c>
      <c r="AJ101" s="870">
        <f>AJ103*AJ100*0.5</f>
        <v>2.9057689801432032</v>
      </c>
      <c r="AK101" s="870">
        <f>+AI101+AJ101</f>
        <v>5.5556519829092617</v>
      </c>
      <c r="AL101" s="870">
        <f t="shared" ref="AL101:AM101" si="346">AL103*AL100*0.5</f>
        <v>2.7400210710503785</v>
      </c>
      <c r="AM101" s="870">
        <f t="shared" si="346"/>
        <v>2.9831773617224568</v>
      </c>
      <c r="AN101" s="870">
        <f t="shared" ref="AN101" si="347">+AL101+AM101</f>
        <v>5.7231984327728354</v>
      </c>
      <c r="AO101" s="870">
        <f t="shared" ref="AO101:AP101" si="348">AO103*AO100*0.5</f>
        <v>2.1591130019367983</v>
      </c>
      <c r="AP101" s="870">
        <f t="shared" si="348"/>
        <v>2.3274586674364741</v>
      </c>
      <c r="AQ101" s="870">
        <f t="shared" ref="AQ101" si="349">+AO101+AP101</f>
        <v>4.4865716693732729</v>
      </c>
      <c r="AR101" s="249"/>
    </row>
    <row r="102" spans="1:44">
      <c r="A102" s="13"/>
      <c r="B102" s="844"/>
      <c r="C102" s="871"/>
      <c r="D102" s="871"/>
      <c r="E102" s="871"/>
      <c r="F102" s="871"/>
      <c r="G102" s="871"/>
      <c r="H102" s="871"/>
      <c r="I102" s="871"/>
      <c r="J102" s="871"/>
      <c r="K102" s="871"/>
      <c r="L102" s="871"/>
      <c r="M102" s="871"/>
      <c r="N102" s="871"/>
      <c r="O102" s="871"/>
      <c r="P102" s="871"/>
      <c r="Q102" s="871"/>
      <c r="R102" s="871"/>
      <c r="S102" s="871"/>
      <c r="T102" s="871"/>
      <c r="U102" s="871"/>
      <c r="V102" s="871"/>
      <c r="W102" s="871"/>
      <c r="X102" s="309"/>
      <c r="Y102" s="309"/>
      <c r="Z102" s="1402"/>
      <c r="AA102" s="309"/>
      <c r="AB102" s="309"/>
      <c r="AC102" s="1402"/>
      <c r="AD102" s="309"/>
      <c r="AE102" s="23"/>
      <c r="AF102" s="1299"/>
      <c r="AG102" s="309"/>
      <c r="AH102" s="309"/>
      <c r="AI102" s="309"/>
      <c r="AJ102" s="309"/>
      <c r="AK102" s="309"/>
      <c r="AL102" s="309"/>
      <c r="AM102" s="309"/>
      <c r="AN102" s="309"/>
      <c r="AO102" s="309"/>
      <c r="AP102" s="309"/>
      <c r="AQ102" s="309"/>
      <c r="AR102" s="23"/>
    </row>
    <row r="103" spans="1:44">
      <c r="A103" s="13"/>
      <c r="B103" s="844" t="s">
        <v>387</v>
      </c>
      <c r="C103" s="871"/>
      <c r="D103" s="871"/>
      <c r="E103" s="871"/>
      <c r="F103" s="871"/>
      <c r="G103" s="871"/>
      <c r="H103" s="871"/>
      <c r="I103" s="871"/>
      <c r="J103" s="871"/>
      <c r="K103" s="871"/>
      <c r="L103" s="871"/>
      <c r="M103" s="872"/>
      <c r="N103" s="873" t="s">
        <v>393</v>
      </c>
      <c r="O103" s="873"/>
      <c r="P103" s="873"/>
      <c r="Q103" s="873"/>
      <c r="R103" s="874">
        <v>72.400000000000006</v>
      </c>
      <c r="S103" s="874">
        <v>95.6</v>
      </c>
      <c r="T103" s="874">
        <v>185.35</v>
      </c>
      <c r="U103" s="874">
        <v>257.35000000000002</v>
      </c>
      <c r="V103" s="874">
        <v>194.39999999999998</v>
      </c>
      <c r="W103" s="874">
        <v>258.39199999999903</v>
      </c>
      <c r="X103" s="729">
        <v>284.24199999999905</v>
      </c>
      <c r="Y103" s="729">
        <v>151.44999999999999</v>
      </c>
      <c r="Z103" s="1403">
        <v>332.64199999999914</v>
      </c>
      <c r="AA103" s="249">
        <v>402.84199999999913</v>
      </c>
      <c r="AB103" s="249">
        <v>247.5</v>
      </c>
      <c r="AC103" s="1675">
        <v>437.04199999999935</v>
      </c>
      <c r="AD103" s="729">
        <v>420.23399999999856</v>
      </c>
      <c r="AE103" s="249">
        <v>300.8919999999992</v>
      </c>
      <c r="AF103" s="1300">
        <v>386.7839999999984</v>
      </c>
      <c r="AG103" s="729">
        <v>384.1173954819584</v>
      </c>
      <c r="AH103" s="729">
        <v>281.41739548195829</v>
      </c>
      <c r="AI103" s="729">
        <v>302.84377174469239</v>
      </c>
      <c r="AJ103" s="729">
        <v>332.08788344493746</v>
      </c>
      <c r="AK103" s="729">
        <v>307.99490266416331</v>
      </c>
      <c r="AL103" s="729">
        <v>365.33614280671713</v>
      </c>
      <c r="AM103" s="729">
        <v>397.75698156299427</v>
      </c>
      <c r="AN103" s="729">
        <v>369.65985312068551</v>
      </c>
      <c r="AO103" s="729">
        <v>431.82260038735967</v>
      </c>
      <c r="AP103" s="729">
        <v>465.49173348729482</v>
      </c>
      <c r="AQ103" s="729">
        <v>435.7498249768978</v>
      </c>
      <c r="AR103" s="640"/>
    </row>
    <row r="104" spans="1:44" ht="21" customHeight="1">
      <c r="A104" s="13"/>
      <c r="B104" s="844"/>
      <c r="C104" s="871"/>
      <c r="D104" s="871"/>
      <c r="E104" s="871"/>
      <c r="F104" s="871"/>
      <c r="G104" s="871"/>
      <c r="H104" s="871"/>
      <c r="I104" s="871"/>
      <c r="J104" s="871"/>
      <c r="K104" s="871"/>
      <c r="L104" s="871"/>
      <c r="M104" s="872"/>
      <c r="N104" s="873"/>
      <c r="O104" s="873"/>
      <c r="P104" s="873"/>
      <c r="Q104" s="873"/>
      <c r="R104" s="873"/>
      <c r="S104" s="873"/>
      <c r="T104" s="873"/>
      <c r="U104" s="873"/>
      <c r="V104" s="873"/>
      <c r="W104" s="873"/>
      <c r="X104" s="918"/>
      <c r="Y104" s="1286"/>
      <c r="Z104" s="1404"/>
      <c r="AA104" s="1428"/>
      <c r="AB104" s="1565"/>
      <c r="AC104" s="1286"/>
      <c r="AD104" s="918"/>
      <c r="AE104" s="1565"/>
      <c r="AF104" s="1662"/>
      <c r="AG104" s="918"/>
      <c r="AH104" s="918"/>
      <c r="AI104" s="918"/>
      <c r="AJ104" s="918"/>
      <c r="AK104" s="918"/>
      <c r="AL104" s="918"/>
      <c r="AM104" s="918"/>
      <c r="AN104" s="918"/>
      <c r="AO104" s="918"/>
      <c r="AP104" s="918"/>
      <c r="AQ104" s="918"/>
      <c r="AR104" s="640"/>
    </row>
    <row r="105" spans="1:44">
      <c r="A105" s="13"/>
      <c r="B105" s="844"/>
      <c r="C105" s="850"/>
      <c r="D105" s="850"/>
      <c r="E105" s="850"/>
      <c r="F105" s="850"/>
      <c r="G105" s="850"/>
      <c r="H105" s="850"/>
      <c r="I105" s="875"/>
      <c r="J105" s="875"/>
      <c r="K105" s="875"/>
      <c r="L105" s="875"/>
      <c r="M105" s="875"/>
      <c r="N105" s="309"/>
      <c r="O105" s="309"/>
      <c r="P105" s="309"/>
      <c r="Q105" s="309"/>
      <c r="R105" s="309"/>
      <c r="S105" s="309"/>
      <c r="T105" s="309"/>
      <c r="U105" s="309"/>
      <c r="V105" s="309"/>
      <c r="W105" s="309"/>
      <c r="X105" s="309"/>
      <c r="Y105" s="309"/>
      <c r="Z105" s="23"/>
      <c r="AA105" s="23"/>
      <c r="AB105" s="23"/>
      <c r="AC105" s="309"/>
      <c r="AD105" s="309"/>
      <c r="AE105" s="23"/>
      <c r="AF105" s="1299"/>
      <c r="AG105" s="309"/>
      <c r="AH105" s="309"/>
      <c r="AI105" s="309"/>
      <c r="AJ105" s="309"/>
      <c r="AK105" s="309"/>
      <c r="AL105" s="309"/>
      <c r="AM105" s="309"/>
      <c r="AN105" s="309"/>
      <c r="AO105" s="309"/>
      <c r="AP105" s="309"/>
      <c r="AQ105" s="309"/>
      <c r="AR105" s="23"/>
    </row>
    <row r="106" spans="1:44">
      <c r="A106" s="13"/>
      <c r="B106" s="876" t="s">
        <v>89</v>
      </c>
      <c r="C106" s="850"/>
      <c r="D106" s="850"/>
      <c r="E106" s="850"/>
      <c r="F106" s="850"/>
      <c r="G106" s="850"/>
      <c r="H106" s="850"/>
      <c r="I106" s="875"/>
      <c r="J106" s="875"/>
      <c r="K106" s="875"/>
      <c r="L106" s="875"/>
      <c r="M106" s="875"/>
      <c r="N106" s="309"/>
      <c r="O106" s="309"/>
      <c r="P106" s="309"/>
      <c r="Q106" s="309"/>
      <c r="R106" s="309"/>
      <c r="S106" s="309"/>
      <c r="T106" s="309"/>
      <c r="U106" s="309"/>
      <c r="V106" s="309"/>
      <c r="W106" s="309"/>
      <c r="X106" s="309"/>
      <c r="Y106" s="309"/>
      <c r="Z106" s="23"/>
      <c r="AA106" s="23"/>
      <c r="AB106" s="23"/>
      <c r="AC106" s="309"/>
      <c r="AD106" s="309"/>
      <c r="AE106" s="23"/>
      <c r="AF106" s="1299"/>
      <c r="AG106" s="309"/>
      <c r="AH106" s="309"/>
      <c r="AI106" s="309"/>
      <c r="AJ106" s="309"/>
      <c r="AK106" s="309"/>
      <c r="AL106" s="309"/>
      <c r="AM106" s="309"/>
      <c r="AN106" s="309"/>
      <c r="AO106" s="309"/>
      <c r="AP106" s="309"/>
      <c r="AQ106" s="309"/>
      <c r="AR106" s="23"/>
    </row>
    <row r="107" spans="1:44">
      <c r="A107" s="13"/>
      <c r="B107" s="877" t="s">
        <v>412</v>
      </c>
      <c r="C107" s="309">
        <f t="shared" ref="C107:S107" si="350">-C98</f>
        <v>-12.99</v>
      </c>
      <c r="D107" s="309">
        <f t="shared" si="350"/>
        <v>-16.431999999999999</v>
      </c>
      <c r="E107" s="309">
        <f t="shared" si="350"/>
        <v>-1.631</v>
      </c>
      <c r="F107" s="309">
        <f t="shared" si="350"/>
        <v>-4.4930000000000003</v>
      </c>
      <c r="G107" s="309">
        <f t="shared" si="350"/>
        <v>-23.707000000000001</v>
      </c>
      <c r="H107" s="309">
        <f t="shared" si="350"/>
        <v>0</v>
      </c>
      <c r="I107" s="309">
        <f t="shared" si="350"/>
        <v>-35.79</v>
      </c>
      <c r="J107" s="309">
        <f t="shared" si="350"/>
        <v>-51.734999999999999</v>
      </c>
      <c r="K107" s="309">
        <f t="shared" si="350"/>
        <v>-27.245999999999999</v>
      </c>
      <c r="L107" s="309">
        <f t="shared" si="350"/>
        <v>-39.71</v>
      </c>
      <c r="M107" s="309">
        <f t="shared" si="350"/>
        <v>-67.367999999999995</v>
      </c>
      <c r="N107" s="309">
        <f t="shared" si="350"/>
        <v>-43.445</v>
      </c>
      <c r="O107" s="309">
        <f t="shared" si="350"/>
        <v>-49.131</v>
      </c>
      <c r="P107" s="309">
        <f t="shared" si="350"/>
        <v>-51.884</v>
      </c>
      <c r="Q107" s="309">
        <f t="shared" si="350"/>
        <v>-72.8</v>
      </c>
      <c r="R107" s="309">
        <f>-R98</f>
        <v>-72</v>
      </c>
      <c r="S107" s="309">
        <f t="shared" si="350"/>
        <v>-119.2</v>
      </c>
      <c r="T107" s="309">
        <f t="shared" ref="T107:Y107" si="351">-T98</f>
        <v>-251.5</v>
      </c>
      <c r="U107" s="309">
        <f t="shared" si="351"/>
        <v>-263.2</v>
      </c>
      <c r="V107" s="309">
        <f>-V98</f>
        <v>-125.6</v>
      </c>
      <c r="W107" s="309">
        <f>-W98</f>
        <v>-391.18399999999804</v>
      </c>
      <c r="X107" s="309">
        <f t="shared" si="351"/>
        <v>-177.3</v>
      </c>
      <c r="Y107" s="309">
        <f t="shared" si="351"/>
        <v>-177.3</v>
      </c>
      <c r="Z107" s="23">
        <f>-Z98</f>
        <v>-487.98399999999828</v>
      </c>
      <c r="AA107" s="309">
        <f t="shared" ref="AA107:AB107" si="352">-AA98</f>
        <v>-317.7</v>
      </c>
      <c r="AB107" s="309">
        <f t="shared" si="352"/>
        <v>-317.7</v>
      </c>
      <c r="AC107" s="23">
        <f>-AC98</f>
        <v>-556.38399999999876</v>
      </c>
      <c r="AD107" s="309">
        <f t="shared" ref="AD107:AE107" si="353">-AD98</f>
        <v>-284.08399999999841</v>
      </c>
      <c r="AE107" s="309">
        <f t="shared" si="353"/>
        <v>-284.08399999999841</v>
      </c>
      <c r="AF107" s="1299">
        <f>-AF98</f>
        <v>-489.48399999999845</v>
      </c>
      <c r="AG107" s="309">
        <f t="shared" ref="AG107" si="354">-AG98</f>
        <v>-278.73729058787308</v>
      </c>
      <c r="AH107" s="309">
        <f>-AH98</f>
        <v>-278.73729058787302</v>
      </c>
      <c r="AI107" s="309">
        <f t="shared" ref="AI107:AJ107" si="355">-AI98</f>
        <v>-326.68172698675107</v>
      </c>
      <c r="AJ107" s="309">
        <f t="shared" si="355"/>
        <v>-336.69984284409213</v>
      </c>
      <c r="AK107" s="309">
        <f>-AK98</f>
        <v>-336.69984284409219</v>
      </c>
      <c r="AL107" s="309">
        <f t="shared" ref="AL107:AM107" si="356">-AL98</f>
        <v>-392.73420303820353</v>
      </c>
      <c r="AM107" s="309">
        <f t="shared" si="356"/>
        <v>-401.13494328867984</v>
      </c>
      <c r="AN107" s="309">
        <f>-AN98</f>
        <v>-401.13494328867995</v>
      </c>
      <c r="AO107" s="309">
        <f t="shared" ref="AO107:AP107" si="357">-AO98</f>
        <v>-460.65710692456236</v>
      </c>
      <c r="AP107" s="309">
        <f t="shared" si="357"/>
        <v>-468.35923217716908</v>
      </c>
      <c r="AQ107" s="309">
        <f>-AQ98</f>
        <v>-468.35923217716885</v>
      </c>
      <c r="AR107" s="23"/>
    </row>
    <row r="108" spans="1:44">
      <c r="A108" s="13"/>
      <c r="B108" s="877" t="s">
        <v>413</v>
      </c>
      <c r="C108" s="309">
        <f t="shared" ref="C108:AK108" si="358">C89</f>
        <v>37.878</v>
      </c>
      <c r="D108" s="309">
        <f t="shared" si="358"/>
        <v>43.598999999999997</v>
      </c>
      <c r="E108" s="309">
        <f t="shared" si="358"/>
        <v>77.635999999999996</v>
      </c>
      <c r="F108" s="309">
        <f t="shared" si="358"/>
        <v>100.56100000000001</v>
      </c>
      <c r="G108" s="309">
        <f t="shared" si="358"/>
        <v>118.434</v>
      </c>
      <c r="H108" s="309">
        <f t="shared" si="358"/>
        <v>124.517</v>
      </c>
      <c r="I108" s="309">
        <f t="shared" si="358"/>
        <v>89.358000000000004</v>
      </c>
      <c r="J108" s="309">
        <f t="shared" si="358"/>
        <v>69.623999999999995</v>
      </c>
      <c r="K108" s="309">
        <f t="shared" si="358"/>
        <v>232.58199999999999</v>
      </c>
      <c r="L108" s="309">
        <f t="shared" si="358"/>
        <v>149.77500000000001</v>
      </c>
      <c r="M108" s="309">
        <f t="shared" si="358"/>
        <v>124.331</v>
      </c>
      <c r="N108" s="309">
        <f t="shared" si="358"/>
        <v>179.65299999999999</v>
      </c>
      <c r="O108" s="309">
        <f t="shared" si="358"/>
        <v>139.46100000000001</v>
      </c>
      <c r="P108" s="309">
        <f t="shared" si="358"/>
        <v>109.736</v>
      </c>
      <c r="Q108" s="309">
        <f t="shared" si="358"/>
        <v>558.79999999999995</v>
      </c>
      <c r="R108" s="309">
        <f t="shared" si="358"/>
        <v>469.4</v>
      </c>
      <c r="S108" s="309">
        <f t="shared" si="358"/>
        <v>439.1</v>
      </c>
      <c r="T108" s="309">
        <f t="shared" si="358"/>
        <v>0</v>
      </c>
      <c r="U108" s="309">
        <f t="shared" si="358"/>
        <v>0</v>
      </c>
      <c r="V108" s="309">
        <f t="shared" si="358"/>
        <v>59.4</v>
      </c>
      <c r="W108" s="309">
        <f t="shared" ref="W108" si="359">W89</f>
        <v>0</v>
      </c>
      <c r="X108" s="309">
        <f t="shared" si="358"/>
        <v>49.8</v>
      </c>
      <c r="Y108" s="309">
        <f t="shared" si="358"/>
        <v>49.8</v>
      </c>
      <c r="Z108" s="23">
        <f t="shared" si="358"/>
        <v>0</v>
      </c>
      <c r="AA108" s="309">
        <f t="shared" ref="AA108:AC108" si="360">AA89</f>
        <v>15</v>
      </c>
      <c r="AB108" s="309">
        <f t="shared" si="360"/>
        <v>15</v>
      </c>
      <c r="AC108" s="23">
        <f t="shared" si="360"/>
        <v>1.3</v>
      </c>
      <c r="AD108" s="309">
        <f t="shared" si="358"/>
        <v>1.3</v>
      </c>
      <c r="AE108" s="309">
        <f t="shared" si="358"/>
        <v>0</v>
      </c>
      <c r="AF108" s="1299">
        <f t="shared" si="358"/>
        <v>0</v>
      </c>
      <c r="AG108" s="309">
        <f t="shared" si="358"/>
        <v>0</v>
      </c>
      <c r="AH108" s="309">
        <f t="shared" si="358"/>
        <v>0</v>
      </c>
      <c r="AI108" s="309">
        <f t="shared" si="358"/>
        <v>0</v>
      </c>
      <c r="AJ108" s="309">
        <f t="shared" si="358"/>
        <v>0</v>
      </c>
      <c r="AK108" s="309">
        <f t="shared" si="358"/>
        <v>0</v>
      </c>
      <c r="AL108" s="309">
        <f t="shared" ref="AL108:AN108" si="361">AL89</f>
        <v>0</v>
      </c>
      <c r="AM108" s="309">
        <f t="shared" si="361"/>
        <v>0</v>
      </c>
      <c r="AN108" s="309">
        <f t="shared" si="361"/>
        <v>0</v>
      </c>
      <c r="AO108" s="309">
        <f t="shared" ref="AO108:AQ108" si="362">AO89</f>
        <v>0</v>
      </c>
      <c r="AP108" s="309">
        <f t="shared" si="362"/>
        <v>0</v>
      </c>
      <c r="AQ108" s="309">
        <f t="shared" si="362"/>
        <v>0</v>
      </c>
      <c r="AR108" s="23"/>
    </row>
    <row r="109" spans="1:44">
      <c r="A109" s="13" t="s">
        <v>414</v>
      </c>
      <c r="B109" s="33" t="s">
        <v>411</v>
      </c>
      <c r="C109" s="29">
        <f t="shared" ref="C109:S109" si="363">SUM(C107:C108)</f>
        <v>24.887999999999998</v>
      </c>
      <c r="D109" s="29">
        <f t="shared" si="363"/>
        <v>27.166999999999998</v>
      </c>
      <c r="E109" s="29">
        <f t="shared" si="363"/>
        <v>76.004999999999995</v>
      </c>
      <c r="F109" s="29">
        <f t="shared" si="363"/>
        <v>96.068000000000012</v>
      </c>
      <c r="G109" s="29">
        <f t="shared" si="363"/>
        <v>94.727000000000004</v>
      </c>
      <c r="H109" s="29">
        <f t="shared" si="363"/>
        <v>124.517</v>
      </c>
      <c r="I109" s="29">
        <f t="shared" si="363"/>
        <v>53.568000000000005</v>
      </c>
      <c r="J109" s="29">
        <f t="shared" si="363"/>
        <v>17.888999999999996</v>
      </c>
      <c r="K109" s="29">
        <f t="shared" si="363"/>
        <v>205.33599999999998</v>
      </c>
      <c r="L109" s="29">
        <f t="shared" si="363"/>
        <v>110.065</v>
      </c>
      <c r="M109" s="29">
        <f t="shared" si="363"/>
        <v>56.963000000000008</v>
      </c>
      <c r="N109" s="29">
        <f t="shared" si="363"/>
        <v>136.208</v>
      </c>
      <c r="O109" s="29">
        <f t="shared" si="363"/>
        <v>90.330000000000013</v>
      </c>
      <c r="P109" s="29">
        <f t="shared" si="363"/>
        <v>57.852000000000004</v>
      </c>
      <c r="Q109" s="29">
        <f t="shared" si="363"/>
        <v>485.99999999999994</v>
      </c>
      <c r="R109" s="29">
        <f t="shared" si="363"/>
        <v>397.4</v>
      </c>
      <c r="S109" s="29">
        <f t="shared" si="363"/>
        <v>319.90000000000003</v>
      </c>
      <c r="T109" s="29">
        <f t="shared" ref="T109:Z109" si="364">SUM(T107:T108)</f>
        <v>-251.5</v>
      </c>
      <c r="U109" s="29">
        <f t="shared" si="364"/>
        <v>-263.2</v>
      </c>
      <c r="V109" s="1152">
        <f t="shared" si="364"/>
        <v>-66.199999999999989</v>
      </c>
      <c r="W109" s="1152">
        <f t="shared" ref="W109" si="365">SUM(W107:W108)</f>
        <v>-391.18399999999804</v>
      </c>
      <c r="X109" s="939">
        <f t="shared" si="364"/>
        <v>-127.50000000000001</v>
      </c>
      <c r="Y109" s="1287">
        <f t="shared" si="364"/>
        <v>-127.50000000000001</v>
      </c>
      <c r="Z109" s="939">
        <f t="shared" si="364"/>
        <v>-487.98399999999828</v>
      </c>
      <c r="AA109" s="939">
        <f t="shared" ref="AA109:AC109" si="366">SUM(AA107:AA108)</f>
        <v>-302.7</v>
      </c>
      <c r="AB109" s="1566">
        <f t="shared" si="366"/>
        <v>-302.7</v>
      </c>
      <c r="AC109" s="1567">
        <f t="shared" si="366"/>
        <v>-555.08399999999881</v>
      </c>
      <c r="AD109" s="939">
        <f t="shared" ref="AD109:AF109" si="367">SUM(AD107:AD108)</f>
        <v>-282.7839999999984</v>
      </c>
      <c r="AE109" s="1566">
        <f t="shared" si="367"/>
        <v>-284.08399999999841</v>
      </c>
      <c r="AF109" s="1788">
        <f t="shared" si="367"/>
        <v>-489.48399999999845</v>
      </c>
      <c r="AG109" s="939">
        <f t="shared" ref="AG109" si="368">SUM(AG107:AG108)</f>
        <v>-278.73729058787308</v>
      </c>
      <c r="AH109" s="939">
        <f>SUM(AH107:AH108)</f>
        <v>-278.73729058787302</v>
      </c>
      <c r="AI109" s="939">
        <f t="shared" ref="AI109:AJ109" si="369">SUM(AI107:AI108)</f>
        <v>-326.68172698675107</v>
      </c>
      <c r="AJ109" s="939">
        <f t="shared" si="369"/>
        <v>-336.69984284409213</v>
      </c>
      <c r="AK109" s="939">
        <f>SUM(AK107:AK108)</f>
        <v>-336.69984284409219</v>
      </c>
      <c r="AL109" s="939">
        <f t="shared" ref="AL109:AM109" si="370">SUM(AL107:AL108)</f>
        <v>-392.73420303820353</v>
      </c>
      <c r="AM109" s="939">
        <f t="shared" si="370"/>
        <v>-401.13494328867984</v>
      </c>
      <c r="AN109" s="939">
        <f>SUM(AN107:AN108)</f>
        <v>-401.13494328867995</v>
      </c>
      <c r="AO109" s="939">
        <f t="shared" ref="AO109:AP109" si="371">SUM(AO107:AO108)</f>
        <v>-460.65710692456236</v>
      </c>
      <c r="AP109" s="939">
        <f t="shared" si="371"/>
        <v>-468.35923217716908</v>
      </c>
      <c r="AQ109" s="939">
        <f>SUM(AQ107:AQ108)</f>
        <v>-468.35923217716885</v>
      </c>
      <c r="AR109" s="32"/>
    </row>
    <row r="110" spans="1:44">
      <c r="A110" s="30"/>
      <c r="B110" s="877"/>
      <c r="C110" s="309"/>
      <c r="D110" s="309"/>
      <c r="E110" s="309"/>
      <c r="F110" s="309"/>
      <c r="G110" s="309"/>
      <c r="H110" s="309"/>
      <c r="I110" s="309"/>
      <c r="J110" s="309"/>
      <c r="K110" s="309"/>
      <c r="L110" s="309"/>
      <c r="M110" s="309"/>
      <c r="N110" s="309"/>
      <c r="O110" s="309"/>
      <c r="P110" s="309"/>
      <c r="Q110" s="309"/>
      <c r="R110" s="309"/>
      <c r="S110" s="309"/>
      <c r="T110" s="309"/>
      <c r="U110" s="309"/>
      <c r="V110" s="309"/>
      <c r="W110" s="309"/>
      <c r="X110" s="309"/>
      <c r="Y110" s="309"/>
      <c r="Z110" s="23"/>
      <c r="AA110" s="309"/>
      <c r="AB110" s="309"/>
      <c r="AC110" s="23"/>
      <c r="AD110" s="309"/>
      <c r="AE110" s="309"/>
      <c r="AF110" s="1299"/>
      <c r="AG110" s="309"/>
      <c r="AH110" s="309"/>
      <c r="AI110" s="309"/>
      <c r="AJ110" s="309"/>
      <c r="AK110" s="309"/>
      <c r="AL110" s="309"/>
      <c r="AM110" s="309"/>
      <c r="AN110" s="309"/>
      <c r="AO110" s="309"/>
      <c r="AP110" s="309"/>
      <c r="AQ110" s="309"/>
      <c r="AR110" s="23"/>
    </row>
    <row r="111" spans="1:44">
      <c r="A111" s="37"/>
      <c r="B111" s="537" t="s">
        <v>91</v>
      </c>
      <c r="C111" s="309"/>
      <c r="D111" s="309"/>
      <c r="E111" s="309"/>
      <c r="F111" s="309"/>
      <c r="G111" s="309"/>
      <c r="H111" s="309"/>
      <c r="I111" s="309"/>
      <c r="J111" s="309"/>
      <c r="K111" s="309"/>
      <c r="L111" s="309"/>
      <c r="M111" s="309"/>
      <c r="N111" s="309"/>
      <c r="O111" s="309"/>
      <c r="P111" s="309"/>
      <c r="Q111" s="309"/>
      <c r="R111" s="309"/>
      <c r="S111" s="309"/>
      <c r="T111" s="309"/>
      <c r="U111" s="309"/>
      <c r="V111" s="309"/>
      <c r="W111" s="309"/>
      <c r="X111" s="309"/>
      <c r="Y111" s="309"/>
      <c r="Z111" s="23"/>
      <c r="AA111" s="309"/>
      <c r="AB111" s="309"/>
      <c r="AC111" s="23"/>
      <c r="AD111" s="309"/>
      <c r="AE111" s="309"/>
      <c r="AF111" s="1299"/>
      <c r="AG111" s="309"/>
      <c r="AH111" s="309"/>
      <c r="AI111" s="309"/>
      <c r="AJ111" s="309"/>
      <c r="AK111" s="309"/>
      <c r="AL111" s="309"/>
      <c r="AM111" s="309"/>
      <c r="AN111" s="309"/>
      <c r="AO111" s="309"/>
      <c r="AP111" s="309"/>
      <c r="AQ111" s="309"/>
      <c r="AR111" s="23"/>
    </row>
    <row r="112" spans="1:44">
      <c r="A112" s="38"/>
      <c r="B112" s="877"/>
      <c r="C112" s="309"/>
      <c r="D112" s="309"/>
      <c r="E112" s="309"/>
      <c r="F112" s="309"/>
      <c r="G112" s="309"/>
      <c r="H112" s="309"/>
      <c r="I112" s="309"/>
      <c r="J112" s="309"/>
      <c r="K112" s="309"/>
      <c r="L112" s="309"/>
      <c r="M112" s="309"/>
      <c r="N112" s="309"/>
      <c r="O112" s="309"/>
      <c r="P112" s="309"/>
      <c r="Q112" s="309"/>
      <c r="R112" s="309"/>
      <c r="S112" s="309"/>
      <c r="T112" s="309"/>
      <c r="U112" s="309"/>
      <c r="V112" s="309"/>
      <c r="W112" s="309"/>
      <c r="X112" s="309"/>
      <c r="Y112" s="309"/>
      <c r="Z112" s="23"/>
      <c r="AA112" s="309"/>
      <c r="AB112" s="309"/>
      <c r="AC112" s="23"/>
      <c r="AD112" s="309"/>
      <c r="AE112" s="309"/>
      <c r="AF112" s="1299"/>
      <c r="AG112" s="309"/>
      <c r="AH112" s="309"/>
      <c r="AI112" s="309"/>
      <c r="AJ112" s="309"/>
      <c r="AK112" s="309"/>
      <c r="AL112" s="309"/>
      <c r="AM112" s="309"/>
      <c r="AN112" s="309"/>
      <c r="AO112" s="309"/>
      <c r="AP112" s="309"/>
      <c r="AQ112" s="309"/>
      <c r="AR112" s="23"/>
    </row>
    <row r="113" spans="1:44" outlineLevel="1">
      <c r="A113" s="39"/>
      <c r="B113" s="878" t="s">
        <v>92</v>
      </c>
      <c r="C113" s="879">
        <f t="shared" ref="C113:O113" si="372">SUM(C109:C111)</f>
        <v>24.887999999999998</v>
      </c>
      <c r="D113" s="879">
        <f t="shared" si="372"/>
        <v>27.166999999999998</v>
      </c>
      <c r="E113" s="879">
        <f t="shared" si="372"/>
        <v>76.004999999999995</v>
      </c>
      <c r="F113" s="879">
        <f t="shared" si="372"/>
        <v>96.068000000000012</v>
      </c>
      <c r="G113" s="879">
        <f t="shared" si="372"/>
        <v>94.727000000000004</v>
      </c>
      <c r="H113" s="879">
        <f t="shared" si="372"/>
        <v>124.517</v>
      </c>
      <c r="I113" s="879">
        <f t="shared" si="372"/>
        <v>53.568000000000005</v>
      </c>
      <c r="J113" s="879">
        <f t="shared" si="372"/>
        <v>17.888999999999996</v>
      </c>
      <c r="K113" s="879">
        <f t="shared" si="372"/>
        <v>205.33599999999998</v>
      </c>
      <c r="L113" s="879">
        <f t="shared" si="372"/>
        <v>110.065</v>
      </c>
      <c r="M113" s="879">
        <f>SUM(M109:M111)</f>
        <v>56.963000000000008</v>
      </c>
      <c r="N113" s="879">
        <f t="shared" si="372"/>
        <v>136.208</v>
      </c>
      <c r="O113" s="879">
        <f t="shared" si="372"/>
        <v>90.330000000000013</v>
      </c>
      <c r="P113" s="879">
        <f t="shared" ref="P113:U113" si="373">SUM(P109:P111)</f>
        <v>57.852000000000004</v>
      </c>
      <c r="Q113" s="879">
        <f t="shared" si="373"/>
        <v>485.99999999999994</v>
      </c>
      <c r="R113" s="879">
        <f>SUM(R109:R111)</f>
        <v>397.4</v>
      </c>
      <c r="S113" s="879">
        <f>SUM(S109:S111)</f>
        <v>319.90000000000003</v>
      </c>
      <c r="T113" s="879">
        <f>SUM(T109:T111)</f>
        <v>-251.5</v>
      </c>
      <c r="U113" s="879">
        <f t="shared" si="373"/>
        <v>-263.2</v>
      </c>
      <c r="V113" s="1155">
        <f t="shared" ref="V113:AM113" si="374">SUM(V109:V111)</f>
        <v>-66.199999999999989</v>
      </c>
      <c r="W113" s="1155">
        <f t="shared" ref="W113" si="375">SUM(W109:W111)</f>
        <v>-391.18399999999804</v>
      </c>
      <c r="X113" s="879">
        <f t="shared" si="374"/>
        <v>-127.50000000000001</v>
      </c>
      <c r="Y113" s="1282">
        <f t="shared" si="374"/>
        <v>-127.50000000000001</v>
      </c>
      <c r="Z113" s="1400">
        <f t="shared" si="374"/>
        <v>-487.98399999999828</v>
      </c>
      <c r="AA113" s="879">
        <f t="shared" ref="AA113:AC113" si="376">SUM(AA109:AA111)</f>
        <v>-302.7</v>
      </c>
      <c r="AB113" s="1562">
        <f t="shared" si="376"/>
        <v>-302.7</v>
      </c>
      <c r="AC113" s="1676">
        <f t="shared" si="376"/>
        <v>-555.08399999999881</v>
      </c>
      <c r="AD113" s="879">
        <f t="shared" ref="AD113:AF113" si="377">SUM(AD109:AD111)</f>
        <v>-282.7839999999984</v>
      </c>
      <c r="AE113" s="1562">
        <f t="shared" si="377"/>
        <v>-284.08399999999841</v>
      </c>
      <c r="AF113" s="1659">
        <f t="shared" si="377"/>
        <v>-489.48399999999845</v>
      </c>
      <c r="AG113" s="879">
        <f t="shared" ref="AG113" si="378">SUM(AG109:AG111)</f>
        <v>-278.73729058787308</v>
      </c>
      <c r="AH113" s="879">
        <f t="shared" si="374"/>
        <v>-278.73729058787302</v>
      </c>
      <c r="AI113" s="879">
        <f t="shared" ref="AI113:AJ113" si="379">SUM(AI109:AI111)</f>
        <v>-326.68172698675107</v>
      </c>
      <c r="AJ113" s="879">
        <f t="shared" si="379"/>
        <v>-336.69984284409213</v>
      </c>
      <c r="AK113" s="879">
        <f t="shared" si="374"/>
        <v>-336.69984284409219</v>
      </c>
      <c r="AL113" s="879">
        <f t="shared" si="374"/>
        <v>-392.73420303820353</v>
      </c>
      <c r="AM113" s="879">
        <f t="shared" si="374"/>
        <v>-401.13494328867984</v>
      </c>
      <c r="AN113" s="879">
        <f t="shared" ref="AN113:AP113" si="380">SUM(AN109:AN111)</f>
        <v>-401.13494328867995</v>
      </c>
      <c r="AO113" s="879">
        <f t="shared" si="380"/>
        <v>-460.65710692456236</v>
      </c>
      <c r="AP113" s="879">
        <f t="shared" si="380"/>
        <v>-468.35923217716908</v>
      </c>
      <c r="AQ113" s="879">
        <f t="shared" ref="AQ113" si="381">SUM(AQ109:AQ111)</f>
        <v>-468.35923217716885</v>
      </c>
      <c r="AR113" s="23"/>
    </row>
    <row r="114" spans="1:44" outlineLevel="1">
      <c r="A114" s="13"/>
      <c r="B114" s="857"/>
      <c r="C114" s="844"/>
      <c r="D114" s="844"/>
      <c r="E114" s="844"/>
      <c r="F114" s="844"/>
      <c r="G114" s="844"/>
      <c r="H114" s="844"/>
      <c r="I114" s="844"/>
      <c r="J114" s="844"/>
      <c r="K114" s="844"/>
      <c r="L114" s="844"/>
      <c r="M114" s="844"/>
      <c r="N114" s="844"/>
      <c r="O114" s="844"/>
      <c r="P114" s="844"/>
      <c r="Q114" s="844"/>
      <c r="R114" s="844"/>
      <c r="S114" s="844"/>
      <c r="T114" s="844"/>
      <c r="U114" s="844"/>
      <c r="V114" s="844"/>
      <c r="W114" s="844"/>
      <c r="X114" s="844"/>
      <c r="Y114" s="844"/>
      <c r="Z114" s="21"/>
      <c r="AA114" s="844"/>
      <c r="AB114" s="844"/>
      <c r="AC114" s="21"/>
      <c r="AD114" s="844"/>
      <c r="AE114" s="844"/>
      <c r="AF114" s="1665"/>
      <c r="AG114" s="844"/>
      <c r="AH114" s="844"/>
      <c r="AI114" s="844"/>
      <c r="AJ114" s="844"/>
      <c r="AK114" s="844"/>
      <c r="AL114" s="844"/>
      <c r="AM114" s="844"/>
      <c r="AN114" s="844"/>
      <c r="AO114" s="844"/>
      <c r="AP114" s="844"/>
      <c r="AQ114" s="844"/>
      <c r="AR114" s="21"/>
    </row>
    <row r="115" spans="1:44" outlineLevel="1">
      <c r="A115" s="45"/>
      <c r="B115" s="857" t="s">
        <v>94</v>
      </c>
      <c r="C115" s="858"/>
      <c r="D115" s="858"/>
      <c r="E115" s="858"/>
      <c r="F115" s="858"/>
      <c r="G115" s="858"/>
      <c r="H115" s="858"/>
      <c r="I115" s="858"/>
      <c r="J115" s="858"/>
      <c r="K115" s="858"/>
      <c r="L115" s="858"/>
      <c r="M115" s="858"/>
      <c r="N115" s="858"/>
      <c r="O115" s="858"/>
      <c r="P115" s="858"/>
      <c r="Q115" s="858"/>
      <c r="R115" s="858"/>
      <c r="S115" s="858"/>
      <c r="T115" s="858"/>
      <c r="U115" s="858"/>
      <c r="V115" s="858"/>
      <c r="W115" s="858"/>
      <c r="X115" s="858"/>
      <c r="Y115" s="858"/>
      <c r="Z115" s="36"/>
      <c r="AA115" s="858"/>
      <c r="AB115" s="858"/>
      <c r="AC115" s="36"/>
      <c r="AD115" s="858"/>
      <c r="AE115" s="858"/>
      <c r="AF115" s="1660"/>
      <c r="AG115" s="858"/>
      <c r="AH115" s="858"/>
      <c r="AI115" s="858"/>
      <c r="AJ115" s="858"/>
      <c r="AK115" s="858"/>
      <c r="AL115" s="858"/>
      <c r="AM115" s="858"/>
      <c r="AN115" s="858"/>
      <c r="AO115" s="858"/>
      <c r="AP115" s="858"/>
      <c r="AQ115" s="858"/>
      <c r="AR115" s="36"/>
    </row>
    <row r="116" spans="1:44" outlineLevel="1">
      <c r="A116" s="30"/>
      <c r="B116" s="844" t="s">
        <v>98</v>
      </c>
      <c r="C116" s="309"/>
      <c r="D116" s="309">
        <f t="shared" ref="D116:L116" si="382">+C132</f>
        <v>14.88</v>
      </c>
      <c r="E116" s="309">
        <v>1221.7</v>
      </c>
      <c r="F116" s="309">
        <f t="shared" si="382"/>
        <v>35.908000000000001</v>
      </c>
      <c r="G116" s="309">
        <f t="shared" si="382"/>
        <v>57.206000000000003</v>
      </c>
      <c r="H116" s="309">
        <f t="shared" si="382"/>
        <v>80.144000000000005</v>
      </c>
      <c r="I116" s="309">
        <f t="shared" si="382"/>
        <v>112.923</v>
      </c>
      <c r="J116" s="309">
        <f t="shared" si="382"/>
        <v>136.06299999999999</v>
      </c>
      <c r="K116" s="309">
        <f t="shared" si="382"/>
        <v>163.982</v>
      </c>
      <c r="L116" s="309">
        <f t="shared" si="382"/>
        <v>169.59</v>
      </c>
      <c r="M116" s="309">
        <f t="shared" ref="M116:V116" si="383">+L132</f>
        <v>182.048</v>
      </c>
      <c r="N116" s="309">
        <f t="shared" si="383"/>
        <v>181.09800000000001</v>
      </c>
      <c r="O116" s="309">
        <f>+N132</f>
        <v>181.56399999999999</v>
      </c>
      <c r="P116" s="309">
        <f t="shared" si="383"/>
        <v>176.208</v>
      </c>
      <c r="Q116" s="309">
        <f t="shared" si="383"/>
        <v>183.57</v>
      </c>
      <c r="R116" s="309">
        <f t="shared" si="383"/>
        <v>208.2</v>
      </c>
      <c r="S116" s="309">
        <f t="shared" si="383"/>
        <v>198</v>
      </c>
      <c r="T116" s="309">
        <f t="shared" si="383"/>
        <v>191.5</v>
      </c>
      <c r="U116" s="309">
        <f t="shared" si="383"/>
        <v>172.3</v>
      </c>
      <c r="V116" s="309">
        <f t="shared" si="383"/>
        <v>169</v>
      </c>
      <c r="W116" s="309">
        <f>V132</f>
        <v>169</v>
      </c>
      <c r="X116" s="309">
        <f>W132</f>
        <v>173.7</v>
      </c>
      <c r="Y116" s="309">
        <f>+V132</f>
        <v>169</v>
      </c>
      <c r="Z116" s="23">
        <f>Y132</f>
        <v>182.8</v>
      </c>
      <c r="AA116" s="309">
        <f>Z132</f>
        <v>190.3</v>
      </c>
      <c r="AB116" s="309">
        <f>+Y132</f>
        <v>182.8</v>
      </c>
      <c r="AC116" s="309">
        <f>AB132</f>
        <v>196.9</v>
      </c>
      <c r="AD116" s="309">
        <f>AC132</f>
        <v>214</v>
      </c>
      <c r="AE116" s="309">
        <f>+AB132</f>
        <v>196.9</v>
      </c>
      <c r="AF116" s="1326">
        <f>AE132</f>
        <v>224.8</v>
      </c>
      <c r="AG116" s="309">
        <f>AF132</f>
        <v>237.4</v>
      </c>
      <c r="AH116" s="309">
        <f>+AE132</f>
        <v>224.8</v>
      </c>
      <c r="AI116" s="309">
        <f>AH132</f>
        <v>240.54309407807125</v>
      </c>
      <c r="AJ116" s="309">
        <f>AI132</f>
        <v>250.14247289861859</v>
      </c>
      <c r="AK116" s="309">
        <f>+AH132</f>
        <v>240.54309407807125</v>
      </c>
      <c r="AL116" s="309">
        <f>AK132</f>
        <v>261.33423100093381</v>
      </c>
      <c r="AM116" s="309">
        <f>AL132</f>
        <v>271.23963566313603</v>
      </c>
      <c r="AN116" s="309">
        <f>+AK132</f>
        <v>261.33423100093381</v>
      </c>
      <c r="AO116" s="309">
        <f>AN132</f>
        <v>279.2957445480593</v>
      </c>
      <c r="AP116" s="309">
        <f>AO132</f>
        <v>287.80920605484067</v>
      </c>
      <c r="AQ116" s="309">
        <f>+AN132</f>
        <v>279.2957445480593</v>
      </c>
      <c r="AR116" s="23"/>
    </row>
    <row r="117" spans="1:44" outlineLevel="1">
      <c r="A117" s="30"/>
      <c r="B117" s="844" t="s">
        <v>110</v>
      </c>
      <c r="C117" s="875"/>
      <c r="D117" s="875"/>
      <c r="E117" s="875"/>
      <c r="F117" s="875"/>
      <c r="G117" s="875"/>
      <c r="H117" s="875"/>
      <c r="I117" s="875"/>
      <c r="J117" s="875"/>
      <c r="K117" s="875"/>
      <c r="L117" s="875"/>
      <c r="M117" s="850"/>
      <c r="N117" s="850"/>
      <c r="O117" s="850">
        <v>0</v>
      </c>
      <c r="P117" s="850">
        <v>0</v>
      </c>
      <c r="Q117" s="850">
        <v>0</v>
      </c>
      <c r="R117" s="850">
        <v>0</v>
      </c>
      <c r="S117" s="850">
        <v>0</v>
      </c>
      <c r="T117" s="850">
        <v>0</v>
      </c>
      <c r="U117" s="850">
        <v>0</v>
      </c>
      <c r="V117" s="850">
        <v>0</v>
      </c>
      <c r="W117" s="850">
        <v>0</v>
      </c>
      <c r="X117" s="919">
        <f>Y117-W117</f>
        <v>0</v>
      </c>
      <c r="Y117" s="850">
        <v>0</v>
      </c>
      <c r="Z117" s="50">
        <v>0</v>
      </c>
      <c r="AA117" s="919">
        <f>AB117-Z117</f>
        <v>0</v>
      </c>
      <c r="AB117" s="850">
        <v>0</v>
      </c>
      <c r="AC117" s="850">
        <f>-CFS!AC28</f>
        <v>41</v>
      </c>
      <c r="AD117" s="850">
        <f>AE117-AC117</f>
        <v>-0.20000000000000284</v>
      </c>
      <c r="AE117" s="50">
        <f>-CFS!AE28</f>
        <v>40.799999999999997</v>
      </c>
      <c r="AF117" s="1413">
        <f>-CFS!AF28</f>
        <v>0</v>
      </c>
      <c r="AG117" s="850">
        <f t="shared" ref="AG117" si="384">AH117-AF117</f>
        <v>0</v>
      </c>
      <c r="AH117" s="850">
        <v>0</v>
      </c>
      <c r="AI117" s="850">
        <v>0</v>
      </c>
      <c r="AJ117" s="850">
        <f t="shared" ref="AJ117" si="385">AK117-AI117</f>
        <v>0</v>
      </c>
      <c r="AK117" s="850">
        <v>0</v>
      </c>
      <c r="AL117" s="850">
        <v>0</v>
      </c>
      <c r="AM117" s="850">
        <f t="shared" ref="AM117" si="386">AN117-AL117</f>
        <v>0</v>
      </c>
      <c r="AN117" s="850">
        <v>0</v>
      </c>
      <c r="AO117" s="850">
        <v>0</v>
      </c>
      <c r="AP117" s="850">
        <f t="shared" ref="AP117" si="387">AQ117-AO117</f>
        <v>0</v>
      </c>
      <c r="AQ117" s="850">
        <v>0</v>
      </c>
      <c r="AR117" s="50"/>
    </row>
    <row r="118" spans="1:44" outlineLevel="1">
      <c r="A118" s="30"/>
      <c r="B118" s="844" t="s">
        <v>418</v>
      </c>
      <c r="C118" s="875"/>
      <c r="D118" s="875"/>
      <c r="E118" s="875"/>
      <c r="F118" s="875"/>
      <c r="G118" s="850"/>
      <c r="H118" s="850"/>
      <c r="I118" s="850"/>
      <c r="J118" s="850"/>
      <c r="K118" s="850"/>
      <c r="L118" s="850"/>
      <c r="M118" s="850"/>
      <c r="N118" s="850"/>
      <c r="O118" s="850"/>
      <c r="P118" s="850"/>
      <c r="Q118" s="850"/>
      <c r="R118" s="850"/>
      <c r="S118" s="850"/>
      <c r="T118" s="850"/>
      <c r="U118" s="850"/>
      <c r="V118" s="850"/>
      <c r="W118" s="850"/>
      <c r="X118" s="850"/>
      <c r="Y118" s="850"/>
      <c r="Z118" s="50"/>
      <c r="AA118" s="850"/>
      <c r="AB118" s="850"/>
      <c r="AC118" s="850"/>
      <c r="AD118" s="850"/>
      <c r="AE118" s="50"/>
      <c r="AF118" s="1575"/>
      <c r="AG118" s="850"/>
      <c r="AH118" s="850"/>
      <c r="AI118" s="850"/>
      <c r="AJ118" s="850"/>
      <c r="AK118" s="850"/>
      <c r="AL118" s="850"/>
      <c r="AM118" s="850"/>
      <c r="AN118" s="850"/>
      <c r="AO118" s="850"/>
      <c r="AP118" s="850"/>
      <c r="AQ118" s="850"/>
      <c r="AR118" s="50"/>
    </row>
    <row r="119" spans="1:44" outlineLevel="1">
      <c r="A119" s="30"/>
      <c r="B119" s="844" t="s">
        <v>419</v>
      </c>
      <c r="C119" s="875"/>
      <c r="D119" s="875"/>
      <c r="E119" s="875"/>
      <c r="F119" s="875"/>
      <c r="G119" s="850"/>
      <c r="H119" s="850"/>
      <c r="I119" s="850"/>
      <c r="J119" s="850"/>
      <c r="K119" s="850"/>
      <c r="L119" s="850"/>
      <c r="M119" s="850"/>
      <c r="N119" s="850"/>
      <c r="O119" s="850"/>
      <c r="P119" s="850"/>
      <c r="Q119" s="850"/>
      <c r="R119" s="850"/>
      <c r="S119" s="850"/>
      <c r="T119" s="850"/>
      <c r="U119" s="850"/>
      <c r="V119" s="850"/>
      <c r="W119" s="850"/>
      <c r="X119" s="850"/>
      <c r="Y119" s="850"/>
      <c r="Z119" s="50"/>
      <c r="AA119" s="850"/>
      <c r="AB119" s="850"/>
      <c r="AC119" s="850"/>
      <c r="AD119" s="850"/>
      <c r="AE119" s="50"/>
      <c r="AF119" s="1575"/>
      <c r="AG119" s="850"/>
      <c r="AH119" s="850"/>
      <c r="AI119" s="850"/>
      <c r="AJ119" s="850"/>
      <c r="AK119" s="850"/>
      <c r="AL119" s="850"/>
      <c r="AM119" s="850"/>
      <c r="AN119" s="850"/>
      <c r="AO119" s="850"/>
      <c r="AP119" s="850"/>
      <c r="AQ119" s="850"/>
      <c r="AR119" s="50"/>
    </row>
    <row r="120" spans="1:44" outlineLevel="1">
      <c r="A120" s="30"/>
      <c r="B120" s="844" t="s">
        <v>426</v>
      </c>
      <c r="C120" s="875"/>
      <c r="D120" s="875"/>
      <c r="E120" s="875"/>
      <c r="F120" s="875"/>
      <c r="G120" s="850"/>
      <c r="H120" s="850"/>
      <c r="I120" s="850"/>
      <c r="J120" s="850"/>
      <c r="K120" s="850"/>
      <c r="L120" s="850"/>
      <c r="M120" s="850"/>
      <c r="N120" s="850"/>
      <c r="O120" s="850"/>
      <c r="P120" s="850"/>
      <c r="Q120" s="850"/>
      <c r="R120" s="850"/>
      <c r="S120" s="850"/>
      <c r="T120" s="850"/>
      <c r="U120" s="850"/>
      <c r="V120" s="850"/>
      <c r="W120" s="850"/>
      <c r="X120" s="850"/>
      <c r="Y120" s="850"/>
      <c r="Z120" s="50"/>
      <c r="AA120" s="850"/>
      <c r="AB120" s="850"/>
      <c r="AC120" s="850"/>
      <c r="AD120" s="850"/>
      <c r="AE120" s="50"/>
      <c r="AF120" s="1575"/>
      <c r="AG120" s="850"/>
      <c r="AH120" s="850"/>
      <c r="AI120" s="850"/>
      <c r="AJ120" s="850"/>
      <c r="AK120" s="850"/>
      <c r="AL120" s="850"/>
      <c r="AM120" s="850"/>
      <c r="AN120" s="850"/>
      <c r="AO120" s="850"/>
      <c r="AP120" s="850"/>
      <c r="AQ120" s="850"/>
      <c r="AR120" s="50"/>
    </row>
    <row r="121" spans="1:44" outlineLevel="1">
      <c r="A121" s="30"/>
      <c r="B121" s="844" t="s">
        <v>420</v>
      </c>
      <c r="C121" s="875"/>
      <c r="D121" s="875"/>
      <c r="E121" s="875"/>
      <c r="F121" s="875"/>
      <c r="G121" s="850"/>
      <c r="H121" s="850"/>
      <c r="I121" s="850"/>
      <c r="J121" s="850"/>
      <c r="K121" s="850"/>
      <c r="L121" s="850"/>
      <c r="M121" s="850"/>
      <c r="N121" s="850"/>
      <c r="O121" s="850"/>
      <c r="P121" s="850"/>
      <c r="Q121" s="850"/>
      <c r="R121" s="850"/>
      <c r="S121" s="850"/>
      <c r="T121" s="850"/>
      <c r="U121" s="850"/>
      <c r="V121" s="850"/>
      <c r="W121" s="850"/>
      <c r="X121" s="850"/>
      <c r="Y121" s="850"/>
      <c r="Z121" s="50"/>
      <c r="AA121" s="850"/>
      <c r="AB121" s="850"/>
      <c r="AC121" s="850"/>
      <c r="AD121" s="850"/>
      <c r="AE121" s="50"/>
      <c r="AF121" s="1575"/>
      <c r="AG121" s="850"/>
      <c r="AH121" s="850"/>
      <c r="AI121" s="850"/>
      <c r="AJ121" s="850"/>
      <c r="AK121" s="850"/>
      <c r="AL121" s="850"/>
      <c r="AM121" s="850"/>
      <c r="AN121" s="850"/>
      <c r="AO121" s="850"/>
      <c r="AP121" s="850"/>
      <c r="AQ121" s="850"/>
      <c r="AR121" s="50"/>
    </row>
    <row r="122" spans="1:44" outlineLevel="1">
      <c r="A122" s="30"/>
      <c r="B122" s="844" t="s">
        <v>421</v>
      </c>
      <c r="C122" s="875"/>
      <c r="D122" s="875"/>
      <c r="E122" s="875"/>
      <c r="F122" s="875"/>
      <c r="G122" s="309"/>
      <c r="H122" s="309"/>
      <c r="I122" s="309"/>
      <c r="J122" s="309"/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09"/>
      <c r="X122" s="850"/>
      <c r="Y122" s="774"/>
      <c r="Z122" s="23"/>
      <c r="AA122" s="850"/>
      <c r="AB122" s="774"/>
      <c r="AC122" s="850"/>
      <c r="AD122" s="850"/>
      <c r="AE122" s="50"/>
      <c r="AF122" s="1575"/>
      <c r="AG122" s="850"/>
      <c r="AH122" s="850"/>
      <c r="AI122" s="850"/>
      <c r="AJ122" s="850"/>
      <c r="AK122" s="850"/>
      <c r="AL122" s="850"/>
      <c r="AM122" s="850"/>
      <c r="AN122" s="850"/>
      <c r="AO122" s="850"/>
      <c r="AP122" s="850"/>
      <c r="AQ122" s="850"/>
      <c r="AR122" s="50"/>
    </row>
    <row r="123" spans="1:44" outlineLevel="1">
      <c r="A123" s="30"/>
      <c r="B123" s="537" t="s">
        <v>423</v>
      </c>
      <c r="C123" s="875"/>
      <c r="D123" s="875"/>
      <c r="E123" s="875"/>
      <c r="F123" s="875"/>
      <c r="G123" s="850"/>
      <c r="H123" s="850"/>
      <c r="I123" s="850"/>
      <c r="J123" s="850"/>
      <c r="K123" s="850"/>
      <c r="L123" s="850"/>
      <c r="M123" s="850"/>
      <c r="N123" s="850"/>
      <c r="O123" s="850"/>
      <c r="P123" s="850"/>
      <c r="Q123" s="850" t="s">
        <v>636</v>
      </c>
      <c r="R123" s="850" t="s">
        <v>636</v>
      </c>
      <c r="S123" s="850"/>
      <c r="T123" s="850"/>
      <c r="U123" s="850"/>
      <c r="V123" s="850"/>
      <c r="W123" s="850"/>
      <c r="X123" s="850"/>
      <c r="Y123" s="850"/>
      <c r="Z123" s="50"/>
      <c r="AA123" s="850"/>
      <c r="AB123" s="850"/>
      <c r="AC123" s="850"/>
      <c r="AD123" s="850"/>
      <c r="AE123" s="50"/>
      <c r="AF123" s="1575"/>
      <c r="AG123" s="850"/>
      <c r="AH123" s="850"/>
      <c r="AI123" s="850"/>
      <c r="AJ123" s="850"/>
      <c r="AK123" s="850"/>
      <c r="AL123" s="850"/>
      <c r="AM123" s="850"/>
      <c r="AN123" s="850"/>
      <c r="AO123" s="850"/>
      <c r="AP123" s="850"/>
      <c r="AQ123" s="850"/>
      <c r="AR123" s="50"/>
    </row>
    <row r="124" spans="1:44" outlineLevel="1">
      <c r="A124" s="30"/>
      <c r="B124" s="844" t="s">
        <v>422</v>
      </c>
      <c r="C124" s="875"/>
      <c r="D124" s="875"/>
      <c r="E124" s="875"/>
      <c r="F124" s="875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850"/>
      <c r="Y124" s="850"/>
      <c r="Z124" s="23"/>
      <c r="AA124" s="850"/>
      <c r="AB124" s="850"/>
      <c r="AC124" s="850"/>
      <c r="AD124" s="850"/>
      <c r="AE124" s="50"/>
      <c r="AF124" s="1575"/>
      <c r="AG124" s="850"/>
      <c r="AH124" s="850"/>
      <c r="AI124" s="850"/>
      <c r="AJ124" s="850"/>
      <c r="AK124" s="850"/>
      <c r="AL124" s="850"/>
      <c r="AM124" s="850"/>
      <c r="AN124" s="850"/>
      <c r="AO124" s="850"/>
      <c r="AP124" s="850"/>
      <c r="AQ124" s="850"/>
      <c r="AR124" s="50"/>
    </row>
    <row r="125" spans="1:44" outlineLevel="1">
      <c r="A125" s="176" t="s">
        <v>246</v>
      </c>
      <c r="B125" s="867" t="s">
        <v>111</v>
      </c>
      <c r="C125" s="309">
        <f>-CFS!C26-CFS!C27</f>
        <v>6.2530000000000001</v>
      </c>
      <c r="D125" s="309">
        <f>-CFS!D26-CFS!D27</f>
        <v>13.824999999999999</v>
      </c>
      <c r="E125" s="309">
        <f>-CFS!E26-CFS!E27</f>
        <v>15.811999999999999</v>
      </c>
      <c r="F125" s="309">
        <f>-CFS!F26-CFS!F27</f>
        <v>29.045999999999999</v>
      </c>
      <c r="G125" s="309">
        <f>-CFS!G26-CFS!G27</f>
        <v>34.405999999999999</v>
      </c>
      <c r="H125" s="827">
        <f>-CFS!H26-CFS!H27</f>
        <v>51.573</v>
      </c>
      <c r="I125" s="827">
        <f>-CFS!I26-CFS!I27</f>
        <v>44.444000000000003</v>
      </c>
      <c r="J125" s="827">
        <f>-CFS!J26-CFS!J27</f>
        <v>56.847999999999999</v>
      </c>
      <c r="K125" s="827">
        <f>-CFS!K26-CFS!K27</f>
        <v>45.063000000000002</v>
      </c>
      <c r="L125" s="827">
        <f>-CFS!L26-CFS!L27</f>
        <v>46.078000000000003</v>
      </c>
      <c r="M125" s="827">
        <f>-CFS!M26-CFS!M27</f>
        <v>35.307000000000002</v>
      </c>
      <c r="N125" s="827">
        <f>-CFS!N26-CFS!N27</f>
        <v>35.914000000000001</v>
      </c>
      <c r="O125" s="827">
        <f>Drivers!R412</f>
        <v>42.466000000000001</v>
      </c>
      <c r="P125" s="827">
        <f>Drivers!S412</f>
        <v>52.343000000000004</v>
      </c>
      <c r="Q125" s="827">
        <f>Drivers!T412</f>
        <v>49.1</v>
      </c>
      <c r="R125" s="827">
        <f>Drivers!U412</f>
        <v>54.4</v>
      </c>
      <c r="S125" s="827">
        <f>Drivers!X412</f>
        <v>59.3</v>
      </c>
      <c r="T125" s="827">
        <f>Drivers!AA412</f>
        <v>43.1</v>
      </c>
      <c r="U125" s="827">
        <f>Drivers!AD412</f>
        <v>57.7</v>
      </c>
      <c r="V125" s="344">
        <f>Drivers!AG412</f>
        <v>57.6</v>
      </c>
      <c r="W125" s="344">
        <f>Drivers!AH412</f>
        <v>34.1</v>
      </c>
      <c r="X125" s="827">
        <f>Drivers!AI412</f>
        <v>37.9</v>
      </c>
      <c r="Y125" s="1171">
        <f>Drivers!AJ412</f>
        <v>72</v>
      </c>
      <c r="Z125" s="59">
        <f>Drivers!AK412</f>
        <v>36.700000000000003</v>
      </c>
      <c r="AA125" s="827">
        <f>Drivers!AL412</f>
        <v>37.799999999999997</v>
      </c>
      <c r="AB125" s="1171">
        <f>Drivers!AM412</f>
        <v>74.5</v>
      </c>
      <c r="AC125" s="59">
        <f>Drivers!AN412</f>
        <v>38.700000000000003</v>
      </c>
      <c r="AD125" s="827">
        <f>Drivers!AO412</f>
        <v>43.599999999999994</v>
      </c>
      <c r="AE125" s="1171">
        <f>Drivers!AP412</f>
        <v>82.3</v>
      </c>
      <c r="AF125" s="1314">
        <f>Drivers!AQ412</f>
        <v>46.9</v>
      </c>
      <c r="AG125" s="827">
        <f>Drivers!AR412</f>
        <v>42.308009823927655</v>
      </c>
      <c r="AH125" s="827">
        <f>Drivers!AS412</f>
        <v>89.208009823927654</v>
      </c>
      <c r="AI125" s="827">
        <f>Drivers!AT412</f>
        <v>49.381378820547326</v>
      </c>
      <c r="AJ125" s="827">
        <f>Drivers!AU412</f>
        <v>49.381378820547326</v>
      </c>
      <c r="AK125" s="827">
        <f>Drivers!AV412</f>
        <v>98.762757641094652</v>
      </c>
      <c r="AL125" s="827">
        <f>Drivers!AW412</f>
        <v>51.456429662202247</v>
      </c>
      <c r="AM125" s="827">
        <f>Drivers!AX412</f>
        <v>51.456429662202247</v>
      </c>
      <c r="AN125" s="827">
        <f>Drivers!AY412</f>
        <v>102.91285932440449</v>
      </c>
      <c r="AO125" s="827">
        <f>Drivers!AZ412</f>
        <v>53.6212310067814</v>
      </c>
      <c r="AP125" s="827">
        <f>Drivers!BA412</f>
        <v>53.6212310067814</v>
      </c>
      <c r="AQ125" s="827">
        <f>Drivers!BB412</f>
        <v>107.2424620135628</v>
      </c>
      <c r="AR125" s="32"/>
    </row>
    <row r="126" spans="1:44" outlineLevel="1">
      <c r="A126" s="30"/>
      <c r="B126" s="859" t="s">
        <v>112</v>
      </c>
      <c r="C126" s="880">
        <f>C125/'P&amp;L'!C6</f>
        <v>1.7572751415684238E-2</v>
      </c>
      <c r="D126" s="880">
        <f>D125/'P&amp;L'!F6</f>
        <v>3.0562144500914098E-2</v>
      </c>
      <c r="E126" s="880">
        <f>E125/'P&amp;L'!I6</f>
        <v>2.2785733122172858E-2</v>
      </c>
      <c r="F126" s="880">
        <f>F125/'P&amp;L'!L6</f>
        <v>3.0709827758106448E-2</v>
      </c>
      <c r="G126" s="880">
        <f>G125/'P&amp;L'!O6</f>
        <v>2.6841166232524104E-2</v>
      </c>
      <c r="H126" s="880">
        <f>H125/'P&amp;L'!R6</f>
        <v>2.8204098954152001E-2</v>
      </c>
      <c r="I126" s="880">
        <f>I125/'P&amp;L'!U6</f>
        <v>1.9097086452515528E-2</v>
      </c>
      <c r="J126" s="880">
        <f>J125/'P&amp;L'!X6</f>
        <v>2.0813379611323461E-2</v>
      </c>
      <c r="K126" s="880">
        <f>K125/'P&amp;L'!AA6</f>
        <v>1.5227829455609236E-2</v>
      </c>
      <c r="L126" s="880">
        <f>L125/'P&amp;L'!AD6</f>
        <v>1.4731798022374891E-2</v>
      </c>
      <c r="M126" s="880">
        <f>M125/'P&amp;L'!AG6</f>
        <v>1.0671926006528836E-2</v>
      </c>
      <c r="N126" s="880">
        <f>N125/'P&amp;L'!AJ6</f>
        <v>1.0308932121046853E-2</v>
      </c>
      <c r="O126" s="880">
        <f>O125/Drivers!R90</f>
        <v>1.1627715944860761E-2</v>
      </c>
      <c r="P126" s="880">
        <f>P125/Drivers!S90</f>
        <v>1.3236423518011404E-2</v>
      </c>
      <c r="Q126" s="880">
        <f>Q125/Drivers!T90</f>
        <v>1.1236726473819113E-2</v>
      </c>
      <c r="R126" s="880">
        <f>R125/Drivers!U90</f>
        <v>1.1445402903429413E-2</v>
      </c>
      <c r="S126" s="880">
        <f>S125/Drivers!X90</f>
        <v>1.1986093705784857E-2</v>
      </c>
      <c r="T126" s="880">
        <f>T125/Drivers!AA90</f>
        <v>7.7937107828068217E-3</v>
      </c>
      <c r="U126" s="880">
        <f>U125/'P&amp;L'!BE6</f>
        <v>6.4714393064232122E-3</v>
      </c>
      <c r="V126" s="880">
        <f>V125/'P&amp;L'!BH6</f>
        <v>6.2391681109185441E-3</v>
      </c>
      <c r="W126" s="880">
        <f>W125/'P&amp;L'!BI6</f>
        <v>6.4601686085062043E-3</v>
      </c>
      <c r="X126" s="860">
        <f>X125/'P&amp;L'!BJ6</f>
        <v>8.7168518135191699E-3</v>
      </c>
      <c r="Y126" s="860">
        <f>Y125/'P&amp;L'!BK6</f>
        <v>7.4794315632011974E-3</v>
      </c>
      <c r="Z126" s="1405">
        <f>Z125/'P&amp;L'!BL6</f>
        <v>7.1095096956664923E-3</v>
      </c>
      <c r="AA126" s="860">
        <f>AA125/'P&amp;L'!BM6</f>
        <v>8.532153578764419E-3</v>
      </c>
      <c r="AB126" s="860">
        <f>AB125/'P&amp;L'!BN6</f>
        <v>7.7665651974479803E-3</v>
      </c>
      <c r="AC126" s="1405">
        <f>AC125/'P&amp;L'!BO6</f>
        <v>6.824915349887134E-3</v>
      </c>
      <c r="AD126" s="860">
        <f>AD125/'P&amp;L'!BP6</f>
        <v>8.9263778560314446E-3</v>
      </c>
      <c r="AE126" s="860">
        <f>AE125/'P&amp;L'!BQ6</f>
        <v>7.7974002349641856E-3</v>
      </c>
      <c r="AF126" s="1789">
        <f>AF125/'P&amp;L'!BR6</f>
        <v>7.7070974315152901E-3</v>
      </c>
      <c r="AG126" s="860">
        <f>AG125/'P&amp;L'!BS6</f>
        <v>8.3518565189259902E-3</v>
      </c>
      <c r="AH126" s="860">
        <f>AH125/'P&amp;L'!BT6</f>
        <v>8.0000000000000002E-3</v>
      </c>
      <c r="AI126" s="860">
        <f>AI125/'P&amp;L'!BU6</f>
        <v>7.7947830749892522E-3</v>
      </c>
      <c r="AJ126" s="860">
        <f>AJ125/'P&amp;L'!BV6</f>
        <v>9.3455163173291698E-3</v>
      </c>
      <c r="AK126" s="860">
        <f>AK125/'P&amp;L'!BW6</f>
        <v>8.5000000000000006E-3</v>
      </c>
      <c r="AL126" s="860">
        <f>AL125/'P&amp;L'!BX6</f>
        <v>7.7796748477427643E-3</v>
      </c>
      <c r="AM126" s="860">
        <f>AM125/'P&amp;L'!BY6</f>
        <v>9.3673268867955403E-3</v>
      </c>
      <c r="AN126" s="860">
        <f>AN125/'P&amp;L'!BZ6</f>
        <v>8.5000000000000006E-3</v>
      </c>
      <c r="AO126" s="860">
        <f>AO125/'P&amp;L'!CA6</f>
        <v>7.7796658066789622E-3</v>
      </c>
      <c r="AP126" s="860">
        <f>AP125/'P&amp;L'!CB6</f>
        <v>9.367339994574413E-3</v>
      </c>
      <c r="AQ126" s="860">
        <f>AQ125/'P&amp;L'!CC6</f>
        <v>8.5000000000000006E-3</v>
      </c>
      <c r="AR126" s="215"/>
    </row>
    <row r="127" spans="1:44" outlineLevel="1">
      <c r="A127" s="13"/>
      <c r="B127" s="844" t="s">
        <v>113</v>
      </c>
      <c r="C127" s="847">
        <v>-1.319</v>
      </c>
      <c r="D127" s="847">
        <v>-3.2930000000000001</v>
      </c>
      <c r="E127" s="847">
        <v>-5.0289999999999999</v>
      </c>
      <c r="F127" s="847">
        <v>-7.4390000000000001</v>
      </c>
      <c r="G127" s="847">
        <v>-10.853999999999999</v>
      </c>
      <c r="H127" s="847">
        <v>-14.741</v>
      </c>
      <c r="I127" s="847">
        <v>-18.748999999999999</v>
      </c>
      <c r="J127" s="847">
        <v>-23.277000000000001</v>
      </c>
      <c r="K127" s="847">
        <v>-27.286999999999999</v>
      </c>
      <c r="L127" s="847">
        <v>-30.754000000000001</v>
      </c>
      <c r="M127" s="847">
        <v>-33.231999999999999</v>
      </c>
      <c r="N127" s="847">
        <v>-35.53</v>
      </c>
      <c r="O127" s="847">
        <v>-39.124000000000002</v>
      </c>
      <c r="P127" s="847">
        <v>-40.901000000000003</v>
      </c>
      <c r="Q127" s="847">
        <v>-53.9</v>
      </c>
      <c r="R127" s="847">
        <v>-61.1</v>
      </c>
      <c r="S127" s="847">
        <v>-56.2</v>
      </c>
      <c r="T127" s="919">
        <f t="shared" ref="T127:Z127" si="388">T166</f>
        <v>-54.5</v>
      </c>
      <c r="U127" s="919">
        <f t="shared" si="388"/>
        <v>-54.800000000000011</v>
      </c>
      <c r="V127" s="728">
        <f t="shared" si="388"/>
        <v>-56.5</v>
      </c>
      <c r="W127" s="728">
        <f t="shared" ref="W127" si="389">W166</f>
        <v>-28.900000000000034</v>
      </c>
      <c r="X127" s="23">
        <f t="shared" si="388"/>
        <v>-26.300000000000011</v>
      </c>
      <c r="Y127" s="309">
        <f t="shared" si="388"/>
        <v>-55.199999999999989</v>
      </c>
      <c r="Z127" s="732">
        <f t="shared" si="388"/>
        <v>-27.75</v>
      </c>
      <c r="AA127" s="23">
        <f t="shared" ref="AA127:AC127" si="390">AA166</f>
        <v>-27.849999999999909</v>
      </c>
      <c r="AB127" s="309">
        <f t="shared" si="390"/>
        <v>-55.599999999999994</v>
      </c>
      <c r="AC127" s="1305">
        <f t="shared" si="390"/>
        <v>-29.599999999999952</v>
      </c>
      <c r="AD127" s="31">
        <f t="shared" ref="AD127:AF127" si="391">AD166</f>
        <v>-31.900000000000063</v>
      </c>
      <c r="AE127" s="896">
        <f t="shared" si="391"/>
        <v>-61.5</v>
      </c>
      <c r="AF127" s="1573">
        <f t="shared" si="391"/>
        <v>-31.999999999999972</v>
      </c>
      <c r="AG127" s="23">
        <f t="shared" ref="AG127" si="392">AG166</f>
        <v>-39.164915745856433</v>
      </c>
      <c r="AH127" s="23">
        <f>AH166</f>
        <v>-71.164915745856376</v>
      </c>
      <c r="AI127" s="23">
        <f t="shared" ref="AI127:AJ127" si="393">AI166</f>
        <v>-39.781999999999954</v>
      </c>
      <c r="AJ127" s="23">
        <f t="shared" si="393"/>
        <v>-38.189620718232106</v>
      </c>
      <c r="AK127" s="23">
        <f>AK166</f>
        <v>-77.971620718232089</v>
      </c>
      <c r="AL127" s="23">
        <f t="shared" ref="AL127:AM127" si="394">AL166</f>
        <v>-41.55102500000001</v>
      </c>
      <c r="AM127" s="23">
        <f t="shared" si="394"/>
        <v>-43.400320777279006</v>
      </c>
      <c r="AN127" s="23">
        <f>AN166</f>
        <v>-84.951345777279016</v>
      </c>
      <c r="AO127" s="23">
        <f t="shared" ref="AO127:AP127" si="395">AO166</f>
        <v>-45.107769500000018</v>
      </c>
      <c r="AP127" s="23">
        <f t="shared" si="395"/>
        <v>-47.000732499034854</v>
      </c>
      <c r="AQ127" s="23">
        <f>AQ166</f>
        <v>-92.108501999034843</v>
      </c>
      <c r="AR127" s="23"/>
    </row>
    <row r="128" spans="1:44" outlineLevel="1">
      <c r="A128" s="13"/>
      <c r="B128" s="859" t="s">
        <v>114</v>
      </c>
      <c r="C128" s="439"/>
      <c r="D128" s="439">
        <f t="shared" ref="D128:T128" si="396">-D127/D116</f>
        <v>0.22130376344086022</v>
      </c>
      <c r="E128" s="439">
        <f t="shared" si="396"/>
        <v>4.1163951870344601E-3</v>
      </c>
      <c r="F128" s="439">
        <f t="shared" si="396"/>
        <v>0.20716831903754038</v>
      </c>
      <c r="G128" s="439">
        <f t="shared" si="396"/>
        <v>0.18973534244659648</v>
      </c>
      <c r="H128" s="439">
        <f t="shared" si="396"/>
        <v>0.18393142343781191</v>
      </c>
      <c r="I128" s="439">
        <f t="shared" si="396"/>
        <v>0.16603349184842767</v>
      </c>
      <c r="J128" s="439">
        <f t="shared" si="396"/>
        <v>0.17107516371092804</v>
      </c>
      <c r="K128" s="439">
        <f t="shared" ref="K128:P128" si="397">-K127/K116</f>
        <v>0.16640241002061201</v>
      </c>
      <c r="L128" s="439">
        <f t="shared" si="397"/>
        <v>0.18134323957780529</v>
      </c>
      <c r="M128" s="439">
        <f t="shared" si="397"/>
        <v>0.18254526278783617</v>
      </c>
      <c r="N128" s="439">
        <f t="shared" si="397"/>
        <v>0.19619211697533931</v>
      </c>
      <c r="O128" s="439">
        <f t="shared" si="397"/>
        <v>0.2154832455773171</v>
      </c>
      <c r="P128" s="439">
        <f t="shared" si="397"/>
        <v>0.23211772450740037</v>
      </c>
      <c r="Q128" s="439">
        <f t="shared" si="396"/>
        <v>0.29362096203083293</v>
      </c>
      <c r="R128" s="439">
        <f t="shared" si="396"/>
        <v>0.29346781940441885</v>
      </c>
      <c r="S128" s="439">
        <f t="shared" si="396"/>
        <v>0.28383838383838383</v>
      </c>
      <c r="T128" s="439">
        <f t="shared" si="396"/>
        <v>0.28459530026109658</v>
      </c>
      <c r="U128" s="439">
        <f t="shared" ref="U128:AM128" si="398">-U127/U116</f>
        <v>0.31804991294254215</v>
      </c>
      <c r="V128" s="439">
        <f>-V127/V116</f>
        <v>0.33431952662721892</v>
      </c>
      <c r="W128" s="439">
        <f>-W127/W116</f>
        <v>0.17100591715976352</v>
      </c>
      <c r="X128" s="48">
        <f t="shared" si="398"/>
        <v>0.15141047783534839</v>
      </c>
      <c r="Y128" s="439">
        <f t="shared" si="398"/>
        <v>0.3266272189349112</v>
      </c>
      <c r="Z128" s="48">
        <f>-Z127/Z116</f>
        <v>0.15180525164113784</v>
      </c>
      <c r="AA128" s="48">
        <f t="shared" ref="AA128:AB128" si="399">-AA127/AA116</f>
        <v>0.1463478717813973</v>
      </c>
      <c r="AB128" s="439">
        <f t="shared" si="399"/>
        <v>0.30415754923413563</v>
      </c>
      <c r="AC128" s="48" t="s">
        <v>969</v>
      </c>
      <c r="AD128" s="48">
        <f t="shared" ref="AD128:AE128" si="400">-AD127/AD116</f>
        <v>0.14906542056074795</v>
      </c>
      <c r="AE128" s="439">
        <f t="shared" si="400"/>
        <v>0.31234128999492128</v>
      </c>
      <c r="AF128" s="1541">
        <f t="shared" ref="AF128:AG128" si="401">-AF127/AF116</f>
        <v>0.14234875444839845</v>
      </c>
      <c r="AG128" s="48">
        <f t="shared" si="401"/>
        <v>0.16497437129678363</v>
      </c>
      <c r="AH128" s="48">
        <f t="shared" si="398"/>
        <v>0.3165699099014963</v>
      </c>
      <c r="AI128" s="48">
        <f t="shared" ref="AI128:AJ128" si="402">-AI127/AI116</f>
        <v>0.16538408700724624</v>
      </c>
      <c r="AJ128" s="48">
        <f t="shared" si="402"/>
        <v>0.15267147668165157</v>
      </c>
      <c r="AK128" s="48">
        <f t="shared" si="398"/>
        <v>0.32414824053491814</v>
      </c>
      <c r="AL128" s="48">
        <f t="shared" si="398"/>
        <v>0.15899572298988851</v>
      </c>
      <c r="AM128" s="48">
        <f t="shared" si="398"/>
        <v>0.16000729639373096</v>
      </c>
      <c r="AN128" s="48">
        <f t="shared" ref="AN128:AP128" si="403">-AN127/AN116</f>
        <v>0.32506780857566059</v>
      </c>
      <c r="AO128" s="48">
        <f t="shared" si="403"/>
        <v>0.16150539483868928</v>
      </c>
      <c r="AP128" s="48">
        <f t="shared" si="403"/>
        <v>0.16330517408841705</v>
      </c>
      <c r="AQ128" s="48">
        <f t="shared" ref="AQ128" si="404">-AQ127/AQ116</f>
        <v>0.32978841889653437</v>
      </c>
      <c r="AR128" s="48"/>
    </row>
    <row r="129" spans="1:44" outlineLevel="1">
      <c r="A129" s="13"/>
      <c r="B129" s="844" t="s">
        <v>115</v>
      </c>
      <c r="C129" s="875"/>
      <c r="D129" s="875"/>
      <c r="E129" s="875"/>
      <c r="F129" s="875"/>
      <c r="G129" s="875"/>
      <c r="H129" s="875"/>
      <c r="I129" s="875"/>
      <c r="J129" s="875"/>
      <c r="K129" s="875"/>
      <c r="L129" s="875"/>
      <c r="M129" s="875">
        <v>0</v>
      </c>
      <c r="N129" s="875">
        <v>0</v>
      </c>
      <c r="O129" s="875">
        <v>0</v>
      </c>
      <c r="P129" s="875">
        <v>0</v>
      </c>
      <c r="Q129" s="875">
        <v>0</v>
      </c>
      <c r="R129" s="875">
        <v>0</v>
      </c>
      <c r="S129" s="875">
        <v>0</v>
      </c>
      <c r="T129" s="875">
        <v>0</v>
      </c>
      <c r="U129" s="875">
        <v>0</v>
      </c>
      <c r="V129" s="775">
        <v>-1.8</v>
      </c>
      <c r="W129" s="775">
        <v>-2.5</v>
      </c>
      <c r="X129" s="1172">
        <f>Y129-W129</f>
        <v>0.60000000000000009</v>
      </c>
      <c r="Y129" s="775">
        <v>-1.9</v>
      </c>
      <c r="Z129" s="570">
        <v>-2.2999999999999998</v>
      </c>
      <c r="AA129" s="1172">
        <f>AB129-Z129</f>
        <v>0.39999999999999991</v>
      </c>
      <c r="AB129" s="775">
        <v>-1.9</v>
      </c>
      <c r="AC129" s="1894">
        <v>-1.2</v>
      </c>
      <c r="AD129" s="875">
        <f>AE129-AC129</f>
        <v>-2.0999999999999996</v>
      </c>
      <c r="AE129" s="775">
        <v>-3.3</v>
      </c>
      <c r="AF129" s="1313">
        <v>0</v>
      </c>
      <c r="AG129" s="875">
        <f>AH129-AF129</f>
        <v>0</v>
      </c>
      <c r="AH129" s="875">
        <v>0</v>
      </c>
      <c r="AI129" s="875">
        <v>0</v>
      </c>
      <c r="AJ129" s="875">
        <f>AK129-AI129</f>
        <v>0</v>
      </c>
      <c r="AK129" s="875">
        <v>0</v>
      </c>
      <c r="AL129" s="875">
        <v>0</v>
      </c>
      <c r="AM129" s="875">
        <f>AN129-AL129</f>
        <v>0</v>
      </c>
      <c r="AN129" s="875">
        <v>0</v>
      </c>
      <c r="AO129" s="875">
        <v>0</v>
      </c>
      <c r="AP129" s="875">
        <f>AQ129-AO129</f>
        <v>0</v>
      </c>
      <c r="AQ129" s="875">
        <v>0</v>
      </c>
      <c r="AR129" s="26"/>
    </row>
    <row r="130" spans="1:44" outlineLevel="1">
      <c r="A130" s="47"/>
      <c r="B130" s="844" t="s">
        <v>116</v>
      </c>
      <c r="C130" s="875"/>
      <c r="D130" s="875"/>
      <c r="E130" s="875"/>
      <c r="F130" s="875"/>
      <c r="G130" s="875"/>
      <c r="H130" s="875"/>
      <c r="I130" s="875"/>
      <c r="J130" s="875"/>
      <c r="K130" s="875"/>
      <c r="L130" s="875"/>
      <c r="M130" s="875"/>
      <c r="N130" s="875"/>
      <c r="O130" s="875">
        <v>0</v>
      </c>
      <c r="P130" s="875">
        <v>0</v>
      </c>
      <c r="Q130" s="875">
        <v>0</v>
      </c>
      <c r="R130" s="875">
        <v>0</v>
      </c>
      <c r="S130" s="875">
        <v>0</v>
      </c>
      <c r="T130" s="875">
        <v>0</v>
      </c>
      <c r="U130" s="875">
        <v>0</v>
      </c>
      <c r="V130" s="875">
        <v>0</v>
      </c>
      <c r="W130" s="875">
        <v>0</v>
      </c>
      <c r="X130" s="875">
        <f>Y130-W130</f>
        <v>0</v>
      </c>
      <c r="Y130" s="875">
        <v>0</v>
      </c>
      <c r="Z130" s="26">
        <v>0</v>
      </c>
      <c r="AA130" s="875">
        <f>AB130-Z130</f>
        <v>0</v>
      </c>
      <c r="AB130" s="875">
        <v>0</v>
      </c>
      <c r="AC130" s="26">
        <v>0</v>
      </c>
      <c r="AD130" s="875">
        <f>AE130-AC130</f>
        <v>0</v>
      </c>
      <c r="AE130" s="875">
        <v>0</v>
      </c>
      <c r="AF130" s="1572">
        <v>0</v>
      </c>
      <c r="AG130" s="875">
        <f t="shared" ref="AG130" si="405">AH130-AF130</f>
        <v>0</v>
      </c>
      <c r="AH130" s="875">
        <v>0</v>
      </c>
      <c r="AI130" s="875">
        <v>0</v>
      </c>
      <c r="AJ130" s="875">
        <f t="shared" ref="AJ130:AJ131" si="406">AK130-AI130</f>
        <v>0</v>
      </c>
      <c r="AK130" s="875">
        <v>0</v>
      </c>
      <c r="AL130" s="875">
        <v>0</v>
      </c>
      <c r="AM130" s="875">
        <f t="shared" ref="AM130:AM131" si="407">AN130-AL130</f>
        <v>0</v>
      </c>
      <c r="AN130" s="875">
        <v>0</v>
      </c>
      <c r="AO130" s="875">
        <v>0</v>
      </c>
      <c r="AP130" s="875">
        <f t="shared" ref="AP130:AP131" si="408">AQ130-AO130</f>
        <v>0</v>
      </c>
      <c r="AQ130" s="875">
        <v>0</v>
      </c>
      <c r="AR130" s="26"/>
    </row>
    <row r="131" spans="1:44">
      <c r="A131" s="47"/>
      <c r="B131" s="844" t="s">
        <v>117</v>
      </c>
      <c r="C131" s="847"/>
      <c r="D131" s="847">
        <f t="shared" ref="D131:J131" si="409">D132-D116-D125-D127</f>
        <v>-3.4719999999999986</v>
      </c>
      <c r="E131" s="847">
        <f t="shared" si="409"/>
        <v>-1196.575</v>
      </c>
      <c r="F131" s="847">
        <f t="shared" si="409"/>
        <v>-0.3089999999999975</v>
      </c>
      <c r="G131" s="847">
        <f t="shared" si="409"/>
        <v>-0.61399999999999721</v>
      </c>
      <c r="H131" s="847">
        <f t="shared" si="409"/>
        <v>-4.0530000000000044</v>
      </c>
      <c r="I131" s="847">
        <f t="shared" si="409"/>
        <v>-2.5550000000000175</v>
      </c>
      <c r="J131" s="847">
        <f t="shared" si="409"/>
        <v>-5.6519999999999868</v>
      </c>
      <c r="K131" s="847">
        <f t="shared" ref="K131:U131" si="410">K132-K116-K125-K127</f>
        <v>-12.167999999999999</v>
      </c>
      <c r="L131" s="847">
        <f t="shared" si="410"/>
        <v>-2.8660000000000032</v>
      </c>
      <c r="M131" s="847">
        <f t="shared" si="410"/>
        <v>-3.0249999999999915</v>
      </c>
      <c r="N131" s="847">
        <f t="shared" si="410"/>
        <v>8.1999999999979423E-2</v>
      </c>
      <c r="O131" s="847">
        <f t="shared" si="410"/>
        <v>-8.6979999999999933</v>
      </c>
      <c r="P131" s="847">
        <f t="shared" si="410"/>
        <v>-4.0800000000000054</v>
      </c>
      <c r="Q131" s="919">
        <f t="shared" si="410"/>
        <v>29.429999999999993</v>
      </c>
      <c r="R131" s="919">
        <f t="shared" si="410"/>
        <v>-3.4999999999999929</v>
      </c>
      <c r="S131" s="919">
        <f t="shared" si="410"/>
        <v>-9.5999999999999943</v>
      </c>
      <c r="T131" s="919">
        <f t="shared" si="410"/>
        <v>-7.7999999999999901</v>
      </c>
      <c r="U131" s="919">
        <f t="shared" si="410"/>
        <v>-6.2000000000000028</v>
      </c>
      <c r="V131" s="1164">
        <f>V132-V116+V125+V127+V129</f>
        <v>-0.69999999999999862</v>
      </c>
      <c r="W131" s="1305">
        <f>-(W116+W117+W125+W127+W130+W129-W132)</f>
        <v>2.0000000000000284</v>
      </c>
      <c r="X131" s="1305">
        <f>X132-X116+X125+X127+X129</f>
        <v>21.300000000000011</v>
      </c>
      <c r="Y131" s="1331">
        <f>Y132-Y116+Y125+Y127+Y129</f>
        <v>28.700000000000024</v>
      </c>
      <c r="Z131" s="1305">
        <f>-(Z116+Z117+Z125+Z127+Z130+Z129-Z132)</f>
        <v>0.85000000000002274</v>
      </c>
      <c r="AA131" s="1305">
        <f>AA132-AA116+AA125+AA127+AA129</f>
        <v>16.950000000000081</v>
      </c>
      <c r="AB131" s="1331">
        <f>AB132-AB116+AB125+AB127+AB129</f>
        <v>31.1</v>
      </c>
      <c r="AC131" s="1305">
        <f>-(AC116+AC117+AC125+AC127+AC130+AC129-AC132)</f>
        <v>-31.800000000000068</v>
      </c>
      <c r="AD131" s="1305">
        <f>+AE131-AC131</f>
        <v>1.4000000000000909</v>
      </c>
      <c r="AE131" s="1878">
        <f>-(AE116+AE117+AE125+AE127+AE130+AE129-AE132)</f>
        <v>-30.399999999999977</v>
      </c>
      <c r="AF131" s="1573">
        <f>-(AF116+AF117+AF125+AF127+AF130+AF129-AF132)</f>
        <v>-2.3000000000000114</v>
      </c>
      <c r="AG131" s="26">
        <v>0</v>
      </c>
      <c r="AH131" s="26">
        <f>+AF131+AG131</f>
        <v>-2.3000000000000114</v>
      </c>
      <c r="AI131" s="26">
        <v>0</v>
      </c>
      <c r="AJ131" s="26">
        <f t="shared" si="406"/>
        <v>0</v>
      </c>
      <c r="AK131" s="26">
        <v>0</v>
      </c>
      <c r="AL131" s="26">
        <v>0</v>
      </c>
      <c r="AM131" s="26">
        <f t="shared" si="407"/>
        <v>0</v>
      </c>
      <c r="AN131" s="26">
        <v>0</v>
      </c>
      <c r="AO131" s="26">
        <v>0</v>
      </c>
      <c r="AP131" s="26">
        <f t="shared" si="408"/>
        <v>0</v>
      </c>
      <c r="AQ131" s="26">
        <v>0</v>
      </c>
      <c r="AR131" s="26"/>
    </row>
    <row r="132" spans="1:44">
      <c r="A132" s="13"/>
      <c r="B132" s="33" t="s">
        <v>118</v>
      </c>
      <c r="C132" s="29">
        <f t="shared" ref="C132:W132" si="411">C13</f>
        <v>14.88</v>
      </c>
      <c r="D132" s="29">
        <f t="shared" si="411"/>
        <v>21.94</v>
      </c>
      <c r="E132" s="29">
        <f t="shared" si="411"/>
        <v>35.908000000000001</v>
      </c>
      <c r="F132" s="29">
        <f t="shared" si="411"/>
        <v>57.206000000000003</v>
      </c>
      <c r="G132" s="29">
        <f t="shared" si="411"/>
        <v>80.144000000000005</v>
      </c>
      <c r="H132" s="29">
        <f t="shared" si="411"/>
        <v>112.923</v>
      </c>
      <c r="I132" s="29">
        <f t="shared" si="411"/>
        <v>136.06299999999999</v>
      </c>
      <c r="J132" s="29">
        <f t="shared" si="411"/>
        <v>163.982</v>
      </c>
      <c r="K132" s="29">
        <f t="shared" si="411"/>
        <v>169.59</v>
      </c>
      <c r="L132" s="29">
        <f t="shared" si="411"/>
        <v>182.048</v>
      </c>
      <c r="M132" s="29">
        <f t="shared" si="411"/>
        <v>181.09800000000001</v>
      </c>
      <c r="N132" s="29">
        <f t="shared" si="411"/>
        <v>181.56399999999999</v>
      </c>
      <c r="O132" s="29">
        <f t="shared" si="411"/>
        <v>176.208</v>
      </c>
      <c r="P132" s="29">
        <f t="shared" si="411"/>
        <v>183.57</v>
      </c>
      <c r="Q132" s="29">
        <f t="shared" si="411"/>
        <v>208.2</v>
      </c>
      <c r="R132" s="29">
        <f t="shared" si="411"/>
        <v>198</v>
      </c>
      <c r="S132" s="29">
        <f t="shared" si="411"/>
        <v>191.5</v>
      </c>
      <c r="T132" s="29">
        <f t="shared" si="411"/>
        <v>172.3</v>
      </c>
      <c r="U132" s="29">
        <f t="shared" si="411"/>
        <v>169</v>
      </c>
      <c r="V132" s="1151">
        <f>V13</f>
        <v>169</v>
      </c>
      <c r="W132" s="1151">
        <f t="shared" si="411"/>
        <v>173.7</v>
      </c>
      <c r="X132" s="939">
        <f>Y132</f>
        <v>182.8</v>
      </c>
      <c r="Y132" s="1284">
        <f>Y13</f>
        <v>182.8</v>
      </c>
      <c r="Z132" s="940">
        <f t="shared" ref="Z132" si="412">Z13</f>
        <v>190.3</v>
      </c>
      <c r="AA132" s="939">
        <f>AB132</f>
        <v>196.9</v>
      </c>
      <c r="AB132" s="1542">
        <f>AB13</f>
        <v>196.9</v>
      </c>
      <c r="AC132" s="1671">
        <f t="shared" ref="AC132:AE132" si="413">AC13</f>
        <v>214</v>
      </c>
      <c r="AD132" s="939">
        <f t="shared" ref="AD132" si="414">+AD116+AD117+AD125+AD127+AD130+AD131+AD129</f>
        <v>224.8</v>
      </c>
      <c r="AE132" s="1671">
        <f t="shared" si="413"/>
        <v>224.8</v>
      </c>
      <c r="AF132" s="1664">
        <f t="shared" ref="AF132" si="415">AF13</f>
        <v>237.4</v>
      </c>
      <c r="AG132" s="939">
        <f t="shared" ref="AG132" si="416">+AG116+AG117+AG125+AG127+AG130+AG131+AG129</f>
        <v>240.54309407807125</v>
      </c>
      <c r="AH132" s="939">
        <f>+AH116+AH117+AH125+AH127+AH130+AH131+AH129</f>
        <v>240.54309407807125</v>
      </c>
      <c r="AI132" s="939">
        <f t="shared" ref="AI132:AJ132" si="417">+AI116+AI117+AI125+AI127+AI130+AI131+AI129</f>
        <v>250.14247289861859</v>
      </c>
      <c r="AJ132" s="939">
        <f t="shared" si="417"/>
        <v>261.33423100093381</v>
      </c>
      <c r="AK132" s="939">
        <f>+AK116+AK117+AK125+AK127+AK130+AK131+AK129</f>
        <v>261.33423100093381</v>
      </c>
      <c r="AL132" s="939">
        <f t="shared" ref="AL132:AM132" si="418">+AL116+AL117+AL125+AL127+AL130+AL131+AL129</f>
        <v>271.23963566313603</v>
      </c>
      <c r="AM132" s="939">
        <f t="shared" si="418"/>
        <v>279.29574454805925</v>
      </c>
      <c r="AN132" s="939">
        <f>+AN116+AN117+AN125+AN127+AN130+AN131+AN129</f>
        <v>279.2957445480593</v>
      </c>
      <c r="AO132" s="939">
        <f t="shared" ref="AO132:AP132" si="419">+AO116+AO117+AO125+AO127+AO130+AO131+AO129</f>
        <v>287.80920605484067</v>
      </c>
      <c r="AP132" s="939">
        <f t="shared" si="419"/>
        <v>294.42970456258718</v>
      </c>
      <c r="AQ132" s="939">
        <f>+AQ116+AQ117+AQ125+AQ127+AQ130+AQ131+AQ129</f>
        <v>294.42970456258729</v>
      </c>
      <c r="AR132" s="32"/>
    </row>
    <row r="133" spans="1:44" outlineLevel="1">
      <c r="A133" s="13"/>
      <c r="B133" s="844"/>
      <c r="C133" s="441"/>
      <c r="D133" s="441"/>
      <c r="E133" s="441"/>
      <c r="F133" s="441"/>
      <c r="G133" s="441"/>
      <c r="H133" s="441"/>
      <c r="I133" s="441"/>
      <c r="J133" s="441"/>
      <c r="K133" s="441"/>
      <c r="L133" s="441"/>
      <c r="M133" s="881"/>
      <c r="N133" s="881"/>
      <c r="O133" s="881"/>
      <c r="P133" s="881"/>
      <c r="Q133" s="881"/>
      <c r="R133" s="881"/>
      <c r="S133" s="881"/>
      <c r="T133" s="881"/>
      <c r="U133" s="881"/>
      <c r="V133" s="881"/>
      <c r="W133" s="52"/>
      <c r="X133" s="881"/>
      <c r="Y133" s="52">
        <f>Y132-X132</f>
        <v>0</v>
      </c>
      <c r="Z133" s="52"/>
      <c r="AA133" s="881"/>
      <c r="AB133" s="52">
        <f>AB132-AA132</f>
        <v>0</v>
      </c>
      <c r="AC133" s="881"/>
      <c r="AD133" s="881"/>
      <c r="AE133" s="52"/>
      <c r="AF133" s="1790"/>
      <c r="AG133" s="881"/>
      <c r="AH133" s="881"/>
      <c r="AI133" s="881"/>
      <c r="AJ133" s="881"/>
      <c r="AK133" s="881"/>
      <c r="AL133" s="881"/>
      <c r="AM133" s="881"/>
      <c r="AN133" s="881"/>
      <c r="AO133" s="881"/>
      <c r="AP133" s="881"/>
      <c r="AQ133" s="881"/>
      <c r="AR133" s="52"/>
    </row>
    <row r="134" spans="1:44">
      <c r="A134" s="30"/>
      <c r="B134" s="844"/>
      <c r="C134" s="441"/>
      <c r="D134" s="441"/>
      <c r="E134" s="441"/>
      <c r="F134" s="441"/>
      <c r="G134" s="441"/>
      <c r="H134" s="441"/>
      <c r="I134" s="441"/>
      <c r="J134" s="441"/>
      <c r="K134" s="441"/>
      <c r="L134" s="441"/>
      <c r="M134" s="441"/>
      <c r="N134" s="441"/>
      <c r="O134" s="441"/>
      <c r="P134" s="441"/>
      <c r="Q134" s="441"/>
      <c r="R134" s="441"/>
      <c r="S134" s="441"/>
      <c r="T134" s="441"/>
      <c r="U134" s="441"/>
      <c r="V134" s="441"/>
      <c r="W134" s="1221"/>
      <c r="X134" s="441"/>
      <c r="Y134" s="441"/>
      <c r="Z134" s="1221"/>
      <c r="AA134" s="441"/>
      <c r="AB134" s="441"/>
      <c r="AC134" s="441"/>
      <c r="AD134" s="441"/>
      <c r="AE134" s="51"/>
      <c r="AF134" s="1791"/>
      <c r="AG134" s="441"/>
      <c r="AH134" s="441"/>
      <c r="AI134" s="441"/>
      <c r="AJ134" s="441"/>
      <c r="AK134" s="441"/>
      <c r="AL134" s="441"/>
      <c r="AM134" s="441"/>
      <c r="AN134" s="441"/>
      <c r="AO134" s="441"/>
      <c r="AP134" s="441"/>
      <c r="AQ134" s="441"/>
      <c r="AR134" s="51"/>
    </row>
    <row r="135" spans="1:44">
      <c r="A135" s="39"/>
      <c r="B135" s="857" t="s">
        <v>93</v>
      </c>
      <c r="C135" s="844"/>
      <c r="D135" s="844"/>
      <c r="E135" s="844"/>
      <c r="F135" s="844"/>
      <c r="G135" s="844"/>
      <c r="H135" s="844"/>
      <c r="I135" s="844"/>
      <c r="J135" s="844"/>
      <c r="K135" s="844"/>
      <c r="L135" s="844"/>
      <c r="M135" s="844"/>
      <c r="N135" s="844"/>
      <c r="O135" s="844"/>
      <c r="P135" s="844"/>
      <c r="Q135" s="844"/>
      <c r="R135" s="844"/>
      <c r="S135" s="844"/>
      <c r="T135" s="844"/>
      <c r="U135" s="844"/>
      <c r="V135" s="844"/>
      <c r="W135" s="21"/>
      <c r="X135" s="844"/>
      <c r="Y135" s="844"/>
      <c r="Z135" s="21"/>
      <c r="AA135" s="844"/>
      <c r="AB135" s="844"/>
      <c r="AC135" s="844"/>
      <c r="AD135" s="844"/>
      <c r="AE135" s="21"/>
      <c r="AF135" s="1414"/>
      <c r="AG135" s="844"/>
      <c r="AH135" s="844"/>
      <c r="AI135" s="844"/>
      <c r="AJ135" s="844"/>
      <c r="AK135" s="844"/>
      <c r="AL135" s="844"/>
      <c r="AM135" s="844"/>
      <c r="AN135" s="844"/>
      <c r="AO135" s="844"/>
      <c r="AP135" s="844"/>
      <c r="AQ135" s="844"/>
      <c r="AR135" s="21"/>
    </row>
    <row r="136" spans="1:44" outlineLevel="1">
      <c r="A136" s="13"/>
      <c r="B136" s="844"/>
      <c r="C136" s="844"/>
      <c r="D136" s="844"/>
      <c r="E136" s="844"/>
      <c r="F136" s="844"/>
      <c r="G136" s="844"/>
      <c r="H136" s="844"/>
      <c r="I136" s="844"/>
      <c r="J136" s="844"/>
      <c r="K136" s="844"/>
      <c r="L136" s="844"/>
      <c r="M136" s="844"/>
      <c r="N136" s="844"/>
      <c r="O136" s="844"/>
      <c r="P136" s="844"/>
      <c r="Q136" s="844"/>
      <c r="R136" s="844"/>
      <c r="S136" s="844"/>
      <c r="T136" s="844"/>
      <c r="U136" s="844"/>
      <c r="V136" s="844"/>
      <c r="W136" s="21"/>
      <c r="X136" s="844"/>
      <c r="Y136" s="844"/>
      <c r="Z136" s="21"/>
      <c r="AA136" s="844"/>
      <c r="AB136" s="844"/>
      <c r="AC136" s="844"/>
      <c r="AD136" s="844"/>
      <c r="AE136" s="21"/>
      <c r="AF136" s="1414"/>
      <c r="AG136" s="844"/>
      <c r="AH136" s="844"/>
      <c r="AI136" s="844"/>
      <c r="AJ136" s="844"/>
      <c r="AK136" s="844"/>
      <c r="AL136" s="844"/>
      <c r="AM136" s="844"/>
      <c r="AN136" s="844"/>
      <c r="AO136" s="844"/>
      <c r="AP136" s="844"/>
      <c r="AQ136" s="844"/>
      <c r="AR136" s="21"/>
    </row>
    <row r="137" spans="1:44" outlineLevel="2">
      <c r="A137" s="39"/>
      <c r="B137" s="844"/>
      <c r="C137" s="309"/>
      <c r="D137" s="309"/>
      <c r="E137" s="309"/>
      <c r="F137" s="309"/>
      <c r="G137" s="309"/>
      <c r="H137" s="309"/>
      <c r="I137" s="309"/>
      <c r="J137" s="309"/>
      <c r="K137" s="309"/>
      <c r="L137" s="309"/>
      <c r="M137" s="309"/>
      <c r="N137" s="309"/>
      <c r="O137" s="309"/>
      <c r="P137" s="309"/>
      <c r="Q137" s="309"/>
      <c r="R137" s="309"/>
      <c r="S137" s="309"/>
      <c r="T137" s="309"/>
      <c r="U137" s="309"/>
      <c r="V137" s="309"/>
      <c r="W137" s="23"/>
      <c r="X137" s="309"/>
      <c r="Y137" s="309"/>
      <c r="Z137" s="23"/>
      <c r="AA137" s="309"/>
      <c r="AB137" s="309"/>
      <c r="AC137" s="309"/>
      <c r="AD137" s="309"/>
      <c r="AE137" s="23"/>
      <c r="AF137" s="1326"/>
      <c r="AG137" s="309"/>
      <c r="AH137" s="309"/>
      <c r="AI137" s="309"/>
      <c r="AJ137" s="309"/>
      <c r="AK137" s="309"/>
      <c r="AL137" s="309"/>
      <c r="AM137" s="309"/>
      <c r="AN137" s="309"/>
      <c r="AO137" s="309"/>
      <c r="AP137" s="309"/>
      <c r="AQ137" s="309"/>
      <c r="AR137" s="23"/>
    </row>
    <row r="138" spans="1:44" outlineLevel="2">
      <c r="A138" s="39"/>
      <c r="B138" s="867" t="s">
        <v>388</v>
      </c>
      <c r="C138" s="309"/>
      <c r="D138" s="309"/>
      <c r="E138" s="309"/>
      <c r="F138" s="309"/>
      <c r="G138" s="309"/>
      <c r="H138" s="309"/>
      <c r="I138" s="309"/>
      <c r="J138" s="309"/>
      <c r="K138" s="309"/>
      <c r="L138" s="309"/>
      <c r="M138" s="309"/>
      <c r="N138" s="309"/>
      <c r="O138" s="309"/>
      <c r="P138" s="309"/>
      <c r="Q138" s="309"/>
      <c r="R138" s="309"/>
      <c r="S138" s="309"/>
      <c r="T138" s="309"/>
      <c r="U138" s="309"/>
      <c r="V138" s="309"/>
      <c r="W138" s="23"/>
      <c r="X138" s="309"/>
      <c r="Y138" s="309"/>
      <c r="Z138" s="23"/>
      <c r="AA138" s="309"/>
      <c r="AB138" s="309"/>
      <c r="AC138" s="309"/>
      <c r="AD138" s="309"/>
      <c r="AE138" s="23"/>
      <c r="AF138" s="1326"/>
      <c r="AG138" s="309"/>
      <c r="AH138" s="309"/>
      <c r="AI138" s="309"/>
      <c r="AJ138" s="309"/>
      <c r="AK138" s="309"/>
      <c r="AL138" s="309"/>
      <c r="AM138" s="309"/>
      <c r="AN138" s="309"/>
      <c r="AO138" s="309"/>
      <c r="AP138" s="309"/>
      <c r="AQ138" s="309"/>
      <c r="AR138" s="23"/>
    </row>
    <row r="139" spans="1:44" outlineLevel="2">
      <c r="A139" s="39"/>
      <c r="B139" s="844" t="s">
        <v>119</v>
      </c>
      <c r="C139" s="285"/>
      <c r="D139" s="285">
        <f t="shared" ref="D139:M139" si="420">C147</f>
        <v>43.094000000000001</v>
      </c>
      <c r="E139" s="285">
        <f t="shared" si="420"/>
        <v>46.518000000000001</v>
      </c>
      <c r="F139" s="285">
        <f t="shared" si="420"/>
        <v>66.65100000000001</v>
      </c>
      <c r="G139" s="285">
        <f t="shared" si="420"/>
        <v>66.65100000000001</v>
      </c>
      <c r="H139" s="285">
        <f t="shared" si="420"/>
        <v>80.653000000000006</v>
      </c>
      <c r="I139" s="285">
        <f t="shared" si="420"/>
        <v>81.174000000000007</v>
      </c>
      <c r="J139" s="285">
        <f t="shared" si="420"/>
        <v>81.352000000000004</v>
      </c>
      <c r="K139" s="285">
        <f t="shared" si="420"/>
        <v>83.861000000000004</v>
      </c>
      <c r="L139" s="285">
        <f t="shared" si="420"/>
        <v>78.671999999999997</v>
      </c>
      <c r="M139" s="285">
        <f t="shared" si="420"/>
        <v>78.841999999999999</v>
      </c>
      <c r="N139" s="285">
        <f t="shared" ref="N139:W139" si="421">M147</f>
        <v>83.712000000000003</v>
      </c>
      <c r="O139" s="285">
        <f t="shared" si="421"/>
        <v>85.218000000000004</v>
      </c>
      <c r="P139" s="285">
        <f t="shared" si="421"/>
        <v>84.540999999999997</v>
      </c>
      <c r="Q139" s="285">
        <f t="shared" si="421"/>
        <v>85.59</v>
      </c>
      <c r="R139" s="285">
        <f t="shared" si="421"/>
        <v>1026.5999999999999</v>
      </c>
      <c r="S139" s="285">
        <f>R147</f>
        <v>1037.3</v>
      </c>
      <c r="T139" s="285">
        <f>S147</f>
        <v>1037.3</v>
      </c>
      <c r="U139" s="285">
        <f t="shared" si="421"/>
        <v>1031.4000000000001</v>
      </c>
      <c r="V139" s="285">
        <f t="shared" si="421"/>
        <v>1031.4000000000001</v>
      </c>
      <c r="W139" s="285">
        <f t="shared" si="421"/>
        <v>1031.4000000000001</v>
      </c>
      <c r="X139" s="309">
        <f>W147</f>
        <v>1031.4000000000001</v>
      </c>
      <c r="Y139" s="309">
        <f>V147</f>
        <v>1031.4000000000001</v>
      </c>
      <c r="Z139" s="697">
        <f t="shared" ref="Z139" si="422">Y147</f>
        <v>1031.4000000000001</v>
      </c>
      <c r="AA139" s="309">
        <f>Z147</f>
        <v>1031.4000000000001</v>
      </c>
      <c r="AB139" s="309">
        <f>Y147</f>
        <v>1031.4000000000001</v>
      </c>
      <c r="AC139" s="697">
        <f t="shared" ref="AC139" si="423">AB147</f>
        <v>1031.4000000000001</v>
      </c>
      <c r="AD139" s="309">
        <f>AC147</f>
        <v>1080.0999999999999</v>
      </c>
      <c r="AE139" s="23">
        <f>AB147</f>
        <v>1031.4000000000001</v>
      </c>
      <c r="AF139" s="1574">
        <f t="shared" ref="AF139" si="424">AE147</f>
        <v>1080.7</v>
      </c>
      <c r="AG139" s="309">
        <f>AF147</f>
        <v>1080.7</v>
      </c>
      <c r="AH139" s="309">
        <f>AE147</f>
        <v>1080.7</v>
      </c>
      <c r="AI139" s="309">
        <f>AH147</f>
        <v>1080.7</v>
      </c>
      <c r="AJ139" s="309">
        <f>AI147</f>
        <v>1080.7</v>
      </c>
      <c r="AK139" s="309">
        <f>AH147</f>
        <v>1080.7</v>
      </c>
      <c r="AL139" s="309">
        <f>AK147</f>
        <v>1080.7</v>
      </c>
      <c r="AM139" s="309">
        <f>AL147</f>
        <v>1080.7</v>
      </c>
      <c r="AN139" s="309">
        <f>AK147</f>
        <v>1080.7</v>
      </c>
      <c r="AO139" s="309">
        <f>AN147</f>
        <v>1080.7</v>
      </c>
      <c r="AP139" s="309">
        <f>AO147</f>
        <v>1080.7</v>
      </c>
      <c r="AQ139" s="309">
        <f>AN147</f>
        <v>1080.7</v>
      </c>
      <c r="AR139" s="23"/>
    </row>
    <row r="140" spans="1:44" outlineLevel="2">
      <c r="A140" s="39"/>
      <c r="B140" s="844" t="s">
        <v>367</v>
      </c>
      <c r="C140" s="871"/>
      <c r="D140" s="871"/>
      <c r="E140" s="871"/>
      <c r="F140" s="871"/>
      <c r="G140" s="871"/>
      <c r="H140" s="871"/>
      <c r="I140" s="871"/>
      <c r="J140" s="871"/>
      <c r="K140" s="871"/>
      <c r="L140" s="871"/>
      <c r="M140" s="882"/>
      <c r="N140" s="882"/>
      <c r="O140" s="882">
        <v>0</v>
      </c>
      <c r="P140" s="882">
        <v>0</v>
      </c>
      <c r="Q140" s="882">
        <f>-CFS!Q27</f>
        <v>0</v>
      </c>
      <c r="R140" s="882">
        <f>-CFS!R27</f>
        <v>0</v>
      </c>
      <c r="S140" s="882">
        <f>-CFS!S27</f>
        <v>0</v>
      </c>
      <c r="T140" s="882">
        <f>-CFS!T27</f>
        <v>0</v>
      </c>
      <c r="U140" s="882"/>
      <c r="V140" s="882"/>
      <c r="W140" s="882"/>
      <c r="X140" s="875"/>
      <c r="Y140" s="875"/>
      <c r="Z140" s="1406"/>
      <c r="AA140" s="875"/>
      <c r="AB140" s="875"/>
      <c r="AC140" s="1406"/>
      <c r="AD140" s="875"/>
      <c r="AE140" s="26"/>
      <c r="AF140" s="1792"/>
      <c r="AG140" s="875"/>
      <c r="AH140" s="875"/>
      <c r="AI140" s="875"/>
      <c r="AJ140" s="875"/>
      <c r="AK140" s="875"/>
      <c r="AL140" s="875"/>
      <c r="AM140" s="875"/>
      <c r="AN140" s="875"/>
      <c r="AO140" s="875"/>
      <c r="AP140" s="875"/>
      <c r="AQ140" s="875"/>
      <c r="AR140" s="26"/>
    </row>
    <row r="141" spans="1:44" outlineLevel="2">
      <c r="A141" s="39"/>
      <c r="B141" s="844" t="s">
        <v>368</v>
      </c>
      <c r="C141" s="871"/>
      <c r="D141" s="871"/>
      <c r="E141" s="871"/>
      <c r="F141" s="871"/>
      <c r="G141" s="871"/>
      <c r="H141" s="871"/>
      <c r="I141" s="871"/>
      <c r="J141" s="871"/>
      <c r="K141" s="871"/>
      <c r="L141" s="871"/>
      <c r="M141" s="882"/>
      <c r="N141" s="882"/>
      <c r="O141" s="882"/>
      <c r="P141" s="882"/>
      <c r="Q141" s="882"/>
      <c r="R141" s="882"/>
      <c r="S141" s="882"/>
      <c r="T141" s="882"/>
      <c r="U141" s="882"/>
      <c r="V141" s="882"/>
      <c r="W141" s="882"/>
      <c r="X141" s="875"/>
      <c r="Y141" s="875"/>
      <c r="Z141" s="1406"/>
      <c r="AA141" s="875"/>
      <c r="AB141" s="875"/>
      <c r="AC141" s="1406"/>
      <c r="AD141" s="875"/>
      <c r="AE141" s="26"/>
      <c r="AF141" s="1792"/>
      <c r="AG141" s="875"/>
      <c r="AH141" s="875"/>
      <c r="AI141" s="875"/>
      <c r="AJ141" s="875"/>
      <c r="AK141" s="875"/>
      <c r="AL141" s="875"/>
      <c r="AM141" s="875"/>
      <c r="AN141" s="875"/>
      <c r="AO141" s="875"/>
      <c r="AP141" s="875"/>
      <c r="AQ141" s="875"/>
      <c r="AR141" s="26"/>
    </row>
    <row r="142" spans="1:44" outlineLevel="2">
      <c r="A142" s="39"/>
      <c r="B142" s="844" t="s">
        <v>369</v>
      </c>
      <c r="C142" s="871"/>
      <c r="D142" s="871"/>
      <c r="E142" s="871"/>
      <c r="F142" s="871"/>
      <c r="G142" s="871"/>
      <c r="H142" s="871"/>
      <c r="I142" s="871"/>
      <c r="J142" s="871"/>
      <c r="K142" s="871"/>
      <c r="L142" s="871"/>
      <c r="M142" s="882"/>
      <c r="N142" s="882"/>
      <c r="O142" s="882"/>
      <c r="P142" s="882"/>
      <c r="Q142" s="882"/>
      <c r="R142" s="882"/>
      <c r="S142" s="882"/>
      <c r="T142" s="882"/>
      <c r="U142" s="882"/>
      <c r="V142" s="882"/>
      <c r="W142" s="882"/>
      <c r="X142" s="875"/>
      <c r="Y142" s="875"/>
      <c r="Z142" s="1406"/>
      <c r="AA142" s="875"/>
      <c r="AB142" s="875"/>
      <c r="AC142" s="1406"/>
      <c r="AD142" s="875"/>
      <c r="AE142" s="26"/>
      <c r="AF142" s="1792"/>
      <c r="AG142" s="875"/>
      <c r="AH142" s="875"/>
      <c r="AI142" s="875"/>
      <c r="AJ142" s="875"/>
      <c r="AK142" s="875"/>
      <c r="AL142" s="875"/>
      <c r="AM142" s="875"/>
      <c r="AN142" s="875"/>
      <c r="AO142" s="875"/>
      <c r="AP142" s="875"/>
      <c r="AQ142" s="875"/>
      <c r="AR142" s="26"/>
    </row>
    <row r="143" spans="1:44" outlineLevel="2">
      <c r="A143" s="39"/>
      <c r="B143" s="844" t="s">
        <v>370</v>
      </c>
      <c r="C143" s="871"/>
      <c r="D143" s="871"/>
      <c r="E143" s="871"/>
      <c r="F143" s="871"/>
      <c r="G143" s="871"/>
      <c r="H143" s="871"/>
      <c r="I143" s="871"/>
      <c r="J143" s="871"/>
      <c r="K143" s="871"/>
      <c r="L143" s="871"/>
      <c r="M143" s="882"/>
      <c r="N143" s="882"/>
      <c r="O143" s="882"/>
      <c r="P143" s="882"/>
      <c r="Q143" s="882"/>
      <c r="R143" s="882"/>
      <c r="S143" s="882"/>
      <c r="T143" s="882"/>
      <c r="U143" s="882"/>
      <c r="V143" s="882"/>
      <c r="W143" s="882"/>
      <c r="X143" s="875"/>
      <c r="Y143" s="875"/>
      <c r="Z143" s="1406"/>
      <c r="AA143" s="875"/>
      <c r="AB143" s="875"/>
      <c r="AC143" s="1406"/>
      <c r="AD143" s="875"/>
      <c r="AE143" s="26"/>
      <c r="AF143" s="1792"/>
      <c r="AG143" s="875"/>
      <c r="AH143" s="875"/>
      <c r="AI143" s="875"/>
      <c r="AJ143" s="875"/>
      <c r="AK143" s="875"/>
      <c r="AL143" s="875"/>
      <c r="AM143" s="875"/>
      <c r="AN143" s="875"/>
      <c r="AO143" s="875"/>
      <c r="AP143" s="875"/>
      <c r="AQ143" s="875"/>
      <c r="AR143" s="26"/>
    </row>
    <row r="144" spans="1:44" outlineLevel="2">
      <c r="A144" s="39"/>
      <c r="B144" s="844" t="s">
        <v>120</v>
      </c>
      <c r="C144" s="850"/>
      <c r="D144" s="850"/>
      <c r="E144" s="850"/>
      <c r="F144" s="850"/>
      <c r="G144" s="850"/>
      <c r="H144" s="850"/>
      <c r="I144" s="850">
        <v>0</v>
      </c>
      <c r="J144" s="850">
        <v>0</v>
      </c>
      <c r="K144" s="850"/>
      <c r="L144" s="850"/>
      <c r="M144" s="850"/>
      <c r="N144" s="850"/>
      <c r="O144" s="850">
        <f t="shared" ref="O144:AE144" si="425">O165</f>
        <v>0</v>
      </c>
      <c r="P144" s="850">
        <f t="shared" si="425"/>
        <v>0</v>
      </c>
      <c r="Q144" s="850">
        <f t="shared" si="425"/>
        <v>0</v>
      </c>
      <c r="R144" s="850">
        <f t="shared" si="425"/>
        <v>0</v>
      </c>
      <c r="S144" s="850">
        <f t="shared" si="425"/>
        <v>0</v>
      </c>
      <c r="T144" s="850">
        <f t="shared" si="425"/>
        <v>0</v>
      </c>
      <c r="U144" s="850">
        <f t="shared" si="425"/>
        <v>0</v>
      </c>
      <c r="V144" s="850">
        <f>V165</f>
        <v>0</v>
      </c>
      <c r="W144" s="850">
        <f>W165</f>
        <v>0</v>
      </c>
      <c r="X144" s="920">
        <f t="shared" si="425"/>
        <v>0</v>
      </c>
      <c r="Y144" s="920">
        <f t="shared" si="425"/>
        <v>0</v>
      </c>
      <c r="Z144" s="50">
        <f>Z165</f>
        <v>0</v>
      </c>
      <c r="AA144" s="920">
        <f t="shared" ref="AA144:AB144" si="426">AA165</f>
        <v>0</v>
      </c>
      <c r="AB144" s="920">
        <f t="shared" si="426"/>
        <v>0</v>
      </c>
      <c r="AC144" s="50">
        <f>AC165</f>
        <v>0</v>
      </c>
      <c r="AD144" s="920">
        <f t="shared" ref="AD144" si="427">AD165</f>
        <v>0</v>
      </c>
      <c r="AE144" s="138">
        <f t="shared" si="425"/>
        <v>0</v>
      </c>
      <c r="AF144" s="1575">
        <f>AF165</f>
        <v>0</v>
      </c>
      <c r="AG144" s="920">
        <f t="shared" ref="AG144" si="428">AG165</f>
        <v>0</v>
      </c>
      <c r="AH144" s="920">
        <f>AH165</f>
        <v>0</v>
      </c>
      <c r="AI144" s="920">
        <f t="shared" ref="AI144:AJ144" si="429">AI165</f>
        <v>0</v>
      </c>
      <c r="AJ144" s="920">
        <f t="shared" si="429"/>
        <v>0</v>
      </c>
      <c r="AK144" s="920">
        <f>AK165</f>
        <v>0</v>
      </c>
      <c r="AL144" s="920">
        <f t="shared" ref="AL144:AM144" si="430">AL165</f>
        <v>0</v>
      </c>
      <c r="AM144" s="920">
        <f t="shared" si="430"/>
        <v>0</v>
      </c>
      <c r="AN144" s="920">
        <f>AN165</f>
        <v>0</v>
      </c>
      <c r="AO144" s="920">
        <f t="shared" ref="AO144:AP144" si="431">AO165</f>
        <v>0</v>
      </c>
      <c r="AP144" s="920">
        <f t="shared" si="431"/>
        <v>0</v>
      </c>
      <c r="AQ144" s="920">
        <f>AQ165</f>
        <v>0</v>
      </c>
      <c r="AR144" s="138"/>
    </row>
    <row r="145" spans="1:44" outlineLevel="2">
      <c r="A145" s="39"/>
      <c r="B145" s="859" t="s">
        <v>380</v>
      </c>
      <c r="C145" s="284"/>
      <c r="D145" s="284">
        <f t="shared" ref="D145:M145" si="432">-D144/D139</f>
        <v>0</v>
      </c>
      <c r="E145" s="284">
        <f t="shared" si="432"/>
        <v>0</v>
      </c>
      <c r="F145" s="284">
        <f t="shared" si="432"/>
        <v>0</v>
      </c>
      <c r="G145" s="284">
        <f t="shared" si="432"/>
        <v>0</v>
      </c>
      <c r="H145" s="284">
        <f t="shared" si="432"/>
        <v>0</v>
      </c>
      <c r="I145" s="284">
        <f t="shared" si="432"/>
        <v>0</v>
      </c>
      <c r="J145" s="284">
        <f t="shared" si="432"/>
        <v>0</v>
      </c>
      <c r="K145" s="284">
        <f t="shared" si="432"/>
        <v>0</v>
      </c>
      <c r="L145" s="284">
        <f t="shared" si="432"/>
        <v>0</v>
      </c>
      <c r="M145" s="284">
        <f t="shared" si="432"/>
        <v>0</v>
      </c>
      <c r="N145" s="284">
        <f t="shared" ref="N145:AE145" si="433">-N144/N139</f>
        <v>0</v>
      </c>
      <c r="O145" s="284">
        <f t="shared" si="433"/>
        <v>0</v>
      </c>
      <c r="P145" s="284">
        <f t="shared" si="433"/>
        <v>0</v>
      </c>
      <c r="Q145" s="284">
        <f t="shared" si="433"/>
        <v>0</v>
      </c>
      <c r="R145" s="284">
        <f t="shared" si="433"/>
        <v>0</v>
      </c>
      <c r="S145" s="284">
        <f t="shared" si="433"/>
        <v>0</v>
      </c>
      <c r="T145" s="284">
        <f t="shared" si="433"/>
        <v>0</v>
      </c>
      <c r="U145" s="284">
        <f t="shared" si="433"/>
        <v>0</v>
      </c>
      <c r="V145" s="284">
        <f>-V144/V139</f>
        <v>0</v>
      </c>
      <c r="W145" s="284">
        <f>-W144/W139</f>
        <v>0</v>
      </c>
      <c r="X145" s="284">
        <f t="shared" si="433"/>
        <v>0</v>
      </c>
      <c r="Y145" s="284">
        <f t="shared" si="433"/>
        <v>0</v>
      </c>
      <c r="Z145" s="137">
        <f>-Z144/Z139</f>
        <v>0</v>
      </c>
      <c r="AA145" s="284">
        <f t="shared" ref="AA145:AB145" si="434">-AA144/AA139</f>
        <v>0</v>
      </c>
      <c r="AB145" s="284">
        <f t="shared" si="434"/>
        <v>0</v>
      </c>
      <c r="AC145" s="137">
        <f>-AC144/AC139</f>
        <v>0</v>
      </c>
      <c r="AD145" s="284">
        <f t="shared" ref="AD145" si="435">-AD144/AD139</f>
        <v>0</v>
      </c>
      <c r="AE145" s="137">
        <f t="shared" si="433"/>
        <v>0</v>
      </c>
      <c r="AF145" s="1315">
        <f>-AF144/AF139</f>
        <v>0</v>
      </c>
      <c r="AG145" s="284">
        <f t="shared" ref="AG145" si="436">-AG144/AG139</f>
        <v>0</v>
      </c>
      <c r="AH145" s="284">
        <f>-AH144/AH139</f>
        <v>0</v>
      </c>
      <c r="AI145" s="284">
        <f t="shared" ref="AI145:AJ145" si="437">-AI144/AI139</f>
        <v>0</v>
      </c>
      <c r="AJ145" s="284">
        <f t="shared" si="437"/>
        <v>0</v>
      </c>
      <c r="AK145" s="284">
        <f>-AK144/AK139</f>
        <v>0</v>
      </c>
      <c r="AL145" s="284">
        <f t="shared" ref="AL145:AM145" si="438">-AL144/AL139</f>
        <v>0</v>
      </c>
      <c r="AM145" s="284">
        <f t="shared" si="438"/>
        <v>0</v>
      </c>
      <c r="AN145" s="284">
        <f>-AN144/AN139</f>
        <v>0</v>
      </c>
      <c r="AO145" s="284">
        <f t="shared" ref="AO145:AP145" si="439">-AO144/AO139</f>
        <v>0</v>
      </c>
      <c r="AP145" s="284">
        <f t="shared" si="439"/>
        <v>0</v>
      </c>
      <c r="AQ145" s="284">
        <f>-AQ144/AQ139</f>
        <v>0</v>
      </c>
      <c r="AR145" s="137"/>
    </row>
    <row r="146" spans="1:44" outlineLevel="2">
      <c r="A146" s="39"/>
      <c r="B146" s="844" t="s">
        <v>90</v>
      </c>
      <c r="C146" s="883">
        <f t="shared" ref="C146:M146" si="440">C147-C139-C140-C141-C142-C143-C144</f>
        <v>43.094000000000001</v>
      </c>
      <c r="D146" s="883">
        <f t="shared" si="440"/>
        <v>3.4239999999999995</v>
      </c>
      <c r="E146" s="883">
        <f t="shared" si="440"/>
        <v>20.13300000000001</v>
      </c>
      <c r="F146" s="883">
        <f t="shared" si="440"/>
        <v>0</v>
      </c>
      <c r="G146" s="883">
        <f t="shared" si="440"/>
        <v>14.001999999999995</v>
      </c>
      <c r="H146" s="883">
        <f t="shared" si="440"/>
        <v>0.5210000000000008</v>
      </c>
      <c r="I146" s="883">
        <f t="shared" si="440"/>
        <v>0.17799999999999727</v>
      </c>
      <c r="J146" s="883">
        <f t="shared" si="440"/>
        <v>2.5090000000000003</v>
      </c>
      <c r="K146" s="883">
        <f t="shared" si="440"/>
        <v>-5.1890000000000072</v>
      </c>
      <c r="L146" s="883">
        <f t="shared" si="440"/>
        <v>0.17000000000000171</v>
      </c>
      <c r="M146" s="883">
        <f t="shared" si="440"/>
        <v>4.8700000000000045</v>
      </c>
      <c r="N146" s="883">
        <f t="shared" ref="N146:V146" si="441">N147-N139-N140-N141-N142-N143-N144</f>
        <v>1.5060000000000002</v>
      </c>
      <c r="O146" s="883">
        <f t="shared" si="441"/>
        <v>-0.67700000000000671</v>
      </c>
      <c r="P146" s="883">
        <f t="shared" si="441"/>
        <v>1.0490000000000066</v>
      </c>
      <c r="Q146" s="883">
        <f t="shared" si="441"/>
        <v>941.00999999999988</v>
      </c>
      <c r="R146" s="883">
        <f t="shared" si="441"/>
        <v>10.700000000000045</v>
      </c>
      <c r="S146" s="883">
        <f t="shared" si="441"/>
        <v>0</v>
      </c>
      <c r="T146" s="883">
        <f t="shared" si="441"/>
        <v>-5.8999999999998636</v>
      </c>
      <c r="U146" s="883">
        <f t="shared" si="441"/>
        <v>0</v>
      </c>
      <c r="V146" s="883">
        <f t="shared" si="441"/>
        <v>0</v>
      </c>
      <c r="W146" s="883">
        <f t="shared" ref="W146" si="442">W147-W139-W140-W141-W142-W143-W144</f>
        <v>0</v>
      </c>
      <c r="X146" s="875"/>
      <c r="Y146" s="875"/>
      <c r="Z146" s="1407">
        <f t="shared" ref="Z146" si="443">Z147-Z139-Z140-Z141-Z142-Z143-Z144</f>
        <v>0</v>
      </c>
      <c r="AA146" s="875"/>
      <c r="AB146" s="875"/>
      <c r="AC146" s="1407">
        <f t="shared" ref="AC146" si="444">AC147-AC139-AC140-AC141-AC142-AC143-AC144</f>
        <v>48.699999999999818</v>
      </c>
      <c r="AD146" s="26">
        <f>+AE146-AC146</f>
        <v>0.60000000000013642</v>
      </c>
      <c r="AE146" s="1407">
        <f t="shared" ref="AE146:AF146" si="445">AE147-AE139-AE140-AE141-AE142-AE143-AE144</f>
        <v>49.299999999999955</v>
      </c>
      <c r="AF146" s="1614">
        <f t="shared" si="445"/>
        <v>0</v>
      </c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</row>
    <row r="147" spans="1:44">
      <c r="A147" s="13"/>
      <c r="B147" s="33" t="s">
        <v>122</v>
      </c>
      <c r="C147" s="29">
        <f t="shared" ref="C147:V147" si="446">C14</f>
        <v>43.094000000000001</v>
      </c>
      <c r="D147" s="29">
        <f t="shared" si="446"/>
        <v>46.518000000000001</v>
      </c>
      <c r="E147" s="29">
        <f t="shared" si="446"/>
        <v>66.65100000000001</v>
      </c>
      <c r="F147" s="29">
        <f t="shared" si="446"/>
        <v>66.65100000000001</v>
      </c>
      <c r="G147" s="29">
        <f t="shared" si="446"/>
        <v>80.653000000000006</v>
      </c>
      <c r="H147" s="29">
        <f t="shared" si="446"/>
        <v>81.174000000000007</v>
      </c>
      <c r="I147" s="29">
        <f t="shared" si="446"/>
        <v>81.352000000000004</v>
      </c>
      <c r="J147" s="29">
        <f t="shared" si="446"/>
        <v>83.861000000000004</v>
      </c>
      <c r="K147" s="29">
        <f t="shared" si="446"/>
        <v>78.671999999999997</v>
      </c>
      <c r="L147" s="29">
        <f t="shared" si="446"/>
        <v>78.841999999999999</v>
      </c>
      <c r="M147" s="29">
        <f t="shared" si="446"/>
        <v>83.712000000000003</v>
      </c>
      <c r="N147" s="29">
        <f t="shared" si="446"/>
        <v>85.218000000000004</v>
      </c>
      <c r="O147" s="29">
        <f t="shared" si="446"/>
        <v>84.540999999999997</v>
      </c>
      <c r="P147" s="29">
        <f t="shared" si="446"/>
        <v>85.59</v>
      </c>
      <c r="Q147" s="29">
        <f t="shared" si="446"/>
        <v>1026.5999999999999</v>
      </c>
      <c r="R147" s="29">
        <f t="shared" si="446"/>
        <v>1037.3</v>
      </c>
      <c r="S147" s="29">
        <f t="shared" si="446"/>
        <v>1037.3</v>
      </c>
      <c r="T147" s="29">
        <f t="shared" si="446"/>
        <v>1031.4000000000001</v>
      </c>
      <c r="U147" s="29">
        <f t="shared" si="446"/>
        <v>1031.4000000000001</v>
      </c>
      <c r="V147" s="1152">
        <f t="shared" si="446"/>
        <v>1031.4000000000001</v>
      </c>
      <c r="W147" s="1152">
        <f t="shared" ref="W147" si="447">W14</f>
        <v>1031.4000000000001</v>
      </c>
      <c r="X147" s="939">
        <f t="shared" ref="X147" si="448">SUM(X139:X144,X146)</f>
        <v>1031.4000000000001</v>
      </c>
      <c r="Y147" s="1329">
        <f>SUM(Y139:Y144,Y146)</f>
        <v>1031.4000000000001</v>
      </c>
      <c r="Z147" s="939">
        <f t="shared" ref="Z147" si="449">Z14</f>
        <v>1031.4000000000001</v>
      </c>
      <c r="AA147" s="939">
        <f t="shared" ref="AA147" si="450">SUM(AA139:AA144,AA146)</f>
        <v>1031.4000000000001</v>
      </c>
      <c r="AB147" s="1152">
        <f t="shared" ref="AB147:AE147" si="451">AB14</f>
        <v>1031.4000000000001</v>
      </c>
      <c r="AC147" s="1566">
        <f t="shared" si="451"/>
        <v>1080.0999999999999</v>
      </c>
      <c r="AD147" s="1152">
        <f>+AE147</f>
        <v>1080.7</v>
      </c>
      <c r="AE147" s="1566">
        <f t="shared" si="451"/>
        <v>1080.7</v>
      </c>
      <c r="AF147" s="1663">
        <f t="shared" ref="AF147" si="452">AF14</f>
        <v>1080.7</v>
      </c>
      <c r="AG147" s="939">
        <f t="shared" ref="AG147" si="453">SUM(AG139:AG144,AG146)</f>
        <v>1080.7</v>
      </c>
      <c r="AH147" s="939">
        <f>SUM(AH139:AH144,AH146)</f>
        <v>1080.7</v>
      </c>
      <c r="AI147" s="939">
        <f t="shared" ref="AI147:AJ147" si="454">SUM(AI139:AI144,AI146)</f>
        <v>1080.7</v>
      </c>
      <c r="AJ147" s="939">
        <f t="shared" si="454"/>
        <v>1080.7</v>
      </c>
      <c r="AK147" s="939">
        <f>SUM(AK139:AK144,AK146)</f>
        <v>1080.7</v>
      </c>
      <c r="AL147" s="939">
        <f t="shared" ref="AL147:AM147" si="455">SUM(AL139:AL144,AL146)</f>
        <v>1080.7</v>
      </c>
      <c r="AM147" s="939">
        <f t="shared" si="455"/>
        <v>1080.7</v>
      </c>
      <c r="AN147" s="939">
        <f>SUM(AN139:AN144,AN146)</f>
        <v>1080.7</v>
      </c>
      <c r="AO147" s="939">
        <f t="shared" ref="AO147:AP147" si="456">SUM(AO139:AO144,AO146)</f>
        <v>1080.7</v>
      </c>
      <c r="AP147" s="939">
        <f t="shared" si="456"/>
        <v>1080.7</v>
      </c>
      <c r="AQ147" s="939">
        <f>SUM(AQ139:AQ144,AQ146)</f>
        <v>1080.7</v>
      </c>
      <c r="AR147" s="32"/>
    </row>
    <row r="148" spans="1:44" outlineLevel="2">
      <c r="A148" s="885"/>
      <c r="B148" s="867"/>
      <c r="C148" s="884"/>
      <c r="D148" s="884"/>
      <c r="E148" s="884"/>
      <c r="F148" s="884"/>
      <c r="G148" s="884"/>
      <c r="H148" s="884"/>
      <c r="I148" s="884"/>
      <c r="J148" s="884"/>
      <c r="K148" s="884"/>
      <c r="L148" s="884"/>
      <c r="M148" s="884"/>
      <c r="N148" s="884"/>
      <c r="O148" s="884"/>
      <c r="P148" s="884"/>
      <c r="Q148" s="884"/>
      <c r="R148" s="884"/>
      <c r="S148" s="884"/>
      <c r="T148" s="884"/>
      <c r="U148" s="884"/>
      <c r="V148" s="884"/>
      <c r="W148" s="884"/>
      <c r="X148" s="884"/>
      <c r="Y148" s="884"/>
      <c r="Z148" s="142"/>
      <c r="AA148" s="142"/>
      <c r="AB148" s="142"/>
      <c r="AC148" s="142"/>
      <c r="AD148" s="884"/>
      <c r="AE148" s="142"/>
      <c r="AF148" s="1316"/>
      <c r="AG148" s="884"/>
      <c r="AH148" s="884"/>
      <c r="AI148" s="884"/>
      <c r="AJ148" s="884"/>
      <c r="AK148" s="884"/>
      <c r="AL148" s="884"/>
      <c r="AM148" s="884"/>
      <c r="AN148" s="884"/>
      <c r="AO148" s="884"/>
      <c r="AP148" s="884"/>
      <c r="AQ148" s="884"/>
      <c r="AR148" s="142"/>
    </row>
    <row r="149" spans="1:44" outlineLevel="2">
      <c r="A149" s="885"/>
      <c r="B149" s="867" t="s">
        <v>121</v>
      </c>
      <c r="C149" s="884"/>
      <c r="D149" s="884"/>
      <c r="E149" s="884"/>
      <c r="F149" s="884"/>
      <c r="G149" s="884"/>
      <c r="H149" s="884"/>
      <c r="I149" s="884"/>
      <c r="J149" s="884"/>
      <c r="K149" s="884"/>
      <c r="L149" s="884"/>
      <c r="M149" s="884"/>
      <c r="N149" s="884"/>
      <c r="O149" s="884"/>
      <c r="P149" s="884"/>
      <c r="Q149" s="884"/>
      <c r="R149" s="884"/>
      <c r="S149" s="884"/>
      <c r="T149" s="884"/>
      <c r="U149" s="884"/>
      <c r="V149" s="884"/>
      <c r="W149" s="884"/>
      <c r="X149" s="884"/>
      <c r="Y149" s="884"/>
      <c r="Z149" s="142"/>
      <c r="AA149" s="142"/>
      <c r="AB149" s="142"/>
      <c r="AC149" s="142"/>
      <c r="AD149" s="884"/>
      <c r="AE149" s="142"/>
      <c r="AF149" s="1316"/>
      <c r="AG149" s="884"/>
      <c r="AH149" s="884"/>
      <c r="AI149" s="884"/>
      <c r="AJ149" s="884"/>
      <c r="AK149" s="884"/>
      <c r="AL149" s="884"/>
      <c r="AM149" s="884"/>
      <c r="AN149" s="884"/>
      <c r="AO149" s="884"/>
      <c r="AP149" s="884"/>
      <c r="AQ149" s="884"/>
      <c r="AR149" s="142"/>
    </row>
    <row r="150" spans="1:44" outlineLevel="2">
      <c r="A150" s="885"/>
      <c r="B150" s="844" t="s">
        <v>119</v>
      </c>
      <c r="C150" s="884"/>
      <c r="D150" s="884"/>
      <c r="E150" s="884"/>
      <c r="F150" s="884"/>
      <c r="G150" s="884"/>
      <c r="H150" s="884"/>
      <c r="I150" s="884"/>
      <c r="J150" s="884"/>
      <c r="K150" s="884"/>
      <c r="L150" s="884"/>
      <c r="M150" s="884"/>
      <c r="N150" s="884"/>
      <c r="O150" s="884"/>
      <c r="P150" s="884"/>
      <c r="Q150" s="884"/>
      <c r="R150" s="884"/>
      <c r="S150" s="884"/>
      <c r="T150" s="884"/>
      <c r="U150" s="884"/>
      <c r="V150" s="884"/>
      <c r="W150" s="884"/>
      <c r="X150" s="884"/>
      <c r="Y150" s="884"/>
      <c r="Z150" s="142"/>
      <c r="AA150" s="142"/>
      <c r="AB150" s="142"/>
      <c r="AC150" s="142"/>
      <c r="AD150" s="884"/>
      <c r="AE150" s="142"/>
      <c r="AF150" s="1316"/>
      <c r="AG150" s="884"/>
      <c r="AH150" s="884"/>
      <c r="AI150" s="884"/>
      <c r="AJ150" s="884"/>
      <c r="AK150" s="884"/>
      <c r="AL150" s="884"/>
      <c r="AM150" s="884"/>
      <c r="AN150" s="884"/>
      <c r="AO150" s="884"/>
      <c r="AP150" s="884"/>
      <c r="AQ150" s="884"/>
      <c r="AR150" s="142"/>
    </row>
    <row r="151" spans="1:44" outlineLevel="2">
      <c r="A151" s="885"/>
      <c r="B151" s="844" t="s">
        <v>389</v>
      </c>
      <c r="C151" s="884"/>
      <c r="D151" s="884"/>
      <c r="E151" s="884"/>
      <c r="F151" s="884"/>
      <c r="G151" s="884"/>
      <c r="H151" s="884"/>
      <c r="I151" s="884"/>
      <c r="J151" s="884"/>
      <c r="K151" s="884"/>
      <c r="L151" s="884"/>
      <c r="M151" s="884"/>
      <c r="N151" s="884"/>
      <c r="O151" s="884"/>
      <c r="P151" s="884"/>
      <c r="Q151" s="884"/>
      <c r="R151" s="884"/>
      <c r="S151" s="884"/>
      <c r="T151" s="884"/>
      <c r="U151" s="884"/>
      <c r="V151" s="884"/>
      <c r="W151" s="884"/>
      <c r="X151" s="884"/>
      <c r="Y151" s="884"/>
      <c r="Z151" s="142"/>
      <c r="AA151" s="142"/>
      <c r="AB151" s="142"/>
      <c r="AC151" s="142"/>
      <c r="AD151" s="884"/>
      <c r="AE151" s="142"/>
      <c r="AF151" s="1316"/>
      <c r="AG151" s="884"/>
      <c r="AH151" s="884"/>
      <c r="AI151" s="884"/>
      <c r="AJ151" s="884"/>
      <c r="AK151" s="884"/>
      <c r="AL151" s="884"/>
      <c r="AM151" s="884"/>
      <c r="AN151" s="884"/>
      <c r="AO151" s="884"/>
      <c r="AP151" s="884"/>
      <c r="AQ151" s="884"/>
      <c r="AR151" s="142"/>
    </row>
    <row r="152" spans="1:44" outlineLevel="2">
      <c r="A152" s="885"/>
      <c r="B152" s="844" t="s">
        <v>390</v>
      </c>
      <c r="C152" s="884"/>
      <c r="D152" s="884"/>
      <c r="E152" s="884"/>
      <c r="F152" s="884"/>
      <c r="G152" s="884"/>
      <c r="H152" s="884"/>
      <c r="I152" s="884"/>
      <c r="J152" s="884"/>
      <c r="K152" s="884"/>
      <c r="L152" s="884"/>
      <c r="M152" s="884"/>
      <c r="N152" s="884"/>
      <c r="O152" s="884"/>
      <c r="P152" s="884"/>
      <c r="Q152" s="884"/>
      <c r="R152" s="884"/>
      <c r="S152" s="884"/>
      <c r="T152" s="884"/>
      <c r="U152" s="884"/>
      <c r="V152" s="884"/>
      <c r="W152" s="884"/>
      <c r="X152" s="884"/>
      <c r="Y152" s="884"/>
      <c r="Z152" s="142"/>
      <c r="AA152" s="142"/>
      <c r="AB152" s="142"/>
      <c r="AC152" s="142"/>
      <c r="AD152" s="884"/>
      <c r="AE152" s="142"/>
      <c r="AF152" s="1316"/>
      <c r="AG152" s="884"/>
      <c r="AH152" s="884"/>
      <c r="AI152" s="884"/>
      <c r="AJ152" s="884"/>
      <c r="AK152" s="884"/>
      <c r="AL152" s="884"/>
      <c r="AM152" s="884"/>
      <c r="AN152" s="884"/>
      <c r="AO152" s="884"/>
      <c r="AP152" s="884"/>
      <c r="AQ152" s="884"/>
      <c r="AR152" s="142"/>
    </row>
    <row r="153" spans="1:44" outlineLevel="2">
      <c r="A153" s="885"/>
      <c r="B153" s="844" t="s">
        <v>391</v>
      </c>
      <c r="C153" s="593"/>
      <c r="D153" s="593"/>
      <c r="E153" s="593"/>
      <c r="F153" s="593"/>
      <c r="G153" s="593"/>
      <c r="H153" s="593"/>
      <c r="I153" s="593"/>
      <c r="J153" s="593"/>
      <c r="K153" s="593"/>
      <c r="L153" s="593"/>
      <c r="M153" s="593"/>
      <c r="N153" s="593"/>
      <c r="O153" s="593"/>
      <c r="P153" s="593"/>
      <c r="Q153" s="593"/>
      <c r="R153" s="593"/>
      <c r="S153" s="593"/>
      <c r="T153" s="593"/>
      <c r="U153" s="593"/>
      <c r="V153" s="1156"/>
      <c r="W153" s="1156"/>
      <c r="X153" s="593"/>
      <c r="Y153" s="1288"/>
      <c r="Z153" s="125"/>
      <c r="AA153" s="125"/>
      <c r="AB153" s="1568"/>
      <c r="AC153" s="1568"/>
      <c r="AD153" s="593"/>
      <c r="AE153" s="1568"/>
      <c r="AF153" s="1666"/>
      <c r="AG153" s="593"/>
      <c r="AH153" s="593"/>
      <c r="AI153" s="593"/>
      <c r="AJ153" s="593"/>
      <c r="AK153" s="593"/>
      <c r="AL153" s="593"/>
      <c r="AM153" s="593"/>
      <c r="AN153" s="593"/>
      <c r="AO153" s="593"/>
      <c r="AP153" s="593"/>
      <c r="AQ153" s="593"/>
      <c r="AR153" s="142"/>
    </row>
    <row r="154" spans="1:44" outlineLevel="2">
      <c r="A154" s="885"/>
      <c r="B154" s="844"/>
      <c r="C154" s="884"/>
      <c r="D154" s="884"/>
      <c r="E154" s="884"/>
      <c r="F154" s="884"/>
      <c r="G154" s="884"/>
      <c r="H154" s="884"/>
      <c r="I154" s="884"/>
      <c r="J154" s="884"/>
      <c r="K154" s="884"/>
      <c r="L154" s="884"/>
      <c r="M154" s="884"/>
      <c r="N154" s="884"/>
      <c r="O154" s="884"/>
      <c r="P154" s="884"/>
      <c r="Q154" s="884"/>
      <c r="R154" s="884"/>
      <c r="S154" s="884"/>
      <c r="T154" s="884"/>
      <c r="U154" s="884"/>
      <c r="V154" s="884"/>
      <c r="W154" s="884"/>
      <c r="X154" s="884"/>
      <c r="Y154" s="884"/>
      <c r="Z154" s="142"/>
      <c r="AA154" s="142"/>
      <c r="AB154" s="142"/>
      <c r="AC154" s="142"/>
      <c r="AD154" s="884"/>
      <c r="AE154" s="142"/>
      <c r="AF154" s="1316"/>
      <c r="AG154" s="884"/>
      <c r="AH154" s="884"/>
      <c r="AI154" s="884"/>
      <c r="AJ154" s="884"/>
      <c r="AK154" s="884"/>
      <c r="AL154" s="884"/>
      <c r="AM154" s="884"/>
      <c r="AN154" s="884"/>
      <c r="AO154" s="884"/>
      <c r="AP154" s="884"/>
      <c r="AQ154" s="884"/>
      <c r="AR154" s="142"/>
    </row>
    <row r="155" spans="1:44" outlineLevel="2">
      <c r="A155" s="885"/>
      <c r="B155" s="844" t="s">
        <v>392</v>
      </c>
      <c r="C155" s="884"/>
      <c r="D155" s="884"/>
      <c r="E155" s="884"/>
      <c r="F155" s="884"/>
      <c r="G155" s="884"/>
      <c r="H155" s="884"/>
      <c r="I155" s="884"/>
      <c r="J155" s="884"/>
      <c r="K155" s="884"/>
      <c r="L155" s="884"/>
      <c r="M155" s="884"/>
      <c r="N155" s="884"/>
      <c r="O155" s="884"/>
      <c r="P155" s="884"/>
      <c r="Q155" s="884"/>
      <c r="R155" s="884"/>
      <c r="S155" s="884"/>
      <c r="T155" s="884"/>
      <c r="U155" s="884"/>
      <c r="V155" s="884"/>
      <c r="W155" s="884"/>
      <c r="X155" s="884"/>
      <c r="Y155" s="884"/>
      <c r="Z155" s="142"/>
      <c r="AA155" s="142"/>
      <c r="AB155" s="142"/>
      <c r="AC155" s="142"/>
      <c r="AD155" s="884"/>
      <c r="AE155" s="142"/>
      <c r="AF155" s="1316"/>
      <c r="AG155" s="884"/>
      <c r="AH155" s="884"/>
      <c r="AI155" s="884"/>
      <c r="AJ155" s="884"/>
      <c r="AK155" s="884"/>
      <c r="AL155" s="884"/>
      <c r="AM155" s="884"/>
      <c r="AN155" s="884"/>
      <c r="AO155" s="884"/>
      <c r="AP155" s="884"/>
      <c r="AQ155" s="884"/>
      <c r="AR155" s="142"/>
    </row>
    <row r="156" spans="1:44" outlineLevel="2">
      <c r="A156" s="885"/>
      <c r="B156" s="844" t="s">
        <v>119</v>
      </c>
      <c r="C156" s="884"/>
      <c r="D156" s="884"/>
      <c r="E156" s="884"/>
      <c r="F156" s="884"/>
      <c r="G156" s="884"/>
      <c r="H156" s="884"/>
      <c r="I156" s="884"/>
      <c r="J156" s="884"/>
      <c r="K156" s="884"/>
      <c r="L156" s="884"/>
      <c r="M156" s="884"/>
      <c r="N156" s="884"/>
      <c r="O156" s="884"/>
      <c r="P156" s="884"/>
      <c r="Q156" s="884"/>
      <c r="R156" s="884"/>
      <c r="S156" s="884"/>
      <c r="T156" s="884"/>
      <c r="U156" s="884"/>
      <c r="V156" s="884"/>
      <c r="W156" s="884"/>
      <c r="X156" s="884"/>
      <c r="Y156" s="884"/>
      <c r="Z156" s="142"/>
      <c r="AA156" s="142"/>
      <c r="AB156" s="142"/>
      <c r="AC156" s="142"/>
      <c r="AD156" s="884"/>
      <c r="AE156" s="142"/>
      <c r="AF156" s="1316"/>
      <c r="AG156" s="884"/>
      <c r="AH156" s="884"/>
      <c r="AI156" s="884"/>
      <c r="AJ156" s="884"/>
      <c r="AK156" s="884"/>
      <c r="AL156" s="884"/>
      <c r="AM156" s="884"/>
      <c r="AN156" s="884"/>
      <c r="AO156" s="884"/>
      <c r="AP156" s="884"/>
      <c r="AQ156" s="884"/>
      <c r="AR156" s="142"/>
    </row>
    <row r="157" spans="1:44" outlineLevel="2">
      <c r="A157" s="885"/>
      <c r="B157" s="844" t="s">
        <v>120</v>
      </c>
      <c r="C157" s="884"/>
      <c r="D157" s="884"/>
      <c r="E157" s="884"/>
      <c r="F157" s="884"/>
      <c r="G157" s="884"/>
      <c r="H157" s="884"/>
      <c r="I157" s="884"/>
      <c r="J157" s="884"/>
      <c r="K157" s="884"/>
      <c r="L157" s="884"/>
      <c r="M157" s="884"/>
      <c r="N157" s="884"/>
      <c r="O157" s="884"/>
      <c r="P157" s="884"/>
      <c r="Q157" s="884"/>
      <c r="R157" s="884"/>
      <c r="S157" s="884"/>
      <c r="T157" s="884"/>
      <c r="U157" s="884"/>
      <c r="V157" s="884"/>
      <c r="W157" s="884"/>
      <c r="X157" s="884"/>
      <c r="Y157" s="884"/>
      <c r="Z157" s="142"/>
      <c r="AA157" s="142"/>
      <c r="AB157" s="142"/>
      <c r="AC157" s="142"/>
      <c r="AD157" s="884"/>
      <c r="AE157" s="142"/>
      <c r="AF157" s="1316"/>
      <c r="AG157" s="884"/>
      <c r="AH157" s="884"/>
      <c r="AI157" s="884"/>
      <c r="AJ157" s="884"/>
      <c r="AK157" s="884"/>
      <c r="AL157" s="884"/>
      <c r="AM157" s="884"/>
      <c r="AN157" s="884"/>
      <c r="AO157" s="884"/>
      <c r="AP157" s="884"/>
      <c r="AQ157" s="884"/>
      <c r="AR157" s="142"/>
    </row>
    <row r="158" spans="1:44" outlineLevel="2">
      <c r="A158" s="885"/>
      <c r="B158" s="844" t="s">
        <v>115</v>
      </c>
      <c r="C158" s="884"/>
      <c r="D158" s="884"/>
      <c r="E158" s="884"/>
      <c r="F158" s="884"/>
      <c r="G158" s="884"/>
      <c r="H158" s="884"/>
      <c r="I158" s="884"/>
      <c r="J158" s="884"/>
      <c r="K158" s="884"/>
      <c r="L158" s="884"/>
      <c r="M158" s="884"/>
      <c r="N158" s="884"/>
      <c r="O158" s="884"/>
      <c r="P158" s="884"/>
      <c r="Q158" s="884"/>
      <c r="R158" s="884"/>
      <c r="S158" s="884"/>
      <c r="T158" s="884"/>
      <c r="U158" s="884"/>
      <c r="V158" s="884"/>
      <c r="W158" s="884"/>
      <c r="X158" s="884"/>
      <c r="Y158" s="884"/>
      <c r="Z158" s="142"/>
      <c r="AA158" s="142"/>
      <c r="AB158" s="142"/>
      <c r="AC158" s="142"/>
      <c r="AD158" s="884"/>
      <c r="AE158" s="142"/>
      <c r="AF158" s="1316"/>
      <c r="AG158" s="884"/>
      <c r="AH158" s="884"/>
      <c r="AI158" s="884"/>
      <c r="AJ158" s="884"/>
      <c r="AK158" s="884"/>
      <c r="AL158" s="884"/>
      <c r="AM158" s="884"/>
      <c r="AN158" s="884"/>
      <c r="AO158" s="884"/>
      <c r="AP158" s="884"/>
      <c r="AQ158" s="884"/>
      <c r="AR158" s="142"/>
    </row>
    <row r="159" spans="1:44" outlineLevel="2">
      <c r="A159" s="885"/>
      <c r="B159" s="844" t="s">
        <v>390</v>
      </c>
      <c r="C159" s="884"/>
      <c r="D159" s="884"/>
      <c r="E159" s="884"/>
      <c r="F159" s="884"/>
      <c r="G159" s="884"/>
      <c r="H159" s="884"/>
      <c r="I159" s="884"/>
      <c r="J159" s="884"/>
      <c r="K159" s="884"/>
      <c r="L159" s="884"/>
      <c r="M159" s="884"/>
      <c r="N159" s="884"/>
      <c r="O159" s="884"/>
      <c r="P159" s="884"/>
      <c r="Q159" s="884"/>
      <c r="R159" s="884"/>
      <c r="S159" s="884"/>
      <c r="T159" s="884"/>
      <c r="U159" s="884"/>
      <c r="V159" s="884"/>
      <c r="W159" s="884"/>
      <c r="X159" s="884"/>
      <c r="Y159" s="884"/>
      <c r="Z159" s="142"/>
      <c r="AA159" s="142"/>
      <c r="AB159" s="142"/>
      <c r="AC159" s="142"/>
      <c r="AD159" s="884"/>
      <c r="AE159" s="142"/>
      <c r="AF159" s="1316"/>
      <c r="AG159" s="884"/>
      <c r="AH159" s="884"/>
      <c r="AI159" s="884"/>
      <c r="AJ159" s="884"/>
      <c r="AK159" s="884"/>
      <c r="AL159" s="884"/>
      <c r="AM159" s="884"/>
      <c r="AN159" s="884"/>
      <c r="AO159" s="884"/>
      <c r="AP159" s="884"/>
      <c r="AQ159" s="884"/>
      <c r="AR159" s="142"/>
    </row>
    <row r="160" spans="1:44" outlineLevel="2">
      <c r="A160" s="885"/>
      <c r="B160" s="844" t="s">
        <v>391</v>
      </c>
      <c r="C160" s="885"/>
      <c r="D160" s="885"/>
      <c r="E160" s="885"/>
      <c r="F160" s="885"/>
      <c r="G160" s="885"/>
      <c r="H160" s="885"/>
      <c r="I160" s="885"/>
      <c r="J160" s="885"/>
      <c r="K160" s="885"/>
      <c r="L160" s="885"/>
      <c r="M160" s="886"/>
      <c r="N160" s="886"/>
      <c r="O160" s="886"/>
      <c r="P160" s="886"/>
      <c r="Q160" s="886"/>
      <c r="R160" s="886"/>
      <c r="S160" s="886"/>
      <c r="T160" s="886"/>
      <c r="U160" s="886"/>
      <c r="V160" s="886"/>
      <c r="W160" s="886"/>
      <c r="X160" s="885"/>
      <c r="Y160" s="885"/>
      <c r="Z160" s="1408"/>
      <c r="AA160" s="39"/>
      <c r="AB160" s="39"/>
      <c r="AC160" s="39"/>
      <c r="AD160" s="885"/>
      <c r="AE160" s="39"/>
      <c r="AF160" s="1667"/>
      <c r="AG160" s="885"/>
      <c r="AH160" s="885"/>
      <c r="AI160" s="885"/>
      <c r="AJ160" s="885"/>
      <c r="AK160" s="885"/>
      <c r="AL160" s="885"/>
      <c r="AM160" s="885"/>
      <c r="AN160" s="885"/>
      <c r="AO160" s="885"/>
      <c r="AP160" s="885"/>
      <c r="AQ160" s="885"/>
      <c r="AR160" s="39"/>
    </row>
    <row r="161" spans="1:44" outlineLevel="2">
      <c r="A161" s="885"/>
      <c r="B161" s="844"/>
      <c r="C161" s="309"/>
      <c r="D161" s="309"/>
      <c r="E161" s="309"/>
      <c r="F161" s="309"/>
      <c r="G161" s="309"/>
      <c r="H161" s="309"/>
      <c r="I161" s="309"/>
      <c r="J161" s="309"/>
      <c r="K161" s="309"/>
      <c r="L161" s="309"/>
      <c r="M161" s="309"/>
      <c r="N161" s="309"/>
      <c r="O161" s="309"/>
      <c r="P161" s="309" t="s">
        <v>637</v>
      </c>
      <c r="Q161" s="309"/>
      <c r="R161" s="309"/>
      <c r="S161" s="309"/>
      <c r="T161" s="309"/>
      <c r="U161" s="309"/>
      <c r="V161" s="309"/>
      <c r="W161" s="309"/>
      <c r="X161" s="309"/>
      <c r="Y161" s="309"/>
      <c r="Z161" s="23"/>
      <c r="AA161" s="23"/>
      <c r="AB161" s="23"/>
      <c r="AC161" s="23"/>
      <c r="AD161" s="309"/>
      <c r="AE161" s="23"/>
      <c r="AF161" s="1299"/>
      <c r="AG161" s="309"/>
      <c r="AH161" s="309"/>
      <c r="AI161" s="309"/>
      <c r="AJ161" s="309"/>
      <c r="AK161" s="309"/>
      <c r="AL161" s="309"/>
      <c r="AM161" s="309"/>
      <c r="AN161" s="309"/>
      <c r="AO161" s="309"/>
      <c r="AP161" s="309"/>
      <c r="AQ161" s="309"/>
      <c r="AR161" s="23"/>
    </row>
    <row r="162" spans="1:44" outlineLevel="1">
      <c r="A162" s="888"/>
      <c r="B162" s="857" t="s">
        <v>123</v>
      </c>
      <c r="C162" s="441"/>
      <c r="D162" s="441"/>
      <c r="E162" s="441"/>
      <c r="F162" s="441"/>
      <c r="G162" s="441"/>
      <c r="H162" s="441"/>
      <c r="I162" s="441"/>
      <c r="J162" s="441"/>
      <c r="K162" s="441"/>
      <c r="L162" s="441"/>
      <c r="M162" s="441"/>
      <c r="N162" s="441"/>
      <c r="O162" s="441"/>
      <c r="P162" s="441"/>
      <c r="Q162" s="441"/>
      <c r="R162" s="441"/>
      <c r="S162" s="441"/>
      <c r="T162" s="441"/>
      <c r="U162" s="441"/>
      <c r="V162" s="441"/>
      <c r="W162" s="441"/>
      <c r="X162" s="441"/>
      <c r="Y162" s="441"/>
      <c r="Z162" s="51"/>
      <c r="AA162" s="51"/>
      <c r="AB162" s="51"/>
      <c r="AC162" s="51"/>
      <c r="AD162" s="441"/>
      <c r="AE162" s="51"/>
      <c r="AF162" s="1317"/>
      <c r="AG162" s="441"/>
      <c r="AH162" s="441"/>
      <c r="AI162" s="441"/>
      <c r="AJ162" s="441"/>
      <c r="AK162" s="441"/>
      <c r="AL162" s="441"/>
      <c r="AM162" s="441"/>
      <c r="AN162" s="441"/>
      <c r="AO162" s="441"/>
      <c r="AP162" s="441"/>
      <c r="AQ162" s="441"/>
      <c r="AR162" s="51"/>
    </row>
    <row r="163" spans="1:44" outlineLevel="1">
      <c r="A163" s="885"/>
      <c r="B163" s="844"/>
      <c r="C163" s="441"/>
      <c r="D163" s="441"/>
      <c r="E163" s="441"/>
      <c r="F163" s="441"/>
      <c r="G163" s="441"/>
      <c r="H163" s="441"/>
      <c r="I163" s="441"/>
      <c r="J163" s="441"/>
      <c r="K163" s="441"/>
      <c r="L163" s="441"/>
      <c r="M163" s="441"/>
      <c r="N163" s="441"/>
      <c r="O163" s="441"/>
      <c r="P163" s="441"/>
      <c r="Q163" s="441"/>
      <c r="R163" s="441"/>
      <c r="S163" s="441"/>
      <c r="T163" s="441"/>
      <c r="U163" s="441"/>
      <c r="V163" s="441"/>
      <c r="W163" s="441"/>
      <c r="X163" s="441"/>
      <c r="Y163" s="441"/>
      <c r="Z163" s="51"/>
      <c r="AA163" s="51"/>
      <c r="AB163" s="51"/>
      <c r="AC163" s="51"/>
      <c r="AD163" s="441"/>
      <c r="AE163" s="51"/>
      <c r="AF163" s="1317"/>
      <c r="AG163" s="441"/>
      <c r="AH163" s="441"/>
      <c r="AI163" s="441"/>
      <c r="AJ163" s="441"/>
      <c r="AK163" s="441"/>
      <c r="AL163" s="441"/>
      <c r="AM163" s="441"/>
      <c r="AN163" s="441"/>
      <c r="AO163" s="441"/>
      <c r="AP163" s="441"/>
      <c r="AQ163" s="441"/>
      <c r="AR163" s="51"/>
    </row>
    <row r="164" spans="1:44" outlineLevel="2">
      <c r="A164" s="889" t="s">
        <v>385</v>
      </c>
      <c r="B164" s="867" t="s">
        <v>123</v>
      </c>
      <c r="C164" s="887">
        <f t="shared" ref="C164:M164" si="457">SUM(C165:C166)</f>
        <v>-1.319</v>
      </c>
      <c r="D164" s="887">
        <f t="shared" si="457"/>
        <v>-3.2930000000000001</v>
      </c>
      <c r="E164" s="887">
        <f t="shared" si="457"/>
        <v>-5.0289999999999999</v>
      </c>
      <c r="F164" s="887">
        <f t="shared" si="457"/>
        <v>-7.4390000000000001</v>
      </c>
      <c r="G164" s="887">
        <f t="shared" si="457"/>
        <v>-10.853999999999999</v>
      </c>
      <c r="H164" s="887">
        <f t="shared" si="457"/>
        <v>-14.741</v>
      </c>
      <c r="I164" s="887">
        <f t="shared" si="457"/>
        <v>-18.748999999999999</v>
      </c>
      <c r="J164" s="887">
        <f t="shared" si="457"/>
        <v>-23.277000000000001</v>
      </c>
      <c r="K164" s="887">
        <f t="shared" si="457"/>
        <v>-27.286999999999999</v>
      </c>
      <c r="L164" s="887">
        <f t="shared" si="457"/>
        <v>-30.754000000000001</v>
      </c>
      <c r="M164" s="887">
        <f t="shared" si="457"/>
        <v>-33.231999999999999</v>
      </c>
      <c r="N164" s="887">
        <f>-VLOOKUP($A$164,Drivers!1:1048576,MATCH(N$4,Drivers!2:2,FALSE),FALSE)</f>
        <v>-35.53</v>
      </c>
      <c r="O164" s="887">
        <f>-VLOOKUP($A$164,Drivers!1:1048576,MATCH(O$4,Drivers!2:2,FALSE),FALSE)</f>
        <v>-39.124000000000002</v>
      </c>
      <c r="P164" s="887">
        <f>-VLOOKUP($A$164,Drivers!1:1048576,MATCH(P$4,Drivers!2:2,FALSE),FALSE)</f>
        <v>-40.901000000000003</v>
      </c>
      <c r="Q164" s="887">
        <f>-VLOOKUP($A$164,Drivers!1:1048576,MATCH(Q$4,Drivers!2:2,FALSE),FALSE)</f>
        <v>-53.900000000000006</v>
      </c>
      <c r="R164" s="887">
        <f>-VLOOKUP($A$164,Drivers!1:1048576,MATCH(R$4,Drivers!2:2,FALSE),FALSE)</f>
        <v>-61.1</v>
      </c>
      <c r="S164" s="887">
        <f>-VLOOKUP($A$164,Drivers!1:1048576,MATCH(S$4,Drivers!2:2,FALSE),FALSE)</f>
        <v>-56.2</v>
      </c>
      <c r="T164" s="887">
        <f>-VLOOKUP($A$164,Drivers!1:1048576,MATCH(T$4,Drivers!2:2,FALSE),FALSE)+T168</f>
        <v>-54.5</v>
      </c>
      <c r="U164" s="887">
        <f>-VLOOKUP($A$164,Drivers!1:1048576,MATCH(U$4,Drivers!2:2,FALSE),FALSE)+U168</f>
        <v>-54.800000000000011</v>
      </c>
      <c r="V164" s="1157">
        <f>-VLOOKUP($A$164,Drivers!1:1048576,MATCH(V$4,Drivers!2:2,FALSE),FALSE)+V168</f>
        <v>-56.5</v>
      </c>
      <c r="W164" s="309">
        <f>-VLOOKUP($A$164,Drivers!1:1048576,MATCH(W$4,Drivers!2:2,FALSE),FALSE)+W168</f>
        <v>-28.900000000000034</v>
      </c>
      <c r="X164" s="309">
        <f>-VLOOKUP($A$164,Drivers!1:1048576,MATCH(X$4,Drivers!2:2,FALSE),FALSE)+X168</f>
        <v>-26.300000000000011</v>
      </c>
      <c r="Y164" s="309">
        <f>-VLOOKUP($A$164,Drivers!1:1048576,MATCH(Y$4,Drivers!2:2,FALSE),FALSE)+Y168</f>
        <v>-55.199999999999989</v>
      </c>
      <c r="Z164" s="23">
        <f>-VLOOKUP($A$164,Drivers!1:1048576,MATCH(Z$4,Drivers!2:2,FALSE),FALSE)+Z168</f>
        <v>-27.75</v>
      </c>
      <c r="AA164" s="309">
        <f>-VLOOKUP($A$164,Drivers!1:1048576,MATCH(AA$4,Drivers!2:2,FALSE),FALSE)+AA168</f>
        <v>-27.849999999999909</v>
      </c>
      <c r="AB164" s="309">
        <f>-VLOOKUP($A$164,Drivers!1:1048576,MATCH(AB$4,Drivers!2:2,FALSE),FALSE)+AB168</f>
        <v>-55.599999999999994</v>
      </c>
      <c r="AC164" s="249">
        <f>-VLOOKUP($A$164,Drivers!1:1048576,MATCH(AC$4,Drivers!2:2,FALSE),FALSE)+AC168</f>
        <v>-29.599999999999952</v>
      </c>
      <c r="AD164" s="309">
        <f>-VLOOKUP($A$164,Drivers!1:1048576,MATCH(AD$4,Drivers!2:2,FALSE),FALSE)+AD168</f>
        <v>-31.900000000000063</v>
      </c>
      <c r="AE164" s="309">
        <f>-VLOOKUP($A$164,Drivers!1:1048576,MATCH(AE$4,Drivers!2:2,FALSE),FALSE)+AE168</f>
        <v>-61.5</v>
      </c>
      <c r="AF164" s="1300">
        <f>-VLOOKUP($A$164,Drivers!1:1048576,MATCH(AF$4,Drivers!2:2,FALSE),FALSE)+AF168</f>
        <v>-31.999999999999972</v>
      </c>
      <c r="AG164" s="309">
        <f>-VLOOKUP($A$164,Drivers!1:1048576,MATCH(AG$4,Drivers!2:2,FALSE),FALSE)+AG168</f>
        <v>-39.164915745856433</v>
      </c>
      <c r="AH164" s="309">
        <f>-VLOOKUP($A$164,Drivers!1:1048576,MATCH(AH$4,Drivers!2:2,FALSE),FALSE)+AH168</f>
        <v>-71.164915745856376</v>
      </c>
      <c r="AI164" s="309">
        <f>-VLOOKUP($A$164,Drivers!1:1048576,MATCH(AI$4,Drivers!2:2,FALSE),FALSE)+AI168</f>
        <v>-39.781999999999954</v>
      </c>
      <c r="AJ164" s="309">
        <f>-VLOOKUP($A$164,Drivers!1:1048576,MATCH(AJ$4,Drivers!2:2,FALSE),FALSE)+AJ168</f>
        <v>-38.189620718232106</v>
      </c>
      <c r="AK164" s="309">
        <f>-VLOOKUP($A$164,Drivers!1:1048576,MATCH(AK$4,Drivers!2:2,FALSE),FALSE)+AK168</f>
        <v>-77.971620718232089</v>
      </c>
      <c r="AL164" s="309">
        <f>-VLOOKUP($A$164,Drivers!1:1048576,MATCH(AL$4,Drivers!2:2,FALSE),FALSE)+AL168</f>
        <v>-41.55102500000001</v>
      </c>
      <c r="AM164" s="309">
        <f>-VLOOKUP($A$164,Drivers!1:1048576,MATCH(AM$4,Drivers!2:2,FALSE),FALSE)+AM168</f>
        <v>-43.400320777279006</v>
      </c>
      <c r="AN164" s="309">
        <f>-VLOOKUP($A$164,Drivers!1:1048576,MATCH(AN$4,Drivers!2:2,FALSE),FALSE)+AN168</f>
        <v>-84.951345777279016</v>
      </c>
      <c r="AO164" s="309">
        <f>-VLOOKUP($A$164,Drivers!1:1048576,MATCH(AO$4,Drivers!2:2,FALSE),FALSE)+AO168</f>
        <v>-45.107769500000018</v>
      </c>
      <c r="AP164" s="309">
        <f>-VLOOKUP($A$164,Drivers!1:1048576,MATCH(AP$4,Drivers!2:2,FALSE),FALSE)+AP168</f>
        <v>-47.000732499034854</v>
      </c>
      <c r="AQ164" s="309">
        <f>-VLOOKUP($A$164,Drivers!1:1048576,MATCH(AQ$4,Drivers!2:2,FALSE),FALSE)+AQ168</f>
        <v>-92.108501999034843</v>
      </c>
      <c r="AR164" s="641"/>
    </row>
    <row r="165" spans="1:44" outlineLevel="2">
      <c r="A165" s="885"/>
      <c r="B165" s="844" t="s">
        <v>124</v>
      </c>
      <c r="C165" s="309">
        <f t="shared" ref="C165:N165" si="458">C144</f>
        <v>0</v>
      </c>
      <c r="D165" s="309">
        <f t="shared" si="458"/>
        <v>0</v>
      </c>
      <c r="E165" s="309">
        <f t="shared" si="458"/>
        <v>0</v>
      </c>
      <c r="F165" s="309">
        <f t="shared" si="458"/>
        <v>0</v>
      </c>
      <c r="G165" s="309">
        <f t="shared" si="458"/>
        <v>0</v>
      </c>
      <c r="H165" s="309">
        <f t="shared" si="458"/>
        <v>0</v>
      </c>
      <c r="I165" s="309">
        <f t="shared" si="458"/>
        <v>0</v>
      </c>
      <c r="J165" s="309">
        <f t="shared" si="458"/>
        <v>0</v>
      </c>
      <c r="K165" s="309">
        <f t="shared" si="458"/>
        <v>0</v>
      </c>
      <c r="L165" s="309">
        <f t="shared" si="458"/>
        <v>0</v>
      </c>
      <c r="M165" s="309">
        <f t="shared" si="458"/>
        <v>0</v>
      </c>
      <c r="N165" s="309">
        <f t="shared" si="458"/>
        <v>0</v>
      </c>
      <c r="O165" s="309">
        <f t="shared" ref="O165:V165" si="459">N165/N164*O164</f>
        <v>0</v>
      </c>
      <c r="P165" s="309">
        <f t="shared" si="459"/>
        <v>0</v>
      </c>
      <c r="Q165" s="309">
        <f t="shared" si="459"/>
        <v>0</v>
      </c>
      <c r="R165" s="309">
        <f t="shared" si="459"/>
        <v>0</v>
      </c>
      <c r="S165" s="309">
        <f>R165/R164*S164</f>
        <v>0</v>
      </c>
      <c r="T165" s="309">
        <f>S165/S164*T164</f>
        <v>0</v>
      </c>
      <c r="U165" s="309">
        <f t="shared" si="459"/>
        <v>0</v>
      </c>
      <c r="V165" s="309">
        <f t="shared" si="459"/>
        <v>0</v>
      </c>
      <c r="W165" s="309">
        <f>Y165*0.5</f>
        <v>0</v>
      </c>
      <c r="X165" s="309">
        <f>Y165-W165</f>
        <v>0</v>
      </c>
      <c r="Y165" s="309">
        <f>V165/V164*Y164</f>
        <v>0</v>
      </c>
      <c r="Z165" s="23">
        <f>AB165*0.5</f>
        <v>0</v>
      </c>
      <c r="AA165" s="309">
        <f>AB165-Z165</f>
        <v>0</v>
      </c>
      <c r="AB165" s="309">
        <f>Y165/Y164*AB164</f>
        <v>0</v>
      </c>
      <c r="AC165" s="23">
        <f>AE165*0.5</f>
        <v>0</v>
      </c>
      <c r="AD165" s="309">
        <f>AE165-AC165</f>
        <v>0</v>
      </c>
      <c r="AE165" s="309">
        <f>AB165/AB164*AE164</f>
        <v>0</v>
      </c>
      <c r="AF165" s="1299">
        <f>AH165*0.5</f>
        <v>0</v>
      </c>
      <c r="AG165" s="309">
        <f>AH165-AF165</f>
        <v>0</v>
      </c>
      <c r="AH165" s="309">
        <f>AE165/AE164*AH164</f>
        <v>0</v>
      </c>
      <c r="AI165" s="309">
        <f>AK165*0.5</f>
        <v>0</v>
      </c>
      <c r="AJ165" s="309">
        <f>AK165-AI165</f>
        <v>0</v>
      </c>
      <c r="AK165" s="309">
        <f>AH165/AH164*AK164</f>
        <v>0</v>
      </c>
      <c r="AL165" s="309">
        <f>AN165*0.5</f>
        <v>0</v>
      </c>
      <c r="AM165" s="309">
        <f>AN165-AL165</f>
        <v>0</v>
      </c>
      <c r="AN165" s="309">
        <f>AK165/AK164*AN164</f>
        <v>0</v>
      </c>
      <c r="AO165" s="309">
        <f>AQ165*0.5</f>
        <v>0</v>
      </c>
      <c r="AP165" s="309">
        <f>AQ165-AO165</f>
        <v>0</v>
      </c>
      <c r="AQ165" s="309">
        <f>AN165/AN164*AQ164</f>
        <v>0</v>
      </c>
      <c r="AR165" s="23"/>
    </row>
    <row r="166" spans="1:44" outlineLevel="2">
      <c r="A166" s="885"/>
      <c r="B166" s="844" t="s">
        <v>125</v>
      </c>
      <c r="C166" s="309">
        <f t="shared" ref="C166:P166" si="460">C127</f>
        <v>-1.319</v>
      </c>
      <c r="D166" s="309">
        <f t="shared" si="460"/>
        <v>-3.2930000000000001</v>
      </c>
      <c r="E166" s="309">
        <f t="shared" si="460"/>
        <v>-5.0289999999999999</v>
      </c>
      <c r="F166" s="309">
        <f t="shared" si="460"/>
        <v>-7.4390000000000001</v>
      </c>
      <c r="G166" s="309">
        <f t="shared" si="460"/>
        <v>-10.853999999999999</v>
      </c>
      <c r="H166" s="309">
        <f t="shared" si="460"/>
        <v>-14.741</v>
      </c>
      <c r="I166" s="309">
        <f t="shared" si="460"/>
        <v>-18.748999999999999</v>
      </c>
      <c r="J166" s="309">
        <f t="shared" si="460"/>
        <v>-23.277000000000001</v>
      </c>
      <c r="K166" s="309">
        <f t="shared" si="460"/>
        <v>-27.286999999999999</v>
      </c>
      <c r="L166" s="309">
        <f t="shared" si="460"/>
        <v>-30.754000000000001</v>
      </c>
      <c r="M166" s="309">
        <f t="shared" si="460"/>
        <v>-33.231999999999999</v>
      </c>
      <c r="N166" s="309">
        <f t="shared" si="460"/>
        <v>-35.53</v>
      </c>
      <c r="O166" s="309">
        <f t="shared" si="460"/>
        <v>-39.124000000000002</v>
      </c>
      <c r="P166" s="309">
        <f t="shared" si="460"/>
        <v>-40.901000000000003</v>
      </c>
      <c r="Q166" s="309">
        <f t="shared" ref="Q166:AM166" si="461">Q164-Q165</f>
        <v>-53.900000000000006</v>
      </c>
      <c r="R166" s="309">
        <f t="shared" si="461"/>
        <v>-61.1</v>
      </c>
      <c r="S166" s="309">
        <f t="shared" si="461"/>
        <v>-56.2</v>
      </c>
      <c r="T166" s="309">
        <f t="shared" si="461"/>
        <v>-54.5</v>
      </c>
      <c r="U166" s="309">
        <f t="shared" si="461"/>
        <v>-54.800000000000011</v>
      </c>
      <c r="V166" s="309">
        <f t="shared" si="461"/>
        <v>-56.5</v>
      </c>
      <c r="W166" s="309">
        <f t="shared" si="461"/>
        <v>-28.900000000000034</v>
      </c>
      <c r="X166" s="309">
        <f t="shared" si="461"/>
        <v>-26.300000000000011</v>
      </c>
      <c r="Y166" s="309">
        <f t="shared" si="461"/>
        <v>-55.199999999999989</v>
      </c>
      <c r="Z166" s="23">
        <f t="shared" ref="Z166:AA166" si="462">Z164-Z165</f>
        <v>-27.75</v>
      </c>
      <c r="AA166" s="309">
        <f t="shared" si="462"/>
        <v>-27.849999999999909</v>
      </c>
      <c r="AB166" s="309">
        <f t="shared" ref="AB166:AC166" si="463">AB164-AB165</f>
        <v>-55.599999999999994</v>
      </c>
      <c r="AC166" s="23">
        <f t="shared" si="463"/>
        <v>-29.599999999999952</v>
      </c>
      <c r="AD166" s="309">
        <f t="shared" ref="AD166:AF166" si="464">AD164-AD165</f>
        <v>-31.900000000000063</v>
      </c>
      <c r="AE166" s="309">
        <f t="shared" si="464"/>
        <v>-61.5</v>
      </c>
      <c r="AF166" s="1299">
        <f t="shared" si="464"/>
        <v>-31.999999999999972</v>
      </c>
      <c r="AG166" s="309">
        <f t="shared" ref="AG166" si="465">AG164-AG165</f>
        <v>-39.164915745856433</v>
      </c>
      <c r="AH166" s="309">
        <f t="shared" si="461"/>
        <v>-71.164915745856376</v>
      </c>
      <c r="AI166" s="309">
        <f t="shared" ref="AI166:AJ166" si="466">AI164-AI165</f>
        <v>-39.781999999999954</v>
      </c>
      <c r="AJ166" s="309">
        <f t="shared" si="466"/>
        <v>-38.189620718232106</v>
      </c>
      <c r="AK166" s="309">
        <f t="shared" si="461"/>
        <v>-77.971620718232089</v>
      </c>
      <c r="AL166" s="309">
        <f t="shared" si="461"/>
        <v>-41.55102500000001</v>
      </c>
      <c r="AM166" s="309">
        <f t="shared" si="461"/>
        <v>-43.400320777279006</v>
      </c>
      <c r="AN166" s="309">
        <f t="shared" ref="AN166:AP166" si="467">AN164-AN165</f>
        <v>-84.951345777279016</v>
      </c>
      <c r="AO166" s="309">
        <f t="shared" si="467"/>
        <v>-45.107769500000018</v>
      </c>
      <c r="AP166" s="309">
        <f t="shared" si="467"/>
        <v>-47.000732499034854</v>
      </c>
      <c r="AQ166" s="309">
        <f t="shared" ref="AQ166" si="468">AQ164-AQ165</f>
        <v>-92.108501999034843</v>
      </c>
      <c r="AR166" s="23"/>
    </row>
    <row r="167" spans="1:44" outlineLevel="2">
      <c r="A167" s="885"/>
      <c r="B167" s="859" t="s">
        <v>126</v>
      </c>
      <c r="C167" s="860">
        <f>-C164/'P&amp;L'!C6</f>
        <v>3.7067742071465706E-3</v>
      </c>
      <c r="D167" s="860">
        <f>-D164/'P&amp;L'!F6</f>
        <v>7.2796485961309316E-3</v>
      </c>
      <c r="E167" s="860">
        <f>-E164/'P&amp;L'!I6</f>
        <v>7.2469929086394708E-3</v>
      </c>
      <c r="F167" s="541">
        <f>-F164/'P&amp;L'!L6</f>
        <v>7.8651245848844545E-3</v>
      </c>
      <c r="G167" s="541">
        <f>-G164/'P&amp;L'!O6</f>
        <v>8.4675352638439987E-3</v>
      </c>
      <c r="H167" s="541">
        <f>-H164/'P&amp;L'!R6</f>
        <v>8.06151712491332E-3</v>
      </c>
      <c r="I167" s="541">
        <f>-I164/'P&amp;L'!U6</f>
        <v>8.0562342250520558E-3</v>
      </c>
      <c r="J167" s="541">
        <f>-J164/'P&amp;L'!X6</f>
        <v>8.5222529765827514E-3</v>
      </c>
      <c r="K167" s="541">
        <f>-K164/'P&amp;L'!AA6</f>
        <v>9.2209081143112791E-3</v>
      </c>
      <c r="L167" s="541">
        <f>-L164/'P&amp;L'!AD6</f>
        <v>9.8324952554389809E-3</v>
      </c>
      <c r="M167" s="541">
        <f>-M164/'P&amp;L'!AG6</f>
        <v>1.0044734614919597E-2</v>
      </c>
      <c r="N167" s="541">
        <f>-N164/'P&amp;L'!AJ6</f>
        <v>1.0198706862527E-2</v>
      </c>
      <c r="O167" s="541">
        <f>-O164/'P&amp;L'!AM6</f>
        <v>1.0712635016877794E-2</v>
      </c>
      <c r="P167" s="541">
        <f>-P164/'P&amp;L'!AP6</f>
        <v>1.0342986804542813E-2</v>
      </c>
      <c r="Q167" s="541">
        <f>-Q164/'P&amp;L'!AS6</f>
        <v>9.5771144278606977E-3</v>
      </c>
      <c r="R167" s="541">
        <f>-R164/'P&amp;L'!AV6</f>
        <v>8.9141123090614657E-3</v>
      </c>
      <c r="S167" s="541">
        <f>-S164/'P&amp;L'!AY6</f>
        <v>7.9207362620326138E-3</v>
      </c>
      <c r="T167" s="541">
        <f>-T164/'P&amp;L'!BB6</f>
        <v>6.8822690020078547E-3</v>
      </c>
      <c r="U167" s="541">
        <f>-U164/'P&amp;L'!BE6</f>
        <v>6.1461849911957035E-3</v>
      </c>
      <c r="V167" s="541">
        <f>-V164/'P&amp;L'!BH6</f>
        <v>6.1200173310225307E-3</v>
      </c>
      <c r="W167" s="541">
        <f>-W164/'P&amp;L'!BI6</f>
        <v>5.4750402576489599E-3</v>
      </c>
      <c r="X167" s="541">
        <f>-X164/'P&amp;L'!BJ6</f>
        <v>6.0488971687481345E-3</v>
      </c>
      <c r="Y167" s="541">
        <f>-Y164/'P&amp;L'!BK6</f>
        <v>5.7342308651209166E-3</v>
      </c>
      <c r="Z167" s="1409">
        <f>-Z164/'P&amp;L'!BL6</f>
        <v>5.3757191840530013E-3</v>
      </c>
      <c r="AA167" s="541">
        <f>-AA164/'P&amp;L'!BM6</f>
        <v>6.286256009751013E-3</v>
      </c>
      <c r="AB167" s="541">
        <f>-AB164/'P&amp;L'!BN6</f>
        <v>5.79625536883366E-3</v>
      </c>
      <c r="AC167" s="1409">
        <f>-AC164/'P&amp;L'!BO6</f>
        <v>5.2200902934537163E-3</v>
      </c>
      <c r="AD167" s="541">
        <f>-AD164/'P&amp;L'!BP6</f>
        <v>6.5309966423716444E-3</v>
      </c>
      <c r="AE167" s="541">
        <f>-AE164/'P&amp;L'!BQ6</f>
        <v>5.8267328608784625E-3</v>
      </c>
      <c r="AF167" s="1793">
        <f>-AF164/'P&amp;L'!BR6</f>
        <v>5.258573940479511E-3</v>
      </c>
      <c r="AG167" s="541">
        <f>-AG164/'P&amp;L'!BS6</f>
        <v>7.7313907755647759E-3</v>
      </c>
      <c r="AH167" s="541">
        <f>-AH164/'P&amp;L'!BT6</f>
        <v>6.3819305810154546E-3</v>
      </c>
      <c r="AI167" s="541">
        <f>-AI164/'P&amp;L'!BU6</f>
        <v>6.2795342636361223E-3</v>
      </c>
      <c r="AJ167" s="541">
        <f>-AJ164/'P&amp;L'!BV6</f>
        <v>7.2274556138222975E-3</v>
      </c>
      <c r="AK167" s="541">
        <f>-AK164/'P&amp;L'!BW6</f>
        <v>6.7106143240091391E-3</v>
      </c>
      <c r="AL167" s="541">
        <f>-AL164/'P&amp;L'!BX6</f>
        <v>6.282081096813435E-3</v>
      </c>
      <c r="AM167" s="541">
        <f>-AM164/'P&amp;L'!BY6</f>
        <v>7.9007617586648801E-3</v>
      </c>
      <c r="AN167" s="541">
        <f>-AN164/'P&amp;L'!BZ6</f>
        <v>7.0164840802906144E-3</v>
      </c>
      <c r="AO167" s="541">
        <f>-AO164/'P&amp;L'!CA6</f>
        <v>6.5444855592801578E-3</v>
      </c>
      <c r="AP167" s="541">
        <f>-AP164/'P&amp;L'!CB6</f>
        <v>8.2107745951752204E-3</v>
      </c>
      <c r="AQ167" s="541">
        <f>-AQ164/'P&amp;L'!CC6</f>
        <v>7.3004876267460288E-3</v>
      </c>
      <c r="AR167" s="642"/>
    </row>
    <row r="168" spans="1:44" outlineLevel="2">
      <c r="A168" s="885"/>
      <c r="B168" s="844" t="s">
        <v>862</v>
      </c>
      <c r="C168" s="441"/>
      <c r="D168" s="441"/>
      <c r="E168" s="441"/>
      <c r="F168" s="441"/>
      <c r="G168" s="441"/>
      <c r="H168" s="441"/>
      <c r="I168" s="441"/>
      <c r="J168" s="441"/>
      <c r="K168" s="441"/>
      <c r="L168" s="441"/>
      <c r="M168" s="441"/>
      <c r="N168" s="441"/>
      <c r="O168" s="441"/>
      <c r="P168" s="441"/>
      <c r="Q168" s="441"/>
      <c r="R168" s="441"/>
      <c r="S168" s="441"/>
      <c r="T168" s="773">
        <f>160.4+14.4</f>
        <v>174.8</v>
      </c>
      <c r="U168" s="773">
        <f>159.1+4.6</f>
        <v>163.69999999999999</v>
      </c>
      <c r="V168" s="773">
        <f>162.8</f>
        <v>162.80000000000001</v>
      </c>
      <c r="W168" s="932">
        <f>0.5*Y168</f>
        <v>84.5</v>
      </c>
      <c r="X168" s="1334">
        <f>Y168-W168</f>
        <v>84.5</v>
      </c>
      <c r="Y168" s="1335">
        <v>169</v>
      </c>
      <c r="Z168" s="1334">
        <f>0.5*AB168</f>
        <v>90.75</v>
      </c>
      <c r="AA168" s="1334">
        <f>AB168-Z168</f>
        <v>90.75</v>
      </c>
      <c r="AB168" s="1335">
        <v>181.5</v>
      </c>
      <c r="AC168" s="1896">
        <v>96.4</v>
      </c>
      <c r="AD168" s="932">
        <f>AE168-AC168</f>
        <v>100.9</v>
      </c>
      <c r="AE168" s="1335">
        <v>197.3</v>
      </c>
      <c r="AF168" s="1908">
        <v>103</v>
      </c>
      <c r="AG168" s="932">
        <f t="shared" ref="AG168" si="469">AH168-AF168</f>
        <v>94.300000000000011</v>
      </c>
      <c r="AH168" s="932">
        <f t="shared" ref="AH168" si="470">AE168</f>
        <v>197.3</v>
      </c>
      <c r="AI168" s="932">
        <f t="shared" ref="AI168" si="471">0.5*AK168</f>
        <v>98.65</v>
      </c>
      <c r="AJ168" s="932">
        <f t="shared" ref="AJ168" si="472">AK168-AI168</f>
        <v>98.65</v>
      </c>
      <c r="AK168" s="932">
        <f t="shared" ref="AK168" si="473">AH168</f>
        <v>197.3</v>
      </c>
      <c r="AL168" s="932">
        <f t="shared" ref="AL168" si="474">0.5*AN168</f>
        <v>98.65</v>
      </c>
      <c r="AM168" s="932">
        <f t="shared" ref="AM168" si="475">AN168-AL168</f>
        <v>98.65</v>
      </c>
      <c r="AN168" s="932">
        <f t="shared" ref="AN168" si="476">AK168</f>
        <v>197.3</v>
      </c>
      <c r="AO168" s="932">
        <f t="shared" ref="AO168" si="477">0.5*AQ168</f>
        <v>98.65</v>
      </c>
      <c r="AP168" s="932">
        <f t="shared" ref="AP168" si="478">AQ168-AO168</f>
        <v>98.65</v>
      </c>
      <c r="AQ168" s="932">
        <f t="shared" ref="AQ168" si="479">AN168</f>
        <v>197.3</v>
      </c>
      <c r="AR168" s="51"/>
    </row>
    <row r="169" spans="1:44">
      <c r="A169" s="537"/>
      <c r="B169" s="537" t="s">
        <v>863</v>
      </c>
      <c r="C169" s="537"/>
      <c r="D169" s="537"/>
      <c r="E169" s="537"/>
      <c r="F169" s="537"/>
      <c r="G169" s="537"/>
      <c r="H169" s="537"/>
      <c r="I169" s="537"/>
      <c r="J169" s="537"/>
      <c r="K169" s="537"/>
      <c r="L169" s="537"/>
      <c r="M169" s="537"/>
      <c r="N169" s="537"/>
      <c r="O169" s="537"/>
      <c r="P169" s="537"/>
      <c r="Q169" s="537"/>
      <c r="R169" s="537"/>
      <c r="S169" s="537"/>
      <c r="T169" s="542"/>
      <c r="U169" s="542"/>
      <c r="V169" s="542"/>
      <c r="W169" s="542"/>
      <c r="X169" s="542"/>
      <c r="Y169" s="542"/>
      <c r="Z169" s="1222"/>
      <c r="AA169" s="542"/>
      <c r="AB169" s="542"/>
      <c r="AC169" s="1222"/>
      <c r="AD169" s="542"/>
      <c r="AE169" s="1222"/>
      <c r="AF169" s="1794"/>
      <c r="AG169" s="542"/>
      <c r="AH169" s="542"/>
      <c r="AI169" s="542"/>
      <c r="AJ169" s="542"/>
      <c r="AK169" s="542"/>
      <c r="AL169" s="542"/>
      <c r="AM169" s="542"/>
      <c r="AN169" s="542"/>
      <c r="AO169" s="542"/>
      <c r="AP169" s="542"/>
      <c r="AQ169" s="542"/>
      <c r="AR169" s="13"/>
    </row>
    <row r="170" spans="1:44">
      <c r="A170" s="537"/>
      <c r="B170" s="537"/>
      <c r="C170" s="537"/>
      <c r="D170" s="537"/>
      <c r="E170" s="537"/>
      <c r="F170" s="537"/>
      <c r="G170" s="537"/>
      <c r="H170" s="537"/>
      <c r="I170" s="537"/>
      <c r="J170" s="537"/>
      <c r="K170" s="537"/>
      <c r="L170" s="537"/>
      <c r="M170" s="537"/>
      <c r="N170" s="537"/>
      <c r="O170" s="537"/>
      <c r="P170" s="537"/>
      <c r="Q170" s="537"/>
      <c r="R170" s="537"/>
      <c r="S170" s="537"/>
      <c r="T170" s="542"/>
      <c r="U170" s="542"/>
      <c r="V170" s="542"/>
      <c r="W170" s="1222"/>
      <c r="X170" s="542"/>
      <c r="Y170" s="542"/>
      <c r="Z170" s="1222"/>
      <c r="AA170" s="542"/>
      <c r="AB170" s="542"/>
      <c r="AC170" s="1222"/>
      <c r="AD170" s="542"/>
      <c r="AE170" s="1222"/>
      <c r="AF170" s="1794"/>
      <c r="AG170" s="542"/>
      <c r="AH170" s="542"/>
      <c r="AI170" s="542"/>
      <c r="AJ170" s="542"/>
      <c r="AK170" s="542"/>
      <c r="AL170" s="542"/>
      <c r="AM170" s="542"/>
      <c r="AN170" s="542"/>
      <c r="AO170" s="542"/>
      <c r="AP170" s="542"/>
      <c r="AQ170" s="542"/>
      <c r="AR170" s="13"/>
    </row>
    <row r="171" spans="1:44">
      <c r="A171" s="537"/>
      <c r="B171" s="857" t="s">
        <v>137</v>
      </c>
      <c r="C171" s="537"/>
      <c r="D171" s="537"/>
      <c r="E171" s="537"/>
      <c r="F171" s="537"/>
      <c r="G171" s="537"/>
      <c r="H171" s="537"/>
      <c r="I171" s="537"/>
      <c r="J171" s="537"/>
      <c r="K171" s="537"/>
      <c r="L171" s="537"/>
      <c r="M171" s="537"/>
      <c r="N171" s="537"/>
      <c r="O171" s="537"/>
      <c r="P171" s="537"/>
      <c r="Q171" s="537"/>
      <c r="R171" s="537"/>
      <c r="S171" s="537"/>
      <c r="T171" s="537"/>
      <c r="U171" s="537"/>
      <c r="V171" s="537"/>
      <c r="W171" s="13"/>
      <c r="X171" s="537"/>
      <c r="Y171" s="537"/>
      <c r="Z171" s="13"/>
      <c r="AA171" s="537"/>
      <c r="AB171" s="537"/>
      <c r="AC171" s="13"/>
      <c r="AD171" s="537"/>
      <c r="AE171" s="13"/>
      <c r="AF171" s="1654"/>
      <c r="AG171" s="537"/>
      <c r="AH171" s="537"/>
      <c r="AI171" s="537"/>
      <c r="AJ171" s="537"/>
      <c r="AK171" s="537"/>
      <c r="AL171" s="537"/>
      <c r="AM171" s="537"/>
      <c r="AN171" s="537"/>
      <c r="AO171" s="537"/>
      <c r="AP171" s="537"/>
      <c r="AQ171" s="537"/>
      <c r="AR171" s="13"/>
    </row>
    <row r="172" spans="1:44">
      <c r="A172" s="537"/>
      <c r="B172" s="857"/>
      <c r="C172" s="537"/>
      <c r="D172" s="537"/>
      <c r="E172" s="537"/>
      <c r="F172" s="537"/>
      <c r="G172" s="537"/>
      <c r="H172" s="537"/>
      <c r="I172" s="537"/>
      <c r="J172" s="537"/>
      <c r="K172" s="537"/>
      <c r="L172" s="537"/>
      <c r="M172" s="537"/>
      <c r="N172" s="537"/>
      <c r="O172" s="537"/>
      <c r="P172" s="537"/>
      <c r="Q172" s="537"/>
      <c r="R172" s="537"/>
      <c r="S172" s="537"/>
      <c r="T172" s="537"/>
      <c r="U172" s="537"/>
      <c r="V172" s="537"/>
      <c r="W172" s="13"/>
      <c r="X172" s="537"/>
      <c r="Y172" s="537"/>
      <c r="Z172" s="13"/>
      <c r="AA172" s="537"/>
      <c r="AB172" s="537"/>
      <c r="AC172" s="13"/>
      <c r="AD172" s="537"/>
      <c r="AE172" s="13"/>
      <c r="AF172" s="1654"/>
      <c r="AG172" s="537"/>
      <c r="AH172" s="537"/>
      <c r="AI172" s="537"/>
      <c r="AJ172" s="537"/>
      <c r="AK172" s="537"/>
      <c r="AL172" s="537"/>
      <c r="AM172" s="537"/>
      <c r="AN172" s="537"/>
      <c r="AO172" s="537"/>
      <c r="AP172" s="537"/>
      <c r="AQ172" s="537"/>
      <c r="AR172" s="13"/>
    </row>
    <row r="173" spans="1:44" outlineLevel="1">
      <c r="A173" s="537"/>
      <c r="B173" s="537" t="s">
        <v>119</v>
      </c>
      <c r="C173" s="848"/>
      <c r="D173" s="848">
        <f t="shared" ref="D173:K173" si="480">C186</f>
        <v>16.562000000000001</v>
      </c>
      <c r="E173" s="848">
        <f t="shared" si="480"/>
        <v>16.68</v>
      </c>
      <c r="F173" s="848">
        <f t="shared" si="480"/>
        <v>25.494</v>
      </c>
      <c r="G173" s="848">
        <f t="shared" si="480"/>
        <v>43.88</v>
      </c>
      <c r="H173" s="848">
        <f t="shared" si="480"/>
        <v>74.882999999999996</v>
      </c>
      <c r="I173" s="848">
        <f>H186</f>
        <v>123.05500000000001</v>
      </c>
      <c r="J173" s="848">
        <f t="shared" si="480"/>
        <v>184.27600000000001</v>
      </c>
      <c r="K173" s="848">
        <f t="shared" si="480"/>
        <v>235.845</v>
      </c>
      <c r="L173" s="848">
        <f t="shared" ref="L173:V173" si="481">K186</f>
        <v>90.078999999999994</v>
      </c>
      <c r="M173" s="848">
        <f t="shared" si="481"/>
        <v>117.68899999999999</v>
      </c>
      <c r="N173" s="848">
        <f t="shared" si="481"/>
        <v>168.809</v>
      </c>
      <c r="O173" s="848">
        <f t="shared" ref="O173:T173" si="482">N186</f>
        <v>219.98500000000001</v>
      </c>
      <c r="P173" s="848">
        <f t="shared" si="482"/>
        <v>269.39723880000003</v>
      </c>
      <c r="Q173" s="848">
        <f t="shared" si="482"/>
        <v>328.298</v>
      </c>
      <c r="R173" s="848">
        <f t="shared" si="482"/>
        <v>381.6</v>
      </c>
      <c r="S173" s="848">
        <f t="shared" si="482"/>
        <v>463.2</v>
      </c>
      <c r="T173" s="848">
        <f t="shared" si="482"/>
        <v>555.6</v>
      </c>
      <c r="U173" s="848">
        <f t="shared" si="481"/>
        <v>635.70000000000005</v>
      </c>
      <c r="V173" s="891">
        <f t="shared" si="481"/>
        <v>831.6</v>
      </c>
      <c r="W173" s="53">
        <f>V186</f>
        <v>910.7</v>
      </c>
      <c r="X173" s="848">
        <f>W186</f>
        <v>1086.9000000000001</v>
      </c>
      <c r="Y173" s="891">
        <f>V186</f>
        <v>910.7</v>
      </c>
      <c r="Z173" s="53">
        <f>Y186</f>
        <v>1064.9000000000001</v>
      </c>
      <c r="AA173" s="848">
        <f>Z186</f>
        <v>1215.7839999999999</v>
      </c>
      <c r="AB173" s="891">
        <f>Y186</f>
        <v>1064.9000000000001</v>
      </c>
      <c r="AC173" s="53">
        <f t="shared" ref="AC173" si="483">AB186</f>
        <v>1218.3</v>
      </c>
      <c r="AD173" s="848">
        <f>AC186</f>
        <v>1316.1</v>
      </c>
      <c r="AE173" s="53">
        <f>AB186</f>
        <v>1218.3</v>
      </c>
      <c r="AF173" s="1553">
        <f t="shared" ref="AF173" si="484">AE186</f>
        <v>1310.3</v>
      </c>
      <c r="AG173" s="848">
        <f t="shared" ref="AG173" si="485">AF186</f>
        <v>1408.2</v>
      </c>
      <c r="AH173" s="848">
        <f t="shared" ref="AH173" si="486">AE186</f>
        <v>1310.3</v>
      </c>
      <c r="AI173" s="848">
        <f t="shared" ref="AI173:AJ173" si="487">AH186</f>
        <v>1381.5028391117212</v>
      </c>
      <c r="AJ173" s="848">
        <f t="shared" si="487"/>
        <v>1534.2347899738352</v>
      </c>
      <c r="AK173" s="848">
        <f t="shared" ref="AK173" si="488">AH186</f>
        <v>1381.5028391117212</v>
      </c>
      <c r="AL173" s="848">
        <f t="shared" ref="AL173" si="489">AK186</f>
        <v>1501.5196312017897</v>
      </c>
      <c r="AM173" s="848">
        <f t="shared" ref="AM173" si="490">AL186</f>
        <v>1669.8507313699724</v>
      </c>
      <c r="AN173" s="848">
        <f t="shared" ref="AN173" si="491">AK186</f>
        <v>1501.5196312017897</v>
      </c>
      <c r="AO173" s="848">
        <f t="shared" ref="AO173" si="492">AN186</f>
        <v>1631.4734302326481</v>
      </c>
      <c r="AP173" s="848">
        <f t="shared" ref="AP173" si="493">AO186</f>
        <v>1809.0795727126347</v>
      </c>
      <c r="AQ173" s="848">
        <f t="shared" ref="AQ173" si="494">AN186</f>
        <v>1631.4734302326481</v>
      </c>
      <c r="AR173" s="219"/>
    </row>
    <row r="174" spans="1:44" outlineLevel="1">
      <c r="A174" s="537"/>
      <c r="B174" s="537" t="s">
        <v>138</v>
      </c>
      <c r="C174" s="890"/>
      <c r="D174" s="890"/>
      <c r="E174" s="890"/>
      <c r="F174" s="890"/>
      <c r="G174" s="890"/>
      <c r="H174" s="890"/>
      <c r="I174" s="890"/>
      <c r="J174" s="890"/>
      <c r="K174" s="890"/>
      <c r="L174" s="890"/>
      <c r="M174" s="890"/>
      <c r="N174" s="890">
        <v>0</v>
      </c>
      <c r="O174" s="890">
        <v>0</v>
      </c>
      <c r="P174" s="890"/>
      <c r="Q174" s="890">
        <v>0</v>
      </c>
      <c r="R174" s="890">
        <v>0</v>
      </c>
      <c r="S174" s="890">
        <v>0</v>
      </c>
      <c r="T174" s="890">
        <v>0</v>
      </c>
      <c r="U174" s="890"/>
      <c r="V174" s="890"/>
      <c r="W174" s="56"/>
      <c r="X174" s="890"/>
      <c r="Y174" s="890"/>
      <c r="Z174" s="56"/>
      <c r="AA174" s="890"/>
      <c r="AB174" s="890"/>
      <c r="AC174" s="56"/>
      <c r="AD174" s="890"/>
      <c r="AE174" s="56"/>
      <c r="AF174" s="1318"/>
      <c r="AG174" s="890"/>
      <c r="AH174" s="890"/>
      <c r="AI174" s="890"/>
      <c r="AJ174" s="890"/>
      <c r="AK174" s="890"/>
      <c r="AL174" s="890"/>
      <c r="AM174" s="890"/>
      <c r="AN174" s="890"/>
      <c r="AO174" s="890"/>
      <c r="AP174" s="890"/>
      <c r="AQ174" s="890"/>
      <c r="AR174" s="56"/>
    </row>
    <row r="175" spans="1:44" outlineLevel="1">
      <c r="A175" s="537"/>
      <c r="B175" s="537" t="s">
        <v>139</v>
      </c>
      <c r="C175" s="891">
        <f>'P&amp;L'!C88</f>
        <v>8.958000000000002</v>
      </c>
      <c r="D175" s="891">
        <f>'P&amp;L'!F88</f>
        <v>14.131</v>
      </c>
      <c r="E175" s="891">
        <f>'P&amp;L'!I88</f>
        <v>21.355999999999998</v>
      </c>
      <c r="F175" s="891">
        <f>'P&amp;L'!L88</f>
        <v>25.835999999999999</v>
      </c>
      <c r="G175" s="891">
        <f>'P&amp;L'!O88</f>
        <v>40.389000000000003</v>
      </c>
      <c r="H175" s="891">
        <f>'P&amp;L'!R88</f>
        <v>65.134999999999991</v>
      </c>
      <c r="I175" s="891">
        <f>'P&amp;L'!U88</f>
        <v>94.437000000000012</v>
      </c>
      <c r="J175" s="891">
        <f>'P&amp;L'!X88</f>
        <v>118.652</v>
      </c>
      <c r="K175" s="891">
        <f>'P&amp;L'!AA88</f>
        <v>109.69499999999999</v>
      </c>
      <c r="L175" s="891">
        <f>'P&amp;L'!AD88</f>
        <v>104.64099999999999</v>
      </c>
      <c r="M175" s="891">
        <f>'P&amp;L'!AG88</f>
        <v>116.38300000000002</v>
      </c>
      <c r="N175" s="891">
        <f>'P&amp;L'!AJ88</f>
        <v>128.35900000000001</v>
      </c>
      <c r="O175" s="891">
        <f>'P&amp;L'!AM88</f>
        <v>136.51100000000002</v>
      </c>
      <c r="P175" s="891">
        <f>'P&amp;L'!AP88</f>
        <v>152.18099999999998</v>
      </c>
      <c r="Q175" s="891">
        <f>'P&amp;L'!AS88</f>
        <v>172.39999999999998</v>
      </c>
      <c r="R175" s="891">
        <f>'P&amp;L'!AV88</f>
        <v>233.19999999999993</v>
      </c>
      <c r="S175" s="891">
        <f>'P&amp;L'!AY88</f>
        <v>249.8</v>
      </c>
      <c r="T175" s="891">
        <f>'P&amp;L'!BB88</f>
        <v>302.20000000000005</v>
      </c>
      <c r="U175" s="891">
        <f>'P&amp;L'!BE88</f>
        <v>509.5</v>
      </c>
      <c r="V175" s="891">
        <f>'P&amp;L'!BH88</f>
        <v>544.9</v>
      </c>
      <c r="W175" s="53">
        <f>'P&amp;L'!BI88</f>
        <v>329.9</v>
      </c>
      <c r="X175" s="891">
        <f>'P&amp;L'!BJ88</f>
        <v>194.70000000000005</v>
      </c>
      <c r="Y175" s="891">
        <f>'P&amp;L'!BK88</f>
        <v>524.6</v>
      </c>
      <c r="Z175" s="53">
        <f>'P&amp;L'!BL88</f>
        <v>264.3</v>
      </c>
      <c r="AA175" s="891">
        <f>'P&amp;L'!BM88</f>
        <v>174.49999999999994</v>
      </c>
      <c r="AB175" s="891">
        <f>'P&amp;L'!BN88</f>
        <v>438.79999999999995</v>
      </c>
      <c r="AC175" s="53">
        <f>'P&amp;L'!BO88</f>
        <v>285.50000000000006</v>
      </c>
      <c r="AD175" s="891">
        <f>'P&amp;L'!BP88</f>
        <v>176.89999999999995</v>
      </c>
      <c r="AE175" s="53">
        <f>'P&amp;L'!BQ88</f>
        <v>462.39999999999992</v>
      </c>
      <c r="AF175" s="1553">
        <f>'P&amp;L'!BR88</f>
        <v>305.79999999999995</v>
      </c>
      <c r="AG175" s="891">
        <f>'P&amp;L'!BS88</f>
        <v>197.40283911172125</v>
      </c>
      <c r="AH175" s="891">
        <f>'P&amp;L'!BT88</f>
        <v>503.20283911172118</v>
      </c>
      <c r="AI175" s="891">
        <f>'P&amp;L'!BU88</f>
        <v>310.59677687813917</v>
      </c>
      <c r="AJ175" s="891">
        <f>'P&amp;L'!BV88</f>
        <v>200.23242388655899</v>
      </c>
      <c r="AK175" s="891">
        <f>'P&amp;L'!BW88</f>
        <v>510.82920076469816</v>
      </c>
      <c r="AL175" s="891">
        <f>'P&amp;L'!BX88</f>
        <v>328.72200209839599</v>
      </c>
      <c r="AM175" s="891">
        <f>'P&amp;L'!BY88</f>
        <v>208.16420043647273</v>
      </c>
      <c r="AN175" s="891">
        <f>'P&amp;L'!BZ88</f>
        <v>536.88620253486874</v>
      </c>
      <c r="AO175" s="891">
        <f>'P&amp;L'!CA88</f>
        <v>344.46701685803851</v>
      </c>
      <c r="AP175" s="891">
        <f>'P&amp;L'!CB88</f>
        <v>218.40111648944438</v>
      </c>
      <c r="AQ175" s="891">
        <f>'P&amp;L'!CC88</f>
        <v>562.86813334748297</v>
      </c>
      <c r="AR175" s="53"/>
    </row>
    <row r="176" spans="1:44" outlineLevel="1">
      <c r="A176" s="537"/>
      <c r="B176" s="537" t="s">
        <v>140</v>
      </c>
      <c r="C176" s="890">
        <v>0</v>
      </c>
      <c r="D176" s="890">
        <v>0</v>
      </c>
      <c r="E176" s="890">
        <v>0</v>
      </c>
      <c r="F176" s="890"/>
      <c r="G176" s="890"/>
      <c r="H176" s="890"/>
      <c r="I176" s="890"/>
      <c r="J176" s="890"/>
      <c r="K176" s="890"/>
      <c r="L176" s="890"/>
      <c r="M176" s="890"/>
      <c r="N176" s="890"/>
      <c r="O176" s="890">
        <v>0</v>
      </c>
      <c r="P176" s="890">
        <v>0</v>
      </c>
      <c r="Q176" s="890">
        <v>0</v>
      </c>
      <c r="R176" s="890">
        <v>0</v>
      </c>
      <c r="S176" s="890">
        <v>0</v>
      </c>
      <c r="T176" s="890">
        <v>0</v>
      </c>
      <c r="U176" s="890">
        <v>0</v>
      </c>
      <c r="V176" s="890">
        <v>0</v>
      </c>
      <c r="W176" s="56">
        <v>0</v>
      </c>
      <c r="X176" s="890">
        <f>Y176-W176</f>
        <v>0</v>
      </c>
      <c r="Y176" s="890">
        <v>0</v>
      </c>
      <c r="Z176" s="56">
        <v>0</v>
      </c>
      <c r="AA176" s="890">
        <f>AB176-Z176</f>
        <v>0</v>
      </c>
      <c r="AB176" s="890">
        <v>0</v>
      </c>
      <c r="AC176" s="56">
        <v>0</v>
      </c>
      <c r="AD176" s="890">
        <f>AE176-AC176</f>
        <v>0</v>
      </c>
      <c r="AE176" s="56">
        <v>0</v>
      </c>
      <c r="AF176" s="1318">
        <v>0</v>
      </c>
      <c r="AG176" s="890">
        <f>AH176-AF176</f>
        <v>0</v>
      </c>
      <c r="AH176" s="890">
        <v>0</v>
      </c>
      <c r="AI176" s="890">
        <v>0</v>
      </c>
      <c r="AJ176" s="890">
        <f>AK176-AI176</f>
        <v>0</v>
      </c>
      <c r="AK176" s="890">
        <v>0</v>
      </c>
      <c r="AL176" s="890">
        <v>0</v>
      </c>
      <c r="AM176" s="890">
        <f>AN176-AL176</f>
        <v>0</v>
      </c>
      <c r="AN176" s="890">
        <v>0</v>
      </c>
      <c r="AO176" s="890">
        <v>0</v>
      </c>
      <c r="AP176" s="890">
        <f>AQ176-AO176</f>
        <v>0</v>
      </c>
      <c r="AQ176" s="890">
        <v>0</v>
      </c>
      <c r="AR176" s="56"/>
    </row>
    <row r="177" spans="1:44" outlineLevel="1">
      <c r="A177" s="877"/>
      <c r="B177" s="537" t="s">
        <v>141</v>
      </c>
      <c r="C177" s="890"/>
      <c r="D177" s="890"/>
      <c r="E177" s="890"/>
      <c r="F177" s="890"/>
      <c r="G177" s="890"/>
      <c r="H177" s="890"/>
      <c r="I177" s="890"/>
      <c r="J177" s="890"/>
      <c r="K177" s="890"/>
      <c r="L177" s="892"/>
      <c r="M177" s="890"/>
      <c r="N177" s="890"/>
      <c r="O177" s="890">
        <v>0</v>
      </c>
      <c r="P177" s="890">
        <v>0</v>
      </c>
      <c r="Q177" s="890">
        <v>0</v>
      </c>
      <c r="R177" s="890">
        <v>0</v>
      </c>
      <c r="S177" s="890">
        <v>0</v>
      </c>
      <c r="T177" s="890">
        <v>0</v>
      </c>
      <c r="U177" s="890">
        <v>0</v>
      </c>
      <c r="V177" s="890">
        <v>0</v>
      </c>
      <c r="W177" s="1337">
        <f>W186+W184-W176-W175-W174-W173</f>
        <v>13.600000000000023</v>
      </c>
      <c r="X177" s="56">
        <v>0</v>
      </c>
      <c r="Y177" s="56">
        <v>0</v>
      </c>
      <c r="Z177" s="1337">
        <f>Z186+Z184-Z176-Z175-Z174-Z173</f>
        <v>12.283999999999878</v>
      </c>
      <c r="AA177" s="56">
        <v>0</v>
      </c>
      <c r="AB177" s="56">
        <v>0</v>
      </c>
      <c r="AC177" s="1337">
        <f>AC186+AC184-AC176-AC175-AC174-AC173</f>
        <v>12.399999999999864</v>
      </c>
      <c r="AD177" s="56">
        <v>0</v>
      </c>
      <c r="AE177" s="1337">
        <f>AE186+AE184-AE176-AE175-AE174-AE173</f>
        <v>15.5</v>
      </c>
      <c r="AF177" s="1576">
        <f>AF186+AF184-AF176-AF175-AF174-AF173</f>
        <v>16.200000000000045</v>
      </c>
      <c r="AG177" s="890">
        <v>0</v>
      </c>
      <c r="AH177" s="1337">
        <f>+AF177+AG177</f>
        <v>16.200000000000045</v>
      </c>
      <c r="AI177" s="890">
        <v>0</v>
      </c>
      <c r="AJ177" s="890">
        <f>AK177-AI177</f>
        <v>0</v>
      </c>
      <c r="AK177" s="890">
        <v>0</v>
      </c>
      <c r="AL177" s="890">
        <v>0</v>
      </c>
      <c r="AM177" s="890">
        <f>AN177-AL177</f>
        <v>0</v>
      </c>
      <c r="AN177" s="890">
        <v>0</v>
      </c>
      <c r="AO177" s="890">
        <v>0</v>
      </c>
      <c r="AP177" s="890">
        <f>AQ177-AO177</f>
        <v>0</v>
      </c>
      <c r="AQ177" s="890">
        <v>0</v>
      </c>
      <c r="AR177" s="56"/>
    </row>
    <row r="178" spans="1:44" outlineLevel="1">
      <c r="A178" s="537"/>
      <c r="B178" s="537"/>
      <c r="C178" s="848"/>
      <c r="D178" s="848"/>
      <c r="E178" s="848"/>
      <c r="F178" s="848"/>
      <c r="G178" s="848"/>
      <c r="H178" s="848"/>
      <c r="I178" s="891"/>
      <c r="J178" s="891"/>
      <c r="K178" s="891"/>
      <c r="L178" s="891"/>
      <c r="M178" s="891"/>
      <c r="N178" s="891"/>
      <c r="O178" s="891"/>
      <c r="P178" s="891"/>
      <c r="Q178" s="891"/>
      <c r="R178" s="891"/>
      <c r="S178" s="891"/>
      <c r="T178" s="891"/>
      <c r="U178" s="891"/>
      <c r="V178" s="891"/>
      <c r="W178" s="53"/>
      <c r="X178" s="891"/>
      <c r="Y178" s="891"/>
      <c r="Z178" s="53"/>
      <c r="AA178" s="891"/>
      <c r="AB178" s="891"/>
      <c r="AC178" s="53"/>
      <c r="AD178" s="891"/>
      <c r="AE178" s="53"/>
      <c r="AF178" s="1553"/>
      <c r="AG178" s="891"/>
      <c r="AH178" s="891"/>
      <c r="AI178" s="891"/>
      <c r="AJ178" s="891"/>
      <c r="AK178" s="891"/>
      <c r="AL178" s="891"/>
      <c r="AM178" s="891"/>
      <c r="AN178" s="891"/>
      <c r="AO178" s="891"/>
      <c r="AP178" s="891"/>
      <c r="AQ178" s="891"/>
      <c r="AR178" s="53"/>
    </row>
    <row r="179" spans="1:44" outlineLevel="1">
      <c r="A179" s="537"/>
      <c r="B179" s="877" t="s">
        <v>142</v>
      </c>
      <c r="C179" s="893">
        <f t="shared" ref="C179:N179" si="495">SUM(C173:C177)</f>
        <v>8.958000000000002</v>
      </c>
      <c r="D179" s="893">
        <f t="shared" si="495"/>
        <v>30.693000000000001</v>
      </c>
      <c r="E179" s="893">
        <f t="shared" si="495"/>
        <v>38.036000000000001</v>
      </c>
      <c r="F179" s="893">
        <f t="shared" si="495"/>
        <v>51.33</v>
      </c>
      <c r="G179" s="893">
        <f t="shared" si="495"/>
        <v>84.269000000000005</v>
      </c>
      <c r="H179" s="893">
        <f t="shared" si="495"/>
        <v>140.01799999999997</v>
      </c>
      <c r="I179" s="893">
        <f t="shared" si="495"/>
        <v>217.49200000000002</v>
      </c>
      <c r="J179" s="893">
        <f t="shared" si="495"/>
        <v>302.928</v>
      </c>
      <c r="K179" s="893">
        <f>SUM(K173:K177)</f>
        <v>345.53999999999996</v>
      </c>
      <c r="L179" s="893">
        <f>SUM(L173:L177)</f>
        <v>194.71999999999997</v>
      </c>
      <c r="M179" s="893">
        <f>SUM(M173:M177)</f>
        <v>234.072</v>
      </c>
      <c r="N179" s="893">
        <f t="shared" si="495"/>
        <v>297.16800000000001</v>
      </c>
      <c r="O179" s="893">
        <f t="shared" ref="O179:V179" si="496">SUM(O173:O177)</f>
        <v>356.49600000000004</v>
      </c>
      <c r="P179" s="893">
        <f t="shared" si="496"/>
        <v>421.57823880000001</v>
      </c>
      <c r="Q179" s="893">
        <f t="shared" si="496"/>
        <v>500.69799999999998</v>
      </c>
      <c r="R179" s="893">
        <f t="shared" si="496"/>
        <v>614.79999999999995</v>
      </c>
      <c r="S179" s="893">
        <f t="shared" si="496"/>
        <v>713</v>
      </c>
      <c r="T179" s="893">
        <f t="shared" si="496"/>
        <v>857.80000000000007</v>
      </c>
      <c r="U179" s="893">
        <f t="shared" si="496"/>
        <v>1145.2</v>
      </c>
      <c r="V179" s="893">
        <f t="shared" si="496"/>
        <v>1376.5</v>
      </c>
      <c r="W179" s="55">
        <f t="shared" ref="W179:AB179" si="497">SUM(W173:W177)</f>
        <v>1254.1999999999998</v>
      </c>
      <c r="X179" s="893">
        <f t="shared" si="497"/>
        <v>1281.6000000000001</v>
      </c>
      <c r="Y179" s="893">
        <f t="shared" si="497"/>
        <v>1435.3000000000002</v>
      </c>
      <c r="Z179" s="55">
        <f t="shared" si="497"/>
        <v>1341.4839999999999</v>
      </c>
      <c r="AA179" s="893">
        <f t="shared" si="497"/>
        <v>1390.2839999999999</v>
      </c>
      <c r="AB179" s="893">
        <f t="shared" si="497"/>
        <v>1503.7</v>
      </c>
      <c r="AC179" s="55">
        <f t="shared" ref="AC179:AE179" si="498">SUM(AC173:AC177)</f>
        <v>1516.1999999999998</v>
      </c>
      <c r="AD179" s="893">
        <f t="shared" ref="AD179" si="499">SUM(AD173:AD177)</f>
        <v>1492.9999999999998</v>
      </c>
      <c r="AE179" s="55">
        <f t="shared" si="498"/>
        <v>1696.1999999999998</v>
      </c>
      <c r="AF179" s="1577">
        <f t="shared" ref="AF179" si="500">SUM(AF173:AF177)</f>
        <v>1632.3</v>
      </c>
      <c r="AG179" s="893">
        <f t="shared" ref="AG179" si="501">SUM(AG173:AG177)</f>
        <v>1605.6028391117213</v>
      </c>
      <c r="AH179" s="893">
        <f>SUM(AH173:AH177)</f>
        <v>1829.7028391117212</v>
      </c>
      <c r="AI179" s="893">
        <f t="shared" ref="AI179:AJ179" si="502">SUM(AI173:AI177)</f>
        <v>1692.0996159898605</v>
      </c>
      <c r="AJ179" s="893">
        <f t="shared" si="502"/>
        <v>1734.4672138603942</v>
      </c>
      <c r="AK179" s="893">
        <f>SUM(AK173:AK177)</f>
        <v>1892.3320398764195</v>
      </c>
      <c r="AL179" s="893">
        <f t="shared" ref="AL179:AM179" si="503">SUM(AL173:AL177)</f>
        <v>1830.2416333001856</v>
      </c>
      <c r="AM179" s="893">
        <f t="shared" si="503"/>
        <v>1878.0149318064452</v>
      </c>
      <c r="AN179" s="893">
        <f>SUM(AN173:AN177)</f>
        <v>2038.4058337366585</v>
      </c>
      <c r="AO179" s="893">
        <f t="shared" ref="AO179:AP179" si="504">SUM(AO173:AO177)</f>
        <v>1975.9404470906866</v>
      </c>
      <c r="AP179" s="893">
        <f t="shared" si="504"/>
        <v>2027.480689202079</v>
      </c>
      <c r="AQ179" s="893">
        <f>SUM(AQ173:AQ177)</f>
        <v>2194.3415635801312</v>
      </c>
      <c r="AR179" s="55"/>
    </row>
    <row r="180" spans="1:44" outlineLevel="1">
      <c r="A180" s="537"/>
      <c r="B180" s="537"/>
      <c r="C180" s="848"/>
      <c r="D180" s="848"/>
      <c r="E180" s="848"/>
      <c r="F180" s="848"/>
      <c r="G180" s="848"/>
      <c r="H180" s="848"/>
      <c r="I180" s="891"/>
      <c r="J180" s="891"/>
      <c r="K180" s="891"/>
      <c r="L180" s="891"/>
      <c r="M180" s="891"/>
      <c r="N180" s="891"/>
      <c r="O180" s="891"/>
      <c r="P180" s="891"/>
      <c r="Q180" s="891"/>
      <c r="R180" s="891"/>
      <c r="S180" s="891"/>
      <c r="T180" s="891"/>
      <c r="U180" s="891"/>
      <c r="V180" s="891"/>
      <c r="W180" s="53"/>
      <c r="X180" s="891"/>
      <c r="Y180" s="891"/>
      <c r="Z180" s="53"/>
      <c r="AA180" s="891"/>
      <c r="AB180" s="891"/>
      <c r="AC180" s="53"/>
      <c r="AD180" s="891"/>
      <c r="AE180" s="53"/>
      <c r="AF180" s="1553"/>
      <c r="AG180" s="891"/>
      <c r="AH180" s="891"/>
      <c r="AI180" s="891"/>
      <c r="AJ180" s="891"/>
      <c r="AK180" s="891"/>
      <c r="AL180" s="891"/>
      <c r="AM180" s="891"/>
      <c r="AN180" s="891"/>
      <c r="AO180" s="891"/>
      <c r="AP180" s="891"/>
      <c r="AQ180" s="891"/>
      <c r="AR180" s="53"/>
    </row>
    <row r="181" spans="1:44">
      <c r="A181" s="537"/>
      <c r="B181" s="537" t="s">
        <v>143</v>
      </c>
      <c r="C181" s="309">
        <f t="shared" ref="C181:K181" si="505">+C188*C195/100</f>
        <v>0</v>
      </c>
      <c r="D181" s="309">
        <f t="shared" si="505"/>
        <v>3.6883080000000001</v>
      </c>
      <c r="E181" s="309">
        <f t="shared" si="505"/>
        <v>3.7022040000000001</v>
      </c>
      <c r="F181" s="309">
        <f t="shared" si="505"/>
        <v>3.7247759999999999</v>
      </c>
      <c r="G181" s="309">
        <f t="shared" si="505"/>
        <v>5.2314499999999997</v>
      </c>
      <c r="H181" s="309">
        <f t="shared" si="505"/>
        <v>10.588500000000002</v>
      </c>
      <c r="I181" s="309">
        <f t="shared" si="505"/>
        <v>16.086999900000002</v>
      </c>
      <c r="J181" s="309">
        <f t="shared" si="505"/>
        <v>35.75384571</v>
      </c>
      <c r="K181" s="309">
        <f t="shared" si="505"/>
        <v>47.294766240000001</v>
      </c>
      <c r="L181" s="309">
        <f t="shared" ref="L181:U181" si="506">+L188*L195/100</f>
        <v>48.436815070000002</v>
      </c>
      <c r="M181" s="309">
        <f t="shared" si="506"/>
        <v>49.473654500000002</v>
      </c>
      <c r="N181" s="309">
        <f t="shared" si="506"/>
        <v>54.421019950000002</v>
      </c>
      <c r="O181" s="309">
        <f t="shared" si="506"/>
        <v>58.404041590000006</v>
      </c>
      <c r="P181" s="309">
        <f t="shared" si="506"/>
        <v>62.336804669999999</v>
      </c>
      <c r="Q181" s="309">
        <f>+Q188*Q195/100</f>
        <v>82.383410159999997</v>
      </c>
      <c r="R181" s="309">
        <f>+R188*R195/100</f>
        <v>98.799699920000009</v>
      </c>
      <c r="S181" s="309">
        <f>+S188*S195/100</f>
        <v>104.54386851999999</v>
      </c>
      <c r="T181" s="309">
        <f>+T188*T195/100</f>
        <v>113.73453828</v>
      </c>
      <c r="U181" s="309">
        <f t="shared" si="506"/>
        <v>206.79006959999998</v>
      </c>
      <c r="V181" s="309">
        <f t="shared" ref="V181" si="507">+V188*V195/100</f>
        <v>178.21438902999998</v>
      </c>
      <c r="W181" s="31">
        <f>-CFS!W38</f>
        <v>167.3</v>
      </c>
      <c r="X181" s="896">
        <v>0</v>
      </c>
      <c r="Y181" s="309">
        <f>W181</f>
        <v>167.3</v>
      </c>
      <c r="Z181" s="31">
        <f>-CFS!Z38</f>
        <v>125.7</v>
      </c>
      <c r="AA181" s="896">
        <v>0</v>
      </c>
      <c r="AB181" s="309">
        <f>Z181</f>
        <v>125.7</v>
      </c>
      <c r="AC181" s="31">
        <f>-CFS!AC38</f>
        <v>200.1</v>
      </c>
      <c r="AD181" s="309">
        <v>0</v>
      </c>
      <c r="AE181" s="309">
        <f>AC181</f>
        <v>200.1</v>
      </c>
      <c r="AF181" s="1309">
        <f>-CFS!AF38</f>
        <v>224.1</v>
      </c>
      <c r="AG181" s="309">
        <v>0</v>
      </c>
      <c r="AH181" s="309">
        <f t="shared" ref="AH181" si="508">AF181</f>
        <v>224.1</v>
      </c>
      <c r="AI181" s="309">
        <f t="shared" ref="AI181" si="509">AI191*AI195/100</f>
        <v>232.94758265860438</v>
      </c>
      <c r="AJ181" s="309">
        <v>0</v>
      </c>
      <c r="AK181" s="309">
        <f t="shared" ref="AK181" si="510">AI181</f>
        <v>232.94758265860438</v>
      </c>
      <c r="AL181" s="309">
        <f t="shared" ref="AL181" si="511">AL191*AL195/100</f>
        <v>246.54150157379704</v>
      </c>
      <c r="AM181" s="309">
        <v>0</v>
      </c>
      <c r="AN181" s="309">
        <f t="shared" ref="AN181" si="512">AL181</f>
        <v>246.54150157379704</v>
      </c>
      <c r="AO181" s="309">
        <f t="shared" ref="AO181" si="513">AO191*AO195/100</f>
        <v>258.35026264352888</v>
      </c>
      <c r="AP181" s="309">
        <v>0</v>
      </c>
      <c r="AQ181" s="309">
        <f t="shared" ref="AQ181" si="514">AO181</f>
        <v>258.35026264352888</v>
      </c>
      <c r="AR181" s="23"/>
    </row>
    <row r="182" spans="1:44">
      <c r="A182" s="537"/>
      <c r="B182" s="537" t="s">
        <v>144</v>
      </c>
      <c r="C182" s="309"/>
      <c r="D182" s="309">
        <f t="shared" ref="D182:K182" si="515">+C189*C195/100</f>
        <v>0</v>
      </c>
      <c r="E182" s="309">
        <f t="shared" si="515"/>
        <v>3.6883080000000001</v>
      </c>
      <c r="F182" s="309">
        <f t="shared" si="515"/>
        <v>3.7022040000000001</v>
      </c>
      <c r="G182" s="309">
        <f t="shared" si="515"/>
        <v>4.1386399999999988</v>
      </c>
      <c r="H182" s="309">
        <f t="shared" si="515"/>
        <v>6.2777399999999997</v>
      </c>
      <c r="I182" s="309">
        <f t="shared" si="515"/>
        <v>16.941600000000001</v>
      </c>
      <c r="J182" s="309">
        <f t="shared" si="515"/>
        <v>31.101533140000001</v>
      </c>
      <c r="K182" s="309">
        <f t="shared" si="515"/>
        <v>35.75384571</v>
      </c>
      <c r="L182" s="309">
        <f t="shared" ref="L182:V182" si="516">+K189*K195/100</f>
        <v>28.573921269999996</v>
      </c>
      <c r="M182" s="309">
        <f t="shared" si="516"/>
        <v>15.816102880000001</v>
      </c>
      <c r="N182" s="309">
        <f t="shared" si="516"/>
        <v>21.768407980000003</v>
      </c>
      <c r="O182" s="309">
        <f>+N189*N195/100</f>
        <v>28.694719610000003</v>
      </c>
      <c r="P182" s="309">
        <f>+O189*O195/100</f>
        <v>30.686869310000002</v>
      </c>
      <c r="Q182" s="309">
        <f t="shared" si="516"/>
        <v>36.610504330000005</v>
      </c>
      <c r="R182" s="309">
        <f t="shared" si="516"/>
        <v>52.633845380000004</v>
      </c>
      <c r="S182" s="309">
        <f>+R189*R195/100</f>
        <v>52.846351120000001</v>
      </c>
      <c r="T182" s="309">
        <f>+S189*S195/100</f>
        <v>58.590519719999996</v>
      </c>
      <c r="U182" s="309">
        <f t="shared" si="516"/>
        <v>103.39503479999999</v>
      </c>
      <c r="V182" s="309">
        <f t="shared" si="516"/>
        <v>122.92520804</v>
      </c>
      <c r="W182" s="896">
        <v>0</v>
      </c>
      <c r="X182" s="896">
        <f>-CFS!X38</f>
        <v>215.39999999999998</v>
      </c>
      <c r="Y182" s="309">
        <f>+X182</f>
        <v>215.39999999999998</v>
      </c>
      <c r="Z182" s="31">
        <v>0</v>
      </c>
      <c r="AA182" s="896">
        <f>-CFS!AA38</f>
        <v>172.8</v>
      </c>
      <c r="AB182" s="309">
        <f>+AA182</f>
        <v>172.8</v>
      </c>
      <c r="AC182" s="31">
        <v>0</v>
      </c>
      <c r="AD182" s="309">
        <f>-CFS!AD38</f>
        <v>185.79999999999998</v>
      </c>
      <c r="AE182" s="309">
        <f>+AD182</f>
        <v>185.79999999999998</v>
      </c>
      <c r="AF182" s="1309">
        <v>0</v>
      </c>
      <c r="AG182" s="309">
        <f>AG191*AG195/100</f>
        <v>157.86482601602529</v>
      </c>
      <c r="AH182" s="309">
        <f t="shared" ref="AH182" si="517">+AG182</f>
        <v>157.86482601602529</v>
      </c>
      <c r="AI182" s="309">
        <v>0</v>
      </c>
      <c r="AJ182" s="309">
        <f t="shared" ref="AJ182" si="518">AJ191*AJ195/100</f>
        <v>160.39090193021323</v>
      </c>
      <c r="AK182" s="309">
        <f t="shared" ref="AK182" si="519">+AJ182</f>
        <v>160.39090193021323</v>
      </c>
      <c r="AL182" s="309">
        <v>0</v>
      </c>
      <c r="AM182" s="309">
        <f t="shared" ref="AM182" si="520">AM191*AM195/100</f>
        <v>166.86087437805199</v>
      </c>
      <c r="AN182" s="309">
        <f t="shared" ref="AN182" si="521">+AM182</f>
        <v>166.86087437805199</v>
      </c>
      <c r="AO182" s="309">
        <v>0</v>
      </c>
      <c r="AP182" s="309">
        <f t="shared" ref="AP182" si="522">AP191*AP195/100</f>
        <v>175.05820003403304</v>
      </c>
      <c r="AQ182" s="309">
        <f t="shared" ref="AQ182" si="523">+AP182</f>
        <v>175.05820003403304</v>
      </c>
      <c r="AR182" s="23"/>
    </row>
    <row r="183" spans="1:44" outlineLevel="1">
      <c r="A183" s="537"/>
      <c r="B183" s="537" t="s">
        <v>145</v>
      </c>
      <c r="C183" s="890"/>
      <c r="D183" s="890"/>
      <c r="E183" s="890"/>
      <c r="F183" s="890"/>
      <c r="G183" s="890"/>
      <c r="H183" s="890"/>
      <c r="I183" s="875"/>
      <c r="J183" s="875"/>
      <c r="K183" s="875"/>
      <c r="L183" s="875"/>
      <c r="M183" s="309"/>
      <c r="N183" s="309"/>
      <c r="O183" s="309"/>
      <c r="P183" s="309"/>
      <c r="Q183" s="309"/>
      <c r="R183" s="309"/>
      <c r="S183" s="309"/>
      <c r="T183" s="896"/>
      <c r="U183" s="309"/>
      <c r="V183" s="309"/>
      <c r="W183" s="23"/>
      <c r="X183" s="309"/>
      <c r="Y183" s="309"/>
      <c r="Z183" s="23"/>
      <c r="AA183" s="309"/>
      <c r="AB183" s="309"/>
      <c r="AC183" s="23"/>
      <c r="AD183" s="309"/>
      <c r="AE183" s="309"/>
      <c r="AF183" s="1299"/>
      <c r="AG183" s="309"/>
      <c r="AH183" s="309"/>
      <c r="AI183" s="309"/>
      <c r="AJ183" s="309"/>
      <c r="AK183" s="309"/>
      <c r="AL183" s="309"/>
      <c r="AM183" s="309"/>
      <c r="AN183" s="309"/>
      <c r="AO183" s="309"/>
      <c r="AP183" s="309"/>
      <c r="AQ183" s="309"/>
      <c r="AR183" s="23"/>
    </row>
    <row r="184" spans="1:44" outlineLevel="1">
      <c r="A184" s="537"/>
      <c r="B184" s="877" t="s">
        <v>146</v>
      </c>
      <c r="C184" s="827">
        <f t="shared" ref="C184:N184" si="524">C182+C181</f>
        <v>0</v>
      </c>
      <c r="D184" s="827">
        <f t="shared" si="524"/>
        <v>3.6883080000000001</v>
      </c>
      <c r="E184" s="827">
        <f t="shared" si="524"/>
        <v>7.3905120000000002</v>
      </c>
      <c r="F184" s="827">
        <f t="shared" si="524"/>
        <v>7.4269800000000004</v>
      </c>
      <c r="G184" s="827">
        <f t="shared" si="524"/>
        <v>9.3700899999999976</v>
      </c>
      <c r="H184" s="827">
        <f t="shared" si="524"/>
        <v>16.866240000000001</v>
      </c>
      <c r="I184" s="827">
        <f t="shared" si="524"/>
        <v>33.028599900000003</v>
      </c>
      <c r="J184" s="827">
        <f t="shared" si="524"/>
        <v>66.855378849999994</v>
      </c>
      <c r="K184" s="827">
        <f t="shared" si="524"/>
        <v>83.048611950000009</v>
      </c>
      <c r="L184" s="827">
        <f t="shared" si="524"/>
        <v>77.010736339999994</v>
      </c>
      <c r="M184" s="827">
        <f t="shared" si="524"/>
        <v>65.289757379999998</v>
      </c>
      <c r="N184" s="827">
        <f t="shared" si="524"/>
        <v>76.189427930000008</v>
      </c>
      <c r="O184" s="827">
        <f t="shared" ref="O184:R184" si="525">O182+O181</f>
        <v>87.098761200000013</v>
      </c>
      <c r="P184" s="827">
        <f t="shared" si="525"/>
        <v>93.023673979999998</v>
      </c>
      <c r="Q184" s="827">
        <f t="shared" si="525"/>
        <v>118.99391449000001</v>
      </c>
      <c r="R184" s="827">
        <f t="shared" si="525"/>
        <v>151.43354530000002</v>
      </c>
      <c r="S184" s="827">
        <f>S182+S181</f>
        <v>157.39021964</v>
      </c>
      <c r="T184" s="827">
        <f>T182+T181</f>
        <v>172.32505799999998</v>
      </c>
      <c r="U184" s="827">
        <f>U182+U181</f>
        <v>310.1851044</v>
      </c>
      <c r="V184" s="827">
        <f>V182+V181</f>
        <v>301.13959706999998</v>
      </c>
      <c r="W184" s="59">
        <f t="shared" ref="W184:AB184" si="526">SUM(W181:W183)</f>
        <v>167.3</v>
      </c>
      <c r="X184" s="344">
        <f t="shared" si="526"/>
        <v>215.39999999999998</v>
      </c>
      <c r="Y184" s="344">
        <f t="shared" si="526"/>
        <v>382.7</v>
      </c>
      <c r="Z184" s="59">
        <f t="shared" si="526"/>
        <v>125.7</v>
      </c>
      <c r="AA184" s="344">
        <f>SUM(AA181:AA183)</f>
        <v>172.8</v>
      </c>
      <c r="AB184" s="344">
        <f t="shared" si="526"/>
        <v>298.5</v>
      </c>
      <c r="AC184" s="59">
        <f t="shared" ref="AC184" si="527">SUM(AC181:AC183)</f>
        <v>200.1</v>
      </c>
      <c r="AD184" s="827">
        <f t="shared" ref="AD184:AJ184" si="528">SUM(AD181:AD183)</f>
        <v>185.79999999999998</v>
      </c>
      <c r="AE184" s="344">
        <f t="shared" ref="AE184" si="529">SUM(AE181:AE183)</f>
        <v>385.9</v>
      </c>
      <c r="AF184" s="1314">
        <f>SUM(AF181:AF183)</f>
        <v>224.1</v>
      </c>
      <c r="AG184" s="827">
        <f t="shared" si="528"/>
        <v>157.86482601602529</v>
      </c>
      <c r="AH184" s="827">
        <f t="shared" ref="AH184" si="530">SUM(AH181:AH183)</f>
        <v>381.96482601602531</v>
      </c>
      <c r="AI184" s="827">
        <f t="shared" si="528"/>
        <v>232.94758265860438</v>
      </c>
      <c r="AJ184" s="827">
        <f t="shared" si="528"/>
        <v>160.39090193021323</v>
      </c>
      <c r="AK184" s="827">
        <f t="shared" ref="AK184:AM184" si="531">SUM(AK181:AK183)</f>
        <v>393.33848458881761</v>
      </c>
      <c r="AL184" s="827">
        <f t="shared" si="531"/>
        <v>246.54150157379704</v>
      </c>
      <c r="AM184" s="827">
        <f t="shared" si="531"/>
        <v>166.86087437805199</v>
      </c>
      <c r="AN184" s="827">
        <f t="shared" ref="AN184:AP184" si="532">SUM(AN181:AN183)</f>
        <v>413.40237595184902</v>
      </c>
      <c r="AO184" s="827">
        <f t="shared" si="532"/>
        <v>258.35026264352888</v>
      </c>
      <c r="AP184" s="827">
        <f t="shared" si="532"/>
        <v>175.05820003403304</v>
      </c>
      <c r="AQ184" s="827">
        <f t="shared" ref="AQ184" si="533">SUM(AQ181:AQ183)</f>
        <v>433.40846267756194</v>
      </c>
      <c r="AR184" s="32"/>
    </row>
    <row r="185" spans="1:44" outlineLevel="1">
      <c r="A185" s="537"/>
      <c r="B185" s="537" t="s">
        <v>948</v>
      </c>
      <c r="C185" s="858"/>
      <c r="D185" s="858"/>
      <c r="E185" s="858"/>
      <c r="F185" s="858"/>
      <c r="G185" s="858"/>
      <c r="H185" s="858"/>
      <c r="I185" s="858"/>
      <c r="J185" s="858"/>
      <c r="K185" s="858"/>
      <c r="L185" s="858"/>
      <c r="M185" s="858"/>
      <c r="N185" s="858"/>
      <c r="O185" s="858"/>
      <c r="P185" s="858"/>
      <c r="Q185" s="858"/>
      <c r="R185" s="858"/>
      <c r="S185" s="858"/>
      <c r="T185" s="858"/>
      <c r="U185" s="858"/>
      <c r="V185" s="858"/>
      <c r="W185" s="36"/>
      <c r="X185" s="1173"/>
      <c r="Y185" s="858"/>
      <c r="Z185" s="36"/>
      <c r="AA185" s="1173"/>
      <c r="AB185" s="858"/>
      <c r="AC185" s="36"/>
      <c r="AD185" s="36">
        <f>+AD184-AC184</f>
        <v>-14.300000000000011</v>
      </c>
      <c r="AE185" s="858"/>
      <c r="AF185" s="1795"/>
      <c r="AG185" s="36">
        <f t="shared" ref="AG185" si="534">+AG184-AF184</f>
        <v>-66.235173983974704</v>
      </c>
      <c r="AH185" s="36">
        <f t="shared" ref="AH185" si="535">+AG185+AF185</f>
        <v>-66.235173983974704</v>
      </c>
      <c r="AI185" s="36">
        <f t="shared" ref="AI185" si="536">+AI184-AG184</f>
        <v>75.082756642579085</v>
      </c>
      <c r="AJ185" s="36">
        <f t="shared" ref="AJ185" si="537">+AJ184-AI184</f>
        <v>-72.556680728391143</v>
      </c>
      <c r="AK185" s="36">
        <f t="shared" ref="AK185" si="538">+AJ185+AI185</f>
        <v>2.5260759141879419</v>
      </c>
      <c r="AL185" s="36">
        <f t="shared" ref="AL185" si="539">+AL184-AJ184</f>
        <v>86.150599643583803</v>
      </c>
      <c r="AM185" s="36">
        <f t="shared" ref="AM185" si="540">+AM184-AL184</f>
        <v>-79.680627195745046</v>
      </c>
      <c r="AN185" s="36">
        <f t="shared" ref="AN185" si="541">+AM185+AL185</f>
        <v>6.4699724478387566</v>
      </c>
      <c r="AO185" s="36">
        <f t="shared" ref="AO185" si="542">+AO184-AM184</f>
        <v>91.48938826547689</v>
      </c>
      <c r="AP185" s="36">
        <f t="shared" ref="AP185" si="543">+AP184-AO184</f>
        <v>-83.292062609495844</v>
      </c>
      <c r="AQ185" s="36">
        <f t="shared" ref="AQ185" si="544">+AP185+AO185</f>
        <v>8.1973256559810466</v>
      </c>
      <c r="AR185" s="36"/>
    </row>
    <row r="186" spans="1:44" outlineLevel="1">
      <c r="A186" s="537"/>
      <c r="B186" s="878" t="s">
        <v>147</v>
      </c>
      <c r="C186" s="912">
        <f t="shared" ref="C186:N186" si="545">C42</f>
        <v>16.562000000000001</v>
      </c>
      <c r="D186" s="912">
        <f t="shared" si="545"/>
        <v>16.68</v>
      </c>
      <c r="E186" s="912">
        <f t="shared" si="545"/>
        <v>25.494</v>
      </c>
      <c r="F186" s="912">
        <f t="shared" si="545"/>
        <v>43.88</v>
      </c>
      <c r="G186" s="912">
        <f t="shared" si="545"/>
        <v>74.882999999999996</v>
      </c>
      <c r="H186" s="921">
        <f t="shared" si="545"/>
        <v>123.05500000000001</v>
      </c>
      <c r="I186" s="912">
        <f t="shared" si="545"/>
        <v>184.27600000000001</v>
      </c>
      <c r="J186" s="912">
        <f t="shared" si="545"/>
        <v>235.845</v>
      </c>
      <c r="K186" s="912">
        <f t="shared" si="545"/>
        <v>90.078999999999994</v>
      </c>
      <c r="L186" s="912">
        <f t="shared" si="545"/>
        <v>117.68899999999999</v>
      </c>
      <c r="M186" s="912">
        <f t="shared" si="545"/>
        <v>168.809</v>
      </c>
      <c r="N186" s="912">
        <f t="shared" si="545"/>
        <v>219.98500000000001</v>
      </c>
      <c r="O186" s="912">
        <f>O179-O184</f>
        <v>269.39723880000003</v>
      </c>
      <c r="P186" s="922">
        <v>328.298</v>
      </c>
      <c r="Q186" s="922">
        <v>381.6</v>
      </c>
      <c r="R186" s="922">
        <v>463.2</v>
      </c>
      <c r="S186" s="922">
        <v>555.6</v>
      </c>
      <c r="T186" s="922">
        <v>635.70000000000005</v>
      </c>
      <c r="U186" s="922">
        <v>831.6</v>
      </c>
      <c r="V186" s="1158">
        <v>910.7</v>
      </c>
      <c r="W186" s="1223">
        <f>W42</f>
        <v>1086.9000000000001</v>
      </c>
      <c r="X186" s="1330">
        <f>X179-X184-1.3</f>
        <v>1064.9000000000003</v>
      </c>
      <c r="Y186" s="1289">
        <f>Y42</f>
        <v>1064.9000000000001</v>
      </c>
      <c r="Z186" s="1410">
        <f>Z42</f>
        <v>1215.7839999999999</v>
      </c>
      <c r="AA186" s="1330">
        <f>AA179-AA184</f>
        <v>1217.4839999999999</v>
      </c>
      <c r="AB186" s="1569">
        <f>AB42</f>
        <v>1218.3</v>
      </c>
      <c r="AC186" s="1677">
        <f>AC42</f>
        <v>1316.1</v>
      </c>
      <c r="AD186" s="912">
        <f>AD179-AD184+AD185</f>
        <v>1292.8999999999999</v>
      </c>
      <c r="AE186" s="1569">
        <f>AE42</f>
        <v>1310.3</v>
      </c>
      <c r="AF186" s="1796">
        <f>AF42</f>
        <v>1408.2</v>
      </c>
      <c r="AG186" s="912">
        <f>AG179-AG184+AG185</f>
        <v>1381.5028391117214</v>
      </c>
      <c r="AH186" s="912">
        <f t="shared" ref="AH186:AQ186" si="546">AH179-AH184+AH185</f>
        <v>1381.5028391117212</v>
      </c>
      <c r="AI186" s="912">
        <f t="shared" si="546"/>
        <v>1534.2347899738352</v>
      </c>
      <c r="AJ186" s="912">
        <f t="shared" si="546"/>
        <v>1501.5196312017897</v>
      </c>
      <c r="AK186" s="912">
        <f t="shared" si="546"/>
        <v>1501.5196312017897</v>
      </c>
      <c r="AL186" s="912">
        <f t="shared" si="546"/>
        <v>1669.8507313699724</v>
      </c>
      <c r="AM186" s="912">
        <f t="shared" si="546"/>
        <v>1631.4734302326483</v>
      </c>
      <c r="AN186" s="912">
        <f t="shared" si="546"/>
        <v>1631.4734302326481</v>
      </c>
      <c r="AO186" s="912">
        <f t="shared" si="546"/>
        <v>1809.0795727126347</v>
      </c>
      <c r="AP186" s="912">
        <f t="shared" si="546"/>
        <v>1769.1304265585502</v>
      </c>
      <c r="AQ186" s="912">
        <f t="shared" si="546"/>
        <v>1769.1304265585502</v>
      </c>
      <c r="AR186" s="32"/>
    </row>
    <row r="187" spans="1:44" outlineLevel="1">
      <c r="A187" s="537"/>
      <c r="B187" s="537"/>
      <c r="C187" s="858"/>
      <c r="D187" s="858"/>
      <c r="E187" s="858"/>
      <c r="F187" s="858"/>
      <c r="G187" s="858"/>
      <c r="H187" s="858"/>
      <c r="I187" s="858"/>
      <c r="J187" s="858"/>
      <c r="K187" s="858"/>
      <c r="L187" s="858"/>
      <c r="M187" s="858"/>
      <c r="N187" s="858"/>
      <c r="O187" s="858"/>
      <c r="P187" s="858"/>
      <c r="Q187" s="829"/>
      <c r="R187" s="829"/>
      <c r="S187" s="829"/>
      <c r="T187" s="829"/>
      <c r="U187" s="829"/>
      <c r="V187" s="1169"/>
      <c r="W187" s="1169"/>
      <c r="X187" s="858"/>
      <c r="Y187" s="1290"/>
      <c r="Z187" s="1411"/>
      <c r="AA187" s="858"/>
      <c r="AB187" s="1290"/>
      <c r="AC187" s="36"/>
      <c r="AD187" s="858"/>
      <c r="AE187" s="1700"/>
      <c r="AF187" s="1660"/>
      <c r="AG187" s="858"/>
      <c r="AH187" s="858"/>
      <c r="AI187" s="858"/>
      <c r="AJ187" s="858"/>
      <c r="AK187" s="858"/>
      <c r="AL187" s="858"/>
      <c r="AM187" s="858"/>
      <c r="AN187" s="858"/>
      <c r="AO187" s="858"/>
      <c r="AP187" s="858"/>
      <c r="AQ187" s="858"/>
      <c r="AR187" s="36"/>
    </row>
    <row r="188" spans="1:44" outlineLevel="1">
      <c r="A188" s="537"/>
      <c r="B188" s="537" t="s">
        <v>148</v>
      </c>
      <c r="C188" s="774"/>
      <c r="D188" s="775">
        <v>3.6</v>
      </c>
      <c r="E188" s="775">
        <v>3.6</v>
      </c>
      <c r="F188" s="775">
        <v>3.6</v>
      </c>
      <c r="G188" s="775">
        <v>5</v>
      </c>
      <c r="H188" s="775">
        <v>10</v>
      </c>
      <c r="I188" s="775">
        <v>15</v>
      </c>
      <c r="J188" s="775">
        <v>33</v>
      </c>
      <c r="K188" s="775">
        <v>48</v>
      </c>
      <c r="L188" s="775">
        <v>49</v>
      </c>
      <c r="M188" s="775">
        <v>50</v>
      </c>
      <c r="N188" s="775">
        <v>55</v>
      </c>
      <c r="O188" s="775">
        <v>59</v>
      </c>
      <c r="P188" s="775">
        <v>63</v>
      </c>
      <c r="Q188" s="775">
        <v>72</v>
      </c>
      <c r="R188" s="775">
        <v>86</v>
      </c>
      <c r="S188" s="775">
        <v>91</v>
      </c>
      <c r="T188" s="775">
        <v>99</v>
      </c>
      <c r="U188" s="775">
        <v>180</v>
      </c>
      <c r="V188" s="775">
        <v>163</v>
      </c>
      <c r="W188" s="570">
        <v>197</v>
      </c>
      <c r="X188" s="858"/>
      <c r="Y188" s="858">
        <v>0</v>
      </c>
      <c r="Z188" s="570">
        <v>158</v>
      </c>
      <c r="AA188" s="858"/>
      <c r="AB188" s="858">
        <v>0</v>
      </c>
      <c r="AC188" s="1894">
        <v>170</v>
      </c>
      <c r="AD188" s="858"/>
      <c r="AE188" s="1700">
        <f>+AC188+AD188</f>
        <v>170</v>
      </c>
      <c r="AF188" s="1668">
        <v>210</v>
      </c>
      <c r="AG188" s="858"/>
      <c r="AH188" s="858">
        <f>+AF188</f>
        <v>210</v>
      </c>
      <c r="AI188" s="858"/>
      <c r="AJ188" s="858"/>
      <c r="AK188" s="858"/>
      <c r="AL188" s="858"/>
      <c r="AM188" s="858"/>
      <c r="AN188" s="858"/>
      <c r="AO188" s="858"/>
      <c r="AP188" s="858"/>
      <c r="AQ188" s="858"/>
      <c r="AR188" s="36"/>
    </row>
    <row r="189" spans="1:44" outlineLevel="1">
      <c r="A189" s="537"/>
      <c r="B189" s="537" t="s">
        <v>149</v>
      </c>
      <c r="C189" s="858">
        <f t="shared" ref="C189:J189" si="547">+C191-C188</f>
        <v>0</v>
      </c>
      <c r="D189" s="858">
        <f t="shared" si="547"/>
        <v>3.6</v>
      </c>
      <c r="E189" s="858">
        <f t="shared" si="547"/>
        <v>3.6</v>
      </c>
      <c r="F189" s="858">
        <f t="shared" si="547"/>
        <v>3.9999999999999996</v>
      </c>
      <c r="G189" s="858">
        <f t="shared" si="547"/>
        <v>6</v>
      </c>
      <c r="H189" s="858">
        <f t="shared" si="547"/>
        <v>16</v>
      </c>
      <c r="I189" s="858">
        <f t="shared" si="547"/>
        <v>29</v>
      </c>
      <c r="J189" s="858">
        <f t="shared" si="547"/>
        <v>33</v>
      </c>
      <c r="K189" s="858">
        <f>+K191-K188</f>
        <v>29</v>
      </c>
      <c r="L189" s="858">
        <f t="shared" ref="L189:S189" si="548">+L191-L188-L190</f>
        <v>16</v>
      </c>
      <c r="M189" s="858">
        <f>+M191-M188-M190</f>
        <v>22</v>
      </c>
      <c r="N189" s="858">
        <f>+N191-N188-N190</f>
        <v>29</v>
      </c>
      <c r="O189" s="858">
        <f>+O191-O188-O190</f>
        <v>31</v>
      </c>
      <c r="P189" s="858">
        <f t="shared" si="548"/>
        <v>37</v>
      </c>
      <c r="Q189" s="858">
        <f t="shared" si="548"/>
        <v>46</v>
      </c>
      <c r="R189" s="858">
        <f t="shared" si="548"/>
        <v>46</v>
      </c>
      <c r="S189" s="858">
        <f t="shared" si="548"/>
        <v>51</v>
      </c>
      <c r="T189" s="858">
        <f>+T191-T188-T190</f>
        <v>90</v>
      </c>
      <c r="U189" s="858">
        <f t="shared" ref="U189" si="549">+U191-U188-U190</f>
        <v>107</v>
      </c>
      <c r="V189" s="858">
        <f>+V191-V188-V190</f>
        <v>153</v>
      </c>
      <c r="W189" s="36">
        <v>0</v>
      </c>
      <c r="X189" s="858">
        <f>+X191-X188-X190</f>
        <v>115</v>
      </c>
      <c r="Y189" s="570">
        <v>115</v>
      </c>
      <c r="Z189" s="36">
        <v>0</v>
      </c>
      <c r="AA189" s="858">
        <f>+AA191-AA188-AA190</f>
        <v>103</v>
      </c>
      <c r="AB189" s="1894">
        <v>103</v>
      </c>
      <c r="AC189" s="36">
        <v>0</v>
      </c>
      <c r="AD189" s="858">
        <v>105</v>
      </c>
      <c r="AE189" s="1700">
        <f t="shared" ref="AE189:AE190" si="550">+AC189+AD189</f>
        <v>105</v>
      </c>
      <c r="AF189" s="1660">
        <v>0</v>
      </c>
      <c r="AG189" s="858">
        <f>+AG191</f>
        <v>144.38770505944103</v>
      </c>
      <c r="AH189" s="858">
        <f>+AG189</f>
        <v>144.38770505944103</v>
      </c>
      <c r="AI189" s="858"/>
      <c r="AJ189" s="858"/>
      <c r="AK189" s="858"/>
      <c r="AL189" s="858"/>
      <c r="AM189" s="858"/>
      <c r="AN189" s="858"/>
      <c r="AO189" s="858"/>
      <c r="AP189" s="858"/>
      <c r="AQ189" s="858"/>
      <c r="AR189" s="36"/>
    </row>
    <row r="190" spans="1:44" outlineLevel="1">
      <c r="A190" s="537"/>
      <c r="B190" s="537" t="s">
        <v>150</v>
      </c>
      <c r="C190" s="858"/>
      <c r="D190" s="858"/>
      <c r="E190" s="858"/>
      <c r="F190" s="858"/>
      <c r="G190" s="858"/>
      <c r="H190" s="858"/>
      <c r="I190" s="858"/>
      <c r="J190" s="858"/>
      <c r="K190" s="858"/>
      <c r="L190" s="858"/>
      <c r="M190" s="894">
        <v>0</v>
      </c>
      <c r="N190" s="858"/>
      <c r="O190" s="858"/>
      <c r="P190" s="858"/>
      <c r="Q190" s="858"/>
      <c r="R190" s="858"/>
      <c r="S190" s="858"/>
      <c r="T190" s="858"/>
      <c r="U190" s="858"/>
      <c r="V190" s="858"/>
      <c r="W190" s="36"/>
      <c r="X190" s="858"/>
      <c r="Y190" s="858"/>
      <c r="Z190" s="36"/>
      <c r="AA190" s="1894">
        <v>80</v>
      </c>
      <c r="AB190" s="36"/>
      <c r="AC190" s="36"/>
      <c r="AD190" s="858">
        <v>100</v>
      </c>
      <c r="AE190" s="1700">
        <f t="shared" si="550"/>
        <v>100</v>
      </c>
      <c r="AF190" s="1660"/>
      <c r="AG190" s="858"/>
      <c r="AH190" s="858"/>
      <c r="AI190" s="858"/>
      <c r="AJ190" s="858"/>
      <c r="AK190" s="858"/>
      <c r="AL190" s="858"/>
      <c r="AM190" s="858"/>
      <c r="AN190" s="858"/>
      <c r="AO190" s="858"/>
      <c r="AP190" s="858"/>
      <c r="AQ190" s="858"/>
      <c r="AR190" s="36"/>
    </row>
    <row r="191" spans="1:44" outlineLevel="1">
      <c r="A191" s="877" t="s">
        <v>245</v>
      </c>
      <c r="B191" s="537" t="s">
        <v>151</v>
      </c>
      <c r="C191" s="895"/>
      <c r="D191" s="773">
        <v>7.2</v>
      </c>
      <c r="E191" s="773">
        <v>7.2</v>
      </c>
      <c r="F191" s="773">
        <v>7.6</v>
      </c>
      <c r="G191" s="773">
        <v>11</v>
      </c>
      <c r="H191" s="773">
        <v>26</v>
      </c>
      <c r="I191" s="773">
        <v>44</v>
      </c>
      <c r="J191" s="773">
        <v>66</v>
      </c>
      <c r="K191" s="773">
        <v>77</v>
      </c>
      <c r="L191" s="773">
        <v>65</v>
      </c>
      <c r="M191" s="773">
        <v>72</v>
      </c>
      <c r="N191" s="773">
        <v>84</v>
      </c>
      <c r="O191" s="773">
        <v>90</v>
      </c>
      <c r="P191" s="773">
        <v>100</v>
      </c>
      <c r="Q191" s="773">
        <v>118</v>
      </c>
      <c r="R191" s="773">
        <v>132</v>
      </c>
      <c r="S191" s="773">
        <v>142</v>
      </c>
      <c r="T191" s="773">
        <v>189</v>
      </c>
      <c r="U191" s="773">
        <v>287</v>
      </c>
      <c r="V191" s="773">
        <v>316</v>
      </c>
      <c r="W191" s="59">
        <f>W188</f>
        <v>197</v>
      </c>
      <c r="X191" s="344">
        <f>Y191-W191</f>
        <v>115</v>
      </c>
      <c r="Y191" s="773">
        <v>312</v>
      </c>
      <c r="Z191" s="59">
        <f>Z188</f>
        <v>158</v>
      </c>
      <c r="AA191" s="344">
        <f>AB191-Z191</f>
        <v>183</v>
      </c>
      <c r="AB191" s="1905">
        <f>261+80</f>
        <v>341</v>
      </c>
      <c r="AC191" s="59">
        <f>AC188</f>
        <v>170</v>
      </c>
      <c r="AD191" s="344">
        <f>AE191-AC191</f>
        <v>205</v>
      </c>
      <c r="AE191" s="59">
        <f>SUM(AE188:AE190)</f>
        <v>375</v>
      </c>
      <c r="AF191" s="1314">
        <f>AF188</f>
        <v>210</v>
      </c>
      <c r="AG191" s="344">
        <f>AH191-AF191</f>
        <v>144.38770505944103</v>
      </c>
      <c r="AH191" s="344">
        <f>(AH192*AH193)/AH195*100</f>
        <v>354.38770505944103</v>
      </c>
      <c r="AI191" s="344">
        <f>(AI192*AI193)/AI195*100</f>
        <v>213.06055128332369</v>
      </c>
      <c r="AJ191" s="344">
        <f>AK191-AI191</f>
        <v>146.69812666037765</v>
      </c>
      <c r="AK191" s="344">
        <f>(AK192*AK193)/AK195*100</f>
        <v>359.75867794370134</v>
      </c>
      <c r="AL191" s="344">
        <f>(AL192*AL193)/AL195*100</f>
        <v>225.4939400530902</v>
      </c>
      <c r="AM191" s="344">
        <f>AN191-AL191</f>
        <v>152.61574933236173</v>
      </c>
      <c r="AN191" s="344">
        <f>(AN192*AN193)/AN195*100</f>
        <v>378.10968938545193</v>
      </c>
      <c r="AO191" s="344">
        <f>(AO192*AO193)/AO195*100</f>
        <v>236.29457217288089</v>
      </c>
      <c r="AP191" s="344">
        <f>AQ191-AO191</f>
        <v>160.11325887240221</v>
      </c>
      <c r="AQ191" s="344">
        <f>(AQ192*AQ193)/AQ195*100</f>
        <v>396.4078310452831</v>
      </c>
      <c r="AR191" s="59"/>
    </row>
    <row r="192" spans="1:44" outlineLevel="1">
      <c r="A192" s="537"/>
      <c r="B192" s="537" t="s">
        <v>152</v>
      </c>
      <c r="C192" s="309">
        <f>'P&amp;L'!C118</f>
        <v>8.958000000000002</v>
      </c>
      <c r="D192" s="309">
        <f>'P&amp;L'!F118</f>
        <v>14.131</v>
      </c>
      <c r="E192" s="309">
        <f>'P&amp;L'!I118</f>
        <v>21.355999999999998</v>
      </c>
      <c r="F192" s="309">
        <f>'P&amp;L'!L118</f>
        <v>25.835999999999999</v>
      </c>
      <c r="G192" s="309">
        <f>'P&amp;L'!O118</f>
        <v>40.389000000000003</v>
      </c>
      <c r="H192" s="309">
        <f>'P&amp;L'!R118</f>
        <v>65.134999999999991</v>
      </c>
      <c r="I192" s="309">
        <f>'P&amp;L'!U118</f>
        <v>94.437000000000012</v>
      </c>
      <c r="J192" s="309">
        <f>'P&amp;L'!X118</f>
        <v>118.652</v>
      </c>
      <c r="K192" s="309">
        <f>'P&amp;L'!AA118</f>
        <v>134.39500000000001</v>
      </c>
      <c r="L192" s="309">
        <f>'P&amp;L'!AD118</f>
        <v>104.64099999999999</v>
      </c>
      <c r="M192" s="309">
        <f>'P&amp;L'!AG118</f>
        <v>116.38300000000002</v>
      </c>
      <c r="N192" s="309">
        <f>'P&amp;L'!AJ118</f>
        <v>128.35900000000001</v>
      </c>
      <c r="O192" s="309">
        <f>'P&amp;L'!AM118</f>
        <v>136.51100000000002</v>
      </c>
      <c r="P192" s="309">
        <f>'P&amp;L'!AP118</f>
        <v>152.18099999999998</v>
      </c>
      <c r="Q192" s="309">
        <f>'P&amp;L'!AS118</f>
        <v>205.12603099999998</v>
      </c>
      <c r="R192" s="309">
        <f>'P&amp;L'!AV118</f>
        <v>233.19999999999993</v>
      </c>
      <c r="S192" s="309">
        <f>'P&amp;L'!AY118</f>
        <v>249.8</v>
      </c>
      <c r="T192" s="309">
        <f>'P&amp;L'!BB118</f>
        <v>326.20000000000005</v>
      </c>
      <c r="U192" s="309">
        <f>'P&amp;L'!BE118</f>
        <v>513.9</v>
      </c>
      <c r="V192" s="309">
        <f>'P&amp;L'!BH118</f>
        <v>549</v>
      </c>
      <c r="W192" s="23">
        <f>'P&amp;L'!BI118</f>
        <v>329.9</v>
      </c>
      <c r="X192" s="309">
        <f>'P&amp;L'!BJ118</f>
        <v>194.70000000000005</v>
      </c>
      <c r="Y192" s="309">
        <f>'P&amp;L'!BK118</f>
        <v>524.6</v>
      </c>
      <c r="Z192" s="23">
        <f>'P&amp;L'!BL118</f>
        <v>264.3</v>
      </c>
      <c r="AA192" s="309">
        <f>'P&amp;L'!BM118</f>
        <v>174.49999999999994</v>
      </c>
      <c r="AB192" s="309">
        <f>'P&amp;L'!BN118</f>
        <v>438.79999999999995</v>
      </c>
      <c r="AC192" s="23">
        <f>'P&amp;L'!BO118</f>
        <v>285.50000000000006</v>
      </c>
      <c r="AD192" s="309">
        <f>'P&amp;L'!BP118</f>
        <v>190.59999999999994</v>
      </c>
      <c r="AE192" s="23">
        <f>'P&amp;L'!BQ118</f>
        <v>476.09999999999991</v>
      </c>
      <c r="AF192" s="1299">
        <f>'P&amp;L'!BR118</f>
        <v>305.79999999999995</v>
      </c>
      <c r="AG192" s="309">
        <f>'P&amp;L'!BS118</f>
        <v>197.40283911172125</v>
      </c>
      <c r="AH192" s="309">
        <f>'P&amp;L'!BT118</f>
        <v>503.20283911172118</v>
      </c>
      <c r="AI192" s="309">
        <f>'P&amp;L'!BU118</f>
        <v>310.59677687813917</v>
      </c>
      <c r="AJ192" s="309">
        <f>'P&amp;L'!BV118</f>
        <v>200.23242388655899</v>
      </c>
      <c r="AK192" s="309">
        <f>'P&amp;L'!BW118</f>
        <v>510.82920076469816</v>
      </c>
      <c r="AL192" s="309">
        <f>'P&amp;L'!BX118</f>
        <v>328.72200209839599</v>
      </c>
      <c r="AM192" s="309">
        <f>'P&amp;L'!BY118</f>
        <v>208.16420043647273</v>
      </c>
      <c r="AN192" s="309">
        <f>'P&amp;L'!BZ118</f>
        <v>536.88620253486874</v>
      </c>
      <c r="AO192" s="309">
        <f>'P&amp;L'!CA118</f>
        <v>344.46701685803851</v>
      </c>
      <c r="AP192" s="309">
        <f>'P&amp;L'!CB118</f>
        <v>218.40111648944438</v>
      </c>
      <c r="AQ192" s="309">
        <f>'P&amp;L'!CC118</f>
        <v>562.86813334748297</v>
      </c>
      <c r="AR192" s="23"/>
    </row>
    <row r="193" spans="1:44" outlineLevel="1">
      <c r="A193" s="537"/>
      <c r="B193" s="537" t="s">
        <v>153</v>
      </c>
      <c r="C193" s="439">
        <f t="shared" ref="C193:J193" si="551">(C191*C195/100)/C192</f>
        <v>0</v>
      </c>
      <c r="D193" s="439">
        <f t="shared" si="551"/>
        <v>0.52201655933762647</v>
      </c>
      <c r="E193" s="439">
        <f t="shared" si="551"/>
        <v>0.34671324218018357</v>
      </c>
      <c r="F193" s="439">
        <f t="shared" si="551"/>
        <v>0.30435887908344944</v>
      </c>
      <c r="G193" s="439">
        <f t="shared" si="551"/>
        <v>0.28495852831216417</v>
      </c>
      <c r="H193" s="439">
        <f t="shared" si="551"/>
        <v>0.42266216319950878</v>
      </c>
      <c r="I193" s="439">
        <f t="shared" si="551"/>
        <v>0.49968267776401193</v>
      </c>
      <c r="J193" s="439">
        <f t="shared" si="551"/>
        <v>0.60266739220577825</v>
      </c>
      <c r="K193" s="439">
        <f t="shared" ref="K193:U193" si="552">(K191*K195/100)/K192</f>
        <v>0.56452016451504883</v>
      </c>
      <c r="L193" s="439">
        <f t="shared" si="552"/>
        <v>0.61403195640332187</v>
      </c>
      <c r="M193" s="439">
        <f t="shared" si="552"/>
        <v>0.61213461141231951</v>
      </c>
      <c r="N193" s="439">
        <f t="shared" si="552"/>
        <v>0.64752560833287887</v>
      </c>
      <c r="O193" s="439">
        <f t="shared" si="552"/>
        <v>0.65262807319556648</v>
      </c>
      <c r="P193" s="439">
        <f t="shared" si="552"/>
        <v>0.65019489292355825</v>
      </c>
      <c r="Q193" s="439">
        <f t="shared" si="552"/>
        <v>0.65821609710763629</v>
      </c>
      <c r="R193" s="439">
        <f t="shared" si="552"/>
        <v>0.65028323773584917</v>
      </c>
      <c r="S193" s="439">
        <f t="shared" si="552"/>
        <v>0.65306000096076855</v>
      </c>
      <c r="T193" s="439">
        <f t="shared" si="552"/>
        <v>0.66563327124463501</v>
      </c>
      <c r="U193" s="439">
        <f t="shared" si="552"/>
        <v>0.64159423553220474</v>
      </c>
      <c r="V193" s="439">
        <f>(V191*V195/100)/V192</f>
        <v>0.62931763198542801</v>
      </c>
      <c r="W193" s="48">
        <f>(W191*W195/100)/W192</f>
        <v>0.65288858008487416</v>
      </c>
      <c r="X193" s="439">
        <f t="shared" ref="X193" si="553">(X191*X195/100)/X192</f>
        <v>0.64578365767847945</v>
      </c>
      <c r="Y193" s="439">
        <f>(Y191*Y195/100)/Y192</f>
        <v>0.65025165977887911</v>
      </c>
      <c r="Z193" s="48">
        <f>(Z191*Z195/100)/Z192</f>
        <v>0.65360457805524019</v>
      </c>
      <c r="AA193" s="439">
        <f t="shared" ref="AA193" si="554">(AA191*AA195/100)/AA192</f>
        <v>1.1465970500286535</v>
      </c>
      <c r="AB193" s="439">
        <f>(AB191*AB195/100)/AB192</f>
        <v>0.84965559528258894</v>
      </c>
      <c r="AC193" s="48">
        <f>(AC191*AC195/100)/AC192</f>
        <v>0.65102545604203144</v>
      </c>
      <c r="AD193" s="439">
        <f t="shared" ref="AD193" si="555">(AD191*AD195/100)/AD192</f>
        <v>1.1759426078174191</v>
      </c>
      <c r="AE193" s="439">
        <f>(AE191*AE195/100)/AE192</f>
        <v>0.86116872243226228</v>
      </c>
      <c r="AF193" s="1541">
        <f>(AF191*AF195/100)/AF192</f>
        <v>0.75058862001308058</v>
      </c>
      <c r="AG193" s="439">
        <f t="shared" ref="AG193" si="556">(AG191*AG195/100)/AG192</f>
        <v>0.79970899469526269</v>
      </c>
      <c r="AH193" s="930">
        <v>0.77</v>
      </c>
      <c r="AI193" s="930">
        <v>0.75</v>
      </c>
      <c r="AJ193" s="439">
        <f t="shared" ref="AJ193" si="557">(AJ191*AJ195/100)/AJ192</f>
        <v>0.80102362453087095</v>
      </c>
      <c r="AK193" s="930">
        <v>0.77</v>
      </c>
      <c r="AL193" s="930">
        <v>0.75</v>
      </c>
      <c r="AM193" s="439">
        <f t="shared" ref="AM193" si="558">(AM191*AM195/100)/AM192</f>
        <v>0.80158295243938626</v>
      </c>
      <c r="AN193" s="930">
        <f>AK193</f>
        <v>0.77</v>
      </c>
      <c r="AO193" s="930">
        <v>0.75</v>
      </c>
      <c r="AP193" s="439">
        <f t="shared" ref="AP193" si="559">(AP191*AP195/100)/AP192</f>
        <v>0.80154443735407299</v>
      </c>
      <c r="AQ193" s="930">
        <f>AN193</f>
        <v>0.77</v>
      </c>
      <c r="AR193" s="162"/>
    </row>
    <row r="194" spans="1:44" outlineLevel="1">
      <c r="A194" s="537"/>
      <c r="B194" s="537"/>
      <c r="C194" s="858"/>
      <c r="D194" s="858"/>
      <c r="E194" s="858"/>
      <c r="F194" s="858"/>
      <c r="G194" s="858"/>
      <c r="H194" s="858"/>
      <c r="I194" s="858"/>
      <c r="J194" s="858"/>
      <c r="K194" s="858"/>
      <c r="L194" s="858"/>
      <c r="M194" s="858"/>
      <c r="N194" s="858"/>
      <c r="O194" s="858"/>
      <c r="P194" s="858"/>
      <c r="Q194" s="858"/>
      <c r="R194" s="858"/>
      <c r="S194" s="858"/>
      <c r="T194" s="858"/>
      <c r="U194" s="858"/>
      <c r="V194" s="858"/>
      <c r="W194" s="36"/>
      <c r="X194" s="858"/>
      <c r="Y194" s="858"/>
      <c r="Z194" s="36"/>
      <c r="AA194" s="858"/>
      <c r="AB194" s="858"/>
      <c r="AC194" s="36"/>
      <c r="AD194" s="858"/>
      <c r="AE194" s="36"/>
      <c r="AF194" s="1660"/>
      <c r="AG194" s="858"/>
      <c r="AH194" s="858"/>
      <c r="AI194" s="858"/>
      <c r="AJ194" s="858"/>
      <c r="AK194" s="858"/>
      <c r="AL194" s="858"/>
      <c r="AM194" s="858"/>
      <c r="AN194" s="858"/>
      <c r="AO194" s="858"/>
      <c r="AP194" s="858"/>
      <c r="AQ194" s="858"/>
      <c r="AR194" s="36"/>
    </row>
    <row r="195" spans="1:44" outlineLevel="1">
      <c r="A195" s="537"/>
      <c r="B195" s="537" t="s">
        <v>154</v>
      </c>
      <c r="C195" s="858">
        <f>'P&amp;L'!C107</f>
        <v>102.453</v>
      </c>
      <c r="D195" s="858">
        <f>'P&amp;L'!F107</f>
        <v>102.453</v>
      </c>
      <c r="E195" s="858">
        <f>'P&amp;L'!I107</f>
        <v>102.839</v>
      </c>
      <c r="F195" s="858">
        <f>'P&amp;L'!L107</f>
        <v>103.46599999999999</v>
      </c>
      <c r="G195" s="858">
        <f>'P&amp;L'!O107</f>
        <v>104.629</v>
      </c>
      <c r="H195" s="858">
        <f>'P&amp;L'!R107</f>
        <v>105.88500000000001</v>
      </c>
      <c r="I195" s="858">
        <f>'P&amp;L'!U107</f>
        <v>107.246666</v>
      </c>
      <c r="J195" s="858">
        <f>'P&amp;L'!X107</f>
        <v>108.344987</v>
      </c>
      <c r="K195" s="858">
        <f>'P&amp;L'!AA107</f>
        <v>98.530762999999993</v>
      </c>
      <c r="L195" s="858">
        <f>'P&amp;L'!AD107</f>
        <v>98.850643000000005</v>
      </c>
      <c r="M195" s="858">
        <f>'P&amp;L'!AG107</f>
        <v>98.947309000000004</v>
      </c>
      <c r="N195" s="858">
        <f>'P&amp;L'!AJ107</f>
        <v>98.947309000000004</v>
      </c>
      <c r="O195" s="858">
        <f>'P&amp;L'!AM107</f>
        <v>98.989901000000003</v>
      </c>
      <c r="P195" s="858">
        <f>'P&amp;L'!AP107</f>
        <v>98.947309000000004</v>
      </c>
      <c r="Q195" s="858">
        <f>'P&amp;L'!AS107</f>
        <v>114.421403</v>
      </c>
      <c r="R195" s="858">
        <f>'P&amp;L'!AV107</f>
        <v>114.88337199999999</v>
      </c>
      <c r="S195" s="858">
        <f>'P&amp;L'!AY107</f>
        <v>114.88337199999999</v>
      </c>
      <c r="T195" s="858">
        <f>'P&amp;L'!BB107</f>
        <v>114.88337199999999</v>
      </c>
      <c r="U195" s="858">
        <f>'P&amp;L'!BE107</f>
        <v>114.88337199999999</v>
      </c>
      <c r="V195" s="858">
        <f>'P&amp;L'!BH107</f>
        <v>109.33398099999999</v>
      </c>
      <c r="W195" s="36">
        <f>'P&amp;L'!BI107</f>
        <v>109.33398099999999</v>
      </c>
      <c r="X195" s="858">
        <f>'P&amp;L'!BJ107</f>
        <v>109.33398099999999</v>
      </c>
      <c r="Y195" s="858">
        <f>'P&amp;L'!BK107</f>
        <v>109.33398099999999</v>
      </c>
      <c r="Z195" s="36">
        <f>'P&amp;L'!BL107</f>
        <v>109.33398099999999</v>
      </c>
      <c r="AA195" s="858">
        <f>'P&amp;L'!BM107</f>
        <v>109.33398099999999</v>
      </c>
      <c r="AB195" s="858">
        <f>'P&amp;L'!BN107</f>
        <v>109.33398099999999</v>
      </c>
      <c r="AC195" s="36">
        <f>'P&amp;L'!BO107</f>
        <v>109.33398099999999</v>
      </c>
      <c r="AD195" s="858">
        <f>'P&amp;L'!BP107</f>
        <v>109.33398099999999</v>
      </c>
      <c r="AE195" s="36">
        <f>'P&amp;L'!BQ107</f>
        <v>109.33398099999999</v>
      </c>
      <c r="AF195" s="1660">
        <f>'P&amp;L'!BR107</f>
        <v>109.3</v>
      </c>
      <c r="AG195" s="858">
        <f>'P&amp;L'!BS107</f>
        <v>109.33398099999999</v>
      </c>
      <c r="AH195" s="858">
        <f>'P&amp;L'!BT107</f>
        <v>109.33398099999999</v>
      </c>
      <c r="AI195" s="858">
        <f>'P&amp;L'!BU107</f>
        <v>109.33398099999999</v>
      </c>
      <c r="AJ195" s="858">
        <f>'P&amp;L'!BV107</f>
        <v>109.33398099999999</v>
      </c>
      <c r="AK195" s="858">
        <f>'P&amp;L'!BW107</f>
        <v>109.33398099999999</v>
      </c>
      <c r="AL195" s="858">
        <f>'P&amp;L'!BX107</f>
        <v>109.33398099999999</v>
      </c>
      <c r="AM195" s="858">
        <f>'P&amp;L'!BY107</f>
        <v>109.33398099999999</v>
      </c>
      <c r="AN195" s="858">
        <f>'P&amp;L'!BZ107</f>
        <v>109.33398099999999</v>
      </c>
      <c r="AO195" s="858">
        <f>'P&amp;L'!CA107</f>
        <v>109.33398099999999</v>
      </c>
      <c r="AP195" s="858">
        <f>'P&amp;L'!CB107</f>
        <v>109.33398099999999</v>
      </c>
      <c r="AQ195" s="858">
        <f>'P&amp;L'!CC107</f>
        <v>109.33398099999999</v>
      </c>
      <c r="AR195" s="36"/>
    </row>
    <row r="196" spans="1:44" outlineLevel="1">
      <c r="A196" s="537"/>
      <c r="B196" s="537"/>
      <c r="C196" s="858"/>
      <c r="D196" s="858"/>
      <c r="E196" s="858"/>
      <c r="F196" s="858"/>
      <c r="G196" s="858"/>
      <c r="H196" s="858"/>
      <c r="I196" s="858"/>
      <c r="J196" s="858"/>
      <c r="K196" s="858"/>
      <c r="L196" s="896"/>
      <c r="M196" s="858"/>
      <c r="N196" s="858"/>
      <c r="O196" s="858"/>
      <c r="P196" s="858"/>
      <c r="Q196" s="858"/>
      <c r="R196" s="858"/>
      <c r="S196" s="858"/>
      <c r="T196" s="858"/>
      <c r="U196" s="858"/>
      <c r="V196" s="858"/>
      <c r="W196" s="36"/>
      <c r="X196" s="858"/>
      <c r="Y196" s="858"/>
      <c r="Z196" s="36"/>
      <c r="AA196" s="858"/>
      <c r="AB196" s="858"/>
      <c r="AC196" s="858"/>
      <c r="AD196" s="858"/>
      <c r="AE196" s="36"/>
      <c r="AF196" s="1660"/>
      <c r="AG196" s="858"/>
      <c r="AH196" s="858"/>
      <c r="AI196" s="858"/>
      <c r="AJ196" s="858"/>
      <c r="AK196" s="858"/>
      <c r="AL196" s="858"/>
      <c r="AM196" s="858"/>
      <c r="AN196" s="858"/>
      <c r="AO196" s="858"/>
      <c r="AP196" s="858"/>
      <c r="AQ196" s="858"/>
      <c r="AR196" s="36"/>
    </row>
    <row r="197" spans="1:44" outlineLevel="1">
      <c r="A197" s="537"/>
      <c r="B197" s="537"/>
      <c r="C197" s="858"/>
      <c r="D197" s="858"/>
      <c r="E197" s="858"/>
      <c r="F197" s="858"/>
      <c r="G197" s="858"/>
      <c r="H197" s="858"/>
      <c r="I197" s="858"/>
      <c r="J197" s="858"/>
      <c r="K197" s="858"/>
      <c r="L197" s="858"/>
      <c r="M197" s="858"/>
      <c r="N197" s="858"/>
      <c r="O197" s="858"/>
      <c r="P197" s="858"/>
      <c r="Q197" s="858"/>
      <c r="R197" s="858"/>
      <c r="S197" s="858"/>
      <c r="T197" s="858"/>
      <c r="U197" s="858"/>
      <c r="V197" s="858"/>
      <c r="W197" s="36"/>
      <c r="X197" s="858"/>
      <c r="Y197" s="858"/>
      <c r="Z197" s="36"/>
      <c r="AA197" s="858"/>
      <c r="AB197" s="858"/>
      <c r="AC197" s="858"/>
      <c r="AD197" s="858"/>
      <c r="AE197" s="1772"/>
      <c r="AF197" s="1660"/>
      <c r="AG197" s="858"/>
      <c r="AH197" s="858"/>
      <c r="AI197" s="858"/>
      <c r="AJ197" s="858"/>
      <c r="AK197" s="858"/>
      <c r="AL197" s="858"/>
      <c r="AM197" s="858"/>
      <c r="AN197" s="858"/>
      <c r="AO197" s="858"/>
      <c r="AP197" s="858"/>
      <c r="AQ197" s="858"/>
      <c r="AR197" s="36"/>
    </row>
    <row r="198" spans="1:44" outlineLevel="1">
      <c r="A198" s="537"/>
      <c r="B198" s="857" t="s">
        <v>95</v>
      </c>
      <c r="C198" s="897"/>
      <c r="D198" s="897"/>
      <c r="E198" s="897"/>
      <c r="F198" s="897"/>
      <c r="G198" s="897"/>
      <c r="H198" s="897"/>
      <c r="I198" s="897"/>
      <c r="J198" s="897"/>
      <c r="K198" s="897"/>
      <c r="L198" s="897"/>
      <c r="M198" s="897"/>
      <c r="N198" s="897"/>
      <c r="O198" s="897"/>
      <c r="P198" s="897"/>
      <c r="Q198" s="897"/>
      <c r="R198" s="897"/>
      <c r="S198" s="897"/>
      <c r="T198" s="897"/>
      <c r="U198" s="897"/>
      <c r="V198" s="897"/>
      <c r="W198" s="60"/>
      <c r="X198" s="897"/>
      <c r="Y198" s="897"/>
      <c r="Z198" s="60"/>
      <c r="AA198" s="897"/>
      <c r="AB198" s="897"/>
      <c r="AC198" s="897"/>
      <c r="AD198" s="897"/>
      <c r="AE198" s="60"/>
      <c r="AF198" s="1669"/>
      <c r="AG198" s="897"/>
      <c r="AH198" s="897"/>
      <c r="AI198" s="897"/>
      <c r="AJ198" s="897"/>
      <c r="AK198" s="897"/>
      <c r="AL198" s="897"/>
      <c r="AM198" s="897"/>
      <c r="AN198" s="897"/>
      <c r="AO198" s="897"/>
      <c r="AP198" s="897"/>
      <c r="AQ198" s="897"/>
      <c r="AR198" s="60"/>
    </row>
    <row r="199" spans="1:44" outlineLevel="1">
      <c r="A199" s="537"/>
      <c r="B199" s="537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23"/>
      <c r="X199" s="309"/>
      <c r="Y199" s="309"/>
      <c r="Z199" s="23"/>
      <c r="AA199" s="309"/>
      <c r="AB199" s="309"/>
      <c r="AC199" s="309"/>
      <c r="AD199" s="309"/>
      <c r="AE199" s="23"/>
      <c r="AF199" s="1299"/>
      <c r="AG199" s="309"/>
      <c r="AH199" s="309"/>
      <c r="AI199" s="309"/>
      <c r="AJ199" s="309"/>
      <c r="AK199" s="309"/>
      <c r="AL199" s="309"/>
      <c r="AM199" s="309"/>
      <c r="AN199" s="309"/>
      <c r="AO199" s="309"/>
      <c r="AP199" s="309"/>
      <c r="AQ199" s="309"/>
      <c r="AR199" s="23"/>
    </row>
    <row r="200" spans="1:44" outlineLevel="1">
      <c r="A200" s="537"/>
      <c r="B200" s="844" t="s">
        <v>98</v>
      </c>
      <c r="C200" s="309"/>
      <c r="D200" s="309">
        <f t="shared" ref="D200:N200" si="560">C202</f>
        <v>0</v>
      </c>
      <c r="E200" s="309">
        <f t="shared" si="560"/>
        <v>0</v>
      </c>
      <c r="F200" s="309">
        <f t="shared" si="560"/>
        <v>3.6720000000000002</v>
      </c>
      <c r="G200" s="309">
        <f t="shared" si="560"/>
        <v>4.7050000000000001</v>
      </c>
      <c r="H200" s="309">
        <f t="shared" si="560"/>
        <v>5.6920000000000002</v>
      </c>
      <c r="I200" s="309">
        <f t="shared" si="560"/>
        <v>0</v>
      </c>
      <c r="J200" s="309">
        <f t="shared" si="560"/>
        <v>0</v>
      </c>
      <c r="K200" s="309">
        <f>J200</f>
        <v>0</v>
      </c>
      <c r="L200" s="309">
        <f t="shared" si="560"/>
        <v>0</v>
      </c>
      <c r="M200" s="309">
        <f t="shared" si="560"/>
        <v>0</v>
      </c>
      <c r="N200" s="309">
        <f t="shared" si="560"/>
        <v>0.48299999999999998</v>
      </c>
      <c r="O200" s="309">
        <f t="shared" ref="O200:V200" si="561">N202</f>
        <v>0</v>
      </c>
      <c r="P200" s="309">
        <f t="shared" si="561"/>
        <v>0</v>
      </c>
      <c r="Q200" s="309">
        <f t="shared" si="561"/>
        <v>0</v>
      </c>
      <c r="R200" s="309">
        <f t="shared" si="561"/>
        <v>0</v>
      </c>
      <c r="S200" s="309">
        <f t="shared" si="561"/>
        <v>0</v>
      </c>
      <c r="T200" s="309">
        <f t="shared" si="561"/>
        <v>0</v>
      </c>
      <c r="U200" s="309">
        <f t="shared" si="561"/>
        <v>0</v>
      </c>
      <c r="V200" s="309">
        <f t="shared" si="561"/>
        <v>0</v>
      </c>
      <c r="W200" s="23">
        <f>V202</f>
        <v>0</v>
      </c>
      <c r="X200" s="309">
        <f>W202</f>
        <v>0</v>
      </c>
      <c r="Y200" s="309">
        <f>V202</f>
        <v>0</v>
      </c>
      <c r="Z200" s="23">
        <f>Y202</f>
        <v>0</v>
      </c>
      <c r="AA200" s="309">
        <f>Z202</f>
        <v>0</v>
      </c>
      <c r="AB200" s="309">
        <f>Y202</f>
        <v>0</v>
      </c>
      <c r="AC200" s="23">
        <f>AB202</f>
        <v>0</v>
      </c>
      <c r="AD200" s="309">
        <f>AC202</f>
        <v>5.3</v>
      </c>
      <c r="AE200" s="23">
        <f>AB202</f>
        <v>0</v>
      </c>
      <c r="AF200" s="1299">
        <f>AE202</f>
        <v>5.2</v>
      </c>
      <c r="AG200" s="309">
        <f>AF202</f>
        <v>5.3</v>
      </c>
      <c r="AH200" s="309">
        <f>AE202</f>
        <v>5.2</v>
      </c>
      <c r="AI200" s="309">
        <f>AH202</f>
        <v>5.7667909185082857</v>
      </c>
      <c r="AJ200" s="309">
        <f>AI202</f>
        <v>6.0732159185082857</v>
      </c>
      <c r="AK200" s="309">
        <f>AH202</f>
        <v>5.7667909185082857</v>
      </c>
      <c r="AL200" s="309">
        <f>AK202</f>
        <v>6.350585564571821</v>
      </c>
      <c r="AM200" s="309">
        <f>AL202</f>
        <v>6.6662033145718214</v>
      </c>
      <c r="AN200" s="309">
        <f>AK202</f>
        <v>6.350585564571821</v>
      </c>
      <c r="AO200" s="309">
        <f>AN202</f>
        <v>6.9518940500172635</v>
      </c>
      <c r="AP200" s="309">
        <f>AO202</f>
        <v>7.2769803325172635</v>
      </c>
      <c r="AQ200" s="309">
        <f>AN202</f>
        <v>6.9518940500172635</v>
      </c>
      <c r="AR200" s="23"/>
    </row>
    <row r="201" spans="1:44" outlineLevel="1">
      <c r="A201" s="537"/>
      <c r="B201" s="844" t="s">
        <v>155</v>
      </c>
      <c r="C201" s="309"/>
      <c r="D201" s="309">
        <f t="shared" ref="D201:N201" si="562">D202-D200</f>
        <v>0</v>
      </c>
      <c r="E201" s="309">
        <f t="shared" si="562"/>
        <v>3.6720000000000002</v>
      </c>
      <c r="F201" s="309">
        <f t="shared" si="562"/>
        <v>1.0329999999999999</v>
      </c>
      <c r="G201" s="309">
        <f t="shared" si="562"/>
        <v>0.9870000000000001</v>
      </c>
      <c r="H201" s="309">
        <f t="shared" si="562"/>
        <v>-5.6920000000000002</v>
      </c>
      <c r="I201" s="309">
        <f t="shared" si="562"/>
        <v>0</v>
      </c>
      <c r="J201" s="309">
        <f t="shared" si="562"/>
        <v>0</v>
      </c>
      <c r="K201" s="309">
        <f t="shared" si="562"/>
        <v>0</v>
      </c>
      <c r="L201" s="309">
        <f t="shared" si="562"/>
        <v>0</v>
      </c>
      <c r="M201" s="309">
        <f t="shared" si="562"/>
        <v>0.48299999999999998</v>
      </c>
      <c r="N201" s="309">
        <f t="shared" si="562"/>
        <v>-0.48299999999999998</v>
      </c>
      <c r="O201" s="309">
        <f>-'P&amp;L'!AM86</f>
        <v>0</v>
      </c>
      <c r="P201" s="309">
        <f>-'P&amp;L'!AP86</f>
        <v>0</v>
      </c>
      <c r="Q201" s="309">
        <f>-'P&amp;L'!AS86</f>
        <v>0</v>
      </c>
      <c r="R201" s="309">
        <f>-'P&amp;L'!AV86</f>
        <v>0</v>
      </c>
      <c r="S201" s="309">
        <f>-'P&amp;L'!AY86</f>
        <v>0</v>
      </c>
      <c r="T201" s="309">
        <f>-'P&amp;L'!BB86</f>
        <v>0</v>
      </c>
      <c r="U201" s="309">
        <f>-'P&amp;L'!BE86</f>
        <v>0</v>
      </c>
      <c r="V201" s="309">
        <f>-'P&amp;L'!BH86</f>
        <v>0</v>
      </c>
      <c r="W201" s="23">
        <f>-'P&amp;L'!BI86</f>
        <v>0</v>
      </c>
      <c r="X201" s="309">
        <f>-'P&amp;L'!BJ86</f>
        <v>0</v>
      </c>
      <c r="Y201" s="309">
        <f>-'P&amp;L'!BK86</f>
        <v>0</v>
      </c>
      <c r="Z201" s="23">
        <f>-'P&amp;L'!BL86</f>
        <v>0</v>
      </c>
      <c r="AA201" s="309">
        <f>-'P&amp;L'!BM86</f>
        <v>0</v>
      </c>
      <c r="AB201" s="309">
        <f>-'P&amp;L'!BN86</f>
        <v>0</v>
      </c>
      <c r="AC201" s="23">
        <f>+AC202+AC200</f>
        <v>5.3</v>
      </c>
      <c r="AD201" s="309">
        <f>-'P&amp;L'!BP86</f>
        <v>0.4</v>
      </c>
      <c r="AE201" s="23">
        <f>-'P&amp;L'!BQ86</f>
        <v>0.4</v>
      </c>
      <c r="AF201" s="1299">
        <f>+AF202+AF200</f>
        <v>10.5</v>
      </c>
      <c r="AG201" s="309">
        <f>-'P&amp;L'!BS86</f>
        <v>0.46679091850828558</v>
      </c>
      <c r="AH201" s="309">
        <f>-'P&amp;L'!BT86</f>
        <v>0.56679091850828556</v>
      </c>
      <c r="AI201" s="309">
        <f>-'P&amp;L'!BU86</f>
        <v>0.30642499999999973</v>
      </c>
      <c r="AJ201" s="309">
        <f>-'P&amp;L'!BV86</f>
        <v>0.2773696460635352</v>
      </c>
      <c r="AK201" s="309">
        <f>-'P&amp;L'!BW86</f>
        <v>0.58379464606353493</v>
      </c>
      <c r="AL201" s="309">
        <f>-'P&amp;L'!BX86</f>
        <v>0.31561775000000036</v>
      </c>
      <c r="AM201" s="309">
        <f>-'P&amp;L'!BY86</f>
        <v>0.28569073544544221</v>
      </c>
      <c r="AN201" s="309">
        <f>-'P&amp;L'!BZ86</f>
        <v>0.60130848544544258</v>
      </c>
      <c r="AO201" s="309">
        <f>-'P&amp;L'!CA86</f>
        <v>0.32508628250000016</v>
      </c>
      <c r="AP201" s="309">
        <f>-'P&amp;L'!CB86</f>
        <v>0.29426145750880495</v>
      </c>
      <c r="AQ201" s="309">
        <f>-'P&amp;L'!CC86</f>
        <v>0.6193477400088051</v>
      </c>
      <c r="AR201" s="23"/>
    </row>
    <row r="202" spans="1:44" outlineLevel="1">
      <c r="A202" s="537"/>
      <c r="B202" s="867" t="s">
        <v>118</v>
      </c>
      <c r="C202" s="895">
        <f t="shared" ref="C202:AK202" si="563">C45</f>
        <v>0</v>
      </c>
      <c r="D202" s="895">
        <f t="shared" si="563"/>
        <v>0</v>
      </c>
      <c r="E202" s="895">
        <f t="shared" si="563"/>
        <v>3.6720000000000002</v>
      </c>
      <c r="F202" s="895">
        <f t="shared" si="563"/>
        <v>4.7050000000000001</v>
      </c>
      <c r="G202" s="895">
        <f t="shared" si="563"/>
        <v>5.6920000000000002</v>
      </c>
      <c r="H202" s="895">
        <f t="shared" si="563"/>
        <v>0</v>
      </c>
      <c r="I202" s="895">
        <f t="shared" si="563"/>
        <v>0</v>
      </c>
      <c r="J202" s="895">
        <f t="shared" si="563"/>
        <v>0</v>
      </c>
      <c r="K202" s="895">
        <f t="shared" si="563"/>
        <v>0</v>
      </c>
      <c r="L202" s="895">
        <f t="shared" si="563"/>
        <v>0</v>
      </c>
      <c r="M202" s="895">
        <f t="shared" si="563"/>
        <v>0.48299999999999998</v>
      </c>
      <c r="N202" s="895">
        <f t="shared" si="563"/>
        <v>0</v>
      </c>
      <c r="O202" s="895">
        <f t="shared" si="563"/>
        <v>0</v>
      </c>
      <c r="P202" s="895">
        <f t="shared" si="563"/>
        <v>0</v>
      </c>
      <c r="Q202" s="895">
        <f t="shared" si="563"/>
        <v>0</v>
      </c>
      <c r="R202" s="895">
        <f t="shared" si="563"/>
        <v>0</v>
      </c>
      <c r="S202" s="895">
        <f t="shared" si="563"/>
        <v>0</v>
      </c>
      <c r="T202" s="895">
        <f t="shared" si="563"/>
        <v>0</v>
      </c>
      <c r="U202" s="895">
        <f t="shared" si="563"/>
        <v>0</v>
      </c>
      <c r="V202" s="895">
        <f t="shared" si="563"/>
        <v>0</v>
      </c>
      <c r="W202" s="153">
        <f t="shared" si="563"/>
        <v>0</v>
      </c>
      <c r="X202" s="895">
        <f t="shared" si="563"/>
        <v>0</v>
      </c>
      <c r="Y202" s="895">
        <f t="shared" si="563"/>
        <v>0</v>
      </c>
      <c r="Z202" s="153">
        <f t="shared" ref="Z202:AB202" si="564">Z45</f>
        <v>0</v>
      </c>
      <c r="AA202" s="895">
        <f t="shared" si="564"/>
        <v>0</v>
      </c>
      <c r="AB202" s="895">
        <f t="shared" si="564"/>
        <v>0</v>
      </c>
      <c r="AC202" s="153">
        <f t="shared" si="563"/>
        <v>5.3</v>
      </c>
      <c r="AD202" s="895">
        <f t="shared" si="563"/>
        <v>5.2</v>
      </c>
      <c r="AE202" s="153">
        <f t="shared" si="563"/>
        <v>5.2</v>
      </c>
      <c r="AF202" s="1578">
        <f t="shared" ref="AF202" si="565">AF45</f>
        <v>5.3</v>
      </c>
      <c r="AG202" s="895">
        <f t="shared" si="563"/>
        <v>5.7667909185082857</v>
      </c>
      <c r="AH202" s="895">
        <f t="shared" si="563"/>
        <v>5.7667909185082857</v>
      </c>
      <c r="AI202" s="895">
        <f t="shared" si="563"/>
        <v>6.0732159185082857</v>
      </c>
      <c r="AJ202" s="895">
        <f t="shared" si="563"/>
        <v>6.350585564571821</v>
      </c>
      <c r="AK202" s="895">
        <f t="shared" si="563"/>
        <v>6.350585564571821</v>
      </c>
      <c r="AL202" s="895">
        <f t="shared" ref="AL202:AN202" si="566">AL45</f>
        <v>6.6662033145718214</v>
      </c>
      <c r="AM202" s="895">
        <f t="shared" si="566"/>
        <v>6.9518940500172635</v>
      </c>
      <c r="AN202" s="895">
        <f t="shared" si="566"/>
        <v>6.9518940500172635</v>
      </c>
      <c r="AO202" s="895">
        <f t="shared" ref="AO202:AQ202" si="567">AO45</f>
        <v>7.2769803325172635</v>
      </c>
      <c r="AP202" s="895">
        <f t="shared" si="567"/>
        <v>7.5712417900260682</v>
      </c>
      <c r="AQ202" s="895">
        <f t="shared" si="567"/>
        <v>7.5712417900260682</v>
      </c>
      <c r="AR202" s="153"/>
    </row>
    <row r="203" spans="1:44" outlineLevel="1">
      <c r="A203" s="537"/>
      <c r="B203" s="537"/>
      <c r="C203" s="537"/>
      <c r="D203" s="537"/>
      <c r="E203" s="537"/>
      <c r="F203" s="537"/>
      <c r="G203" s="537"/>
      <c r="H203" s="537"/>
      <c r="I203" s="537"/>
      <c r="J203" s="537"/>
      <c r="K203" s="537"/>
      <c r="L203" s="537"/>
      <c r="M203" s="537"/>
      <c r="N203" s="537"/>
      <c r="O203" s="537"/>
      <c r="P203" s="537"/>
      <c r="Q203" s="537"/>
      <c r="R203" s="537"/>
      <c r="S203" s="537"/>
      <c r="T203" s="537"/>
      <c r="U203" s="537"/>
      <c r="V203" s="537"/>
      <c r="W203" s="13"/>
      <c r="X203" s="537"/>
      <c r="Y203" s="537"/>
      <c r="Z203" s="13"/>
      <c r="AA203" s="537"/>
      <c r="AB203" s="537"/>
      <c r="AC203" s="537"/>
      <c r="AD203" s="537"/>
      <c r="AE203" s="13"/>
      <c r="AF203" s="1302"/>
      <c r="AG203" s="537"/>
      <c r="AH203" s="537"/>
      <c r="AI203" s="537"/>
      <c r="AJ203" s="537"/>
      <c r="AK203" s="537"/>
      <c r="AL203" s="537"/>
      <c r="AM203" s="537"/>
      <c r="AN203" s="537"/>
      <c r="AO203" s="537"/>
      <c r="AP203" s="537"/>
      <c r="AQ203" s="537"/>
      <c r="AR203" s="13"/>
    </row>
    <row r="204" spans="1:44" outlineLevel="1">
      <c r="A204" s="537"/>
      <c r="B204" s="537"/>
      <c r="C204" s="537"/>
      <c r="D204" s="537"/>
      <c r="E204" s="537"/>
      <c r="F204" s="537"/>
      <c r="G204" s="537"/>
      <c r="H204" s="537"/>
      <c r="I204" s="537"/>
      <c r="J204" s="537"/>
      <c r="K204" s="537"/>
      <c r="L204" s="537"/>
      <c r="M204" s="537"/>
      <c r="N204" s="537"/>
      <c r="O204" s="537"/>
      <c r="P204" s="537"/>
      <c r="Q204" s="537"/>
      <c r="R204" s="537"/>
      <c r="S204" s="537"/>
      <c r="T204" s="537"/>
      <c r="U204" s="537"/>
      <c r="V204" s="537"/>
      <c r="W204" s="13"/>
      <c r="X204" s="537"/>
      <c r="Y204" s="537"/>
      <c r="Z204" s="13"/>
      <c r="AA204" s="537"/>
      <c r="AB204" s="537"/>
      <c r="AC204" s="537"/>
      <c r="AD204" s="537"/>
      <c r="AE204" s="13"/>
      <c r="AF204" s="1302"/>
      <c r="AG204" s="537"/>
      <c r="AH204" s="537"/>
      <c r="AI204" s="537"/>
      <c r="AJ204" s="537"/>
      <c r="AK204" s="537"/>
      <c r="AL204" s="537"/>
      <c r="AM204" s="537"/>
      <c r="AN204" s="537"/>
      <c r="AO204" s="537"/>
      <c r="AP204" s="537"/>
      <c r="AQ204" s="537"/>
      <c r="AR204" s="13"/>
    </row>
    <row r="205" spans="1:44" outlineLevel="1">
      <c r="A205" s="537"/>
      <c r="B205" s="857" t="s">
        <v>156</v>
      </c>
      <c r="C205" s="537"/>
      <c r="D205" s="537"/>
      <c r="E205" s="537"/>
      <c r="F205" s="537"/>
      <c r="G205" s="537"/>
      <c r="H205" s="537"/>
      <c r="I205" s="537"/>
      <c r="J205" s="537"/>
      <c r="K205" s="537"/>
      <c r="L205" s="537"/>
      <c r="M205" s="537"/>
      <c r="N205" s="537"/>
      <c r="O205" s="537"/>
      <c r="P205" s="537"/>
      <c r="Q205" s="537"/>
      <c r="R205" s="537"/>
      <c r="S205" s="537"/>
      <c r="T205" s="537"/>
      <c r="U205" s="537"/>
      <c r="V205" s="537"/>
      <c r="W205" s="13"/>
      <c r="X205" s="537"/>
      <c r="Y205" s="537"/>
      <c r="Z205" s="13"/>
      <c r="AA205" s="537"/>
      <c r="AB205" s="537"/>
      <c r="AC205" s="537"/>
      <c r="AD205" s="537"/>
      <c r="AE205" s="13"/>
      <c r="AF205" s="1302"/>
      <c r="AG205" s="537"/>
      <c r="AH205" s="537"/>
      <c r="AI205" s="537"/>
      <c r="AJ205" s="537"/>
      <c r="AK205" s="537"/>
      <c r="AL205" s="537"/>
      <c r="AM205" s="537"/>
      <c r="AN205" s="537"/>
      <c r="AO205" s="537"/>
      <c r="AP205" s="537"/>
      <c r="AQ205" s="537"/>
      <c r="AR205" s="13"/>
    </row>
    <row r="206" spans="1:44" outlineLevel="1">
      <c r="A206" s="537"/>
      <c r="B206" s="537"/>
      <c r="C206" s="537"/>
      <c r="D206" s="537"/>
      <c r="E206" s="537"/>
      <c r="F206" s="537"/>
      <c r="G206" s="537"/>
      <c r="H206" s="537"/>
      <c r="I206" s="537"/>
      <c r="J206" s="537"/>
      <c r="K206" s="537"/>
      <c r="L206" s="537"/>
      <c r="M206" s="537"/>
      <c r="N206" s="537"/>
      <c r="O206" s="537"/>
      <c r="P206" s="537"/>
      <c r="Q206" s="537"/>
      <c r="R206" s="537"/>
      <c r="S206" s="537"/>
      <c r="T206" s="537"/>
      <c r="U206" s="537"/>
      <c r="V206" s="537"/>
      <c r="W206" s="13"/>
      <c r="X206" s="537"/>
      <c r="Y206" s="537"/>
      <c r="Z206" s="13"/>
      <c r="AA206" s="537"/>
      <c r="AB206" s="537"/>
      <c r="AC206" s="537"/>
      <c r="AD206" s="537"/>
      <c r="AE206" s="13"/>
      <c r="AF206" s="1302"/>
      <c r="AG206" s="537"/>
      <c r="AH206" s="537"/>
      <c r="AI206" s="537"/>
      <c r="AJ206" s="537"/>
      <c r="AK206" s="537"/>
      <c r="AL206" s="537"/>
      <c r="AM206" s="537"/>
      <c r="AN206" s="537"/>
      <c r="AO206" s="537"/>
      <c r="AP206" s="537"/>
      <c r="AQ206" s="537"/>
      <c r="AR206" s="13"/>
    </row>
    <row r="207" spans="1:44" outlineLevel="1">
      <c r="A207" s="537"/>
      <c r="B207" s="537" t="s">
        <v>157</v>
      </c>
      <c r="C207" s="848"/>
      <c r="D207" s="848">
        <f t="shared" ref="D207:AC207" si="568">D40-C40</f>
        <v>10.295999999999999</v>
      </c>
      <c r="E207" s="848">
        <f t="shared" si="568"/>
        <v>0.23199999999999932</v>
      </c>
      <c r="F207" s="848">
        <f t="shared" si="568"/>
        <v>0.60800000000000409</v>
      </c>
      <c r="G207" s="848">
        <f t="shared" si="568"/>
        <v>2.8470000000000013</v>
      </c>
      <c r="H207" s="848">
        <f t="shared" si="568"/>
        <v>3.6609999999999943</v>
      </c>
      <c r="I207" s="848">
        <f t="shared" si="568"/>
        <v>5.2390000000000043</v>
      </c>
      <c r="J207" s="848">
        <f t="shared" si="568"/>
        <v>8.7950000000000017</v>
      </c>
      <c r="K207" s="848">
        <f t="shared" si="568"/>
        <v>4.6280000000000001</v>
      </c>
      <c r="L207" s="848">
        <f t="shared" si="568"/>
        <v>3.4859999999999971</v>
      </c>
      <c r="M207" s="848">
        <f t="shared" si="568"/>
        <v>1.0820000000000007</v>
      </c>
      <c r="N207" s="848">
        <f t="shared" si="568"/>
        <v>-4.3909999999999982</v>
      </c>
      <c r="O207" s="848">
        <f t="shared" si="568"/>
        <v>-1.8620000000000019</v>
      </c>
      <c r="P207" s="848">
        <f t="shared" si="568"/>
        <v>-7.2569999999999979</v>
      </c>
      <c r="Q207" s="848">
        <f t="shared" si="568"/>
        <v>389.43599999999998</v>
      </c>
      <c r="R207" s="848">
        <f t="shared" si="568"/>
        <v>3</v>
      </c>
      <c r="S207" s="848">
        <f t="shared" si="568"/>
        <v>-6.8999999999999773</v>
      </c>
      <c r="T207" s="848">
        <f t="shared" si="568"/>
        <v>-31.600000000000023</v>
      </c>
      <c r="U207" s="848">
        <f t="shared" si="568"/>
        <v>-10.199999999999989</v>
      </c>
      <c r="V207" s="891">
        <f t="shared" si="568"/>
        <v>-46.199999999999989</v>
      </c>
      <c r="W207" s="53">
        <f t="shared" si="568"/>
        <v>-17.5</v>
      </c>
      <c r="X207" s="848">
        <f t="shared" si="568"/>
        <v>0</v>
      </c>
      <c r="Y207" s="891">
        <f>Y40-V40</f>
        <v>-17.5</v>
      </c>
      <c r="Z207" s="53">
        <f t="shared" si="568"/>
        <v>-17</v>
      </c>
      <c r="AA207" s="848">
        <f t="shared" si="568"/>
        <v>0</v>
      </c>
      <c r="AB207" s="891">
        <f>AB40-Y40</f>
        <v>-17</v>
      </c>
      <c r="AC207" s="53">
        <f t="shared" si="568"/>
        <v>-20.900000000000034</v>
      </c>
      <c r="AD207" s="848">
        <f t="shared" ref="AD207:AE208" si="569">AD40-AA40</f>
        <v>-20.900000000000034</v>
      </c>
      <c r="AE207" s="891">
        <f>AE40-AB40</f>
        <v>-20.900000000000034</v>
      </c>
      <c r="AF207" s="1553">
        <f t="shared" ref="AF207:AF208" si="570">AF40-AE40</f>
        <v>-26.899999999999977</v>
      </c>
      <c r="AG207" s="848">
        <f t="shared" ref="AG207:AK208" si="571">AG40-AD40</f>
        <v>-26.899999999999977</v>
      </c>
      <c r="AH207" s="848">
        <f t="shared" si="571"/>
        <v>-26.899999999999977</v>
      </c>
      <c r="AI207" s="848">
        <f t="shared" si="571"/>
        <v>0</v>
      </c>
      <c r="AJ207" s="848">
        <f t="shared" si="571"/>
        <v>0</v>
      </c>
      <c r="AK207" s="848">
        <f t="shared" si="571"/>
        <v>0</v>
      </c>
      <c r="AL207" s="848">
        <f t="shared" ref="AL207:AL208" si="572">AL40-AI40</f>
        <v>0</v>
      </c>
      <c r="AM207" s="848">
        <f t="shared" ref="AM207:AM208" si="573">AM40-AJ40</f>
        <v>0</v>
      </c>
      <c r="AN207" s="848">
        <f t="shared" ref="AN207:AN208" si="574">AN40-AK40</f>
        <v>0</v>
      </c>
      <c r="AO207" s="848">
        <f t="shared" ref="AO207:AO208" si="575">AO40-AL40</f>
        <v>0</v>
      </c>
      <c r="AP207" s="848">
        <f t="shared" ref="AP207:AP208" si="576">AP40-AM40</f>
        <v>0</v>
      </c>
      <c r="AQ207" s="848">
        <f t="shared" ref="AQ207:AQ208" si="577">AQ40-AN40</f>
        <v>0</v>
      </c>
      <c r="AR207" s="219"/>
    </row>
    <row r="208" spans="1:44">
      <c r="A208" s="537"/>
      <c r="B208" s="537" t="s">
        <v>158</v>
      </c>
      <c r="C208" s="848"/>
      <c r="D208" s="848">
        <f t="shared" ref="D208:AC208" si="578">D41-C41</f>
        <v>0</v>
      </c>
      <c r="E208" s="848">
        <f t="shared" si="578"/>
        <v>0.64400000000000002</v>
      </c>
      <c r="F208" s="848">
        <f t="shared" si="578"/>
        <v>1.3919999999999999</v>
      </c>
      <c r="G208" s="848">
        <f t="shared" si="578"/>
        <v>0.30799999999999983</v>
      </c>
      <c r="H208" s="848">
        <f t="shared" si="578"/>
        <v>-1.0529999999999999</v>
      </c>
      <c r="I208" s="848">
        <f t="shared" si="578"/>
        <v>-1.0979999999999999</v>
      </c>
      <c r="J208" s="848">
        <f t="shared" si="578"/>
        <v>3.68</v>
      </c>
      <c r="K208" s="848">
        <f t="shared" si="578"/>
        <v>0.15499999999999936</v>
      </c>
      <c r="L208" s="848">
        <f t="shared" si="578"/>
        <v>1.0920000000000005</v>
      </c>
      <c r="M208" s="848">
        <f t="shared" si="578"/>
        <v>6.6420000000000003</v>
      </c>
      <c r="N208" s="848">
        <f t="shared" si="578"/>
        <v>4.5030000000000001</v>
      </c>
      <c r="O208" s="848">
        <f t="shared" si="578"/>
        <v>1.3709999999999987</v>
      </c>
      <c r="P208" s="848">
        <f t="shared" si="578"/>
        <v>9.5040000000000013</v>
      </c>
      <c r="Q208" s="848">
        <f t="shared" si="578"/>
        <v>6.0600000000000023</v>
      </c>
      <c r="R208" s="848">
        <f t="shared" si="578"/>
        <v>9.5</v>
      </c>
      <c r="S208" s="848">
        <f t="shared" si="578"/>
        <v>11</v>
      </c>
      <c r="T208" s="848">
        <f t="shared" si="578"/>
        <v>13.099999999999994</v>
      </c>
      <c r="U208" s="848">
        <f t="shared" si="578"/>
        <v>17</v>
      </c>
      <c r="V208" s="891">
        <f t="shared" si="578"/>
        <v>-61</v>
      </c>
      <c r="W208" s="53">
        <f t="shared" si="578"/>
        <v>-5.5</v>
      </c>
      <c r="X208" s="848">
        <f t="shared" si="578"/>
        <v>8.0999999999999979</v>
      </c>
      <c r="Y208" s="891">
        <f t="shared" ref="Y208:AB208" si="579">Y41-V41</f>
        <v>2.5999999999999979</v>
      </c>
      <c r="Z208" s="53">
        <f t="shared" si="578"/>
        <v>-4.2999999999999972</v>
      </c>
      <c r="AA208" s="848">
        <f t="shared" si="578"/>
        <v>7.3999999999999986</v>
      </c>
      <c r="AB208" s="891">
        <f t="shared" si="579"/>
        <v>3.1000000000000014</v>
      </c>
      <c r="AC208" s="53">
        <f t="shared" si="578"/>
        <v>-20.9</v>
      </c>
      <c r="AD208" s="848">
        <f t="shared" si="569"/>
        <v>-13.6</v>
      </c>
      <c r="AE208" s="891">
        <f t="shared" si="569"/>
        <v>-13.6</v>
      </c>
      <c r="AF208" s="1553">
        <f t="shared" si="570"/>
        <v>-9.516</v>
      </c>
      <c r="AG208" s="848">
        <f t="shared" si="571"/>
        <v>-9.016</v>
      </c>
      <c r="AH208" s="848">
        <f t="shared" si="571"/>
        <v>-9.016</v>
      </c>
      <c r="AI208" s="848">
        <f t="shared" si="571"/>
        <v>0.5</v>
      </c>
      <c r="AJ208" s="848">
        <f t="shared" si="571"/>
        <v>0</v>
      </c>
      <c r="AK208" s="848">
        <f t="shared" si="571"/>
        <v>0</v>
      </c>
      <c r="AL208" s="848">
        <f t="shared" si="572"/>
        <v>0</v>
      </c>
      <c r="AM208" s="848">
        <f t="shared" si="573"/>
        <v>0</v>
      </c>
      <c r="AN208" s="848">
        <f t="shared" si="574"/>
        <v>0</v>
      </c>
      <c r="AO208" s="848">
        <f t="shared" si="575"/>
        <v>0</v>
      </c>
      <c r="AP208" s="848">
        <f t="shared" si="576"/>
        <v>0</v>
      </c>
      <c r="AQ208" s="848">
        <f t="shared" si="577"/>
        <v>0</v>
      </c>
      <c r="AR208" s="219"/>
    </row>
    <row r="209" spans="1:44" outlineLevel="1">
      <c r="A209" s="589"/>
      <c r="B209" s="537"/>
      <c r="C209" s="537"/>
      <c r="D209" s="537"/>
      <c r="E209" s="537"/>
      <c r="F209" s="537"/>
      <c r="G209" s="537"/>
      <c r="H209" s="537"/>
      <c r="I209" s="537"/>
      <c r="J209" s="537"/>
      <c r="K209" s="537"/>
      <c r="L209" s="537"/>
      <c r="M209" s="537"/>
      <c r="N209" s="537"/>
      <c r="O209" s="537"/>
      <c r="P209" s="537"/>
      <c r="Q209" s="537"/>
      <c r="R209" s="537"/>
      <c r="S209" s="537"/>
      <c r="T209" s="537"/>
      <c r="U209" s="537"/>
      <c r="V209" s="537"/>
      <c r="W209" s="13"/>
      <c r="X209" s="537"/>
      <c r="Y209" s="537"/>
      <c r="Z209" s="13"/>
      <c r="AA209" s="537"/>
      <c r="AB209" s="537"/>
      <c r="AC209" s="13"/>
      <c r="AD209" s="537"/>
      <c r="AE209" s="537"/>
      <c r="AF209" s="1654"/>
      <c r="AG209" s="537"/>
      <c r="AH209" s="537"/>
      <c r="AI209" s="537"/>
      <c r="AJ209" s="537"/>
      <c r="AK209" s="537"/>
      <c r="AL209" s="537"/>
      <c r="AM209" s="537"/>
      <c r="AN209" s="537"/>
      <c r="AO209" s="537"/>
      <c r="AP209" s="537"/>
      <c r="AQ209" s="537"/>
      <c r="AR209" s="13"/>
    </row>
    <row r="210" spans="1:44">
      <c r="A210" s="537"/>
      <c r="B210" s="857" t="s">
        <v>159</v>
      </c>
      <c r="C210" s="537"/>
      <c r="D210" s="537"/>
      <c r="E210" s="537"/>
      <c r="F210" s="537"/>
      <c r="G210" s="537"/>
      <c r="H210" s="537"/>
      <c r="I210" s="537"/>
      <c r="J210" s="537"/>
      <c r="K210" s="537"/>
      <c r="L210" s="537"/>
      <c r="M210" s="537"/>
      <c r="N210" s="537"/>
      <c r="O210" s="537"/>
      <c r="P210" s="537"/>
      <c r="Q210" s="537"/>
      <c r="R210" s="537"/>
      <c r="S210" s="537"/>
      <c r="T210" s="537"/>
      <c r="U210" s="537"/>
      <c r="V210" s="537"/>
      <c r="W210" s="13"/>
      <c r="X210" s="537"/>
      <c r="Y210" s="537"/>
      <c r="Z210" s="13"/>
      <c r="AA210" s="537"/>
      <c r="AB210" s="537"/>
      <c r="AC210" s="537"/>
      <c r="AD210" s="537"/>
      <c r="AE210" s="537"/>
      <c r="AF210" s="1302"/>
      <c r="AG210" s="537"/>
      <c r="AH210" s="537"/>
      <c r="AI210" s="537"/>
      <c r="AJ210" s="537"/>
      <c r="AK210" s="537"/>
      <c r="AL210" s="537"/>
      <c r="AM210" s="537"/>
      <c r="AN210" s="537"/>
      <c r="AO210" s="537"/>
      <c r="AP210" s="537"/>
      <c r="AQ210" s="537"/>
      <c r="AR210" s="13"/>
    </row>
    <row r="211" spans="1:44">
      <c r="A211" s="537"/>
      <c r="B211" s="537"/>
      <c r="C211" s="537"/>
      <c r="D211" s="537"/>
      <c r="E211" s="537"/>
      <c r="F211" s="537"/>
      <c r="G211" s="537"/>
      <c r="H211" s="537"/>
      <c r="I211" s="537"/>
      <c r="J211" s="537"/>
      <c r="K211" s="537"/>
      <c r="L211" s="537"/>
      <c r="M211" s="537"/>
      <c r="N211" s="537"/>
      <c r="O211" s="537"/>
      <c r="P211" s="537"/>
      <c r="Q211" s="537"/>
      <c r="R211" s="537"/>
      <c r="S211" s="537"/>
      <c r="T211" s="537"/>
      <c r="U211" s="537"/>
      <c r="V211" s="537"/>
      <c r="W211" s="13"/>
      <c r="X211" s="537"/>
      <c r="Y211" s="537"/>
      <c r="Z211" s="13"/>
      <c r="AA211" s="537"/>
      <c r="AB211" s="537"/>
      <c r="AC211" s="537"/>
      <c r="AD211" s="537"/>
      <c r="AE211" s="537"/>
      <c r="AF211" s="1302"/>
      <c r="AG211" s="537"/>
      <c r="AH211" s="537"/>
      <c r="AI211" s="537"/>
      <c r="AJ211" s="537"/>
      <c r="AK211" s="537"/>
      <c r="AL211" s="537"/>
      <c r="AM211" s="537"/>
      <c r="AN211" s="537"/>
      <c r="AO211" s="537"/>
      <c r="AP211" s="537"/>
      <c r="AQ211" s="537"/>
      <c r="AR211" s="13"/>
    </row>
    <row r="212" spans="1:44">
      <c r="A212" s="537"/>
      <c r="B212" s="537" t="s">
        <v>160</v>
      </c>
      <c r="C212" s="537"/>
      <c r="D212" s="537"/>
      <c r="E212" s="537"/>
      <c r="F212" s="537"/>
      <c r="G212" s="898"/>
      <c r="H212" s="898"/>
      <c r="I212" s="898"/>
      <c r="J212" s="898"/>
      <c r="K212" s="898"/>
      <c r="L212" s="898"/>
      <c r="M212" s="898"/>
      <c r="N212" s="898"/>
      <c r="O212" s="898"/>
      <c r="P212" s="898"/>
      <c r="Q212" s="898"/>
      <c r="R212" s="898"/>
      <c r="S212" s="898"/>
      <c r="T212" s="898"/>
      <c r="U212" s="898"/>
      <c r="V212" s="1159"/>
      <c r="W212" s="1224"/>
      <c r="X212" s="898"/>
      <c r="Y212" s="1159"/>
      <c r="Z212" s="1224"/>
      <c r="AA212" s="898"/>
      <c r="AB212" s="1159"/>
      <c r="AC212" s="1159"/>
      <c r="AD212" s="898"/>
      <c r="AE212" s="1159"/>
      <c r="AF212" s="1416"/>
      <c r="AG212" s="898"/>
      <c r="AH212" s="898"/>
      <c r="AI212" s="898"/>
      <c r="AJ212" s="898"/>
      <c r="AK212" s="898"/>
      <c r="AL212" s="898"/>
      <c r="AM212" s="898"/>
      <c r="AN212" s="898"/>
      <c r="AO212" s="898"/>
      <c r="AP212" s="898"/>
      <c r="AQ212" s="898"/>
      <c r="AR212" s="61"/>
    </row>
    <row r="213" spans="1:44">
      <c r="A213" s="537"/>
      <c r="B213" s="537" t="s">
        <v>161</v>
      </c>
      <c r="C213" s="537"/>
      <c r="D213" s="537"/>
      <c r="E213" s="537"/>
      <c r="F213" s="899"/>
      <c r="G213" s="848"/>
      <c r="H213" s="848"/>
      <c r="I213" s="848"/>
      <c r="J213" s="848"/>
      <c r="K213" s="848"/>
      <c r="L213" s="900"/>
      <c r="M213" s="900">
        <v>0</v>
      </c>
      <c r="N213" s="900">
        <v>0</v>
      </c>
      <c r="O213" s="900">
        <v>0</v>
      </c>
      <c r="P213" s="900">
        <v>0</v>
      </c>
      <c r="Q213" s="900">
        <v>0</v>
      </c>
      <c r="R213" s="900">
        <v>0</v>
      </c>
      <c r="S213" s="900">
        <v>0</v>
      </c>
      <c r="T213" s="900">
        <v>0</v>
      </c>
      <c r="U213" s="900">
        <v>0</v>
      </c>
      <c r="V213" s="890">
        <v>0</v>
      </c>
      <c r="W213" s="56"/>
      <c r="X213" s="900"/>
      <c r="Y213" s="890">
        <v>0</v>
      </c>
      <c r="Z213" s="56"/>
      <c r="AA213" s="900"/>
      <c r="AB213" s="890">
        <v>0</v>
      </c>
      <c r="AC213" s="890"/>
      <c r="AD213" s="900"/>
      <c r="AE213" s="890">
        <v>0</v>
      </c>
      <c r="AF213" s="1415"/>
      <c r="AG213" s="900"/>
      <c r="AH213" s="900">
        <v>0</v>
      </c>
      <c r="AI213" s="900"/>
      <c r="AJ213" s="900"/>
      <c r="AK213" s="900">
        <v>0</v>
      </c>
      <c r="AL213" s="900"/>
      <c r="AM213" s="900"/>
      <c r="AN213" s="900">
        <v>0</v>
      </c>
      <c r="AO213" s="900"/>
      <c r="AP213" s="900"/>
      <c r="AQ213" s="900">
        <v>0</v>
      </c>
      <c r="AR213" s="62"/>
    </row>
    <row r="214" spans="1:44">
      <c r="A214" s="537"/>
      <c r="B214" s="537" t="s">
        <v>162</v>
      </c>
      <c r="C214" s="537"/>
      <c r="D214" s="537"/>
      <c r="E214" s="537"/>
      <c r="F214" s="856"/>
      <c r="G214" s="856"/>
      <c r="H214" s="856"/>
      <c r="I214" s="856"/>
      <c r="J214" s="856"/>
      <c r="K214" s="856"/>
      <c r="L214" s="856">
        <f>L213/L216</f>
        <v>0</v>
      </c>
      <c r="M214" s="856">
        <f>M213/M216</f>
        <v>0</v>
      </c>
      <c r="N214" s="856">
        <f>N213/N216</f>
        <v>0</v>
      </c>
      <c r="O214" s="856">
        <f>O213/O216</f>
        <v>0</v>
      </c>
      <c r="P214" s="856">
        <f>P213/P216</f>
        <v>0</v>
      </c>
      <c r="Q214" s="856"/>
      <c r="R214" s="856"/>
      <c r="S214" s="856"/>
      <c r="T214" s="856"/>
      <c r="U214" s="856"/>
      <c r="V214" s="856"/>
      <c r="W214" s="63"/>
      <c r="X214" s="856"/>
      <c r="Y214" s="856"/>
      <c r="Z214" s="63"/>
      <c r="AA214" s="856"/>
      <c r="AB214" s="856"/>
      <c r="AC214" s="856"/>
      <c r="AD214" s="856"/>
      <c r="AE214" s="856"/>
      <c r="AF214" s="1417"/>
      <c r="AG214" s="856"/>
      <c r="AH214" s="856"/>
      <c r="AI214" s="856"/>
      <c r="AJ214" s="856"/>
      <c r="AK214" s="856"/>
      <c r="AL214" s="856"/>
      <c r="AM214" s="856"/>
      <c r="AN214" s="856"/>
      <c r="AO214" s="856"/>
      <c r="AP214" s="856"/>
      <c r="AQ214" s="856"/>
      <c r="AR214" s="63"/>
    </row>
    <row r="215" spans="1:44">
      <c r="A215" s="537"/>
      <c r="B215" s="537"/>
      <c r="C215" s="537"/>
      <c r="D215" s="537"/>
      <c r="E215" s="537"/>
      <c r="F215" s="537"/>
      <c r="G215" s="537"/>
      <c r="H215" s="537"/>
      <c r="I215" s="537"/>
      <c r="J215" s="537"/>
      <c r="K215" s="537"/>
      <c r="L215" s="537"/>
      <c r="M215" s="537"/>
      <c r="N215" s="537"/>
      <c r="O215" s="537"/>
      <c r="P215" s="537"/>
      <c r="Q215" s="537"/>
      <c r="R215" s="537"/>
      <c r="S215" s="537"/>
      <c r="T215" s="537"/>
      <c r="U215" s="537"/>
      <c r="V215" s="537"/>
      <c r="W215" s="13"/>
      <c r="X215" s="537"/>
      <c r="Y215" s="537"/>
      <c r="Z215" s="13"/>
      <c r="AA215" s="537"/>
      <c r="AB215" s="537"/>
      <c r="AC215" s="537"/>
      <c r="AD215" s="537"/>
      <c r="AE215" s="537"/>
      <c r="AF215" s="1302"/>
      <c r="AG215" s="537"/>
      <c r="AH215" s="537"/>
      <c r="AI215" s="537"/>
      <c r="AJ215" s="537"/>
      <c r="AK215" s="537"/>
      <c r="AL215" s="537"/>
      <c r="AM215" s="537"/>
      <c r="AN215" s="537"/>
      <c r="AO215" s="537"/>
      <c r="AP215" s="537"/>
      <c r="AQ215" s="537"/>
      <c r="AR215" s="13"/>
    </row>
    <row r="216" spans="1:44">
      <c r="A216" s="537"/>
      <c r="B216" s="537" t="s">
        <v>163</v>
      </c>
      <c r="C216" s="537"/>
      <c r="D216" s="537"/>
      <c r="E216" s="537"/>
      <c r="F216" s="901"/>
      <c r="G216" s="848"/>
      <c r="H216" s="848"/>
      <c r="I216" s="848"/>
      <c r="J216" s="848"/>
      <c r="K216" s="848"/>
      <c r="L216" s="902">
        <v>9.9999999999999994E-12</v>
      </c>
      <c r="M216" s="902">
        <v>9.9999999999999994E-12</v>
      </c>
      <c r="N216" s="902">
        <v>9.9999999999999994E-12</v>
      </c>
      <c r="O216" s="902">
        <v>9.9999999999999994E-12</v>
      </c>
      <c r="P216" s="902">
        <v>9.9999999999999994E-12</v>
      </c>
      <c r="Q216" s="902">
        <v>9.9999999999999994E-12</v>
      </c>
      <c r="R216" s="902">
        <v>9.9999999999999994E-12</v>
      </c>
      <c r="S216" s="902">
        <v>0</v>
      </c>
      <c r="T216" s="902">
        <v>0</v>
      </c>
      <c r="U216" s="902">
        <v>0</v>
      </c>
      <c r="V216" s="1160">
        <v>0</v>
      </c>
      <c r="W216" s="1225"/>
      <c r="X216" s="902"/>
      <c r="Y216" s="1160">
        <v>0</v>
      </c>
      <c r="Z216" s="1225"/>
      <c r="AA216" s="902"/>
      <c r="AB216" s="1160">
        <v>0</v>
      </c>
      <c r="AC216" s="1160"/>
      <c r="AD216" s="902"/>
      <c r="AE216" s="1160">
        <v>0</v>
      </c>
      <c r="AF216" s="1418"/>
      <c r="AG216" s="902"/>
      <c r="AH216" s="902">
        <v>0</v>
      </c>
      <c r="AI216" s="902"/>
      <c r="AJ216" s="902"/>
      <c r="AK216" s="902">
        <v>0</v>
      </c>
      <c r="AL216" s="902"/>
      <c r="AM216" s="902"/>
      <c r="AN216" s="902">
        <v>0</v>
      </c>
      <c r="AO216" s="902"/>
      <c r="AP216" s="902"/>
      <c r="AQ216" s="902">
        <v>0</v>
      </c>
      <c r="AR216" s="64"/>
    </row>
    <row r="217" spans="1:44">
      <c r="A217" s="537"/>
      <c r="B217" s="537"/>
      <c r="C217" s="537"/>
      <c r="D217" s="537"/>
      <c r="E217" s="537"/>
      <c r="F217" s="537"/>
      <c r="G217" s="537"/>
      <c r="H217" s="537"/>
      <c r="I217" s="537"/>
      <c r="J217" s="537"/>
      <c r="K217" s="537"/>
      <c r="L217" s="537"/>
      <c r="M217" s="537"/>
      <c r="N217" s="537"/>
      <c r="O217" s="537"/>
      <c r="P217" s="537"/>
      <c r="Q217" s="537"/>
      <c r="R217" s="537"/>
      <c r="S217" s="537"/>
      <c r="T217" s="537"/>
      <c r="U217" s="537"/>
      <c r="V217" s="537"/>
      <c r="W217" s="13"/>
      <c r="X217" s="537"/>
      <c r="Y217" s="537"/>
      <c r="Z217" s="13"/>
      <c r="AA217" s="537"/>
      <c r="AB217" s="537"/>
      <c r="AC217" s="537"/>
      <c r="AD217" s="537"/>
      <c r="AE217" s="537"/>
      <c r="AF217" s="1302"/>
      <c r="AG217" s="537"/>
      <c r="AH217" s="537"/>
      <c r="AI217" s="537"/>
      <c r="AJ217" s="537"/>
      <c r="AK217" s="537"/>
      <c r="AL217" s="537"/>
      <c r="AM217" s="537"/>
      <c r="AN217" s="537"/>
      <c r="AO217" s="537"/>
      <c r="AP217" s="537"/>
      <c r="AQ217" s="537"/>
      <c r="AR217" s="13"/>
    </row>
    <row r="218" spans="1:44">
      <c r="A218" s="537"/>
      <c r="B218" s="537"/>
      <c r="C218" s="537"/>
      <c r="D218" s="537"/>
      <c r="E218" s="537"/>
      <c r="F218" s="537"/>
      <c r="G218" s="537"/>
      <c r="H218" s="537"/>
      <c r="I218" s="537"/>
      <c r="J218" s="537"/>
      <c r="K218" s="537"/>
      <c r="L218" s="537"/>
      <c r="M218" s="537"/>
      <c r="N218" s="537"/>
      <c r="O218" s="537"/>
      <c r="P218" s="537"/>
      <c r="Q218" s="537"/>
      <c r="R218" s="537"/>
      <c r="S218" s="537"/>
      <c r="T218" s="537"/>
      <c r="U218" s="537"/>
      <c r="V218" s="537"/>
      <c r="W218" s="13"/>
      <c r="X218" s="537"/>
      <c r="Y218" s="537"/>
      <c r="Z218" s="13"/>
      <c r="AA218" s="537"/>
      <c r="AB218" s="537"/>
      <c r="AC218" s="537"/>
      <c r="AD218" s="537"/>
      <c r="AE218" s="537"/>
      <c r="AF218" s="1302"/>
      <c r="AG218" s="537"/>
      <c r="AH218" s="537"/>
      <c r="AI218" s="537"/>
      <c r="AJ218" s="537"/>
      <c r="AK218" s="537"/>
      <c r="AL218" s="537"/>
      <c r="AM218" s="537"/>
      <c r="AN218" s="537"/>
      <c r="AO218" s="537"/>
      <c r="AP218" s="537"/>
      <c r="AQ218" s="537"/>
      <c r="AR218" s="13"/>
    </row>
    <row r="219" spans="1:44">
      <c r="A219" s="537" t="s">
        <v>768</v>
      </c>
      <c r="B219" s="537" t="s">
        <v>711</v>
      </c>
      <c r="C219" s="537"/>
      <c r="D219" s="537"/>
      <c r="E219" s="537"/>
      <c r="F219" s="537"/>
      <c r="G219" s="903">
        <v>1</v>
      </c>
      <c r="H219" s="903">
        <v>1</v>
      </c>
      <c r="I219" s="903">
        <v>1</v>
      </c>
      <c r="J219" s="903">
        <v>1</v>
      </c>
      <c r="K219" s="903">
        <v>1</v>
      </c>
      <c r="L219" s="903">
        <v>1</v>
      </c>
      <c r="M219" s="903">
        <v>1</v>
      </c>
      <c r="N219" s="903">
        <v>1</v>
      </c>
      <c r="O219" s="903">
        <v>1</v>
      </c>
      <c r="P219" s="903">
        <v>1</v>
      </c>
      <c r="Q219" s="903">
        <v>1</v>
      </c>
      <c r="R219" s="903">
        <v>1</v>
      </c>
      <c r="S219" s="903">
        <v>1</v>
      </c>
      <c r="T219" s="903">
        <f t="shared" ref="T219:W219" si="580">S219</f>
        <v>1</v>
      </c>
      <c r="U219" s="903">
        <f t="shared" si="580"/>
        <v>1</v>
      </c>
      <c r="V219" s="903">
        <f t="shared" si="580"/>
        <v>1</v>
      </c>
      <c r="W219" s="903">
        <f t="shared" si="580"/>
        <v>1</v>
      </c>
      <c r="X219" s="903">
        <f>W219</f>
        <v>1</v>
      </c>
      <c r="Y219" s="903">
        <f>X219</f>
        <v>1</v>
      </c>
      <c r="Z219" s="903">
        <f t="shared" ref="Z219" si="581">Y219</f>
        <v>1</v>
      </c>
      <c r="AA219" s="923">
        <f t="shared" ref="AA219:AK219" si="582">Z219</f>
        <v>1</v>
      </c>
      <c r="AB219" s="923">
        <f t="shared" si="582"/>
        <v>1</v>
      </c>
      <c r="AC219" s="923">
        <f t="shared" si="582"/>
        <v>1</v>
      </c>
      <c r="AD219" s="923">
        <f>AC219</f>
        <v>1</v>
      </c>
      <c r="AE219" s="923">
        <f t="shared" si="582"/>
        <v>1</v>
      </c>
      <c r="AF219" s="1419">
        <f t="shared" si="582"/>
        <v>1</v>
      </c>
      <c r="AG219" s="923">
        <f t="shared" si="582"/>
        <v>1</v>
      </c>
      <c r="AH219" s="923">
        <f t="shared" si="582"/>
        <v>1</v>
      </c>
      <c r="AI219" s="923">
        <f t="shared" si="582"/>
        <v>1</v>
      </c>
      <c r="AJ219" s="923">
        <f t="shared" si="582"/>
        <v>1</v>
      </c>
      <c r="AK219" s="923">
        <f t="shared" si="582"/>
        <v>1</v>
      </c>
      <c r="AL219" s="923">
        <f t="shared" ref="AL219" si="583">AK219</f>
        <v>1</v>
      </c>
      <c r="AM219" s="923">
        <f t="shared" ref="AM219" si="584">AL219</f>
        <v>1</v>
      </c>
      <c r="AN219" s="923">
        <f t="shared" ref="AN219" si="585">AM219</f>
        <v>1</v>
      </c>
      <c r="AO219" s="923">
        <f t="shared" ref="AO219" si="586">AN219</f>
        <v>1</v>
      </c>
      <c r="AP219" s="923">
        <f t="shared" ref="AP219" si="587">AO219</f>
        <v>1</v>
      </c>
      <c r="AQ219" s="923">
        <f t="shared" ref="AQ219" si="588">AP219</f>
        <v>1</v>
      </c>
      <c r="AR219" s="13"/>
    </row>
    <row r="220" spans="1:44" outlineLevel="1">
      <c r="A220" s="537"/>
      <c r="B220" s="537"/>
      <c r="C220" s="537"/>
      <c r="D220" s="537"/>
      <c r="E220" s="537"/>
      <c r="F220" s="537"/>
      <c r="G220" s="537"/>
      <c r="H220" s="537"/>
      <c r="I220" s="537"/>
      <c r="J220" s="537"/>
      <c r="K220" s="537"/>
      <c r="L220" s="537"/>
      <c r="M220" s="537"/>
      <c r="N220" s="537"/>
      <c r="O220" s="537"/>
      <c r="P220" s="537"/>
      <c r="Q220" s="537"/>
      <c r="R220" s="537"/>
      <c r="S220" s="537"/>
      <c r="T220" s="537"/>
      <c r="U220" s="537"/>
      <c r="V220" s="537"/>
      <c r="W220" s="13"/>
      <c r="X220" s="537"/>
      <c r="Y220" s="537"/>
      <c r="Z220" s="13"/>
      <c r="AA220" s="537"/>
      <c r="AB220" s="537"/>
      <c r="AC220" s="537"/>
      <c r="AD220" s="537"/>
      <c r="AE220" s="537"/>
      <c r="AF220" s="1302"/>
      <c r="AG220" s="537"/>
      <c r="AH220" s="537"/>
      <c r="AI220" s="537"/>
      <c r="AJ220" s="537"/>
      <c r="AK220" s="537"/>
      <c r="AL220" s="537"/>
      <c r="AM220" s="537"/>
      <c r="AN220" s="537"/>
      <c r="AO220" s="537"/>
      <c r="AP220" s="537"/>
      <c r="AQ220" s="537"/>
      <c r="AR220" s="13"/>
    </row>
    <row r="221" spans="1:44" outlineLevel="1">
      <c r="A221" s="72" t="s">
        <v>384</v>
      </c>
      <c r="B221" s="65" t="s">
        <v>165</v>
      </c>
      <c r="C221" s="66">
        <f>VLOOKUP($A$221,Drivers!1:1048576,MATCH(C$4,Drivers!2:2,FALSE),FALSE)</f>
        <v>16.781000000000002</v>
      </c>
      <c r="D221" s="66">
        <f>VLOOKUP($A$221,Drivers!1:1048576,MATCH(D$4,Drivers!2:2,FALSE),FALSE)</f>
        <v>22.731999999999999</v>
      </c>
      <c r="E221" s="66">
        <f>VLOOKUP($A$221,Drivers!1:1048576,MATCH(E$4,Drivers!2:2,FALSE),FALSE)</f>
        <v>37.031999999999996</v>
      </c>
      <c r="F221" s="66">
        <f>VLOOKUP($A$221,Drivers!1:1048576,MATCH(F$4,Drivers!2:2,FALSE),FALSE)</f>
        <v>44.561</v>
      </c>
      <c r="G221" s="66">
        <f>VLOOKUP($A$221,Drivers!1:1048576,MATCH(G$4,Drivers!2:2,FALSE),FALSE)</f>
        <v>65.534000000000006</v>
      </c>
      <c r="H221" s="66">
        <f>VLOOKUP($A$221,Drivers!1:1048576,MATCH(H$4,Drivers!2:2,FALSE),FALSE)</f>
        <v>102.29899999999999</v>
      </c>
      <c r="I221" s="66">
        <f>VLOOKUP($A$221,Drivers!1:1048576,MATCH(I$4,Drivers!2:2,FALSE),FALSE)</f>
        <v>141.96600000000001</v>
      </c>
      <c r="J221" s="66">
        <f>VLOOKUP($A$221,Drivers!1:1048576,MATCH(J$4,Drivers!2:2,FALSE),FALSE)</f>
        <v>175.11</v>
      </c>
      <c r="K221" s="66">
        <f>VLOOKUP($A$221,Drivers!1:1048576,MATCH(K$4,Drivers!2:2,FALSE),FALSE)</f>
        <v>196.01300000000001</v>
      </c>
      <c r="L221" s="66">
        <f>VLOOKUP($A$221,Drivers!1:1048576,MATCH(L$4,Drivers!2:2,FALSE),FALSE)</f>
        <v>161.459</v>
      </c>
      <c r="M221" s="66">
        <f>VLOOKUP($A$221,Drivers!1:1048576,MATCH(M$4,Drivers!2:2,FALSE),FALSE)</f>
        <v>177.75300000000001</v>
      </c>
      <c r="N221" s="66">
        <f>VLOOKUP($A$221,Drivers!1:1048576,MATCH(N$4,Drivers!2:2,FALSE),FALSE)</f>
        <v>191.12</v>
      </c>
      <c r="O221" s="66">
        <f>VLOOKUP($A$221,Drivers!1:1048576,MATCH(O$4,Drivers!2:2,FALSE),FALSE)</f>
        <v>200.90700000000001</v>
      </c>
      <c r="P221" s="66">
        <f>VLOOKUP($A$221,Drivers!1:1048576,MATCH(P$4,Drivers!2:2,FALSE),FALSE)</f>
        <v>221.17500000000001</v>
      </c>
      <c r="Q221" s="66">
        <f>VLOOKUP($A$221,Drivers!1:1048576,MATCH(Q$4,Drivers!2:2,FALSE),FALSE)</f>
        <v>306.39999999999998</v>
      </c>
      <c r="R221" s="66">
        <f>VLOOKUP($A$221,Drivers!1:1048576,MATCH(R$4,Drivers!2:2,FALSE),FALSE)</f>
        <v>350.59999999999997</v>
      </c>
      <c r="S221" s="66">
        <f>VLOOKUP($A$221,Drivers!1:1048576,MATCH(S$4,Drivers!2:2,FALSE),FALSE)</f>
        <v>372.90000000000003</v>
      </c>
      <c r="T221" s="66">
        <f>VLOOKUP($A$221,Drivers!1:1048576,MATCH(T$4,Drivers!2:2,FALSE),FALSE)</f>
        <v>502.90000000000003</v>
      </c>
      <c r="U221" s="66">
        <f>VLOOKUP($A$221,Drivers!1:1048576,MATCH(U$4,Drivers!2:2,FALSE),FALSE)</f>
        <v>743.1</v>
      </c>
      <c r="V221" s="66">
        <f>VLOOKUP($A$221,Drivers!1:1048576,MATCH(V$4,Drivers!2:2,FALSE),FALSE)</f>
        <v>794.59999999999991</v>
      </c>
      <c r="W221" s="66">
        <f>VLOOKUP($A$221,Drivers!1:1048576,MATCH(W$4,Drivers!2:2,FALSE),FALSE)</f>
        <v>479.2</v>
      </c>
      <c r="X221" s="941">
        <f>VLOOKUP($A$221,Drivers!1:1048576,MATCH(X$4,Drivers!2:2,FALSE),FALSE)</f>
        <v>289.8</v>
      </c>
      <c r="Y221" s="66">
        <f>VLOOKUP($A$221,Drivers!1:1048576,MATCH(Y$4,Drivers!2:2,FALSE),FALSE)</f>
        <v>769</v>
      </c>
      <c r="Z221" s="66">
        <f>VLOOKUP($A$221,Drivers!1:1048576,MATCH(Z$4,Drivers!2:2,FALSE),FALSE)</f>
        <v>386.7</v>
      </c>
      <c r="AA221" s="941">
        <f>VLOOKUP($A$221,Drivers!1:1048576,MATCH(AA$4,Drivers!2:2,FALSE),FALSE)</f>
        <v>260.49999999999994</v>
      </c>
      <c r="AB221" s="941">
        <f>VLOOKUP($A$221,Drivers!1:1048576,MATCH(AB$4,Drivers!2:2,FALSE),FALSE)</f>
        <v>647.19999999999993</v>
      </c>
      <c r="AC221" s="941">
        <f>VLOOKUP($A$221,Drivers!1:1048576,MATCH(AC$4,Drivers!2:2,FALSE),FALSE)</f>
        <v>419.90000000000003</v>
      </c>
      <c r="AD221" s="941">
        <f>VLOOKUP($A$221,Drivers!1:1048576,MATCH(AD$4,Drivers!2:2,FALSE),FALSE)</f>
        <v>287.89999999999992</v>
      </c>
      <c r="AE221" s="941">
        <f>VLOOKUP($A$221,Drivers!1:1048576,MATCH(AE$4,Drivers!2:2,FALSE),FALSE)</f>
        <v>707.8</v>
      </c>
      <c r="AF221" s="1420">
        <f>VLOOKUP($A$221,Drivers!1:1048576,MATCH(AF$4,Drivers!2:2,FALSE),FALSE)</f>
        <v>454</v>
      </c>
      <c r="AG221" s="941">
        <f>VLOOKUP($A$221,Drivers!1:1048576,MATCH(AG$4,Drivers!2:2,FALSE),FALSE)</f>
        <v>299.74192521296516</v>
      </c>
      <c r="AH221" s="941">
        <f>VLOOKUP($A$221,Drivers!1:1048576,MATCH(AH$4,Drivers!2:2,FALSE),FALSE)</f>
        <v>753.74192521296516</v>
      </c>
      <c r="AI221" s="941">
        <f>VLOOKUP($A$221,Drivers!1:1048576,MATCH(AI$4,Drivers!2:2,FALSE),FALSE)</f>
        <v>462.29499825171848</v>
      </c>
      <c r="AJ221" s="941">
        <f>VLOOKUP($A$221,Drivers!1:1048576,MATCH(AJ$4,Drivers!2:2,FALSE),FALSE)</f>
        <v>305.39218045061097</v>
      </c>
      <c r="AK221" s="941">
        <f>VLOOKUP($A$221,Drivers!1:1048576,MATCH(AK$4,Drivers!2:2,FALSE),FALSE)</f>
        <v>767.68717870232945</v>
      </c>
      <c r="AL221" s="941">
        <f>VLOOKUP($A$221,Drivers!1:1048576,MATCH(AL$4,Drivers!2:2,FALSE),FALSE)</f>
        <v>488.71109506951535</v>
      </c>
      <c r="AM221" s="941">
        <f>VLOOKUP($A$221,Drivers!1:1048576,MATCH(AM$4,Drivers!2:2,FALSE),FALSE)</f>
        <v>317.31163138343726</v>
      </c>
      <c r="AN221" s="941">
        <f>VLOOKUP($A$221,Drivers!1:1048576,MATCH(AN$4,Drivers!2:2,FALSE),FALSE)</f>
        <v>806.02272645295261</v>
      </c>
      <c r="AO221" s="941">
        <f>VLOOKUP($A$221,Drivers!1:1048576,MATCH(AO$4,Drivers!2:2,FALSE),FALSE)</f>
        <v>512.41632904668973</v>
      </c>
      <c r="AP221" s="941">
        <f>VLOOKUP($A$221,Drivers!1:1048576,MATCH(AP$4,Drivers!2:2,FALSE),FALSE)</f>
        <v>333.27546593914826</v>
      </c>
      <c r="AQ221" s="941">
        <f>VLOOKUP($A$221,Drivers!1:1048576,MATCH(AQ$4,Drivers!2:2,FALSE),FALSE)</f>
        <v>845.69179498583799</v>
      </c>
      <c r="AR221" s="23"/>
    </row>
    <row r="222" spans="1:44" outlineLevel="1">
      <c r="A222" s="72" t="s">
        <v>384</v>
      </c>
      <c r="B222" s="904" t="s">
        <v>166</v>
      </c>
      <c r="C222" s="309">
        <f>VLOOKUP($A$221,Drivers!1:1048576,MATCH(C$4,Drivers!2:2,FALSE),FALSE)</f>
        <v>16.781000000000002</v>
      </c>
      <c r="D222" s="309">
        <f>VLOOKUP($A$221,Drivers!1:1048576,MATCH(D$4,Drivers!2:2,FALSE),FALSE)</f>
        <v>22.731999999999999</v>
      </c>
      <c r="E222" s="309">
        <f>VLOOKUP($A$221,Drivers!1:1048576,MATCH(E$4,Drivers!2:2,FALSE),FALSE)</f>
        <v>37.031999999999996</v>
      </c>
      <c r="F222" s="309">
        <f>VLOOKUP($A$221,Drivers!1:1048576,MATCH(F$4,Drivers!2:2,FALSE),FALSE)</f>
        <v>44.561</v>
      </c>
      <c r="G222" s="309">
        <f>VLOOKUP($A$221,Drivers!1:1048576,MATCH(G$4,Drivers!2:2,FALSE),FALSE)</f>
        <v>65.534000000000006</v>
      </c>
      <c r="H222" s="309">
        <f>VLOOKUP($A$221,Drivers!1:1048576,MATCH(H$4,Drivers!2:2,FALSE),FALSE)</f>
        <v>102.29899999999999</v>
      </c>
      <c r="I222" s="309">
        <f>VLOOKUP($A$221,Drivers!1:1048576,MATCH(I$4,Drivers!2:2,FALSE),FALSE)</f>
        <v>141.96600000000001</v>
      </c>
      <c r="J222" s="309">
        <f>VLOOKUP($A$221,Drivers!1:1048576,MATCH(J$4,Drivers!2:2,FALSE),FALSE)</f>
        <v>175.11</v>
      </c>
      <c r="K222" s="309">
        <f>VLOOKUP($A$221,Drivers!1:1048576,MATCH(K$4,Drivers!2:2,FALSE),FALSE)</f>
        <v>196.01300000000001</v>
      </c>
      <c r="L222" s="309">
        <f>VLOOKUP($A$221,Drivers!1:1048576,MATCH(L$4,Drivers!2:2,FALSE),FALSE)</f>
        <v>161.459</v>
      </c>
      <c r="M222" s="309">
        <f>VLOOKUP($A$221,Drivers!1:1048576,MATCH(M$4,Drivers!2:2,FALSE),FALSE)</f>
        <v>177.75300000000001</v>
      </c>
      <c r="N222" s="309">
        <f>VLOOKUP($A$221,Drivers!1:1048576,MATCH(N$4,Drivers!2:2,FALSE),FALSE)</f>
        <v>191.12</v>
      </c>
      <c r="O222" s="309">
        <f>VLOOKUP($A$221,Drivers!1:1048576,MATCH(O$4,Drivers!2:2,FALSE),FALSE)</f>
        <v>200.90700000000001</v>
      </c>
      <c r="P222" s="309">
        <f>VLOOKUP($A$221,Drivers!1:1048576,MATCH(P$4,Drivers!2:2,FALSE),FALSE)</f>
        <v>221.17500000000001</v>
      </c>
      <c r="Q222" s="309">
        <f>VLOOKUP($A$221,Drivers!1:1048576,MATCH(Q$4,Drivers!2:2,FALSE),FALSE)</f>
        <v>306.39999999999998</v>
      </c>
      <c r="R222" s="309">
        <f>VLOOKUP($A$221,Drivers!1:1048576,MATCH(R$4,Drivers!2:2,FALSE),FALSE)</f>
        <v>350.59999999999997</v>
      </c>
      <c r="S222" s="309">
        <f>VLOOKUP($A$221,Drivers!1:1048576,MATCH(S$4,Drivers!2:2,FALSE),FALSE)</f>
        <v>372.90000000000003</v>
      </c>
      <c r="T222" s="309">
        <f>VLOOKUP($A$221,Drivers!1:1048576,MATCH(T$4,Drivers!2:2,FALSE),FALSE)</f>
        <v>502.90000000000003</v>
      </c>
      <c r="U222" s="309">
        <f>VLOOKUP($A$221,Drivers!1:1048576,MATCH(U$4,Drivers!2:2,FALSE),FALSE)</f>
        <v>743.1</v>
      </c>
      <c r="V222" s="309">
        <f>VLOOKUP($A$221,Drivers!1:1048576,MATCH(V$4,Drivers!2:2,FALSE),FALSE)</f>
        <v>794.59999999999991</v>
      </c>
      <c r="W222" s="23">
        <f>VLOOKUP($A$221,Drivers!1:1048576,MATCH(W$4,Drivers!2:2,FALSE),FALSE)</f>
        <v>479.2</v>
      </c>
      <c r="X222" s="309">
        <f>VLOOKUP($A$221,Drivers!1:1048576,MATCH(X$4,Drivers!2:2,FALSE),FALSE)</f>
        <v>289.8</v>
      </c>
      <c r="Y222" s="309">
        <f>VLOOKUP($A$221,Drivers!1:1048576,MATCH(Y$4,Drivers!2:2,FALSE),FALSE)</f>
        <v>769</v>
      </c>
      <c r="Z222" s="23">
        <f>VLOOKUP($A$221,Drivers!1:1048576,MATCH(Z$4,Drivers!2:2,FALSE),FALSE)</f>
        <v>386.7</v>
      </c>
      <c r="AA222" s="309">
        <f>VLOOKUP($A$221,Drivers!1:1048576,MATCH(AA$4,Drivers!2:2,FALSE),FALSE)</f>
        <v>260.49999999999994</v>
      </c>
      <c r="AB222" s="309">
        <f>VLOOKUP($A$221,Drivers!1:1048576,MATCH(AB$4,Drivers!2:2,FALSE),FALSE)</f>
        <v>647.19999999999993</v>
      </c>
      <c r="AC222" s="309">
        <f>VLOOKUP($A$221,Drivers!1:1048576,MATCH(AC$4,Drivers!2:2,FALSE),FALSE)</f>
        <v>419.90000000000003</v>
      </c>
      <c r="AD222" s="309">
        <f>VLOOKUP($A$221,Drivers!1:1048576,MATCH(AD$4,Drivers!2:2,FALSE),FALSE)</f>
        <v>287.89999999999992</v>
      </c>
      <c r="AE222" s="309">
        <f>VLOOKUP($A$221,Drivers!1:1048576,MATCH(AE$4,Drivers!2:2,FALSE),FALSE)</f>
        <v>707.8</v>
      </c>
      <c r="AF222" s="1326">
        <f>VLOOKUP($A$221,Drivers!1:1048576,MATCH(AF$4,Drivers!2:2,FALSE),FALSE)</f>
        <v>454</v>
      </c>
      <c r="AG222" s="309">
        <f>VLOOKUP($A$221,Drivers!1:1048576,MATCH(AG$4,Drivers!2:2,FALSE),FALSE)</f>
        <v>299.74192521296516</v>
      </c>
      <c r="AH222" s="309">
        <f>VLOOKUP($A$221,Drivers!1:1048576,MATCH(AH$4,Drivers!2:2,FALSE),FALSE)</f>
        <v>753.74192521296516</v>
      </c>
      <c r="AI222" s="309">
        <f>VLOOKUP($A$221,Drivers!1:1048576,MATCH(AI$4,Drivers!2:2,FALSE),FALSE)</f>
        <v>462.29499825171848</v>
      </c>
      <c r="AJ222" s="309">
        <f>VLOOKUP($A$221,Drivers!1:1048576,MATCH(AJ$4,Drivers!2:2,FALSE),FALSE)</f>
        <v>305.39218045061097</v>
      </c>
      <c r="AK222" s="309">
        <f>VLOOKUP($A$221,Drivers!1:1048576,MATCH(AK$4,Drivers!2:2,FALSE),FALSE)</f>
        <v>767.68717870232945</v>
      </c>
      <c r="AL222" s="309">
        <f>VLOOKUP($A$221,Drivers!1:1048576,MATCH(AL$4,Drivers!2:2,FALSE),FALSE)</f>
        <v>488.71109506951535</v>
      </c>
      <c r="AM222" s="309">
        <f>VLOOKUP($A$221,Drivers!1:1048576,MATCH(AM$4,Drivers!2:2,FALSE),FALSE)</f>
        <v>317.31163138343726</v>
      </c>
      <c r="AN222" s="309">
        <f>VLOOKUP($A$221,Drivers!1:1048576,MATCH(AN$4,Drivers!2:2,FALSE),FALSE)</f>
        <v>806.02272645295261</v>
      </c>
      <c r="AO222" s="309">
        <f>VLOOKUP($A$221,Drivers!1:1048576,MATCH(AO$4,Drivers!2:2,FALSE),FALSE)</f>
        <v>512.41632904668973</v>
      </c>
      <c r="AP222" s="309">
        <f>VLOOKUP($A$221,Drivers!1:1048576,MATCH(AP$4,Drivers!2:2,FALSE),FALSE)</f>
        <v>333.27546593914826</v>
      </c>
      <c r="AQ222" s="309">
        <f>VLOOKUP($A$221,Drivers!1:1048576,MATCH(AQ$4,Drivers!2:2,FALSE),FALSE)</f>
        <v>845.69179498583799</v>
      </c>
      <c r="AR222" s="23"/>
    </row>
    <row r="223" spans="1:44" outlineLevel="1">
      <c r="A223" s="47"/>
      <c r="B223" s="438"/>
      <c r="C223" s="905">
        <f t="shared" ref="C223:O223" si="589">C222/C221</f>
        <v>1</v>
      </c>
      <c r="D223" s="905">
        <f t="shared" si="589"/>
        <v>1</v>
      </c>
      <c r="E223" s="905">
        <f t="shared" si="589"/>
        <v>1</v>
      </c>
      <c r="F223" s="905">
        <f t="shared" si="589"/>
        <v>1</v>
      </c>
      <c r="G223" s="905">
        <f t="shared" si="589"/>
        <v>1</v>
      </c>
      <c r="H223" s="905">
        <f t="shared" si="589"/>
        <v>1</v>
      </c>
      <c r="I223" s="905">
        <f t="shared" si="589"/>
        <v>1</v>
      </c>
      <c r="J223" s="905">
        <f t="shared" si="589"/>
        <v>1</v>
      </c>
      <c r="K223" s="905">
        <f>K222/K221</f>
        <v>1</v>
      </c>
      <c r="L223" s="905">
        <f>L222/L221</f>
        <v>1</v>
      </c>
      <c r="M223" s="905">
        <f>M222/M221</f>
        <v>1</v>
      </c>
      <c r="N223" s="905">
        <f>N222/N221</f>
        <v>1</v>
      </c>
      <c r="O223" s="905">
        <f t="shared" si="589"/>
        <v>1</v>
      </c>
      <c r="P223" s="905">
        <f t="shared" ref="P223:U223" si="590">P222/P221</f>
        <v>1</v>
      </c>
      <c r="Q223" s="905">
        <f t="shared" si="590"/>
        <v>1</v>
      </c>
      <c r="R223" s="905">
        <f>R222/R221</f>
        <v>1</v>
      </c>
      <c r="S223" s="905">
        <f t="shared" si="590"/>
        <v>1</v>
      </c>
      <c r="T223" s="905">
        <f t="shared" si="590"/>
        <v>1</v>
      </c>
      <c r="U223" s="905">
        <f t="shared" si="590"/>
        <v>1</v>
      </c>
      <c r="V223" s="1161">
        <f t="shared" ref="V223:AK223" si="591">V222/V221</f>
        <v>1</v>
      </c>
      <c r="W223" s="1226">
        <f t="shared" ref="W223:X223" si="592">W222/W221</f>
        <v>1</v>
      </c>
      <c r="X223" s="905">
        <f t="shared" si="592"/>
        <v>1</v>
      </c>
      <c r="Y223" s="1161">
        <f t="shared" si="591"/>
        <v>1</v>
      </c>
      <c r="Z223" s="1226">
        <f t="shared" si="591"/>
        <v>1</v>
      </c>
      <c r="AA223" s="905">
        <f t="shared" si="591"/>
        <v>1</v>
      </c>
      <c r="AB223" s="1161">
        <f t="shared" si="591"/>
        <v>1</v>
      </c>
      <c r="AC223" s="1161">
        <f t="shared" si="591"/>
        <v>1</v>
      </c>
      <c r="AD223" s="905">
        <f t="shared" si="591"/>
        <v>1</v>
      </c>
      <c r="AE223" s="1161">
        <f t="shared" ref="AE223:AF223" si="593">AE222/AE221</f>
        <v>1</v>
      </c>
      <c r="AF223" s="1421">
        <f t="shared" si="593"/>
        <v>1</v>
      </c>
      <c r="AG223" s="905">
        <f t="shared" si="591"/>
        <v>1</v>
      </c>
      <c r="AH223" s="905">
        <f t="shared" si="591"/>
        <v>1</v>
      </c>
      <c r="AI223" s="905">
        <f t="shared" si="591"/>
        <v>1</v>
      </c>
      <c r="AJ223" s="905">
        <f t="shared" si="591"/>
        <v>1</v>
      </c>
      <c r="AK223" s="905">
        <f t="shared" si="591"/>
        <v>1</v>
      </c>
      <c r="AL223" s="905">
        <f t="shared" ref="AL223:AN223" si="594">AL222/AL221</f>
        <v>1</v>
      </c>
      <c r="AM223" s="905">
        <f t="shared" si="594"/>
        <v>1</v>
      </c>
      <c r="AN223" s="905">
        <f t="shared" si="594"/>
        <v>1</v>
      </c>
      <c r="AO223" s="905">
        <f t="shared" ref="AO223:AQ223" si="595">AO222/AO221</f>
        <v>1</v>
      </c>
      <c r="AP223" s="905">
        <f t="shared" si="595"/>
        <v>1</v>
      </c>
      <c r="AQ223" s="905">
        <f t="shared" si="595"/>
        <v>1</v>
      </c>
      <c r="AR223" s="643"/>
    </row>
    <row r="224" spans="1:44" outlineLevel="1">
      <c r="A224" s="47"/>
      <c r="B224" s="438"/>
      <c r="C224" s="438"/>
      <c r="D224" s="438"/>
      <c r="E224" s="438"/>
      <c r="F224" s="438"/>
      <c r="G224" s="438"/>
      <c r="H224" s="438"/>
      <c r="I224" s="438"/>
      <c r="J224" s="438"/>
      <c r="K224" s="438"/>
      <c r="L224" s="438"/>
      <c r="M224" s="438"/>
      <c r="N224" s="438"/>
      <c r="O224" s="438"/>
      <c r="P224" s="438"/>
      <c r="Q224" s="438"/>
      <c r="R224" s="438"/>
      <c r="S224" s="438"/>
      <c r="T224" s="438"/>
      <c r="U224" s="438"/>
      <c r="V224" s="438"/>
      <c r="W224" s="13"/>
      <c r="X224" s="537"/>
      <c r="Y224" s="438"/>
      <c r="Z224" s="13"/>
      <c r="AA224" s="537"/>
      <c r="AB224" s="537"/>
      <c r="AC224" s="537"/>
      <c r="AD224" s="537"/>
      <c r="AE224" s="537"/>
      <c r="AF224" s="1302"/>
      <c r="AG224" s="537"/>
      <c r="AH224" s="537"/>
      <c r="AI224" s="537"/>
      <c r="AJ224" s="537"/>
      <c r="AK224" s="537"/>
      <c r="AL224" s="537"/>
      <c r="AM224" s="537"/>
      <c r="AN224" s="537"/>
      <c r="AO224" s="537"/>
      <c r="AP224" s="537"/>
      <c r="AQ224" s="537"/>
      <c r="AR224" s="13"/>
    </row>
    <row r="225" spans="1:44" outlineLevel="1">
      <c r="A225" s="13"/>
      <c r="B225" s="438"/>
      <c r="C225" s="438"/>
      <c r="D225" s="438"/>
      <c r="E225" s="438"/>
      <c r="F225" s="438"/>
      <c r="G225" s="438"/>
      <c r="H225" s="438"/>
      <c r="I225" s="438"/>
      <c r="J225" s="438"/>
      <c r="K225" s="438"/>
      <c r="L225" s="438"/>
      <c r="M225" s="438"/>
      <c r="N225" s="438"/>
      <c r="O225" s="438"/>
      <c r="P225" s="438"/>
      <c r="Q225" s="438"/>
      <c r="R225" s="438"/>
      <c r="S225" s="438"/>
      <c r="T225" s="438"/>
      <c r="U225" s="438"/>
      <c r="V225" s="438"/>
      <c r="W225" s="58"/>
      <c r="X225" s="924"/>
      <c r="Y225" s="438"/>
      <c r="Z225" s="58"/>
      <c r="AA225" s="924"/>
      <c r="AB225" s="924"/>
      <c r="AC225" s="924"/>
      <c r="AD225" s="924"/>
      <c r="AE225" s="924"/>
      <c r="AF225" s="1422"/>
      <c r="AG225" s="924"/>
      <c r="AH225" s="924"/>
      <c r="AI225" s="924"/>
      <c r="AJ225" s="924"/>
      <c r="AK225" s="924"/>
      <c r="AL225" s="924"/>
      <c r="AM225" s="924"/>
      <c r="AN225" s="924"/>
      <c r="AO225" s="924"/>
      <c r="AP225" s="924"/>
      <c r="AQ225" s="924"/>
      <c r="AR225" s="58"/>
    </row>
    <row r="226" spans="1:44" outlineLevel="1">
      <c r="A226" s="30"/>
      <c r="B226" s="553" t="s">
        <v>438</v>
      </c>
      <c r="C226" s="553"/>
      <c r="D226" s="553"/>
      <c r="E226" s="553"/>
      <c r="F226" s="553"/>
      <c r="G226" s="553"/>
      <c r="H226" s="553"/>
      <c r="I226" s="553"/>
      <c r="J226" s="553"/>
      <c r="K226" s="553"/>
      <c r="L226" s="553"/>
      <c r="M226" s="553"/>
      <c r="N226" s="553"/>
      <c r="O226" s="553"/>
      <c r="P226" s="553"/>
      <c r="Q226" s="553"/>
      <c r="R226" s="553"/>
      <c r="S226" s="553"/>
      <c r="T226" s="553"/>
      <c r="U226" s="553"/>
      <c r="V226" s="553"/>
      <c r="W226" s="8"/>
      <c r="X226" s="925"/>
      <c r="Y226" s="553"/>
      <c r="Z226" s="8"/>
      <c r="AA226" s="925"/>
      <c r="AB226" s="925"/>
      <c r="AC226" s="925"/>
      <c r="AD226" s="925"/>
      <c r="AE226" s="925"/>
      <c r="AF226" s="1423"/>
      <c r="AG226" s="925"/>
      <c r="AH226" s="925"/>
      <c r="AI226" s="925"/>
      <c r="AJ226" s="925"/>
      <c r="AK226" s="925"/>
      <c r="AL226" s="925"/>
      <c r="AM226" s="925"/>
      <c r="AN226" s="925"/>
      <c r="AO226" s="925"/>
      <c r="AP226" s="925"/>
      <c r="AQ226" s="925"/>
      <c r="AR226" s="8"/>
    </row>
    <row r="227" spans="1:44" outlineLevel="1">
      <c r="A227" s="7"/>
      <c r="B227" s="848" t="s">
        <v>909</v>
      </c>
      <c r="C227" s="848"/>
      <c r="D227" s="848">
        <f t="shared" ref="D227:W227" si="596">+C232</f>
        <v>38.462000000000003</v>
      </c>
      <c r="E227" s="848">
        <f t="shared" si="596"/>
        <v>48.875999999999998</v>
      </c>
      <c r="F227" s="848">
        <f t="shared" si="596"/>
        <v>58.565999999999995</v>
      </c>
      <c r="G227" s="848">
        <f t="shared" si="596"/>
        <v>78.951999999999998</v>
      </c>
      <c r="H227" s="848">
        <f t="shared" si="596"/>
        <v>113.11000000000001</v>
      </c>
      <c r="I227" s="848">
        <f t="shared" si="596"/>
        <v>163.89000000000001</v>
      </c>
      <c r="J227" s="848">
        <f t="shared" si="596"/>
        <v>229.25200000000001</v>
      </c>
      <c r="K227" s="848">
        <f t="shared" si="596"/>
        <v>293.29599999999999</v>
      </c>
      <c r="L227" s="848">
        <f t="shared" si="596"/>
        <v>152.31299999999999</v>
      </c>
      <c r="M227" s="848">
        <f t="shared" si="596"/>
        <v>184.50099999999995</v>
      </c>
      <c r="N227" s="848">
        <f t="shared" si="596"/>
        <v>243.34499999999991</v>
      </c>
      <c r="O227" s="848">
        <f t="shared" si="596"/>
        <v>294.63299999999992</v>
      </c>
      <c r="P227" s="848">
        <f t="shared" si="596"/>
        <v>343.47899999999993</v>
      </c>
      <c r="Q227" s="848">
        <f t="shared" si="596"/>
        <v>404.70199999999994</v>
      </c>
      <c r="R227" s="848">
        <f t="shared" si="596"/>
        <v>853.49999999999989</v>
      </c>
      <c r="S227" s="848">
        <f t="shared" si="596"/>
        <v>947.5999999999998</v>
      </c>
      <c r="T227" s="848">
        <f t="shared" si="596"/>
        <v>1044.0999999999997</v>
      </c>
      <c r="U227" s="848">
        <f t="shared" si="596"/>
        <v>1105.6999999999998</v>
      </c>
      <c r="V227" s="891">
        <f t="shared" si="596"/>
        <v>1308.3999999999996</v>
      </c>
      <c r="W227" s="891">
        <f t="shared" si="596"/>
        <v>1280.2999999999995</v>
      </c>
      <c r="X227" s="848">
        <f>W232</f>
        <v>1433.4999999999995</v>
      </c>
      <c r="Y227" s="891">
        <f>+V232</f>
        <v>1280.2999999999995</v>
      </c>
      <c r="Z227" s="891">
        <f t="shared" ref="Z227" si="597">+Y232</f>
        <v>1419.5999999999995</v>
      </c>
      <c r="AA227" s="848">
        <f>Z232</f>
        <v>1549.1839999999993</v>
      </c>
      <c r="AB227" s="891">
        <f>+Y232</f>
        <v>1419.5999999999995</v>
      </c>
      <c r="AC227" s="891">
        <f>AB232</f>
        <v>1559.0999999999992</v>
      </c>
      <c r="AD227" s="848">
        <f>AC232</f>
        <v>1615.099999999999</v>
      </c>
      <c r="AE227" s="891">
        <f>+AB232</f>
        <v>1559.0999999999992</v>
      </c>
      <c r="AF227" s="1319">
        <f>AE232</f>
        <v>1616.599999999999</v>
      </c>
      <c r="AG227" s="848">
        <f>AF232</f>
        <v>1678.0839999999989</v>
      </c>
      <c r="AH227" s="848">
        <f>+AE232</f>
        <v>1616.599999999999</v>
      </c>
      <c r="AI227" s="848">
        <f>AH232</f>
        <v>1651.8868391117198</v>
      </c>
      <c r="AJ227" s="848">
        <f>AI232</f>
        <v>1804.6187899738338</v>
      </c>
      <c r="AK227" s="848">
        <f>+AH232</f>
        <v>1651.8868391117198</v>
      </c>
      <c r="AL227" s="848">
        <f>AK232</f>
        <v>1771.9036312017884</v>
      </c>
      <c r="AM227" s="848">
        <f>AL232</f>
        <v>1940.2347313699711</v>
      </c>
      <c r="AN227" s="848">
        <f>+AK232</f>
        <v>1771.9036312017884</v>
      </c>
      <c r="AO227" s="848">
        <f>AN232</f>
        <v>1901.8574302326465</v>
      </c>
      <c r="AP227" s="848">
        <f>AO232</f>
        <v>2079.4635727126329</v>
      </c>
      <c r="AQ227" s="848">
        <f>+AN232</f>
        <v>1901.8574302326465</v>
      </c>
      <c r="AR227" s="219"/>
    </row>
    <row r="228" spans="1:44" outlineLevel="1">
      <c r="A228" s="7"/>
      <c r="B228" s="848" t="s">
        <v>440</v>
      </c>
      <c r="C228" s="848"/>
      <c r="D228" s="848">
        <f t="shared" ref="D228:Z228" si="598">+D40-C40</f>
        <v>10.295999999999999</v>
      </c>
      <c r="E228" s="848">
        <f t="shared" si="598"/>
        <v>0.23199999999999932</v>
      </c>
      <c r="F228" s="848">
        <f t="shared" si="598"/>
        <v>0.60800000000000409</v>
      </c>
      <c r="G228" s="848">
        <f t="shared" si="598"/>
        <v>2.8470000000000013</v>
      </c>
      <c r="H228" s="848">
        <f t="shared" si="598"/>
        <v>3.6609999999999943</v>
      </c>
      <c r="I228" s="848">
        <f t="shared" si="598"/>
        <v>5.2390000000000043</v>
      </c>
      <c r="J228" s="848">
        <f t="shared" si="598"/>
        <v>8.7950000000000017</v>
      </c>
      <c r="K228" s="848">
        <f t="shared" si="598"/>
        <v>4.6280000000000001</v>
      </c>
      <c r="L228" s="848">
        <f t="shared" si="598"/>
        <v>3.4859999999999971</v>
      </c>
      <c r="M228" s="848">
        <f t="shared" si="598"/>
        <v>1.0820000000000007</v>
      </c>
      <c r="N228" s="848">
        <f t="shared" si="598"/>
        <v>-4.3909999999999982</v>
      </c>
      <c r="O228" s="848">
        <f t="shared" si="598"/>
        <v>-1.8620000000000019</v>
      </c>
      <c r="P228" s="848">
        <f t="shared" si="598"/>
        <v>-7.2569999999999979</v>
      </c>
      <c r="Q228" s="848">
        <f t="shared" si="598"/>
        <v>389.43599999999998</v>
      </c>
      <c r="R228" s="848">
        <f t="shared" si="598"/>
        <v>3</v>
      </c>
      <c r="S228" s="848">
        <f t="shared" si="598"/>
        <v>-6.8999999999999773</v>
      </c>
      <c r="T228" s="848">
        <f t="shared" si="598"/>
        <v>-31.600000000000023</v>
      </c>
      <c r="U228" s="848">
        <f t="shared" si="598"/>
        <v>-10.199999999999989</v>
      </c>
      <c r="V228" s="891">
        <f t="shared" si="598"/>
        <v>-46.199999999999989</v>
      </c>
      <c r="W228" s="891">
        <f t="shared" si="598"/>
        <v>-17.5</v>
      </c>
      <c r="X228" s="848">
        <f t="shared" si="598"/>
        <v>0</v>
      </c>
      <c r="Y228" s="891">
        <f>+Y40-V40</f>
        <v>-17.5</v>
      </c>
      <c r="Z228" s="891">
        <f t="shared" si="598"/>
        <v>-17</v>
      </c>
      <c r="AA228" s="848">
        <f>+AA40-Z40</f>
        <v>0</v>
      </c>
      <c r="AB228" s="891">
        <f>+AB40-Y40</f>
        <v>-17</v>
      </c>
      <c r="AC228" s="891">
        <f>+AC40-AB40</f>
        <v>-20.900000000000034</v>
      </c>
      <c r="AD228" s="848">
        <f>+AD40-AC40</f>
        <v>0</v>
      </c>
      <c r="AE228" s="891">
        <f>+AE40-AB40</f>
        <v>-20.900000000000034</v>
      </c>
      <c r="AF228" s="1319">
        <f>+AF40-AE40</f>
        <v>-26.899999999999977</v>
      </c>
      <c r="AG228" s="848">
        <f>+AG40-AF40</f>
        <v>0</v>
      </c>
      <c r="AH228" s="848">
        <f>+AH40-AE40</f>
        <v>-26.899999999999977</v>
      </c>
      <c r="AI228" s="848">
        <f>+AI40-AH40</f>
        <v>0</v>
      </c>
      <c r="AJ228" s="848">
        <f>+AJ40-AI40</f>
        <v>0</v>
      </c>
      <c r="AK228" s="848">
        <f>+AK40-AH40</f>
        <v>0</v>
      </c>
      <c r="AL228" s="848">
        <f>+AL40-AK40</f>
        <v>0</v>
      </c>
      <c r="AM228" s="848">
        <f>+AM40-AL40</f>
        <v>0</v>
      </c>
      <c r="AN228" s="848">
        <f>+AN40-AK40</f>
        <v>0</v>
      </c>
      <c r="AO228" s="848">
        <f>+AO40-AN40</f>
        <v>0</v>
      </c>
      <c r="AP228" s="848">
        <f>+AP40-AO40</f>
        <v>0</v>
      </c>
      <c r="AQ228" s="848">
        <f>+AQ40-AN40</f>
        <v>0</v>
      </c>
      <c r="AR228" s="219"/>
    </row>
    <row r="229" spans="1:44" outlineLevel="1">
      <c r="A229" s="53"/>
      <c r="B229" s="848" t="s">
        <v>441</v>
      </c>
      <c r="C229" s="848"/>
      <c r="D229" s="848">
        <f>+'P&amp;L'!F88</f>
        <v>14.131</v>
      </c>
      <c r="E229" s="848">
        <f>+'P&amp;L'!I88</f>
        <v>21.355999999999998</v>
      </c>
      <c r="F229" s="848">
        <f>+'P&amp;L'!L88</f>
        <v>25.835999999999999</v>
      </c>
      <c r="G229" s="848">
        <f>+'P&amp;L'!O88</f>
        <v>40.389000000000003</v>
      </c>
      <c r="H229" s="848">
        <f>+'P&amp;L'!R88</f>
        <v>65.134999999999991</v>
      </c>
      <c r="I229" s="848">
        <f>+'P&amp;L'!U88</f>
        <v>94.437000000000012</v>
      </c>
      <c r="J229" s="848">
        <f>+'P&amp;L'!X88</f>
        <v>118.652</v>
      </c>
      <c r="K229" s="848">
        <f>+'P&amp;L'!AA88</f>
        <v>109.69499999999999</v>
      </c>
      <c r="L229" s="848">
        <f>+'P&amp;L'!AD88</f>
        <v>104.64099999999999</v>
      </c>
      <c r="M229" s="848">
        <f>+'P&amp;L'!AG88</f>
        <v>116.38300000000002</v>
      </c>
      <c r="N229" s="848">
        <f>+'P&amp;L'!AJ88</f>
        <v>128.35900000000001</v>
      </c>
      <c r="O229" s="848">
        <f>+'P&amp;L'!AM88</f>
        <v>136.51100000000002</v>
      </c>
      <c r="P229" s="848">
        <f>+'P&amp;L'!AP88</f>
        <v>152.18099999999998</v>
      </c>
      <c r="Q229" s="848">
        <f>+'P&amp;L'!AS88</f>
        <v>172.39999999999998</v>
      </c>
      <c r="R229" s="848">
        <f>+'P&amp;L'!AV88</f>
        <v>233.19999999999993</v>
      </c>
      <c r="S229" s="848">
        <f>+'P&amp;L'!AY88</f>
        <v>249.8</v>
      </c>
      <c r="T229" s="848">
        <f>+'P&amp;L'!BB88</f>
        <v>302.20000000000005</v>
      </c>
      <c r="U229" s="848">
        <f>+'P&amp;L'!BE88</f>
        <v>509.5</v>
      </c>
      <c r="V229" s="891">
        <f>+'P&amp;L'!BH88</f>
        <v>544.9</v>
      </c>
      <c r="W229" s="891">
        <f>+'P&amp;L'!BI88</f>
        <v>329.9</v>
      </c>
      <c r="X229" s="848">
        <f>+'P&amp;L'!BJ88</f>
        <v>194.70000000000005</v>
      </c>
      <c r="Y229" s="891">
        <f>+'P&amp;L'!BK88</f>
        <v>524.6</v>
      </c>
      <c r="Z229" s="891">
        <f>+'P&amp;L'!BL88</f>
        <v>264.3</v>
      </c>
      <c r="AA229" s="848">
        <f>+'P&amp;L'!BM88</f>
        <v>174.49999999999994</v>
      </c>
      <c r="AB229" s="891">
        <f>+'P&amp;L'!BN88</f>
        <v>438.79999999999995</v>
      </c>
      <c r="AC229" s="891">
        <f>+'P&amp;L'!BO88</f>
        <v>285.50000000000006</v>
      </c>
      <c r="AD229" s="848">
        <f>+'P&amp;L'!BP88</f>
        <v>176.89999999999995</v>
      </c>
      <c r="AE229" s="891">
        <f>+'P&amp;L'!BQ88</f>
        <v>462.39999999999992</v>
      </c>
      <c r="AF229" s="1319">
        <f>+'P&amp;L'!BR88</f>
        <v>305.79999999999995</v>
      </c>
      <c r="AG229" s="848">
        <f>+'P&amp;L'!BS88</f>
        <v>197.40283911172125</v>
      </c>
      <c r="AH229" s="848">
        <f>+'P&amp;L'!BT88</f>
        <v>503.20283911172118</v>
      </c>
      <c r="AI229" s="848">
        <f>+'P&amp;L'!BU88</f>
        <v>310.59677687813917</v>
      </c>
      <c r="AJ229" s="848">
        <f>+'P&amp;L'!BV88</f>
        <v>200.23242388655899</v>
      </c>
      <c r="AK229" s="848">
        <f>+'P&amp;L'!BW88</f>
        <v>510.82920076469816</v>
      </c>
      <c r="AL229" s="848">
        <f>+'P&amp;L'!BX88</f>
        <v>328.72200209839599</v>
      </c>
      <c r="AM229" s="848">
        <f>+'P&amp;L'!BY88</f>
        <v>208.16420043647273</v>
      </c>
      <c r="AN229" s="848">
        <f>+'P&amp;L'!BZ88</f>
        <v>536.88620253486874</v>
      </c>
      <c r="AO229" s="848">
        <f>+'P&amp;L'!CA88</f>
        <v>344.46701685803851</v>
      </c>
      <c r="AP229" s="848">
        <f>+'P&amp;L'!CB88</f>
        <v>218.40111648944438</v>
      </c>
      <c r="AQ229" s="848">
        <f>+'P&amp;L'!CC88</f>
        <v>562.86813334748297</v>
      </c>
      <c r="AR229" s="219"/>
    </row>
    <row r="230" spans="1:44">
      <c r="A230" s="53"/>
      <c r="B230" s="848" t="s">
        <v>442</v>
      </c>
      <c r="C230" s="848"/>
      <c r="D230" s="848">
        <f>+CFS!D38</f>
        <v>-13.688000000000001</v>
      </c>
      <c r="E230" s="848">
        <f>+CFS!E38</f>
        <v>-7.3929999999999998</v>
      </c>
      <c r="F230" s="848">
        <f>+CFS!F38</f>
        <v>-7.4279999999999999</v>
      </c>
      <c r="G230" s="848">
        <f>+CFS!G38</f>
        <v>-9.3859999999999992</v>
      </c>
      <c r="H230" s="848">
        <f>+CFS!H38</f>
        <v>-16.913</v>
      </c>
      <c r="I230" s="848">
        <f>+CFS!I38</f>
        <v>-33.216999999999999</v>
      </c>
      <c r="J230" s="848">
        <f>+CFS!J38</f>
        <v>-67.082999999999998</v>
      </c>
      <c r="K230" s="848">
        <f>+CFS!K38</f>
        <v>-88.411000000000001</v>
      </c>
      <c r="L230" s="848">
        <f>+CFS!L38</f>
        <v>-77.031000000000006</v>
      </c>
      <c r="M230" s="848">
        <f>+CFS!M38</f>
        <v>-65.263000000000005</v>
      </c>
      <c r="N230" s="848">
        <f>+CFS!N38</f>
        <v>-77.183000000000007</v>
      </c>
      <c r="O230" s="848">
        <f>+CFS!O38</f>
        <v>-87.174000000000007</v>
      </c>
      <c r="P230" s="848">
        <f>+CFS!P38</f>
        <v>-93.204999999999998</v>
      </c>
      <c r="Q230" s="848">
        <f>+CFS!Q38</f>
        <v>-119.1</v>
      </c>
      <c r="R230" s="848">
        <f>+CFS!R38</f>
        <v>-151.6</v>
      </c>
      <c r="S230" s="848">
        <f>+CFS!S38</f>
        <v>-157.4</v>
      </c>
      <c r="T230" s="848">
        <f>+CFS!T38</f>
        <v>-172.3</v>
      </c>
      <c r="U230" s="848">
        <f>+CFS!U38</f>
        <v>-310.2</v>
      </c>
      <c r="V230" s="891">
        <f>+CFS!V38</f>
        <v>-310.2</v>
      </c>
      <c r="W230" s="891">
        <f>+CFS!W38</f>
        <v>-167.3</v>
      </c>
      <c r="X230" s="848">
        <f>+CFS!X38</f>
        <v>-215.39999999999998</v>
      </c>
      <c r="Y230" s="891">
        <f>+CFS!Y38</f>
        <v>-382.7</v>
      </c>
      <c r="Z230" s="891">
        <f>+CFS!Z38</f>
        <v>-125.7</v>
      </c>
      <c r="AA230" s="848">
        <f>+CFS!AA38</f>
        <v>-172.8</v>
      </c>
      <c r="AB230" s="891">
        <f>+CFS!AB38</f>
        <v>-298.5</v>
      </c>
      <c r="AC230" s="891">
        <f>+CFS!AC38</f>
        <v>-200.1</v>
      </c>
      <c r="AD230" s="848">
        <f>+CFS!AD38</f>
        <v>-185.79999999999998</v>
      </c>
      <c r="AE230" s="891">
        <f>+CFS!AE38</f>
        <v>-385.9</v>
      </c>
      <c r="AF230" s="1319">
        <f>+CFS!AF38</f>
        <v>-224.1</v>
      </c>
      <c r="AG230" s="848">
        <f>+CFS!AG38</f>
        <v>-224.1</v>
      </c>
      <c r="AH230" s="848">
        <f>+CFS!AH38</f>
        <v>-448.2</v>
      </c>
      <c r="AI230" s="848">
        <f>+CFS!AI38</f>
        <v>-157.86482601602529</v>
      </c>
      <c r="AJ230" s="848">
        <f>+CFS!AJ38</f>
        <v>-232.94758265860438</v>
      </c>
      <c r="AK230" s="848">
        <f>+CFS!AK38</f>
        <v>-390.81240867462964</v>
      </c>
      <c r="AL230" s="848">
        <f>+CFS!AL38</f>
        <v>-160.39090193021323</v>
      </c>
      <c r="AM230" s="848">
        <f>+CFS!AM38</f>
        <v>-246.54150157379704</v>
      </c>
      <c r="AN230" s="848">
        <f>+CFS!AN38</f>
        <v>-406.93240350401027</v>
      </c>
      <c r="AO230" s="848">
        <f>+CFS!AO38</f>
        <v>-166.86087437805199</v>
      </c>
      <c r="AP230" s="848">
        <f>+CFS!AP38</f>
        <v>-258.35026264352888</v>
      </c>
      <c r="AQ230" s="848">
        <f>+CFS!AQ38</f>
        <v>-425.21113702158084</v>
      </c>
      <c r="AR230" s="219"/>
    </row>
    <row r="231" spans="1:44">
      <c r="A231" s="53"/>
      <c r="B231" s="848" t="s">
        <v>444</v>
      </c>
      <c r="C231" s="848"/>
      <c r="D231" s="848">
        <f t="shared" ref="D231:Z231" si="599">+D41-C41+D42-C42-D229-D230</f>
        <v>-0.32500000000000107</v>
      </c>
      <c r="E231" s="848">
        <f t="shared" si="599"/>
        <v>-4.5049999999999999</v>
      </c>
      <c r="F231" s="848">
        <f t="shared" si="599"/>
        <v>1.3700000000000072</v>
      </c>
      <c r="G231" s="848">
        <f t="shared" si="599"/>
        <v>0.30799999999999628</v>
      </c>
      <c r="H231" s="848">
        <f t="shared" si="599"/>
        <v>-1.1029999999999767</v>
      </c>
      <c r="I231" s="848">
        <f t="shared" si="599"/>
        <v>-1.0970000000000226</v>
      </c>
      <c r="J231" s="848">
        <f t="shared" si="599"/>
        <v>3.6799999999999926</v>
      </c>
      <c r="K231" s="848">
        <f t="shared" si="599"/>
        <v>-166.89499999999998</v>
      </c>
      <c r="L231" s="848">
        <f t="shared" si="599"/>
        <v>1.092000000000013</v>
      </c>
      <c r="M231" s="848">
        <f t="shared" si="599"/>
        <v>6.6419999999999817</v>
      </c>
      <c r="N231" s="848">
        <f t="shared" si="599"/>
        <v>4.5030000000000001</v>
      </c>
      <c r="O231" s="848">
        <f t="shared" si="599"/>
        <v>1.3709999999999525</v>
      </c>
      <c r="P231" s="848">
        <f t="shared" si="599"/>
        <v>9.5040000000000333</v>
      </c>
      <c r="Q231" s="848">
        <f t="shared" si="599"/>
        <v>6.0620000000000402</v>
      </c>
      <c r="R231" s="848">
        <f t="shared" si="599"/>
        <v>9.5000000000000284</v>
      </c>
      <c r="S231" s="848">
        <f t="shared" si="599"/>
        <v>11.000000000000028</v>
      </c>
      <c r="T231" s="848">
        <f t="shared" si="599"/>
        <v>-36.699999999999989</v>
      </c>
      <c r="U231" s="848">
        <f t="shared" si="599"/>
        <v>13.599999999999966</v>
      </c>
      <c r="V231" s="891">
        <f t="shared" si="599"/>
        <v>-216.59999999999997</v>
      </c>
      <c r="W231" s="891">
        <f t="shared" si="599"/>
        <v>8.1000000000000796</v>
      </c>
      <c r="X231" s="848">
        <f t="shared" si="599"/>
        <v>6.8000000000000682</v>
      </c>
      <c r="Y231" s="891">
        <f>+Y41-V41+Y42-V42-Y229-Y230</f>
        <v>14.89999999999992</v>
      </c>
      <c r="Z231" s="891">
        <f t="shared" si="599"/>
        <v>7.9839999999998241</v>
      </c>
      <c r="AA231" s="848">
        <f>+AA41-Z41+AA42-Z42-AA229-AA230</f>
        <v>8.2160000000002356</v>
      </c>
      <c r="AB231" s="891">
        <f>+AB41-Y41+AB42-Y42-AB229-AB230</f>
        <v>16.199999999999818</v>
      </c>
      <c r="AC231" s="891">
        <f>+AC41-AB41+AC42-AB42-AC229-AC230</f>
        <v>-8.500000000000199</v>
      </c>
      <c r="AD231" s="848">
        <f>+AD41-AC41+AD42-AC42-AD229-AD230</f>
        <v>10.400000000000034</v>
      </c>
      <c r="AE231" s="891">
        <f>+AE41-AB41+AE42-AB42-AE229-AE230</f>
        <v>1.9000000000001478</v>
      </c>
      <c r="AF231" s="1319">
        <f>+AF41-AE41+AF42-AE42-AF229-AF230</f>
        <v>6.6840000000000543</v>
      </c>
      <c r="AG231" s="848">
        <f>+AG41-AF41+AG42-AF42-AG229-AG230</f>
        <v>0.50000000000011369</v>
      </c>
      <c r="AH231" s="848">
        <f>+AH41-AE41+AH42-AE42-AH229-AH230</f>
        <v>7.1839999999999691</v>
      </c>
      <c r="AI231" s="848">
        <f>+AI41-AH41+AI42-AH42-AI229-AI230</f>
        <v>0</v>
      </c>
      <c r="AJ231" s="848">
        <f>+AJ41-AI41+AJ42-AI42-AJ229-AJ230</f>
        <v>0</v>
      </c>
      <c r="AK231" s="848">
        <f>+AK41-AH41+AK42-AH42-AK229-AK230</f>
        <v>0</v>
      </c>
      <c r="AL231" s="848">
        <f>+AL41-AK41+AL42-AK42-AL229-AL230</f>
        <v>0</v>
      </c>
      <c r="AM231" s="848">
        <f>+AM41-AL41+AM42-AL42-AM229-AM230</f>
        <v>0</v>
      </c>
      <c r="AN231" s="848">
        <f>+AN41-AK41+AN42-AK42-AN229-AN230</f>
        <v>0</v>
      </c>
      <c r="AO231" s="848">
        <f>+AO41-AN41+AO42-AN42-AO229-AO230</f>
        <v>0</v>
      </c>
      <c r="AP231" s="848">
        <f>+AP41-AO41+AP42-AO42-AP229-AP230</f>
        <v>0</v>
      </c>
      <c r="AQ231" s="848">
        <f>+AQ41-AN41+AQ42-AN42-AQ229-AQ230</f>
        <v>0</v>
      </c>
      <c r="AR231" s="219"/>
    </row>
    <row r="232" spans="1:44">
      <c r="A232" s="55"/>
      <c r="B232" s="906" t="s">
        <v>439</v>
      </c>
      <c r="C232" s="906">
        <f>+C43</f>
        <v>38.462000000000003</v>
      </c>
      <c r="D232" s="906">
        <f t="shared" ref="D232:U232" si="600">SUM(D227:D231)</f>
        <v>48.875999999999998</v>
      </c>
      <c r="E232" s="906">
        <f t="shared" si="600"/>
        <v>58.565999999999995</v>
      </c>
      <c r="F232" s="906">
        <f t="shared" si="600"/>
        <v>78.951999999999998</v>
      </c>
      <c r="G232" s="906">
        <f t="shared" si="600"/>
        <v>113.11000000000001</v>
      </c>
      <c r="H232" s="906">
        <f t="shared" si="600"/>
        <v>163.89000000000001</v>
      </c>
      <c r="I232" s="906">
        <f t="shared" si="600"/>
        <v>229.25200000000001</v>
      </c>
      <c r="J232" s="906">
        <f t="shared" si="600"/>
        <v>293.29599999999999</v>
      </c>
      <c r="K232" s="906">
        <f t="shared" si="600"/>
        <v>152.31299999999999</v>
      </c>
      <c r="L232" s="906">
        <f t="shared" si="600"/>
        <v>184.50099999999995</v>
      </c>
      <c r="M232" s="906">
        <f t="shared" si="600"/>
        <v>243.34499999999991</v>
      </c>
      <c r="N232" s="906">
        <f t="shared" si="600"/>
        <v>294.63299999999992</v>
      </c>
      <c r="O232" s="906">
        <f t="shared" si="600"/>
        <v>343.47899999999993</v>
      </c>
      <c r="P232" s="906">
        <f>SUM(P227:P231)</f>
        <v>404.70199999999994</v>
      </c>
      <c r="Q232" s="906">
        <f>SUM(Q227:Q231)</f>
        <v>853.49999999999989</v>
      </c>
      <c r="R232" s="906">
        <f>SUM(R227:R231)</f>
        <v>947.5999999999998</v>
      </c>
      <c r="S232" s="906">
        <f t="shared" si="600"/>
        <v>1044.0999999999997</v>
      </c>
      <c r="T232" s="906">
        <f t="shared" si="600"/>
        <v>1105.6999999999998</v>
      </c>
      <c r="U232" s="906">
        <f t="shared" si="600"/>
        <v>1308.3999999999996</v>
      </c>
      <c r="V232" s="893">
        <f t="shared" ref="V232:AK232" si="601">SUM(V227:V231)</f>
        <v>1280.2999999999995</v>
      </c>
      <c r="W232" s="893">
        <f t="shared" ref="W232" si="602">SUM(W227:W231)</f>
        <v>1433.4999999999995</v>
      </c>
      <c r="X232" s="906">
        <f t="shared" ref="X232" si="603">SUM(X227:X231)</f>
        <v>1419.6</v>
      </c>
      <c r="Y232" s="893">
        <f t="shared" si="601"/>
        <v>1419.5999999999995</v>
      </c>
      <c r="Z232" s="893">
        <f t="shared" si="601"/>
        <v>1549.1839999999993</v>
      </c>
      <c r="AA232" s="906">
        <f t="shared" si="601"/>
        <v>1559.0999999999995</v>
      </c>
      <c r="AB232" s="893">
        <f t="shared" si="601"/>
        <v>1559.0999999999992</v>
      </c>
      <c r="AC232" s="893">
        <f t="shared" si="601"/>
        <v>1615.099999999999</v>
      </c>
      <c r="AD232" s="906">
        <f t="shared" si="601"/>
        <v>1616.599999999999</v>
      </c>
      <c r="AE232" s="893">
        <f t="shared" ref="AE232:AF232" si="604">SUM(AE227:AE231)</f>
        <v>1616.599999999999</v>
      </c>
      <c r="AF232" s="1320">
        <f t="shared" si="604"/>
        <v>1678.0839999999989</v>
      </c>
      <c r="AG232" s="906">
        <f t="shared" si="601"/>
        <v>1651.8868391117203</v>
      </c>
      <c r="AH232" s="906">
        <f t="shared" si="601"/>
        <v>1651.8868391117198</v>
      </c>
      <c r="AI232" s="906">
        <f t="shared" si="601"/>
        <v>1804.6187899738338</v>
      </c>
      <c r="AJ232" s="906">
        <f t="shared" si="601"/>
        <v>1771.9036312017884</v>
      </c>
      <c r="AK232" s="906">
        <f t="shared" si="601"/>
        <v>1771.9036312017884</v>
      </c>
      <c r="AL232" s="906">
        <f t="shared" ref="AL232:AN232" si="605">SUM(AL227:AL231)</f>
        <v>1940.2347313699711</v>
      </c>
      <c r="AM232" s="906">
        <f t="shared" si="605"/>
        <v>1901.8574302326467</v>
      </c>
      <c r="AN232" s="906">
        <f t="shared" si="605"/>
        <v>1901.8574302326465</v>
      </c>
      <c r="AO232" s="906">
        <f t="shared" ref="AO232:AQ232" si="606">SUM(AO227:AO231)</f>
        <v>2079.4635727126329</v>
      </c>
      <c r="AP232" s="906">
        <f t="shared" si="606"/>
        <v>2039.5144265585486</v>
      </c>
      <c r="AQ232" s="906">
        <f t="shared" si="606"/>
        <v>2039.5144265585486</v>
      </c>
      <c r="AR232" s="644"/>
    </row>
    <row r="233" spans="1:44">
      <c r="A233" s="57"/>
      <c r="B233" s="907" t="s">
        <v>443</v>
      </c>
      <c r="C233" s="907">
        <f t="shared" ref="C233:AK233" si="607">+C43-C232</f>
        <v>0</v>
      </c>
      <c r="D233" s="907">
        <f t="shared" si="607"/>
        <v>0</v>
      </c>
      <c r="E233" s="907">
        <f t="shared" si="607"/>
        <v>0</v>
      </c>
      <c r="F233" s="907">
        <f t="shared" si="607"/>
        <v>0</v>
      </c>
      <c r="G233" s="907">
        <f t="shared" si="607"/>
        <v>0</v>
      </c>
      <c r="H233" s="907">
        <f t="shared" si="607"/>
        <v>0</v>
      </c>
      <c r="I233" s="907">
        <f t="shared" si="607"/>
        <v>0</v>
      </c>
      <c r="J233" s="907">
        <f t="shared" si="607"/>
        <v>0</v>
      </c>
      <c r="K233" s="907">
        <f t="shared" si="607"/>
        <v>0</v>
      </c>
      <c r="L233" s="907">
        <f t="shared" si="607"/>
        <v>0</v>
      </c>
      <c r="M233" s="907">
        <f t="shared" si="607"/>
        <v>0</v>
      </c>
      <c r="N233" s="907">
        <f t="shared" si="607"/>
        <v>0</v>
      </c>
      <c r="O233" s="907">
        <f t="shared" si="607"/>
        <v>0</v>
      </c>
      <c r="P233" s="907">
        <f t="shared" si="607"/>
        <v>0</v>
      </c>
      <c r="Q233" s="907">
        <f t="shared" si="607"/>
        <v>0</v>
      </c>
      <c r="R233" s="907">
        <f t="shared" si="607"/>
        <v>0</v>
      </c>
      <c r="S233" s="907">
        <f t="shared" si="607"/>
        <v>0</v>
      </c>
      <c r="T233" s="907">
        <f t="shared" si="607"/>
        <v>0</v>
      </c>
      <c r="U233" s="907">
        <f t="shared" si="607"/>
        <v>0</v>
      </c>
      <c r="V233" s="892">
        <f t="shared" si="607"/>
        <v>0</v>
      </c>
      <c r="W233" s="892">
        <f t="shared" ref="W233" si="608">+W43-W232</f>
        <v>0</v>
      </c>
      <c r="X233" s="907">
        <f t="shared" si="607"/>
        <v>0</v>
      </c>
      <c r="Y233" s="892">
        <f t="shared" si="607"/>
        <v>0</v>
      </c>
      <c r="Z233" s="892">
        <f t="shared" si="607"/>
        <v>0</v>
      </c>
      <c r="AA233" s="907">
        <f t="shared" si="607"/>
        <v>0</v>
      </c>
      <c r="AB233" s="892">
        <f t="shared" si="607"/>
        <v>0</v>
      </c>
      <c r="AC233" s="892">
        <f t="shared" si="607"/>
        <v>0</v>
      </c>
      <c r="AD233" s="907">
        <f t="shared" si="607"/>
        <v>0</v>
      </c>
      <c r="AE233" s="892">
        <f t="shared" ref="AE233:AF233" si="609">+AE43-AE232</f>
        <v>0</v>
      </c>
      <c r="AF233" s="1321">
        <f t="shared" si="609"/>
        <v>0</v>
      </c>
      <c r="AG233" s="907">
        <f t="shared" si="607"/>
        <v>0</v>
      </c>
      <c r="AH233" s="907">
        <f t="shared" si="607"/>
        <v>0</v>
      </c>
      <c r="AI233" s="907">
        <f t="shared" si="607"/>
        <v>0</v>
      </c>
      <c r="AJ233" s="907">
        <f t="shared" si="607"/>
        <v>0</v>
      </c>
      <c r="AK233" s="907">
        <f t="shared" si="607"/>
        <v>0</v>
      </c>
      <c r="AL233" s="907">
        <f t="shared" ref="AL233:AN233" si="610">+AL43-AL232</f>
        <v>0</v>
      </c>
      <c r="AM233" s="907">
        <f t="shared" si="610"/>
        <v>0</v>
      </c>
      <c r="AN233" s="907">
        <f t="shared" si="610"/>
        <v>0</v>
      </c>
      <c r="AO233" s="907">
        <f t="shared" ref="AO233:AQ233" si="611">+AO43-AO232</f>
        <v>0</v>
      </c>
      <c r="AP233" s="907">
        <f t="shared" si="611"/>
        <v>0</v>
      </c>
      <c r="AQ233" s="907">
        <f t="shared" si="611"/>
        <v>0</v>
      </c>
      <c r="AR233" s="645"/>
    </row>
    <row r="234" spans="1:44">
      <c r="A234" s="13"/>
      <c r="B234" s="537"/>
      <c r="C234" s="537"/>
      <c r="D234" s="537"/>
      <c r="E234" s="537"/>
      <c r="F234" s="537"/>
      <c r="G234" s="537"/>
      <c r="H234" s="537"/>
      <c r="I234" s="537"/>
      <c r="J234" s="537"/>
      <c r="K234" s="537"/>
      <c r="L234" s="537"/>
      <c r="M234" s="537"/>
      <c r="N234" s="537"/>
      <c r="O234" s="537"/>
      <c r="P234" s="537"/>
      <c r="Q234" s="537"/>
      <c r="R234" s="537"/>
      <c r="S234" s="537"/>
      <c r="T234" s="537"/>
      <c r="U234" s="537"/>
      <c r="V234" s="537"/>
      <c r="W234" s="537"/>
      <c r="X234" s="537"/>
      <c r="Y234" s="537"/>
      <c r="Z234" s="537"/>
      <c r="AA234" s="537"/>
      <c r="AB234" s="537"/>
      <c r="AC234" s="537"/>
      <c r="AD234" s="537"/>
      <c r="AE234" s="537"/>
      <c r="AF234" s="1302"/>
      <c r="AG234" s="537"/>
      <c r="AH234" s="537"/>
      <c r="AI234" s="537"/>
      <c r="AJ234" s="537"/>
      <c r="AK234" s="537"/>
      <c r="AL234" s="537"/>
      <c r="AM234" s="537"/>
      <c r="AN234" s="537"/>
      <c r="AO234" s="537"/>
      <c r="AP234" s="537"/>
      <c r="AQ234" s="537"/>
      <c r="AR234" s="13"/>
    </row>
    <row r="235" spans="1:44">
      <c r="A235" s="30"/>
      <c r="B235" s="877" t="s">
        <v>448</v>
      </c>
      <c r="C235" s="908"/>
      <c r="D235" s="908"/>
      <c r="E235" s="908"/>
      <c r="F235" s="908"/>
      <c r="G235" s="908"/>
      <c r="H235" s="908"/>
      <c r="I235" s="908"/>
      <c r="J235" s="908"/>
      <c r="K235" s="908"/>
      <c r="L235" s="908"/>
      <c r="M235" s="909"/>
      <c r="N235" s="908"/>
      <c r="O235" s="908"/>
      <c r="P235" s="908"/>
      <c r="Q235" s="908"/>
      <c r="R235" s="908"/>
      <c r="S235" s="908"/>
      <c r="T235" s="908"/>
      <c r="U235" s="908"/>
      <c r="V235" s="908"/>
      <c r="W235" s="908"/>
      <c r="X235" s="908"/>
      <c r="Y235" s="908"/>
      <c r="Z235" s="908"/>
      <c r="AA235" s="908"/>
      <c r="AB235" s="908"/>
      <c r="AC235" s="908"/>
      <c r="AD235" s="908"/>
      <c r="AE235" s="908"/>
      <c r="AF235" s="1322"/>
      <c r="AG235" s="908"/>
      <c r="AH235" s="908"/>
      <c r="AI235" s="908"/>
      <c r="AJ235" s="908"/>
      <c r="AK235" s="908"/>
      <c r="AL235" s="908"/>
      <c r="AM235" s="908"/>
      <c r="AN235" s="908"/>
      <c r="AO235" s="908"/>
      <c r="AP235" s="908"/>
      <c r="AQ235" s="908"/>
      <c r="AR235" s="5"/>
    </row>
    <row r="236" spans="1:44">
      <c r="A236" s="53"/>
      <c r="B236" s="848" t="s">
        <v>441</v>
      </c>
      <c r="C236" s="891">
        <f>+'P&amp;L'!C79+'P&amp;L'!C86-'P&amp;L'!C62-'P&amp;L'!C197</f>
        <v>8.958000000000002</v>
      </c>
      <c r="D236" s="891">
        <f>+'P&amp;L'!F79+'P&amp;L'!F86-'P&amp;L'!F62-'P&amp;L'!F197</f>
        <v>14.131</v>
      </c>
      <c r="E236" s="891">
        <f>+'P&amp;L'!I79+'P&amp;L'!I86-'P&amp;L'!I62-'P&amp;L'!I197</f>
        <v>21.355999999999998</v>
      </c>
      <c r="F236" s="891">
        <f>+'P&amp;L'!L79+'P&amp;L'!L86-'P&amp;L'!L62-'P&amp;L'!L197</f>
        <v>25.835999999999999</v>
      </c>
      <c r="G236" s="891">
        <f>+'P&amp;L'!O79+'P&amp;L'!O86-'P&amp;L'!O62-'P&amp;L'!O197</f>
        <v>40.389000000000003</v>
      </c>
      <c r="H236" s="891">
        <f>+'P&amp;L'!R79+'P&amp;L'!R86-'P&amp;L'!R62-'P&amp;L'!R197</f>
        <v>65.134999999999991</v>
      </c>
      <c r="I236" s="891">
        <f>+'P&amp;L'!U79+'P&amp;L'!U86-'P&amp;L'!U62-'P&amp;L'!U197</f>
        <v>94.437000000000012</v>
      </c>
      <c r="J236" s="891">
        <f>+'P&amp;L'!X79+'P&amp;L'!X86-'P&amp;L'!X62-'P&amp;L'!X197</f>
        <v>118.652</v>
      </c>
      <c r="K236" s="891">
        <f>+'P&amp;L'!AA79+'P&amp;L'!AA86-'P&amp;L'!AA62-'P&amp;L'!AA197</f>
        <v>134.39500000000001</v>
      </c>
      <c r="L236" s="891">
        <f>+'P&amp;L'!AD79+'P&amp;L'!AD86-'P&amp;L'!AD62-'P&amp;L'!AD197</f>
        <v>104.64099999999999</v>
      </c>
      <c r="M236" s="891">
        <f>+'P&amp;L'!AG79+'P&amp;L'!AG86-'P&amp;L'!AG62-'P&amp;L'!AG197</f>
        <v>116.38300000000002</v>
      </c>
      <c r="N236" s="891">
        <f>+'P&amp;L'!AJ79+'P&amp;L'!AJ86-'P&amp;L'!AJ62-'P&amp;L'!AJ197</f>
        <v>128.35900000000001</v>
      </c>
      <c r="O236" s="891">
        <f>+'P&amp;L'!AM79+'P&amp;L'!AM86-'P&amp;L'!AM62-'P&amp;L'!AM197</f>
        <v>136.51100000000002</v>
      </c>
      <c r="P236" s="891">
        <f>+'P&amp;L'!AP79+'P&amp;L'!AP86-'P&amp;L'!AP62-'P&amp;L'!AP197</f>
        <v>152.18099999999998</v>
      </c>
      <c r="Q236" s="891">
        <f>+'P&amp;L'!AS79+'P&amp;L'!AS86-'P&amp;L'!AS62-'P&amp;L'!AS197</f>
        <v>207.76183099999997</v>
      </c>
      <c r="R236" s="891">
        <f>+'P&amp;L'!AV79+'P&amp;L'!AV86-'P&amp;L'!AV62-'P&amp;L'!AV197</f>
        <v>233.19999999999993</v>
      </c>
      <c r="S236" s="891">
        <f>+'P&amp;L'!AY79+'P&amp;L'!AY86-'P&amp;L'!AY62-'P&amp;L'!AY197</f>
        <v>249.8</v>
      </c>
      <c r="T236" s="891">
        <f>+'P&amp;L'!BB79+'P&amp;L'!BB86-'P&amp;L'!BB62-'P&amp;L'!BB197</f>
        <v>326.20000000000005</v>
      </c>
      <c r="U236" s="891">
        <f>+'P&amp;L'!BE79+'P&amp;L'!BE86-'P&amp;L'!BE62-'P&amp;L'!BE197</f>
        <v>513.9</v>
      </c>
      <c r="V236" s="891">
        <f>+'P&amp;L'!BH79+'P&amp;L'!BH86-'P&amp;L'!BH62-'P&amp;L'!BH197</f>
        <v>549</v>
      </c>
      <c r="W236" s="891">
        <f>+'P&amp;L'!BI79+'P&amp;L'!BI86-'P&amp;L'!BI62-'P&amp;L'!BI197</f>
        <v>329.9</v>
      </c>
      <c r="X236" s="891">
        <f>+'P&amp;L'!BJ79+'P&amp;L'!BJ86-'P&amp;L'!BJ62-'P&amp;L'!BJ197</f>
        <v>194.70000000000005</v>
      </c>
      <c r="Y236" s="891">
        <f>+'P&amp;L'!BK79+'P&amp;L'!BK86-'P&amp;L'!BK62-'P&amp;L'!BK197</f>
        <v>524.6</v>
      </c>
      <c r="Z236" s="891">
        <f>+'P&amp;L'!BL79+'P&amp;L'!BL86-'P&amp;L'!BL62-'P&amp;L'!BL197</f>
        <v>264.3</v>
      </c>
      <c r="AA236" s="891">
        <f>+'P&amp;L'!BM79+'P&amp;L'!BM86-'P&amp;L'!BM62-'P&amp;L'!BM197</f>
        <v>174.49999999999994</v>
      </c>
      <c r="AB236" s="891">
        <f>+'P&amp;L'!BN79+'P&amp;L'!BN86-'P&amp;L'!BN62-'P&amp;L'!BN197</f>
        <v>438.79999999999995</v>
      </c>
      <c r="AC236" s="891">
        <f>+'P&amp;L'!BO79+'P&amp;L'!BO86-'P&amp;L'!BO62-'P&amp;L'!BO197</f>
        <v>285.50000000000006</v>
      </c>
      <c r="AD236" s="891">
        <f>+'P&amp;L'!BP79+'P&amp;L'!BP86-'P&amp;L'!BP62-'P&amp;L'!BP197</f>
        <v>190.59999999999994</v>
      </c>
      <c r="AE236" s="891">
        <f>+'P&amp;L'!BQ79+'P&amp;L'!BQ86-'P&amp;L'!BQ62-'P&amp;L'!BQ197</f>
        <v>476.09999999999991</v>
      </c>
      <c r="AF236" s="1319">
        <f>+'P&amp;L'!BR79+'P&amp;L'!BR86-'P&amp;L'!BR62-'P&amp;L'!BR197</f>
        <v>305.79999999999995</v>
      </c>
      <c r="AG236" s="891">
        <f>+'P&amp;L'!BS79+'P&amp;L'!BS86-'P&amp;L'!BS62-'P&amp;L'!BS197</f>
        <v>197.40283911172125</v>
      </c>
      <c r="AH236" s="891">
        <f>+'P&amp;L'!BT79+'P&amp;L'!BT86-'P&amp;L'!BT62-'P&amp;L'!BT197</f>
        <v>503.20283911172118</v>
      </c>
      <c r="AI236" s="891">
        <f>+'P&amp;L'!BU79+'P&amp;L'!BU86-'P&amp;L'!BU62-'P&amp;L'!BU197</f>
        <v>310.59677687813917</v>
      </c>
      <c r="AJ236" s="891">
        <f>+'P&amp;L'!BV79+'P&amp;L'!BV86-'P&amp;L'!BV62-'P&amp;L'!BV197</f>
        <v>200.23242388655899</v>
      </c>
      <c r="AK236" s="891">
        <f>+'P&amp;L'!BW79+'P&amp;L'!BW86-'P&amp;L'!BW62-'P&amp;L'!BW197</f>
        <v>510.82920076469816</v>
      </c>
      <c r="AL236" s="891">
        <f>+'P&amp;L'!BX79+'P&amp;L'!BX86-'P&amp;L'!BX62-'P&amp;L'!BX197</f>
        <v>328.72200209839599</v>
      </c>
      <c r="AM236" s="891">
        <f>+'P&amp;L'!BY79+'P&amp;L'!BY86-'P&amp;L'!BY62-'P&amp;L'!BY197</f>
        <v>208.16420043647273</v>
      </c>
      <c r="AN236" s="891">
        <f>+'P&amp;L'!BZ79+'P&amp;L'!BZ86-'P&amp;L'!BZ62-'P&amp;L'!BZ197</f>
        <v>536.88620253486874</v>
      </c>
      <c r="AO236" s="891">
        <f>+'P&amp;L'!CA79+'P&amp;L'!CA86-'P&amp;L'!CA62-'P&amp;L'!CA197</f>
        <v>344.46701685803851</v>
      </c>
      <c r="AP236" s="891">
        <f>+'P&amp;L'!CB79+'P&amp;L'!CB86-'P&amp;L'!CB62-'P&amp;L'!CB197</f>
        <v>218.40111648944438</v>
      </c>
      <c r="AQ236" s="891">
        <f>+'P&amp;L'!CC79+'P&amp;L'!CC86-'P&amp;L'!CC62-'P&amp;L'!CC197</f>
        <v>562.86813334748297</v>
      </c>
      <c r="AR236" s="53"/>
    </row>
    <row r="237" spans="1:44">
      <c r="A237" s="24"/>
      <c r="B237" s="910" t="s">
        <v>235</v>
      </c>
      <c r="C237" s="911">
        <f>+C236/'P&amp;L'!C103</f>
        <v>0.10768768407765825</v>
      </c>
      <c r="D237" s="911">
        <f>+D236/'P&amp;L'!F103</f>
        <v>0.16360057887120116</v>
      </c>
      <c r="E237" s="911">
        <f>+E236/'P&amp;L'!I103</f>
        <v>0.20489499083748283</v>
      </c>
      <c r="F237" s="911">
        <f>+F236/'P&amp;L'!L103</f>
        <v>0.24546568743883784</v>
      </c>
      <c r="G237" s="911">
        <f>+G236/'P&amp;L'!O103</f>
        <v>0.38083429196447094</v>
      </c>
      <c r="H237" s="911">
        <f>+H236/'P&amp;L'!R103</f>
        <v>0.6072910353829658</v>
      </c>
      <c r="I237" s="911">
        <f>+I236/'P&amp;L'!U103</f>
        <v>0.87629095565515136</v>
      </c>
      <c r="J237" s="911">
        <f>+J236/'P&amp;L'!X103</f>
        <v>1.0842433269671854</v>
      </c>
      <c r="K237" s="911">
        <f>+K236/'P&amp;L'!AA103</f>
        <v>1.238709261170919</v>
      </c>
      <c r="L237" s="911">
        <f>+L236/'P&amp;L'!AD103</f>
        <v>1.0586693915541976</v>
      </c>
      <c r="M237" s="911">
        <f>+M236/'P&amp;L'!AG103</f>
        <v>1.1702311644696493</v>
      </c>
      <c r="N237" s="911">
        <f>+N236/'P&amp;L'!AJ103</f>
        <v>1.2688585522088554</v>
      </c>
      <c r="O237" s="911">
        <f>+O236/'P&amp;L'!AM103</f>
        <v>1.3646050961144378</v>
      </c>
      <c r="P237" s="911">
        <f>+P236/'P&amp;L'!AP103</f>
        <v>1.5212471385587329</v>
      </c>
      <c r="Q237" s="911">
        <f>+Q236/'P&amp;L'!AS103</f>
        <v>1.8434945075421469</v>
      </c>
      <c r="R237" s="911">
        <f>+R236/'P&amp;L'!AV103</f>
        <v>2.0120793787748052</v>
      </c>
      <c r="S237" s="911">
        <f>+S236/'P&amp;L'!AY103</f>
        <v>2.1515934539190353</v>
      </c>
      <c r="T237" s="911">
        <f>+T236/'P&amp;L'!BB103</f>
        <v>2.8120689655172417</v>
      </c>
      <c r="U237" s="911">
        <f>+U236/'P&amp;L'!BE103</f>
        <v>4.445501730103806</v>
      </c>
      <c r="V237" s="911">
        <f>+V236/'P&amp;L'!BH103</f>
        <v>4.807355516637478</v>
      </c>
      <c r="W237" s="911">
        <f>+W236/'P&amp;L'!BI103</f>
        <v>3.0072926162260707</v>
      </c>
      <c r="X237" s="911">
        <f>+X236/'P&amp;L'!BJ103</f>
        <v>1.7732240437158475</v>
      </c>
      <c r="Y237" s="911">
        <f>+Y236/'P&amp;L'!BK103</f>
        <v>4.7777777777777777</v>
      </c>
      <c r="Z237" s="911">
        <f>+Z236/'P&amp;L'!BL103</f>
        <v>2.4071038251366121</v>
      </c>
      <c r="AA237" s="911">
        <f>+AA236/'P&amp;L'!BM103</f>
        <v>1.5936073059360725</v>
      </c>
      <c r="AB237" s="911">
        <f>+AB236/'P&amp;L'!BN103</f>
        <v>4.0073059360730587</v>
      </c>
      <c r="AC237" s="911">
        <f>+AC236/'P&amp;L'!BO103</f>
        <v>2.6025524156791255</v>
      </c>
      <c r="AD237" s="911">
        <f>+AD236/'P&amp;L'!BP103</f>
        <v>1.7374658158614398</v>
      </c>
      <c r="AE237" s="911">
        <f>+AE236/'P&amp;L'!BQ103</f>
        <v>4.3400182315405642</v>
      </c>
      <c r="AF237" s="1323">
        <f>+AF236/'P&amp;L'!BR103</f>
        <v>2.7901459854014594</v>
      </c>
      <c r="AG237" s="911">
        <f>+AG236/'P&amp;L'!BS103</f>
        <v>1.7989216951102982</v>
      </c>
      <c r="AH237" s="911">
        <f>+AH236/'P&amp;L'!BT103</f>
        <v>4.5856610188207894</v>
      </c>
      <c r="AI237" s="911">
        <f>+AI236/'P&amp;L'!BU103</f>
        <v>2.8304520992283981</v>
      </c>
      <c r="AJ237" s="911">
        <f>+AJ236/'P&amp;L'!BV103</f>
        <v>1.8247075524085743</v>
      </c>
      <c r="AK237" s="911">
        <f>+AK236/'P&amp;L'!BW103</f>
        <v>4.6551596516369722</v>
      </c>
      <c r="AL237" s="911">
        <f>+AL236/'P&amp;L'!BX103</f>
        <v>2.9956263237947778</v>
      </c>
      <c r="AM237" s="911">
        <f>+AM236/'P&amp;L'!BY103</f>
        <v>1.8969894151244975</v>
      </c>
      <c r="AN237" s="911">
        <f>+AN236/'P&amp;L'!BZ103</f>
        <v>4.8926157389192753</v>
      </c>
      <c r="AO237" s="911">
        <f>+AO236/'P&amp;L'!CA103</f>
        <v>3.1391098155642281</v>
      </c>
      <c r="AP237" s="911">
        <f>+AP236/'P&amp;L'!CB103</f>
        <v>1.990277892947713</v>
      </c>
      <c r="AQ237" s="911">
        <f>+AQ236/'P&amp;L'!CC103</f>
        <v>5.1293877085119419</v>
      </c>
      <c r="AR237" s="24"/>
    </row>
    <row r="238" spans="1:44">
      <c r="A238" s="53"/>
      <c r="B238" s="848" t="s">
        <v>165</v>
      </c>
      <c r="C238" s="891">
        <f>+'P&amp;L'!C64-'P&amp;L'!C62</f>
        <v>16.781000000000002</v>
      </c>
      <c r="D238" s="891">
        <f>+'P&amp;L'!F64-'P&amp;L'!F62</f>
        <v>22.731999999999999</v>
      </c>
      <c r="E238" s="891">
        <f>+'P&amp;L'!I64-'P&amp;L'!I62</f>
        <v>37.031999999999996</v>
      </c>
      <c r="F238" s="891">
        <f>+'P&amp;L'!L64-'P&amp;L'!L62</f>
        <v>44.561</v>
      </c>
      <c r="G238" s="891">
        <f>+'P&amp;L'!O64-'P&amp;L'!O62</f>
        <v>65.534000000000006</v>
      </c>
      <c r="H238" s="891">
        <f>+'P&amp;L'!R64-'P&amp;L'!R62</f>
        <v>102.29899999999999</v>
      </c>
      <c r="I238" s="891">
        <f>+'P&amp;L'!U64-'P&amp;L'!U62</f>
        <v>141.96600000000001</v>
      </c>
      <c r="J238" s="891">
        <f>+'P&amp;L'!X64-'P&amp;L'!X62</f>
        <v>175.11</v>
      </c>
      <c r="K238" s="891">
        <f>+'P&amp;L'!AA64-'P&amp;L'!AA62</f>
        <v>196.01300000000001</v>
      </c>
      <c r="L238" s="891">
        <f>+'P&amp;L'!AD64-'P&amp;L'!AD62</f>
        <v>161.459</v>
      </c>
      <c r="M238" s="891">
        <f>+'P&amp;L'!AG64-'P&amp;L'!AG62</f>
        <v>177.75300000000001</v>
      </c>
      <c r="N238" s="891">
        <f>+'P&amp;L'!AJ64-'P&amp;L'!AJ62</f>
        <v>191.12</v>
      </c>
      <c r="O238" s="891">
        <f>+'P&amp;L'!AM64-'P&amp;L'!AM62</f>
        <v>200.90700000000001</v>
      </c>
      <c r="P238" s="891">
        <f>+'P&amp;L'!AP64-'P&amp;L'!AP62</f>
        <v>221.17500000000001</v>
      </c>
      <c r="Q238" s="891">
        <f>+'P&amp;L'!AS64-'P&amp;L'!AS62</f>
        <v>306.39999999999998</v>
      </c>
      <c r="R238" s="891">
        <f>+'P&amp;L'!AV64-'P&amp;L'!AV62</f>
        <v>350.59999999999997</v>
      </c>
      <c r="S238" s="891">
        <f>+'P&amp;L'!AY64-'P&amp;L'!AY62</f>
        <v>372.90000000000003</v>
      </c>
      <c r="T238" s="891">
        <f>+'P&amp;L'!BB64-'P&amp;L'!BB62</f>
        <v>502.90000000000003</v>
      </c>
      <c r="U238" s="891">
        <f>+'P&amp;L'!BE64-'P&amp;L'!BE62</f>
        <v>743.1</v>
      </c>
      <c r="V238" s="891">
        <f>+'P&amp;L'!BH64-'P&amp;L'!BH62</f>
        <v>794.59999999999991</v>
      </c>
      <c r="W238" s="891">
        <f>+'P&amp;L'!BI64-'P&amp;L'!BI62</f>
        <v>479.2</v>
      </c>
      <c r="X238" s="891">
        <f>+'P&amp;L'!BJ64-'P&amp;L'!BJ62</f>
        <v>289.8</v>
      </c>
      <c r="Y238" s="891">
        <f>+'P&amp;L'!BK64-'P&amp;L'!BK62</f>
        <v>769</v>
      </c>
      <c r="Z238" s="891">
        <f>+'P&amp;L'!BL64-'P&amp;L'!BL62</f>
        <v>386.7</v>
      </c>
      <c r="AA238" s="891">
        <f>+'P&amp;L'!BM64-'P&amp;L'!BM62</f>
        <v>260.49999999999994</v>
      </c>
      <c r="AB238" s="891">
        <f>+'P&amp;L'!BN64-'P&amp;L'!BN62</f>
        <v>647.19999999999993</v>
      </c>
      <c r="AC238" s="891">
        <f>+'P&amp;L'!BO64-'P&amp;L'!BO62</f>
        <v>419.90000000000003</v>
      </c>
      <c r="AD238" s="891">
        <f>+'P&amp;L'!BP64-'P&amp;L'!BP62</f>
        <v>287.89999999999992</v>
      </c>
      <c r="AE238" s="891">
        <f>+'P&amp;L'!BQ64-'P&amp;L'!BQ62</f>
        <v>707.8</v>
      </c>
      <c r="AF238" s="1319">
        <f>+'P&amp;L'!BR64-'P&amp;L'!BR62</f>
        <v>454</v>
      </c>
      <c r="AG238" s="891">
        <f>+'P&amp;L'!BS64-'P&amp;L'!BS62</f>
        <v>299.74192521296516</v>
      </c>
      <c r="AH238" s="891">
        <f>+'P&amp;L'!BT64-'P&amp;L'!BT62</f>
        <v>753.74192521296516</v>
      </c>
      <c r="AI238" s="891">
        <f>+'P&amp;L'!BU64-'P&amp;L'!BU62</f>
        <v>462.29499825171848</v>
      </c>
      <c r="AJ238" s="891">
        <f>+'P&amp;L'!BV64-'P&amp;L'!BV62</f>
        <v>305.39218045061097</v>
      </c>
      <c r="AK238" s="891">
        <f>+'P&amp;L'!BW64-'P&amp;L'!BW62</f>
        <v>767.68717870232945</v>
      </c>
      <c r="AL238" s="891">
        <f>+'P&amp;L'!BX64-'P&amp;L'!BX62</f>
        <v>488.71109506951535</v>
      </c>
      <c r="AM238" s="891">
        <f>+'P&amp;L'!BY64-'P&amp;L'!BY62</f>
        <v>317.31163138343726</v>
      </c>
      <c r="AN238" s="891">
        <f>+'P&amp;L'!BZ64-'P&amp;L'!BZ62</f>
        <v>806.02272645295261</v>
      </c>
      <c r="AO238" s="891">
        <f>+'P&amp;L'!CA64-'P&amp;L'!CA62</f>
        <v>512.41632904668973</v>
      </c>
      <c r="AP238" s="891">
        <f>+'P&amp;L'!CB64-'P&amp;L'!CB62</f>
        <v>333.27546593914826</v>
      </c>
      <c r="AQ238" s="891">
        <f>+'P&amp;L'!CC64-'P&amp;L'!CC62</f>
        <v>845.69179498583799</v>
      </c>
      <c r="AR238" s="53"/>
    </row>
    <row r="239" spans="1:44">
      <c r="A239" s="53"/>
      <c r="B239" s="848" t="s">
        <v>195</v>
      </c>
      <c r="C239" s="891">
        <f>+C238+CFS!C16</f>
        <v>18.100000000000001</v>
      </c>
      <c r="D239" s="891">
        <f>+D238+CFS!D16</f>
        <v>25.9</v>
      </c>
      <c r="E239" s="891">
        <f>+E238+CFS!E16</f>
        <v>42.3</v>
      </c>
      <c r="F239" s="891">
        <f>+F238+CFS!F16</f>
        <v>52</v>
      </c>
      <c r="G239" s="891">
        <f>+G238+CFS!G16</f>
        <v>76.388000000000005</v>
      </c>
      <c r="H239" s="891">
        <f>+H238+CFS!H16</f>
        <v>116.99</v>
      </c>
      <c r="I239" s="891">
        <f>+I238+CFS!I16</f>
        <v>160.715</v>
      </c>
      <c r="J239" s="891">
        <f>+J238+CFS!J16</f>
        <v>198.387</v>
      </c>
      <c r="K239" s="891">
        <f>+K238+CFS!K16</f>
        <v>223.3</v>
      </c>
      <c r="L239" s="891">
        <f>+L238+CFS!L16</f>
        <v>192.21299999999999</v>
      </c>
      <c r="M239" s="891">
        <f>+M238+CFS!M16</f>
        <v>210.98500000000001</v>
      </c>
      <c r="N239" s="891">
        <f>+N238+CFS!N16</f>
        <v>226.65</v>
      </c>
      <c r="O239" s="891">
        <f>+O238+CFS!O16</f>
        <v>240.03100000000001</v>
      </c>
      <c r="P239" s="891">
        <f>+P238+CFS!P16</f>
        <v>262.07600000000002</v>
      </c>
      <c r="Q239" s="891">
        <f>+Q238+CFS!Q16</f>
        <v>360.29999999999995</v>
      </c>
      <c r="R239" s="891">
        <f>+R238+CFS!R16</f>
        <v>411.7</v>
      </c>
      <c r="S239" s="891">
        <f>+S238+CFS!S16</f>
        <v>429.1</v>
      </c>
      <c r="T239" s="891">
        <f>+T238+CFS!T16</f>
        <v>732.2</v>
      </c>
      <c r="U239" s="891">
        <f>+U238+CFS!U16</f>
        <v>961.6</v>
      </c>
      <c r="V239" s="891">
        <f>+V238+CFS!V16</f>
        <v>1013.8999999999999</v>
      </c>
      <c r="W239" s="891">
        <f>+W238+CFS!W16</f>
        <v>592.6</v>
      </c>
      <c r="X239" s="891">
        <f>+X238+CFS!X16</f>
        <v>400.6</v>
      </c>
      <c r="Y239" s="891">
        <f>+Y238+CFS!Y16</f>
        <v>993.2</v>
      </c>
      <c r="Z239" s="891">
        <f>+Z238+CFS!Z16</f>
        <v>505.2</v>
      </c>
      <c r="AA239" s="891">
        <f>+AA238+CFS!AA16</f>
        <v>379.09999999999985</v>
      </c>
      <c r="AB239" s="891">
        <f>+AB238+CFS!AB16</f>
        <v>884.3</v>
      </c>
      <c r="AC239" s="891">
        <f>+AC238+CFS!AC16</f>
        <v>545.9</v>
      </c>
      <c r="AD239" s="891">
        <f>+AD238+CFS!AD16</f>
        <v>420.7</v>
      </c>
      <c r="AE239" s="891">
        <f>+AE238+CFS!AE16</f>
        <v>966.59999999999991</v>
      </c>
      <c r="AF239" s="1319">
        <f>+AF238+CFS!AF16</f>
        <v>589</v>
      </c>
      <c r="AG239" s="891">
        <f>+AG238+CFS!AG16</f>
        <v>433.2068409588216</v>
      </c>
      <c r="AH239" s="891">
        <f>+AH238+CFS!AH16</f>
        <v>1022.2068409588215</v>
      </c>
      <c r="AI239" s="891">
        <f>+AI238+CFS!AI16</f>
        <v>600.72699825171844</v>
      </c>
      <c r="AJ239" s="891">
        <f>+AJ238+CFS!AJ16</f>
        <v>442.23180116884305</v>
      </c>
      <c r="AK239" s="891">
        <f>+AK238+CFS!AK16</f>
        <v>1042.9587994205615</v>
      </c>
      <c r="AL239" s="891">
        <f>+AL238+CFS!AL16</f>
        <v>628.91212006951537</v>
      </c>
      <c r="AM239" s="891">
        <f>+AM238+CFS!AM16</f>
        <v>459.36195216071627</v>
      </c>
      <c r="AN239" s="891">
        <f>+AN238+CFS!AN16</f>
        <v>1088.2740722302317</v>
      </c>
      <c r="AO239" s="891">
        <f>+AO238+CFS!AO16</f>
        <v>656.17409854668972</v>
      </c>
      <c r="AP239" s="891">
        <f>+AP238+CFS!AP16</f>
        <v>478.92619843818312</v>
      </c>
      <c r="AQ239" s="891">
        <f>+AQ238+CFS!AQ16</f>
        <v>1135.1002969848728</v>
      </c>
      <c r="AR239" s="53"/>
    </row>
    <row r="240" spans="1:44">
      <c r="A240" s="53"/>
      <c r="B240" s="848" t="s">
        <v>411</v>
      </c>
      <c r="C240" s="891">
        <f t="shared" ref="C240:AK240" si="612">+C113</f>
        <v>24.887999999999998</v>
      </c>
      <c r="D240" s="891">
        <f t="shared" si="612"/>
        <v>27.166999999999998</v>
      </c>
      <c r="E240" s="891">
        <f t="shared" si="612"/>
        <v>76.004999999999995</v>
      </c>
      <c r="F240" s="891">
        <f t="shared" si="612"/>
        <v>96.068000000000012</v>
      </c>
      <c r="G240" s="891">
        <f t="shared" si="612"/>
        <v>94.727000000000004</v>
      </c>
      <c r="H240" s="891">
        <f t="shared" si="612"/>
        <v>124.517</v>
      </c>
      <c r="I240" s="891">
        <f t="shared" si="612"/>
        <v>53.568000000000005</v>
      </c>
      <c r="J240" s="891">
        <f t="shared" si="612"/>
        <v>17.888999999999996</v>
      </c>
      <c r="K240" s="891">
        <f t="shared" si="612"/>
        <v>205.33599999999998</v>
      </c>
      <c r="L240" s="891">
        <f t="shared" si="612"/>
        <v>110.065</v>
      </c>
      <c r="M240" s="891">
        <f t="shared" si="612"/>
        <v>56.963000000000008</v>
      </c>
      <c r="N240" s="891">
        <f t="shared" si="612"/>
        <v>136.208</v>
      </c>
      <c r="O240" s="891">
        <f t="shared" si="612"/>
        <v>90.330000000000013</v>
      </c>
      <c r="P240" s="891">
        <f t="shared" si="612"/>
        <v>57.852000000000004</v>
      </c>
      <c r="Q240" s="891">
        <f t="shared" si="612"/>
        <v>485.99999999999994</v>
      </c>
      <c r="R240" s="891">
        <f t="shared" si="612"/>
        <v>397.4</v>
      </c>
      <c r="S240" s="891">
        <f t="shared" si="612"/>
        <v>319.90000000000003</v>
      </c>
      <c r="T240" s="891">
        <f t="shared" si="612"/>
        <v>-251.5</v>
      </c>
      <c r="U240" s="891">
        <f t="shared" si="612"/>
        <v>-263.2</v>
      </c>
      <c r="V240" s="891">
        <f t="shared" si="612"/>
        <v>-66.199999999999989</v>
      </c>
      <c r="W240" s="891">
        <f t="shared" ref="W240" si="613">+W113</f>
        <v>-391.18399999999804</v>
      </c>
      <c r="X240" s="891">
        <f t="shared" si="612"/>
        <v>-127.50000000000001</v>
      </c>
      <c r="Y240" s="891">
        <f t="shared" si="612"/>
        <v>-127.50000000000001</v>
      </c>
      <c r="Z240" s="891">
        <f t="shared" si="612"/>
        <v>-487.98399999999828</v>
      </c>
      <c r="AA240" s="891">
        <f t="shared" si="612"/>
        <v>-302.7</v>
      </c>
      <c r="AB240" s="891">
        <f t="shared" si="612"/>
        <v>-302.7</v>
      </c>
      <c r="AC240" s="891">
        <f t="shared" si="612"/>
        <v>-555.08399999999881</v>
      </c>
      <c r="AD240" s="891">
        <f t="shared" si="612"/>
        <v>-282.7839999999984</v>
      </c>
      <c r="AE240" s="891">
        <f t="shared" ref="AE240:AF240" si="614">+AE113</f>
        <v>-284.08399999999841</v>
      </c>
      <c r="AF240" s="1319">
        <f t="shared" si="614"/>
        <v>-489.48399999999845</v>
      </c>
      <c r="AG240" s="891">
        <f t="shared" si="612"/>
        <v>-278.73729058787308</v>
      </c>
      <c r="AH240" s="891">
        <f t="shared" si="612"/>
        <v>-278.73729058787302</v>
      </c>
      <c r="AI240" s="891">
        <f t="shared" si="612"/>
        <v>-326.68172698675107</v>
      </c>
      <c r="AJ240" s="891">
        <f t="shared" si="612"/>
        <v>-336.69984284409213</v>
      </c>
      <c r="AK240" s="891">
        <f t="shared" si="612"/>
        <v>-336.69984284409219</v>
      </c>
      <c r="AL240" s="891">
        <f t="shared" ref="AL240:AN240" si="615">+AL113</f>
        <v>-392.73420303820353</v>
      </c>
      <c r="AM240" s="891">
        <f t="shared" si="615"/>
        <v>-401.13494328867984</v>
      </c>
      <c r="AN240" s="891">
        <f t="shared" si="615"/>
        <v>-401.13494328867995</v>
      </c>
      <c r="AO240" s="891">
        <f t="shared" ref="AO240:AQ240" si="616">+AO113</f>
        <v>-460.65710692456236</v>
      </c>
      <c r="AP240" s="891">
        <f t="shared" si="616"/>
        <v>-468.35923217716908</v>
      </c>
      <c r="AQ240" s="891">
        <f t="shared" si="616"/>
        <v>-468.35923217716885</v>
      </c>
      <c r="AR240" s="53"/>
    </row>
    <row r="241" spans="1:44">
      <c r="A241" s="13"/>
      <c r="B241" s="537" t="s">
        <v>250</v>
      </c>
      <c r="C241" s="772"/>
      <c r="D241" s="772">
        <f t="shared" ref="D241:W241" si="617">+D236/C43</f>
        <v>0.36740159118090582</v>
      </c>
      <c r="E241" s="772">
        <f t="shared" si="617"/>
        <v>0.43694246665029868</v>
      </c>
      <c r="F241" s="772">
        <f t="shared" si="617"/>
        <v>0.44114332547894686</v>
      </c>
      <c r="G241" s="772">
        <f t="shared" si="617"/>
        <v>0.51156398824602289</v>
      </c>
      <c r="H241" s="772">
        <f t="shared" si="617"/>
        <v>0.57585536203695509</v>
      </c>
      <c r="I241" s="772">
        <f t="shared" si="617"/>
        <v>0.57622185612300947</v>
      </c>
      <c r="J241" s="772">
        <f t="shared" si="617"/>
        <v>0.51756146075061504</v>
      </c>
      <c r="K241" s="772">
        <f t="shared" si="617"/>
        <v>0.45822309202989475</v>
      </c>
      <c r="L241" s="772">
        <f t="shared" si="617"/>
        <v>0.68701292732728003</v>
      </c>
      <c r="M241" s="772">
        <f t="shared" si="617"/>
        <v>0.63079874905827094</v>
      </c>
      <c r="N241" s="772">
        <f t="shared" si="617"/>
        <v>0.52747744971131527</v>
      </c>
      <c r="O241" s="772">
        <f t="shared" si="617"/>
        <v>0.46332556095209976</v>
      </c>
      <c r="P241" s="772">
        <f t="shared" si="617"/>
        <v>0.44305765417973147</v>
      </c>
      <c r="Q241" s="772">
        <f t="shared" si="617"/>
        <v>0.51336991415906019</v>
      </c>
      <c r="R241" s="772">
        <f t="shared" si="617"/>
        <v>0.27322788517867597</v>
      </c>
      <c r="S241" s="772">
        <f t="shared" si="617"/>
        <v>0.26361333896158723</v>
      </c>
      <c r="T241" s="772">
        <f t="shared" si="617"/>
        <v>0.31242218178335418</v>
      </c>
      <c r="U241" s="772">
        <f t="shared" si="617"/>
        <v>0.46477344668535764</v>
      </c>
      <c r="V241" s="772">
        <f t="shared" si="617"/>
        <v>0.4195964536838887</v>
      </c>
      <c r="W241" s="772">
        <f t="shared" si="617"/>
        <v>0.25767398266031394</v>
      </c>
      <c r="X241" s="772"/>
      <c r="Y241" s="772">
        <f>+Y236/V43</f>
        <v>0.40974771537920796</v>
      </c>
      <c r="Z241" s="772">
        <f t="shared" ref="Z241" si="618">+Z236/Y43</f>
        <v>0.18617920540997462</v>
      </c>
      <c r="AA241" s="772"/>
      <c r="AB241" s="772">
        <f>+AB236/Y43</f>
        <v>0.30910115525500137</v>
      </c>
      <c r="AC241" s="772"/>
      <c r="AD241" s="772"/>
      <c r="AE241" s="772">
        <f>+AE236/AB43</f>
        <v>0.3053684818164325</v>
      </c>
      <c r="AF241" s="1324"/>
      <c r="AG241" s="772"/>
      <c r="AH241" s="772">
        <f>+AH236/AE43</f>
        <v>0.31127232408247013</v>
      </c>
      <c r="AI241" s="772"/>
      <c r="AJ241" s="772"/>
      <c r="AK241" s="772">
        <f>+AK236/AH43</f>
        <v>0.30923982725075122</v>
      </c>
      <c r="AL241" s="772"/>
      <c r="AM241" s="772"/>
      <c r="AN241" s="772">
        <f>+AN236/AK43</f>
        <v>0.3029996626682947</v>
      </c>
      <c r="AO241" s="772"/>
      <c r="AP241" s="772"/>
      <c r="AQ241" s="772">
        <f>+AQ236/AN43</f>
        <v>0.29595705987205839</v>
      </c>
      <c r="AR241" s="54"/>
    </row>
    <row r="242" spans="1:44">
      <c r="A242" s="13"/>
      <c r="B242" s="537"/>
      <c r="C242" s="537"/>
      <c r="D242" s="537"/>
      <c r="E242" s="537"/>
      <c r="F242" s="537"/>
      <c r="G242" s="537"/>
      <c r="H242" s="537"/>
      <c r="I242" s="537"/>
      <c r="J242" s="537"/>
      <c r="K242" s="537"/>
      <c r="L242" s="537"/>
      <c r="M242" s="537"/>
      <c r="N242" s="537"/>
      <c r="O242" s="537"/>
      <c r="P242" s="537"/>
      <c r="Q242" s="537"/>
      <c r="R242" s="537"/>
      <c r="S242" s="537"/>
      <c r="T242" s="537"/>
      <c r="U242" s="537"/>
      <c r="V242" s="537"/>
      <c r="W242" s="537"/>
      <c r="X242" s="537"/>
      <c r="Y242" s="537"/>
      <c r="Z242" s="537"/>
      <c r="AA242" s="537"/>
      <c r="AB242" s="537"/>
      <c r="AC242" s="537"/>
      <c r="AD242" s="537"/>
      <c r="AE242" s="537"/>
      <c r="AF242" s="1302"/>
      <c r="AG242" s="537"/>
      <c r="AH242" s="537"/>
      <c r="AI242" s="537"/>
      <c r="AJ242" s="537"/>
      <c r="AK242" s="537"/>
      <c r="AL242" s="537"/>
      <c r="AM242" s="537"/>
      <c r="AN242" s="537"/>
      <c r="AO242" s="537"/>
      <c r="AP242" s="537"/>
      <c r="AQ242" s="537"/>
      <c r="AR242" s="13"/>
    </row>
    <row r="243" spans="1:44">
      <c r="A243" s="13"/>
      <c r="B243" s="537"/>
      <c r="C243" s="537"/>
      <c r="D243" s="537"/>
      <c r="E243" s="537"/>
      <c r="F243" s="537"/>
      <c r="G243" s="537"/>
      <c r="H243" s="537"/>
      <c r="I243" s="537"/>
      <c r="J243" s="537"/>
      <c r="K243" s="537"/>
      <c r="L243" s="537"/>
      <c r="M243" s="537"/>
      <c r="N243" s="537"/>
      <c r="O243" s="537"/>
      <c r="P243" s="537"/>
      <c r="Q243" s="537"/>
      <c r="R243" s="537"/>
      <c r="S243" s="537"/>
      <c r="T243" s="537"/>
      <c r="U243" s="537"/>
      <c r="V243" s="537"/>
      <c r="W243" s="537"/>
      <c r="X243" s="537"/>
      <c r="Y243" s="537"/>
      <c r="Z243" s="537"/>
      <c r="AA243" s="537"/>
      <c r="AB243" s="537"/>
      <c r="AC243" s="537"/>
      <c r="AD243" s="537"/>
      <c r="AE243" s="537"/>
      <c r="AF243" s="1302"/>
      <c r="AG243" s="537"/>
      <c r="AH243" s="537"/>
      <c r="AI243" s="537"/>
      <c r="AJ243" s="537"/>
      <c r="AK243" s="537"/>
      <c r="AL243" s="537"/>
      <c r="AM243" s="537"/>
      <c r="AN243" s="537"/>
      <c r="AO243" s="537"/>
      <c r="AP243" s="537"/>
      <c r="AQ243" s="537"/>
      <c r="AR243" s="13"/>
    </row>
    <row r="244" spans="1:44">
      <c r="A244" s="13"/>
      <c r="B244" s="537"/>
      <c r="C244" s="537"/>
      <c r="D244" s="537"/>
      <c r="E244" s="537"/>
      <c r="F244" s="537"/>
      <c r="G244" s="537"/>
      <c r="H244" s="537"/>
      <c r="I244" s="537"/>
      <c r="J244" s="537"/>
      <c r="K244" s="537"/>
      <c r="L244" s="537"/>
      <c r="M244" s="537"/>
      <c r="N244" s="537"/>
      <c r="O244" s="537"/>
      <c r="P244" s="537"/>
      <c r="Q244" s="537"/>
      <c r="R244" s="537"/>
      <c r="S244" s="537"/>
      <c r="T244" s="537"/>
      <c r="U244" s="537"/>
      <c r="V244" s="537"/>
      <c r="W244" s="537"/>
      <c r="X244" s="537"/>
      <c r="Y244" s="537"/>
      <c r="Z244" s="537"/>
      <c r="AA244" s="537"/>
      <c r="AB244" s="537"/>
      <c r="AC244" s="537"/>
      <c r="AD244" s="537"/>
      <c r="AE244" s="537"/>
      <c r="AF244" s="1302"/>
      <c r="AG244" s="537"/>
      <c r="AH244" s="537"/>
      <c r="AI244" s="537"/>
      <c r="AJ244" s="537"/>
      <c r="AK244" s="537"/>
      <c r="AL244" s="537"/>
      <c r="AM244" s="537"/>
      <c r="AN244" s="537"/>
      <c r="AO244" s="537"/>
      <c r="AP244" s="537"/>
      <c r="AQ244" s="537"/>
      <c r="AR244" s="13"/>
    </row>
    <row r="245" spans="1:44">
      <c r="AF245"/>
    </row>
    <row r="246" spans="1:44">
      <c r="B246" s="438"/>
      <c r="X246" s="438"/>
      <c r="AA246" s="438"/>
      <c r="AB246" s="438"/>
      <c r="AC246" s="438"/>
      <c r="AD246" s="438"/>
      <c r="AE246" s="438"/>
      <c r="AF246" s="1301"/>
      <c r="AG246" s="438"/>
      <c r="AH246" s="438"/>
      <c r="AI246" s="438"/>
      <c r="AJ246" s="438"/>
      <c r="AK246" s="438"/>
      <c r="AL246" s="438"/>
      <c r="AM246" s="438"/>
      <c r="AN246" s="438"/>
      <c r="AO246" s="438"/>
      <c r="AP246" s="438"/>
      <c r="AQ246" s="438"/>
    </row>
    <row r="247" spans="1:44">
      <c r="B247" s="537" t="s">
        <v>411</v>
      </c>
      <c r="H247" s="518">
        <f t="shared" ref="H247:AK247" si="619">H109</f>
        <v>124.517</v>
      </c>
      <c r="I247" s="518">
        <f t="shared" si="619"/>
        <v>53.568000000000005</v>
      </c>
      <c r="J247" s="518">
        <f t="shared" si="619"/>
        <v>17.888999999999996</v>
      </c>
      <c r="K247" s="518">
        <f t="shared" si="619"/>
        <v>205.33599999999998</v>
      </c>
      <c r="L247" s="518">
        <f t="shared" si="619"/>
        <v>110.065</v>
      </c>
      <c r="M247" s="518">
        <f t="shared" si="619"/>
        <v>56.963000000000008</v>
      </c>
      <c r="N247" s="518">
        <f t="shared" si="619"/>
        <v>136.208</v>
      </c>
      <c r="O247" s="518">
        <f t="shared" si="619"/>
        <v>90.330000000000013</v>
      </c>
      <c r="P247" s="518">
        <f t="shared" si="619"/>
        <v>57.852000000000004</v>
      </c>
      <c r="Q247" s="518">
        <f t="shared" si="619"/>
        <v>485.99999999999994</v>
      </c>
      <c r="R247" s="518">
        <f t="shared" si="619"/>
        <v>397.4</v>
      </c>
      <c r="S247" s="518">
        <f t="shared" si="619"/>
        <v>319.90000000000003</v>
      </c>
      <c r="T247" s="518">
        <f t="shared" si="619"/>
        <v>-251.5</v>
      </c>
      <c r="U247" s="518">
        <f t="shared" si="619"/>
        <v>-263.2</v>
      </c>
      <c r="V247" s="518">
        <f t="shared" si="619"/>
        <v>-66.199999999999989</v>
      </c>
      <c r="W247" s="518">
        <f t="shared" si="619"/>
        <v>-391.18399999999804</v>
      </c>
      <c r="X247" s="926">
        <f t="shared" si="619"/>
        <v>-127.50000000000001</v>
      </c>
      <c r="Y247" s="518">
        <f t="shared" si="619"/>
        <v>-127.50000000000001</v>
      </c>
      <c r="Z247" s="518">
        <f t="shared" ref="Z247" si="620">Z109</f>
        <v>-487.98399999999828</v>
      </c>
      <c r="AA247" s="926">
        <f t="shared" si="619"/>
        <v>-302.7</v>
      </c>
      <c r="AB247" s="926">
        <f t="shared" si="619"/>
        <v>-302.7</v>
      </c>
      <c r="AC247" s="926">
        <f t="shared" si="619"/>
        <v>-555.08399999999881</v>
      </c>
      <c r="AD247" s="926">
        <f t="shared" si="619"/>
        <v>-282.7839999999984</v>
      </c>
      <c r="AE247" s="926">
        <f t="shared" si="619"/>
        <v>-284.08399999999841</v>
      </c>
      <c r="AF247" s="1424">
        <f t="shared" si="619"/>
        <v>-489.48399999999845</v>
      </c>
      <c r="AG247" s="926">
        <f t="shared" si="619"/>
        <v>-278.73729058787308</v>
      </c>
      <c r="AH247" s="926">
        <f t="shared" si="619"/>
        <v>-278.73729058787302</v>
      </c>
      <c r="AI247" s="926">
        <f t="shared" si="619"/>
        <v>-326.68172698675107</v>
      </c>
      <c r="AJ247" s="926">
        <f t="shared" si="619"/>
        <v>-336.69984284409213</v>
      </c>
      <c r="AK247" s="926">
        <f t="shared" si="619"/>
        <v>-336.69984284409219</v>
      </c>
      <c r="AL247" s="926">
        <f t="shared" ref="AL247:AN247" si="621">AL109</f>
        <v>-392.73420303820353</v>
      </c>
      <c r="AM247" s="926">
        <f t="shared" si="621"/>
        <v>-401.13494328867984</v>
      </c>
      <c r="AN247" s="926">
        <f t="shared" si="621"/>
        <v>-401.13494328867995</v>
      </c>
      <c r="AO247" s="926">
        <f t="shared" ref="AO247:AQ247" si="622">AO109</f>
        <v>-460.65710692456236</v>
      </c>
      <c r="AP247" s="926">
        <f t="shared" si="622"/>
        <v>-468.35923217716908</v>
      </c>
      <c r="AQ247" s="926">
        <f t="shared" si="622"/>
        <v>-468.35923217716885</v>
      </c>
    </row>
    <row r="248" spans="1:44">
      <c r="B248" s="537" t="s">
        <v>834</v>
      </c>
      <c r="H248" s="519">
        <f t="shared" ref="H248:AK248" si="623">H75</f>
        <v>118.76999999999995</v>
      </c>
      <c r="I248" s="519">
        <f t="shared" si="623"/>
        <v>110.83800000000002</v>
      </c>
      <c r="J248" s="519">
        <f t="shared" si="623"/>
        <v>108.74800000000005</v>
      </c>
      <c r="K248" s="519">
        <f t="shared" si="623"/>
        <v>163.59000000000003</v>
      </c>
      <c r="L248" s="519">
        <f t="shared" si="623"/>
        <v>85.865000000000009</v>
      </c>
      <c r="M248" s="519">
        <f t="shared" si="623"/>
        <v>103.226</v>
      </c>
      <c r="N248" s="519">
        <f t="shared" si="623"/>
        <v>226.39100000000002</v>
      </c>
      <c r="O248" s="519">
        <f t="shared" si="623"/>
        <v>234.74700000000001</v>
      </c>
      <c r="P248" s="519">
        <f t="shared" si="623"/>
        <v>259.58199999999999</v>
      </c>
      <c r="Q248" s="519">
        <f t="shared" si="623"/>
        <v>408.70000000000005</v>
      </c>
      <c r="R248" s="519">
        <f t="shared" si="623"/>
        <v>430.5</v>
      </c>
      <c r="S248" s="519">
        <f t="shared" si="623"/>
        <v>468.40000000000009</v>
      </c>
      <c r="T248" s="519">
        <f t="shared" si="623"/>
        <v>105.49999999999989</v>
      </c>
      <c r="U248" s="519">
        <f t="shared" si="623"/>
        <v>372.99999999999989</v>
      </c>
      <c r="V248" s="519">
        <f t="shared" si="623"/>
        <v>546.29999999999984</v>
      </c>
      <c r="W248" s="519">
        <f t="shared" si="623"/>
        <v>337.29999999999995</v>
      </c>
      <c r="X248" s="927">
        <f t="shared" si="623"/>
        <v>526.90000000000009</v>
      </c>
      <c r="Y248" s="519">
        <f t="shared" si="623"/>
        <v>526.90000000000009</v>
      </c>
      <c r="Z248" s="519">
        <f t="shared" ref="Z248" si="624">Z75</f>
        <v>337.4</v>
      </c>
      <c r="AA248" s="927">
        <f t="shared" si="623"/>
        <v>507.89999999999986</v>
      </c>
      <c r="AB248" s="927">
        <f t="shared" si="623"/>
        <v>507.89999999999986</v>
      </c>
      <c r="AC248" s="927">
        <f t="shared" si="623"/>
        <v>360.00000000000023</v>
      </c>
      <c r="AD248" s="927">
        <f t="shared" si="623"/>
        <v>599.1</v>
      </c>
      <c r="AE248" s="927">
        <f t="shared" si="623"/>
        <v>599.1</v>
      </c>
      <c r="AF248" s="1425">
        <f t="shared" si="623"/>
        <v>457.40000000000009</v>
      </c>
      <c r="AG248" s="927">
        <f t="shared" si="623"/>
        <v>633.09724536428394</v>
      </c>
      <c r="AH248" s="927">
        <f t="shared" si="623"/>
        <v>633.09724536428394</v>
      </c>
      <c r="AI248" s="927">
        <f t="shared" si="623"/>
        <v>721.57616600697224</v>
      </c>
      <c r="AJ248" s="927">
        <f t="shared" si="623"/>
        <v>660.91286292133395</v>
      </c>
      <c r="AK248" s="927">
        <f t="shared" si="623"/>
        <v>660.91286292133395</v>
      </c>
      <c r="AL248" s="927">
        <f t="shared" ref="AL248:AN248" si="625">AL75</f>
        <v>753.43420678320331</v>
      </c>
      <c r="AM248" s="927">
        <f t="shared" si="625"/>
        <v>688.70013804592486</v>
      </c>
      <c r="AN248" s="927">
        <f t="shared" si="625"/>
        <v>688.70013804592486</v>
      </c>
      <c r="AO248" s="927">
        <f t="shared" ref="AO248:AQ248" si="626">AO75</f>
        <v>785.1450641897477</v>
      </c>
      <c r="AP248" s="927">
        <f t="shared" si="626"/>
        <v>717.71687825681897</v>
      </c>
      <c r="AQ248" s="927">
        <f t="shared" si="626"/>
        <v>717.71687825681897</v>
      </c>
    </row>
    <row r="249" spans="1:44">
      <c r="B249" s="537" t="s">
        <v>835</v>
      </c>
      <c r="H249" s="518">
        <f t="shared" ref="H249:AK249" si="627">SUM(H9,H12:H15)</f>
        <v>210.96099999999998</v>
      </c>
      <c r="I249" s="518">
        <f t="shared" si="627"/>
        <v>241.07299999999998</v>
      </c>
      <c r="J249" s="518">
        <f t="shared" si="627"/>
        <v>264.334</v>
      </c>
      <c r="K249" s="518">
        <f t="shared" si="627"/>
        <v>274.70100000000002</v>
      </c>
      <c r="L249" s="518">
        <f t="shared" si="627"/>
        <v>284.77100000000002</v>
      </c>
      <c r="M249" s="518">
        <f t="shared" si="627"/>
        <v>285.69</v>
      </c>
      <c r="N249" s="518">
        <f t="shared" si="627"/>
        <v>287.02600000000001</v>
      </c>
      <c r="O249" s="518">
        <f t="shared" si="627"/>
        <v>285.53100000000001</v>
      </c>
      <c r="P249" s="518">
        <f t="shared" si="627"/>
        <v>295.98699999999997</v>
      </c>
      <c r="Q249" s="518">
        <f t="shared" si="627"/>
        <v>1323</v>
      </c>
      <c r="R249" s="518">
        <f t="shared" si="627"/>
        <v>1323.9</v>
      </c>
      <c r="S249" s="518">
        <f t="shared" si="627"/>
        <v>1306.8999999999999</v>
      </c>
      <c r="T249" s="518">
        <f t="shared" si="627"/>
        <v>1299.0000000000002</v>
      </c>
      <c r="U249" s="518">
        <f t="shared" si="627"/>
        <v>1305.4000000000001</v>
      </c>
      <c r="V249" s="518">
        <f t="shared" si="627"/>
        <v>1306.3</v>
      </c>
      <c r="W249" s="518">
        <f t="shared" si="627"/>
        <v>1332.8000000000002</v>
      </c>
      <c r="X249" s="926">
        <f t="shared" si="627"/>
        <v>1340.1</v>
      </c>
      <c r="Y249" s="518">
        <f t="shared" si="627"/>
        <v>1340.1</v>
      </c>
      <c r="Z249" s="518">
        <f t="shared" ref="Z249" si="628">SUM(Z9,Z12:Z15)</f>
        <v>1364.6000000000001</v>
      </c>
      <c r="AA249" s="926">
        <f t="shared" si="627"/>
        <v>1371.9</v>
      </c>
      <c r="AB249" s="926">
        <f t="shared" si="627"/>
        <v>1371.9</v>
      </c>
      <c r="AC249" s="926">
        <f t="shared" si="627"/>
        <v>1463.8999999999999</v>
      </c>
      <c r="AD249" s="926">
        <f t="shared" si="627"/>
        <v>1474.9</v>
      </c>
      <c r="AE249" s="926">
        <f t="shared" si="627"/>
        <v>1474.9</v>
      </c>
      <c r="AF249" s="1424">
        <f t="shared" si="627"/>
        <v>1506</v>
      </c>
      <c r="AG249" s="926">
        <f t="shared" si="627"/>
        <v>1509.1430940780713</v>
      </c>
      <c r="AH249" s="926">
        <f t="shared" si="627"/>
        <v>1509.1430940780713</v>
      </c>
      <c r="AI249" s="926">
        <f t="shared" si="627"/>
        <v>1518.7424728986186</v>
      </c>
      <c r="AJ249" s="926">
        <f t="shared" si="627"/>
        <v>1529.9342310009338</v>
      </c>
      <c r="AK249" s="926">
        <f t="shared" si="627"/>
        <v>1529.9342310009338</v>
      </c>
      <c r="AL249" s="926">
        <f t="shared" ref="AL249:AN249" si="629">SUM(AL9,AL12:AL15)</f>
        <v>1539.8396356631361</v>
      </c>
      <c r="AM249" s="926">
        <f t="shared" si="629"/>
        <v>1547.8957445480594</v>
      </c>
      <c r="AN249" s="926">
        <f t="shared" si="629"/>
        <v>1547.8957445480594</v>
      </c>
      <c r="AO249" s="926">
        <f t="shared" ref="AO249:AQ249" si="630">SUM(AO9,AO12:AO15)</f>
        <v>1556.4092060548408</v>
      </c>
      <c r="AP249" s="926">
        <f t="shared" si="630"/>
        <v>1563.0297045625873</v>
      </c>
      <c r="AQ249" s="926">
        <f t="shared" si="630"/>
        <v>1563.0297045625873</v>
      </c>
    </row>
    <row r="250" spans="1:44">
      <c r="B250" s="537" t="s">
        <v>836</v>
      </c>
      <c r="H250" s="519">
        <f>SUM(H248:H249)</f>
        <v>329.73099999999994</v>
      </c>
      <c r="I250" s="519">
        <f t="shared" ref="I250:T250" si="631">SUM(I248:I249)</f>
        <v>351.911</v>
      </c>
      <c r="J250" s="519">
        <f t="shared" si="631"/>
        <v>373.08200000000005</v>
      </c>
      <c r="K250" s="519">
        <f t="shared" si="631"/>
        <v>438.29100000000005</v>
      </c>
      <c r="L250" s="519">
        <f t="shared" si="631"/>
        <v>370.63600000000002</v>
      </c>
      <c r="M250" s="519">
        <f t="shared" si="631"/>
        <v>388.916</v>
      </c>
      <c r="N250" s="519">
        <f t="shared" si="631"/>
        <v>513.41700000000003</v>
      </c>
      <c r="O250" s="519">
        <f t="shared" si="631"/>
        <v>520.27800000000002</v>
      </c>
      <c r="P250" s="519">
        <f t="shared" si="631"/>
        <v>555.56899999999996</v>
      </c>
      <c r="Q250" s="519">
        <f t="shared" si="631"/>
        <v>1731.7</v>
      </c>
      <c r="R250" s="519">
        <f t="shared" si="631"/>
        <v>1754.4</v>
      </c>
      <c r="S250" s="519">
        <f t="shared" si="631"/>
        <v>1775.3</v>
      </c>
      <c r="T250" s="519">
        <f t="shared" si="631"/>
        <v>1404.5</v>
      </c>
      <c r="U250" s="519">
        <f>SUM(U248:U249)</f>
        <v>1678.4</v>
      </c>
      <c r="V250" s="519">
        <f t="shared" ref="V250" si="632">SUM(V248:V249)</f>
        <v>1852.6</v>
      </c>
      <c r="W250" s="519">
        <f>SUM(W248:W249)</f>
        <v>1670.1000000000001</v>
      </c>
      <c r="X250" s="927">
        <f t="shared" ref="X250:AK250" si="633">SUM(X248:X249)</f>
        <v>1867</v>
      </c>
      <c r="Y250" s="519">
        <f t="shared" si="633"/>
        <v>1867</v>
      </c>
      <c r="Z250" s="519">
        <f>SUM(Z248:Z249)</f>
        <v>1702</v>
      </c>
      <c r="AA250" s="927">
        <f t="shared" si="633"/>
        <v>1879.8</v>
      </c>
      <c r="AB250" s="927">
        <f t="shared" si="633"/>
        <v>1879.8</v>
      </c>
      <c r="AC250" s="927">
        <f t="shared" si="633"/>
        <v>1823.9</v>
      </c>
      <c r="AD250" s="927">
        <f t="shared" si="633"/>
        <v>2074</v>
      </c>
      <c r="AE250" s="927">
        <f t="shared" si="633"/>
        <v>2074</v>
      </c>
      <c r="AF250" s="1425">
        <f t="shared" si="633"/>
        <v>1963.4</v>
      </c>
      <c r="AG250" s="927">
        <f t="shared" si="633"/>
        <v>2142.2403394423554</v>
      </c>
      <c r="AH250" s="927">
        <f t="shared" si="633"/>
        <v>2142.2403394423554</v>
      </c>
      <c r="AI250" s="927">
        <f t="shared" si="633"/>
        <v>2240.3186389055909</v>
      </c>
      <c r="AJ250" s="927">
        <f t="shared" si="633"/>
        <v>2190.847093922268</v>
      </c>
      <c r="AK250" s="927">
        <f t="shared" si="633"/>
        <v>2190.847093922268</v>
      </c>
      <c r="AL250" s="927">
        <f t="shared" ref="AL250:AN250" si="634">SUM(AL248:AL249)</f>
        <v>2293.2738424463396</v>
      </c>
      <c r="AM250" s="927">
        <f t="shared" si="634"/>
        <v>2236.5958825939842</v>
      </c>
      <c r="AN250" s="927">
        <f t="shared" si="634"/>
        <v>2236.5958825939842</v>
      </c>
      <c r="AO250" s="927">
        <f t="shared" ref="AO250:AQ250" si="635">SUM(AO248:AO249)</f>
        <v>2341.5542702445882</v>
      </c>
      <c r="AP250" s="927">
        <f t="shared" si="635"/>
        <v>2280.7465828194063</v>
      </c>
      <c r="AQ250" s="927">
        <f t="shared" si="635"/>
        <v>2280.7465828194063</v>
      </c>
    </row>
    <row r="251" spans="1:44">
      <c r="B251" s="537" t="s">
        <v>165</v>
      </c>
      <c r="H251" s="518">
        <f>H221</f>
        <v>102.29899999999999</v>
      </c>
      <c r="I251" s="518">
        <f t="shared" ref="I251:T251" si="636">I221</f>
        <v>141.96600000000001</v>
      </c>
      <c r="J251" s="518">
        <f t="shared" si="636"/>
        <v>175.11</v>
      </c>
      <c r="K251" s="518">
        <f t="shared" si="636"/>
        <v>196.01300000000001</v>
      </c>
      <c r="L251" s="518">
        <f t="shared" si="636"/>
        <v>161.459</v>
      </c>
      <c r="M251" s="518">
        <f t="shared" si="636"/>
        <v>177.75300000000001</v>
      </c>
      <c r="N251" s="518">
        <f t="shared" si="636"/>
        <v>191.12</v>
      </c>
      <c r="O251" s="518">
        <f t="shared" si="636"/>
        <v>200.90700000000001</v>
      </c>
      <c r="P251" s="518">
        <f t="shared" si="636"/>
        <v>221.17500000000001</v>
      </c>
      <c r="Q251" s="518">
        <f t="shared" si="636"/>
        <v>306.39999999999998</v>
      </c>
      <c r="R251" s="518">
        <f t="shared" si="636"/>
        <v>350.59999999999997</v>
      </c>
      <c r="S251" s="518">
        <f t="shared" si="636"/>
        <v>372.90000000000003</v>
      </c>
      <c r="T251" s="518">
        <f t="shared" si="636"/>
        <v>502.90000000000003</v>
      </c>
      <c r="U251" s="518">
        <f>U221</f>
        <v>743.1</v>
      </c>
      <c r="V251" s="518">
        <f t="shared" ref="V251" si="637">V221</f>
        <v>794.59999999999991</v>
      </c>
      <c r="W251" s="518">
        <f t="shared" ref="W251:AK251" si="638">W221</f>
        <v>479.2</v>
      </c>
      <c r="X251" s="926">
        <f t="shared" si="638"/>
        <v>289.8</v>
      </c>
      <c r="Y251" s="518">
        <f t="shared" si="638"/>
        <v>769</v>
      </c>
      <c r="Z251" s="518">
        <f t="shared" ref="Z251" si="639">Z221</f>
        <v>386.7</v>
      </c>
      <c r="AA251" s="926">
        <f t="shared" si="638"/>
        <v>260.49999999999994</v>
      </c>
      <c r="AB251" s="926">
        <f t="shared" si="638"/>
        <v>647.19999999999993</v>
      </c>
      <c r="AC251" s="926">
        <f t="shared" si="638"/>
        <v>419.90000000000003</v>
      </c>
      <c r="AD251" s="926">
        <f t="shared" si="638"/>
        <v>287.89999999999992</v>
      </c>
      <c r="AE251" s="926">
        <f t="shared" si="638"/>
        <v>707.8</v>
      </c>
      <c r="AF251" s="1424">
        <f t="shared" si="638"/>
        <v>454</v>
      </c>
      <c r="AG251" s="926">
        <f t="shared" si="638"/>
        <v>299.74192521296516</v>
      </c>
      <c r="AH251" s="926">
        <f t="shared" si="638"/>
        <v>753.74192521296516</v>
      </c>
      <c r="AI251" s="926">
        <f t="shared" si="638"/>
        <v>462.29499825171848</v>
      </c>
      <c r="AJ251" s="926">
        <f t="shared" si="638"/>
        <v>305.39218045061097</v>
      </c>
      <c r="AK251" s="926">
        <f t="shared" si="638"/>
        <v>767.68717870232945</v>
      </c>
      <c r="AL251" s="926">
        <f t="shared" ref="AL251:AN251" si="640">AL221</f>
        <v>488.71109506951535</v>
      </c>
      <c r="AM251" s="926">
        <f t="shared" si="640"/>
        <v>317.31163138343726</v>
      </c>
      <c r="AN251" s="926">
        <f t="shared" si="640"/>
        <v>806.02272645295261</v>
      </c>
      <c r="AO251" s="926">
        <f t="shared" ref="AO251:AQ251" si="641">AO221</f>
        <v>512.41632904668973</v>
      </c>
      <c r="AP251" s="926">
        <f t="shared" si="641"/>
        <v>333.27546593914826</v>
      </c>
      <c r="AQ251" s="926">
        <f t="shared" si="641"/>
        <v>845.69179498583799</v>
      </c>
    </row>
    <row r="252" spans="1:44">
      <c r="B252" s="537" t="s">
        <v>837</v>
      </c>
      <c r="H252">
        <f>H251*(1-'P&amp;L'!$AY$201)</f>
        <v>71.12243306429167</v>
      </c>
      <c r="I252">
        <f>I251*(1-'P&amp;L'!$AY$201)</f>
        <v>98.700547731700539</v>
      </c>
      <c r="J252">
        <f>J251*(1-'P&amp;L'!$AY$201)</f>
        <v>121.74360701363764</v>
      </c>
      <c r="K252">
        <f>K251*(1-'P&amp;L'!$AY$201)</f>
        <v>136.27622432507656</v>
      </c>
      <c r="L252">
        <f>L251*(1-'P&amp;L'!$AY$201)</f>
        <v>112.25287559142778</v>
      </c>
      <c r="M252">
        <f>M251*(1-'P&amp;L'!$AY$201)</f>
        <v>123.58112830503758</v>
      </c>
      <c r="N252">
        <f>N251*(1-'P&amp;L'!$AY$201)</f>
        <v>132.87441135541332</v>
      </c>
      <c r="O252">
        <f>O251*(1-'P&amp;L'!$AY$201)</f>
        <v>139.67873253548566</v>
      </c>
      <c r="P252">
        <f>P251*(1-'P&amp;L'!$AY$201)</f>
        <v>153.7698719732814</v>
      </c>
      <c r="Q252" s="157">
        <f>Q251*(1-'P&amp;L'!$AY$201)</f>
        <v>213.0217645421653</v>
      </c>
      <c r="R252" s="157">
        <f>R251*(1-'P&amp;L'!$AY$201)</f>
        <v>243.75140551071527</v>
      </c>
      <c r="S252" s="157">
        <f>S251*(1-'P&amp;L'!$AY$201)</f>
        <v>259.25527414416922</v>
      </c>
      <c r="T252" s="157">
        <f>T251*(1-'P&amp;L'!$AY$201)</f>
        <v>349.63657111049264</v>
      </c>
      <c r="U252" s="157">
        <f>U251*(1-'P&amp;L'!BE$201)</f>
        <v>527.89478849875582</v>
      </c>
      <c r="V252" s="1162">
        <f>V251*(1-'P&amp;L'!$AY$201)</f>
        <v>552.43829668800436</v>
      </c>
      <c r="W252" s="1162">
        <f>W251*(1-'P&amp;L'!$AY$201)</f>
        <v>333.15936543278599</v>
      </c>
      <c r="X252" s="928">
        <f>X251*(1-'P&amp;L'!$AY$201)</f>
        <v>201.48076816031173</v>
      </c>
      <c r="Y252" s="1162">
        <f>Y251*(1-'P&amp;L'!$AY$201)</f>
        <v>534.64013359309774</v>
      </c>
      <c r="Z252" s="1162">
        <f>Z251*(1-'P&amp;L'!$AY$201)</f>
        <v>268.84959643751739</v>
      </c>
      <c r="AA252" s="928">
        <f>AA251*(1-'P&amp;L'!$AY$201)</f>
        <v>181.11021430559418</v>
      </c>
      <c r="AB252" s="1570">
        <f>AB251*(1-'P&amp;L'!$AY$201)</f>
        <v>449.95981074311157</v>
      </c>
      <c r="AC252" s="1570">
        <f>AC251*(1-'P&amp;L'!$AY$201)</f>
        <v>291.93158920122465</v>
      </c>
      <c r="AD252" s="928">
        <f>AD251*(1-'P&amp;L'!$AY$201)</f>
        <v>200.15981074311156</v>
      </c>
      <c r="AE252" s="1570">
        <f>AE251*(1-'P&amp;L'!$AY$201)</f>
        <v>492.09139994433622</v>
      </c>
      <c r="AF252" s="1426">
        <f>AF251*(1-'P&amp;L'!$AY$201)</f>
        <v>315.63929863623713</v>
      </c>
      <c r="AG252" s="928">
        <f>AG251*(1-'P&amp;L'!$AY$201)</f>
        <v>208.39279966100389</v>
      </c>
      <c r="AH252" s="928">
        <f>AH251*(1-'P&amp;L'!$AY$201)</f>
        <v>524.03209829724108</v>
      </c>
      <c r="AI252" s="928">
        <f>AI251*(1-'P&amp;L'!$AY$201)</f>
        <v>321.40631940795794</v>
      </c>
      <c r="AJ252" s="928">
        <f>AJ251*(1-'P&amp;L'!$AY$201)</f>
        <v>212.32108732692075</v>
      </c>
      <c r="AK252" s="928">
        <f>AK251*(1-'P&amp;L'!$AY$201)</f>
        <v>533.72740673487863</v>
      </c>
      <c r="AL252" s="928">
        <f>AL251*(1-'P&amp;L'!$AY$201)</f>
        <v>339.77186626319212</v>
      </c>
      <c r="AM252" s="928">
        <f>AM251*(1-'P&amp;L'!$AY$201)</f>
        <v>220.6079752841153</v>
      </c>
      <c r="AN252" s="928">
        <f>AN251*(1-'P&amp;L'!$AY$201)</f>
        <v>560.37984154730748</v>
      </c>
      <c r="AO252" s="928">
        <f>AO251*(1-'P&amp;L'!$AY$201)</f>
        <v>356.25271081509351</v>
      </c>
      <c r="AP252" s="928">
        <f>AP251*(1-'P&amp;L'!$AY$201)</f>
        <v>231.70668352796892</v>
      </c>
      <c r="AQ252" s="928">
        <f>AQ251*(1-'P&amp;L'!$AY$201)</f>
        <v>587.9593943430624</v>
      </c>
    </row>
    <row r="253" spans="1:44">
      <c r="B253" s="537" t="s">
        <v>838</v>
      </c>
      <c r="H253" s="289">
        <f>H252/H250</f>
        <v>0.21569835127510512</v>
      </c>
      <c r="I253" s="289">
        <f t="shared" ref="I253:T253" si="642">I252/I250</f>
        <v>0.28047019766844611</v>
      </c>
      <c r="J253" s="289">
        <f t="shared" si="642"/>
        <v>0.32631862972118092</v>
      </c>
      <c r="K253" s="289">
        <f t="shared" si="642"/>
        <v>0.31092635788797063</v>
      </c>
      <c r="L253" s="289">
        <f t="shared" si="642"/>
        <v>0.30286554892516587</v>
      </c>
      <c r="M253" s="289">
        <f t="shared" si="642"/>
        <v>0.31775789194848653</v>
      </c>
      <c r="N253" s="289">
        <f t="shared" si="642"/>
        <v>0.25880407418416862</v>
      </c>
      <c r="O253" s="289">
        <f t="shared" si="642"/>
        <v>0.26846941930176876</v>
      </c>
      <c r="P253" s="289">
        <f t="shared" si="642"/>
        <v>0.27677907149837627</v>
      </c>
      <c r="Q253" s="289">
        <f t="shared" si="642"/>
        <v>0.12301308803035474</v>
      </c>
      <c r="R253" s="289">
        <f t="shared" si="642"/>
        <v>0.13893718964359056</v>
      </c>
      <c r="S253" s="289">
        <f t="shared" si="642"/>
        <v>0.1460346274681289</v>
      </c>
      <c r="T253" s="289">
        <f t="shared" si="642"/>
        <v>0.24894024286969929</v>
      </c>
      <c r="U253" s="289">
        <f>U252/U250</f>
        <v>0.31452263375759998</v>
      </c>
      <c r="V253" s="1163">
        <f t="shared" ref="V253" si="643">V252/V250</f>
        <v>0.29819620894310933</v>
      </c>
      <c r="W253" s="1163">
        <f>W252/W250</f>
        <v>0.19948468081718818</v>
      </c>
      <c r="X253" s="929">
        <f t="shared" ref="X253:AK253" si="644">X252/X250</f>
        <v>0.10791685493321464</v>
      </c>
      <c r="Y253" s="1163">
        <f t="shared" si="644"/>
        <v>0.28636322099255368</v>
      </c>
      <c r="Z253" s="1163">
        <f>Z252/Z250</f>
        <v>0.15796098498091504</v>
      </c>
      <c r="AA253" s="929">
        <f t="shared" si="644"/>
        <v>9.6345469893389823E-2</v>
      </c>
      <c r="AB253" s="1571">
        <f t="shared" si="644"/>
        <v>0.23936578930902841</v>
      </c>
      <c r="AC253" s="1571">
        <f t="shared" si="644"/>
        <v>0.16005898854170988</v>
      </c>
      <c r="AD253" s="929">
        <f t="shared" si="644"/>
        <v>9.6509069789349838E-2</v>
      </c>
      <c r="AE253" s="1571">
        <f t="shared" si="644"/>
        <v>0.23726682735985352</v>
      </c>
      <c r="AF253" s="1427">
        <f t="shared" si="644"/>
        <v>0.1607615863482923</v>
      </c>
      <c r="AG253" s="929">
        <f t="shared" si="644"/>
        <v>9.7277973822139124E-2</v>
      </c>
      <c r="AH253" s="929">
        <f t="shared" si="644"/>
        <v>0.24461872398203993</v>
      </c>
      <c r="AI253" s="929">
        <f t="shared" si="644"/>
        <v>0.14346455625837531</v>
      </c>
      <c r="AJ253" s="929">
        <f t="shared" si="644"/>
        <v>9.6912782236574457E-2</v>
      </c>
      <c r="AK253" s="929">
        <f t="shared" si="644"/>
        <v>0.24361691339186425</v>
      </c>
      <c r="AL253" s="929">
        <f t="shared" ref="AL253:AN253" si="645">AL252/AL250</f>
        <v>0.14816018042605064</v>
      </c>
      <c r="AM253" s="929">
        <f t="shared" si="645"/>
        <v>9.863559930560907E-2</v>
      </c>
      <c r="AN253" s="929">
        <f t="shared" si="645"/>
        <v>0.25055033227432388</v>
      </c>
      <c r="AO253" s="929">
        <f t="shared" ref="AO253:AQ253" si="646">AO252/AO250</f>
        <v>0.15214369162491415</v>
      </c>
      <c r="AP253" s="929">
        <f t="shared" si="646"/>
        <v>0.10159247207619992</v>
      </c>
      <c r="AQ253" s="929">
        <f t="shared" si="646"/>
        <v>0.25779251354450811</v>
      </c>
    </row>
    <row r="254" spans="1:44">
      <c r="B254" s="438"/>
      <c r="W254" s="13"/>
      <c r="X254" s="438"/>
      <c r="Y254" s="438"/>
      <c r="Z254" s="438"/>
      <c r="AA254" s="438"/>
      <c r="AB254" s="438"/>
      <c r="AC254" s="438"/>
      <c r="AD254" s="438"/>
      <c r="AE254" s="438"/>
      <c r="AF254" s="1301"/>
      <c r="AG254" s="438"/>
      <c r="AH254" s="438"/>
      <c r="AI254" s="438"/>
      <c r="AJ254" s="438"/>
      <c r="AK254" s="438"/>
      <c r="AL254" s="438"/>
      <c r="AM254" s="438"/>
      <c r="AN254" s="438"/>
      <c r="AO254" s="438"/>
      <c r="AP254" s="438"/>
      <c r="AQ254" s="438"/>
    </row>
    <row r="255" spans="1:44">
      <c r="X255" s="438"/>
      <c r="Y255" s="438"/>
      <c r="Z255" s="438"/>
      <c r="AA255" s="438"/>
      <c r="AB255" s="438"/>
      <c r="AC255" s="438"/>
      <c r="AD255" s="438"/>
      <c r="AE255" s="438"/>
      <c r="AF255" s="1301"/>
      <c r="AG255" s="438"/>
      <c r="AH255" s="438"/>
      <c r="AI255" s="438"/>
      <c r="AJ255" s="438"/>
      <c r="AK255" s="438"/>
      <c r="AL255" s="438"/>
      <c r="AM255" s="438"/>
      <c r="AN255" s="438"/>
      <c r="AO255" s="438"/>
      <c r="AP255" s="438"/>
      <c r="AQ255" s="438"/>
    </row>
    <row r="256" spans="1:44">
      <c r="W256" s="1182" t="s">
        <v>920</v>
      </c>
      <c r="X256" s="1182" t="s">
        <v>926</v>
      </c>
      <c r="Y256" s="1182" t="s">
        <v>866</v>
      </c>
      <c r="Z256" s="1182" t="s">
        <v>932</v>
      </c>
      <c r="AA256" t="s">
        <v>946</v>
      </c>
      <c r="AB256" t="s">
        <v>887</v>
      </c>
      <c r="AC256" t="s">
        <v>968</v>
      </c>
      <c r="AD256" s="438"/>
      <c r="AE256" s="438"/>
      <c r="AF256" s="1301" t="s">
        <v>976</v>
      </c>
      <c r="AG256" s="438"/>
      <c r="AH256" s="438"/>
      <c r="AI256" s="438"/>
      <c r="AJ256" s="438"/>
      <c r="AK256" s="438"/>
      <c r="AL256" s="438"/>
      <c r="AM256" s="438"/>
      <c r="AN256" s="438"/>
      <c r="AO256" s="438"/>
      <c r="AP256" s="438"/>
      <c r="AQ256" s="438"/>
    </row>
    <row r="257" spans="24:43">
      <c r="X257" s="438"/>
      <c r="Y257" s="438" t="s">
        <v>974</v>
      </c>
      <c r="Z257" s="438" t="s">
        <v>972</v>
      </c>
      <c r="AA257" t="s">
        <v>973</v>
      </c>
      <c r="AB257" s="438" t="s">
        <v>971</v>
      </c>
      <c r="AC257" s="438" t="s">
        <v>970</v>
      </c>
      <c r="AD257" s="438"/>
      <c r="AE257" s="438"/>
      <c r="AF257" s="1301"/>
      <c r="AG257" s="438"/>
      <c r="AH257" s="438"/>
      <c r="AI257" s="438"/>
      <c r="AJ257" s="438"/>
      <c r="AK257" s="438"/>
      <c r="AL257" s="438"/>
      <c r="AM257" s="438"/>
      <c r="AN257" s="438"/>
      <c r="AO257" s="438"/>
      <c r="AP257" s="438"/>
      <c r="AQ257" s="438"/>
    </row>
    <row r="258" spans="24:43">
      <c r="X258" s="438"/>
      <c r="Y258" s="438"/>
      <c r="Z258" s="438"/>
      <c r="AA258" s="438" t="s">
        <v>971</v>
      </c>
      <c r="AB258" s="438"/>
      <c r="AC258" s="438"/>
      <c r="AD258" s="438"/>
      <c r="AE258" s="438"/>
      <c r="AF258" s="1301"/>
      <c r="AG258" s="438"/>
      <c r="AH258" s="438"/>
      <c r="AI258" s="438"/>
      <c r="AJ258" s="438"/>
      <c r="AK258" s="438"/>
      <c r="AL258" s="438"/>
      <c r="AM258" s="438"/>
      <c r="AN258" s="438"/>
      <c r="AO258" s="438"/>
      <c r="AP258" s="438"/>
      <c r="AQ258" s="438"/>
    </row>
  </sheetData>
  <phoneticPr fontId="61" type="noConversion"/>
  <pageMargins left="0.75" right="0.75" top="1" bottom="1" header="0.5" footer="0.5"/>
  <pageSetup paperSize="9" orientation="portrait" horizontalDpi="300" verticalDpi="300" r:id="rId1"/>
  <headerFooter alignWithMargins="0"/>
  <ignoredErrors>
    <ignoredError sqref="AD53:AD54 Y116 AD139:AE139 Y101 AD63 AG63 AJ63 AD70 AG70 AJ70 W192:X192 AD227:AD232 X193 AD173:AE173 AD192:AE192 X191 Y227:Y232 Y200:Y203 Y57:Y61 Y139 Y53:Y54 Y65:Y68 X186:Y186 AJ56 AD116 Z147 W131:X132 Y207:Z208 AD207:AD208 U91 AD72:AD77 AD60:AD62 AD67:AD69 AD193 AG193 AG191 AD200:AE203 AB80:AB85 AD85:AR85 Y72:Y80 Y95:AC100 Z80:AA80 Y87:AB87 Y82:AA85 AD95:AR96 Z78:AC79 AR94 AD100 Y81:Z81 Y86:AC86 Y88:AC89 AC83:AC85 AC80:AC81 AC202:AC203 AC116 AC173 AA227:AC232 AC200 AG53:AK54 AD57:AD59 AG57:AK59 AG60:AK61 AD65:AD66 AG65:AK66 AG72:AK77 AF67:AK68 AD78:AD79 AG78:AR79 AD80:AD84 AF83:AR84 AD88:AR88 AD87 AG87:AR87 AG86:AR86 AD91 AD89:AD90 AG89:AR89 AD93:AR93 AD92 AG91:AR91 AD97:AD99 AH99:AR99 AG116:AK116 AJ193 AG227:AK232 Y91:AC93 Y90:AB90 AI100:AJ100 AL100:AR100 AG62:AK62 AG69:AK69 AG80:AR80 AG81:AR81 AG82:AR82 AG90:AR90 AG97:AR98 AG139:AK139 AG173:AK173 AG192 AG200:AK203 AI191:AK191 AI192:AK192 AR92" formula="1"/>
    <ignoredError sqref="T249:V251 T252 V252 W249:AB249" formulaRange="1"/>
    <ignoredError sqref="U252" formula="1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00B050"/>
    <outlinePr summaryBelow="0"/>
    <pageSetUpPr fitToPage="1"/>
  </sheetPr>
  <dimension ref="A1:CW520"/>
  <sheetViews>
    <sheetView showGridLines="0" zoomScale="115" zoomScaleNormal="115" zoomScaleSheetLayoutView="85" workbookViewId="0">
      <pane xSplit="2" ySplit="3" topLeftCell="X4" activePane="bottomRight" state="frozen"/>
      <selection activeCell="AQ6" sqref="AQ6"/>
      <selection pane="topRight" activeCell="AQ6" sqref="AQ6"/>
      <selection pane="bottomLeft" activeCell="AQ6" sqref="AQ6"/>
      <selection pane="bottomRight" activeCell="AS4" sqref="AS4"/>
    </sheetView>
  </sheetViews>
  <sheetFormatPr defaultColWidth="9.109375" defaultRowHeight="13.2" customHeight="1" outlineLevelRow="2" outlineLevelCol="2"/>
  <cols>
    <col min="1" max="1" width="18.109375" hidden="1" customWidth="1" outlineLevel="1"/>
    <col min="2" max="2" width="26.109375" customWidth="1" collapsed="1"/>
    <col min="3" max="5" width="7.6640625" hidden="1" customWidth="1" outlineLevel="1"/>
    <col min="6" max="8" width="7.6640625" hidden="1" customWidth="1" outlineLevel="2"/>
    <col min="9" max="20" width="7.6640625" hidden="1" customWidth="1" outlineLevel="1"/>
    <col min="21" max="21" width="7.6640625" customWidth="1" collapsed="1"/>
    <col min="22" max="22" width="7.6640625" hidden="1" customWidth="1" outlineLevel="1" collapsed="1"/>
    <col min="23" max="23" width="7.6640625" hidden="1" customWidth="1" outlineLevel="1"/>
    <col min="24" max="24" width="7.6640625" customWidth="1" collapsed="1"/>
    <col min="25" max="25" width="7.6640625" hidden="1" customWidth="1" outlineLevel="1" collapsed="1"/>
    <col min="26" max="26" width="7.6640625" hidden="1" customWidth="1" outlineLevel="1"/>
    <col min="27" max="27" width="7.6640625" customWidth="1" collapsed="1"/>
    <col min="28" max="28" width="7.6640625" hidden="1" customWidth="1" outlineLevel="1" collapsed="1"/>
    <col min="29" max="29" width="7.6640625" hidden="1" customWidth="1" outlineLevel="1"/>
    <col min="30" max="30" width="7.6640625" customWidth="1" collapsed="1"/>
    <col min="31" max="31" width="7.6640625" hidden="1" customWidth="1" outlineLevel="1" collapsed="1"/>
    <col min="32" max="32" width="7.6640625" hidden="1" customWidth="1" outlineLevel="1"/>
    <col min="33" max="33" width="7.6640625" customWidth="1" collapsed="1"/>
    <col min="34" max="34" width="7.6640625" hidden="1" customWidth="1" outlineLevel="1" collapsed="1"/>
    <col min="35" max="35" width="7.6640625" hidden="1" customWidth="1" outlineLevel="1"/>
    <col min="36" max="36" width="7.6640625" customWidth="1" collapsed="1"/>
    <col min="37" max="37" width="7.6640625" hidden="1" customWidth="1" outlineLevel="1" collapsed="1"/>
    <col min="38" max="38" width="7.6640625" hidden="1" customWidth="1" outlineLevel="1"/>
    <col min="39" max="39" width="7.6640625" customWidth="1" collapsed="1"/>
    <col min="40" max="40" width="7.6640625" hidden="1" customWidth="1" outlineLevel="1" collapsed="1"/>
    <col min="41" max="41" width="7.6640625" hidden="1" customWidth="1" outlineLevel="1"/>
    <col min="42" max="42" width="7.6640625" customWidth="1" collapsed="1"/>
    <col min="43" max="43" width="7.6640625" style="1303" hidden="1" customWidth="1" outlineLevel="1" collapsed="1"/>
    <col min="44" max="44" width="7.6640625" hidden="1" customWidth="1" outlineLevel="1"/>
    <col min="45" max="45" width="7.6640625" customWidth="1" collapsed="1"/>
    <col min="46" max="46" width="7.6640625" hidden="1" customWidth="1" outlineLevel="1" collapsed="1"/>
    <col min="47" max="47" width="7.6640625" hidden="1" customWidth="1" outlineLevel="1"/>
    <col min="48" max="48" width="7.6640625" customWidth="1" collapsed="1"/>
    <col min="49" max="49" width="7.6640625" hidden="1" customWidth="1" outlineLevel="1" collapsed="1"/>
    <col min="50" max="50" width="7.6640625" hidden="1" customWidth="1" outlineLevel="1"/>
    <col min="51" max="51" width="7.6640625" customWidth="1" collapsed="1"/>
    <col min="52" max="52" width="7.6640625" hidden="1" customWidth="1" outlineLevel="1" collapsed="1"/>
    <col min="53" max="53" width="7.6640625" hidden="1" customWidth="1" outlineLevel="1"/>
    <col min="54" max="54" width="7.6640625" customWidth="1" collapsed="1"/>
    <col min="55" max="55" width="7.6640625" customWidth="1"/>
    <col min="56" max="56" width="7.6640625" hidden="1" customWidth="1" outlineLevel="1"/>
    <col min="57" max="57" width="13.33203125" hidden="1" customWidth="1" outlineLevel="1"/>
    <col min="58" max="58" width="7.6640625" hidden="1" customWidth="1" outlineLevel="1"/>
    <col min="59" max="59" width="11.109375" hidden="1" customWidth="1" outlineLevel="1"/>
    <col min="60" max="60" width="15.44140625" hidden="1" customWidth="1" outlineLevel="1"/>
    <col min="61" max="61" width="16.109375" hidden="1" customWidth="1" outlineLevel="1"/>
    <col min="62" max="62" width="9.6640625" hidden="1" customWidth="1" outlineLevel="1"/>
    <col min="63" max="63" width="7.6640625" hidden="1" customWidth="1" outlineLevel="1" collapsed="1"/>
    <col min="64" max="92" width="7.6640625" hidden="1" customWidth="1" outlineLevel="1"/>
    <col min="93" max="93" width="9.109375" collapsed="1"/>
    <col min="96" max="96" width="20.5546875" customWidth="1"/>
    <col min="98" max="98" width="12.44140625" hidden="1" customWidth="1"/>
    <col min="99" max="99" width="13.5546875" hidden="1" customWidth="1"/>
    <col min="100" max="100" width="13.88671875" hidden="1" customWidth="1"/>
    <col min="101" max="101" width="0" hidden="1" customWidth="1"/>
    <col min="102" max="102" width="9.109375" customWidth="1"/>
    <col min="105" max="105" width="9.109375" customWidth="1"/>
  </cols>
  <sheetData>
    <row r="1" spans="1:101" ht="18.75" customHeight="1">
      <c r="A1" s="314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156"/>
      <c r="N1" s="73"/>
      <c r="O1" s="73"/>
      <c r="P1" s="73"/>
      <c r="Q1" s="73"/>
      <c r="R1" s="73"/>
      <c r="S1" s="73"/>
      <c r="T1" s="73"/>
      <c r="U1" s="73"/>
      <c r="V1" s="73"/>
      <c r="W1" s="73"/>
      <c r="X1" s="634"/>
      <c r="Y1" s="73"/>
      <c r="Z1" s="73"/>
      <c r="AA1" s="634"/>
      <c r="AB1" s="73"/>
      <c r="AC1" s="549"/>
      <c r="AD1" s="634"/>
      <c r="AE1" s="549"/>
      <c r="AF1" s="549"/>
      <c r="AG1" s="634"/>
      <c r="AH1" s="549"/>
      <c r="AI1" s="549"/>
      <c r="AJ1" s="634"/>
      <c r="AK1" s="549"/>
      <c r="AL1" s="549"/>
      <c r="AM1" s="634"/>
      <c r="AN1" s="549"/>
      <c r="AO1" s="549"/>
      <c r="AP1" s="634"/>
      <c r="AQ1" s="1729"/>
      <c r="AR1" s="549"/>
      <c r="AS1" s="73"/>
      <c r="AT1" s="549"/>
      <c r="AU1" s="549"/>
      <c r="AV1" s="73"/>
      <c r="AW1" s="549"/>
      <c r="AX1" s="549"/>
      <c r="AY1" s="73"/>
      <c r="AZ1" s="549"/>
      <c r="BA1" s="549"/>
      <c r="BB1" s="73"/>
      <c r="BC1" s="74"/>
      <c r="BD1" s="261"/>
      <c r="BE1" s="261" t="s">
        <v>59</v>
      </c>
      <c r="BF1" s="261" t="s">
        <v>60</v>
      </c>
      <c r="BG1" s="261" t="s">
        <v>61</v>
      </c>
      <c r="BH1" s="261" t="s">
        <v>62</v>
      </c>
      <c r="BI1" s="261" t="s">
        <v>63</v>
      </c>
      <c r="BJ1" s="261" t="s">
        <v>64</v>
      </c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</row>
    <row r="2" spans="1:101">
      <c r="A2" s="300"/>
      <c r="B2" s="300" t="s">
        <v>717</v>
      </c>
      <c r="C2" s="300" t="s">
        <v>375</v>
      </c>
      <c r="D2" s="300" t="s">
        <v>376</v>
      </c>
      <c r="E2" s="300" t="s">
        <v>208</v>
      </c>
      <c r="F2" s="300" t="s">
        <v>209</v>
      </c>
      <c r="G2" s="300" t="s">
        <v>210</v>
      </c>
      <c r="H2" s="300" t="s">
        <v>211</v>
      </c>
      <c r="I2" s="436" t="s">
        <v>212</v>
      </c>
      <c r="J2" s="436" t="s">
        <v>213</v>
      </c>
      <c r="K2" s="436" t="s">
        <v>214</v>
      </c>
      <c r="L2" s="436" t="s">
        <v>215</v>
      </c>
      <c r="M2" s="436" t="s">
        <v>216</v>
      </c>
      <c r="N2" s="436" t="s">
        <v>217</v>
      </c>
      <c r="O2" s="436" t="s">
        <v>199</v>
      </c>
      <c r="P2" s="436" t="s">
        <v>200</v>
      </c>
      <c r="Q2" s="436" t="s">
        <v>201</v>
      </c>
      <c r="R2" s="436" t="s">
        <v>251</v>
      </c>
      <c r="S2" s="436" t="s">
        <v>701</v>
      </c>
      <c r="T2" s="436" t="s">
        <v>704</v>
      </c>
      <c r="U2" s="436" t="s">
        <v>705</v>
      </c>
      <c r="V2" s="436" t="s">
        <v>832</v>
      </c>
      <c r="W2" s="436" t="s">
        <v>842</v>
      </c>
      <c r="X2" s="436" t="s">
        <v>840</v>
      </c>
      <c r="Y2" s="436" t="s">
        <v>853</v>
      </c>
      <c r="Z2" s="436" t="s">
        <v>854</v>
      </c>
      <c r="AA2" s="436" t="s">
        <v>846</v>
      </c>
      <c r="AB2" s="436" t="s">
        <v>867</v>
      </c>
      <c r="AC2" s="436" t="s">
        <v>868</v>
      </c>
      <c r="AD2" s="436" t="s">
        <v>869</v>
      </c>
      <c r="AE2" s="436" t="s">
        <v>871</v>
      </c>
      <c r="AF2" s="436" t="s">
        <v>870</v>
      </c>
      <c r="AG2" s="436" t="s">
        <v>873</v>
      </c>
      <c r="AH2" s="436" t="s">
        <v>920</v>
      </c>
      <c r="AI2" s="436" t="s">
        <v>926</v>
      </c>
      <c r="AJ2" s="436" t="s">
        <v>866</v>
      </c>
      <c r="AK2" s="436" t="s">
        <v>932</v>
      </c>
      <c r="AL2" s="436" t="s">
        <v>946</v>
      </c>
      <c r="AM2" s="436" t="s">
        <v>887</v>
      </c>
      <c r="AN2" s="436" t="s">
        <v>968</v>
      </c>
      <c r="AO2" s="436" t="s">
        <v>977</v>
      </c>
      <c r="AP2" s="436" t="s">
        <v>923</v>
      </c>
      <c r="AQ2" s="1368" t="s">
        <v>899</v>
      </c>
      <c r="AR2" s="436" t="s">
        <v>900</v>
      </c>
      <c r="AS2" s="436" t="s">
        <v>558</v>
      </c>
      <c r="AT2" s="436" t="s">
        <v>901</v>
      </c>
      <c r="AU2" s="436" t="s">
        <v>902</v>
      </c>
      <c r="AV2" s="436" t="s">
        <v>772</v>
      </c>
      <c r="AW2" s="436" t="s">
        <v>938</v>
      </c>
      <c r="AX2" s="436" t="s">
        <v>939</v>
      </c>
      <c r="AY2" s="436" t="s">
        <v>795</v>
      </c>
      <c r="AZ2" s="436" t="s">
        <v>940</v>
      </c>
      <c r="BA2" s="436" t="s">
        <v>941</v>
      </c>
      <c r="BB2" s="436" t="s">
        <v>811</v>
      </c>
      <c r="BC2" s="1344"/>
      <c r="BD2" s="300"/>
      <c r="BE2" s="300"/>
      <c r="BF2" s="300"/>
      <c r="BG2" s="300"/>
      <c r="BH2" s="300" t="s">
        <v>449</v>
      </c>
      <c r="BI2" s="300"/>
      <c r="BJ2" s="300"/>
      <c r="BK2" s="436" t="s">
        <v>260</v>
      </c>
      <c r="BL2" s="436" t="s">
        <v>261</v>
      </c>
      <c r="BM2" s="436" t="s">
        <v>262</v>
      </c>
      <c r="BN2" s="436" t="s">
        <v>263</v>
      </c>
      <c r="BO2" s="436" t="s">
        <v>264</v>
      </c>
      <c r="BP2" s="436" t="s">
        <v>265</v>
      </c>
      <c r="BQ2" s="436" t="s">
        <v>266</v>
      </c>
      <c r="BR2" s="436" t="s">
        <v>267</v>
      </c>
      <c r="BS2" s="436" t="s">
        <v>268</v>
      </c>
      <c r="BT2" s="436" t="s">
        <v>269</v>
      </c>
      <c r="BU2" s="436" t="s">
        <v>270</v>
      </c>
      <c r="BV2" s="436" t="s">
        <v>271</v>
      </c>
      <c r="BW2" s="436" t="s">
        <v>202</v>
      </c>
      <c r="BX2" s="436" t="s">
        <v>203</v>
      </c>
      <c r="BY2" s="436" t="s">
        <v>204</v>
      </c>
      <c r="BZ2" s="436" t="s">
        <v>205</v>
      </c>
      <c r="CA2" s="436" t="s">
        <v>206</v>
      </c>
      <c r="CB2" s="436" t="s">
        <v>207</v>
      </c>
      <c r="CC2" s="436" t="s">
        <v>194</v>
      </c>
      <c r="CD2" s="436" t="s">
        <v>372</v>
      </c>
      <c r="CE2" s="436" t="s">
        <v>373</v>
      </c>
      <c r="CF2" s="436" t="s">
        <v>374</v>
      </c>
      <c r="CG2" s="436" t="s">
        <v>663</v>
      </c>
      <c r="CH2" s="436" t="s">
        <v>668</v>
      </c>
      <c r="CI2" s="436" t="s">
        <v>683</v>
      </c>
      <c r="CJ2" s="436" t="s">
        <v>707</v>
      </c>
      <c r="CK2" s="436" t="s">
        <v>742</v>
      </c>
      <c r="CL2" s="436" t="s">
        <v>774</v>
      </c>
      <c r="CM2" s="436" t="s">
        <v>799</v>
      </c>
      <c r="CN2" s="436" t="s">
        <v>810</v>
      </c>
    </row>
    <row r="3" spans="1:101">
      <c r="A3" s="204"/>
      <c r="B3" s="184"/>
      <c r="C3" s="185"/>
      <c r="D3" s="186"/>
      <c r="E3" s="18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554">
        <f>V4/X4</f>
        <v>0.54830723656369029</v>
      </c>
      <c r="W3" s="554">
        <f>W4/X4</f>
        <v>0.45169276343630976</v>
      </c>
      <c r="X3" s="196"/>
      <c r="Y3" s="554"/>
      <c r="Z3" s="554"/>
      <c r="AA3" s="196"/>
      <c r="AB3" s="554"/>
      <c r="AC3" s="554"/>
      <c r="AD3" s="196"/>
      <c r="AE3" s="554"/>
      <c r="AF3" s="554"/>
      <c r="AG3" s="1111"/>
      <c r="AH3" s="1111"/>
      <c r="AI3" s="554"/>
      <c r="AJ3" s="196"/>
      <c r="AK3" s="1111"/>
      <c r="AL3" s="196"/>
      <c r="AM3" s="196"/>
      <c r="AN3" s="196"/>
      <c r="AO3" s="196"/>
      <c r="AP3" s="196"/>
      <c r="AQ3" s="1369"/>
      <c r="AR3" s="196"/>
      <c r="AS3" s="196"/>
      <c r="AT3" s="196"/>
      <c r="AU3" s="196"/>
      <c r="AV3" s="196"/>
      <c r="AW3" s="196"/>
      <c r="AX3" s="196"/>
      <c r="AY3" s="196"/>
      <c r="AZ3" s="196"/>
      <c r="BA3" s="196"/>
      <c r="BB3" s="196"/>
      <c r="BC3" s="190"/>
      <c r="BD3" s="316"/>
      <c r="BE3" s="316"/>
      <c r="BF3" s="316"/>
      <c r="BG3" s="261"/>
      <c r="BH3" s="261"/>
      <c r="BI3" s="261"/>
      <c r="BJ3" s="261"/>
      <c r="BK3" s="196"/>
      <c r="BL3" s="196"/>
      <c r="BM3" s="196"/>
      <c r="BN3" s="196"/>
      <c r="BO3" s="196"/>
      <c r="BP3" s="196"/>
      <c r="BQ3" s="196"/>
      <c r="BR3" s="196"/>
      <c r="BS3" s="196"/>
      <c r="BT3" s="196"/>
      <c r="BU3" s="196"/>
      <c r="BV3" s="196"/>
      <c r="BW3" s="196"/>
      <c r="BX3" s="196"/>
      <c r="BY3" s="196"/>
      <c r="BZ3" s="196"/>
      <c r="CA3" s="196"/>
      <c r="CB3" s="196"/>
      <c r="CC3" s="196"/>
      <c r="CD3" s="196"/>
      <c r="CE3" s="196"/>
      <c r="CF3" s="196"/>
      <c r="CG3" s="196"/>
      <c r="CH3" s="196"/>
      <c r="CI3" s="196"/>
      <c r="CJ3" s="196"/>
      <c r="CK3" s="196"/>
      <c r="CL3" s="196"/>
      <c r="CM3" s="554">
        <f>CM4/$U$4</f>
        <v>0.54541048967993477</v>
      </c>
      <c r="CN3" s="554">
        <f>CN4/$U$4</f>
        <v>0.45458951032006517</v>
      </c>
    </row>
    <row r="4" spans="1:101">
      <c r="A4" s="129" t="s">
        <v>756</v>
      </c>
      <c r="B4" s="782" t="s">
        <v>715</v>
      </c>
      <c r="C4" s="952"/>
      <c r="D4" s="952"/>
      <c r="E4" s="952"/>
      <c r="F4" s="282">
        <f t="shared" ref="F4:AD4" si="0">F72</f>
        <v>355.83499999999998</v>
      </c>
      <c r="G4" s="282">
        <f t="shared" si="0"/>
        <v>452.35700000000003</v>
      </c>
      <c r="H4" s="282">
        <f t="shared" si="0"/>
        <v>693.94299999999998</v>
      </c>
      <c r="I4" s="282">
        <f t="shared" si="0"/>
        <v>945.82100000000003</v>
      </c>
      <c r="J4" s="282">
        <f t="shared" si="0"/>
        <v>1259.9079999999999</v>
      </c>
      <c r="K4" s="282">
        <f t="shared" si="0"/>
        <v>1735.06</v>
      </c>
      <c r="L4" s="282">
        <f t="shared" si="0"/>
        <v>2204.9639999999999</v>
      </c>
      <c r="M4" s="282">
        <f t="shared" si="0"/>
        <v>2598.0480000000002</v>
      </c>
      <c r="N4" s="282">
        <f t="shared" si="0"/>
        <v>2814.627</v>
      </c>
      <c r="O4" s="282">
        <f t="shared" si="0"/>
        <v>2954.6320000000001</v>
      </c>
      <c r="P4" s="282">
        <f t="shared" si="0"/>
        <v>3140.817</v>
      </c>
      <c r="Q4" s="282">
        <f t="shared" si="0"/>
        <v>3292.848</v>
      </c>
      <c r="R4" s="282">
        <f t="shared" si="0"/>
        <v>3456.0160000000001</v>
      </c>
      <c r="S4" s="282">
        <f t="shared" si="0"/>
        <v>3739.3580000000002</v>
      </c>
      <c r="T4" s="282">
        <f t="shared" si="0"/>
        <v>4148.6000000000004</v>
      </c>
      <c r="U4" s="282">
        <f t="shared" ref="U4:AC4" si="1">U72</f>
        <v>4539.7</v>
      </c>
      <c r="V4" s="282">
        <f t="shared" si="1"/>
        <v>2591.3000000000002</v>
      </c>
      <c r="W4" s="282">
        <f t="shared" si="1"/>
        <v>2134.6999999999998</v>
      </c>
      <c r="X4" s="282">
        <f t="shared" si="1"/>
        <v>4726</v>
      </c>
      <c r="Y4" s="282">
        <f t="shared" si="1"/>
        <v>2722.4</v>
      </c>
      <c r="Z4" s="282">
        <f t="shared" si="1"/>
        <v>2596.4999999999995</v>
      </c>
      <c r="AA4" s="282">
        <f t="shared" si="1"/>
        <v>5318.9</v>
      </c>
      <c r="AB4" s="282">
        <f t="shared" si="1"/>
        <v>3355.7</v>
      </c>
      <c r="AC4" s="282">
        <f t="shared" si="1"/>
        <v>2601.1000000000004</v>
      </c>
      <c r="AD4" s="282">
        <f t="shared" si="0"/>
        <v>5956.8</v>
      </c>
      <c r="AE4" s="282">
        <f t="shared" ref="AE4:AF4" si="2">AE72</f>
        <v>3290.5</v>
      </c>
      <c r="AF4" s="282">
        <f t="shared" si="2"/>
        <v>2906</v>
      </c>
      <c r="AG4" s="279">
        <f t="shared" ref="AG4:AN4" si="3">AG72</f>
        <v>6196.5</v>
      </c>
      <c r="AH4" s="282">
        <f t="shared" si="3"/>
        <v>3588.8</v>
      </c>
      <c r="AI4" s="190">
        <f t="shared" ref="AI4:AK4" si="4">AI72</f>
        <v>2957.3</v>
      </c>
      <c r="AJ4" s="279">
        <f t="shared" si="4"/>
        <v>6546.1</v>
      </c>
      <c r="AK4" s="282">
        <f t="shared" si="4"/>
        <v>3615.1</v>
      </c>
      <c r="AL4" s="282">
        <f t="shared" si="3"/>
        <v>2994.7999999999997</v>
      </c>
      <c r="AM4" s="279">
        <f t="shared" si="3"/>
        <v>6609.9</v>
      </c>
      <c r="AN4" s="190">
        <f t="shared" si="3"/>
        <v>3875.2</v>
      </c>
      <c r="AO4" s="282">
        <f t="shared" ref="AO4:AV4" si="5">AO72</f>
        <v>3228</v>
      </c>
      <c r="AP4" s="279">
        <f t="shared" si="5"/>
        <v>7103.2</v>
      </c>
      <c r="AQ4" s="1385">
        <f t="shared" si="5"/>
        <v>4120.5</v>
      </c>
      <c r="AR4" s="282">
        <f t="shared" si="5"/>
        <v>3352.5146601941751</v>
      </c>
      <c r="AS4" s="205">
        <f t="shared" si="5"/>
        <v>7473.0146601941751</v>
      </c>
      <c r="AT4" s="282">
        <f t="shared" si="5"/>
        <v>4304.3376923076921</v>
      </c>
      <c r="AU4" s="282">
        <f t="shared" si="5"/>
        <v>3503.3536052999634</v>
      </c>
      <c r="AV4" s="205">
        <f t="shared" si="5"/>
        <v>7807.6912976076555</v>
      </c>
      <c r="AW4" s="282">
        <f t="shared" ref="AW4:AY4" si="6">AW72</f>
        <v>4497.00804615383</v>
      </c>
      <c r="AX4" s="282">
        <f t="shared" si="6"/>
        <v>3660.1703857276925</v>
      </c>
      <c r="AY4" s="205">
        <f t="shared" si="6"/>
        <v>8157.1784318815226</v>
      </c>
      <c r="AZ4" s="282">
        <f t="shared" ref="AZ4:BB4" si="7">AZ72</f>
        <v>4698.201202341962</v>
      </c>
      <c r="BA4" s="282">
        <f t="shared" si="7"/>
        <v>3823.9239802360617</v>
      </c>
      <c r="BB4" s="205">
        <f t="shared" si="7"/>
        <v>8522.1251825780237</v>
      </c>
      <c r="BC4" s="190"/>
      <c r="BD4" s="316"/>
      <c r="BE4" s="316"/>
      <c r="BF4" s="316"/>
      <c r="BG4" s="261"/>
      <c r="BH4" s="261"/>
      <c r="BI4" s="261"/>
      <c r="BJ4" s="261"/>
      <c r="BK4" s="316">
        <f t="shared" ref="BK4:CN4" si="8">BK72</f>
        <v>0</v>
      </c>
      <c r="BL4" s="316">
        <f t="shared" si="8"/>
        <v>0</v>
      </c>
      <c r="BM4" s="316">
        <f t="shared" si="8"/>
        <v>0</v>
      </c>
      <c r="BN4" s="316">
        <f t="shared" si="8"/>
        <v>0</v>
      </c>
      <c r="BO4" s="316">
        <f t="shared" si="8"/>
        <v>0</v>
      </c>
      <c r="BP4" s="316">
        <f t="shared" si="8"/>
        <v>0</v>
      </c>
      <c r="BQ4" s="316">
        <f t="shared" si="8"/>
        <v>0</v>
      </c>
      <c r="BR4" s="316">
        <f t="shared" si="8"/>
        <v>0</v>
      </c>
      <c r="BS4" s="316">
        <f t="shared" si="8"/>
        <v>940.7</v>
      </c>
      <c r="BT4" s="316">
        <f t="shared" si="8"/>
        <v>794.3599999999999</v>
      </c>
      <c r="BU4" s="316">
        <f t="shared" si="8"/>
        <v>1194.5650000000001</v>
      </c>
      <c r="BV4" s="316">
        <f t="shared" si="8"/>
        <v>1010.3989999999999</v>
      </c>
      <c r="BW4" s="316">
        <f t="shared" si="8"/>
        <v>1477.2</v>
      </c>
      <c r="BX4" s="316">
        <f t="shared" si="8"/>
        <v>1120.8480000000002</v>
      </c>
      <c r="BY4" s="316">
        <f t="shared" si="8"/>
        <v>1606.5</v>
      </c>
      <c r="BZ4" s="316">
        <f t="shared" si="8"/>
        <v>1208.127</v>
      </c>
      <c r="CA4" s="316">
        <f t="shared" si="8"/>
        <v>1677.3</v>
      </c>
      <c r="CB4" s="316">
        <f t="shared" si="8"/>
        <v>1277.3320000000001</v>
      </c>
      <c r="CC4" s="316">
        <f t="shared" si="8"/>
        <v>1724</v>
      </c>
      <c r="CD4" s="316">
        <f t="shared" si="8"/>
        <v>1416.817</v>
      </c>
      <c r="CE4" s="316">
        <f t="shared" si="8"/>
        <v>1836</v>
      </c>
      <c r="CF4" s="316">
        <f t="shared" si="8"/>
        <v>1456.848</v>
      </c>
      <c r="CG4" s="316">
        <f t="shared" si="8"/>
        <v>1862.1079999999999</v>
      </c>
      <c r="CH4" s="316">
        <f t="shared" si="8"/>
        <v>1593.9080000000001</v>
      </c>
      <c r="CI4" s="316">
        <f t="shared" si="8"/>
        <v>2000.864</v>
      </c>
      <c r="CJ4" s="316">
        <f t="shared" si="8"/>
        <v>1738.4940000000001</v>
      </c>
      <c r="CK4" s="316">
        <f t="shared" si="8"/>
        <v>2234.1999999999998</v>
      </c>
      <c r="CL4" s="316">
        <f t="shared" si="8"/>
        <v>1914.4000000000005</v>
      </c>
      <c r="CM4" s="316">
        <f t="shared" si="8"/>
        <v>2476</v>
      </c>
      <c r="CN4" s="316">
        <f t="shared" si="8"/>
        <v>2063.6999999999998</v>
      </c>
      <c r="CR4" s="559"/>
      <c r="CS4" s="540"/>
    </row>
    <row r="5" spans="1:101">
      <c r="A5" s="129" t="s">
        <v>757</v>
      </c>
      <c r="B5" s="782" t="s">
        <v>716</v>
      </c>
      <c r="C5" s="952"/>
      <c r="D5" s="952"/>
      <c r="E5" s="952"/>
      <c r="F5" s="282">
        <f t="shared" ref="F5:AD5" si="9">F84</f>
        <v>0</v>
      </c>
      <c r="G5" s="282">
        <f t="shared" si="9"/>
        <v>0</v>
      </c>
      <c r="H5" s="282">
        <f t="shared" si="9"/>
        <v>0</v>
      </c>
      <c r="I5" s="282">
        <f t="shared" si="9"/>
        <v>0</v>
      </c>
      <c r="J5" s="282">
        <f t="shared" si="9"/>
        <v>0</v>
      </c>
      <c r="K5" s="282">
        <f t="shared" si="9"/>
        <v>93.504000000000133</v>
      </c>
      <c r="L5" s="282">
        <f t="shared" si="9"/>
        <v>122.30200000000013</v>
      </c>
      <c r="M5" s="282">
        <f t="shared" si="9"/>
        <v>133.27199999999993</v>
      </c>
      <c r="N5" s="282">
        <f t="shared" si="9"/>
        <v>144.6260000000002</v>
      </c>
      <c r="O5" s="282">
        <f t="shared" si="9"/>
        <v>173.15999999999985</v>
      </c>
      <c r="P5" s="282">
        <f t="shared" si="9"/>
        <v>167.58300000000008</v>
      </c>
      <c r="Q5" s="282">
        <f t="shared" si="9"/>
        <v>190.92700000000013</v>
      </c>
      <c r="R5" s="282">
        <f t="shared" si="9"/>
        <v>196.11999999999989</v>
      </c>
      <c r="S5" s="282">
        <f t="shared" si="9"/>
        <v>215.10899999999992</v>
      </c>
      <c r="T5" s="282">
        <f t="shared" si="9"/>
        <v>221</v>
      </c>
      <c r="U5" s="282">
        <f t="shared" ref="U5:AC5" si="10">U84</f>
        <v>213.30000000000018</v>
      </c>
      <c r="V5" s="282">
        <f t="shared" si="10"/>
        <v>121.69999999999982</v>
      </c>
      <c r="W5" s="282">
        <f t="shared" si="10"/>
        <v>99.699999999999818</v>
      </c>
      <c r="X5" s="282">
        <f t="shared" si="10"/>
        <v>221.39999999999964</v>
      </c>
      <c r="Y5" s="282">
        <f t="shared" si="10"/>
        <v>125.29999999999973</v>
      </c>
      <c r="Z5" s="282">
        <f t="shared" si="10"/>
        <v>85.900000000000091</v>
      </c>
      <c r="AA5" s="282">
        <f t="shared" si="10"/>
        <v>211.19999999999982</v>
      </c>
      <c r="AB5" s="282">
        <f t="shared" si="10"/>
        <v>135</v>
      </c>
      <c r="AC5" s="282">
        <f t="shared" si="10"/>
        <v>108.60000000000036</v>
      </c>
      <c r="AD5" s="282">
        <f t="shared" si="9"/>
        <v>243.60000000000036</v>
      </c>
      <c r="AE5" s="282">
        <f t="shared" ref="AE5:AF5" si="11">AE84</f>
        <v>131.90000000000009</v>
      </c>
      <c r="AF5" s="282">
        <f t="shared" si="11"/>
        <v>114.19999999999982</v>
      </c>
      <c r="AG5" s="282">
        <f t="shared" ref="AG5:AN5" si="12">AG84</f>
        <v>246.09999999999991</v>
      </c>
      <c r="AH5" s="282">
        <f t="shared" si="12"/>
        <v>145.69999999999982</v>
      </c>
      <c r="AI5" s="190">
        <f t="shared" ref="AI5:AK5" si="13">AI84</f>
        <v>121.59999999999945</v>
      </c>
      <c r="AJ5" s="282">
        <f t="shared" si="13"/>
        <v>267.29999999999927</v>
      </c>
      <c r="AK5" s="282">
        <f t="shared" si="13"/>
        <v>156.10000000000036</v>
      </c>
      <c r="AL5" s="282">
        <f t="shared" si="12"/>
        <v>147.29999999999961</v>
      </c>
      <c r="AM5" s="282">
        <f t="shared" si="12"/>
        <v>303.39999999999998</v>
      </c>
      <c r="AN5" s="190">
        <f t="shared" si="12"/>
        <v>184.09999999999991</v>
      </c>
      <c r="AO5" s="282">
        <f t="shared" ref="AO5:AV5" si="14">AO84</f>
        <v>177.30000000000064</v>
      </c>
      <c r="AP5" s="282">
        <f t="shared" si="14"/>
        <v>361.40000000000055</v>
      </c>
      <c r="AQ5" s="1385">
        <f t="shared" si="14"/>
        <v>239</v>
      </c>
      <c r="AR5" s="282">
        <f t="shared" si="14"/>
        <v>201.58086357142855</v>
      </c>
      <c r="AS5" s="205">
        <f t="shared" si="14"/>
        <v>440.58086357142855</v>
      </c>
      <c r="AT5" s="282">
        <f t="shared" si="14"/>
        <v>253.27151234042555</v>
      </c>
      <c r="AU5" s="282">
        <f t="shared" si="14"/>
        <v>223.65727247564587</v>
      </c>
      <c r="AV5" s="205">
        <f t="shared" si="14"/>
        <v>476.92878481607141</v>
      </c>
      <c r="AW5" s="282">
        <f t="shared" ref="AW5:AY5" si="15">AW84</f>
        <v>278.16198855319152</v>
      </c>
      <c r="AX5" s="282">
        <f t="shared" si="15"/>
        <v>222.23917371167096</v>
      </c>
      <c r="AY5" s="205">
        <f t="shared" si="15"/>
        <v>500.40116226486248</v>
      </c>
      <c r="AZ5" s="282">
        <f t="shared" ref="AZ5:BB5" si="16">AZ84</f>
        <v>291.64214646000005</v>
      </c>
      <c r="BA5" s="282">
        <f t="shared" si="16"/>
        <v>233.89709306014902</v>
      </c>
      <c r="BB5" s="205">
        <f t="shared" si="16"/>
        <v>525.53923952014907</v>
      </c>
      <c r="BC5" s="190"/>
      <c r="BD5" s="316"/>
      <c r="BE5" s="316"/>
      <c r="BF5" s="316"/>
      <c r="BG5" s="316"/>
      <c r="BH5" s="315"/>
      <c r="BI5" s="317"/>
      <c r="BJ5" s="317"/>
      <c r="BK5" s="316">
        <f t="shared" ref="BK5:CN5" si="17">BK84</f>
        <v>0</v>
      </c>
      <c r="BL5" s="316">
        <f t="shared" si="17"/>
        <v>0</v>
      </c>
      <c r="BM5" s="316">
        <f t="shared" si="17"/>
        <v>0</v>
      </c>
      <c r="BN5" s="316">
        <f t="shared" si="17"/>
        <v>0</v>
      </c>
      <c r="BO5" s="316">
        <f t="shared" si="17"/>
        <v>0</v>
      </c>
      <c r="BP5" s="316">
        <f t="shared" si="17"/>
        <v>0</v>
      </c>
      <c r="BQ5" s="316">
        <f t="shared" si="17"/>
        <v>0</v>
      </c>
      <c r="BR5" s="316">
        <f t="shared" si="17"/>
        <v>0</v>
      </c>
      <c r="BS5" s="316">
        <f t="shared" si="17"/>
        <v>47.841999999999985</v>
      </c>
      <c r="BT5" s="316">
        <f t="shared" si="17"/>
        <v>45.662000000000148</v>
      </c>
      <c r="BU5" s="316">
        <f t="shared" si="17"/>
        <v>67</v>
      </c>
      <c r="BV5" s="316">
        <f t="shared" si="17"/>
        <v>55.302000000000135</v>
      </c>
      <c r="BW5" s="316">
        <f t="shared" si="17"/>
        <v>76.599999999999994</v>
      </c>
      <c r="BX5" s="316">
        <f t="shared" si="17"/>
        <v>56.67199999999994</v>
      </c>
      <c r="BY5" s="316">
        <f t="shared" si="17"/>
        <v>76.099999999999994</v>
      </c>
      <c r="BZ5" s="316">
        <f t="shared" si="17"/>
        <v>68.526000000000209</v>
      </c>
      <c r="CA5" s="316">
        <f t="shared" si="17"/>
        <v>97.4</v>
      </c>
      <c r="CB5" s="316">
        <f t="shared" si="17"/>
        <v>75.759999999999849</v>
      </c>
      <c r="CC5" s="316">
        <f t="shared" si="17"/>
        <v>92.245999999999995</v>
      </c>
      <c r="CD5" s="316">
        <f t="shared" si="17"/>
        <v>75.337000000000089</v>
      </c>
      <c r="CE5" s="316">
        <f t="shared" si="17"/>
        <v>103.913</v>
      </c>
      <c r="CF5" s="316">
        <f t="shared" si="17"/>
        <v>87.014000000000138</v>
      </c>
      <c r="CG5" s="316">
        <f t="shared" si="17"/>
        <v>103.04</v>
      </c>
      <c r="CH5" s="316">
        <f t="shared" si="17"/>
        <v>93.079999999999885</v>
      </c>
      <c r="CI5" s="316">
        <f t="shared" si="17"/>
        <v>115.953</v>
      </c>
      <c r="CJ5" s="316">
        <f t="shared" si="17"/>
        <v>99.155999999999921</v>
      </c>
      <c r="CK5" s="316">
        <f t="shared" si="17"/>
        <v>118.90000000000009</v>
      </c>
      <c r="CL5" s="316">
        <f t="shared" si="17"/>
        <v>102.09999999999991</v>
      </c>
      <c r="CM5" s="316">
        <f t="shared" si="17"/>
        <v>114</v>
      </c>
      <c r="CN5" s="316">
        <f t="shared" si="17"/>
        <v>99.300000000000182</v>
      </c>
      <c r="CR5" s="289"/>
      <c r="CS5" s="559"/>
    </row>
    <row r="6" spans="1:101">
      <c r="A6" s="129" t="s">
        <v>758</v>
      </c>
      <c r="B6" s="782" t="s">
        <v>730</v>
      </c>
      <c r="C6" s="952"/>
      <c r="D6" s="952"/>
      <c r="E6" s="95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>
        <f t="shared" ref="T6:AN6" si="18">T308</f>
        <v>1258.4000000000001</v>
      </c>
      <c r="U6" s="282">
        <f t="shared" si="18"/>
        <v>2101.3000000000002</v>
      </c>
      <c r="V6" s="282">
        <f>V308</f>
        <v>1130.7</v>
      </c>
      <c r="W6" s="282">
        <f>W308</f>
        <v>1017.2</v>
      </c>
      <c r="X6" s="282">
        <f t="shared" si="18"/>
        <v>2147.9</v>
      </c>
      <c r="Y6" s="282">
        <f>Y308</f>
        <v>1147.5</v>
      </c>
      <c r="Z6" s="282">
        <f>Z308</f>
        <v>1241.3000000000002</v>
      </c>
      <c r="AA6" s="282">
        <f t="shared" si="18"/>
        <v>2388.8000000000002</v>
      </c>
      <c r="AB6" s="282">
        <f>AB308</f>
        <v>1450.5</v>
      </c>
      <c r="AC6" s="282">
        <f>AC308</f>
        <v>1265.1999999999998</v>
      </c>
      <c r="AD6" s="282">
        <f t="shared" si="18"/>
        <v>2715.7</v>
      </c>
      <c r="AE6" s="282">
        <f t="shared" ref="AE6:AF6" si="19">AE308</f>
        <v>1439.4</v>
      </c>
      <c r="AF6" s="282">
        <f t="shared" si="19"/>
        <v>1350</v>
      </c>
      <c r="AG6" s="282">
        <f t="shared" si="18"/>
        <v>2789.4</v>
      </c>
      <c r="AH6" s="282">
        <f t="shared" si="18"/>
        <v>1544</v>
      </c>
      <c r="AI6" s="190">
        <f t="shared" ref="AI6:AK6" si="20">AI308</f>
        <v>1269</v>
      </c>
      <c r="AJ6" s="282">
        <f t="shared" si="20"/>
        <v>2813</v>
      </c>
      <c r="AK6" s="282">
        <f t="shared" si="20"/>
        <v>1390.9</v>
      </c>
      <c r="AL6" s="282">
        <f t="shared" si="18"/>
        <v>1288.1999999999998</v>
      </c>
      <c r="AM6" s="282">
        <f t="shared" si="18"/>
        <v>2679.1</v>
      </c>
      <c r="AN6" s="190">
        <f t="shared" si="18"/>
        <v>1518.8</v>
      </c>
      <c r="AO6" s="282">
        <f t="shared" ref="AO6:AV6" si="21">AO308</f>
        <v>1346.2</v>
      </c>
      <c r="AP6" s="282">
        <f t="shared" si="21"/>
        <v>2865</v>
      </c>
      <c r="AQ6" s="1385">
        <f t="shared" si="21"/>
        <v>1581</v>
      </c>
      <c r="AR6" s="282">
        <f t="shared" si="21"/>
        <v>1380.5357042253522</v>
      </c>
      <c r="AS6" s="205">
        <f t="shared" si="21"/>
        <v>2961.5357042253522</v>
      </c>
      <c r="AT6" s="282">
        <f t="shared" si="21"/>
        <v>1628.43</v>
      </c>
      <c r="AU6" s="282">
        <f t="shared" si="21"/>
        <v>1421.9517753521129</v>
      </c>
      <c r="AV6" s="205">
        <f t="shared" si="21"/>
        <v>3050.381775352113</v>
      </c>
      <c r="AW6" s="282">
        <f t="shared" ref="AW6:AY6" si="22">AW308</f>
        <v>1685.4250499999998</v>
      </c>
      <c r="AX6" s="282">
        <f t="shared" si="22"/>
        <v>1471.720087489437</v>
      </c>
      <c r="AY6" s="205">
        <f t="shared" si="22"/>
        <v>3157.1451374894368</v>
      </c>
      <c r="AZ6" s="282">
        <f t="shared" ref="AZ6:BB6" si="23">AZ308</f>
        <v>1744.4149267499997</v>
      </c>
      <c r="BA6" s="282">
        <f t="shared" si="23"/>
        <v>1523.2302905515671</v>
      </c>
      <c r="BB6" s="205">
        <f t="shared" si="23"/>
        <v>3267.6452173015668</v>
      </c>
      <c r="BC6" s="190"/>
      <c r="BD6" s="316"/>
      <c r="BE6" s="316"/>
      <c r="BF6" s="316"/>
      <c r="BG6" s="316"/>
      <c r="BH6" s="315"/>
      <c r="BI6" s="317"/>
      <c r="BJ6" s="317"/>
      <c r="BK6" s="316"/>
      <c r="BL6" s="316"/>
      <c r="BM6" s="316"/>
      <c r="BN6" s="316"/>
      <c r="BO6" s="316"/>
      <c r="BP6" s="316"/>
      <c r="BQ6" s="316"/>
      <c r="BR6" s="316"/>
      <c r="BS6" s="316"/>
      <c r="BT6" s="316"/>
      <c r="BU6" s="316"/>
      <c r="BV6" s="316"/>
      <c r="BW6" s="316"/>
      <c r="BX6" s="316"/>
      <c r="BY6" s="316"/>
      <c r="BZ6" s="316"/>
      <c r="CA6" s="316"/>
      <c r="CB6" s="316"/>
      <c r="CC6" s="316"/>
      <c r="CD6" s="316"/>
      <c r="CE6" s="316"/>
      <c r="CF6" s="316"/>
      <c r="CG6" s="316"/>
      <c r="CH6" s="316"/>
      <c r="CI6" s="316"/>
      <c r="CJ6" s="316"/>
      <c r="CK6" s="316">
        <f t="shared" ref="CK6:CN6" si="24">CK308</f>
        <v>263.10000000000002</v>
      </c>
      <c r="CL6" s="316">
        <f t="shared" si="24"/>
        <v>995.30000000000007</v>
      </c>
      <c r="CM6" s="316">
        <f t="shared" si="24"/>
        <v>1099.8</v>
      </c>
      <c r="CN6" s="316">
        <f t="shared" si="24"/>
        <v>1001.5000000000002</v>
      </c>
      <c r="CR6" s="289"/>
      <c r="CS6" s="540"/>
      <c r="CU6" s="555" t="s">
        <v>921</v>
      </c>
      <c r="CV6" s="555" t="s">
        <v>922</v>
      </c>
    </row>
    <row r="7" spans="1:101">
      <c r="A7" s="177" t="s">
        <v>457</v>
      </c>
      <c r="B7" s="953" t="s">
        <v>589</v>
      </c>
      <c r="C7" s="954"/>
      <c r="D7" s="954"/>
      <c r="E7" s="954"/>
      <c r="F7" s="305">
        <f>F90</f>
        <v>355.83499999999998</v>
      </c>
      <c r="G7" s="305">
        <f>G90</f>
        <v>452.35700000000003</v>
      </c>
      <c r="H7" s="305">
        <f>H90</f>
        <v>693.94299999999998</v>
      </c>
      <c r="I7" s="305">
        <f>I90</f>
        <v>945.82100000000003</v>
      </c>
      <c r="J7" s="305">
        <f>J90</f>
        <v>1281.837</v>
      </c>
      <c r="K7" s="305">
        <f t="shared" ref="K7:AD7" si="25">SUM(K4:K6)</f>
        <v>1828.5640000000001</v>
      </c>
      <c r="L7" s="305">
        <f t="shared" si="25"/>
        <v>2327.2660000000001</v>
      </c>
      <c r="M7" s="305">
        <f t="shared" si="25"/>
        <v>2731.32</v>
      </c>
      <c r="N7" s="305">
        <f t="shared" si="25"/>
        <v>2959.2530000000002</v>
      </c>
      <c r="O7" s="305">
        <f t="shared" si="25"/>
        <v>3127.7919999999999</v>
      </c>
      <c r="P7" s="305">
        <f t="shared" si="25"/>
        <v>3308.4</v>
      </c>
      <c r="Q7" s="305">
        <f t="shared" si="25"/>
        <v>3483.7750000000001</v>
      </c>
      <c r="R7" s="305">
        <f t="shared" si="25"/>
        <v>3652.136</v>
      </c>
      <c r="S7" s="305">
        <f t="shared" si="25"/>
        <v>3954.4670000000001</v>
      </c>
      <c r="T7" s="305">
        <f t="shared" si="25"/>
        <v>5628</v>
      </c>
      <c r="U7" s="305">
        <f t="shared" si="25"/>
        <v>6854.3</v>
      </c>
      <c r="V7" s="305">
        <f t="shared" ref="V7:AC7" si="26">SUM(V4:V6)</f>
        <v>3843.7</v>
      </c>
      <c r="W7" s="305">
        <f t="shared" si="26"/>
        <v>3251.5999999999995</v>
      </c>
      <c r="X7" s="305">
        <f t="shared" si="26"/>
        <v>7095.2999999999993</v>
      </c>
      <c r="Y7" s="305">
        <f t="shared" si="26"/>
        <v>3995.2</v>
      </c>
      <c r="Z7" s="305">
        <f t="shared" si="26"/>
        <v>3923.7</v>
      </c>
      <c r="AA7" s="305">
        <f t="shared" si="26"/>
        <v>7918.9</v>
      </c>
      <c r="AB7" s="305">
        <f t="shared" si="26"/>
        <v>4941.2</v>
      </c>
      <c r="AC7" s="305">
        <f t="shared" si="26"/>
        <v>3974.9000000000005</v>
      </c>
      <c r="AD7" s="305">
        <f t="shared" si="25"/>
        <v>8916.1</v>
      </c>
      <c r="AE7" s="305">
        <f t="shared" ref="AE7:AF7" si="27">SUM(AE4:AE6)</f>
        <v>4861.8</v>
      </c>
      <c r="AF7" s="305">
        <f t="shared" si="27"/>
        <v>4370.2</v>
      </c>
      <c r="AG7" s="1112">
        <f t="shared" ref="AG7:AM7" si="28">SUM(AG4:AG6)</f>
        <v>9232</v>
      </c>
      <c r="AH7" s="1186">
        <f t="shared" si="28"/>
        <v>5278.5</v>
      </c>
      <c r="AI7" s="191">
        <f t="shared" ref="AI7:AK7" si="29">SUM(AI4:AI6)</f>
        <v>4347.8999999999996</v>
      </c>
      <c r="AJ7" s="1186">
        <f t="shared" si="29"/>
        <v>9626.4</v>
      </c>
      <c r="AK7" s="1186">
        <f t="shared" si="29"/>
        <v>5162.1000000000004</v>
      </c>
      <c r="AL7" s="1186">
        <f t="shared" si="28"/>
        <v>4430.2999999999993</v>
      </c>
      <c r="AM7" s="1579">
        <f t="shared" si="28"/>
        <v>9592.4</v>
      </c>
      <c r="AN7" s="1627">
        <f>SUM(AN4:AN6)+AN363</f>
        <v>5670.4</v>
      </c>
      <c r="AO7" s="305">
        <f t="shared" ref="AO7:BB7" si="30">SUM(AO4:AO6)+AO363</f>
        <v>4884.4000000000005</v>
      </c>
      <c r="AP7" s="1579">
        <f t="shared" si="30"/>
        <v>10554.800000000001</v>
      </c>
      <c r="AQ7" s="1640">
        <f>SUM(AQ4:AQ6)+AQ363</f>
        <v>6085.3</v>
      </c>
      <c r="AR7" s="305">
        <f t="shared" si="30"/>
        <v>5065.7012279909559</v>
      </c>
      <c r="AS7" s="305">
        <f t="shared" si="30"/>
        <v>11151.001227990957</v>
      </c>
      <c r="AT7" s="305">
        <f t="shared" si="30"/>
        <v>6335.1832046481186</v>
      </c>
      <c r="AU7" s="305">
        <f t="shared" si="30"/>
        <v>5283.9647531277224</v>
      </c>
      <c r="AV7" s="305">
        <f t="shared" si="30"/>
        <v>11619.14795777584</v>
      </c>
      <c r="AW7" s="305">
        <f t="shared" si="30"/>
        <v>6614.2134047070213</v>
      </c>
      <c r="AX7" s="305">
        <f t="shared" si="30"/>
        <v>5493.1818099288012</v>
      </c>
      <c r="AY7" s="305">
        <f t="shared" si="30"/>
        <v>12107.395214635822</v>
      </c>
      <c r="AZ7" s="305">
        <f t="shared" si="30"/>
        <v>6892.4851451519617</v>
      </c>
      <c r="BA7" s="305">
        <f t="shared" si="30"/>
        <v>5724.275091737778</v>
      </c>
      <c r="BB7" s="305">
        <f t="shared" si="30"/>
        <v>12616.760236889741</v>
      </c>
      <c r="BC7" s="1268"/>
      <c r="BD7" s="356"/>
      <c r="BE7" s="356"/>
      <c r="BF7" s="356"/>
      <c r="BG7" s="356"/>
      <c r="BH7" s="357"/>
      <c r="BI7" s="358"/>
      <c r="BJ7" s="358"/>
      <c r="BK7" s="356">
        <f t="shared" ref="BK7:CD7" si="31">BK90</f>
        <v>234.59899999999999</v>
      </c>
      <c r="BL7" s="356">
        <f t="shared" si="31"/>
        <v>217.75800000000004</v>
      </c>
      <c r="BM7" s="356">
        <f t="shared" si="31"/>
        <v>376.17700000000002</v>
      </c>
      <c r="BN7" s="356">
        <f t="shared" si="31"/>
        <v>317.76599999999996</v>
      </c>
      <c r="BO7" s="356">
        <f t="shared" si="31"/>
        <v>509.83600000000001</v>
      </c>
      <c r="BP7" s="356">
        <f t="shared" si="31"/>
        <v>435.98500000000001</v>
      </c>
      <c r="BQ7" s="356">
        <f t="shared" si="31"/>
        <v>658.89800000000002</v>
      </c>
      <c r="BR7" s="356">
        <f t="shared" si="31"/>
        <v>622.93899999999996</v>
      </c>
      <c r="BS7" s="356">
        <f t="shared" si="31"/>
        <v>988.54200000000003</v>
      </c>
      <c r="BT7" s="356">
        <f t="shared" si="31"/>
        <v>840.02200000000005</v>
      </c>
      <c r="BU7" s="356">
        <f t="shared" si="31"/>
        <v>1261.5650000000001</v>
      </c>
      <c r="BV7" s="356">
        <f t="shared" si="31"/>
        <v>1065.701</v>
      </c>
      <c r="BW7" s="356">
        <f t="shared" si="31"/>
        <v>1553.7739999999999</v>
      </c>
      <c r="BX7" s="356">
        <f t="shared" si="31"/>
        <v>1177.5460000000003</v>
      </c>
      <c r="BY7" s="356">
        <f t="shared" si="31"/>
        <v>1682.634</v>
      </c>
      <c r="BZ7" s="356">
        <f t="shared" si="31"/>
        <v>1276.6190000000001</v>
      </c>
      <c r="CA7" s="356">
        <f t="shared" si="31"/>
        <v>1774.729</v>
      </c>
      <c r="CB7" s="356">
        <f t="shared" si="31"/>
        <v>1353.0629999999999</v>
      </c>
      <c r="CC7" s="356">
        <f t="shared" si="31"/>
        <v>1816.248</v>
      </c>
      <c r="CD7" s="356">
        <f t="shared" si="31"/>
        <v>1492.152</v>
      </c>
      <c r="CE7" s="356">
        <f t="shared" ref="CE7:CN7" si="32">SUM(CE4:CE6)</f>
        <v>1939.913</v>
      </c>
      <c r="CF7" s="356">
        <f t="shared" si="32"/>
        <v>1543.8620000000001</v>
      </c>
      <c r="CG7" s="356">
        <f t="shared" si="32"/>
        <v>1965.1479999999999</v>
      </c>
      <c r="CH7" s="356">
        <f t="shared" si="32"/>
        <v>1686.9880000000001</v>
      </c>
      <c r="CI7" s="356">
        <f t="shared" si="32"/>
        <v>2116.817</v>
      </c>
      <c r="CJ7" s="356">
        <f t="shared" si="32"/>
        <v>1837.65</v>
      </c>
      <c r="CK7" s="356">
        <f t="shared" si="32"/>
        <v>2616.1999999999998</v>
      </c>
      <c r="CL7" s="356">
        <f t="shared" si="32"/>
        <v>3011.8000000000006</v>
      </c>
      <c r="CM7" s="356">
        <f t="shared" si="32"/>
        <v>3689.8</v>
      </c>
      <c r="CN7" s="356">
        <f t="shared" si="32"/>
        <v>3164.5</v>
      </c>
      <c r="CT7" t="s">
        <v>218</v>
      </c>
      <c r="CU7" s="557">
        <f>AH7/Y7-1</f>
        <v>0.32121045254305169</v>
      </c>
      <c r="CV7" s="558">
        <f>(AM7/AA7)-1</f>
        <v>0.21132985641945212</v>
      </c>
    </row>
    <row r="8" spans="1:101">
      <c r="A8" s="165" t="s">
        <v>891</v>
      </c>
      <c r="B8" s="955" t="s">
        <v>7</v>
      </c>
      <c r="C8" s="952"/>
      <c r="D8" s="952"/>
      <c r="E8" s="952"/>
      <c r="F8" s="284"/>
      <c r="G8" s="284">
        <f t="shared" ref="G8:U8" si="33">G7/F7-1</f>
        <v>0.27125493557407232</v>
      </c>
      <c r="H8" s="284">
        <f t="shared" si="33"/>
        <v>0.53406048762371294</v>
      </c>
      <c r="I8" s="284">
        <f t="shared" si="33"/>
        <v>0.36296641078590031</v>
      </c>
      <c r="J8" s="284">
        <f t="shared" si="33"/>
        <v>0.35526383956372287</v>
      </c>
      <c r="K8" s="284">
        <f t="shared" si="33"/>
        <v>0.42651834827673096</v>
      </c>
      <c r="L8" s="284">
        <f t="shared" si="33"/>
        <v>0.27272876421060466</v>
      </c>
      <c r="M8" s="284">
        <f t="shared" si="33"/>
        <v>0.17361745498795589</v>
      </c>
      <c r="N8" s="284">
        <f t="shared" si="33"/>
        <v>8.3451591172033934E-2</v>
      </c>
      <c r="O8" s="284">
        <f t="shared" si="33"/>
        <v>5.6953224344116427E-2</v>
      </c>
      <c r="P8" s="284">
        <f t="shared" si="33"/>
        <v>5.774297012077545E-2</v>
      </c>
      <c r="Q8" s="284">
        <f t="shared" si="33"/>
        <v>5.3009007375166339E-2</v>
      </c>
      <c r="R8" s="284">
        <f t="shared" si="33"/>
        <v>4.8327173827241943E-2</v>
      </c>
      <c r="S8" s="284">
        <f t="shared" si="33"/>
        <v>8.2781966498509441E-2</v>
      </c>
      <c r="T8" s="284">
        <f t="shared" si="33"/>
        <v>0.42320064878528507</v>
      </c>
      <c r="U8" s="284">
        <f t="shared" si="33"/>
        <v>0.2178926794598437</v>
      </c>
      <c r="V8" s="284">
        <f>V7/CM7-1</f>
        <v>4.1709577754891702E-2</v>
      </c>
      <c r="W8" s="284">
        <f>W7/CN7-1</f>
        <v>2.7524095433717699E-2</v>
      </c>
      <c r="X8" s="284">
        <f t="shared" ref="X8:AM8" si="34">X7/U7-1</f>
        <v>3.516041025341754E-2</v>
      </c>
      <c r="Y8" s="284">
        <f t="shared" si="34"/>
        <v>3.9415146863698958E-2</v>
      </c>
      <c r="Z8" s="284">
        <f t="shared" si="34"/>
        <v>0.20669824086603539</v>
      </c>
      <c r="AA8" s="284">
        <f t="shared" si="34"/>
        <v>0.11607683959804382</v>
      </c>
      <c r="AB8" s="284">
        <f t="shared" si="34"/>
        <v>0.23678414096916311</v>
      </c>
      <c r="AC8" s="284">
        <f t="shared" si="34"/>
        <v>1.3048907918546515E-2</v>
      </c>
      <c r="AD8" s="284">
        <f t="shared" si="34"/>
        <v>0.12592658071196761</v>
      </c>
      <c r="AE8" s="284">
        <f t="shared" si="34"/>
        <v>-1.6068971100137497E-2</v>
      </c>
      <c r="AF8" s="284">
        <f t="shared" si="34"/>
        <v>9.9449042743213534E-2</v>
      </c>
      <c r="AG8" s="284">
        <f t="shared" si="34"/>
        <v>3.5430289027713835E-2</v>
      </c>
      <c r="AH8" s="284">
        <f t="shared" si="34"/>
        <v>8.5708996667900772E-2</v>
      </c>
      <c r="AI8" s="137">
        <f t="shared" si="34"/>
        <v>-5.1027412933046801E-3</v>
      </c>
      <c r="AJ8" s="284">
        <f t="shared" si="34"/>
        <v>4.272097053726176E-2</v>
      </c>
      <c r="AK8" s="284">
        <f t="shared" si="34"/>
        <v>-2.2051719238419976E-2</v>
      </c>
      <c r="AL8" s="284">
        <f t="shared" ref="AL8" si="35">AL7/AI7-1</f>
        <v>1.8951677821476887E-2</v>
      </c>
      <c r="AM8" s="284">
        <f t="shared" si="34"/>
        <v>-3.531953793733944E-3</v>
      </c>
      <c r="AN8" s="137">
        <f t="shared" ref="AN8" si="36">AN7/AK7-1</f>
        <v>9.8467677883032012E-2</v>
      </c>
      <c r="AO8" s="284">
        <f>AO7/AL7-1</f>
        <v>0.10249870211949563</v>
      </c>
      <c r="AP8" s="284">
        <f>AP7/AM7-1</f>
        <v>0.10032942746340878</v>
      </c>
      <c r="AQ8" s="1315">
        <f t="shared" ref="AQ8" si="37">AQ7/AN7-1</f>
        <v>7.3169441309255179E-2</v>
      </c>
      <c r="AR8" s="284">
        <f t="shared" ref="AR8" si="38">AR7/AO7-1</f>
        <v>3.7118423550682955E-2</v>
      </c>
      <c r="AS8" s="234">
        <f t="shared" ref="AS8" si="39">AS7/AP7-1</f>
        <v>5.6486264826520305E-2</v>
      </c>
      <c r="AT8" s="284">
        <f t="shared" ref="AT8" si="40">AT7/AQ7-1</f>
        <v>4.106341587894069E-2</v>
      </c>
      <c r="AU8" s="284">
        <f t="shared" ref="AU8" si="41">AU7/AR7-1</f>
        <v>4.3086537344668718E-2</v>
      </c>
      <c r="AV8" s="234">
        <f t="shared" ref="AV8" si="42">AV7/AS7-1</f>
        <v>4.1982483923484137E-2</v>
      </c>
      <c r="AW8" s="284">
        <f t="shared" ref="AW8" si="43">AW7/AT7-1</f>
        <v>4.4044535263665141E-2</v>
      </c>
      <c r="AX8" s="284">
        <f t="shared" ref="AX8" si="44">AX7/AU7-1</f>
        <v>3.9594710899091057E-2</v>
      </c>
      <c r="AY8" s="234">
        <f t="shared" ref="AY8" si="45">AY7/AV7-1</f>
        <v>4.2020917423057247E-2</v>
      </c>
      <c r="AZ8" s="284">
        <f t="shared" ref="AZ8" si="46">AZ7/AW7-1</f>
        <v>4.2071781392313046E-2</v>
      </c>
      <c r="BA8" s="284">
        <f t="shared" ref="BA8" si="47">BA7/AX7-1</f>
        <v>4.2069112183995339E-2</v>
      </c>
      <c r="BB8" s="234">
        <f t="shared" ref="BB8" si="48">BB7/AY7-1</f>
        <v>4.2070570360021042E-2</v>
      </c>
      <c r="BC8" s="137"/>
      <c r="BD8" s="359"/>
      <c r="BE8" s="359"/>
      <c r="BF8" s="359"/>
      <c r="BG8" s="359"/>
      <c r="BH8" s="315"/>
      <c r="BI8" s="317"/>
      <c r="BJ8" s="317"/>
      <c r="BK8" s="316"/>
      <c r="BL8" s="316"/>
      <c r="BM8" s="359">
        <f t="shared" ref="BM8:CN8" si="49">BM7/BK7-1</f>
        <v>0.60348935843716323</v>
      </c>
      <c r="BN8" s="359">
        <f t="shared" si="49"/>
        <v>0.45926211666161465</v>
      </c>
      <c r="BO8" s="359">
        <f t="shared" si="49"/>
        <v>0.3553088041001975</v>
      </c>
      <c r="BP8" s="359">
        <f t="shared" si="49"/>
        <v>0.37203162075237772</v>
      </c>
      <c r="BQ8" s="359">
        <f t="shared" si="49"/>
        <v>0.29237244917973615</v>
      </c>
      <c r="BR8" s="359">
        <f t="shared" si="49"/>
        <v>0.4288083305618311</v>
      </c>
      <c r="BS8" s="359">
        <f t="shared" si="49"/>
        <v>0.50029594869008553</v>
      </c>
      <c r="BT8" s="359">
        <f t="shared" si="49"/>
        <v>0.34848195409181337</v>
      </c>
      <c r="BU8" s="359">
        <f t="shared" si="49"/>
        <v>0.27618755702843178</v>
      </c>
      <c r="BV8" s="359">
        <f t="shared" si="49"/>
        <v>0.26865843989800253</v>
      </c>
      <c r="BW8" s="359">
        <f t="shared" si="49"/>
        <v>0.23162421278332856</v>
      </c>
      <c r="BX8" s="359">
        <f t="shared" si="49"/>
        <v>0.10494969977507784</v>
      </c>
      <c r="BY8" s="359">
        <f t="shared" si="49"/>
        <v>8.2933554043252089E-2</v>
      </c>
      <c r="BZ8" s="359">
        <f t="shared" si="49"/>
        <v>8.4135142066636748E-2</v>
      </c>
      <c r="CA8" s="359">
        <f t="shared" si="49"/>
        <v>5.4732639421288365E-2</v>
      </c>
      <c r="CB8" s="359">
        <f t="shared" si="49"/>
        <v>5.9880042518558607E-2</v>
      </c>
      <c r="CC8" s="359">
        <f t="shared" si="49"/>
        <v>2.3394557704303098E-2</v>
      </c>
      <c r="CD8" s="359">
        <f t="shared" si="49"/>
        <v>0.10279565696497506</v>
      </c>
      <c r="CE8" s="359">
        <f t="shared" si="49"/>
        <v>6.8088168576097452E-2</v>
      </c>
      <c r="CF8" s="359">
        <f t="shared" si="49"/>
        <v>3.4654646443525783E-2</v>
      </c>
      <c r="CG8" s="359">
        <f t="shared" si="49"/>
        <v>1.3008315321357156E-2</v>
      </c>
      <c r="CH8" s="359">
        <f t="shared" si="49"/>
        <v>9.2706472469689549E-2</v>
      </c>
      <c r="CI8" s="359">
        <f t="shared" si="49"/>
        <v>7.7179428724961197E-2</v>
      </c>
      <c r="CJ8" s="359">
        <f t="shared" si="49"/>
        <v>8.9308281979480597E-2</v>
      </c>
      <c r="CK8" s="359">
        <f t="shared" si="49"/>
        <v>0.23591222103752929</v>
      </c>
      <c r="CL8" s="359">
        <f t="shared" si="49"/>
        <v>0.63894103882676268</v>
      </c>
      <c r="CM8" s="359">
        <f t="shared" si="49"/>
        <v>0.41036617995566105</v>
      </c>
      <c r="CN8" s="359">
        <f t="shared" si="49"/>
        <v>5.0700577727604612E-2</v>
      </c>
      <c r="CT8" t="s">
        <v>919</v>
      </c>
      <c r="CU8" s="556">
        <f>(AH23-Y23)*10000</f>
        <v>123.69947659840258</v>
      </c>
      <c r="CV8" s="556">
        <f>(AM23-AA23)*10000</f>
        <v>92.037540385936921</v>
      </c>
    </row>
    <row r="9" spans="1:101">
      <c r="A9" s="165"/>
      <c r="B9" s="955" t="s">
        <v>8</v>
      </c>
      <c r="C9" s="952"/>
      <c r="D9" s="952"/>
      <c r="E9" s="952"/>
      <c r="F9" s="282"/>
      <c r="G9" s="282"/>
      <c r="H9" s="282"/>
      <c r="I9" s="282"/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581">
        <f>V7/X7</f>
        <v>0.5417248037433231</v>
      </c>
      <c r="W9" s="581">
        <f>100%-V9</f>
        <v>0.4582751962566769</v>
      </c>
      <c r="X9" s="282"/>
      <c r="Y9" s="581">
        <f>Y7/AA7</f>
        <v>0.50451451590498675</v>
      </c>
      <c r="Z9" s="581">
        <f>100%-Y9</f>
        <v>0.49548548409501325</v>
      </c>
      <c r="AA9" s="282"/>
      <c r="AB9" s="581">
        <f>AB7/AG7</f>
        <v>0.53522530329289431</v>
      </c>
      <c r="AC9" s="581">
        <f>100%-AB9</f>
        <v>0.46477469670710569</v>
      </c>
      <c r="AD9" s="282"/>
      <c r="AE9" s="581">
        <f>AE7/AG7</f>
        <v>0.52662478336221841</v>
      </c>
      <c r="AF9" s="581">
        <f>100%-AE9</f>
        <v>0.47337521663778159</v>
      </c>
      <c r="AG9" s="581"/>
      <c r="AH9" s="581">
        <f>AH7/AJ7</f>
        <v>0.5483358264771877</v>
      </c>
      <c r="AI9" s="646">
        <f>100%-AH9</f>
        <v>0.4516641735228123</v>
      </c>
      <c r="AJ9" s="581"/>
      <c r="AK9" s="581">
        <f>AK7/AM7</f>
        <v>0.53814478128518417</v>
      </c>
      <c r="AL9" s="581">
        <f t="shared" ref="AL9" si="50">100%-AK9</f>
        <v>0.46185521871481583</v>
      </c>
      <c r="AM9" s="581"/>
      <c r="AN9" s="646">
        <f>AN7/AP7</f>
        <v>0.53723424413536958</v>
      </c>
      <c r="AO9" s="581">
        <f>100%-AN9</f>
        <v>0.46276575586463042</v>
      </c>
      <c r="AP9" s="581"/>
      <c r="AQ9" s="1374">
        <f>AQ7/AS7</f>
        <v>0.54571781273997499</v>
      </c>
      <c r="AR9" s="581">
        <f t="shared" ref="AR9" si="51">100%-AQ9</f>
        <v>0.45428218726002501</v>
      </c>
      <c r="AS9" s="205"/>
      <c r="AT9" s="581">
        <f t="shared" ref="AT9" si="52">AT7/AV7</f>
        <v>0.54523646894507849</v>
      </c>
      <c r="AU9" s="581">
        <f t="shared" ref="AU9" si="53">100%-AT9</f>
        <v>0.45476353105492151</v>
      </c>
      <c r="AV9" s="205"/>
      <c r="AW9" s="581">
        <f t="shared" ref="AW9" si="54">AW7/AY7</f>
        <v>0.54629532508458467</v>
      </c>
      <c r="AX9" s="581">
        <f t="shared" ref="AX9" si="55">100%-AW9</f>
        <v>0.45370467491541533</v>
      </c>
      <c r="AY9" s="205"/>
      <c r="AZ9" s="581">
        <f t="shared" ref="AZ9" si="56">AZ7/BB7</f>
        <v>0.54629595995644309</v>
      </c>
      <c r="BA9" s="581">
        <f t="shared" ref="BA9" si="57">100%-AZ9</f>
        <v>0.45370404004355691</v>
      </c>
      <c r="BB9" s="205"/>
      <c r="BC9" s="190"/>
      <c r="BD9" s="316"/>
      <c r="BE9" s="316"/>
      <c r="BF9" s="316"/>
      <c r="BG9" s="316"/>
      <c r="BH9" s="315"/>
      <c r="BI9" s="317"/>
      <c r="BJ9" s="317"/>
      <c r="BK9" s="473">
        <f>BK7/G7</f>
        <v>0.51861472244267248</v>
      </c>
      <c r="BL9" s="473">
        <f>100%-BK9</f>
        <v>0.48138527755732752</v>
      </c>
      <c r="BM9" s="473">
        <f>BM7/H7</f>
        <v>0.5420863096824956</v>
      </c>
      <c r="BN9" s="473">
        <f>100%-BM9</f>
        <v>0.4579136903175044</v>
      </c>
      <c r="BO9" s="473">
        <f>BO7/I7</f>
        <v>0.53904068528823113</v>
      </c>
      <c r="BP9" s="473">
        <f>100%-BO9</f>
        <v>0.46095931471176887</v>
      </c>
      <c r="BQ9" s="473">
        <f>BQ7/J7</f>
        <v>0.51402635436486854</v>
      </c>
      <c r="BR9" s="473">
        <f>100%-BQ9</f>
        <v>0.48597364563513146</v>
      </c>
      <c r="BS9" s="473">
        <f>BS7/K7</f>
        <v>0.5406111024826038</v>
      </c>
      <c r="BT9" s="473">
        <f>100%-BS9</f>
        <v>0.4593888975173962</v>
      </c>
      <c r="BU9" s="473">
        <f>BU7/L7</f>
        <v>0.54208027788830326</v>
      </c>
      <c r="BV9" s="473">
        <f>100%-BU9</f>
        <v>0.45791972211169674</v>
      </c>
      <c r="BW9" s="473">
        <f>BW7/M7</f>
        <v>0.56887292591128091</v>
      </c>
      <c r="BX9" s="473">
        <f>100%-BW9</f>
        <v>0.43112707408871909</v>
      </c>
      <c r="BY9" s="473">
        <f>BY7/N7</f>
        <v>0.56860092732861978</v>
      </c>
      <c r="BZ9" s="473">
        <f>100%-BY9</f>
        <v>0.43139907267138022</v>
      </c>
      <c r="CA9" s="473">
        <f>CA7/O7</f>
        <v>0.56740633648273286</v>
      </c>
      <c r="CB9" s="473">
        <f>100%-CA9</f>
        <v>0.43259366351726714</v>
      </c>
      <c r="CC9" s="473">
        <f>CC7/P7</f>
        <v>0.54898077620602104</v>
      </c>
      <c r="CD9" s="473">
        <f>100%-CC9</f>
        <v>0.45101922379397896</v>
      </c>
      <c r="CE9" s="473">
        <f>CE7/Q7</f>
        <v>0.55684221857037264</v>
      </c>
      <c r="CF9" s="473">
        <f>100%-CE9</f>
        <v>0.44315778142962736</v>
      </c>
      <c r="CG9" s="473">
        <f>CG7/R7</f>
        <v>0.53808182389702897</v>
      </c>
      <c r="CH9" s="473">
        <f>100%-CG9</f>
        <v>0.46191817610297103</v>
      </c>
      <c r="CI9" s="473">
        <f>CI7/T7</f>
        <v>0.37612242359630421</v>
      </c>
      <c r="CJ9" s="473">
        <f t="shared" ref="CJ9:CL9" si="58">100%-CI9</f>
        <v>0.62387757640369579</v>
      </c>
      <c r="CK9" s="473">
        <f t="shared" si="58"/>
        <v>0.37612242359630421</v>
      </c>
      <c r="CL9" s="473">
        <f t="shared" si="58"/>
        <v>0.62387757640369579</v>
      </c>
      <c r="CM9" s="473">
        <f>CM7/U7</f>
        <v>0.53831901142348604</v>
      </c>
      <c r="CN9" s="473">
        <f>100%-CM9</f>
        <v>0.46168098857651396</v>
      </c>
      <c r="CT9" t="s">
        <v>383</v>
      </c>
      <c r="CU9" s="1168">
        <f>(AH27-Y27)*10000</f>
        <v>-67.600306689899881</v>
      </c>
      <c r="CV9" s="1168">
        <f>(AM27-AA27)*10000</f>
        <v>66.877341732266288</v>
      </c>
    </row>
    <row r="10" spans="1:101">
      <c r="A10" s="165"/>
      <c r="B10" s="956" t="s">
        <v>506</v>
      </c>
      <c r="C10" s="952"/>
      <c r="D10" s="952"/>
      <c r="E10" s="952"/>
      <c r="F10" s="282"/>
      <c r="G10" s="282">
        <f>G7-F7</f>
        <v>96.522000000000048</v>
      </c>
      <c r="H10" s="282">
        <f t="shared" ref="H10:U10" si="59">H7-G7</f>
        <v>241.58599999999996</v>
      </c>
      <c r="I10" s="282">
        <f t="shared" si="59"/>
        <v>251.87800000000004</v>
      </c>
      <c r="J10" s="282">
        <f t="shared" si="59"/>
        <v>336.01599999999996</v>
      </c>
      <c r="K10" s="282">
        <f t="shared" si="59"/>
        <v>546.72700000000009</v>
      </c>
      <c r="L10" s="282">
        <f t="shared" si="59"/>
        <v>498.702</v>
      </c>
      <c r="M10" s="282">
        <f t="shared" si="59"/>
        <v>404.05400000000009</v>
      </c>
      <c r="N10" s="282">
        <f t="shared" si="59"/>
        <v>227.93299999999999</v>
      </c>
      <c r="O10" s="282">
        <f t="shared" si="59"/>
        <v>168.53899999999976</v>
      </c>
      <c r="P10" s="282">
        <f t="shared" si="59"/>
        <v>180.60800000000017</v>
      </c>
      <c r="Q10" s="282">
        <f t="shared" si="59"/>
        <v>175.375</v>
      </c>
      <c r="R10" s="282">
        <f t="shared" si="59"/>
        <v>168.36099999999988</v>
      </c>
      <c r="S10" s="282">
        <f t="shared" si="59"/>
        <v>302.33100000000013</v>
      </c>
      <c r="T10" s="282">
        <f t="shared" si="59"/>
        <v>1673.5329999999999</v>
      </c>
      <c r="U10" s="282">
        <f t="shared" si="59"/>
        <v>1226.3000000000002</v>
      </c>
      <c r="V10" s="282">
        <f>V7-CM7</f>
        <v>153.89999999999964</v>
      </c>
      <c r="W10" s="282">
        <f>W7-CN7</f>
        <v>87.099999999999454</v>
      </c>
      <c r="X10" s="282">
        <f t="shared" ref="X10:AC10" si="60">X7-U7</f>
        <v>240.99999999999909</v>
      </c>
      <c r="Y10" s="282">
        <f t="shared" si="60"/>
        <v>151.5</v>
      </c>
      <c r="Z10" s="282">
        <f t="shared" si="60"/>
        <v>672.10000000000036</v>
      </c>
      <c r="AA10" s="282">
        <f t="shared" si="60"/>
        <v>823.60000000000036</v>
      </c>
      <c r="AB10" s="282">
        <f t="shared" si="60"/>
        <v>946</v>
      </c>
      <c r="AC10" s="282">
        <f t="shared" si="60"/>
        <v>51.200000000000728</v>
      </c>
      <c r="AD10" s="282">
        <f t="shared" ref="AD10" si="61">AD7-AA7</f>
        <v>997.20000000000073</v>
      </c>
      <c r="AE10" s="282">
        <f t="shared" ref="AE10:AM10" si="62">AE7-AB7</f>
        <v>-79.399999999999636</v>
      </c>
      <c r="AF10" s="282">
        <f t="shared" si="62"/>
        <v>395.29999999999927</v>
      </c>
      <c r="AG10" s="282">
        <f t="shared" si="62"/>
        <v>315.89999999999964</v>
      </c>
      <c r="AH10" s="282">
        <f t="shared" si="62"/>
        <v>416.69999999999982</v>
      </c>
      <c r="AI10" s="190">
        <f t="shared" si="62"/>
        <v>-22.300000000000182</v>
      </c>
      <c r="AJ10" s="282">
        <f t="shared" si="62"/>
        <v>394.39999999999964</v>
      </c>
      <c r="AK10" s="282">
        <f t="shared" si="62"/>
        <v>-116.39999999999964</v>
      </c>
      <c r="AL10" s="282">
        <f t="shared" ref="AL10" si="63">AL7-AI7</f>
        <v>82.399999999999636</v>
      </c>
      <c r="AM10" s="282">
        <f t="shared" si="62"/>
        <v>-34</v>
      </c>
      <c r="AN10" s="190">
        <f t="shared" ref="AN10" si="64">AN7-AK7</f>
        <v>508.29999999999927</v>
      </c>
      <c r="AO10" s="282">
        <f>AO7-AL7</f>
        <v>454.10000000000127</v>
      </c>
      <c r="AP10" s="282">
        <f>AP7-AM7</f>
        <v>962.40000000000146</v>
      </c>
      <c r="AQ10" s="1385">
        <f t="shared" ref="AQ10" si="65">AQ7-AN7</f>
        <v>414.90000000000055</v>
      </c>
      <c r="AR10" s="282">
        <f t="shared" ref="AR10" si="66">AR7-AO7</f>
        <v>181.30122799095534</v>
      </c>
      <c r="AS10" s="282">
        <f t="shared" ref="AS10" si="67">AS7-AP7</f>
        <v>596.20122799095589</v>
      </c>
      <c r="AT10" s="282">
        <f t="shared" ref="AT10" si="68">AT7-AQ7</f>
        <v>249.88320464811841</v>
      </c>
      <c r="AU10" s="282">
        <f t="shared" ref="AU10" si="69">AU7-AR7</f>
        <v>218.26352513676648</v>
      </c>
      <c r="AV10" s="282">
        <f t="shared" ref="AV10" si="70">AV7-AS7</f>
        <v>468.14672978488306</v>
      </c>
      <c r="AW10" s="282">
        <f t="shared" ref="AW10" si="71">AW7-AT7</f>
        <v>279.03020005890266</v>
      </c>
      <c r="AX10" s="282">
        <f t="shared" ref="AX10" si="72">AX7-AU7</f>
        <v>209.2170568010788</v>
      </c>
      <c r="AY10" s="282">
        <f t="shared" ref="AY10" si="73">AY7-AV7</f>
        <v>488.24725685998237</v>
      </c>
      <c r="AZ10" s="282">
        <f t="shared" ref="AZ10" si="74">AZ7-AW7</f>
        <v>278.27174044494041</v>
      </c>
      <c r="BA10" s="282">
        <f t="shared" ref="BA10" si="75">BA7-AX7</f>
        <v>231.09328180897683</v>
      </c>
      <c r="BB10" s="282">
        <f t="shared" ref="BB10" si="76">BB7-AY7</f>
        <v>509.36502225391814</v>
      </c>
      <c r="BC10" s="190"/>
      <c r="BD10" s="316"/>
      <c r="BE10" s="316"/>
      <c r="BF10" s="316"/>
      <c r="BG10" s="316"/>
      <c r="BH10" s="315"/>
      <c r="BI10" s="317"/>
      <c r="BJ10" s="317"/>
      <c r="BK10" s="473"/>
      <c r="BL10" s="473"/>
      <c r="BM10" s="473"/>
      <c r="BN10" s="473"/>
      <c r="BO10" s="473"/>
      <c r="BP10" s="473"/>
      <c r="BQ10" s="473"/>
      <c r="BR10" s="473"/>
      <c r="BS10" s="473"/>
      <c r="BT10" s="473"/>
      <c r="BU10" s="473"/>
      <c r="BV10" s="473"/>
      <c r="BW10" s="473"/>
      <c r="BX10" s="473"/>
      <c r="BY10" s="473"/>
      <c r="BZ10" s="473"/>
      <c r="CA10" s="473"/>
      <c r="CB10" s="473"/>
      <c r="CC10" s="473"/>
      <c r="CD10" s="473"/>
      <c r="CE10" s="473"/>
      <c r="CF10" s="473"/>
      <c r="CG10" s="473"/>
      <c r="CH10" s="473"/>
      <c r="CI10" s="473"/>
      <c r="CJ10" s="473"/>
      <c r="CK10" s="473"/>
      <c r="CL10" s="473"/>
      <c r="CM10" s="473"/>
      <c r="CN10" s="473"/>
      <c r="CT10" t="s">
        <v>249</v>
      </c>
      <c r="CU10" s="1167">
        <f>(AH60-Y60)*10000</f>
        <v>249.54371692938778</v>
      </c>
      <c r="CV10" s="1167">
        <f>(AM60-AA60)*10000</f>
        <v>39.6378541414634</v>
      </c>
    </row>
    <row r="11" spans="1:101">
      <c r="A11" s="165"/>
      <c r="B11" s="956"/>
      <c r="C11" s="952"/>
      <c r="D11" s="952"/>
      <c r="E11" s="95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581"/>
      <c r="W11" s="581"/>
      <c r="X11" s="282"/>
      <c r="Y11" s="581"/>
      <c r="Z11" s="581"/>
      <c r="AA11" s="282"/>
      <c r="AB11" s="581"/>
      <c r="AC11" s="581"/>
      <c r="AD11" s="282"/>
      <c r="AE11" s="581"/>
      <c r="AF11" s="581"/>
      <c r="AG11" s="282"/>
      <c r="AH11" s="581"/>
      <c r="AI11" s="647"/>
      <c r="AJ11" s="282"/>
      <c r="AK11" s="581"/>
      <c r="AL11" s="633"/>
      <c r="AM11" s="282"/>
      <c r="AN11" s="647"/>
      <c r="AO11" s="633"/>
      <c r="AP11" s="282"/>
      <c r="AQ11" s="1730"/>
      <c r="AR11" s="633"/>
      <c r="AS11" s="282"/>
      <c r="AT11" s="633"/>
      <c r="AU11" s="633"/>
      <c r="AV11" s="282"/>
      <c r="AW11" s="633"/>
      <c r="AX11" s="633"/>
      <c r="AY11" s="282"/>
      <c r="AZ11" s="633"/>
      <c r="BA11" s="633"/>
      <c r="BB11" s="282"/>
      <c r="BC11" s="190"/>
      <c r="BD11" s="316"/>
      <c r="BE11" s="316"/>
      <c r="BF11" s="316"/>
      <c r="BG11" s="316"/>
      <c r="BH11" s="315"/>
      <c r="BI11" s="317"/>
      <c r="BJ11" s="317"/>
      <c r="BK11" s="473"/>
      <c r="BL11" s="473"/>
      <c r="BM11" s="473"/>
      <c r="BN11" s="473"/>
      <c r="BO11" s="473"/>
      <c r="BP11" s="473"/>
      <c r="BQ11" s="473"/>
      <c r="BR11" s="473"/>
      <c r="BS11" s="473"/>
      <c r="BT11" s="473"/>
      <c r="BU11" s="473"/>
      <c r="BV11" s="473"/>
      <c r="BW11" s="473"/>
      <c r="BX11" s="473"/>
      <c r="BY11" s="473"/>
      <c r="BZ11" s="473"/>
      <c r="CA11" s="473"/>
      <c r="CB11" s="473"/>
      <c r="CC11" s="473"/>
      <c r="CD11" s="473"/>
      <c r="CE11" s="473"/>
      <c r="CF11" s="473"/>
      <c r="CG11" s="473"/>
      <c r="CH11" s="473"/>
      <c r="CI11" s="473"/>
      <c r="CJ11" s="473"/>
      <c r="CK11" s="473"/>
      <c r="CL11" s="473"/>
      <c r="CM11" s="473"/>
      <c r="CN11" s="473"/>
    </row>
    <row r="12" spans="1:101">
      <c r="A12" s="177"/>
      <c r="B12" s="953" t="s">
        <v>794</v>
      </c>
      <c r="C12" s="954"/>
      <c r="D12" s="954"/>
      <c r="E12" s="954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1185"/>
      <c r="S12" s="305"/>
      <c r="T12" s="305"/>
      <c r="U12" s="305"/>
      <c r="V12" s="305"/>
      <c r="W12" s="305"/>
      <c r="X12" s="305"/>
      <c r="Y12" s="305"/>
      <c r="Z12" s="305"/>
      <c r="AA12" s="305"/>
      <c r="AB12" s="305"/>
      <c r="AC12" s="305"/>
      <c r="AD12" s="305"/>
      <c r="AE12" s="305"/>
      <c r="AF12" s="305"/>
      <c r="AG12" s="1184"/>
      <c r="AH12" s="1187"/>
      <c r="AI12" s="191"/>
      <c r="AJ12" s="1235"/>
      <c r="AK12" s="1187"/>
      <c r="AL12" s="1186"/>
      <c r="AM12" s="1580"/>
      <c r="AN12" s="1627"/>
      <c r="AO12" s="305"/>
      <c r="AP12" s="1580"/>
      <c r="AQ12" s="1640"/>
      <c r="AR12" s="305"/>
      <c r="AS12" s="305"/>
      <c r="AT12" s="305"/>
      <c r="AU12" s="305"/>
      <c r="AV12" s="305"/>
      <c r="AW12" s="305"/>
      <c r="AX12" s="305"/>
      <c r="AY12" s="305"/>
      <c r="AZ12" s="305"/>
      <c r="BA12" s="305"/>
      <c r="BB12" s="305"/>
      <c r="BC12" s="1268"/>
      <c r="BD12" s="356"/>
      <c r="BE12" s="356"/>
      <c r="BF12" s="356"/>
      <c r="BG12" s="356"/>
      <c r="BH12" s="357"/>
      <c r="BI12" s="358"/>
      <c r="BJ12" s="358"/>
      <c r="BK12" s="356"/>
      <c r="BL12" s="356"/>
      <c r="BM12" s="356"/>
      <c r="BN12" s="356"/>
      <c r="BO12" s="356"/>
      <c r="BP12" s="356"/>
      <c r="BQ12" s="356"/>
      <c r="BR12" s="356"/>
      <c r="BS12" s="356"/>
      <c r="BT12" s="356"/>
      <c r="BU12" s="356"/>
      <c r="BV12" s="356"/>
      <c r="BW12" s="356"/>
      <c r="BX12" s="356"/>
      <c r="BY12" s="356"/>
      <c r="BZ12" s="356"/>
      <c r="CA12" s="356"/>
      <c r="CB12" s="356"/>
      <c r="CC12" s="356"/>
      <c r="CD12" s="356"/>
      <c r="CE12" s="356"/>
      <c r="CF12" s="356"/>
      <c r="CG12" s="356"/>
      <c r="CH12" s="356"/>
      <c r="CI12" s="356"/>
      <c r="CJ12" s="356"/>
      <c r="CK12" s="356"/>
      <c r="CL12" s="356"/>
      <c r="CM12" s="356"/>
      <c r="CN12" s="356"/>
    </row>
    <row r="13" spans="1:101">
      <c r="A13" s="165" t="s">
        <v>864</v>
      </c>
      <c r="B13" s="782" t="s">
        <v>715</v>
      </c>
      <c r="C13" s="952"/>
      <c r="D13" s="952"/>
      <c r="E13" s="952"/>
      <c r="F13" s="263"/>
      <c r="G13" s="263">
        <f>G8</f>
        <v>0.27125493557407232</v>
      </c>
      <c r="H13" s="263">
        <f>H8</f>
        <v>0.53406048762371294</v>
      </c>
      <c r="I13" s="263">
        <f>I8</f>
        <v>0.36296641078590031</v>
      </c>
      <c r="J13" s="263">
        <f>J8</f>
        <v>0.35526383956372287</v>
      </c>
      <c r="K13" s="263">
        <f t="shared" ref="K13:S13" si="77">K73</f>
        <v>0.16500000000000001</v>
      </c>
      <c r="L13" s="263">
        <f t="shared" si="77"/>
        <v>0.11899999999999999</v>
      </c>
      <c r="M13" s="263">
        <f t="shared" si="77"/>
        <v>4.4999999999999998E-2</v>
      </c>
      <c r="N13" s="263">
        <f t="shared" si="77"/>
        <v>-5.0000000000000001E-3</v>
      </c>
      <c r="O13" s="263">
        <f t="shared" si="77"/>
        <v>-1.7999999999999999E-2</v>
      </c>
      <c r="P13" s="263">
        <f t="shared" si="77"/>
        <v>-5.0000000000000001E-3</v>
      </c>
      <c r="Q13" s="263">
        <f t="shared" si="77"/>
        <v>1.2999999999999999E-2</v>
      </c>
      <c r="R13" s="263">
        <f t="shared" si="77"/>
        <v>3.1E-2</v>
      </c>
      <c r="S13" s="263">
        <f t="shared" si="77"/>
        <v>5.5E-2</v>
      </c>
      <c r="T13" s="263">
        <f>T73</f>
        <v>8.5999999999999993E-2</v>
      </c>
      <c r="U13" s="263">
        <f>U73</f>
        <v>6.2E-2</v>
      </c>
      <c r="V13" s="263">
        <f>V73</f>
        <v>0.03</v>
      </c>
      <c r="W13" s="263">
        <f>W73</f>
        <v>2.5572211551974519E-2</v>
      </c>
      <c r="X13" s="263">
        <f t="shared" ref="X13:AN13" si="78">X73</f>
        <v>2.8000000000000001E-2</v>
      </c>
      <c r="Y13" s="263">
        <f>Y73</f>
        <v>4.3999999999999997E-2</v>
      </c>
      <c r="Z13" s="263">
        <f>Z73</f>
        <v>0.20378209127671865</v>
      </c>
      <c r="AA13" s="263">
        <f t="shared" si="78"/>
        <v>0.122</v>
      </c>
      <c r="AB13" s="263">
        <f>AB73</f>
        <v>0.24199999999999999</v>
      </c>
      <c r="AC13" s="263">
        <f>AC73</f>
        <v>-2.0000000000000018E-3</v>
      </c>
      <c r="AD13" s="263">
        <f t="shared" si="78"/>
        <v>0.12</v>
      </c>
      <c r="AE13" s="263">
        <f t="shared" ref="AE13:AF13" si="79">AE73</f>
        <v>-2.5000000000000001E-2</v>
      </c>
      <c r="AF13" s="263">
        <f t="shared" si="79"/>
        <v>9.2999999999999999E-2</v>
      </c>
      <c r="AG13" s="284">
        <f t="shared" si="78"/>
        <v>3.4000000000000002E-2</v>
      </c>
      <c r="AH13" s="284">
        <f t="shared" si="78"/>
        <v>8.5000000000000006E-2</v>
      </c>
      <c r="AI13" s="564">
        <f t="shared" ref="AI13:AK13" si="80">AI73</f>
        <v>1.0999999999999996E-2</v>
      </c>
      <c r="AJ13" s="284">
        <f t="shared" si="80"/>
        <v>4.8000000000000001E-2</v>
      </c>
      <c r="AK13" s="284">
        <f t="shared" si="80"/>
        <v>1E-3</v>
      </c>
      <c r="AL13" s="284">
        <f t="shared" si="78"/>
        <v>1.0999999999999999E-2</v>
      </c>
      <c r="AM13" s="284">
        <f t="shared" si="78"/>
        <v>6.0000000000000001E-3</v>
      </c>
      <c r="AN13" s="137">
        <f t="shared" si="78"/>
        <v>7.1999999999999995E-2</v>
      </c>
      <c r="AO13" s="263">
        <f t="shared" ref="AO13:AV13" si="81">AO73</f>
        <v>7.1999999999999995E-2</v>
      </c>
      <c r="AP13" s="284">
        <f t="shared" si="81"/>
        <v>7.1999999999999995E-2</v>
      </c>
      <c r="AQ13" s="1315">
        <f t="shared" si="81"/>
        <v>0.05</v>
      </c>
      <c r="AR13" s="564">
        <f t="shared" si="81"/>
        <v>2.4999999999999994E-2</v>
      </c>
      <c r="AS13" s="234">
        <f t="shared" si="81"/>
        <v>3.7499999999999999E-2</v>
      </c>
      <c r="AT13" s="263">
        <f t="shared" si="81"/>
        <v>0.04</v>
      </c>
      <c r="AU13" s="263">
        <f t="shared" si="81"/>
        <v>0.04</v>
      </c>
      <c r="AV13" s="234">
        <f t="shared" si="81"/>
        <v>0.04</v>
      </c>
      <c r="AW13" s="263">
        <f t="shared" ref="AW13:AY13" si="82">AW73</f>
        <v>0.04</v>
      </c>
      <c r="AX13" s="263">
        <f t="shared" si="82"/>
        <v>0.04</v>
      </c>
      <c r="AY13" s="234">
        <f t="shared" si="82"/>
        <v>0.04</v>
      </c>
      <c r="AZ13" s="263">
        <f t="shared" ref="AZ13:BB13" si="83">AZ73</f>
        <v>0.04</v>
      </c>
      <c r="BA13" s="263">
        <f t="shared" si="83"/>
        <v>0.04</v>
      </c>
      <c r="BB13" s="234">
        <f t="shared" si="83"/>
        <v>0.04</v>
      </c>
      <c r="BC13" s="137"/>
      <c r="BD13" s="316"/>
      <c r="BE13" s="316"/>
      <c r="BF13" s="316"/>
      <c r="BG13" s="316"/>
      <c r="BH13" s="315"/>
      <c r="BI13" s="317"/>
      <c r="BJ13" s="317"/>
      <c r="BK13" s="473"/>
      <c r="BL13" s="473"/>
      <c r="BM13" s="473"/>
      <c r="BN13" s="473"/>
      <c r="BO13" s="473"/>
      <c r="BP13" s="473"/>
      <c r="BQ13" s="473"/>
      <c r="BR13" s="473"/>
      <c r="BS13" s="473"/>
      <c r="BT13" s="473"/>
      <c r="BU13" s="473"/>
      <c r="BV13" s="473"/>
      <c r="BW13" s="473"/>
      <c r="BX13" s="473"/>
      <c r="BY13" s="473"/>
      <c r="BZ13" s="473"/>
      <c r="CA13" s="473"/>
      <c r="CB13" s="473"/>
      <c r="CC13" s="473"/>
      <c r="CD13" s="473"/>
      <c r="CE13" s="473"/>
      <c r="CF13" s="473"/>
      <c r="CG13" s="473"/>
      <c r="CH13" s="473"/>
      <c r="CI13" s="331">
        <f t="shared" ref="CI13:CN13" si="84">CI73</f>
        <v>5.1999999999999998E-2</v>
      </c>
      <c r="CJ13" s="331">
        <f t="shared" si="84"/>
        <v>5.8452753935302623E-2</v>
      </c>
      <c r="CK13" s="331">
        <f t="shared" si="84"/>
        <v>8.6999999999999994E-2</v>
      </c>
      <c r="CL13" s="331">
        <f t="shared" si="84"/>
        <v>8.4832950271625573E-2</v>
      </c>
      <c r="CM13" s="331">
        <f t="shared" si="84"/>
        <v>7.8E-2</v>
      </c>
      <c r="CN13" s="331">
        <f t="shared" si="84"/>
        <v>4.2803411348548717E-2</v>
      </c>
    </row>
    <row r="14" spans="1:101">
      <c r="A14" s="165" t="s">
        <v>888</v>
      </c>
      <c r="B14" s="782" t="s">
        <v>716</v>
      </c>
      <c r="C14" s="952"/>
      <c r="D14" s="952"/>
      <c r="E14" s="95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2"/>
      <c r="S14" s="282"/>
      <c r="T14" s="263">
        <f>T79</f>
        <v>-8.7999999999999995E-2</v>
      </c>
      <c r="U14" s="263">
        <f t="shared" ref="U14:AN14" si="85">U79</f>
        <v>2.4E-2</v>
      </c>
      <c r="V14" s="263">
        <f>V79</f>
        <v>0.126</v>
      </c>
      <c r="W14" s="263">
        <f>W79</f>
        <v>6.7176245210728E-2</v>
      </c>
      <c r="X14" s="263">
        <f t="shared" si="85"/>
        <v>0.1</v>
      </c>
      <c r="Y14" s="263">
        <f>Y79</f>
        <v>8.0000000000000002E-3</v>
      </c>
      <c r="Z14" s="263">
        <f>Z79</f>
        <v>-0.122</v>
      </c>
      <c r="AA14" s="263">
        <f t="shared" si="85"/>
        <v>-5.7000000000000002E-2</v>
      </c>
      <c r="AB14" s="263">
        <f>AB79</f>
        <v>9.0999999999999998E-2</v>
      </c>
      <c r="AC14" s="263">
        <f>AC79</f>
        <v>0.25700000000000001</v>
      </c>
      <c r="AD14" s="263">
        <f t="shared" si="85"/>
        <v>0.17399999999999999</v>
      </c>
      <c r="AE14" s="263">
        <f t="shared" ref="AE14:AF14" si="86">AE79</f>
        <v>-4.4999999999999998E-2</v>
      </c>
      <c r="AF14" s="263">
        <f t="shared" si="86"/>
        <v>5.0999999999999997E-2</v>
      </c>
      <c r="AG14" s="284">
        <f t="shared" si="85"/>
        <v>3.0000000000000001E-3</v>
      </c>
      <c r="AH14" s="284">
        <f t="shared" si="85"/>
        <v>0.161</v>
      </c>
      <c r="AI14" s="564">
        <f t="shared" ref="AI14:AK14" si="87">AI79</f>
        <v>6.5000000000000002E-2</v>
      </c>
      <c r="AJ14" s="284">
        <f t="shared" si="87"/>
        <v>0.113</v>
      </c>
      <c r="AK14" s="284">
        <f t="shared" si="87"/>
        <v>-1.2E-2</v>
      </c>
      <c r="AL14" s="284">
        <f t="shared" si="85"/>
        <v>4.3999999999999997E-2</v>
      </c>
      <c r="AM14" s="284">
        <f t="shared" si="85"/>
        <v>1.6E-2</v>
      </c>
      <c r="AN14" s="137">
        <f t="shared" si="85"/>
        <v>6.9000000000000006E-2</v>
      </c>
      <c r="AO14" s="263">
        <f t="shared" ref="AO14:AV14" si="88">AO79</f>
        <v>0.11499999999999999</v>
      </c>
      <c r="AP14" s="284">
        <f t="shared" si="88"/>
        <v>9.1999999999999998E-2</v>
      </c>
      <c r="AQ14" s="1315">
        <f t="shared" si="88"/>
        <v>0.20200000000000001</v>
      </c>
      <c r="AR14" s="564">
        <f t="shared" si="88"/>
        <v>0.14799999999999996</v>
      </c>
      <c r="AS14" s="234">
        <f t="shared" si="88"/>
        <v>0.17499999999999999</v>
      </c>
      <c r="AT14" s="263">
        <f t="shared" si="88"/>
        <v>0.05</v>
      </c>
      <c r="AU14" s="263">
        <f t="shared" si="88"/>
        <v>0.05</v>
      </c>
      <c r="AV14" s="234">
        <f t="shared" si="88"/>
        <v>0.05</v>
      </c>
      <c r="AW14" s="263">
        <f t="shared" ref="AW14:AY14" si="89">AW79</f>
        <v>0.03</v>
      </c>
      <c r="AX14" s="263">
        <f t="shared" si="89"/>
        <v>0.03</v>
      </c>
      <c r="AY14" s="234">
        <f t="shared" si="89"/>
        <v>0.03</v>
      </c>
      <c r="AZ14" s="263">
        <f t="shared" ref="AZ14:BB14" si="90">AZ79</f>
        <v>0.03</v>
      </c>
      <c r="BA14" s="263">
        <f t="shared" si="90"/>
        <v>0.03</v>
      </c>
      <c r="BB14" s="234">
        <f t="shared" si="90"/>
        <v>0.03</v>
      </c>
      <c r="BC14" s="137"/>
      <c r="BD14" s="316"/>
      <c r="BE14" s="316"/>
      <c r="BF14" s="316"/>
      <c r="BG14" s="316"/>
      <c r="BH14" s="315"/>
      <c r="BI14" s="317"/>
      <c r="BJ14" s="317"/>
      <c r="BK14" s="473"/>
      <c r="BL14" s="473"/>
      <c r="BM14" s="473"/>
      <c r="BN14" s="473"/>
      <c r="BO14" s="473"/>
      <c r="BP14" s="473"/>
      <c r="BQ14" s="473"/>
      <c r="BR14" s="473"/>
      <c r="BS14" s="473"/>
      <c r="BT14" s="473"/>
      <c r="BU14" s="473"/>
      <c r="BV14" s="473"/>
      <c r="BW14" s="473"/>
      <c r="BX14" s="473"/>
      <c r="BY14" s="473"/>
      <c r="BZ14" s="473"/>
      <c r="CA14" s="473"/>
      <c r="CB14" s="473"/>
      <c r="CC14" s="473"/>
      <c r="CD14" s="473"/>
      <c r="CE14" s="473"/>
      <c r="CF14" s="473"/>
      <c r="CG14" s="473"/>
      <c r="CH14" s="473"/>
      <c r="CI14" s="331">
        <f t="shared" ref="CI14:CN14" si="91">CI79</f>
        <v>5.1999999999999998E-2</v>
      </c>
      <c r="CJ14" s="331">
        <f t="shared" si="91"/>
        <v>3.4508853681267479E-2</v>
      </c>
      <c r="CK14" s="331">
        <f t="shared" si="91"/>
        <v>-0.112</v>
      </c>
      <c r="CL14" s="331">
        <f t="shared" si="91"/>
        <v>-6.0429752066115699E-2</v>
      </c>
      <c r="CM14" s="331">
        <f t="shared" si="91"/>
        <v>2.4E-2</v>
      </c>
      <c r="CN14" s="331">
        <f t="shared" si="91"/>
        <v>2.4E-2</v>
      </c>
      <c r="CU14" t="s">
        <v>886</v>
      </c>
      <c r="CV14" t="s">
        <v>923</v>
      </c>
      <c r="CW14" t="s">
        <v>924</v>
      </c>
    </row>
    <row r="15" spans="1:101">
      <c r="A15" s="165" t="s">
        <v>889</v>
      </c>
      <c r="B15" s="782" t="s">
        <v>730</v>
      </c>
      <c r="C15" s="957"/>
      <c r="D15" s="952"/>
      <c r="E15" s="952"/>
      <c r="F15" s="282"/>
      <c r="G15" s="282"/>
      <c r="H15" s="282"/>
      <c r="I15" s="282"/>
      <c r="J15" s="282"/>
      <c r="K15" s="282"/>
      <c r="L15" s="282"/>
      <c r="M15" s="282"/>
      <c r="N15" s="293"/>
      <c r="O15" s="263"/>
      <c r="P15" s="282"/>
      <c r="Q15" s="282"/>
      <c r="R15" s="282"/>
      <c r="S15" s="282"/>
      <c r="T15" s="263">
        <f>T309</f>
        <v>-1.2999999999999999E-2</v>
      </c>
      <c r="U15" s="263">
        <f>U309</f>
        <v>8.9999999999999993E-3</v>
      </c>
      <c r="V15" s="263">
        <f>V309</f>
        <v>1.4999999999999999E-2</v>
      </c>
      <c r="W15" s="263">
        <f>W309</f>
        <v>2.3305151395988984E-3</v>
      </c>
      <c r="X15" s="263">
        <f t="shared" ref="X15:AN15" si="92">X309</f>
        <v>8.9999999999999993E-3</v>
      </c>
      <c r="Y15" s="263">
        <f>Y309</f>
        <v>6.0000000000000001E-3</v>
      </c>
      <c r="Z15" s="263">
        <f>Z309</f>
        <v>0.21</v>
      </c>
      <c r="AA15" s="263">
        <f t="shared" si="92"/>
        <v>0.108</v>
      </c>
      <c r="AB15" s="263">
        <f>AB309</f>
        <v>0.26400000000000001</v>
      </c>
      <c r="AC15" s="263">
        <f>AC309</f>
        <v>1.0000000000000009E-2</v>
      </c>
      <c r="AD15" s="263">
        <f t="shared" si="92"/>
        <v>0.13700000000000001</v>
      </c>
      <c r="AE15" s="263">
        <f t="shared" ref="AE15:AF15" si="93">AE309</f>
        <v>-1.2999999999999999E-2</v>
      </c>
      <c r="AF15" s="263">
        <f t="shared" si="93"/>
        <v>6.7000000000000004E-2</v>
      </c>
      <c r="AG15" s="284">
        <f t="shared" si="92"/>
        <v>2.7E-2</v>
      </c>
      <c r="AH15" s="284">
        <f t="shared" si="92"/>
        <v>7.2999999999999995E-2</v>
      </c>
      <c r="AI15" s="564">
        <f t="shared" ref="AI15:AK15" si="94">AI309</f>
        <v>-5.6999999999999995E-2</v>
      </c>
      <c r="AJ15" s="284">
        <f t="shared" si="94"/>
        <v>8.0000000000000002E-3</v>
      </c>
      <c r="AK15" s="284">
        <f t="shared" si="94"/>
        <v>-9.9000000000000005E-2</v>
      </c>
      <c r="AL15" s="284">
        <f t="shared" si="92"/>
        <v>3.0000000000000027E-3</v>
      </c>
      <c r="AM15" s="284">
        <f t="shared" si="92"/>
        <v>-4.8000000000000001E-2</v>
      </c>
      <c r="AN15" s="137">
        <f t="shared" si="92"/>
        <v>8.7999999999999995E-2</v>
      </c>
      <c r="AO15" s="263">
        <f t="shared" ref="AO15:AV15" si="95">AO309</f>
        <v>4.200000000000001E-2</v>
      </c>
      <c r="AP15" s="284">
        <f t="shared" si="95"/>
        <v>6.5000000000000002E-2</v>
      </c>
      <c r="AQ15" s="1315">
        <f t="shared" si="95"/>
        <v>0.04</v>
      </c>
      <c r="AR15" s="564">
        <f t="shared" si="95"/>
        <v>2.5000000000000001E-2</v>
      </c>
      <c r="AS15" s="193">
        <f t="shared" si="95"/>
        <v>3.2500000000000001E-2</v>
      </c>
      <c r="AT15" s="263">
        <f t="shared" si="95"/>
        <v>0.03</v>
      </c>
      <c r="AU15" s="263">
        <f t="shared" si="95"/>
        <v>0.03</v>
      </c>
      <c r="AV15" s="193">
        <f t="shared" si="95"/>
        <v>0.03</v>
      </c>
      <c r="AW15" s="263">
        <f t="shared" ref="AW15:AY15" si="96">AW309</f>
        <v>3.5000000000000003E-2</v>
      </c>
      <c r="AX15" s="263">
        <f t="shared" si="96"/>
        <v>3.5000000000000003E-2</v>
      </c>
      <c r="AY15" s="193">
        <f t="shared" si="96"/>
        <v>3.5000000000000003E-2</v>
      </c>
      <c r="AZ15" s="263">
        <f t="shared" ref="AZ15:BB15" si="97">AZ309</f>
        <v>3.5000000000000003E-2</v>
      </c>
      <c r="BA15" s="263">
        <f t="shared" si="97"/>
        <v>3.5000000000000003E-2</v>
      </c>
      <c r="BB15" s="193">
        <f t="shared" si="97"/>
        <v>3.5000000000000003E-2</v>
      </c>
      <c r="BC15" s="564"/>
      <c r="BD15" s="316"/>
      <c r="BE15" s="316"/>
      <c r="BF15" s="316"/>
      <c r="BG15" s="316"/>
      <c r="BH15" s="315"/>
      <c r="BI15" s="317"/>
      <c r="BJ15" s="317"/>
      <c r="BK15" s="316"/>
      <c r="BL15" s="316"/>
      <c r="BM15" s="316"/>
      <c r="BN15" s="316"/>
      <c r="BO15" s="316"/>
      <c r="BP15" s="316"/>
      <c r="BQ15" s="316"/>
      <c r="BR15" s="316"/>
      <c r="BS15" s="316"/>
      <c r="BT15" s="316"/>
      <c r="BU15" s="316"/>
      <c r="BV15" s="316"/>
      <c r="BW15" s="316"/>
      <c r="BX15" s="316"/>
      <c r="BY15" s="316"/>
      <c r="BZ15" s="316"/>
      <c r="CA15" s="316"/>
      <c r="CB15" s="316"/>
      <c r="CC15" s="316"/>
      <c r="CD15" s="316"/>
      <c r="CE15" s="316"/>
      <c r="CF15" s="316"/>
      <c r="CG15" s="316"/>
      <c r="CH15" s="316"/>
      <c r="CI15" s="331">
        <f t="shared" ref="CI15:CN15" si="98">CI309</f>
        <v>0</v>
      </c>
      <c r="CJ15" s="331">
        <f t="shared" si="98"/>
        <v>0</v>
      </c>
      <c r="CK15" s="331">
        <f t="shared" si="98"/>
        <v>0</v>
      </c>
      <c r="CL15" s="331">
        <f t="shared" si="98"/>
        <v>0</v>
      </c>
      <c r="CM15" s="331">
        <f t="shared" si="98"/>
        <v>1.7999999999999999E-2</v>
      </c>
      <c r="CN15" s="331">
        <f t="shared" si="98"/>
        <v>0</v>
      </c>
      <c r="CU15" s="289">
        <f>AM7/AJ7-1</f>
        <v>-3.531953793733944E-3</v>
      </c>
      <c r="CV15">
        <f>AP7/AM7</f>
        <v>1.1003294274634088</v>
      </c>
    </row>
    <row r="16" spans="1:101">
      <c r="A16" s="165"/>
      <c r="B16" s="782"/>
      <c r="C16" s="957"/>
      <c r="D16" s="952"/>
      <c r="E16" s="952"/>
      <c r="F16" s="282"/>
      <c r="G16" s="282"/>
      <c r="H16" s="282"/>
      <c r="I16" s="282"/>
      <c r="J16" s="282"/>
      <c r="K16" s="282"/>
      <c r="L16" s="282"/>
      <c r="M16" s="282"/>
      <c r="N16" s="293"/>
      <c r="O16" s="263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190"/>
      <c r="AJ16" s="282"/>
      <c r="AK16" s="282"/>
      <c r="AL16" s="282"/>
      <c r="AM16" s="282"/>
      <c r="AN16" s="190"/>
      <c r="AO16" s="282"/>
      <c r="AP16" s="282"/>
      <c r="AQ16" s="1385"/>
      <c r="AR16" s="282"/>
      <c r="AS16" s="190"/>
      <c r="AT16" s="282"/>
      <c r="AU16" s="282"/>
      <c r="AV16" s="190"/>
      <c r="AW16" s="282"/>
      <c r="AX16" s="282"/>
      <c r="AY16" s="190"/>
      <c r="AZ16" s="282"/>
      <c r="BA16" s="282"/>
      <c r="BB16" s="190"/>
      <c r="BC16" s="190"/>
      <c r="BD16" s="316"/>
      <c r="BE16" s="316"/>
      <c r="BF16" s="316"/>
      <c r="BG16" s="316"/>
      <c r="BH16" s="315"/>
      <c r="BI16" s="317"/>
      <c r="BJ16" s="317"/>
      <c r="BK16" s="316"/>
      <c r="BL16" s="316"/>
      <c r="BM16" s="316"/>
      <c r="BN16" s="316"/>
      <c r="BO16" s="316"/>
      <c r="BP16" s="316"/>
      <c r="BQ16" s="316"/>
      <c r="BR16" s="316"/>
      <c r="BS16" s="316"/>
      <c r="BT16" s="316"/>
      <c r="BU16" s="316"/>
      <c r="BV16" s="316"/>
      <c r="BW16" s="316"/>
      <c r="BX16" s="316"/>
      <c r="BY16" s="316"/>
      <c r="BZ16" s="316"/>
      <c r="CA16" s="316"/>
      <c r="CB16" s="316"/>
      <c r="CC16" s="316"/>
      <c r="CD16" s="316"/>
      <c r="CE16" s="316"/>
      <c r="CF16" s="316"/>
      <c r="CG16" s="316"/>
      <c r="CH16" s="316"/>
      <c r="CI16" s="316"/>
      <c r="CJ16" s="316"/>
      <c r="CK16" s="316"/>
      <c r="CL16" s="316"/>
      <c r="CM16" s="316"/>
      <c r="CN16" s="316"/>
    </row>
    <row r="17" spans="1:94">
      <c r="A17" s="227" t="s">
        <v>273</v>
      </c>
      <c r="B17" s="953" t="s">
        <v>274</v>
      </c>
      <c r="C17" s="954"/>
      <c r="D17" s="954"/>
      <c r="E17" s="954"/>
      <c r="F17" s="305">
        <f t="shared" ref="F17:T17" si="99">F7-F22</f>
        <v>275.90100000000001</v>
      </c>
      <c r="G17" s="305">
        <f t="shared" si="99"/>
        <v>346.42099999999999</v>
      </c>
      <c r="H17" s="305">
        <f t="shared" si="99"/>
        <v>535.26199999999994</v>
      </c>
      <c r="I17" s="305">
        <f t="shared" si="99"/>
        <v>733.39499999999998</v>
      </c>
      <c r="J17" s="305">
        <f t="shared" si="99"/>
        <v>998.47799999999995</v>
      </c>
      <c r="K17" s="305">
        <f t="shared" si="99"/>
        <v>1428.873</v>
      </c>
      <c r="L17" s="305">
        <f t="shared" si="99"/>
        <v>1823.675</v>
      </c>
      <c r="M17" s="305">
        <f t="shared" si="99"/>
        <v>2137.1419999999998</v>
      </c>
      <c r="N17" s="305">
        <f t="shared" si="99"/>
        <v>2307.2240000000002</v>
      </c>
      <c r="O17" s="305">
        <f t="shared" si="99"/>
        <v>2467.962</v>
      </c>
      <c r="P17" s="305">
        <f t="shared" si="99"/>
        <v>2596.194</v>
      </c>
      <c r="Q17" s="305">
        <f t="shared" si="99"/>
        <v>2727.7939999999999</v>
      </c>
      <c r="R17" s="305">
        <f t="shared" si="99"/>
        <v>2853.8829999999998</v>
      </c>
      <c r="S17" s="305">
        <f t="shared" si="99"/>
        <v>3089.0590000000002</v>
      </c>
      <c r="T17" s="305">
        <f t="shared" si="99"/>
        <v>4397.5616799999998</v>
      </c>
      <c r="U17" s="305">
        <f t="shared" ref="U17:AM17" si="100">U7-U22</f>
        <v>5384</v>
      </c>
      <c r="V17" s="305">
        <f>V7-V22</f>
        <v>3015.7</v>
      </c>
      <c r="W17" s="305">
        <f>W7-W22</f>
        <v>2553.4000000000005</v>
      </c>
      <c r="X17" s="305">
        <f t="shared" si="100"/>
        <v>5569.1</v>
      </c>
      <c r="Y17" s="305">
        <f>Y7-Y22</f>
        <v>3135</v>
      </c>
      <c r="Z17" s="305">
        <f>Z7-Z22</f>
        <v>3089.8</v>
      </c>
      <c r="AA17" s="305">
        <f t="shared" si="100"/>
        <v>6224.7999999999993</v>
      </c>
      <c r="AB17" s="305">
        <f>AB7-AB22</f>
        <v>3856</v>
      </c>
      <c r="AC17" s="305">
        <f>AC7-AC22</f>
        <v>3082.9000000000005</v>
      </c>
      <c r="AD17" s="305">
        <f t="shared" si="100"/>
        <v>6938.9000000000005</v>
      </c>
      <c r="AE17" s="305">
        <f t="shared" ref="AE17:AJ17" si="101">AE7-AE22</f>
        <v>3797.4</v>
      </c>
      <c r="AF17" s="305">
        <f t="shared" si="101"/>
        <v>3354.2</v>
      </c>
      <c r="AG17" s="1112">
        <f t="shared" si="101"/>
        <v>7151.6</v>
      </c>
      <c r="AH17" s="1186">
        <f t="shared" si="101"/>
        <v>4076.7</v>
      </c>
      <c r="AI17" s="191">
        <f t="shared" si="101"/>
        <v>3367.2</v>
      </c>
      <c r="AJ17" s="1186">
        <f t="shared" si="101"/>
        <v>7443.9</v>
      </c>
      <c r="AK17" s="1186">
        <f t="shared" ref="AK17" si="102">AK7-AK22</f>
        <v>4015.3</v>
      </c>
      <c r="AL17" s="1186">
        <f t="shared" si="100"/>
        <v>3436.6999999999989</v>
      </c>
      <c r="AM17" s="1581">
        <f t="shared" si="100"/>
        <v>7452</v>
      </c>
      <c r="AN17" s="1627">
        <f t="shared" ref="AN17:AU17" si="103">AN7-AN22</f>
        <v>4416.2</v>
      </c>
      <c r="AO17" s="305">
        <f t="shared" si="103"/>
        <v>3778.2000000000007</v>
      </c>
      <c r="AP17" s="1581">
        <f t="shared" si="103"/>
        <v>8194.4000000000015</v>
      </c>
      <c r="AQ17" s="1640">
        <f t="shared" ref="AQ17" si="104">AQ7-AQ22</f>
        <v>4727.8999999999996</v>
      </c>
      <c r="AR17" s="305">
        <f t="shared" si="103"/>
        <v>3919.6844652089299</v>
      </c>
      <c r="AS17" s="305">
        <f t="shared" si="103"/>
        <v>8647.5844652089309</v>
      </c>
      <c r="AT17" s="305">
        <f t="shared" si="103"/>
        <v>4935.0957063963997</v>
      </c>
      <c r="AU17" s="305">
        <f t="shared" si="103"/>
        <v>4100.2682872309788</v>
      </c>
      <c r="AV17" s="305">
        <f>AV7-AV22</f>
        <v>9035.3639936273776</v>
      </c>
      <c r="AW17" s="305">
        <f t="shared" ref="AW17:AX17" si="105">AW7-AW22</f>
        <v>5153.225242137506</v>
      </c>
      <c r="AX17" s="305">
        <f t="shared" si="105"/>
        <v>4262.1152415120978</v>
      </c>
      <c r="AY17" s="305">
        <f>AY7-AY22</f>
        <v>9415.3404836496029</v>
      </c>
      <c r="AZ17" s="305">
        <f t="shared" ref="AZ17:BA17" si="106">AZ7-AZ22</f>
        <v>5370.1559896427716</v>
      </c>
      <c r="BA17" s="305">
        <f t="shared" si="106"/>
        <v>4442.1478902132967</v>
      </c>
      <c r="BB17" s="305">
        <f>BB7-BB22</f>
        <v>9812.3038798560701</v>
      </c>
      <c r="BC17" s="1268"/>
      <c r="BD17" s="356"/>
      <c r="BE17" s="356"/>
      <c r="BF17" s="356"/>
      <c r="BG17" s="356"/>
      <c r="BH17" s="357"/>
      <c r="BI17" s="358"/>
      <c r="BJ17" s="358"/>
      <c r="BK17" s="507">
        <f t="shared" ref="BK17:CJ17" si="107">BK210</f>
        <v>180.06800000000001</v>
      </c>
      <c r="BL17" s="507">
        <f t="shared" si="107"/>
        <v>166.35299999999998</v>
      </c>
      <c r="BM17" s="507">
        <f t="shared" si="107"/>
        <v>289.64100000000002</v>
      </c>
      <c r="BN17" s="507">
        <f t="shared" si="107"/>
        <v>245.62099999999992</v>
      </c>
      <c r="BO17" s="507">
        <f t="shared" si="107"/>
        <v>395.024</v>
      </c>
      <c r="BP17" s="507">
        <f t="shared" si="107"/>
        <v>338.37099999999998</v>
      </c>
      <c r="BQ17" s="507">
        <f t="shared" si="107"/>
        <v>513.01</v>
      </c>
      <c r="BR17" s="507">
        <f t="shared" si="107"/>
        <v>485.46799999999996</v>
      </c>
      <c r="BS17" s="507">
        <f t="shared" si="107"/>
        <v>775.23199999999997</v>
      </c>
      <c r="BT17" s="507">
        <f t="shared" si="107"/>
        <v>653.64100000000008</v>
      </c>
      <c r="BU17" s="507">
        <f t="shared" si="107"/>
        <v>992.08299999999997</v>
      </c>
      <c r="BV17" s="507">
        <f t="shared" si="107"/>
        <v>831.59199999999998</v>
      </c>
      <c r="BW17" s="507">
        <f t="shared" si="107"/>
        <v>1225.9680000000001</v>
      </c>
      <c r="BX17" s="507">
        <f t="shared" si="107"/>
        <v>911.17399999999975</v>
      </c>
      <c r="BY17" s="507">
        <f t="shared" si="107"/>
        <v>1320.1690000000001</v>
      </c>
      <c r="BZ17" s="507">
        <f t="shared" si="107"/>
        <v>987.05500000000006</v>
      </c>
      <c r="CA17" s="507">
        <f t="shared" si="107"/>
        <v>1397.7629999999999</v>
      </c>
      <c r="CB17" s="507">
        <f t="shared" si="107"/>
        <v>1070.1990000000001</v>
      </c>
      <c r="CC17" s="507">
        <f t="shared" si="107"/>
        <v>1425.348</v>
      </c>
      <c r="CD17" s="507">
        <f t="shared" si="107"/>
        <v>1170.846</v>
      </c>
      <c r="CE17" s="507">
        <f t="shared" si="107"/>
        <v>1520.3019999999999</v>
      </c>
      <c r="CF17" s="507">
        <f t="shared" si="107"/>
        <v>1207.492</v>
      </c>
      <c r="CG17" s="507">
        <f t="shared" si="107"/>
        <v>1537.8969999999999</v>
      </c>
      <c r="CH17" s="507">
        <f t="shared" si="107"/>
        <v>1315.9859999999999</v>
      </c>
      <c r="CI17" s="507">
        <f t="shared" si="107"/>
        <v>1657.2449999999999</v>
      </c>
      <c r="CJ17" s="507">
        <f t="shared" si="107"/>
        <v>1431.8140000000003</v>
      </c>
      <c r="CK17" s="356">
        <f>CK7-CK22</f>
        <v>2045.1</v>
      </c>
      <c r="CL17" s="507">
        <f>T17-CK17</f>
        <v>2352.4616799999999</v>
      </c>
      <c r="CM17" s="356">
        <f t="shared" ref="CM17:CN17" si="108">CM7-CM22</f>
        <v>2895.9</v>
      </c>
      <c r="CN17" s="356">
        <f t="shared" si="108"/>
        <v>2488.0999999999995</v>
      </c>
    </row>
    <row r="18" spans="1:94">
      <c r="A18" s="171"/>
      <c r="B18" s="833"/>
      <c r="C18" s="952"/>
      <c r="D18" s="952"/>
      <c r="E18" s="952"/>
      <c r="F18" s="263">
        <f t="shared" ref="F18:T18" si="109">F17/F7</f>
        <v>0.77536217628957249</v>
      </c>
      <c r="G18" s="263">
        <f t="shared" si="109"/>
        <v>0.7658132846402288</v>
      </c>
      <c r="H18" s="263">
        <f t="shared" si="109"/>
        <v>0.77133424503165238</v>
      </c>
      <c r="I18" s="263">
        <f t="shared" si="109"/>
        <v>0.77540570573078837</v>
      </c>
      <c r="J18" s="263">
        <f t="shared" si="109"/>
        <v>0.77894303253845842</v>
      </c>
      <c r="K18" s="263">
        <f t="shared" si="109"/>
        <v>0.78141809638601656</v>
      </c>
      <c r="L18" s="263">
        <f t="shared" si="109"/>
        <v>0.78361261669272009</v>
      </c>
      <c r="M18" s="263">
        <f t="shared" si="109"/>
        <v>0.78245756630493668</v>
      </c>
      <c r="N18" s="263">
        <f t="shared" si="109"/>
        <v>0.77966432745020453</v>
      </c>
      <c r="O18" s="263">
        <f t="shared" si="109"/>
        <v>0.78904287753149827</v>
      </c>
      <c r="P18" s="263">
        <f t="shared" si="109"/>
        <v>0.78472796517954291</v>
      </c>
      <c r="Q18" s="263">
        <f t="shared" si="109"/>
        <v>0.78299947614297705</v>
      </c>
      <c r="R18" s="263">
        <f t="shared" si="109"/>
        <v>0.78142845720969856</v>
      </c>
      <c r="S18" s="263">
        <f t="shared" si="109"/>
        <v>0.78115685375551247</v>
      </c>
      <c r="T18" s="263">
        <f t="shared" si="109"/>
        <v>0.78137201137171286</v>
      </c>
      <c r="U18" s="263">
        <f t="shared" ref="U18:AL18" si="110">U17/U7</f>
        <v>0.7854923186904571</v>
      </c>
      <c r="V18" s="263">
        <f>V17/V7</f>
        <v>0.78458256367562507</v>
      </c>
      <c r="W18" s="263">
        <f>W17/W7</f>
        <v>0.78527494156722877</v>
      </c>
      <c r="X18" s="263">
        <f t="shared" si="110"/>
        <v>0.78489986328978356</v>
      </c>
      <c r="Y18" s="263">
        <f>Y17/Y7</f>
        <v>0.78469162995594721</v>
      </c>
      <c r="Z18" s="263">
        <f>Z17/Z7</f>
        <v>0.78747100950633342</v>
      </c>
      <c r="AA18" s="263">
        <f t="shared" si="110"/>
        <v>0.7860687721779539</v>
      </c>
      <c r="AB18" s="263">
        <f>AB17/AB7</f>
        <v>0.78037723629887479</v>
      </c>
      <c r="AC18" s="263">
        <f>AC17/AC7</f>
        <v>0.77559183878839721</v>
      </c>
      <c r="AD18" s="263">
        <f t="shared" si="110"/>
        <v>0.77824385101109228</v>
      </c>
      <c r="AE18" s="263">
        <f t="shared" ref="AE18:AF18" si="111">AE17/AE7</f>
        <v>0.78106873997284954</v>
      </c>
      <c r="AF18" s="263">
        <f t="shared" si="111"/>
        <v>0.76751636080728569</v>
      </c>
      <c r="AG18" s="284">
        <f>AG17/AG7</f>
        <v>0.77465337954939351</v>
      </c>
      <c r="AH18" s="284">
        <f t="shared" ref="AH18" si="112">AH17/AH7</f>
        <v>0.77232168229610676</v>
      </c>
      <c r="AI18" s="564">
        <f t="shared" ref="AI18" si="113">AI17/AI7</f>
        <v>0.77444283447181406</v>
      </c>
      <c r="AJ18" s="284">
        <f>AJ17/AJ7</f>
        <v>0.77327973074046374</v>
      </c>
      <c r="AK18" s="284">
        <f t="shared" ref="AK18" si="114">AK17/AK7</f>
        <v>0.77784235098118981</v>
      </c>
      <c r="AL18" s="284">
        <f t="shared" si="110"/>
        <v>0.77572624878676377</v>
      </c>
      <c r="AM18" s="284">
        <f>AM17/AM7</f>
        <v>0.77686501813936037</v>
      </c>
      <c r="AN18" s="137">
        <f t="shared" ref="AN18:AV18" si="115">AN17/AN7</f>
        <v>0.77881630925507905</v>
      </c>
      <c r="AO18" s="263">
        <f t="shared" si="115"/>
        <v>0.77352387191876182</v>
      </c>
      <c r="AP18" s="284">
        <f t="shared" si="115"/>
        <v>0.77636715049077198</v>
      </c>
      <c r="AQ18" s="1315">
        <f t="shared" ref="AQ18" si="116">AQ17/AQ7</f>
        <v>0.77693786666228448</v>
      </c>
      <c r="AR18" s="263">
        <f t="shared" si="115"/>
        <v>0.77376937343844632</v>
      </c>
      <c r="AS18" s="263">
        <f t="shared" si="115"/>
        <v>0.77549847663024074</v>
      </c>
      <c r="AT18" s="263">
        <f t="shared" si="115"/>
        <v>0.77899810423406923</v>
      </c>
      <c r="AU18" s="263">
        <f t="shared" si="115"/>
        <v>0.77598327748191709</v>
      </c>
      <c r="AV18" s="263">
        <f t="shared" si="115"/>
        <v>0.7776270709747416</v>
      </c>
      <c r="AW18" s="263">
        <f t="shared" ref="AW18:AY18" si="117">AW17/AW7</f>
        <v>0.77911384571749687</v>
      </c>
      <c r="AX18" s="263">
        <f t="shared" si="117"/>
        <v>0.7758918945315848</v>
      </c>
      <c r="AY18" s="263">
        <f t="shared" si="117"/>
        <v>0.77765203140209926</v>
      </c>
      <c r="AZ18" s="263">
        <f t="shared" ref="AZ18:BB18" si="118">AZ17/AZ7</f>
        <v>0.77913203678357346</v>
      </c>
      <c r="BA18" s="263">
        <f t="shared" si="118"/>
        <v>0.77601928960838029</v>
      </c>
      <c r="BB18" s="263">
        <f t="shared" si="118"/>
        <v>0.77771977081455423</v>
      </c>
      <c r="BC18" s="564"/>
      <c r="BD18" s="331"/>
      <c r="BE18" s="331"/>
      <c r="BF18" s="331"/>
      <c r="BG18" s="331"/>
      <c r="BH18" s="315"/>
      <c r="BI18" s="317"/>
      <c r="BJ18" s="317"/>
      <c r="BK18" s="316"/>
      <c r="BL18" s="316"/>
      <c r="BM18" s="316"/>
      <c r="BN18" s="316"/>
      <c r="BO18" s="316"/>
      <c r="BP18" s="316"/>
      <c r="BQ18" s="316"/>
      <c r="BR18" s="316"/>
      <c r="BS18" s="316"/>
      <c r="BT18" s="316"/>
      <c r="BU18" s="316"/>
      <c r="BV18" s="316"/>
      <c r="BW18" s="316"/>
      <c r="BX18" s="316"/>
      <c r="BY18" s="316"/>
      <c r="BZ18" s="316"/>
      <c r="CA18" s="316"/>
      <c r="CB18" s="316"/>
      <c r="CC18" s="316"/>
      <c r="CD18" s="316"/>
      <c r="CE18" s="316"/>
      <c r="CF18" s="316"/>
      <c r="CG18" s="316"/>
      <c r="CH18" s="316"/>
      <c r="CI18" s="316"/>
      <c r="CJ18" s="316"/>
      <c r="CK18" s="331">
        <f t="shared" ref="CK18:CN18" si="119">CK17/CK7</f>
        <v>0.78170629156792293</v>
      </c>
      <c r="CL18" s="331">
        <f t="shared" si="119"/>
        <v>0.78108163888704407</v>
      </c>
      <c r="CM18" s="331">
        <f t="shared" si="119"/>
        <v>0.78483928668220493</v>
      </c>
      <c r="CN18" s="331">
        <f t="shared" si="119"/>
        <v>0.78625375256754604</v>
      </c>
    </row>
    <row r="19" spans="1:94">
      <c r="A19" s="171"/>
      <c r="B19" s="833"/>
      <c r="C19" s="952"/>
      <c r="D19" s="952"/>
      <c r="E19" s="95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190"/>
      <c r="AJ19" s="282"/>
      <c r="AK19" s="282"/>
      <c r="AL19" s="282"/>
      <c r="AM19" s="282"/>
      <c r="AN19" s="190"/>
      <c r="AO19" s="282"/>
      <c r="AP19" s="282"/>
      <c r="AQ19" s="1385"/>
      <c r="AR19" s="282"/>
      <c r="AS19" s="205"/>
      <c r="AT19" s="282"/>
      <c r="AU19" s="282"/>
      <c r="AV19" s="205"/>
      <c r="AW19" s="282"/>
      <c r="AX19" s="282"/>
      <c r="AY19" s="205"/>
      <c r="AZ19" s="282"/>
      <c r="BA19" s="282"/>
      <c r="BB19" s="205"/>
      <c r="BC19" s="190"/>
      <c r="BD19" s="316"/>
      <c r="BE19" s="316"/>
      <c r="BF19" s="316"/>
      <c r="BG19" s="316"/>
      <c r="BH19" s="315"/>
      <c r="BI19" s="317"/>
      <c r="BJ19" s="317"/>
      <c r="BK19" s="316"/>
      <c r="BL19" s="316"/>
      <c r="BM19" s="316"/>
      <c r="BN19" s="316"/>
      <c r="BO19" s="316"/>
      <c r="BP19" s="316"/>
      <c r="BQ19" s="316"/>
      <c r="BR19" s="316"/>
      <c r="BS19" s="316"/>
      <c r="BT19" s="316"/>
      <c r="BU19" s="316"/>
      <c r="BV19" s="316"/>
      <c r="BW19" s="316"/>
      <c r="BX19" s="316"/>
      <c r="BY19" s="316"/>
      <c r="BZ19" s="316"/>
      <c r="CA19" s="316"/>
      <c r="CB19" s="316"/>
      <c r="CC19" s="316"/>
      <c r="CD19" s="316"/>
      <c r="CE19" s="316"/>
      <c r="CF19" s="316"/>
      <c r="CG19" s="316"/>
      <c r="CH19" s="316"/>
      <c r="CI19" s="316"/>
      <c r="CJ19" s="316"/>
      <c r="CK19" s="316"/>
      <c r="CL19" s="316"/>
      <c r="CM19" s="316"/>
      <c r="CN19" s="316"/>
    </row>
    <row r="20" spans="1:94">
      <c r="A20" s="165" t="s">
        <v>812</v>
      </c>
      <c r="B20" s="782" t="s">
        <v>728</v>
      </c>
      <c r="C20" s="952"/>
      <c r="D20" s="952"/>
      <c r="E20" s="952"/>
      <c r="F20" s="282">
        <f t="shared" ref="F20:T20" si="120">F229</f>
        <v>79.933999999999969</v>
      </c>
      <c r="G20" s="282">
        <f t="shared" si="120"/>
        <v>105.93600000000004</v>
      </c>
      <c r="H20" s="282">
        <f t="shared" si="120"/>
        <v>158.68100000000004</v>
      </c>
      <c r="I20" s="282">
        <f t="shared" si="120"/>
        <v>212.42600000000004</v>
      </c>
      <c r="J20" s="282">
        <f t="shared" si="120"/>
        <v>283.35900000000004</v>
      </c>
      <c r="K20" s="282">
        <f t="shared" si="120"/>
        <v>399.69100000000003</v>
      </c>
      <c r="L20" s="282">
        <f t="shared" si="120"/>
        <v>503.59100000000012</v>
      </c>
      <c r="M20" s="282">
        <f t="shared" si="120"/>
        <v>594.17800000000034</v>
      </c>
      <c r="N20" s="282">
        <f t="shared" si="120"/>
        <v>652.029</v>
      </c>
      <c r="O20" s="282">
        <f t="shared" si="120"/>
        <v>659.82999999999993</v>
      </c>
      <c r="P20" s="282">
        <f t="shared" si="120"/>
        <v>712.20600000000013</v>
      </c>
      <c r="Q20" s="282">
        <f t="shared" si="120"/>
        <v>755.98100000000022</v>
      </c>
      <c r="R20" s="282">
        <f t="shared" si="120"/>
        <v>798.25300000000016</v>
      </c>
      <c r="S20" s="282">
        <f t="shared" si="120"/>
        <v>865.4079999999999</v>
      </c>
      <c r="T20" s="282">
        <f t="shared" si="120"/>
        <v>962.83832000000029</v>
      </c>
      <c r="U20" s="282">
        <f t="shared" ref="U20:AM20" si="121">U229</f>
        <v>1044.2000000000003</v>
      </c>
      <c r="V20" s="282">
        <f>V229</f>
        <v>594.79999999999995</v>
      </c>
      <c r="W20" s="282">
        <f>W229</f>
        <v>488.69999999999914</v>
      </c>
      <c r="X20" s="282">
        <f t="shared" si="121"/>
        <v>1083.4999999999991</v>
      </c>
      <c r="Y20" s="282">
        <f>Y229</f>
        <v>622.6</v>
      </c>
      <c r="Z20" s="282">
        <f>Z229</f>
        <v>581.29999999999984</v>
      </c>
      <c r="AA20" s="282">
        <f t="shared" si="121"/>
        <v>1203.8999999999999</v>
      </c>
      <c r="AB20" s="282">
        <f>AB229</f>
        <v>760.6</v>
      </c>
      <c r="AC20" s="282">
        <f>AC229</f>
        <v>608</v>
      </c>
      <c r="AD20" s="282">
        <f t="shared" si="121"/>
        <v>1368.6</v>
      </c>
      <c r="AE20" s="282">
        <f t="shared" ref="AE20:AJ20" si="122">AE229</f>
        <v>739.50000000000011</v>
      </c>
      <c r="AF20" s="282">
        <f t="shared" si="122"/>
        <v>690.99999999999989</v>
      </c>
      <c r="AG20" s="282">
        <f t="shared" si="122"/>
        <v>1430.5</v>
      </c>
      <c r="AH20" s="282">
        <f t="shared" si="122"/>
        <v>843.4</v>
      </c>
      <c r="AI20" s="190">
        <f t="shared" si="122"/>
        <v>680.69999999999993</v>
      </c>
      <c r="AJ20" s="282">
        <f t="shared" si="122"/>
        <v>1524.1</v>
      </c>
      <c r="AK20" s="282">
        <f t="shared" ref="AK20" si="123">AK229</f>
        <v>821.8</v>
      </c>
      <c r="AL20" s="282">
        <f t="shared" si="121"/>
        <v>697.40000000000009</v>
      </c>
      <c r="AM20" s="282">
        <f t="shared" si="121"/>
        <v>1519.2</v>
      </c>
      <c r="AN20" s="190">
        <f t="shared" ref="AN20:AU20" si="124">AN229</f>
        <v>877.80000000000007</v>
      </c>
      <c r="AO20" s="282">
        <f t="shared" si="124"/>
        <v>745.9</v>
      </c>
      <c r="AP20" s="282">
        <f t="shared" si="124"/>
        <v>1623.7</v>
      </c>
      <c r="AQ20" s="1385">
        <f t="shared" ref="AQ20" si="125">AQ229</f>
        <v>945.2</v>
      </c>
      <c r="AR20" s="282">
        <f t="shared" si="124"/>
        <v>777.51402674838414</v>
      </c>
      <c r="AS20" s="205">
        <f t="shared" si="124"/>
        <v>1722.7140267483842</v>
      </c>
      <c r="AT20" s="282">
        <f t="shared" si="124"/>
        <v>977.14992825171839</v>
      </c>
      <c r="AU20" s="282">
        <f t="shared" si="124"/>
        <v>805.56059955744445</v>
      </c>
      <c r="AV20" s="205">
        <f>AV229</f>
        <v>1782.7105278091628</v>
      </c>
      <c r="AW20" s="282">
        <f t="shared" ref="AW20:AX20" si="126">AW229</f>
        <v>1023.4712876195154</v>
      </c>
      <c r="AX20" s="282">
        <f t="shared" si="126"/>
        <v>839.8982634385402</v>
      </c>
      <c r="AY20" s="205">
        <f>AY229</f>
        <v>1863.3695510580555</v>
      </c>
      <c r="AZ20" s="282">
        <f t="shared" ref="AZ20:BA20" si="127">AZ229</f>
        <v>1069.7294052359398</v>
      </c>
      <c r="BA20" s="282">
        <f t="shared" si="127"/>
        <v>877.47639205558357</v>
      </c>
      <c r="BB20" s="205">
        <f>BB229</f>
        <v>1947.2057972915234</v>
      </c>
      <c r="BC20" s="190"/>
      <c r="BD20" s="316"/>
      <c r="BE20" s="316"/>
      <c r="BF20" s="316"/>
      <c r="BG20" s="316"/>
      <c r="BH20" s="315"/>
      <c r="BI20" s="317"/>
      <c r="BJ20" s="317"/>
      <c r="BK20" s="316">
        <f t="shared" ref="BK20:CL20" si="128">BK229</f>
        <v>54.530999999999977</v>
      </c>
      <c r="BL20" s="316">
        <f t="shared" si="128"/>
        <v>51.405000000000058</v>
      </c>
      <c r="BM20" s="316">
        <f t="shared" si="128"/>
        <v>86.536000000000001</v>
      </c>
      <c r="BN20" s="316">
        <f t="shared" si="128"/>
        <v>72.145000000000039</v>
      </c>
      <c r="BO20" s="316">
        <f t="shared" si="128"/>
        <v>114.81200000000001</v>
      </c>
      <c r="BP20" s="316">
        <f t="shared" si="128"/>
        <v>97.614000000000033</v>
      </c>
      <c r="BQ20" s="316">
        <f t="shared" si="128"/>
        <v>145.88800000000003</v>
      </c>
      <c r="BR20" s="316">
        <f t="shared" si="128"/>
        <v>137.471</v>
      </c>
      <c r="BS20" s="316">
        <f t="shared" si="128"/>
        <v>213.31000000000006</v>
      </c>
      <c r="BT20" s="316">
        <f t="shared" si="128"/>
        <v>186.38099999999997</v>
      </c>
      <c r="BU20" s="316">
        <f t="shared" si="128"/>
        <v>269.48200000000008</v>
      </c>
      <c r="BV20" s="316">
        <f t="shared" si="128"/>
        <v>234.10900000000004</v>
      </c>
      <c r="BW20" s="316">
        <f t="shared" si="128"/>
        <v>327.80599999999998</v>
      </c>
      <c r="BX20" s="316">
        <f t="shared" si="128"/>
        <v>266.37200000000036</v>
      </c>
      <c r="BY20" s="316">
        <f t="shared" si="128"/>
        <v>362.46499999999997</v>
      </c>
      <c r="BZ20" s="316">
        <f t="shared" si="128"/>
        <v>289.56400000000002</v>
      </c>
      <c r="CA20" s="316">
        <f t="shared" si="128"/>
        <v>376.96600000000001</v>
      </c>
      <c r="CB20" s="316">
        <f t="shared" si="128"/>
        <v>282.86399999999992</v>
      </c>
      <c r="CC20" s="316">
        <f t="shared" si="128"/>
        <v>390.9</v>
      </c>
      <c r="CD20" s="316">
        <f t="shared" si="128"/>
        <v>321.30600000000015</v>
      </c>
      <c r="CE20" s="316">
        <f t="shared" si="128"/>
        <v>419.565</v>
      </c>
      <c r="CF20" s="316">
        <f t="shared" si="128"/>
        <v>336.41600000000022</v>
      </c>
      <c r="CG20" s="316">
        <f t="shared" si="128"/>
        <v>427.25099999999998</v>
      </c>
      <c r="CH20" s="316">
        <f t="shared" si="128"/>
        <v>371.00200000000018</v>
      </c>
      <c r="CI20" s="316">
        <f t="shared" si="128"/>
        <v>459.572</v>
      </c>
      <c r="CJ20" s="316">
        <f t="shared" si="128"/>
        <v>405.8359999999999</v>
      </c>
      <c r="CK20" s="316">
        <f t="shared" si="128"/>
        <v>519.4</v>
      </c>
      <c r="CL20" s="316">
        <f t="shared" si="128"/>
        <v>443.43832000000032</v>
      </c>
      <c r="CM20" s="316">
        <f t="shared" ref="CM20:CN20" si="129">CM229</f>
        <v>565.29999999999995</v>
      </c>
      <c r="CN20" s="316">
        <f t="shared" si="129"/>
        <v>478.90000000000032</v>
      </c>
    </row>
    <row r="21" spans="1:94">
      <c r="A21" s="165" t="s">
        <v>813</v>
      </c>
      <c r="B21" s="782" t="s">
        <v>729</v>
      </c>
      <c r="C21" s="958"/>
      <c r="D21" s="958"/>
      <c r="E21" s="958"/>
      <c r="F21" s="303"/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>
        <f>T333</f>
        <v>267.60000000000002</v>
      </c>
      <c r="U21" s="303">
        <f>U333</f>
        <v>426.1</v>
      </c>
      <c r="V21" s="282">
        <f>V333</f>
        <v>233.2</v>
      </c>
      <c r="W21" s="282">
        <f>W333</f>
        <v>209.5</v>
      </c>
      <c r="X21" s="303">
        <f t="shared" ref="X21:AM21" si="130">X333</f>
        <v>442.7</v>
      </c>
      <c r="Y21" s="282">
        <f>Y333</f>
        <v>237.6</v>
      </c>
      <c r="Z21" s="282">
        <f>Z333</f>
        <v>252.6</v>
      </c>
      <c r="AA21" s="303">
        <f t="shared" si="130"/>
        <v>490.2</v>
      </c>
      <c r="AB21" s="282">
        <f>AB333</f>
        <v>324.60000000000002</v>
      </c>
      <c r="AC21" s="282">
        <f>AC333</f>
        <v>284</v>
      </c>
      <c r="AD21" s="303">
        <f t="shared" si="130"/>
        <v>608.6</v>
      </c>
      <c r="AE21" s="282">
        <f t="shared" ref="AE21:AF21" si="131">AE333</f>
        <v>324.89999999999998</v>
      </c>
      <c r="AF21" s="282">
        <f t="shared" si="131"/>
        <v>325</v>
      </c>
      <c r="AG21" s="303">
        <f t="shared" si="130"/>
        <v>649.9</v>
      </c>
      <c r="AH21" s="282">
        <f t="shared" si="130"/>
        <v>358.4</v>
      </c>
      <c r="AI21" s="190">
        <f t="shared" ref="AI21:AK21" si="132">AI333</f>
        <v>300</v>
      </c>
      <c r="AJ21" s="303">
        <f t="shared" si="132"/>
        <v>658.4</v>
      </c>
      <c r="AK21" s="282">
        <f t="shared" si="132"/>
        <v>325</v>
      </c>
      <c r="AL21" s="282">
        <f t="shared" si="130"/>
        <v>296.20000000000005</v>
      </c>
      <c r="AM21" s="303">
        <f t="shared" si="130"/>
        <v>621.20000000000005</v>
      </c>
      <c r="AN21" s="190">
        <f t="shared" ref="AN21:AV21" si="133">AN333</f>
        <v>351.1</v>
      </c>
      <c r="AO21" s="282">
        <f t="shared" si="133"/>
        <v>321.29999999999995</v>
      </c>
      <c r="AP21" s="303">
        <f t="shared" si="133"/>
        <v>672.4</v>
      </c>
      <c r="AQ21" s="1385">
        <f t="shared" ref="AQ21" si="134">AQ333</f>
        <v>368.8</v>
      </c>
      <c r="AR21" s="282">
        <f t="shared" si="133"/>
        <v>329.21794321596241</v>
      </c>
      <c r="AS21" s="205">
        <f t="shared" si="133"/>
        <v>698.01794321596242</v>
      </c>
      <c r="AT21" s="282">
        <f t="shared" si="133"/>
        <v>378.23557</v>
      </c>
      <c r="AU21" s="282">
        <f t="shared" si="133"/>
        <v>337.67252973708929</v>
      </c>
      <c r="AV21" s="205">
        <f t="shared" si="133"/>
        <v>715.90809973708929</v>
      </c>
      <c r="AW21" s="282">
        <f t="shared" ref="AW21:AY21" si="135">AW333</f>
        <v>391.47381494999996</v>
      </c>
      <c r="AX21" s="282">
        <f t="shared" si="135"/>
        <v>349.49106827788745</v>
      </c>
      <c r="AY21" s="205">
        <f t="shared" si="135"/>
        <v>740.96488322788741</v>
      </c>
      <c r="AZ21" s="282">
        <f t="shared" ref="AZ21:BB21" si="136">AZ333</f>
        <v>405.17539847324997</v>
      </c>
      <c r="BA21" s="282">
        <f t="shared" si="136"/>
        <v>361.72325566761344</v>
      </c>
      <c r="BB21" s="205">
        <f t="shared" si="136"/>
        <v>766.89865414086341</v>
      </c>
      <c r="BC21" s="190"/>
      <c r="BD21" s="316"/>
      <c r="BE21" s="316"/>
      <c r="BF21" s="316"/>
      <c r="BG21" s="316"/>
      <c r="BH21" s="315"/>
      <c r="BI21" s="317"/>
      <c r="BJ21" s="317"/>
      <c r="BK21" s="316"/>
      <c r="BL21" s="316"/>
      <c r="BM21" s="316"/>
      <c r="BN21" s="316"/>
      <c r="BO21" s="316"/>
      <c r="BP21" s="316"/>
      <c r="BQ21" s="316"/>
      <c r="BR21" s="316"/>
      <c r="BS21" s="316"/>
      <c r="BT21" s="316"/>
      <c r="BU21" s="316"/>
      <c r="BV21" s="316"/>
      <c r="BW21" s="316"/>
      <c r="BX21" s="316"/>
      <c r="BY21" s="316"/>
      <c r="BZ21" s="316"/>
      <c r="CA21" s="316"/>
      <c r="CB21" s="316"/>
      <c r="CC21" s="316"/>
      <c r="CD21" s="316"/>
      <c r="CE21" s="316"/>
      <c r="CF21" s="316"/>
      <c r="CG21" s="316"/>
      <c r="CH21" s="316"/>
      <c r="CI21" s="320"/>
      <c r="CJ21" s="316"/>
      <c r="CK21" s="316">
        <f t="shared" ref="CK21:CN21" si="137">CK333</f>
        <v>51.7</v>
      </c>
      <c r="CL21" s="316">
        <f t="shared" si="137"/>
        <v>215.90000000000003</v>
      </c>
      <c r="CM21" s="316">
        <f t="shared" si="137"/>
        <v>228.6</v>
      </c>
      <c r="CN21" s="316">
        <f t="shared" si="137"/>
        <v>197.50000000000003</v>
      </c>
    </row>
    <row r="22" spans="1:94">
      <c r="A22" s="177" t="s">
        <v>482</v>
      </c>
      <c r="B22" s="953" t="s">
        <v>275</v>
      </c>
      <c r="C22" s="954"/>
      <c r="D22" s="954"/>
      <c r="E22" s="954"/>
      <c r="F22" s="305">
        <f t="shared" ref="F22:S22" si="138">SUM(F20:F21)</f>
        <v>79.933999999999969</v>
      </c>
      <c r="G22" s="305">
        <f t="shared" si="138"/>
        <v>105.93600000000004</v>
      </c>
      <c r="H22" s="305">
        <f t="shared" si="138"/>
        <v>158.68100000000004</v>
      </c>
      <c r="I22" s="305">
        <f t="shared" si="138"/>
        <v>212.42600000000004</v>
      </c>
      <c r="J22" s="305">
        <f t="shared" si="138"/>
        <v>283.35900000000004</v>
      </c>
      <c r="K22" s="305">
        <f t="shared" si="138"/>
        <v>399.69100000000003</v>
      </c>
      <c r="L22" s="305">
        <f t="shared" si="138"/>
        <v>503.59100000000012</v>
      </c>
      <c r="M22" s="305">
        <f t="shared" si="138"/>
        <v>594.17800000000034</v>
      </c>
      <c r="N22" s="305">
        <f t="shared" si="138"/>
        <v>652.029</v>
      </c>
      <c r="O22" s="305">
        <f t="shared" si="138"/>
        <v>659.82999999999993</v>
      </c>
      <c r="P22" s="305">
        <f t="shared" si="138"/>
        <v>712.20600000000013</v>
      </c>
      <c r="Q22" s="305">
        <f t="shared" si="138"/>
        <v>755.98100000000022</v>
      </c>
      <c r="R22" s="305">
        <f t="shared" si="138"/>
        <v>798.25300000000016</v>
      </c>
      <c r="S22" s="305">
        <f t="shared" si="138"/>
        <v>865.4079999999999</v>
      </c>
      <c r="T22" s="305">
        <f t="shared" ref="T22:AL22" si="139">SUM(T20:T21)</f>
        <v>1230.4383200000002</v>
      </c>
      <c r="U22" s="305">
        <f t="shared" si="139"/>
        <v>1470.3000000000002</v>
      </c>
      <c r="V22" s="305">
        <f>SUM(V20:V21)</f>
        <v>828</v>
      </c>
      <c r="W22" s="305">
        <f>SUM(W20:W21)</f>
        <v>698.19999999999914</v>
      </c>
      <c r="X22" s="305">
        <f t="shared" si="139"/>
        <v>1526.1999999999991</v>
      </c>
      <c r="Y22" s="305">
        <f>SUM(Y20:Y21)</f>
        <v>860.2</v>
      </c>
      <c r="Z22" s="305">
        <f>SUM(Z20:Z21)</f>
        <v>833.89999999999986</v>
      </c>
      <c r="AA22" s="305">
        <f t="shared" si="139"/>
        <v>1694.1</v>
      </c>
      <c r="AB22" s="305">
        <f>SUM(AB20:AB21)</f>
        <v>1085.2</v>
      </c>
      <c r="AC22" s="305">
        <f>SUM(AC20:AC21)</f>
        <v>892</v>
      </c>
      <c r="AD22" s="305">
        <f t="shared" si="139"/>
        <v>1977.1999999999998</v>
      </c>
      <c r="AE22" s="305">
        <f t="shared" ref="AE22:AF22" si="140">SUM(AE20:AE21)</f>
        <v>1064.4000000000001</v>
      </c>
      <c r="AF22" s="305">
        <f t="shared" si="140"/>
        <v>1015.9999999999999</v>
      </c>
      <c r="AG22" s="1112">
        <f>SUM(AG20:AG21)</f>
        <v>2080.4</v>
      </c>
      <c r="AH22" s="1186">
        <f t="shared" ref="AH22" si="141">SUM(AH20:AH21)</f>
        <v>1201.8</v>
      </c>
      <c r="AI22" s="191">
        <f t="shared" ref="AI22" si="142">SUM(AI20:AI21)</f>
        <v>980.69999999999993</v>
      </c>
      <c r="AJ22" s="1186">
        <f>SUM(AJ20:AJ21)</f>
        <v>2182.5</v>
      </c>
      <c r="AK22" s="1186">
        <f t="shared" ref="AK22" si="143">SUM(AK20:AK21)</f>
        <v>1146.8</v>
      </c>
      <c r="AL22" s="1186">
        <f t="shared" si="139"/>
        <v>993.60000000000014</v>
      </c>
      <c r="AM22" s="1579">
        <f>SUM(AM20:AM21)</f>
        <v>2140.4</v>
      </c>
      <c r="AN22" s="1627">
        <f>SUM(AN20:AN21)+AN369</f>
        <v>1254.2</v>
      </c>
      <c r="AO22" s="305">
        <f t="shared" ref="AO22:BB22" si="144">SUM(AO20:AO21)+AO369</f>
        <v>1106.1999999999998</v>
      </c>
      <c r="AP22" s="1579">
        <f t="shared" si="144"/>
        <v>2360.4</v>
      </c>
      <c r="AQ22" s="1640">
        <f>SUM(AQ20:AQ21)+AQ369</f>
        <v>1357.4</v>
      </c>
      <c r="AR22" s="305">
        <f t="shared" si="144"/>
        <v>1146.016762782026</v>
      </c>
      <c r="AS22" s="305">
        <f t="shared" si="144"/>
        <v>2503.4167627820261</v>
      </c>
      <c r="AT22" s="305">
        <f t="shared" si="144"/>
        <v>1400.0874982517184</v>
      </c>
      <c r="AU22" s="305">
        <f t="shared" si="144"/>
        <v>1183.6964658967436</v>
      </c>
      <c r="AV22" s="305">
        <f t="shared" si="144"/>
        <v>2583.7839641484625</v>
      </c>
      <c r="AW22" s="305">
        <f t="shared" si="144"/>
        <v>1460.9881625695152</v>
      </c>
      <c r="AX22" s="305">
        <f t="shared" si="144"/>
        <v>1231.0665684167038</v>
      </c>
      <c r="AY22" s="305">
        <f t="shared" si="144"/>
        <v>2692.0547309862191</v>
      </c>
      <c r="AZ22" s="305">
        <f t="shared" si="144"/>
        <v>1522.3291555091898</v>
      </c>
      <c r="BA22" s="305">
        <f t="shared" si="144"/>
        <v>1282.1272015244815</v>
      </c>
      <c r="BB22" s="305">
        <f t="shared" si="144"/>
        <v>2804.4563570336713</v>
      </c>
      <c r="BC22" s="1268"/>
      <c r="BD22" s="356"/>
      <c r="BE22" s="356"/>
      <c r="BF22" s="356"/>
      <c r="BG22" s="356"/>
      <c r="BH22" s="357"/>
      <c r="BI22" s="358"/>
      <c r="BJ22" s="358"/>
      <c r="BK22" s="356">
        <f t="shared" ref="BK22:CN22" si="145">SUM(BK20:BK21)</f>
        <v>54.530999999999977</v>
      </c>
      <c r="BL22" s="356">
        <f t="shared" si="145"/>
        <v>51.405000000000058</v>
      </c>
      <c r="BM22" s="356">
        <f t="shared" si="145"/>
        <v>86.536000000000001</v>
      </c>
      <c r="BN22" s="356">
        <f t="shared" si="145"/>
        <v>72.145000000000039</v>
      </c>
      <c r="BO22" s="356">
        <f t="shared" si="145"/>
        <v>114.81200000000001</v>
      </c>
      <c r="BP22" s="356">
        <f t="shared" si="145"/>
        <v>97.614000000000033</v>
      </c>
      <c r="BQ22" s="356">
        <f t="shared" si="145"/>
        <v>145.88800000000003</v>
      </c>
      <c r="BR22" s="356">
        <f t="shared" si="145"/>
        <v>137.471</v>
      </c>
      <c r="BS22" s="356">
        <f t="shared" si="145"/>
        <v>213.31000000000006</v>
      </c>
      <c r="BT22" s="356">
        <f t="shared" si="145"/>
        <v>186.38099999999997</v>
      </c>
      <c r="BU22" s="356">
        <f t="shared" si="145"/>
        <v>269.48200000000008</v>
      </c>
      <c r="BV22" s="356">
        <f t="shared" si="145"/>
        <v>234.10900000000004</v>
      </c>
      <c r="BW22" s="356">
        <f t="shared" si="145"/>
        <v>327.80599999999998</v>
      </c>
      <c r="BX22" s="356">
        <f t="shared" si="145"/>
        <v>266.37200000000036</v>
      </c>
      <c r="BY22" s="356">
        <f t="shared" si="145"/>
        <v>362.46499999999997</v>
      </c>
      <c r="BZ22" s="356">
        <f t="shared" si="145"/>
        <v>289.56400000000002</v>
      </c>
      <c r="CA22" s="356">
        <f t="shared" si="145"/>
        <v>376.96600000000001</v>
      </c>
      <c r="CB22" s="356">
        <f t="shared" si="145"/>
        <v>282.86399999999992</v>
      </c>
      <c r="CC22" s="356">
        <f t="shared" si="145"/>
        <v>390.9</v>
      </c>
      <c r="CD22" s="356">
        <f t="shared" si="145"/>
        <v>321.30600000000015</v>
      </c>
      <c r="CE22" s="356">
        <f t="shared" si="145"/>
        <v>419.565</v>
      </c>
      <c r="CF22" s="356">
        <f t="shared" si="145"/>
        <v>336.41600000000022</v>
      </c>
      <c r="CG22" s="356">
        <f t="shared" si="145"/>
        <v>427.25099999999998</v>
      </c>
      <c r="CH22" s="356">
        <f t="shared" si="145"/>
        <v>371.00200000000018</v>
      </c>
      <c r="CI22" s="356">
        <f t="shared" si="145"/>
        <v>459.572</v>
      </c>
      <c r="CJ22" s="356">
        <f t="shared" si="145"/>
        <v>405.8359999999999</v>
      </c>
      <c r="CK22" s="356">
        <f t="shared" si="145"/>
        <v>571.1</v>
      </c>
      <c r="CL22" s="356">
        <f t="shared" si="145"/>
        <v>659.33832000000029</v>
      </c>
      <c r="CM22" s="356">
        <f t="shared" si="145"/>
        <v>793.9</v>
      </c>
      <c r="CN22" s="356">
        <f t="shared" si="145"/>
        <v>676.40000000000032</v>
      </c>
    </row>
    <row r="23" spans="1:94">
      <c r="A23" s="171" t="s">
        <v>484</v>
      </c>
      <c r="B23" s="959" t="s">
        <v>9</v>
      </c>
      <c r="C23" s="960"/>
      <c r="D23" s="960"/>
      <c r="E23" s="960"/>
      <c r="F23" s="304">
        <f t="shared" ref="F23:T23" si="146">F22/F7</f>
        <v>0.22463782371042751</v>
      </c>
      <c r="G23" s="304">
        <f t="shared" si="146"/>
        <v>0.23418671535977123</v>
      </c>
      <c r="H23" s="304">
        <f t="shared" si="146"/>
        <v>0.2286657549683476</v>
      </c>
      <c r="I23" s="304">
        <f t="shared" si="146"/>
        <v>0.22459429426921165</v>
      </c>
      <c r="J23" s="304">
        <f t="shared" si="146"/>
        <v>0.22105696746154155</v>
      </c>
      <c r="K23" s="304">
        <f t="shared" si="146"/>
        <v>0.21858190361398344</v>
      </c>
      <c r="L23" s="304">
        <f t="shared" si="146"/>
        <v>0.21638738330727991</v>
      </c>
      <c r="M23" s="304">
        <f t="shared" si="146"/>
        <v>0.21754243369506329</v>
      </c>
      <c r="N23" s="304">
        <f t="shared" si="146"/>
        <v>0.2203356725497955</v>
      </c>
      <c r="O23" s="304">
        <f t="shared" si="146"/>
        <v>0.21095712246850173</v>
      </c>
      <c r="P23" s="304">
        <f t="shared" si="146"/>
        <v>0.21527203482045706</v>
      </c>
      <c r="Q23" s="304">
        <f t="shared" si="146"/>
        <v>0.21700052385702298</v>
      </c>
      <c r="R23" s="304">
        <f t="shared" si="146"/>
        <v>0.21857154279030139</v>
      </c>
      <c r="S23" s="304">
        <f t="shared" si="146"/>
        <v>0.21884314624448753</v>
      </c>
      <c r="T23" s="304">
        <f t="shared" si="146"/>
        <v>0.21862798862828717</v>
      </c>
      <c r="U23" s="304">
        <f t="shared" ref="U23:AL23" si="147">U22/U7</f>
        <v>0.21450768130954292</v>
      </c>
      <c r="V23" s="304">
        <f>V22/V7</f>
        <v>0.21541743632437496</v>
      </c>
      <c r="W23" s="304">
        <f>W22/W7</f>
        <v>0.21472505843277132</v>
      </c>
      <c r="X23" s="304">
        <f t="shared" si="147"/>
        <v>0.21510013671021652</v>
      </c>
      <c r="Y23" s="304">
        <f>Y22/Y7</f>
        <v>0.21530837004405287</v>
      </c>
      <c r="Z23" s="304">
        <f>Z22/Z7</f>
        <v>0.21252899049366666</v>
      </c>
      <c r="AA23" s="304">
        <f t="shared" si="147"/>
        <v>0.21393122782204599</v>
      </c>
      <c r="AB23" s="304">
        <f>AB22/AB7</f>
        <v>0.21962276370112524</v>
      </c>
      <c r="AC23" s="304">
        <f>AC22/AC7</f>
        <v>0.22440816121160279</v>
      </c>
      <c r="AD23" s="304">
        <f t="shared" si="147"/>
        <v>0.22175614898890766</v>
      </c>
      <c r="AE23" s="304">
        <f t="shared" ref="AE23:AF23" si="148">AE22/AE7</f>
        <v>0.21893126002715044</v>
      </c>
      <c r="AF23" s="304">
        <f t="shared" si="148"/>
        <v>0.23248363919271428</v>
      </c>
      <c r="AG23" s="618">
        <f>AG22/AG7</f>
        <v>0.22534662045060661</v>
      </c>
      <c r="AH23" s="618">
        <f t="shared" ref="AH23" si="149">AH22/AH7</f>
        <v>0.22767831770389313</v>
      </c>
      <c r="AI23" s="563">
        <f t="shared" ref="AI23" si="150">AI22/AI7</f>
        <v>0.22555716552818603</v>
      </c>
      <c r="AJ23" s="618">
        <f>AJ22/AJ7</f>
        <v>0.22672026925953628</v>
      </c>
      <c r="AK23" s="618">
        <f t="shared" ref="AK23" si="151">AK22/AK7</f>
        <v>0.22215764901881016</v>
      </c>
      <c r="AL23" s="618">
        <f t="shared" si="147"/>
        <v>0.2242737512132362</v>
      </c>
      <c r="AM23" s="618">
        <f>AM22/AM7</f>
        <v>0.22313498186063968</v>
      </c>
      <c r="AN23" s="567">
        <f t="shared" ref="AN23:AV23" si="152">AN22/AN7</f>
        <v>0.221183690744921</v>
      </c>
      <c r="AO23" s="304">
        <f t="shared" si="152"/>
        <v>0.22647612808123815</v>
      </c>
      <c r="AP23" s="618">
        <f t="shared" si="152"/>
        <v>0.22363284950922802</v>
      </c>
      <c r="AQ23" s="1540">
        <f t="shared" ref="AQ23" si="153">AQ22/AQ7</f>
        <v>0.22306213333771549</v>
      </c>
      <c r="AR23" s="304">
        <f t="shared" si="152"/>
        <v>0.22623062656155371</v>
      </c>
      <c r="AS23" s="304">
        <f t="shared" si="152"/>
        <v>0.22450152336975926</v>
      </c>
      <c r="AT23" s="304">
        <f t="shared" si="152"/>
        <v>0.22100189576593071</v>
      </c>
      <c r="AU23" s="304">
        <f t="shared" si="152"/>
        <v>0.22401672251808294</v>
      </c>
      <c r="AV23" s="304">
        <f t="shared" si="152"/>
        <v>0.22237292902525835</v>
      </c>
      <c r="AW23" s="304">
        <f t="shared" ref="AW23:AY23" si="154">AW22/AW7</f>
        <v>0.22088615428250311</v>
      </c>
      <c r="AX23" s="304">
        <f t="shared" si="154"/>
        <v>0.22410810546841523</v>
      </c>
      <c r="AY23" s="304">
        <f t="shared" si="154"/>
        <v>0.22234796859790071</v>
      </c>
      <c r="AZ23" s="304">
        <f t="shared" ref="AZ23:BB23" si="155">AZ22/AZ7</f>
        <v>0.22086796321642654</v>
      </c>
      <c r="BA23" s="304">
        <f t="shared" si="155"/>
        <v>0.22398071039161968</v>
      </c>
      <c r="BB23" s="304">
        <f t="shared" si="155"/>
        <v>0.22228022918544582</v>
      </c>
      <c r="BC23" s="563"/>
      <c r="BD23" s="328"/>
      <c r="BE23" s="328"/>
      <c r="BF23" s="328"/>
      <c r="BG23" s="328"/>
      <c r="BH23" s="315"/>
      <c r="BI23" s="317"/>
      <c r="BJ23" s="317"/>
      <c r="BK23" s="328">
        <f t="shared" ref="BK23:CN23" si="156">BK22/BK7</f>
        <v>0.23244344605049458</v>
      </c>
      <c r="BL23" s="328">
        <f t="shared" si="156"/>
        <v>0.23606480588543269</v>
      </c>
      <c r="BM23" s="328">
        <f t="shared" si="156"/>
        <v>0.23004064575984176</v>
      </c>
      <c r="BN23" s="328">
        <f t="shared" si="156"/>
        <v>0.22703813497982808</v>
      </c>
      <c r="BO23" s="328">
        <f t="shared" si="156"/>
        <v>0.22519398394777931</v>
      </c>
      <c r="BP23" s="328">
        <f t="shared" si="156"/>
        <v>0.22389302384256346</v>
      </c>
      <c r="BQ23" s="328">
        <f t="shared" si="156"/>
        <v>0.22141211538052935</v>
      </c>
      <c r="BR23" s="328">
        <f t="shared" si="156"/>
        <v>0.22068131871659988</v>
      </c>
      <c r="BS23" s="328">
        <f t="shared" si="156"/>
        <v>0.21578243514185544</v>
      </c>
      <c r="BT23" s="328">
        <f t="shared" si="156"/>
        <v>0.22187633181035729</v>
      </c>
      <c r="BU23" s="328">
        <f t="shared" si="156"/>
        <v>0.21360928687780659</v>
      </c>
      <c r="BV23" s="328">
        <f t="shared" si="156"/>
        <v>0.21967606298577183</v>
      </c>
      <c r="BW23" s="328">
        <f t="shared" si="156"/>
        <v>0.21097405414172202</v>
      </c>
      <c r="BX23" s="328">
        <f t="shared" si="156"/>
        <v>0.22620942196737986</v>
      </c>
      <c r="BY23" s="328">
        <f t="shared" si="156"/>
        <v>0.2154152358742305</v>
      </c>
      <c r="BZ23" s="328">
        <f t="shared" si="156"/>
        <v>0.22682100141075762</v>
      </c>
      <c r="CA23" s="328">
        <f t="shared" si="156"/>
        <v>0.21240764082854341</v>
      </c>
      <c r="CB23" s="328">
        <f t="shared" si="156"/>
        <v>0.20905456730396141</v>
      </c>
      <c r="CC23" s="328">
        <f t="shared" si="156"/>
        <v>0.21522391215296588</v>
      </c>
      <c r="CD23" s="328">
        <f t="shared" si="156"/>
        <v>0.2153306097502132</v>
      </c>
      <c r="CE23" s="328">
        <f t="shared" si="156"/>
        <v>0.21628031772558873</v>
      </c>
      <c r="CF23" s="328">
        <f t="shared" si="156"/>
        <v>0.21790548637119134</v>
      </c>
      <c r="CG23" s="328">
        <f t="shared" si="156"/>
        <v>0.2174141591371235</v>
      </c>
      <c r="CH23" s="328">
        <f t="shared" si="156"/>
        <v>0.21991976232196089</v>
      </c>
      <c r="CI23" s="328">
        <f t="shared" si="156"/>
        <v>0.21710521032285737</v>
      </c>
      <c r="CJ23" s="328">
        <f t="shared" si="156"/>
        <v>0.22084510108018388</v>
      </c>
      <c r="CK23" s="328">
        <f t="shared" si="156"/>
        <v>0.21829370843207707</v>
      </c>
      <c r="CL23" s="328">
        <f>CL22/CL7</f>
        <v>0.21891836111295576</v>
      </c>
      <c r="CM23" s="328">
        <f t="shared" si="156"/>
        <v>0.21516071331779499</v>
      </c>
      <c r="CN23" s="328">
        <f t="shared" si="156"/>
        <v>0.21374624743245388</v>
      </c>
    </row>
    <row r="24" spans="1:94">
      <c r="A24" s="165"/>
      <c r="B24" s="833"/>
      <c r="C24" s="952"/>
      <c r="D24" s="952"/>
      <c r="E24" s="95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63"/>
      <c r="AJ24" s="282"/>
      <c r="AK24" s="282"/>
      <c r="AL24" s="284"/>
      <c r="AM24" s="282"/>
      <c r="AN24" s="190"/>
      <c r="AO24" s="282"/>
      <c r="AP24" s="282"/>
      <c r="AQ24" s="1385"/>
      <c r="AR24" s="282"/>
      <c r="AS24" s="205"/>
      <c r="AT24" s="282"/>
      <c r="AU24" s="282"/>
      <c r="AV24" s="205"/>
      <c r="AW24" s="282"/>
      <c r="AX24" s="282"/>
      <c r="AY24" s="205"/>
      <c r="AZ24" s="282"/>
      <c r="BA24" s="282"/>
      <c r="BB24" s="205"/>
      <c r="BC24" s="190"/>
      <c r="BD24" s="316"/>
      <c r="BE24" s="316"/>
      <c r="BF24" s="316"/>
      <c r="BG24" s="316"/>
      <c r="BH24" s="315"/>
      <c r="BI24" s="317"/>
      <c r="BJ24" s="317"/>
      <c r="BK24" s="316"/>
      <c r="BL24" s="316"/>
      <c r="BM24" s="316"/>
      <c r="BN24" s="316"/>
      <c r="BO24" s="316"/>
      <c r="BP24" s="316"/>
      <c r="BQ24" s="316"/>
      <c r="BR24" s="316"/>
      <c r="BS24" s="316"/>
      <c r="BT24" s="316"/>
      <c r="BU24" s="316"/>
      <c r="BV24" s="316"/>
      <c r="BW24" s="316"/>
      <c r="BX24" s="316"/>
      <c r="BY24" s="316"/>
      <c r="BZ24" s="316"/>
      <c r="CA24" s="316"/>
      <c r="CB24" s="316"/>
      <c r="CC24" s="316"/>
      <c r="CD24" s="316"/>
      <c r="CE24" s="316"/>
      <c r="CF24" s="316"/>
      <c r="CG24" s="316"/>
      <c r="CH24" s="316"/>
      <c r="CI24" s="316"/>
      <c r="CJ24" s="316"/>
      <c r="CK24" s="316"/>
      <c r="CL24" s="316"/>
      <c r="CM24" s="316"/>
      <c r="CN24" s="316"/>
    </row>
    <row r="25" spans="1:94">
      <c r="A25" s="177" t="s">
        <v>525</v>
      </c>
      <c r="B25" s="961" t="s">
        <v>500</v>
      </c>
      <c r="C25" s="962"/>
      <c r="D25" s="280"/>
      <c r="E25" s="280"/>
      <c r="F25" s="280">
        <f>'P&amp;L'!C17+'P&amp;L'!C24+'P&amp;L'!C30+'P&amp;L'!C36+'P&amp;L'!C43</f>
        <v>62.677000000000007</v>
      </c>
      <c r="G25" s="280">
        <f>'P&amp;L'!F17+'P&amp;L'!F24+'P&amp;L'!F30+'P&amp;L'!F36+'P&amp;L'!F43</f>
        <v>80.510999999999996</v>
      </c>
      <c r="H25" s="280">
        <f>'P&amp;L'!I17+'P&amp;L'!I24+'P&amp;L'!I30+'P&amp;L'!I36+'P&amp;L'!I43</f>
        <v>119.277</v>
      </c>
      <c r="I25" s="280">
        <f>'P&amp;L'!L17+'P&amp;L'!L24+'P&amp;L'!L30+'P&amp;L'!L36+'P&amp;L'!L43</f>
        <v>161.49700000000001</v>
      </c>
      <c r="J25" s="280">
        <f>'P&amp;L'!O17+'P&amp;L'!O24+'P&amp;L'!O30+'P&amp;L'!O36+'P&amp;L'!O43</f>
        <v>205.702</v>
      </c>
      <c r="K25" s="280">
        <f>'P&amp;L'!R17+'P&amp;L'!R24+'P&amp;L'!R30+'P&amp;L'!R36+'P&amp;L'!R43</f>
        <v>280.02</v>
      </c>
      <c r="L25" s="280">
        <f>'P&amp;L'!U17+'P&amp;L'!U24+'P&amp;L'!U30+'P&amp;L'!U36+'P&amp;L'!U43</f>
        <v>342.96600000000001</v>
      </c>
      <c r="M25" s="280">
        <f>'P&amp;L'!X17+'P&amp;L'!X24+'P&amp;L'!X30+'P&amp;L'!X36+'P&amp;L'!X43</f>
        <v>396.04899999999998</v>
      </c>
      <c r="N25" s="280">
        <f>'P&amp;L'!AA17+'P&amp;L'!AA24+'P&amp;L'!AA30+'P&amp;L'!AA36+'P&amp;L'!AA43</f>
        <v>428.892</v>
      </c>
      <c r="O25" s="280">
        <f>'P&amp;L'!AD17+'P&amp;L'!AD24+'P&amp;L'!AD30+'P&amp;L'!AD36+'P&amp;L'!AD43</f>
        <v>467.66200000000003</v>
      </c>
      <c r="P25" s="280">
        <f>'P&amp;L'!AG17+'P&amp;L'!AG24+'P&amp;L'!AG30+'P&amp;L'!AG36+'P&amp;L'!AG43</f>
        <v>501.33600000000001</v>
      </c>
      <c r="Q25" s="280">
        <f>'P&amp;L'!AJ17+'P&amp;L'!AJ24+'P&amp;L'!AJ30+'P&amp;L'!AJ36+'P&amp;L'!AJ43</f>
        <v>529.17399999999998</v>
      </c>
      <c r="R25" s="280">
        <f>'P&amp;L'!AM17+'P&amp;L'!AM24+'P&amp;L'!AM30+'P&amp;L'!AM36+'P&amp;L'!AM43</f>
        <v>558.30100000000004</v>
      </c>
      <c r="S25" s="280">
        <f>'P&amp;L'!AP17+'P&amp;L'!AP24+'P&amp;L'!AP30+'P&amp;L'!AP36+'P&amp;L'!AP43</f>
        <v>603.35699999999997</v>
      </c>
      <c r="T25" s="280">
        <f>'P&amp;L'!AS17+'P&amp;L'!AS21+'P&amp;L'!AS27+'P&amp;L'!AS36+'P&amp;L'!AS43+'P&amp;L'!AS52</f>
        <v>886.30000000000007</v>
      </c>
      <c r="U25" s="280">
        <f>'P&amp;L'!AV17+'P&amp;L'!AV21+'P&amp;L'!AV27+'P&amp;L'!AV36+'P&amp;L'!AV43+'P&amp;L'!AV52</f>
        <v>1065.1000000000001</v>
      </c>
      <c r="V25" s="280">
        <f>V22-V34</f>
        <v>563.70000000000005</v>
      </c>
      <c r="W25" s="280">
        <f>X25-V25</f>
        <v>536</v>
      </c>
      <c r="X25" s="280">
        <f>'P&amp;L'!AY17+'P&amp;L'!AY21+'P&amp;L'!AY27+'P&amp;L'!AY36+'P&amp;L'!AY43+'P&amp;L'!AY52</f>
        <v>1099.7</v>
      </c>
      <c r="Y25" s="280">
        <f>Y22-Y34</f>
        <v>488.1</v>
      </c>
      <c r="Z25" s="280">
        <f>AA25-Y25</f>
        <v>495.9</v>
      </c>
      <c r="AA25" s="280">
        <f>'P&amp;L'!BB17+'P&amp;L'!BB21+'P&amp;L'!BB27+'P&amp;L'!BB36+'P&amp;L'!BB43+'P&amp;L'!BB52</f>
        <v>984</v>
      </c>
      <c r="AB25" s="280">
        <f>AB22-AB34</f>
        <v>513.30000000000007</v>
      </c>
      <c r="AC25" s="280">
        <f>AC256+AC285-AC337</f>
        <v>502.29999999999995</v>
      </c>
      <c r="AD25" s="280">
        <f>'P&amp;L'!BE17+'P&amp;L'!BE21+'P&amp;L'!BE27+'P&amp;L'!BE36+'P&amp;L'!BE43+'P&amp;L'!BE52</f>
        <v>1016.9000000000001</v>
      </c>
      <c r="AE25" s="280">
        <f>AE22-AE34</f>
        <v>535.40000000000009</v>
      </c>
      <c r="AF25" s="280">
        <f>AF256+AF285-AF337</f>
        <v>531.09999999999991</v>
      </c>
      <c r="AG25" s="1113">
        <f>'P&amp;L'!BH17+'P&amp;L'!BH21+'P&amp;L'!BH27+'P&amp;L'!BH36+'P&amp;L'!BH43+'P&amp;L'!BH52</f>
        <v>1068.7</v>
      </c>
      <c r="AH25" s="1188">
        <f>AH22-AH34</f>
        <v>609.19999999999993</v>
      </c>
      <c r="AI25" s="201">
        <f t="shared" ref="AI25:AJ25" si="157">AI256+AI285-AI337</f>
        <v>580.09999999999991</v>
      </c>
      <c r="AJ25" s="1206">
        <f t="shared" si="157"/>
        <v>1189.2999999999997</v>
      </c>
      <c r="AK25" s="1188">
        <f>AK22-AK34</f>
        <v>641.59999999999991</v>
      </c>
      <c r="AL25" s="1188">
        <f t="shared" ref="AL25:AM25" si="158">AL256+AL285-AL337</f>
        <v>614.50000000000023</v>
      </c>
      <c r="AM25" s="1582">
        <f t="shared" si="158"/>
        <v>1256.1000000000001</v>
      </c>
      <c r="AN25" s="1579">
        <f>AN22-AN34</f>
        <v>708.30000000000007</v>
      </c>
      <c r="AO25" s="280">
        <f>AO256+AO285-AO337+AO381</f>
        <v>685.49999999999989</v>
      </c>
      <c r="AP25" s="1701">
        <f>AP256+AP285-AP337+AP381</f>
        <v>1393.8000000000002</v>
      </c>
      <c r="AQ25" s="1639">
        <f>AQ22-AQ34</f>
        <v>768.40000000000009</v>
      </c>
      <c r="AR25" s="280">
        <f t="shared" ref="AR25:BB25" si="159">AR256+AR285-AR337+AR381</f>
        <v>712.80992182320449</v>
      </c>
      <c r="AS25" s="280">
        <f t="shared" si="159"/>
        <v>1481.2099218232045</v>
      </c>
      <c r="AT25" s="280">
        <f t="shared" si="159"/>
        <v>799.36049999999989</v>
      </c>
      <c r="AU25" s="280">
        <f t="shared" si="159"/>
        <v>741.46466472790064</v>
      </c>
      <c r="AV25" s="280">
        <f t="shared" si="159"/>
        <v>1540.8251647279008</v>
      </c>
      <c r="AW25" s="280">
        <f t="shared" si="159"/>
        <v>832.07604249999997</v>
      </c>
      <c r="AX25" s="280">
        <f t="shared" si="159"/>
        <v>771.7046162559875</v>
      </c>
      <c r="AY25" s="280">
        <f t="shared" si="159"/>
        <v>1603.7806587559876</v>
      </c>
      <c r="AZ25" s="280">
        <f t="shared" si="159"/>
        <v>866.1550569625</v>
      </c>
      <c r="BA25" s="280">
        <f t="shared" si="159"/>
        <v>803.20100308629844</v>
      </c>
      <c r="BB25" s="280">
        <f t="shared" si="159"/>
        <v>1669.3560600487983</v>
      </c>
      <c r="BC25" s="1206"/>
      <c r="BD25" s="360"/>
      <c r="BE25" s="360"/>
      <c r="BF25" s="360"/>
      <c r="BG25" s="360"/>
      <c r="BH25" s="361"/>
      <c r="BI25" s="362"/>
      <c r="BJ25" s="362"/>
      <c r="BK25" s="360">
        <f>+'P&amp;L'!CJ17+'P&amp;L'!CJ21+'P&amp;L'!CJ27</f>
        <v>0</v>
      </c>
      <c r="BL25" s="360">
        <f>+'P&amp;L'!CK17+'P&amp;L'!CK21+'P&amp;L'!CK27</f>
        <v>0</v>
      </c>
      <c r="BM25" s="360"/>
      <c r="BN25" s="360"/>
      <c r="BO25" s="360"/>
      <c r="BP25" s="360"/>
      <c r="BQ25" s="360"/>
      <c r="BR25" s="360"/>
      <c r="BS25" s="360"/>
      <c r="BT25" s="360"/>
      <c r="BU25" s="360"/>
      <c r="BV25" s="360"/>
      <c r="BW25" s="360"/>
      <c r="BX25" s="360"/>
      <c r="BY25" s="360"/>
      <c r="BZ25" s="360"/>
      <c r="CA25" s="360"/>
      <c r="CB25" s="360"/>
      <c r="CC25" s="360"/>
      <c r="CD25" s="360"/>
      <c r="CE25" s="360">
        <f>'P&amp;L'!AH17+'P&amp;L'!AH24+'P&amp;L'!AH30+'P&amp;L'!AH36+'P&amp;L'!AH43</f>
        <v>269.39</v>
      </c>
      <c r="CF25" s="360">
        <f>Q25-CE25</f>
        <v>259.78399999999999</v>
      </c>
      <c r="CG25" s="360">
        <f>'P&amp;L'!AK17+'P&amp;L'!AK24+'P&amp;L'!AK30+'P&amp;L'!AK36+'P&amp;L'!AK43</f>
        <v>278.51800000000003</v>
      </c>
      <c r="CH25" s="360">
        <f>'P&amp;L'!AL17+'P&amp;L'!AL24+'P&amp;L'!AL30+'P&amp;L'!AL36+'P&amp;L'!AL43</f>
        <v>279.78300000000002</v>
      </c>
      <c r="CI25" s="360">
        <f>'P&amp;L'!AN17+'P&amp;L'!AN24+'P&amp;L'!AN30+'P&amp;L'!AN36+'P&amp;L'!AN43</f>
        <v>301.64100000000002</v>
      </c>
      <c r="CJ25" s="360">
        <f>S25-CI25</f>
        <v>301.71599999999995</v>
      </c>
      <c r="CK25" s="360">
        <f>CK229-CK34</f>
        <v>315.5</v>
      </c>
      <c r="CL25" s="360">
        <f>T25-CK25</f>
        <v>570.80000000000007</v>
      </c>
      <c r="CM25" s="360">
        <f>CM22-CM34</f>
        <v>537.59999999999991</v>
      </c>
      <c r="CN25" s="360">
        <f>U25-CM25</f>
        <v>527.50000000000023</v>
      </c>
      <c r="CP25" s="1340"/>
    </row>
    <row r="26" spans="1:94">
      <c r="A26" s="168"/>
      <c r="B26" s="963" t="s">
        <v>452</v>
      </c>
      <c r="C26" s="964"/>
      <c r="D26" s="293"/>
      <c r="E26" s="293"/>
      <c r="F26" s="293"/>
      <c r="G26" s="263">
        <f>G25/F25-1</f>
        <v>0.28453818785200302</v>
      </c>
      <c r="H26" s="263">
        <f t="shared" ref="H26:U26" si="160">H25/G25-1</f>
        <v>0.48149942243916999</v>
      </c>
      <c r="I26" s="263">
        <f t="shared" si="160"/>
        <v>0.35396597835290966</v>
      </c>
      <c r="J26" s="263">
        <f t="shared" si="160"/>
        <v>0.2737202548654154</v>
      </c>
      <c r="K26" s="263">
        <f t="shared" si="160"/>
        <v>0.3612896325752788</v>
      </c>
      <c r="L26" s="263">
        <f t="shared" si="160"/>
        <v>0.224791086350975</v>
      </c>
      <c r="M26" s="263">
        <f t="shared" si="160"/>
        <v>0.15477627519929071</v>
      </c>
      <c r="N26" s="263">
        <f t="shared" si="160"/>
        <v>8.2926607566235599E-2</v>
      </c>
      <c r="O26" s="263">
        <f t="shared" si="160"/>
        <v>9.0395717336765546E-2</v>
      </c>
      <c r="P26" s="263">
        <f t="shared" si="160"/>
        <v>7.2004995060535038E-2</v>
      </c>
      <c r="Q26" s="263">
        <f>Q25/P25-1</f>
        <v>5.5527630172179876E-2</v>
      </c>
      <c r="R26" s="263">
        <f>R25/Q25-1</f>
        <v>5.5042386814167177E-2</v>
      </c>
      <c r="S26" s="263">
        <f>S25/R25-1</f>
        <v>8.0701986921033475E-2</v>
      </c>
      <c r="T26" s="263">
        <f t="shared" si="160"/>
        <v>0.46894790314855062</v>
      </c>
      <c r="U26" s="263">
        <f t="shared" si="160"/>
        <v>0.20173756064537973</v>
      </c>
      <c r="V26" s="263">
        <f>V25/CM25-1</f>
        <v>4.8549107142857428E-2</v>
      </c>
      <c r="W26" s="263">
        <f>W25/CN25-1</f>
        <v>1.6113744075828995E-2</v>
      </c>
      <c r="X26" s="263">
        <f t="shared" ref="X26:AN26" si="161">X25/U25-1</f>
        <v>3.2485212656088613E-2</v>
      </c>
      <c r="Y26" s="263">
        <f t="shared" si="161"/>
        <v>-0.13411389036721666</v>
      </c>
      <c r="Z26" s="263">
        <f t="shared" si="161"/>
        <v>-7.4813432835820981E-2</v>
      </c>
      <c r="AA26" s="263">
        <f t="shared" si="161"/>
        <v>-0.10521051195780673</v>
      </c>
      <c r="AB26" s="263">
        <f t="shared" si="161"/>
        <v>5.1628764597418719E-2</v>
      </c>
      <c r="AC26" s="263">
        <f t="shared" si="161"/>
        <v>1.2905827787860424E-2</v>
      </c>
      <c r="AD26" s="263">
        <f t="shared" si="161"/>
        <v>3.3434959349593507E-2</v>
      </c>
      <c r="AE26" s="263">
        <f t="shared" si="161"/>
        <v>4.3054743814533447E-2</v>
      </c>
      <c r="AF26" s="263">
        <f t="shared" si="161"/>
        <v>5.7336253235118262E-2</v>
      </c>
      <c r="AG26" s="284">
        <f t="shared" si="161"/>
        <v>5.0939128724554861E-2</v>
      </c>
      <c r="AH26" s="284">
        <f t="shared" si="161"/>
        <v>0.13784086664176276</v>
      </c>
      <c r="AI26" s="564">
        <f t="shared" si="161"/>
        <v>9.2261344379589438E-2</v>
      </c>
      <c r="AJ26" s="284">
        <f t="shared" si="161"/>
        <v>0.11284738467296695</v>
      </c>
      <c r="AK26" s="284">
        <f t="shared" si="161"/>
        <v>5.318450426789223E-2</v>
      </c>
      <c r="AL26" s="284">
        <f t="shared" ref="AL26" si="162">AL25/AI25-1</f>
        <v>5.930012066885082E-2</v>
      </c>
      <c r="AM26" s="284">
        <f t="shared" si="161"/>
        <v>5.6167493483562092E-2</v>
      </c>
      <c r="AN26" s="284">
        <f t="shared" si="161"/>
        <v>0.1039588528678308</v>
      </c>
      <c r="AO26" s="263">
        <f>AO25/AL25-1</f>
        <v>0.11554109031733062</v>
      </c>
      <c r="AP26" s="284">
        <f>AP25/AM25-1</f>
        <v>0.10962502985431088</v>
      </c>
      <c r="AQ26" s="1315">
        <f t="shared" ref="AQ26" si="163">AQ25/AN25-1</f>
        <v>8.4851051814202938E-2</v>
      </c>
      <c r="AR26" s="263">
        <f t="shared" ref="AR26" si="164">AR25/AO25-1</f>
        <v>3.9839419143989252E-2</v>
      </c>
      <c r="AS26" s="193">
        <f t="shared" ref="AS26" si="165">AS25/AP25-1</f>
        <v>6.2713389168606914E-2</v>
      </c>
      <c r="AT26" s="263">
        <f t="shared" ref="AT26" si="166">AT25/AQ25-1</f>
        <v>4.0292165538781566E-2</v>
      </c>
      <c r="AU26" s="263">
        <f t="shared" ref="AU26" si="167">AU25/AR25-1</f>
        <v>4.0199697040417037E-2</v>
      </c>
      <c r="AV26" s="193">
        <f t="shared" ref="AV26" si="168">AV25/AS25-1</f>
        <v>4.0247666469393151E-2</v>
      </c>
      <c r="AW26" s="263">
        <f t="shared" ref="AW26" si="169">AW25/AT25-1</f>
        <v>4.0927144260943793E-2</v>
      </c>
      <c r="AX26" s="263">
        <f t="shared" ref="AX26" si="170">AX25/AU25-1</f>
        <v>4.0784076391805035E-2</v>
      </c>
      <c r="AY26" s="193">
        <f t="shared" ref="AY26" si="171">AY25/AV25-1</f>
        <v>4.0858298182846919E-2</v>
      </c>
      <c r="AZ26" s="263">
        <f t="shared" ref="AZ26" si="172">AZ25/AW25-1</f>
        <v>4.0956610600286547E-2</v>
      </c>
      <c r="BA26" s="263">
        <f t="shared" ref="BA26" si="173">BA25/AX25-1</f>
        <v>4.0814044864885268E-2</v>
      </c>
      <c r="BB26" s="193">
        <f t="shared" ref="BB26" si="174">BB25/AY25-1</f>
        <v>4.088801104739348E-2</v>
      </c>
      <c r="BC26" s="564"/>
      <c r="BD26" s="331"/>
      <c r="BE26" s="331"/>
      <c r="BF26" s="331"/>
      <c r="BG26" s="331"/>
      <c r="BH26" s="363"/>
      <c r="BI26" s="364"/>
      <c r="BJ26" s="364"/>
      <c r="BK26" s="331"/>
      <c r="BL26" s="331"/>
      <c r="BM26" s="331"/>
      <c r="BN26" s="331"/>
      <c r="BO26" s="331"/>
      <c r="BP26" s="331"/>
      <c r="BQ26" s="331"/>
      <c r="BR26" s="331"/>
      <c r="BS26" s="331"/>
      <c r="BT26" s="331"/>
      <c r="BU26" s="331"/>
      <c r="BV26" s="331"/>
      <c r="BW26" s="331"/>
      <c r="BX26" s="331"/>
      <c r="BY26" s="331"/>
      <c r="BZ26" s="331"/>
      <c r="CA26" s="331"/>
      <c r="CB26" s="331"/>
      <c r="CC26" s="331"/>
      <c r="CD26" s="331"/>
      <c r="CE26" s="331"/>
      <c r="CF26" s="331"/>
      <c r="CG26" s="331">
        <f t="shared" ref="CG26" si="175">CG25/CE25-1</f>
        <v>3.3883960057908835E-2</v>
      </c>
      <c r="CH26" s="331">
        <f t="shared" ref="CH26:CM26" si="176">CH25/CF25-1</f>
        <v>7.6983186031472473E-2</v>
      </c>
      <c r="CI26" s="331">
        <f t="shared" si="176"/>
        <v>8.302156413589068E-2</v>
      </c>
      <c r="CJ26" s="331">
        <f>CJ25/CH25-1</f>
        <v>7.8392897352590918E-2</v>
      </c>
      <c r="CK26" s="331">
        <f>CK25/CI25-1</f>
        <v>4.5945345626091871E-2</v>
      </c>
      <c r="CL26" s="331">
        <f t="shared" si="176"/>
        <v>0.89184531148497315</v>
      </c>
      <c r="CM26" s="331">
        <f t="shared" si="176"/>
        <v>0.70396196513470644</v>
      </c>
      <c r="CN26" s="331">
        <f>CN25/CL25-1</f>
        <v>-7.5858444288717353E-2</v>
      </c>
    </row>
    <row r="27" spans="1:94">
      <c r="A27" s="171" t="s">
        <v>890</v>
      </c>
      <c r="B27" s="839" t="s">
        <v>501</v>
      </c>
      <c r="C27" s="965"/>
      <c r="D27" s="263"/>
      <c r="E27" s="263"/>
      <c r="F27" s="304">
        <f>F25/F90</f>
        <v>0.17614062697598609</v>
      </c>
      <c r="G27" s="304">
        <f t="shared" ref="G27:T27" si="177">G25/G7</f>
        <v>0.17798110784181517</v>
      </c>
      <c r="H27" s="304">
        <f t="shared" si="177"/>
        <v>0.17188299327178169</v>
      </c>
      <c r="I27" s="304">
        <f t="shared" si="177"/>
        <v>0.17074795336538309</v>
      </c>
      <c r="J27" s="304">
        <f t="shared" si="177"/>
        <v>0.16047438168815537</v>
      </c>
      <c r="K27" s="304">
        <f t="shared" si="177"/>
        <v>0.15313655961727343</v>
      </c>
      <c r="L27" s="304">
        <f t="shared" si="177"/>
        <v>0.14736862911244353</v>
      </c>
      <c r="M27" s="304">
        <f t="shared" si="177"/>
        <v>0.14500278253738116</v>
      </c>
      <c r="N27" s="304">
        <f t="shared" si="177"/>
        <v>0.14493252182223013</v>
      </c>
      <c r="O27" s="304">
        <f t="shared" si="177"/>
        <v>0.14951825441077926</v>
      </c>
      <c r="P27" s="304">
        <f t="shared" si="177"/>
        <v>0.1515342763873776</v>
      </c>
      <c r="Q27" s="304">
        <f t="shared" si="177"/>
        <v>0.15189672122912645</v>
      </c>
      <c r="R27" s="304">
        <f t="shared" si="177"/>
        <v>0.15286971788564283</v>
      </c>
      <c r="S27" s="304">
        <f t="shared" si="177"/>
        <v>0.15257606145151797</v>
      </c>
      <c r="T27" s="304">
        <f t="shared" si="177"/>
        <v>0.15748045486851459</v>
      </c>
      <c r="U27" s="304">
        <f t="shared" ref="U27:AD27" si="178">U25/U7</f>
        <v>0.15539150606188817</v>
      </c>
      <c r="V27" s="304">
        <f>V25/V7</f>
        <v>0.14665556625126833</v>
      </c>
      <c r="W27" s="304">
        <f>W25/W7</f>
        <v>0.16484192397588882</v>
      </c>
      <c r="X27" s="304">
        <f t="shared" si="178"/>
        <v>0.15498992290671293</v>
      </c>
      <c r="Y27" s="304">
        <f>Y25/Y7</f>
        <v>0.12217160592711254</v>
      </c>
      <c r="Z27" s="304">
        <f>Z25/Z7</f>
        <v>0.12638580931263857</v>
      </c>
      <c r="AA27" s="304">
        <f t="shared" si="178"/>
        <v>0.12425968253166475</v>
      </c>
      <c r="AB27" s="304">
        <f>AB25/AB7</f>
        <v>0.10388164818262773</v>
      </c>
      <c r="AC27" s="304">
        <f>AC25/AC7</f>
        <v>0.1263679589423633</v>
      </c>
      <c r="AD27" s="304">
        <f t="shared" si="178"/>
        <v>0.11405210798443266</v>
      </c>
      <c r="AE27" s="304">
        <f t="shared" ref="AE27:AI27" si="179">AE25/AE7</f>
        <v>0.11012382245258959</v>
      </c>
      <c r="AF27" s="304">
        <f t="shared" si="179"/>
        <v>0.12152761887327809</v>
      </c>
      <c r="AG27" s="618">
        <f t="shared" si="179"/>
        <v>0.11576039861351821</v>
      </c>
      <c r="AH27" s="618">
        <f t="shared" ref="AH27" si="180">AH25/AH7</f>
        <v>0.11541157525812255</v>
      </c>
      <c r="AI27" s="563">
        <f t="shared" si="179"/>
        <v>0.13342073184755859</v>
      </c>
      <c r="AJ27" s="618">
        <f t="shared" ref="AJ27:AK27" si="181">AJ25/AJ7</f>
        <v>0.12354566608493307</v>
      </c>
      <c r="AK27" s="618">
        <f t="shared" si="181"/>
        <v>0.12429050192751009</v>
      </c>
      <c r="AL27" s="618">
        <f t="shared" ref="AL27:AV27" si="182">AL25/AL7</f>
        <v>0.138703925242083</v>
      </c>
      <c r="AM27" s="618">
        <f t="shared" si="182"/>
        <v>0.13094741670489138</v>
      </c>
      <c r="AN27" s="618">
        <f t="shared" si="182"/>
        <v>0.12491182279909709</v>
      </c>
      <c r="AO27" s="304">
        <f>AO25/AO7</f>
        <v>0.14034477110801732</v>
      </c>
      <c r="AP27" s="618">
        <f t="shared" si="182"/>
        <v>0.13205366278849434</v>
      </c>
      <c r="AQ27" s="1540">
        <f t="shared" ref="AQ27" si="183">AQ25/AQ7</f>
        <v>0.1262715067457644</v>
      </c>
      <c r="AR27" s="304">
        <f t="shared" si="182"/>
        <v>0.14071298123239359</v>
      </c>
      <c r="AS27" s="304">
        <f t="shared" si="182"/>
        <v>0.13283201136281012</v>
      </c>
      <c r="AT27" s="304">
        <f t="shared" si="182"/>
        <v>0.12617796110671428</v>
      </c>
      <c r="AU27" s="304">
        <f t="shared" si="182"/>
        <v>0.1403235447944666</v>
      </c>
      <c r="AV27" s="304">
        <f t="shared" si="182"/>
        <v>0.13261085669338946</v>
      </c>
      <c r="AW27" s="304">
        <f t="shared" ref="AW27:AY27" si="184">AW25/AW7</f>
        <v>0.12580120894010632</v>
      </c>
      <c r="AX27" s="304">
        <f t="shared" si="184"/>
        <v>0.14048408426263062</v>
      </c>
      <c r="AY27" s="304">
        <f t="shared" si="184"/>
        <v>0.13246289811513579</v>
      </c>
      <c r="AZ27" s="304">
        <f t="shared" ref="AZ27:BB27" si="185">AZ25/AZ7</f>
        <v>0.12566658305701775</v>
      </c>
      <c r="BA27" s="304">
        <f t="shared" si="185"/>
        <v>0.14031488532855649</v>
      </c>
      <c r="BB27" s="304">
        <f t="shared" si="185"/>
        <v>0.13231257697739407</v>
      </c>
      <c r="BC27" s="563"/>
      <c r="BD27" s="328"/>
      <c r="BE27" s="328"/>
      <c r="BF27" s="328"/>
      <c r="BG27" s="328"/>
      <c r="BH27" s="318"/>
      <c r="BI27" s="322"/>
      <c r="BJ27" s="322"/>
      <c r="BK27" s="328">
        <f t="shared" ref="BK27:CK27" si="186">BK25/BK90</f>
        <v>0</v>
      </c>
      <c r="BL27" s="328">
        <f t="shared" si="186"/>
        <v>0</v>
      </c>
      <c r="BM27" s="328">
        <f t="shared" si="186"/>
        <v>0</v>
      </c>
      <c r="BN27" s="328">
        <f t="shared" si="186"/>
        <v>0</v>
      </c>
      <c r="BO27" s="328">
        <f t="shared" si="186"/>
        <v>0</v>
      </c>
      <c r="BP27" s="328">
        <f t="shared" si="186"/>
        <v>0</v>
      </c>
      <c r="BQ27" s="328">
        <f t="shared" si="186"/>
        <v>0</v>
      </c>
      <c r="BR27" s="328">
        <f t="shared" si="186"/>
        <v>0</v>
      </c>
      <c r="BS27" s="328">
        <f t="shared" si="186"/>
        <v>0</v>
      </c>
      <c r="BT27" s="328">
        <f t="shared" si="186"/>
        <v>0</v>
      </c>
      <c r="BU27" s="328">
        <f t="shared" si="186"/>
        <v>0</v>
      </c>
      <c r="BV27" s="328">
        <f t="shared" si="186"/>
        <v>0</v>
      </c>
      <c r="BW27" s="328">
        <f t="shared" si="186"/>
        <v>0</v>
      </c>
      <c r="BX27" s="328">
        <f t="shared" si="186"/>
        <v>0</v>
      </c>
      <c r="BY27" s="328">
        <f t="shared" si="186"/>
        <v>0</v>
      </c>
      <c r="BZ27" s="328">
        <f t="shared" si="186"/>
        <v>0</v>
      </c>
      <c r="CA27" s="328">
        <f t="shared" si="186"/>
        <v>0</v>
      </c>
      <c r="CB27" s="328">
        <f t="shared" si="186"/>
        <v>0</v>
      </c>
      <c r="CC27" s="328">
        <f t="shared" si="186"/>
        <v>0</v>
      </c>
      <c r="CD27" s="328">
        <f t="shared" si="186"/>
        <v>0</v>
      </c>
      <c r="CE27" s="328">
        <f t="shared" si="186"/>
        <v>0.13887034523500838</v>
      </c>
      <c r="CF27" s="328">
        <f t="shared" si="186"/>
        <v>0.16826391209838926</v>
      </c>
      <c r="CG27" s="328">
        <f t="shared" si="186"/>
        <v>0.14172876546702845</v>
      </c>
      <c r="CH27" s="328">
        <f t="shared" si="186"/>
        <v>0.16584765273967569</v>
      </c>
      <c r="CI27" s="328">
        <f t="shared" si="186"/>
        <v>0.14249743837091255</v>
      </c>
      <c r="CJ27" s="328">
        <f t="shared" si="186"/>
        <v>0.1641857807525916</v>
      </c>
      <c r="CK27" s="328">
        <f t="shared" si="186"/>
        <v>0.13407844970464494</v>
      </c>
      <c r="CL27" s="328">
        <f t="shared" ref="CL27:CN27" si="187">CL25/CL7</f>
        <v>0.18952121654824355</v>
      </c>
      <c r="CM27" s="328">
        <f t="shared" si="187"/>
        <v>0.1456989538728386</v>
      </c>
      <c r="CN27" s="328">
        <f t="shared" si="187"/>
        <v>0.16669300047400859</v>
      </c>
    </row>
    <row r="28" spans="1:94">
      <c r="A28" s="171"/>
      <c r="B28" s="783" t="s">
        <v>502</v>
      </c>
      <c r="C28" s="965"/>
      <c r="D28" s="263"/>
      <c r="E28" s="263"/>
      <c r="F28" s="304"/>
      <c r="G28" s="304">
        <f t="shared" ref="G28:U28" si="188">G27-F27</f>
        <v>1.8404808658290805E-3</v>
      </c>
      <c r="H28" s="304">
        <f t="shared" si="188"/>
        <v>-6.0981145700334805E-3</v>
      </c>
      <c r="I28" s="304">
        <f t="shared" si="188"/>
        <v>-1.1350399063985994E-3</v>
      </c>
      <c r="J28" s="304">
        <f t="shared" si="188"/>
        <v>-1.0273571677227727E-2</v>
      </c>
      <c r="K28" s="304">
        <f t="shared" si="188"/>
        <v>-7.3378220708819331E-3</v>
      </c>
      <c r="L28" s="304">
        <f t="shared" si="188"/>
        <v>-5.7679305048299045E-3</v>
      </c>
      <c r="M28" s="304">
        <f t="shared" si="188"/>
        <v>-2.3658465750623636E-3</v>
      </c>
      <c r="N28" s="304">
        <f t="shared" si="188"/>
        <v>-7.0260715151038156E-5</v>
      </c>
      <c r="O28" s="304">
        <f t="shared" si="188"/>
        <v>4.5857325885491351E-3</v>
      </c>
      <c r="P28" s="304">
        <f t="shared" si="188"/>
        <v>2.0160219765983367E-3</v>
      </c>
      <c r="Q28" s="304">
        <f t="shared" si="188"/>
        <v>3.6244484174885461E-4</v>
      </c>
      <c r="R28" s="304">
        <f t="shared" si="188"/>
        <v>9.7299665651637279E-4</v>
      </c>
      <c r="S28" s="304">
        <f t="shared" si="188"/>
        <v>-2.9365643412485043E-4</v>
      </c>
      <c r="T28" s="304">
        <f t="shared" si="188"/>
        <v>4.9043934169966108E-3</v>
      </c>
      <c r="U28" s="304">
        <f t="shared" si="188"/>
        <v>-2.0889488066264117E-3</v>
      </c>
      <c r="V28" s="304">
        <f>V27-CM27</f>
        <v>9.5661237842972757E-4</v>
      </c>
      <c r="W28" s="304">
        <f>W27-CN27</f>
        <v>-1.8510764981197747E-3</v>
      </c>
      <c r="X28" s="304">
        <f>X27-U27</f>
        <v>-4.0158315517524468E-4</v>
      </c>
      <c r="Y28" s="304">
        <f>Y27-V27</f>
        <v>-2.4483960324155785E-2</v>
      </c>
      <c r="Z28" s="304">
        <f>Z27-W27</f>
        <v>-3.8456114663250246E-2</v>
      </c>
      <c r="AA28" s="304">
        <f>AA27-X27</f>
        <v>-3.0730240375048179E-2</v>
      </c>
      <c r="AB28" s="304">
        <f t="shared" ref="AB28:AN28" si="189">AB27-Y27</f>
        <v>-1.8289957744484817E-2</v>
      </c>
      <c r="AC28" s="304">
        <f t="shared" si="189"/>
        <v>-1.785037027526859E-5</v>
      </c>
      <c r="AD28" s="304">
        <f t="shared" si="189"/>
        <v>-1.020757454723209E-2</v>
      </c>
      <c r="AE28" s="304">
        <f t="shared" si="189"/>
        <v>6.2421742699618615E-3</v>
      </c>
      <c r="AF28" s="304">
        <f t="shared" si="189"/>
        <v>-4.8403400690852083E-3</v>
      </c>
      <c r="AG28" s="618">
        <f t="shared" si="189"/>
        <v>1.7082906290855487E-3</v>
      </c>
      <c r="AH28" s="618">
        <f t="shared" si="189"/>
        <v>5.2877528055329664E-3</v>
      </c>
      <c r="AI28" s="563">
        <f t="shared" ref="AI28" si="190">AI27-AF27</f>
        <v>1.1893112974280501E-2</v>
      </c>
      <c r="AJ28" s="618">
        <f t="shared" si="189"/>
        <v>7.785267471414864E-3</v>
      </c>
      <c r="AK28" s="618">
        <f t="shared" si="189"/>
        <v>8.8789266693875407E-3</v>
      </c>
      <c r="AL28" s="618">
        <f t="shared" ref="AL28" si="191">AL27-AI27</f>
        <v>5.2831933945244047E-3</v>
      </c>
      <c r="AM28" s="618">
        <f t="shared" si="189"/>
        <v>7.4017506199583055E-3</v>
      </c>
      <c r="AN28" s="618">
        <f t="shared" si="189"/>
        <v>6.2132087158699167E-4</v>
      </c>
      <c r="AO28" s="304">
        <f>AO27-AL27</f>
        <v>1.6408458659343261E-3</v>
      </c>
      <c r="AP28" s="618">
        <f>AP27-AM27</f>
        <v>1.1062460836029631E-3</v>
      </c>
      <c r="AQ28" s="1540">
        <f t="shared" ref="AQ28" si="192">AQ27-AN27</f>
        <v>1.3596839466673144E-3</v>
      </c>
      <c r="AR28" s="304">
        <f t="shared" ref="AR28" si="193">AR27-AO27</f>
        <v>3.6821012437626699E-4</v>
      </c>
      <c r="AS28" s="304">
        <f t="shared" ref="AS28" si="194">AS27-AP27</f>
        <v>7.7834857431577364E-4</v>
      </c>
      <c r="AT28" s="304">
        <f t="shared" ref="AT28" si="195">AT27-AQ27</f>
        <v>-9.3545639050118812E-5</v>
      </c>
      <c r="AU28" s="304">
        <f t="shared" ref="AU28" si="196">AU27-AR27</f>
        <v>-3.8943643792699323E-4</v>
      </c>
      <c r="AV28" s="304">
        <f t="shared" ref="AV28" si="197">AV27-AS27</f>
        <v>-2.2115466942065898E-4</v>
      </c>
      <c r="AW28" s="304">
        <f t="shared" ref="AW28" si="198">AW27-AT27</f>
        <v>-3.7675216660795763E-4</v>
      </c>
      <c r="AX28" s="304">
        <f t="shared" ref="AX28" si="199">AX27-AU27</f>
        <v>1.6053946816402265E-4</v>
      </c>
      <c r="AY28" s="304">
        <f t="shared" ref="AY28" si="200">AY27-AV27</f>
        <v>-1.4795857825367076E-4</v>
      </c>
      <c r="AZ28" s="304">
        <f t="shared" ref="AZ28" si="201">AZ27-AW27</f>
        <v>-1.3462588308857382E-4</v>
      </c>
      <c r="BA28" s="304">
        <f t="shared" ref="BA28" si="202">BA27-AX27</f>
        <v>-1.6919893407413289E-4</v>
      </c>
      <c r="BB28" s="304">
        <f t="shared" ref="BB28" si="203">BB27-AY27</f>
        <v>-1.5032113774171574E-4</v>
      </c>
      <c r="BC28" s="563"/>
      <c r="BD28" s="328"/>
      <c r="BE28" s="328"/>
      <c r="BF28" s="328"/>
      <c r="BG28" s="328"/>
      <c r="BH28" s="318"/>
      <c r="BI28" s="322"/>
      <c r="BJ28" s="322"/>
      <c r="BK28" s="328"/>
      <c r="BL28" s="328"/>
      <c r="BM28" s="328">
        <f t="shared" ref="BM28:CH28" si="204">BM27-BK27</f>
        <v>0</v>
      </c>
      <c r="BN28" s="328">
        <f t="shared" si="204"/>
        <v>0</v>
      </c>
      <c r="BO28" s="328">
        <f t="shared" si="204"/>
        <v>0</v>
      </c>
      <c r="BP28" s="328">
        <f t="shared" si="204"/>
        <v>0</v>
      </c>
      <c r="BQ28" s="328">
        <f t="shared" si="204"/>
        <v>0</v>
      </c>
      <c r="BR28" s="328">
        <f t="shared" si="204"/>
        <v>0</v>
      </c>
      <c r="BS28" s="328">
        <f t="shared" si="204"/>
        <v>0</v>
      </c>
      <c r="BT28" s="328">
        <f t="shared" si="204"/>
        <v>0</v>
      </c>
      <c r="BU28" s="328">
        <f t="shared" si="204"/>
        <v>0</v>
      </c>
      <c r="BV28" s="328">
        <f t="shared" si="204"/>
        <v>0</v>
      </c>
      <c r="BW28" s="328">
        <f t="shared" si="204"/>
        <v>0</v>
      </c>
      <c r="BX28" s="328">
        <f t="shared" si="204"/>
        <v>0</v>
      </c>
      <c r="BY28" s="328">
        <f t="shared" si="204"/>
        <v>0</v>
      </c>
      <c r="BZ28" s="328">
        <f t="shared" si="204"/>
        <v>0</v>
      </c>
      <c r="CA28" s="328">
        <f t="shared" si="204"/>
        <v>0</v>
      </c>
      <c r="CB28" s="328">
        <f t="shared" si="204"/>
        <v>0</v>
      </c>
      <c r="CC28" s="328">
        <f t="shared" si="204"/>
        <v>0</v>
      </c>
      <c r="CD28" s="328">
        <f t="shared" si="204"/>
        <v>0</v>
      </c>
      <c r="CE28" s="328">
        <f t="shared" si="204"/>
        <v>0.13887034523500838</v>
      </c>
      <c r="CF28" s="328">
        <f t="shared" si="204"/>
        <v>0.16826391209838926</v>
      </c>
      <c r="CG28" s="328">
        <f t="shared" si="204"/>
        <v>2.8584202320200702E-3</v>
      </c>
      <c r="CH28" s="328">
        <f t="shared" si="204"/>
        <v>-2.4162593587135628E-3</v>
      </c>
      <c r="CI28" s="328">
        <f t="shared" ref="CI28:CM28" si="205">CI27-CG27</f>
        <v>7.6867290388410447E-4</v>
      </c>
      <c r="CJ28" s="328">
        <f t="shared" si="205"/>
        <v>-1.6618719870840903E-3</v>
      </c>
      <c r="CK28" s="328">
        <f t="shared" si="205"/>
        <v>-8.4189886662676128E-3</v>
      </c>
      <c r="CL28" s="328">
        <f t="shared" si="205"/>
        <v>2.533543579565195E-2</v>
      </c>
      <c r="CM28" s="328">
        <f t="shared" si="205"/>
        <v>1.1620504168193657E-2</v>
      </c>
      <c r="CN28" s="328">
        <f>CN27-CL27</f>
        <v>-2.2828216074234964E-2</v>
      </c>
    </row>
    <row r="29" spans="1:94">
      <c r="A29" s="170"/>
      <c r="B29" s="966" t="s">
        <v>503</v>
      </c>
      <c r="C29" s="967"/>
      <c r="D29" s="616"/>
      <c r="E29" s="616"/>
      <c r="F29" s="968">
        <v>0.17599999999999999</v>
      </c>
      <c r="G29" s="968">
        <v>0.17799999999999999</v>
      </c>
      <c r="H29" s="968">
        <v>0.17219999999999999</v>
      </c>
      <c r="I29" s="968">
        <v>0.17069999999999999</v>
      </c>
      <c r="J29" s="968">
        <v>0.1605</v>
      </c>
      <c r="K29" s="968">
        <v>0.15310000000000001</v>
      </c>
      <c r="L29" s="968">
        <v>0.14729999999999999</v>
      </c>
      <c r="M29" s="968">
        <v>0.1449</v>
      </c>
      <c r="N29" s="968">
        <v>0.14499999999999999</v>
      </c>
      <c r="O29" s="968">
        <v>0.1492</v>
      </c>
      <c r="P29" s="968">
        <v>0.151</v>
      </c>
      <c r="Q29" s="968">
        <v>0.15190000000000001</v>
      </c>
      <c r="R29" s="968">
        <v>0.1525</v>
      </c>
      <c r="S29" s="968">
        <v>0.15240000000000001</v>
      </c>
      <c r="T29" s="968"/>
      <c r="U29" s="968">
        <v>0.15440000000000001</v>
      </c>
      <c r="V29" s="582"/>
      <c r="W29" s="582"/>
      <c r="X29" s="968">
        <v>0.1547</v>
      </c>
      <c r="Y29" s="582"/>
      <c r="Z29" s="582"/>
      <c r="AA29" s="968">
        <v>0.14560000000000001</v>
      </c>
      <c r="AB29" s="582"/>
      <c r="AC29" s="582"/>
      <c r="AD29" s="968">
        <v>0.1139</v>
      </c>
      <c r="AE29" s="582"/>
      <c r="AF29" s="582"/>
      <c r="AG29" s="1114">
        <v>0.11550000000000001</v>
      </c>
      <c r="AH29" s="1189">
        <v>0.1154</v>
      </c>
      <c r="AI29" s="648"/>
      <c r="AJ29" s="1189">
        <v>0.1235</v>
      </c>
      <c r="AK29" s="1247">
        <v>0.12429999999999999</v>
      </c>
      <c r="AL29" s="1361"/>
      <c r="AM29" s="1247">
        <v>0.13100000000000001</v>
      </c>
      <c r="AN29" s="1909">
        <v>0.1249</v>
      </c>
      <c r="AO29" s="582"/>
      <c r="AP29" s="1247"/>
      <c r="AQ29" s="1924">
        <v>0.1263</v>
      </c>
      <c r="AR29" s="582"/>
      <c r="AS29" s="206"/>
      <c r="AT29" s="582"/>
      <c r="AU29" s="582"/>
      <c r="AV29" s="206"/>
      <c r="AW29" s="582"/>
      <c r="AX29" s="582"/>
      <c r="AY29" s="206"/>
      <c r="AZ29" s="582"/>
      <c r="BA29" s="582"/>
      <c r="BB29" s="206"/>
      <c r="BC29" s="648"/>
      <c r="BD29" s="365"/>
      <c r="BE29" s="365"/>
      <c r="BF29" s="365"/>
      <c r="BG29" s="365"/>
      <c r="BH29" s="366"/>
      <c r="BI29" s="367"/>
      <c r="BJ29" s="367"/>
      <c r="BK29" s="365">
        <v>0.16500000000000001</v>
      </c>
      <c r="BL29" s="365"/>
      <c r="BM29" s="365">
        <v>0.156</v>
      </c>
      <c r="BN29" s="365"/>
      <c r="BO29" s="365">
        <v>0.158</v>
      </c>
      <c r="BP29" s="365"/>
      <c r="BQ29" s="443">
        <v>0.15</v>
      </c>
      <c r="BR29" s="443"/>
      <c r="BS29" s="443">
        <v>0.14299999999999999</v>
      </c>
      <c r="BT29" s="443"/>
      <c r="BU29" s="443">
        <v>0.13600000000000001</v>
      </c>
      <c r="BV29" s="443"/>
      <c r="BW29" s="443">
        <v>0.13200000000000001</v>
      </c>
      <c r="BX29" s="443"/>
      <c r="BY29" s="443">
        <v>0.13200000000000001</v>
      </c>
      <c r="BZ29" s="443"/>
      <c r="CA29" s="443">
        <v>0.13600000000000001</v>
      </c>
      <c r="CB29" s="443"/>
      <c r="CC29" s="443">
        <v>0.13800000000000001</v>
      </c>
      <c r="CD29" s="443"/>
      <c r="CE29" s="443">
        <v>0.13900000000000001</v>
      </c>
      <c r="CF29" s="365"/>
      <c r="CG29" s="365">
        <v>0.14169999999999999</v>
      </c>
      <c r="CH29" s="443"/>
      <c r="CI29" s="365">
        <v>0.14249999999999999</v>
      </c>
      <c r="CJ29" s="443"/>
      <c r="CK29" s="365">
        <v>0.1404</v>
      </c>
      <c r="CL29" s="365"/>
      <c r="CM29" s="365">
        <v>0.1457</v>
      </c>
      <c r="CN29" s="365"/>
    </row>
    <row r="30" spans="1:94">
      <c r="A30" s="170"/>
      <c r="B30" s="966"/>
      <c r="C30" s="967"/>
      <c r="D30" s="616"/>
      <c r="E30" s="616"/>
      <c r="F30" s="968"/>
      <c r="G30" s="968"/>
      <c r="H30" s="968"/>
      <c r="I30" s="968"/>
      <c r="J30" s="968"/>
      <c r="K30" s="968"/>
      <c r="L30" s="968"/>
      <c r="M30" s="968"/>
      <c r="N30" s="968"/>
      <c r="O30" s="968"/>
      <c r="P30" s="968"/>
      <c r="Q30" s="968"/>
      <c r="R30" s="968"/>
      <c r="S30" s="968"/>
      <c r="T30" s="968"/>
      <c r="U30" s="968"/>
      <c r="V30" s="582"/>
      <c r="W30" s="582"/>
      <c r="X30" s="968"/>
      <c r="Y30" s="582"/>
      <c r="Z30" s="582"/>
      <c r="AA30" s="968"/>
      <c r="AB30" s="582"/>
      <c r="AC30" s="582"/>
      <c r="AD30" s="968"/>
      <c r="AE30" s="582"/>
      <c r="AF30" s="582"/>
      <c r="AG30" s="1114"/>
      <c r="AH30" s="1189"/>
      <c r="AI30" s="648"/>
      <c r="AJ30" s="1236"/>
      <c r="AK30" s="1189"/>
      <c r="AL30" s="1189"/>
      <c r="AM30" s="1236"/>
      <c r="AN30" s="1189"/>
      <c r="AO30" s="582"/>
      <c r="AP30" s="1189"/>
      <c r="AQ30" s="1638"/>
      <c r="AR30" s="582"/>
      <c r="AS30" s="206"/>
      <c r="AT30" s="582"/>
      <c r="AU30" s="582"/>
      <c r="AV30" s="206"/>
      <c r="AW30" s="582"/>
      <c r="AX30" s="582"/>
      <c r="AY30" s="206"/>
      <c r="AZ30" s="582"/>
      <c r="BA30" s="582"/>
      <c r="BB30" s="206"/>
      <c r="BC30" s="648"/>
      <c r="BD30" s="365"/>
      <c r="BE30" s="365"/>
      <c r="BF30" s="365"/>
      <c r="BG30" s="365"/>
      <c r="BH30" s="366"/>
      <c r="BI30" s="367"/>
      <c r="BJ30" s="367"/>
      <c r="BK30" s="365"/>
      <c r="BL30" s="365"/>
      <c r="BM30" s="365"/>
      <c r="BN30" s="365"/>
      <c r="BO30" s="365"/>
      <c r="BP30" s="365"/>
      <c r="BQ30" s="443"/>
      <c r="BR30" s="443"/>
      <c r="BS30" s="443"/>
      <c r="BT30" s="443"/>
      <c r="BU30" s="443"/>
      <c r="BV30" s="443"/>
      <c r="BW30" s="443"/>
      <c r="BX30" s="443"/>
      <c r="BY30" s="443"/>
      <c r="BZ30" s="443"/>
      <c r="CA30" s="443"/>
      <c r="CB30" s="443"/>
      <c r="CC30" s="443"/>
      <c r="CD30" s="443"/>
      <c r="CE30" s="443"/>
      <c r="CF30" s="365"/>
      <c r="CG30" s="365"/>
      <c r="CH30" s="443"/>
      <c r="CI30" s="365"/>
      <c r="CJ30" s="443"/>
      <c r="CK30" s="365"/>
      <c r="CL30" s="365"/>
      <c r="CM30" s="365"/>
      <c r="CN30" s="365"/>
    </row>
    <row r="31" spans="1:94">
      <c r="A31" s="165"/>
      <c r="B31" s="782" t="s">
        <v>728</v>
      </c>
      <c r="C31" s="952"/>
      <c r="D31" s="952"/>
      <c r="E31" s="952"/>
      <c r="F31" s="282">
        <f t="shared" ref="F31:X31" si="206">F262+F293</f>
        <v>0</v>
      </c>
      <c r="G31" s="282">
        <f t="shared" si="206"/>
        <v>0</v>
      </c>
      <c r="H31" s="282">
        <f t="shared" si="206"/>
        <v>0</v>
      </c>
      <c r="I31" s="282">
        <f t="shared" si="206"/>
        <v>0</v>
      </c>
      <c r="J31" s="282">
        <f t="shared" si="206"/>
        <v>0</v>
      </c>
      <c r="K31" s="282">
        <f t="shared" si="206"/>
        <v>116.99</v>
      </c>
      <c r="L31" s="282">
        <f t="shared" si="206"/>
        <v>160.715</v>
      </c>
      <c r="M31" s="282">
        <f t="shared" si="206"/>
        <v>198.387</v>
      </c>
      <c r="N31" s="282">
        <f t="shared" si="206"/>
        <v>223.3</v>
      </c>
      <c r="O31" s="282">
        <f t="shared" si="206"/>
        <v>192.21299999999999</v>
      </c>
      <c r="P31" s="282">
        <f t="shared" si="206"/>
        <v>210.98500000000001</v>
      </c>
      <c r="Q31" s="282">
        <f t="shared" si="206"/>
        <v>226.65</v>
      </c>
      <c r="R31" s="282">
        <f t="shared" si="206"/>
        <v>240.03100000000001</v>
      </c>
      <c r="S31" s="282">
        <f t="shared" si="206"/>
        <v>262.07600000000002</v>
      </c>
      <c r="T31" s="282">
        <f t="shared" si="206"/>
        <v>302.60000000000002</v>
      </c>
      <c r="U31" s="282">
        <f t="shared" si="206"/>
        <v>334.40000000000003</v>
      </c>
      <c r="V31" s="279">
        <f>V262+V293</f>
        <v>214</v>
      </c>
      <c r="W31" s="279">
        <f>W262+W293</f>
        <v>129.60000000000002</v>
      </c>
      <c r="X31" s="282">
        <f t="shared" si="206"/>
        <v>343.6</v>
      </c>
      <c r="Y31" s="279">
        <f>Y262+Y293</f>
        <v>282.90000000000003</v>
      </c>
      <c r="Z31" s="279">
        <f>Z262+Z293</f>
        <v>247.59999999999997</v>
      </c>
      <c r="AA31" s="279">
        <f t="shared" ref="AA31:AM31" si="207">AA262+AA293</f>
        <v>530.5</v>
      </c>
      <c r="AB31" s="279">
        <f>AB262+AB293</f>
        <v>406.5</v>
      </c>
      <c r="AC31" s="279">
        <f>AC262+AC293</f>
        <v>263.40000000000009</v>
      </c>
      <c r="AD31" s="279">
        <f t="shared" si="207"/>
        <v>669.90000000000009</v>
      </c>
      <c r="AE31" s="279">
        <f>AE262+AE293</f>
        <v>368.5</v>
      </c>
      <c r="AF31" s="279">
        <f>AF262+AF293</f>
        <v>324.29999999999995</v>
      </c>
      <c r="AG31" s="279">
        <f t="shared" si="207"/>
        <v>692.8</v>
      </c>
      <c r="AH31" s="279">
        <f>AH262+AH293</f>
        <v>417.40000000000003</v>
      </c>
      <c r="AI31" s="179">
        <f>AI262+AI293</f>
        <v>278.40000000000003</v>
      </c>
      <c r="AJ31" s="279">
        <f t="shared" ref="AJ31" si="208">AJ262+AJ293</f>
        <v>695.80000000000007</v>
      </c>
      <c r="AK31" s="279">
        <f>AK262+AK293</f>
        <v>369</v>
      </c>
      <c r="AL31" s="279">
        <f t="shared" si="207"/>
        <v>269.19999999999993</v>
      </c>
      <c r="AM31" s="279">
        <f t="shared" si="207"/>
        <v>638.19999999999993</v>
      </c>
      <c r="AN31" s="179">
        <f t="shared" ref="AN31:AV31" si="209">AN262+AN293</f>
        <v>396.49999999999994</v>
      </c>
      <c r="AO31" s="279">
        <f t="shared" si="209"/>
        <v>291.90000000000009</v>
      </c>
      <c r="AP31" s="179">
        <f>AP262+AP293</f>
        <v>688.40000000000009</v>
      </c>
      <c r="AQ31" s="1371">
        <f>AQ262+AQ293</f>
        <v>428.1</v>
      </c>
      <c r="AR31" s="279">
        <f t="shared" si="209"/>
        <v>303.34367674838404</v>
      </c>
      <c r="AS31" s="279">
        <f t="shared" si="209"/>
        <v>731.44367674838406</v>
      </c>
      <c r="AT31" s="279">
        <f t="shared" si="209"/>
        <v>436.62842825171845</v>
      </c>
      <c r="AU31" s="279">
        <f t="shared" si="209"/>
        <v>309.89469380744424</v>
      </c>
      <c r="AV31" s="279">
        <f t="shared" si="209"/>
        <v>746.52312205916269</v>
      </c>
      <c r="AW31" s="279">
        <f t="shared" ref="AW31:AY31" si="210">AW262+AW293</f>
        <v>459.10512011951539</v>
      </c>
      <c r="AX31" s="279">
        <f t="shared" si="210"/>
        <v>322.42474542979022</v>
      </c>
      <c r="AY31" s="279">
        <f t="shared" si="210"/>
        <v>781.52986554930567</v>
      </c>
      <c r="AZ31" s="279">
        <f t="shared" ref="AZ31:BB31" si="211">AZ262+AZ293</f>
        <v>480.45992419843975</v>
      </c>
      <c r="BA31" s="279">
        <f t="shared" si="211"/>
        <v>337.22883984143988</v>
      </c>
      <c r="BB31" s="279">
        <f t="shared" si="211"/>
        <v>817.68876403987963</v>
      </c>
      <c r="BC31" s="179"/>
      <c r="BD31" s="320"/>
      <c r="BE31" s="320"/>
      <c r="BF31" s="320"/>
      <c r="BG31" s="320"/>
      <c r="BH31" s="315"/>
      <c r="BI31" s="317"/>
      <c r="BJ31" s="317"/>
      <c r="BK31" s="320">
        <f t="shared" ref="BK31:CI31" si="212">BK34</f>
        <v>15.9</v>
      </c>
      <c r="BL31" s="320">
        <f t="shared" si="212"/>
        <v>9.9999999999999982</v>
      </c>
      <c r="BM31" s="320">
        <f t="shared" si="212"/>
        <v>27.1</v>
      </c>
      <c r="BN31" s="320">
        <f t="shared" si="212"/>
        <v>15.199999999999996</v>
      </c>
      <c r="BO31" s="320">
        <f t="shared" si="212"/>
        <v>34.700000000000003</v>
      </c>
      <c r="BP31" s="320">
        <f t="shared" si="212"/>
        <v>17.299999999999997</v>
      </c>
      <c r="BQ31" s="320">
        <f t="shared" si="212"/>
        <v>46.8</v>
      </c>
      <c r="BR31" s="320">
        <f t="shared" si="212"/>
        <v>29.588000000000008</v>
      </c>
      <c r="BS31" s="320">
        <f t="shared" si="212"/>
        <v>71.599999999999994</v>
      </c>
      <c r="BT31" s="320">
        <f t="shared" si="212"/>
        <v>45.39</v>
      </c>
      <c r="BU31" s="320">
        <f t="shared" si="212"/>
        <v>97.9</v>
      </c>
      <c r="BV31" s="320">
        <f t="shared" si="212"/>
        <v>62.814999999999998</v>
      </c>
      <c r="BW31" s="320">
        <f t="shared" si="212"/>
        <v>122.60299999999999</v>
      </c>
      <c r="BX31" s="320">
        <f t="shared" si="212"/>
        <v>75.784000000000006</v>
      </c>
      <c r="BY31" s="320">
        <f t="shared" si="212"/>
        <v>140.29</v>
      </c>
      <c r="BZ31" s="320">
        <f t="shared" si="212"/>
        <v>83.010000000000019</v>
      </c>
      <c r="CA31" s="320">
        <f t="shared" si="212"/>
        <v>136.1</v>
      </c>
      <c r="CB31" s="320">
        <f t="shared" si="212"/>
        <v>56.113</v>
      </c>
      <c r="CC31" s="320">
        <f t="shared" si="212"/>
        <v>139.80000000000001</v>
      </c>
      <c r="CD31" s="320">
        <f t="shared" si="212"/>
        <v>71.185000000000002</v>
      </c>
      <c r="CE31" s="320">
        <f t="shared" si="212"/>
        <v>150.30000000000001</v>
      </c>
      <c r="CF31" s="320">
        <f>Q31-CE31</f>
        <v>76.349999999999994</v>
      </c>
      <c r="CG31" s="320">
        <f t="shared" si="212"/>
        <v>148.745</v>
      </c>
      <c r="CH31" s="320">
        <f>R31-CG31</f>
        <v>91.286000000000001</v>
      </c>
      <c r="CI31" s="320">
        <f t="shared" si="212"/>
        <v>157.935</v>
      </c>
      <c r="CJ31" s="320">
        <f>S31-CI31</f>
        <v>104.14100000000002</v>
      </c>
      <c r="CK31" s="316">
        <f>CK262+CK293</f>
        <v>187.8</v>
      </c>
      <c r="CL31" s="320">
        <f>T31-CK31</f>
        <v>114.80000000000001</v>
      </c>
      <c r="CM31" s="320">
        <f t="shared" ref="CM31:CN31" si="213">CM262+CM293</f>
        <v>205.9</v>
      </c>
      <c r="CN31" s="320">
        <f t="shared" si="213"/>
        <v>128.50000000000003</v>
      </c>
    </row>
    <row r="32" spans="1:94">
      <c r="A32" s="165" t="s">
        <v>761</v>
      </c>
      <c r="B32" s="782" t="s">
        <v>729</v>
      </c>
      <c r="C32" s="958"/>
      <c r="D32" s="958"/>
      <c r="E32" s="958"/>
      <c r="F32" s="303"/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  <c r="T32" s="279">
        <f>T342</f>
        <v>57.7</v>
      </c>
      <c r="U32" s="279">
        <f>U342</f>
        <v>77.3</v>
      </c>
      <c r="V32" s="279">
        <f>V342</f>
        <v>50.3</v>
      </c>
      <c r="W32" s="279">
        <f>W342</f>
        <v>35.199999999999989</v>
      </c>
      <c r="X32" s="279">
        <f t="shared" ref="X32:AM32" si="214">X342</f>
        <v>85.5</v>
      </c>
      <c r="Y32" s="279">
        <f>Y342</f>
        <v>89.2</v>
      </c>
      <c r="Z32" s="279">
        <f>Z342</f>
        <v>98.19999999999996</v>
      </c>
      <c r="AA32" s="279">
        <f t="shared" si="214"/>
        <v>187.39999999999998</v>
      </c>
      <c r="AB32" s="279">
        <f>AB342</f>
        <v>165.4</v>
      </c>
      <c r="AC32" s="279">
        <f>AC342</f>
        <v>126.29999999999998</v>
      </c>
      <c r="AD32" s="279">
        <f t="shared" si="214"/>
        <v>291.7</v>
      </c>
      <c r="AE32" s="279">
        <f t="shared" ref="AE32:AF32" si="215">AE342</f>
        <v>160.5</v>
      </c>
      <c r="AF32" s="279">
        <f t="shared" si="215"/>
        <v>160.60000000000002</v>
      </c>
      <c r="AG32" s="279">
        <f t="shared" si="214"/>
        <v>321.10000000000002</v>
      </c>
      <c r="AH32" s="279">
        <f t="shared" si="214"/>
        <v>175.2</v>
      </c>
      <c r="AI32" s="179">
        <f t="shared" ref="AI32:AK32" si="216">AI342</f>
        <v>122.19999999999999</v>
      </c>
      <c r="AJ32" s="279">
        <f t="shared" si="216"/>
        <v>297.39999999999998</v>
      </c>
      <c r="AK32" s="279">
        <f t="shared" si="216"/>
        <v>136.19999999999999</v>
      </c>
      <c r="AL32" s="279">
        <f t="shared" si="214"/>
        <v>109.9</v>
      </c>
      <c r="AM32" s="279">
        <f t="shared" si="214"/>
        <v>246.1</v>
      </c>
      <c r="AN32" s="179">
        <f t="shared" ref="AN32:AV32" si="217">AN342</f>
        <v>144.80000000000001</v>
      </c>
      <c r="AO32" s="279">
        <f t="shared" si="217"/>
        <v>121.59999999999997</v>
      </c>
      <c r="AP32" s="179">
        <f t="shared" si="217"/>
        <v>266.39999999999998</v>
      </c>
      <c r="AQ32" s="1371">
        <f t="shared" si="217"/>
        <v>154.1</v>
      </c>
      <c r="AR32" s="279">
        <f t="shared" si="217"/>
        <v>123.70794321596244</v>
      </c>
      <c r="AS32" s="279">
        <f t="shared" si="217"/>
        <v>277.80794321596244</v>
      </c>
      <c r="AT32" s="279">
        <f t="shared" si="217"/>
        <v>157.09456999999998</v>
      </c>
      <c r="AU32" s="279">
        <f t="shared" si="217"/>
        <v>125.9972297370893</v>
      </c>
      <c r="AV32" s="279">
        <f t="shared" si="217"/>
        <v>283.09179973708927</v>
      </c>
      <c r="AW32" s="279">
        <f t="shared" ref="AW32:AY32" si="218">AW342</f>
        <v>162.59287994999997</v>
      </c>
      <c r="AX32" s="279">
        <f t="shared" si="218"/>
        <v>130.40713277788748</v>
      </c>
      <c r="AY32" s="279">
        <f t="shared" si="218"/>
        <v>293.00001272788745</v>
      </c>
      <c r="AZ32" s="279">
        <f t="shared" ref="AZ32:BB32" si="219">AZ342</f>
        <v>168.28363074825</v>
      </c>
      <c r="BA32" s="279">
        <f t="shared" si="219"/>
        <v>134.97138242511346</v>
      </c>
      <c r="BB32" s="279">
        <f t="shared" si="219"/>
        <v>303.25501317336347</v>
      </c>
      <c r="BC32" s="179"/>
      <c r="BD32" s="320"/>
      <c r="BE32" s="320"/>
      <c r="BF32" s="320"/>
      <c r="BG32" s="320"/>
      <c r="BH32" s="315"/>
      <c r="BI32" s="317"/>
      <c r="BJ32" s="317"/>
      <c r="BK32" s="320"/>
      <c r="BL32" s="320"/>
      <c r="BM32" s="320"/>
      <c r="BN32" s="320"/>
      <c r="BO32" s="320"/>
      <c r="BP32" s="320"/>
      <c r="BQ32" s="320"/>
      <c r="BR32" s="320"/>
      <c r="BS32" s="320"/>
      <c r="BT32" s="320"/>
      <c r="BU32" s="320"/>
      <c r="BV32" s="320"/>
      <c r="BW32" s="320"/>
      <c r="BX32" s="320"/>
      <c r="BY32" s="320"/>
      <c r="BZ32" s="320"/>
      <c r="CA32" s="320"/>
      <c r="CB32" s="320"/>
      <c r="CC32" s="320"/>
      <c r="CD32" s="320"/>
      <c r="CE32" s="320"/>
      <c r="CF32" s="320"/>
      <c r="CG32" s="320"/>
      <c r="CH32" s="320"/>
      <c r="CI32" s="320"/>
      <c r="CJ32" s="320"/>
      <c r="CK32" s="320">
        <f t="shared" ref="CK32:CN32" si="220">CK342</f>
        <v>16.100000000000001</v>
      </c>
      <c r="CL32" s="320">
        <f t="shared" si="220"/>
        <v>41.6</v>
      </c>
      <c r="CM32" s="320">
        <f t="shared" si="220"/>
        <v>50.4</v>
      </c>
      <c r="CN32" s="320">
        <f t="shared" si="220"/>
        <v>26.900000000000006</v>
      </c>
      <c r="CP32" s="1340"/>
    </row>
    <row r="33" spans="1:95">
      <c r="A33" s="177" t="s">
        <v>195</v>
      </c>
      <c r="B33" s="953" t="s">
        <v>195</v>
      </c>
      <c r="C33" s="954"/>
      <c r="D33" s="305">
        <f t="shared" ref="D33:J33" si="221">D34</f>
        <v>7.5709999999999997</v>
      </c>
      <c r="E33" s="305">
        <f t="shared" si="221"/>
        <v>13.632999999999999</v>
      </c>
      <c r="F33" s="305">
        <f t="shared" si="221"/>
        <v>18.100000000000001</v>
      </c>
      <c r="G33" s="305">
        <f t="shared" si="221"/>
        <v>25.9</v>
      </c>
      <c r="H33" s="305">
        <f t="shared" si="221"/>
        <v>42.3</v>
      </c>
      <c r="I33" s="305">
        <f t="shared" si="221"/>
        <v>52</v>
      </c>
      <c r="J33" s="305">
        <f t="shared" si="221"/>
        <v>76.388000000000005</v>
      </c>
      <c r="K33" s="305">
        <f t="shared" ref="K33:S33" si="222">SUM(K31:K32)</f>
        <v>116.99</v>
      </c>
      <c r="L33" s="305">
        <f t="shared" si="222"/>
        <v>160.715</v>
      </c>
      <c r="M33" s="305">
        <f t="shared" si="222"/>
        <v>198.387</v>
      </c>
      <c r="N33" s="305">
        <f t="shared" si="222"/>
        <v>223.3</v>
      </c>
      <c r="O33" s="305">
        <f t="shared" si="222"/>
        <v>192.21299999999999</v>
      </c>
      <c r="P33" s="305">
        <f t="shared" si="222"/>
        <v>210.98500000000001</v>
      </c>
      <c r="Q33" s="305">
        <f t="shared" si="222"/>
        <v>226.65</v>
      </c>
      <c r="R33" s="305">
        <f t="shared" si="222"/>
        <v>240.03100000000001</v>
      </c>
      <c r="S33" s="305">
        <f t="shared" si="222"/>
        <v>262.07600000000002</v>
      </c>
      <c r="T33" s="280">
        <f t="shared" ref="T33:AD33" si="223">SUM(T31:T32)</f>
        <v>360.3</v>
      </c>
      <c r="U33" s="280">
        <f t="shared" si="223"/>
        <v>411.70000000000005</v>
      </c>
      <c r="V33" s="280">
        <f>SUM(V31:V32)</f>
        <v>264.3</v>
      </c>
      <c r="W33" s="280">
        <f>SUM(W31:W32)</f>
        <v>164.8</v>
      </c>
      <c r="X33" s="280">
        <f t="shared" si="223"/>
        <v>429.1</v>
      </c>
      <c r="Y33" s="280">
        <f>SUM(Y31:Y32)</f>
        <v>372.1</v>
      </c>
      <c r="Z33" s="280">
        <f>SUM(Z31:Z32)</f>
        <v>345.79999999999995</v>
      </c>
      <c r="AA33" s="280">
        <f t="shared" si="223"/>
        <v>717.9</v>
      </c>
      <c r="AB33" s="280">
        <f>SUM(AB31:AB32)</f>
        <v>571.9</v>
      </c>
      <c r="AC33" s="280">
        <f t="shared" ref="AC33" si="224">SUM(AC31:AC32)</f>
        <v>389.70000000000005</v>
      </c>
      <c r="AD33" s="280">
        <f t="shared" si="223"/>
        <v>961.60000000000014</v>
      </c>
      <c r="AE33" s="280">
        <f t="shared" ref="AE33:AI33" si="225">SUM(AE31:AE32)</f>
        <v>529</v>
      </c>
      <c r="AF33" s="280">
        <f t="shared" si="225"/>
        <v>484.9</v>
      </c>
      <c r="AG33" s="1113">
        <f t="shared" si="225"/>
        <v>1013.9</v>
      </c>
      <c r="AH33" s="1188">
        <f t="shared" ref="AH33" si="226">SUM(AH31:AH32)</f>
        <v>592.6</v>
      </c>
      <c r="AI33" s="201">
        <f t="shared" si="225"/>
        <v>400.6</v>
      </c>
      <c r="AJ33" s="1206">
        <f t="shared" ref="AJ33:AK33" si="227">SUM(AJ31:AJ32)</f>
        <v>993.2</v>
      </c>
      <c r="AK33" s="1188">
        <f t="shared" si="227"/>
        <v>505.2</v>
      </c>
      <c r="AL33" s="1188">
        <f t="shared" ref="AL33:AM33" si="228">SUM(AL31:AL32)</f>
        <v>379.09999999999991</v>
      </c>
      <c r="AM33" s="1582">
        <f t="shared" si="228"/>
        <v>884.3</v>
      </c>
      <c r="AN33" s="1582">
        <f>SUM(AN31:AN32)+AN386</f>
        <v>545.9</v>
      </c>
      <c r="AO33" s="280">
        <f t="shared" ref="AO33:BB33" si="229">SUM(AO31:AO32)+AO386</f>
        <v>420.70000000000005</v>
      </c>
      <c r="AP33" s="1582">
        <f>SUM(AP31:AP32)+AP386</f>
        <v>966.6</v>
      </c>
      <c r="AQ33" s="1639">
        <f>SUM(AQ31:AQ32)+AQ386</f>
        <v>589</v>
      </c>
      <c r="AR33" s="280">
        <f t="shared" si="229"/>
        <v>433.20684095882166</v>
      </c>
      <c r="AS33" s="280">
        <f t="shared" si="229"/>
        <v>1022.2068409588215</v>
      </c>
      <c r="AT33" s="280">
        <f t="shared" si="229"/>
        <v>600.72699825171844</v>
      </c>
      <c r="AU33" s="280">
        <f t="shared" si="229"/>
        <v>442.23180116884294</v>
      </c>
      <c r="AV33" s="280">
        <f t="shared" si="229"/>
        <v>1042.9587994205615</v>
      </c>
      <c r="AW33" s="280">
        <f t="shared" si="229"/>
        <v>628.91212006951537</v>
      </c>
      <c r="AX33" s="280">
        <f t="shared" si="229"/>
        <v>459.36195216071638</v>
      </c>
      <c r="AY33" s="280">
        <f t="shared" si="229"/>
        <v>1088.2740722302317</v>
      </c>
      <c r="AZ33" s="280">
        <f t="shared" si="229"/>
        <v>656.17409854668972</v>
      </c>
      <c r="BA33" s="280">
        <f t="shared" si="229"/>
        <v>478.92619843818318</v>
      </c>
      <c r="BB33" s="280">
        <f t="shared" si="229"/>
        <v>1135.1002969848728</v>
      </c>
      <c r="BC33" s="1206"/>
      <c r="BD33" s="360"/>
      <c r="BE33" s="360"/>
      <c r="BF33" s="360"/>
      <c r="BG33" s="360"/>
      <c r="BH33" s="357"/>
      <c r="BI33" s="358"/>
      <c r="BJ33" s="358"/>
      <c r="BK33" s="356">
        <f t="shared" ref="BK33:CN33" si="230">SUM(BK31:BK32)</f>
        <v>15.9</v>
      </c>
      <c r="BL33" s="356">
        <f t="shared" si="230"/>
        <v>9.9999999999999982</v>
      </c>
      <c r="BM33" s="356">
        <f t="shared" si="230"/>
        <v>27.1</v>
      </c>
      <c r="BN33" s="356">
        <f t="shared" si="230"/>
        <v>15.199999999999996</v>
      </c>
      <c r="BO33" s="356">
        <f t="shared" si="230"/>
        <v>34.700000000000003</v>
      </c>
      <c r="BP33" s="356">
        <f t="shared" si="230"/>
        <v>17.299999999999997</v>
      </c>
      <c r="BQ33" s="356">
        <f t="shared" si="230"/>
        <v>46.8</v>
      </c>
      <c r="BR33" s="356">
        <f t="shared" si="230"/>
        <v>29.588000000000008</v>
      </c>
      <c r="BS33" s="356">
        <f t="shared" si="230"/>
        <v>71.599999999999994</v>
      </c>
      <c r="BT33" s="356">
        <f t="shared" si="230"/>
        <v>45.39</v>
      </c>
      <c r="BU33" s="356">
        <f t="shared" si="230"/>
        <v>97.9</v>
      </c>
      <c r="BV33" s="356">
        <f t="shared" si="230"/>
        <v>62.814999999999998</v>
      </c>
      <c r="BW33" s="356">
        <f t="shared" si="230"/>
        <v>122.60299999999999</v>
      </c>
      <c r="BX33" s="356">
        <f t="shared" si="230"/>
        <v>75.784000000000006</v>
      </c>
      <c r="BY33" s="356">
        <f t="shared" si="230"/>
        <v>140.29</v>
      </c>
      <c r="BZ33" s="356">
        <f t="shared" si="230"/>
        <v>83.010000000000019</v>
      </c>
      <c r="CA33" s="356">
        <f t="shared" si="230"/>
        <v>136.1</v>
      </c>
      <c r="CB33" s="356">
        <f t="shared" si="230"/>
        <v>56.113</v>
      </c>
      <c r="CC33" s="356">
        <f t="shared" si="230"/>
        <v>139.80000000000001</v>
      </c>
      <c r="CD33" s="356">
        <f t="shared" si="230"/>
        <v>71.185000000000002</v>
      </c>
      <c r="CE33" s="356">
        <f t="shared" si="230"/>
        <v>150.30000000000001</v>
      </c>
      <c r="CF33" s="356">
        <f t="shared" si="230"/>
        <v>76.349999999999994</v>
      </c>
      <c r="CG33" s="356">
        <f t="shared" si="230"/>
        <v>148.745</v>
      </c>
      <c r="CH33" s="356">
        <f t="shared" si="230"/>
        <v>91.286000000000001</v>
      </c>
      <c r="CI33" s="356">
        <f t="shared" si="230"/>
        <v>157.935</v>
      </c>
      <c r="CJ33" s="356">
        <f t="shared" si="230"/>
        <v>104.14100000000002</v>
      </c>
      <c r="CK33" s="356">
        <f>SUM(CK31:CK32)</f>
        <v>203.9</v>
      </c>
      <c r="CL33" s="356">
        <f t="shared" si="230"/>
        <v>156.4</v>
      </c>
      <c r="CM33" s="360">
        <f>SUM(CM31:CM32)</f>
        <v>256.3</v>
      </c>
      <c r="CN33" s="360">
        <f t="shared" si="230"/>
        <v>155.40000000000003</v>
      </c>
    </row>
    <row r="34" spans="1:95">
      <c r="A34" s="281"/>
      <c r="B34" s="961" t="s">
        <v>505</v>
      </c>
      <c r="C34" s="969"/>
      <c r="D34" s="837">
        <v>7.5709999999999997</v>
      </c>
      <c r="E34" s="837">
        <v>13.632999999999999</v>
      </c>
      <c r="F34" s="837">
        <v>18.100000000000001</v>
      </c>
      <c r="G34" s="837">
        <v>25.9</v>
      </c>
      <c r="H34" s="837">
        <v>42.3</v>
      </c>
      <c r="I34" s="837">
        <v>52</v>
      </c>
      <c r="J34" s="837">
        <v>76.388000000000005</v>
      </c>
      <c r="K34" s="837">
        <v>116.99</v>
      </c>
      <c r="L34" s="837">
        <v>160.715</v>
      </c>
      <c r="M34" s="837">
        <v>198.387</v>
      </c>
      <c r="N34" s="837">
        <v>223.3</v>
      </c>
      <c r="O34" s="837">
        <v>192.21299999999999</v>
      </c>
      <c r="P34" s="837">
        <v>210.98500000000001</v>
      </c>
      <c r="Q34" s="837">
        <v>226.65</v>
      </c>
      <c r="R34" s="837">
        <v>240.03100000000001</v>
      </c>
      <c r="S34" s="837">
        <v>262.07600000000002</v>
      </c>
      <c r="T34" s="837">
        <v>360.3</v>
      </c>
      <c r="U34" s="837">
        <v>411.7</v>
      </c>
      <c r="V34" s="838">
        <v>264.3</v>
      </c>
      <c r="W34" s="280">
        <f>X34-V34</f>
        <v>164.8</v>
      </c>
      <c r="X34" s="837">
        <v>429.1</v>
      </c>
      <c r="Y34" s="838">
        <v>372.1</v>
      </c>
      <c r="Z34" s="280">
        <f>AA34-Y34</f>
        <v>360.1</v>
      </c>
      <c r="AA34" s="837">
        <f>540.9+191.3</f>
        <v>732.2</v>
      </c>
      <c r="AB34" s="838">
        <v>571.9</v>
      </c>
      <c r="AC34" s="280">
        <f>AC22-AC25</f>
        <v>389.70000000000005</v>
      </c>
      <c r="AD34" s="837">
        <v>961.6</v>
      </c>
      <c r="AE34" s="838">
        <v>529</v>
      </c>
      <c r="AF34" s="280">
        <f>AF22-AF25</f>
        <v>484.9</v>
      </c>
      <c r="AG34" s="1115">
        <v>1013.9</v>
      </c>
      <c r="AH34" s="1190">
        <v>592.6</v>
      </c>
      <c r="AI34" s="201">
        <f>AI33</f>
        <v>400.6</v>
      </c>
      <c r="AJ34" s="1237">
        <v>993.2</v>
      </c>
      <c r="AK34" s="1248">
        <v>505.2</v>
      </c>
      <c r="AL34" s="1188">
        <f t="shared" ref="AL34:BB34" si="231">AL33</f>
        <v>379.09999999999991</v>
      </c>
      <c r="AM34" s="1535">
        <v>884.3</v>
      </c>
      <c r="AN34" s="1893">
        <v>545.9</v>
      </c>
      <c r="AO34" s="280">
        <f t="shared" si="231"/>
        <v>420.70000000000005</v>
      </c>
      <c r="AP34" s="1702">
        <v>952.9</v>
      </c>
      <c r="AQ34" s="1731">
        <v>589</v>
      </c>
      <c r="AR34" s="280">
        <f t="shared" si="231"/>
        <v>433.20684095882166</v>
      </c>
      <c r="AS34" s="201">
        <f t="shared" si="231"/>
        <v>1022.2068409588215</v>
      </c>
      <c r="AT34" s="280">
        <f t="shared" si="231"/>
        <v>600.72699825171844</v>
      </c>
      <c r="AU34" s="280">
        <f t="shared" si="231"/>
        <v>442.23180116884294</v>
      </c>
      <c r="AV34" s="201">
        <f t="shared" si="231"/>
        <v>1042.9587994205615</v>
      </c>
      <c r="AW34" s="280">
        <f t="shared" si="231"/>
        <v>628.91212006951537</v>
      </c>
      <c r="AX34" s="280">
        <f t="shared" si="231"/>
        <v>459.36195216071638</v>
      </c>
      <c r="AY34" s="201">
        <f t="shared" si="231"/>
        <v>1088.2740722302317</v>
      </c>
      <c r="AZ34" s="280">
        <f t="shared" si="231"/>
        <v>656.17409854668972</v>
      </c>
      <c r="BA34" s="280">
        <f t="shared" si="231"/>
        <v>478.92619843818318</v>
      </c>
      <c r="BB34" s="201">
        <f t="shared" si="231"/>
        <v>1135.1002969848728</v>
      </c>
      <c r="BC34" s="1206"/>
      <c r="BD34" s="360"/>
      <c r="BE34" s="360"/>
      <c r="BF34" s="360"/>
      <c r="BG34" s="360"/>
      <c r="BH34" s="361"/>
      <c r="BI34" s="362"/>
      <c r="BJ34" s="362"/>
      <c r="BK34" s="468">
        <v>15.9</v>
      </c>
      <c r="BL34" s="489">
        <f>G34-BK34</f>
        <v>9.9999999999999982</v>
      </c>
      <c r="BM34" s="468">
        <v>27.1</v>
      </c>
      <c r="BN34" s="489">
        <f>H34-BM34</f>
        <v>15.199999999999996</v>
      </c>
      <c r="BO34" s="468">
        <v>34.700000000000003</v>
      </c>
      <c r="BP34" s="489">
        <f>I34-BO34</f>
        <v>17.299999999999997</v>
      </c>
      <c r="BQ34" s="468">
        <v>46.8</v>
      </c>
      <c r="BR34" s="489">
        <f>J34-BQ34</f>
        <v>29.588000000000008</v>
      </c>
      <c r="BS34" s="468">
        <v>71.599999999999994</v>
      </c>
      <c r="BT34" s="489">
        <f>K34-BS34</f>
        <v>45.39</v>
      </c>
      <c r="BU34" s="468">
        <v>97.9</v>
      </c>
      <c r="BV34" s="489">
        <f>L34-BU34</f>
        <v>62.814999999999998</v>
      </c>
      <c r="BW34" s="468">
        <v>122.60299999999999</v>
      </c>
      <c r="BX34" s="489">
        <f>M34-BW34</f>
        <v>75.784000000000006</v>
      </c>
      <c r="BY34" s="468">
        <v>140.29</v>
      </c>
      <c r="BZ34" s="489">
        <f>N34-BY34</f>
        <v>83.010000000000019</v>
      </c>
      <c r="CA34" s="468">
        <v>136.1</v>
      </c>
      <c r="CB34" s="489">
        <f>O34-CA34</f>
        <v>56.113</v>
      </c>
      <c r="CC34" s="468">
        <v>139.80000000000001</v>
      </c>
      <c r="CD34" s="508">
        <f>P34-CC34</f>
        <v>71.185000000000002</v>
      </c>
      <c r="CE34" s="509">
        <v>150.30000000000001</v>
      </c>
      <c r="CF34" s="508">
        <f>Q34-CE34</f>
        <v>76.349999999999994</v>
      </c>
      <c r="CG34" s="509">
        <v>148.745</v>
      </c>
      <c r="CH34" s="509">
        <f>R34-CG34</f>
        <v>91.286000000000001</v>
      </c>
      <c r="CI34" s="509">
        <v>157.935</v>
      </c>
      <c r="CJ34" s="356">
        <f>S34-CI34</f>
        <v>104.14100000000002</v>
      </c>
      <c r="CK34" s="509">
        <v>203.9</v>
      </c>
      <c r="CL34" s="356">
        <f>T34-CK34</f>
        <v>156.4</v>
      </c>
      <c r="CM34" s="468">
        <v>256.3</v>
      </c>
      <c r="CN34" s="360">
        <f>U34-CM34</f>
        <v>155.39999999999998</v>
      </c>
      <c r="CP34" s="1340"/>
      <c r="CQ34" s="1340"/>
    </row>
    <row r="35" spans="1:95">
      <c r="A35" s="339"/>
      <c r="B35" s="955" t="s">
        <v>783</v>
      </c>
      <c r="C35" s="970"/>
      <c r="D35" s="840"/>
      <c r="E35" s="840"/>
      <c r="F35" s="840"/>
      <c r="G35" s="840"/>
      <c r="H35" s="840"/>
      <c r="I35" s="840"/>
      <c r="J35" s="840"/>
      <c r="K35" s="840"/>
      <c r="L35" s="263">
        <f t="shared" ref="L35:S35" si="232">L34/L7</f>
        <v>6.9057426181622555E-2</v>
      </c>
      <c r="M35" s="263">
        <f t="shared" si="232"/>
        <v>7.2634110979306707E-2</v>
      </c>
      <c r="N35" s="263">
        <f t="shared" si="232"/>
        <v>7.5458232195760214E-2</v>
      </c>
      <c r="O35" s="263">
        <f t="shared" si="232"/>
        <v>6.1453255203670835E-2</v>
      </c>
      <c r="P35" s="263">
        <f t="shared" si="232"/>
        <v>6.3772518437915607E-2</v>
      </c>
      <c r="Q35" s="263">
        <f t="shared" si="232"/>
        <v>6.505873657167871E-2</v>
      </c>
      <c r="R35" s="263">
        <f t="shared" si="232"/>
        <v>6.5723456081591705E-2</v>
      </c>
      <c r="S35" s="263">
        <f t="shared" si="232"/>
        <v>6.6273406757471995E-2</v>
      </c>
      <c r="T35" s="263">
        <f t="shared" ref="T35:AM35" si="233">T34/T7</f>
        <v>6.4019189765458423E-2</v>
      </c>
      <c r="U35" s="263">
        <f t="shared" si="233"/>
        <v>6.0064485067767674E-2</v>
      </c>
      <c r="V35" s="304">
        <f>V34/V7</f>
        <v>6.8761870073106648E-2</v>
      </c>
      <c r="W35" s="304">
        <f>W34/W7</f>
        <v>5.0682740804527011E-2</v>
      </c>
      <c r="X35" s="263">
        <f t="shared" si="233"/>
        <v>6.0476653559398484E-2</v>
      </c>
      <c r="Y35" s="304">
        <f>Y34/Y7</f>
        <v>9.3136764116940343E-2</v>
      </c>
      <c r="Z35" s="304">
        <f>Z34/Z7</f>
        <v>9.1775619950556886E-2</v>
      </c>
      <c r="AA35" s="263">
        <f t="shared" si="233"/>
        <v>9.2462336940736731E-2</v>
      </c>
      <c r="AB35" s="304">
        <f>AB34/AB7</f>
        <v>0.11574111551849753</v>
      </c>
      <c r="AC35" s="304">
        <f>AC34/AC7</f>
        <v>9.8040202269239471E-2</v>
      </c>
      <c r="AD35" s="263">
        <f t="shared" si="233"/>
        <v>0.10784984466302532</v>
      </c>
      <c r="AE35" s="304">
        <f t="shared" ref="AE35:AJ35" si="234">AE34/AE7</f>
        <v>0.10880743757456086</v>
      </c>
      <c r="AF35" s="304">
        <f t="shared" si="234"/>
        <v>0.11095602031943617</v>
      </c>
      <c r="AG35" s="284">
        <f t="shared" si="234"/>
        <v>0.10982452339688041</v>
      </c>
      <c r="AH35" s="618">
        <f t="shared" si="234"/>
        <v>0.11226674244577059</v>
      </c>
      <c r="AI35" s="563">
        <f t="shared" si="234"/>
        <v>9.2136433680627447E-2</v>
      </c>
      <c r="AJ35" s="284">
        <f t="shared" si="234"/>
        <v>0.10317460317460318</v>
      </c>
      <c r="AK35" s="618">
        <f t="shared" ref="AK35" si="235">AK34/AK7</f>
        <v>9.7867147091300039E-2</v>
      </c>
      <c r="AL35" s="618">
        <f t="shared" si="233"/>
        <v>8.5569825971153188E-2</v>
      </c>
      <c r="AM35" s="284">
        <f t="shared" si="233"/>
        <v>9.2187565155748302E-2</v>
      </c>
      <c r="AN35" s="567">
        <f t="shared" ref="AN35:AV35" si="236">AN34/AN7</f>
        <v>9.627186794582393E-2</v>
      </c>
      <c r="AO35" s="304">
        <f t="shared" si="236"/>
        <v>8.6131356973220871E-2</v>
      </c>
      <c r="AP35" s="284">
        <f t="shared" si="236"/>
        <v>9.0281199075302215E-2</v>
      </c>
      <c r="AQ35" s="1540">
        <f t="shared" ref="AQ35" si="237">AQ34/AQ7</f>
        <v>9.679062659195109E-2</v>
      </c>
      <c r="AR35" s="304">
        <f t="shared" si="236"/>
        <v>8.5517645329160161E-2</v>
      </c>
      <c r="AS35" s="235">
        <f t="shared" si="236"/>
        <v>9.166951200694913E-2</v>
      </c>
      <c r="AT35" s="304">
        <f t="shared" si="236"/>
        <v>9.4823934659216416E-2</v>
      </c>
      <c r="AU35" s="304">
        <f t="shared" si="236"/>
        <v>8.3693177723616327E-2</v>
      </c>
      <c r="AV35" s="235">
        <f t="shared" si="236"/>
        <v>8.9762072331868878E-2</v>
      </c>
      <c r="AW35" s="304">
        <f t="shared" ref="AW35:AY35" si="238">AW34/AW7</f>
        <v>9.5084945342396796E-2</v>
      </c>
      <c r="AX35" s="304">
        <f t="shared" si="238"/>
        <v>8.3624021205784618E-2</v>
      </c>
      <c r="AY35" s="235">
        <f t="shared" si="238"/>
        <v>8.9885070482764923E-2</v>
      </c>
      <c r="AZ35" s="304">
        <f t="shared" ref="AZ35:BB35" si="239">AZ34/AZ7</f>
        <v>9.520138015940878E-2</v>
      </c>
      <c r="BA35" s="304">
        <f t="shared" si="239"/>
        <v>8.3665825063063234E-2</v>
      </c>
      <c r="BB35" s="235">
        <f t="shared" si="239"/>
        <v>8.9967652208051752E-2</v>
      </c>
      <c r="BC35" s="564"/>
      <c r="BD35" s="331"/>
      <c r="BE35" s="331"/>
      <c r="BF35" s="331"/>
      <c r="BG35" s="331"/>
      <c r="BH35" s="319"/>
      <c r="BI35" s="368"/>
      <c r="BJ35" s="368"/>
      <c r="BK35" s="469"/>
      <c r="BL35" s="510"/>
      <c r="BM35" s="469"/>
      <c r="BN35" s="510"/>
      <c r="BO35" s="469"/>
      <c r="BP35" s="510"/>
      <c r="BQ35" s="469"/>
      <c r="BR35" s="510"/>
      <c r="BS35" s="469"/>
      <c r="BT35" s="510"/>
      <c r="BU35" s="469"/>
      <c r="BV35" s="510"/>
      <c r="BW35" s="469"/>
      <c r="BX35" s="510"/>
      <c r="BY35" s="469"/>
      <c r="BZ35" s="510"/>
      <c r="CA35" s="469"/>
      <c r="CB35" s="510"/>
      <c r="CC35" s="469"/>
      <c r="CD35" s="510"/>
      <c r="CE35" s="469"/>
      <c r="CF35" s="510"/>
      <c r="CG35" s="469"/>
      <c r="CH35" s="469"/>
      <c r="CI35" s="469"/>
      <c r="CJ35" s="469"/>
      <c r="CK35" s="469"/>
      <c r="CL35" s="328">
        <f t="shared" ref="CL35:CN35" si="240">CL34/CL7</f>
        <v>5.1929078956105976E-2</v>
      </c>
      <c r="CM35" s="328">
        <f t="shared" si="240"/>
        <v>6.9461759444956361E-2</v>
      </c>
      <c r="CN35" s="328">
        <f t="shared" si="240"/>
        <v>4.9107283931110753E-2</v>
      </c>
    </row>
    <row r="36" spans="1:95">
      <c r="A36" s="165"/>
      <c r="B36" s="955" t="s">
        <v>7</v>
      </c>
      <c r="C36" s="952"/>
      <c r="D36" s="952"/>
      <c r="E36" s="263"/>
      <c r="F36" s="263"/>
      <c r="G36" s="263"/>
      <c r="H36" s="263"/>
      <c r="I36" s="263"/>
      <c r="J36" s="263"/>
      <c r="K36" s="263"/>
      <c r="L36" s="263">
        <f t="shared" ref="L36:S36" si="241">L33/K33-1</f>
        <v>0.37374989315326101</v>
      </c>
      <c r="M36" s="263">
        <f t="shared" si="241"/>
        <v>0.23440251376660548</v>
      </c>
      <c r="N36" s="263">
        <f t="shared" si="241"/>
        <v>0.12557778483469195</v>
      </c>
      <c r="O36" s="263">
        <f t="shared" si="241"/>
        <v>-0.13921630094043891</v>
      </c>
      <c r="P36" s="263">
        <f t="shared" si="241"/>
        <v>9.7662489009588516E-2</v>
      </c>
      <c r="Q36" s="263">
        <f t="shared" si="241"/>
        <v>7.4246984382775993E-2</v>
      </c>
      <c r="R36" s="263">
        <f t="shared" si="241"/>
        <v>5.9038164570924367E-2</v>
      </c>
      <c r="S36" s="263">
        <f t="shared" si="241"/>
        <v>9.184230370243851E-2</v>
      </c>
      <c r="T36" s="263">
        <f t="shared" ref="T36:U36" si="242">T33/S33-1</f>
        <v>0.37479204505563257</v>
      </c>
      <c r="U36" s="263">
        <f t="shared" si="242"/>
        <v>0.14265889536497367</v>
      </c>
      <c r="V36" s="583">
        <f>V34/CM34-1</f>
        <v>3.1213421771361771E-2</v>
      </c>
      <c r="W36" s="583">
        <f>W34/CN34-1</f>
        <v>6.0489060489060664E-2</v>
      </c>
      <c r="X36" s="263">
        <f>X33/U33-1</f>
        <v>4.2263784308962826E-2</v>
      </c>
      <c r="Y36" s="583">
        <f>Y34/V34-1</f>
        <v>0.40786984487325006</v>
      </c>
      <c r="Z36" s="583">
        <f>Z34/W34-1</f>
        <v>1.1850728155339807</v>
      </c>
      <c r="AA36" s="263">
        <f>AA33/X33-1</f>
        <v>0.67303658820787682</v>
      </c>
      <c r="AB36" s="583">
        <f>AB34/Y34-1</f>
        <v>0.53695243214189725</v>
      </c>
      <c r="AC36" s="583">
        <f>AC34/Z34-1</f>
        <v>8.2199389058594807E-2</v>
      </c>
      <c r="AD36" s="263">
        <f>AD33/AA33-1</f>
        <v>0.33946232065747339</v>
      </c>
      <c r="AE36" s="583">
        <f>AE34/AB34-1</f>
        <v>-7.5013114180800811E-2</v>
      </c>
      <c r="AF36" s="583">
        <f>AF34/AC34-1</f>
        <v>0.24429047985629948</v>
      </c>
      <c r="AG36" s="284">
        <f>AG33/AD33-1</f>
        <v>5.4388519134775271E-2</v>
      </c>
      <c r="AH36" s="439">
        <f>AH34/AE34-1</f>
        <v>0.12022684310018916</v>
      </c>
      <c r="AI36" s="649">
        <f t="shared" ref="AI36" si="243">AI34/AF34-1</f>
        <v>-0.17385027840791911</v>
      </c>
      <c r="AJ36" s="284">
        <f>AJ33/AG33-1</f>
        <v>-2.0416214616826078E-2</v>
      </c>
      <c r="AK36" s="439">
        <f>AK34/AH34-1</f>
        <v>-0.14748565642929468</v>
      </c>
      <c r="AL36" s="439">
        <f t="shared" ref="AL36" si="244">AL34/AI34-1</f>
        <v>-5.3669495756365704E-2</v>
      </c>
      <c r="AM36" s="284">
        <f>AM33/AJ33-1</f>
        <v>-0.10964559001208229</v>
      </c>
      <c r="AN36" s="48">
        <f t="shared" ref="AN36" si="245">AN34/AK34-1</f>
        <v>8.0562153602533604E-2</v>
      </c>
      <c r="AO36" s="583">
        <f>AO34/AL34-1</f>
        <v>0.10973357953046725</v>
      </c>
      <c r="AP36" s="284">
        <f>AP33/AM33-1</f>
        <v>9.3067963360850436E-2</v>
      </c>
      <c r="AQ36" s="1541">
        <f t="shared" ref="AQ36" si="246">AQ34/AN34-1</f>
        <v>7.8952189045612853E-2</v>
      </c>
      <c r="AR36" s="583">
        <f t="shared" ref="AR36" si="247">AR34/AO34-1</f>
        <v>2.9728645017403466E-2</v>
      </c>
      <c r="AS36" s="235">
        <f t="shared" ref="AS36" si="248">AS34/AP34-1</f>
        <v>7.2732543770407831E-2</v>
      </c>
      <c r="AT36" s="583">
        <f t="shared" ref="AT36" si="249">AT34/AQ34-1</f>
        <v>1.9910014009708821E-2</v>
      </c>
      <c r="AU36" s="583">
        <f t="shared" ref="AU36" si="250">AU34/AR34-1</f>
        <v>2.0832912495209577E-2</v>
      </c>
      <c r="AV36" s="235">
        <f t="shared" ref="AV36" si="251">AV34/AS34-1</f>
        <v>2.0301134398860832E-2</v>
      </c>
      <c r="AW36" s="583">
        <f t="shared" ref="AW36" si="252">AW34/AT34-1</f>
        <v>4.6918353761065124E-2</v>
      </c>
      <c r="AX36" s="583">
        <f t="shared" ref="AX36" si="253">AX34/AU34-1</f>
        <v>3.8735683292331125E-2</v>
      </c>
      <c r="AY36" s="235">
        <f t="shared" ref="AY36" si="254">AY34/AV34-1</f>
        <v>4.344876598658165E-2</v>
      </c>
      <c r="AZ36" s="583">
        <f t="shared" ref="AZ36" si="255">AZ34/AW34-1</f>
        <v>4.3347834470356617E-2</v>
      </c>
      <c r="BA36" s="583">
        <f t="shared" ref="BA36" si="256">BA34/AX34-1</f>
        <v>4.2590045138570565E-2</v>
      </c>
      <c r="BB36" s="235">
        <f t="shared" ref="BB36" si="257">BB34/AY34-1</f>
        <v>4.30279705724117E-2</v>
      </c>
      <c r="BC36" s="564"/>
      <c r="BD36" s="331"/>
      <c r="BE36" s="331"/>
      <c r="BF36" s="331"/>
      <c r="BG36" s="331"/>
      <c r="BH36" s="315"/>
      <c r="BI36" s="317"/>
      <c r="BJ36" s="317"/>
      <c r="BK36" s="316"/>
      <c r="BL36" s="316"/>
      <c r="BM36" s="379">
        <f t="shared" ref="BM36:CL36" si="258">BM31/BK31-1</f>
        <v>0.70440251572327051</v>
      </c>
      <c r="BN36" s="379">
        <f t="shared" si="258"/>
        <v>0.5199999999999998</v>
      </c>
      <c r="BO36" s="379">
        <f t="shared" si="258"/>
        <v>0.28044280442804426</v>
      </c>
      <c r="BP36" s="379">
        <f t="shared" si="258"/>
        <v>0.13815789473684226</v>
      </c>
      <c r="BQ36" s="379">
        <f t="shared" si="258"/>
        <v>0.34870317002881834</v>
      </c>
      <c r="BR36" s="379">
        <f t="shared" si="258"/>
        <v>0.71028901734104122</v>
      </c>
      <c r="BS36" s="379">
        <f t="shared" si="258"/>
        <v>0.52991452991452981</v>
      </c>
      <c r="BT36" s="379">
        <f t="shared" si="258"/>
        <v>0.53406786535081752</v>
      </c>
      <c r="BU36" s="379">
        <f t="shared" si="258"/>
        <v>0.3673184357541901</v>
      </c>
      <c r="BV36" s="379">
        <f t="shared" si="258"/>
        <v>0.38389513108614226</v>
      </c>
      <c r="BW36" s="379">
        <f t="shared" si="258"/>
        <v>0.25232890704800814</v>
      </c>
      <c r="BX36" s="379">
        <f t="shared" si="258"/>
        <v>0.20646342434131992</v>
      </c>
      <c r="BY36" s="379">
        <f t="shared" si="258"/>
        <v>0.14426237530892383</v>
      </c>
      <c r="BZ36" s="379">
        <f t="shared" si="258"/>
        <v>9.5349941940251481E-2</v>
      </c>
      <c r="CA36" s="379">
        <f t="shared" si="258"/>
        <v>-2.9866704683156331E-2</v>
      </c>
      <c r="CB36" s="379">
        <f t="shared" si="258"/>
        <v>-0.32402120226478759</v>
      </c>
      <c r="CC36" s="379">
        <f t="shared" si="258"/>
        <v>2.7185892725936966E-2</v>
      </c>
      <c r="CD36" s="379">
        <f t="shared" si="258"/>
        <v>0.26860085898098496</v>
      </c>
      <c r="CE36" s="379">
        <f t="shared" si="258"/>
        <v>7.510729613733913E-2</v>
      </c>
      <c r="CF36" s="379">
        <f t="shared" si="258"/>
        <v>7.255742080494465E-2</v>
      </c>
      <c r="CG36" s="379">
        <f t="shared" si="258"/>
        <v>-1.0345974717232198E-2</v>
      </c>
      <c r="CH36" s="379">
        <f t="shared" si="258"/>
        <v>0.19562540929927974</v>
      </c>
      <c r="CI36" s="379">
        <f t="shared" si="258"/>
        <v>6.1783589364348357E-2</v>
      </c>
      <c r="CJ36" s="379">
        <f t="shared" si="258"/>
        <v>0.14082115548934149</v>
      </c>
      <c r="CK36" s="379">
        <f t="shared" si="258"/>
        <v>0.18909678032101818</v>
      </c>
      <c r="CL36" s="379">
        <f t="shared" si="258"/>
        <v>0.10235161943902971</v>
      </c>
      <c r="CM36" s="379">
        <f t="shared" ref="CM36:CN36" si="259">CM34/CK34-1</f>
        <v>0.256988719960765</v>
      </c>
      <c r="CN36" s="379">
        <f t="shared" si="259"/>
        <v>-6.3938618925832857E-3</v>
      </c>
    </row>
    <row r="37" spans="1:95">
      <c r="A37" s="171"/>
      <c r="B37" s="956" t="s">
        <v>506</v>
      </c>
      <c r="C37" s="971"/>
      <c r="D37" s="338"/>
      <c r="E37" s="338">
        <f t="shared" ref="E37:U37" si="260">E33-D33</f>
        <v>6.0619999999999994</v>
      </c>
      <c r="F37" s="338">
        <f t="shared" si="260"/>
        <v>4.4670000000000023</v>
      </c>
      <c r="G37" s="338">
        <f t="shared" si="260"/>
        <v>7.7999999999999972</v>
      </c>
      <c r="H37" s="338">
        <f t="shared" si="260"/>
        <v>16.399999999999999</v>
      </c>
      <c r="I37" s="338">
        <f t="shared" si="260"/>
        <v>9.7000000000000028</v>
      </c>
      <c r="J37" s="338">
        <f t="shared" si="260"/>
        <v>24.388000000000005</v>
      </c>
      <c r="K37" s="338">
        <f t="shared" si="260"/>
        <v>40.60199999999999</v>
      </c>
      <c r="L37" s="338">
        <f t="shared" si="260"/>
        <v>43.725000000000009</v>
      </c>
      <c r="M37" s="338">
        <f t="shared" si="260"/>
        <v>37.671999999999997</v>
      </c>
      <c r="N37" s="338">
        <f t="shared" si="260"/>
        <v>24.913000000000011</v>
      </c>
      <c r="O37" s="338">
        <f t="shared" si="260"/>
        <v>-31.087000000000018</v>
      </c>
      <c r="P37" s="338">
        <f t="shared" si="260"/>
        <v>18.77200000000002</v>
      </c>
      <c r="Q37" s="338">
        <f t="shared" si="260"/>
        <v>15.664999999999992</v>
      </c>
      <c r="R37" s="338">
        <f t="shared" si="260"/>
        <v>13.381</v>
      </c>
      <c r="S37" s="338">
        <f t="shared" si="260"/>
        <v>22.045000000000016</v>
      </c>
      <c r="T37" s="338">
        <f t="shared" si="260"/>
        <v>98.22399999999999</v>
      </c>
      <c r="U37" s="338">
        <f t="shared" si="260"/>
        <v>51.400000000000034</v>
      </c>
      <c r="V37" s="338">
        <f>V34-CM34</f>
        <v>8</v>
      </c>
      <c r="W37" s="338">
        <f>W34-CN34</f>
        <v>9.4000000000000341</v>
      </c>
      <c r="X37" s="338">
        <f>X33-U33</f>
        <v>17.399999999999977</v>
      </c>
      <c r="Y37" s="338">
        <f>Y34-V34</f>
        <v>107.80000000000001</v>
      </c>
      <c r="Z37" s="338">
        <f>Z34-W34</f>
        <v>195.3</v>
      </c>
      <c r="AA37" s="338">
        <f>AA33-X33</f>
        <v>288.79999999999995</v>
      </c>
      <c r="AB37" s="338">
        <f>AB34-Y34</f>
        <v>199.79999999999995</v>
      </c>
      <c r="AC37" s="338">
        <f>AC34-Z34</f>
        <v>29.600000000000023</v>
      </c>
      <c r="AD37" s="338">
        <f>AD33-AA33</f>
        <v>243.70000000000016</v>
      </c>
      <c r="AE37" s="338">
        <f>AE34-AB34</f>
        <v>-42.899999999999977</v>
      </c>
      <c r="AF37" s="338">
        <f>AF34-AC34</f>
        <v>95.199999999999932</v>
      </c>
      <c r="AG37" s="338">
        <f>AG33-AD33</f>
        <v>52.299999999999841</v>
      </c>
      <c r="AH37" s="338">
        <f>AH34-AE34</f>
        <v>63.600000000000023</v>
      </c>
      <c r="AI37" s="650">
        <f>AI34-AF34</f>
        <v>-84.299999999999955</v>
      </c>
      <c r="AJ37" s="338">
        <f>AJ33-AG33</f>
        <v>-20.699999999999932</v>
      </c>
      <c r="AK37" s="338">
        <f>AK34-AH34</f>
        <v>-87.400000000000034</v>
      </c>
      <c r="AL37" s="338">
        <f t="shared" ref="AL37" si="261">AL34-AI34</f>
        <v>-21.500000000000114</v>
      </c>
      <c r="AM37" s="338">
        <f>AM33-AJ33</f>
        <v>-108.90000000000009</v>
      </c>
      <c r="AN37" s="650">
        <f t="shared" ref="AN37" si="262">AN34-AK34</f>
        <v>40.699999999999989</v>
      </c>
      <c r="AO37" s="338">
        <f>AO34-AL34</f>
        <v>41.600000000000136</v>
      </c>
      <c r="AP37" s="338">
        <f>AP33-AM33</f>
        <v>82.300000000000068</v>
      </c>
      <c r="AQ37" s="1732">
        <f t="shared" ref="AQ37" si="263">AQ34-AN34</f>
        <v>43.100000000000023</v>
      </c>
      <c r="AR37" s="338">
        <f t="shared" ref="AR37" si="264">AR34-AO34</f>
        <v>12.506840958821613</v>
      </c>
      <c r="AS37" s="338">
        <f t="shared" ref="AS37" si="265">AS33-AP33</f>
        <v>55.606840958821522</v>
      </c>
      <c r="AT37" s="338">
        <f t="shared" ref="AT37:AU37" si="266">AT34-AQ34</f>
        <v>11.726998251718442</v>
      </c>
      <c r="AU37" s="338">
        <f t="shared" si="266"/>
        <v>9.0249602100212769</v>
      </c>
      <c r="AV37" s="338">
        <f t="shared" ref="AV37" si="267">AV33-AS33</f>
        <v>20.751958461739946</v>
      </c>
      <c r="AW37" s="338">
        <f t="shared" ref="AW37" si="268">AW34-AT34</f>
        <v>28.185121817796926</v>
      </c>
      <c r="AX37" s="338">
        <f t="shared" ref="AX37" si="269">AX34-AU34</f>
        <v>17.13015099187345</v>
      </c>
      <c r="AY37" s="338">
        <f t="shared" ref="AY37" si="270">AY33-AV33</f>
        <v>45.315272809670205</v>
      </c>
      <c r="AZ37" s="338">
        <f t="shared" ref="AZ37" si="271">AZ34-AW34</f>
        <v>27.261978477174353</v>
      </c>
      <c r="BA37" s="338">
        <f t="shared" ref="BA37" si="272">BA34-AX34</f>
        <v>19.564246277466793</v>
      </c>
      <c r="BB37" s="338">
        <f t="shared" ref="BB37" si="273">BB33-AY33</f>
        <v>46.826224754641089</v>
      </c>
      <c r="BC37" s="650"/>
      <c r="BD37" s="369"/>
      <c r="BE37" s="369"/>
      <c r="BF37" s="369"/>
      <c r="BG37" s="369"/>
      <c r="BH37" s="370"/>
      <c r="BI37" s="371"/>
      <c r="BJ37" s="322"/>
      <c r="BK37" s="369"/>
      <c r="BL37" s="369"/>
      <c r="BM37" s="369">
        <f t="shared" ref="BM37:CM37" si="274">BM34-BK34</f>
        <v>11.200000000000001</v>
      </c>
      <c r="BN37" s="369">
        <f t="shared" si="274"/>
        <v>5.1999999999999975</v>
      </c>
      <c r="BO37" s="369">
        <f t="shared" si="274"/>
        <v>7.6000000000000014</v>
      </c>
      <c r="BP37" s="369">
        <f t="shared" si="274"/>
        <v>2.1000000000000014</v>
      </c>
      <c r="BQ37" s="369">
        <f t="shared" si="274"/>
        <v>12.099999999999994</v>
      </c>
      <c r="BR37" s="369">
        <f t="shared" si="274"/>
        <v>12.288000000000011</v>
      </c>
      <c r="BS37" s="369">
        <f t="shared" si="274"/>
        <v>24.799999999999997</v>
      </c>
      <c r="BT37" s="369">
        <f t="shared" si="274"/>
        <v>15.801999999999992</v>
      </c>
      <c r="BU37" s="369">
        <f t="shared" si="274"/>
        <v>26.300000000000011</v>
      </c>
      <c r="BV37" s="369">
        <f t="shared" si="274"/>
        <v>17.424999999999997</v>
      </c>
      <c r="BW37" s="369">
        <f t="shared" si="274"/>
        <v>24.702999999999989</v>
      </c>
      <c r="BX37" s="369">
        <f t="shared" si="274"/>
        <v>12.969000000000008</v>
      </c>
      <c r="BY37" s="369">
        <f t="shared" si="274"/>
        <v>17.686999999999998</v>
      </c>
      <c r="BZ37" s="369">
        <f t="shared" si="274"/>
        <v>7.2260000000000133</v>
      </c>
      <c r="CA37" s="369">
        <f t="shared" si="274"/>
        <v>-4.1899999999999977</v>
      </c>
      <c r="CB37" s="369">
        <f t="shared" si="274"/>
        <v>-26.89700000000002</v>
      </c>
      <c r="CC37" s="369">
        <f t="shared" si="274"/>
        <v>3.7000000000000171</v>
      </c>
      <c r="CD37" s="369">
        <f t="shared" si="274"/>
        <v>15.072000000000003</v>
      </c>
      <c r="CE37" s="369">
        <f t="shared" si="274"/>
        <v>10.5</v>
      </c>
      <c r="CF37" s="369">
        <f t="shared" si="274"/>
        <v>5.164999999999992</v>
      </c>
      <c r="CG37" s="369">
        <f t="shared" si="274"/>
        <v>-1.5550000000000068</v>
      </c>
      <c r="CH37" s="369">
        <f t="shared" si="274"/>
        <v>14.936000000000007</v>
      </c>
      <c r="CI37" s="369">
        <f t="shared" si="274"/>
        <v>9.1899999999999977</v>
      </c>
      <c r="CJ37" s="369">
        <f t="shared" si="274"/>
        <v>12.855000000000018</v>
      </c>
      <c r="CK37" s="369">
        <f t="shared" si="274"/>
        <v>45.965000000000003</v>
      </c>
      <c r="CL37" s="369">
        <f t="shared" si="274"/>
        <v>52.258999999999986</v>
      </c>
      <c r="CM37" s="369">
        <f t="shared" si="274"/>
        <v>52.400000000000006</v>
      </c>
      <c r="CN37" s="369">
        <f>CN34-CL34</f>
        <v>-1.0000000000000284</v>
      </c>
    </row>
    <row r="38" spans="1:95">
      <c r="A38" s="171"/>
      <c r="B38" s="956" t="s">
        <v>507</v>
      </c>
      <c r="C38" s="971"/>
      <c r="D38" s="338"/>
      <c r="E38" s="266">
        <f>E37/E99</f>
        <v>5.7504411011402218E-2</v>
      </c>
      <c r="F38" s="266">
        <f>F37/F99</f>
        <v>4.1734792073472693E-2</v>
      </c>
      <c r="G38" s="266">
        <f t="shared" ref="G38:T38" si="275">G37/G10</f>
        <v>8.0810592403804241E-2</v>
      </c>
      <c r="H38" s="266">
        <f t="shared" si="275"/>
        <v>6.7884728419693202E-2</v>
      </c>
      <c r="I38" s="266">
        <f t="shared" si="275"/>
        <v>3.8510707564773428E-2</v>
      </c>
      <c r="J38" s="266">
        <f t="shared" si="275"/>
        <v>7.2579877148707228E-2</v>
      </c>
      <c r="K38" s="266">
        <f t="shared" si="275"/>
        <v>7.426375503679164E-2</v>
      </c>
      <c r="L38" s="266">
        <f t="shared" si="275"/>
        <v>8.7677611078359433E-2</v>
      </c>
      <c r="M38" s="266">
        <f t="shared" si="275"/>
        <v>9.3235062640142127E-2</v>
      </c>
      <c r="N38" s="266">
        <f t="shared" si="275"/>
        <v>0.10929966262015597</v>
      </c>
      <c r="O38" s="266">
        <f t="shared" si="275"/>
        <v>-0.18444988993645425</v>
      </c>
      <c r="P38" s="266">
        <f t="shared" si="275"/>
        <v>0.10393781006378455</v>
      </c>
      <c r="Q38" s="266">
        <f t="shared" si="275"/>
        <v>8.9322879543834596E-2</v>
      </c>
      <c r="R38" s="266">
        <f t="shared" si="275"/>
        <v>7.9478026383782527E-2</v>
      </c>
      <c r="S38" s="266">
        <f t="shared" si="275"/>
        <v>7.291677003019871E-2</v>
      </c>
      <c r="T38" s="266">
        <f t="shared" si="275"/>
        <v>5.8692598233796404E-2</v>
      </c>
      <c r="U38" s="266">
        <f t="shared" ref="U38:AL38" si="276">U37/U10</f>
        <v>4.1914702764413295E-2</v>
      </c>
      <c r="V38" s="313"/>
      <c r="W38" s="313"/>
      <c r="X38" s="266">
        <f t="shared" si="276"/>
        <v>7.2199170124481502E-2</v>
      </c>
      <c r="Y38" s="313">
        <f>Y37/Y10</f>
        <v>0.71155115511551159</v>
      </c>
      <c r="Z38" s="313">
        <f>Z37/Z10</f>
        <v>0.29058175866686492</v>
      </c>
      <c r="AA38" s="266">
        <f t="shared" si="276"/>
        <v>0.3506556580864495</v>
      </c>
      <c r="AB38" s="313">
        <f>AB37/AB10</f>
        <v>0.21120507399577162</v>
      </c>
      <c r="AC38" s="313">
        <f>AC37/AC10</f>
        <v>0.57812499999999223</v>
      </c>
      <c r="AD38" s="266">
        <f>AD37/AD10</f>
        <v>0.24438427597272361</v>
      </c>
      <c r="AE38" s="313">
        <f t="shared" ref="AE38:AF38" si="277">AE37/AE10</f>
        <v>0.54030226700252104</v>
      </c>
      <c r="AF38" s="313">
        <f t="shared" si="277"/>
        <v>0.24082974955729852</v>
      </c>
      <c r="AG38" s="1116">
        <f>AG37/AG10</f>
        <v>0.16555872111427636</v>
      </c>
      <c r="AH38" s="1119">
        <f t="shared" ref="AH38" si="278">AH37/AH10</f>
        <v>0.15262778977681798</v>
      </c>
      <c r="AI38" s="651">
        <f t="shared" ref="AI38" si="279">AI37/AI10</f>
        <v>3.7802690582959313</v>
      </c>
      <c r="AJ38" s="1116">
        <f>AJ37/AJ10</f>
        <v>-5.2484787018255451E-2</v>
      </c>
      <c r="AK38" s="1119">
        <f>AK37/AK10</f>
        <v>0.75085910652921228</v>
      </c>
      <c r="AL38" s="1119">
        <f t="shared" si="276"/>
        <v>-0.26092233009708993</v>
      </c>
      <c r="AM38" s="1116">
        <f>AM37/AM10</f>
        <v>3.2029411764705911</v>
      </c>
      <c r="AN38" s="654">
        <f t="shared" ref="AN38:AV38" si="280">AN37/AN10</f>
        <v>8.007082431634871E-2</v>
      </c>
      <c r="AO38" s="313">
        <f t="shared" si="280"/>
        <v>9.1609777582030427E-2</v>
      </c>
      <c r="AP38" s="1116">
        <f>AP37/AP10</f>
        <v>8.5515378221113825E-2</v>
      </c>
      <c r="AQ38" s="1595">
        <f t="shared" ref="AQ38" si="281">AQ37/AQ10</f>
        <v>0.10388045312123395</v>
      </c>
      <c r="AR38" s="313">
        <f t="shared" si="280"/>
        <v>6.8983763085408045E-2</v>
      </c>
      <c r="AS38" s="235">
        <f t="shared" si="280"/>
        <v>9.3268578372778951E-2</v>
      </c>
      <c r="AT38" s="313">
        <f t="shared" si="280"/>
        <v>4.6929917791922897E-2</v>
      </c>
      <c r="AU38" s="313">
        <f t="shared" si="280"/>
        <v>4.1348916198279725E-2</v>
      </c>
      <c r="AV38" s="235">
        <f t="shared" si="280"/>
        <v>4.4327893674010341E-2</v>
      </c>
      <c r="AW38" s="313">
        <f t="shared" ref="AW38:AY38" si="282">AW37/AW10</f>
        <v>0.10101100816989382</v>
      </c>
      <c r="AX38" s="313">
        <f t="shared" si="282"/>
        <v>8.1877411210122333E-2</v>
      </c>
      <c r="AY38" s="235">
        <f t="shared" si="282"/>
        <v>9.2812140105203986E-2</v>
      </c>
      <c r="AZ38" s="313">
        <f t="shared" ref="AZ38:BB38" si="283">AZ37/AZ10</f>
        <v>9.7968907779079642E-2</v>
      </c>
      <c r="BA38" s="313">
        <f t="shared" si="283"/>
        <v>8.4659519845491332E-2</v>
      </c>
      <c r="BB38" s="235">
        <f t="shared" si="283"/>
        <v>9.1930585550293722E-2</v>
      </c>
      <c r="BC38" s="564"/>
      <c r="BD38" s="331"/>
      <c r="BE38" s="331"/>
      <c r="BF38" s="331"/>
      <c r="BG38" s="331"/>
      <c r="BH38" s="370"/>
      <c r="BI38" s="371"/>
      <c r="BJ38" s="322"/>
      <c r="BK38" s="376"/>
      <c r="BL38" s="376"/>
      <c r="BM38" s="376"/>
      <c r="BN38" s="376"/>
      <c r="BO38" s="376"/>
      <c r="BP38" s="376"/>
      <c r="BQ38" s="376"/>
      <c r="BR38" s="376"/>
      <c r="BS38" s="376"/>
      <c r="BT38" s="376"/>
      <c r="BU38" s="376"/>
      <c r="BV38" s="376"/>
      <c r="BW38" s="376"/>
      <c r="BX38" s="376"/>
      <c r="BY38" s="376"/>
      <c r="BZ38" s="376"/>
      <c r="CA38" s="376"/>
      <c r="CB38" s="376"/>
      <c r="CC38" s="376"/>
      <c r="CD38" s="376"/>
      <c r="CE38" s="376"/>
      <c r="CF38" s="376"/>
      <c r="CG38" s="376"/>
      <c r="CH38" s="376"/>
      <c r="CI38" s="376"/>
      <c r="CJ38" s="376"/>
      <c r="CK38" s="373"/>
      <c r="CL38" s="373"/>
      <c r="CM38" s="373"/>
      <c r="CN38" s="373"/>
    </row>
    <row r="39" spans="1:95">
      <c r="A39" s="165"/>
      <c r="B39" s="972" t="s">
        <v>731</v>
      </c>
      <c r="C39" s="952"/>
      <c r="D39" s="952"/>
      <c r="E39" s="952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306"/>
      <c r="T39" s="306"/>
      <c r="U39" s="306"/>
      <c r="V39" s="583"/>
      <c r="W39" s="583"/>
      <c r="X39" s="306"/>
      <c r="Y39" s="583"/>
      <c r="Z39" s="583"/>
      <c r="AA39" s="306"/>
      <c r="AB39" s="583"/>
      <c r="AC39" s="583"/>
      <c r="AD39" s="306"/>
      <c r="AE39" s="583"/>
      <c r="AF39" s="583"/>
      <c r="AG39" s="1117"/>
      <c r="AH39" s="439"/>
      <c r="AI39" s="649"/>
      <c r="AJ39" s="1117"/>
      <c r="AK39" s="439"/>
      <c r="AL39" s="439"/>
      <c r="AM39" s="1117"/>
      <c r="AN39" s="48"/>
      <c r="AO39" s="583"/>
      <c r="AP39" s="1117"/>
      <c r="AQ39" s="1541"/>
      <c r="AR39" s="583"/>
      <c r="AS39" s="306"/>
      <c r="AT39" s="583"/>
      <c r="AU39" s="583"/>
      <c r="AV39" s="306"/>
      <c r="AW39" s="583"/>
      <c r="AX39" s="583"/>
      <c r="AY39" s="306"/>
      <c r="AZ39" s="583"/>
      <c r="BA39" s="583"/>
      <c r="BB39" s="306"/>
      <c r="BC39" s="1345"/>
      <c r="BD39" s="372"/>
      <c r="BE39" s="372"/>
      <c r="BF39" s="372"/>
      <c r="BG39" s="372"/>
      <c r="BH39" s="315"/>
      <c r="BI39" s="317"/>
      <c r="BJ39" s="317"/>
      <c r="BK39" s="316"/>
      <c r="BL39" s="316"/>
      <c r="BM39" s="379"/>
      <c r="BN39" s="379"/>
      <c r="BO39" s="379"/>
      <c r="BP39" s="379"/>
      <c r="BQ39" s="379"/>
      <c r="BR39" s="379"/>
      <c r="BS39" s="379"/>
      <c r="BT39" s="379"/>
      <c r="BU39" s="379"/>
      <c r="BV39" s="379"/>
      <c r="BW39" s="379"/>
      <c r="BX39" s="379"/>
      <c r="BY39" s="379"/>
      <c r="BZ39" s="379"/>
      <c r="CA39" s="379"/>
      <c r="CB39" s="379"/>
      <c r="CC39" s="379"/>
      <c r="CD39" s="379"/>
      <c r="CE39" s="379"/>
      <c r="CF39" s="379"/>
      <c r="CG39" s="379"/>
      <c r="CH39" s="379"/>
      <c r="CI39" s="379"/>
      <c r="CJ39" s="379"/>
      <c r="CK39" s="379"/>
      <c r="CL39" s="379"/>
      <c r="CM39" s="379"/>
      <c r="CN39" s="379"/>
    </row>
    <row r="40" spans="1:95">
      <c r="A40" s="165"/>
      <c r="B40" s="833"/>
      <c r="C40" s="952"/>
      <c r="D40" s="952"/>
      <c r="E40" s="95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190"/>
      <c r="AJ40" s="282"/>
      <c r="AK40" s="282"/>
      <c r="AL40" s="282"/>
      <c r="AM40" s="282"/>
      <c r="AN40" s="190"/>
      <c r="AO40" s="282"/>
      <c r="AP40" s="282"/>
      <c r="AQ40" s="1385"/>
      <c r="AR40" s="282"/>
      <c r="AS40" s="205"/>
      <c r="AT40" s="282"/>
      <c r="AU40" s="282"/>
      <c r="AV40" s="205"/>
      <c r="AW40" s="282"/>
      <c r="AX40" s="282"/>
      <c r="AY40" s="205"/>
      <c r="AZ40" s="282"/>
      <c r="BA40" s="282"/>
      <c r="BB40" s="205"/>
      <c r="BC40" s="190"/>
      <c r="BD40" s="316"/>
      <c r="BE40" s="316"/>
      <c r="BF40" s="316"/>
      <c r="BG40" s="316"/>
      <c r="BH40" s="315"/>
      <c r="BI40" s="317"/>
      <c r="BJ40" s="317"/>
      <c r="BK40" s="316"/>
      <c r="BL40" s="316"/>
      <c r="BM40" s="316"/>
      <c r="BN40" s="316"/>
      <c r="BO40" s="316"/>
      <c r="BP40" s="316"/>
      <c r="BQ40" s="316"/>
      <c r="BR40" s="316"/>
      <c r="BS40" s="316"/>
      <c r="BT40" s="316"/>
      <c r="BU40" s="316"/>
      <c r="BV40" s="316"/>
      <c r="BW40" s="316"/>
      <c r="BX40" s="316"/>
      <c r="BY40" s="316"/>
      <c r="BZ40" s="316"/>
      <c r="CA40" s="316"/>
      <c r="CB40" s="316"/>
      <c r="CC40" s="316"/>
      <c r="CD40" s="316"/>
      <c r="CE40" s="316"/>
      <c r="CF40" s="316"/>
      <c r="CG40" s="316"/>
      <c r="CH40" s="316"/>
      <c r="CI40" s="316"/>
      <c r="CJ40" s="316"/>
      <c r="CK40" s="316"/>
      <c r="CL40" s="316"/>
      <c r="CM40" s="316"/>
      <c r="CN40" s="316"/>
    </row>
    <row r="41" spans="1:95">
      <c r="A41" s="165"/>
      <c r="B41" s="782" t="s">
        <v>728</v>
      </c>
      <c r="C41" s="952"/>
      <c r="D41" s="952"/>
      <c r="E41" s="952"/>
      <c r="F41" s="282">
        <f t="shared" ref="F41:S41" si="284">F44</f>
        <v>1.319</v>
      </c>
      <c r="G41" s="282">
        <f t="shared" si="284"/>
        <v>3.1680000000000001</v>
      </c>
      <c r="H41" s="282">
        <f t="shared" si="284"/>
        <v>5.2679999999999998</v>
      </c>
      <c r="I41" s="282">
        <f t="shared" si="284"/>
        <v>7.4390000000000001</v>
      </c>
      <c r="J41" s="282">
        <f t="shared" si="284"/>
        <v>10.853999999999999</v>
      </c>
      <c r="K41" s="282">
        <f t="shared" si="284"/>
        <v>14.690999999999999</v>
      </c>
      <c r="L41" s="282">
        <f t="shared" si="284"/>
        <v>18.748999999999999</v>
      </c>
      <c r="M41" s="282">
        <f t="shared" si="284"/>
        <v>23.277000000000001</v>
      </c>
      <c r="N41" s="282">
        <f t="shared" si="284"/>
        <v>27.286999999999999</v>
      </c>
      <c r="O41" s="282">
        <f t="shared" si="284"/>
        <v>30.754000000000001</v>
      </c>
      <c r="P41" s="282">
        <f t="shared" si="284"/>
        <v>33.231999999999999</v>
      </c>
      <c r="Q41" s="282">
        <f t="shared" si="284"/>
        <v>35.53</v>
      </c>
      <c r="R41" s="282">
        <f t="shared" si="284"/>
        <v>39.124000000000002</v>
      </c>
      <c r="S41" s="282">
        <f t="shared" si="284"/>
        <v>40.901000000000003</v>
      </c>
      <c r="T41" s="282">
        <f t="shared" ref="T41:AG41" si="285">T44-T42</f>
        <v>42.6</v>
      </c>
      <c r="U41" s="282">
        <f t="shared" si="285"/>
        <v>44.7</v>
      </c>
      <c r="V41" s="279">
        <f>V266+V296</f>
        <v>21.100000000000023</v>
      </c>
      <c r="W41" s="279">
        <f>W266+W296</f>
        <v>22.499999999999979</v>
      </c>
      <c r="X41" s="282">
        <f t="shared" si="285"/>
        <v>43.6</v>
      </c>
      <c r="Y41" s="279">
        <f>Y266+Y296</f>
        <v>72.200000000000017</v>
      </c>
      <c r="Z41" s="279">
        <f>Z266+Z296</f>
        <v>68.099999999999966</v>
      </c>
      <c r="AA41" s="282">
        <f t="shared" si="285"/>
        <v>154.70000000000002</v>
      </c>
      <c r="AB41" s="279">
        <f>AB266+AB296</f>
        <v>70.299999999999926</v>
      </c>
      <c r="AC41" s="279">
        <f>AC266+AC296</f>
        <v>71.200000000000017</v>
      </c>
      <c r="AD41" s="282">
        <f t="shared" si="285"/>
        <v>141.5</v>
      </c>
      <c r="AE41" s="279">
        <f>AE266+AE296</f>
        <v>69.100000000000023</v>
      </c>
      <c r="AF41" s="279">
        <f>AF266+AF296</f>
        <v>70.499999999999886</v>
      </c>
      <c r="AG41" s="282">
        <f t="shared" si="285"/>
        <v>139.60000000000002</v>
      </c>
      <c r="AH41" s="279">
        <f>AH266+AH296</f>
        <v>71.200000000000045</v>
      </c>
      <c r="AI41" s="179">
        <f t="shared" ref="AI41" si="286">AI266+AI296</f>
        <v>68.600000000000023</v>
      </c>
      <c r="AJ41" s="282">
        <f t="shared" ref="AJ41" si="287">AJ44-AJ42</f>
        <v>139.80000000000001</v>
      </c>
      <c r="AK41" s="279">
        <f>AK266+AK296</f>
        <v>74.800000000000011</v>
      </c>
      <c r="AL41" s="279">
        <f t="shared" ref="AL41:AV41" si="288">AL266+AL296</f>
        <v>74.299999999999898</v>
      </c>
      <c r="AM41" s="282">
        <f t="shared" ref="AM41" si="289">AM44-AM42</f>
        <v>149.1</v>
      </c>
      <c r="AN41" s="179">
        <f t="shared" si="288"/>
        <v>77.999999999999943</v>
      </c>
      <c r="AO41" s="279">
        <f t="shared" si="288"/>
        <v>80.300000000000097</v>
      </c>
      <c r="AP41" s="190">
        <f>AP266+AP296</f>
        <v>158.30000000000004</v>
      </c>
      <c r="AQ41" s="1385">
        <f>AQ266+AQ296</f>
        <v>83.199999999999974</v>
      </c>
      <c r="AR41" s="279">
        <f t="shared" si="288"/>
        <v>80.047300000000092</v>
      </c>
      <c r="AS41" s="205">
        <f t="shared" si="288"/>
        <v>163.24730000000008</v>
      </c>
      <c r="AT41" s="279">
        <f t="shared" si="288"/>
        <v>85.311499999999981</v>
      </c>
      <c r="AU41" s="279">
        <f t="shared" si="288"/>
        <v>82.063482500000092</v>
      </c>
      <c r="AV41" s="205">
        <f t="shared" si="288"/>
        <v>167.37498250000007</v>
      </c>
      <c r="AW41" s="279">
        <f t="shared" ref="AW41:AY41" si="290">AW266+AW296</f>
        <v>85.726247500000028</v>
      </c>
      <c r="AX41" s="279">
        <f t="shared" si="290"/>
        <v>85.88100456250001</v>
      </c>
      <c r="AY41" s="205">
        <f t="shared" si="290"/>
        <v>171.60725206250004</v>
      </c>
      <c r="AZ41" s="279">
        <f t="shared" ref="AZ41:BB41" si="291">AZ266+AZ296</f>
        <v>87.894069612500033</v>
      </c>
      <c r="BA41" s="279">
        <f t="shared" si="291"/>
        <v>88.052695601562505</v>
      </c>
      <c r="BB41" s="205">
        <f t="shared" si="291"/>
        <v>175.94676521406254</v>
      </c>
      <c r="BC41" s="190"/>
      <c r="BD41" s="316"/>
      <c r="BE41" s="316"/>
      <c r="BF41" s="316"/>
      <c r="BG41" s="316"/>
      <c r="BH41" s="315"/>
      <c r="BI41" s="317"/>
      <c r="BJ41" s="317"/>
      <c r="BK41" s="316">
        <f t="shared" ref="BK41:CH41" si="292">BK44</f>
        <v>1.4000000000000004</v>
      </c>
      <c r="BL41" s="316">
        <f t="shared" si="292"/>
        <v>1.7679999999999998</v>
      </c>
      <c r="BM41" s="316">
        <f t="shared" si="292"/>
        <v>2.5</v>
      </c>
      <c r="BN41" s="316">
        <f t="shared" si="292"/>
        <v>2.7679999999999998</v>
      </c>
      <c r="BO41" s="316">
        <f t="shared" si="292"/>
        <v>3.6000000000000014</v>
      </c>
      <c r="BP41" s="316">
        <f t="shared" si="292"/>
        <v>3.8389999999999986</v>
      </c>
      <c r="BQ41" s="316">
        <f t="shared" si="292"/>
        <v>5</v>
      </c>
      <c r="BR41" s="316">
        <f t="shared" si="292"/>
        <v>5.8539999999999992</v>
      </c>
      <c r="BS41" s="316">
        <f t="shared" si="292"/>
        <v>6.7999999999999972</v>
      </c>
      <c r="BT41" s="316">
        <f t="shared" si="292"/>
        <v>7.8910000000000018</v>
      </c>
      <c r="BU41" s="316">
        <f t="shared" si="292"/>
        <v>8.7000000000000028</v>
      </c>
      <c r="BV41" s="316">
        <f t="shared" si="292"/>
        <v>10.048999999999996</v>
      </c>
      <c r="BW41" s="316">
        <f t="shared" si="292"/>
        <v>11.202999999999989</v>
      </c>
      <c r="BX41" s="316">
        <f t="shared" si="292"/>
        <v>12.074000000000012</v>
      </c>
      <c r="BY41" s="316">
        <f t="shared" si="292"/>
        <v>13.289999999999992</v>
      </c>
      <c r="BZ41" s="316">
        <f t="shared" si="292"/>
        <v>13.997000000000007</v>
      </c>
      <c r="CA41" s="316">
        <f t="shared" si="292"/>
        <v>15.363</v>
      </c>
      <c r="CB41" s="316">
        <f t="shared" si="292"/>
        <v>17.869</v>
      </c>
      <c r="CC41" s="316">
        <f t="shared" si="292"/>
        <v>16.100000000000009</v>
      </c>
      <c r="CD41" s="316">
        <f t="shared" si="292"/>
        <v>17.131999999999991</v>
      </c>
      <c r="CE41" s="316">
        <f t="shared" si="292"/>
        <v>17.400000000000006</v>
      </c>
      <c r="CF41" s="316">
        <f t="shared" si="292"/>
        <v>18.129999999999995</v>
      </c>
      <c r="CG41" s="316">
        <f t="shared" si="292"/>
        <v>18.774000000000001</v>
      </c>
      <c r="CH41" s="316">
        <f t="shared" si="292"/>
        <v>20.350000000000001</v>
      </c>
      <c r="CI41" s="316">
        <f t="shared" ref="CI41:CN41" si="293">CI266+CI296</f>
        <v>19.77600000000001</v>
      </c>
      <c r="CJ41" s="316">
        <f t="shared" si="293"/>
        <v>19.563000000000009</v>
      </c>
      <c r="CK41" s="316">
        <f t="shared" si="293"/>
        <v>21.200000000000017</v>
      </c>
      <c r="CL41" s="316">
        <f t="shared" si="293"/>
        <v>21.600000000000009</v>
      </c>
      <c r="CM41" s="320">
        <f t="shared" si="293"/>
        <v>22.099999999999994</v>
      </c>
      <c r="CN41" s="320">
        <f t="shared" si="293"/>
        <v>22.6</v>
      </c>
    </row>
    <row r="42" spans="1:95">
      <c r="A42" s="165" t="s">
        <v>762</v>
      </c>
      <c r="B42" s="782" t="s">
        <v>729</v>
      </c>
      <c r="C42" s="952"/>
      <c r="D42" s="952"/>
      <c r="E42" s="952"/>
      <c r="F42" s="282"/>
      <c r="G42" s="282"/>
      <c r="H42" s="282"/>
      <c r="I42" s="282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>
        <f>T347</f>
        <v>11.300000000000004</v>
      </c>
      <c r="U42" s="282">
        <f>U347</f>
        <v>16.399999999999999</v>
      </c>
      <c r="V42" s="279">
        <f>V347</f>
        <v>6.6</v>
      </c>
      <c r="W42" s="279">
        <f>W347</f>
        <v>6</v>
      </c>
      <c r="X42" s="282">
        <f t="shared" ref="X42:AL42" si="294">X347</f>
        <v>12.6</v>
      </c>
      <c r="Y42" s="279">
        <f>Y347</f>
        <v>36.900000000000006</v>
      </c>
      <c r="Z42" s="279">
        <f>Z347</f>
        <v>37.699999999999989</v>
      </c>
      <c r="AA42" s="282">
        <f t="shared" si="294"/>
        <v>74.599999999999994</v>
      </c>
      <c r="AB42" s="279">
        <f>AB347</f>
        <v>38.800000000000011</v>
      </c>
      <c r="AC42" s="279">
        <f>AC347</f>
        <v>38.199999999999989</v>
      </c>
      <c r="AD42" s="282">
        <f t="shared" si="294"/>
        <v>77</v>
      </c>
      <c r="AE42" s="279">
        <f t="shared" ref="AE42:AF42" si="295">AE347</f>
        <v>39.400000000000006</v>
      </c>
      <c r="AF42" s="279">
        <f t="shared" si="295"/>
        <v>40.299999999999997</v>
      </c>
      <c r="AG42" s="282">
        <f>AG347</f>
        <v>79.7</v>
      </c>
      <c r="AH42" s="279">
        <f t="shared" ref="AH42" si="296">AH347</f>
        <v>42.199999999999989</v>
      </c>
      <c r="AI42" s="179">
        <f t="shared" ref="AI42" si="297">AI347</f>
        <v>42.199999999999989</v>
      </c>
      <c r="AJ42" s="282">
        <f>AJ347</f>
        <v>84.399999999999977</v>
      </c>
      <c r="AK42" s="279">
        <f t="shared" ref="AK42" si="298">AK347</f>
        <v>43.699999999999989</v>
      </c>
      <c r="AL42" s="279">
        <f t="shared" si="294"/>
        <v>44.300000000000011</v>
      </c>
      <c r="AM42" s="282">
        <f>AM347</f>
        <v>88</v>
      </c>
      <c r="AN42" s="179">
        <f t="shared" ref="AN42:AV42" si="299">AN347</f>
        <v>45.300000000000011</v>
      </c>
      <c r="AO42" s="279">
        <f t="shared" si="299"/>
        <v>47.599999999999966</v>
      </c>
      <c r="AP42" s="190">
        <f t="shared" si="299"/>
        <v>92.899999999999977</v>
      </c>
      <c r="AQ42" s="1385">
        <f t="shared" ref="AQ42" si="300">AQ347</f>
        <v>46.699999999999989</v>
      </c>
      <c r="AR42" s="279">
        <f t="shared" si="299"/>
        <v>48.801199999999994</v>
      </c>
      <c r="AS42" s="205">
        <f t="shared" si="299"/>
        <v>95.501199999999983</v>
      </c>
      <c r="AT42" s="279">
        <f t="shared" si="299"/>
        <v>47.867499999999986</v>
      </c>
      <c r="AU42" s="279">
        <f t="shared" si="299"/>
        <v>50.021229999999996</v>
      </c>
      <c r="AV42" s="205">
        <f t="shared" si="299"/>
        <v>97.888729999999981</v>
      </c>
      <c r="AW42" s="279">
        <f t="shared" ref="AW42:AY42" si="301">AW347</f>
        <v>49.064187499999981</v>
      </c>
      <c r="AX42" s="279">
        <f t="shared" si="301"/>
        <v>51.271760749999991</v>
      </c>
      <c r="AY42" s="205">
        <f t="shared" si="301"/>
        <v>100.33594824999997</v>
      </c>
      <c r="AZ42" s="279">
        <f t="shared" ref="AZ42:BB42" si="302">AZ347</f>
        <v>50.290792187499974</v>
      </c>
      <c r="BA42" s="279">
        <f t="shared" si="302"/>
        <v>52.55355476874999</v>
      </c>
      <c r="BB42" s="205">
        <f t="shared" si="302"/>
        <v>102.84434695624996</v>
      </c>
      <c r="BC42" s="190"/>
      <c r="BD42" s="316"/>
      <c r="BE42" s="316"/>
      <c r="BF42" s="316"/>
      <c r="BG42" s="316"/>
      <c r="BH42" s="315"/>
      <c r="BI42" s="317"/>
      <c r="BJ42" s="317"/>
      <c r="BK42" s="316"/>
      <c r="BL42" s="316"/>
      <c r="BM42" s="316"/>
      <c r="BN42" s="316"/>
      <c r="BO42" s="316"/>
      <c r="BP42" s="316"/>
      <c r="BQ42" s="316"/>
      <c r="BR42" s="316"/>
      <c r="BS42" s="316"/>
      <c r="BT42" s="316"/>
      <c r="BU42" s="316"/>
      <c r="BV42" s="316"/>
      <c r="BW42" s="316"/>
      <c r="BX42" s="316"/>
      <c r="BY42" s="316"/>
      <c r="BZ42" s="316"/>
      <c r="CA42" s="316"/>
      <c r="CB42" s="316"/>
      <c r="CC42" s="316"/>
      <c r="CD42" s="316"/>
      <c r="CE42" s="316"/>
      <c r="CF42" s="316"/>
      <c r="CG42" s="316"/>
      <c r="CH42" s="316"/>
      <c r="CI42" s="320"/>
      <c r="CJ42" s="316"/>
      <c r="CK42" s="320">
        <f t="shared" ref="CK42:CN42" si="303">CK347</f>
        <v>1.8000000000000007</v>
      </c>
      <c r="CL42" s="316">
        <f t="shared" si="303"/>
        <v>10.530980810878871</v>
      </c>
      <c r="CM42" s="320">
        <f t="shared" si="303"/>
        <v>8.4</v>
      </c>
      <c r="CN42" s="320">
        <f t="shared" si="303"/>
        <v>7.9999999999999982</v>
      </c>
    </row>
    <row r="43" spans="1:95">
      <c r="A43" s="129" t="s">
        <v>385</v>
      </c>
      <c r="B43" s="953" t="s">
        <v>314</v>
      </c>
      <c r="C43" s="954"/>
      <c r="D43" s="954"/>
      <c r="E43" s="954"/>
      <c r="F43" s="305">
        <f t="shared" ref="F43:S43" si="304">SUM(F41:F42)</f>
        <v>1.319</v>
      </c>
      <c r="G43" s="305">
        <f t="shared" si="304"/>
        <v>3.1680000000000001</v>
      </c>
      <c r="H43" s="305">
        <f t="shared" si="304"/>
        <v>5.2679999999999998</v>
      </c>
      <c r="I43" s="305">
        <f t="shared" si="304"/>
        <v>7.4390000000000001</v>
      </c>
      <c r="J43" s="305">
        <f t="shared" si="304"/>
        <v>10.853999999999999</v>
      </c>
      <c r="K43" s="305">
        <f t="shared" si="304"/>
        <v>14.690999999999999</v>
      </c>
      <c r="L43" s="305">
        <f t="shared" si="304"/>
        <v>18.748999999999999</v>
      </c>
      <c r="M43" s="305">
        <f t="shared" si="304"/>
        <v>23.277000000000001</v>
      </c>
      <c r="N43" s="305">
        <f t="shared" si="304"/>
        <v>27.286999999999999</v>
      </c>
      <c r="O43" s="305">
        <f t="shared" si="304"/>
        <v>30.754000000000001</v>
      </c>
      <c r="P43" s="305">
        <f t="shared" si="304"/>
        <v>33.231999999999999</v>
      </c>
      <c r="Q43" s="305">
        <f t="shared" si="304"/>
        <v>35.53</v>
      </c>
      <c r="R43" s="305">
        <f t="shared" si="304"/>
        <v>39.124000000000002</v>
      </c>
      <c r="S43" s="305">
        <f t="shared" si="304"/>
        <v>40.901000000000003</v>
      </c>
      <c r="T43" s="305">
        <f t="shared" ref="T43:AM43" si="305">SUM(T41:T42)</f>
        <v>53.900000000000006</v>
      </c>
      <c r="U43" s="305">
        <f t="shared" si="305"/>
        <v>61.1</v>
      </c>
      <c r="V43" s="352">
        <f>SUM(V41:V42)</f>
        <v>27.700000000000024</v>
      </c>
      <c r="W43" s="352">
        <f>SUM(W41:W42)</f>
        <v>28.499999999999979</v>
      </c>
      <c r="X43" s="305">
        <f t="shared" si="305"/>
        <v>56.2</v>
      </c>
      <c r="Y43" s="352">
        <f>SUM(Y41:Y42)</f>
        <v>109.10000000000002</v>
      </c>
      <c r="Z43" s="352">
        <f>SUM(Z41:Z42)</f>
        <v>105.79999999999995</v>
      </c>
      <c r="AA43" s="305">
        <f t="shared" si="305"/>
        <v>229.3</v>
      </c>
      <c r="AB43" s="973">
        <f>SUM(AB41:AB42)</f>
        <v>109.09999999999994</v>
      </c>
      <c r="AC43" s="973">
        <f t="shared" ref="AC43" si="306">SUM(AC41:AC42)</f>
        <v>109.4</v>
      </c>
      <c r="AD43" s="974">
        <f t="shared" si="305"/>
        <v>218.5</v>
      </c>
      <c r="AE43" s="973">
        <f t="shared" ref="AE43:AJ43" si="307">SUM(AE41:AE42)</f>
        <v>108.50000000000003</v>
      </c>
      <c r="AF43" s="973">
        <f t="shared" si="307"/>
        <v>110.79999999999988</v>
      </c>
      <c r="AG43" s="1118">
        <f t="shared" si="307"/>
        <v>219.3</v>
      </c>
      <c r="AH43" s="1191">
        <f t="shared" si="307"/>
        <v>113.40000000000003</v>
      </c>
      <c r="AI43" s="652">
        <f t="shared" si="307"/>
        <v>110.80000000000001</v>
      </c>
      <c r="AJ43" s="1238">
        <f t="shared" si="307"/>
        <v>224.2</v>
      </c>
      <c r="AK43" s="1191">
        <f t="shared" ref="AK43" si="308">SUM(AK41:AK42)</f>
        <v>118.5</v>
      </c>
      <c r="AL43" s="1362">
        <f t="shared" si="305"/>
        <v>118.59999999999991</v>
      </c>
      <c r="AM43" s="1583">
        <f t="shared" si="305"/>
        <v>237.1</v>
      </c>
      <c r="AN43" s="1628">
        <f>SUM(AN41:AN42)+AN389</f>
        <v>125.99999999999996</v>
      </c>
      <c r="AO43" s="352">
        <f t="shared" ref="AO43:BB43" si="309">SUM(AO41:AO42)+AO389</f>
        <v>132.80000000000007</v>
      </c>
      <c r="AP43" s="1627">
        <f t="shared" si="309"/>
        <v>258.8</v>
      </c>
      <c r="AQ43" s="1640">
        <f t="shared" ref="AQ43" si="310">SUM(AQ41:AQ42)+AQ389</f>
        <v>134.99999999999997</v>
      </c>
      <c r="AR43" s="352">
        <f t="shared" si="309"/>
        <v>133.46491574585644</v>
      </c>
      <c r="AS43" s="305">
        <f t="shared" si="309"/>
        <v>268.46491574585639</v>
      </c>
      <c r="AT43" s="352">
        <f t="shared" si="309"/>
        <v>138.43199999999996</v>
      </c>
      <c r="AU43" s="352">
        <f t="shared" si="309"/>
        <v>136.83962071823211</v>
      </c>
      <c r="AV43" s="305">
        <f t="shared" si="309"/>
        <v>275.2716207182321</v>
      </c>
      <c r="AW43" s="352">
        <f t="shared" si="309"/>
        <v>140.20102500000002</v>
      </c>
      <c r="AX43" s="352">
        <f t="shared" si="309"/>
        <v>142.05032077727901</v>
      </c>
      <c r="AY43" s="305">
        <f t="shared" si="309"/>
        <v>282.25134577727903</v>
      </c>
      <c r="AZ43" s="352">
        <f t="shared" si="309"/>
        <v>143.75776950000002</v>
      </c>
      <c r="BA43" s="352">
        <f t="shared" si="309"/>
        <v>145.65073249903486</v>
      </c>
      <c r="BB43" s="305">
        <f t="shared" si="309"/>
        <v>289.40850199903485</v>
      </c>
      <c r="BC43" s="1268"/>
      <c r="BD43" s="356"/>
      <c r="BE43" s="356"/>
      <c r="BF43" s="356"/>
      <c r="BG43" s="356"/>
      <c r="BH43" s="357"/>
      <c r="BI43" s="358"/>
      <c r="BJ43" s="358"/>
      <c r="BK43" s="507">
        <f>SUM(BK41:BK42)</f>
        <v>1.4000000000000004</v>
      </c>
      <c r="BL43" s="507">
        <f t="shared" ref="BL43:CN43" si="311">SUM(BL41:BL42)</f>
        <v>1.7679999999999998</v>
      </c>
      <c r="BM43" s="507">
        <f t="shared" si="311"/>
        <v>2.5</v>
      </c>
      <c r="BN43" s="507">
        <f t="shared" si="311"/>
        <v>2.7679999999999998</v>
      </c>
      <c r="BO43" s="507">
        <f t="shared" si="311"/>
        <v>3.6000000000000014</v>
      </c>
      <c r="BP43" s="507">
        <f t="shared" si="311"/>
        <v>3.8389999999999986</v>
      </c>
      <c r="BQ43" s="507">
        <f t="shared" si="311"/>
        <v>5</v>
      </c>
      <c r="BR43" s="507">
        <f t="shared" si="311"/>
        <v>5.8539999999999992</v>
      </c>
      <c r="BS43" s="507">
        <f t="shared" si="311"/>
        <v>6.7999999999999972</v>
      </c>
      <c r="BT43" s="507">
        <f t="shared" si="311"/>
        <v>7.8910000000000018</v>
      </c>
      <c r="BU43" s="507">
        <f t="shared" si="311"/>
        <v>8.7000000000000028</v>
      </c>
      <c r="BV43" s="507">
        <f t="shared" si="311"/>
        <v>10.048999999999996</v>
      </c>
      <c r="BW43" s="507">
        <f t="shared" si="311"/>
        <v>11.202999999999989</v>
      </c>
      <c r="BX43" s="507">
        <f t="shared" si="311"/>
        <v>12.074000000000012</v>
      </c>
      <c r="BY43" s="507">
        <f t="shared" si="311"/>
        <v>13.289999999999992</v>
      </c>
      <c r="BZ43" s="507">
        <f t="shared" si="311"/>
        <v>13.997000000000007</v>
      </c>
      <c r="CA43" s="507">
        <f t="shared" si="311"/>
        <v>15.363</v>
      </c>
      <c r="CB43" s="507">
        <f t="shared" si="311"/>
        <v>17.869</v>
      </c>
      <c r="CC43" s="507">
        <f t="shared" si="311"/>
        <v>16.100000000000009</v>
      </c>
      <c r="CD43" s="507">
        <f t="shared" si="311"/>
        <v>17.131999999999991</v>
      </c>
      <c r="CE43" s="507">
        <f t="shared" si="311"/>
        <v>17.400000000000006</v>
      </c>
      <c r="CF43" s="507">
        <f t="shared" si="311"/>
        <v>18.129999999999995</v>
      </c>
      <c r="CG43" s="507">
        <f t="shared" si="311"/>
        <v>18.774000000000001</v>
      </c>
      <c r="CH43" s="507">
        <f t="shared" si="311"/>
        <v>20.350000000000001</v>
      </c>
      <c r="CI43" s="507">
        <f t="shared" si="311"/>
        <v>19.77600000000001</v>
      </c>
      <c r="CJ43" s="507">
        <f t="shared" si="311"/>
        <v>19.563000000000009</v>
      </c>
      <c r="CK43" s="507">
        <f t="shared" si="311"/>
        <v>23.000000000000018</v>
      </c>
      <c r="CL43" s="507">
        <f t="shared" si="311"/>
        <v>32.130980810878881</v>
      </c>
      <c r="CM43" s="326">
        <f>SUM(CM41:CM42)</f>
        <v>30.499999999999993</v>
      </c>
      <c r="CN43" s="326">
        <f t="shared" si="311"/>
        <v>30.6</v>
      </c>
    </row>
    <row r="44" spans="1:95">
      <c r="A44" s="178"/>
      <c r="B44" s="784" t="s">
        <v>123</v>
      </c>
      <c r="C44" s="975"/>
      <c r="D44" s="837">
        <f>D34-D59</f>
        <v>1.8259999999999996</v>
      </c>
      <c r="E44" s="837">
        <f>E34-E59</f>
        <v>2.0399999999999991</v>
      </c>
      <c r="F44" s="837">
        <v>1.319</v>
      </c>
      <c r="G44" s="837">
        <v>3.1680000000000001</v>
      </c>
      <c r="H44" s="837">
        <v>5.2679999999999998</v>
      </c>
      <c r="I44" s="837">
        <v>7.4390000000000001</v>
      </c>
      <c r="J44" s="837">
        <v>10.853999999999999</v>
      </c>
      <c r="K44" s="837">
        <f>14.741-0.05</f>
        <v>14.690999999999999</v>
      </c>
      <c r="L44" s="837">
        <v>18.748999999999999</v>
      </c>
      <c r="M44" s="837">
        <v>23.277000000000001</v>
      </c>
      <c r="N44" s="837">
        <v>27.286999999999999</v>
      </c>
      <c r="O44" s="837">
        <v>30.754000000000001</v>
      </c>
      <c r="P44" s="837">
        <v>33.231999999999999</v>
      </c>
      <c r="Q44" s="837">
        <v>35.53</v>
      </c>
      <c r="R44" s="837">
        <v>39.124000000000002</v>
      </c>
      <c r="S44" s="837">
        <v>40.901000000000003</v>
      </c>
      <c r="T44" s="837">
        <f>69.7-15.8</f>
        <v>53.900000000000006</v>
      </c>
      <c r="U44" s="837">
        <v>61.1</v>
      </c>
      <c r="V44" s="280">
        <f>V266+V296+V347</f>
        <v>27.700000000000024</v>
      </c>
      <c r="W44" s="280">
        <f>W266+W296+W347</f>
        <v>28.499999999999979</v>
      </c>
      <c r="X44" s="837">
        <v>56.2</v>
      </c>
      <c r="Y44" s="280">
        <f>Y266+Y296+Y347</f>
        <v>109.10000000000002</v>
      </c>
      <c r="Z44" s="280">
        <f>Z266+Z296+Z347</f>
        <v>105.79999999999995</v>
      </c>
      <c r="AA44" s="837">
        <f>54.5+174.8</f>
        <v>229.3</v>
      </c>
      <c r="AB44" s="280">
        <f>AB266+AB296+AB347</f>
        <v>109.09999999999994</v>
      </c>
      <c r="AC44" s="280">
        <f>AC266+AC296+AC347</f>
        <v>109.4</v>
      </c>
      <c r="AD44" s="837">
        <v>218.5</v>
      </c>
      <c r="AE44" s="280">
        <f>AE266+AE296+AE347</f>
        <v>108.50000000000003</v>
      </c>
      <c r="AF44" s="280">
        <f>AF266+AF296+AF347</f>
        <v>110.79999999999988</v>
      </c>
      <c r="AG44" s="1115">
        <v>219.3</v>
      </c>
      <c r="AH44" s="1188">
        <f>AH266+AH296+AH347</f>
        <v>113.40000000000003</v>
      </c>
      <c r="AI44" s="201">
        <f t="shared" ref="AI44" si="312">AI266+AI296+AI347</f>
        <v>110.80000000000001</v>
      </c>
      <c r="AJ44" s="1237">
        <v>224.2</v>
      </c>
      <c r="AK44" s="1188">
        <f>AK266+AK296+AK347</f>
        <v>118.5</v>
      </c>
      <c r="AL44" s="1188">
        <f>AL266+AL296+AL347</f>
        <v>118.59999999999991</v>
      </c>
      <c r="AM44" s="1893">
        <v>237.1</v>
      </c>
      <c r="AN44" s="1582">
        <f>AN266+AN296+AN347+AN389</f>
        <v>125.99999999999996</v>
      </c>
      <c r="AO44" s="280">
        <f t="shared" ref="AO44:BB44" si="313">AO266+AO296+AO347+AO389</f>
        <v>132.80000000000007</v>
      </c>
      <c r="AP44" s="1535">
        <f>61.5+197.3</f>
        <v>258.8</v>
      </c>
      <c r="AQ44" s="1731">
        <v>135</v>
      </c>
      <c r="AR44" s="280">
        <f t="shared" si="313"/>
        <v>133.46491574585644</v>
      </c>
      <c r="AS44" s="305">
        <f t="shared" si="313"/>
        <v>268.46491574585639</v>
      </c>
      <c r="AT44" s="280">
        <f t="shared" si="313"/>
        <v>138.43199999999996</v>
      </c>
      <c r="AU44" s="280">
        <f t="shared" si="313"/>
        <v>136.83962071823211</v>
      </c>
      <c r="AV44" s="305">
        <f t="shared" si="313"/>
        <v>275.2716207182321</v>
      </c>
      <c r="AW44" s="280">
        <f t="shared" si="313"/>
        <v>140.20102500000002</v>
      </c>
      <c r="AX44" s="280">
        <f t="shared" si="313"/>
        <v>142.05032077727901</v>
      </c>
      <c r="AY44" s="305">
        <f t="shared" si="313"/>
        <v>282.25134577727903</v>
      </c>
      <c r="AZ44" s="280">
        <f t="shared" si="313"/>
        <v>143.75776950000002</v>
      </c>
      <c r="BA44" s="280">
        <f t="shared" si="313"/>
        <v>145.65073249903486</v>
      </c>
      <c r="BB44" s="305">
        <f t="shared" si="313"/>
        <v>289.40850199903485</v>
      </c>
      <c r="BC44" s="1268"/>
      <c r="BD44" s="360"/>
      <c r="BE44" s="360"/>
      <c r="BF44" s="360"/>
      <c r="BG44" s="360"/>
      <c r="BH44" s="323"/>
      <c r="BI44" s="325"/>
      <c r="BJ44" s="325"/>
      <c r="BK44" s="360">
        <f>BK34-BK59</f>
        <v>1.4000000000000004</v>
      </c>
      <c r="BL44" s="360">
        <f>G44-BK44</f>
        <v>1.7679999999999998</v>
      </c>
      <c r="BM44" s="360">
        <f>BM34-BM59</f>
        <v>2.5</v>
      </c>
      <c r="BN44" s="360">
        <f>H44-BM44</f>
        <v>2.7679999999999998</v>
      </c>
      <c r="BO44" s="360">
        <f>BO34-BO59</f>
        <v>3.6000000000000014</v>
      </c>
      <c r="BP44" s="360">
        <f>I44-BO44</f>
        <v>3.8389999999999986</v>
      </c>
      <c r="BQ44" s="360">
        <f>BQ34-BQ59</f>
        <v>5</v>
      </c>
      <c r="BR44" s="360">
        <f>J44-BQ44</f>
        <v>5.8539999999999992</v>
      </c>
      <c r="BS44" s="360">
        <f>BS34-BS59</f>
        <v>6.7999999999999972</v>
      </c>
      <c r="BT44" s="360">
        <f>K44-BS44</f>
        <v>7.8910000000000018</v>
      </c>
      <c r="BU44" s="360">
        <f>BU34-BU59</f>
        <v>8.7000000000000028</v>
      </c>
      <c r="BV44" s="360">
        <f>L44-BU44</f>
        <v>10.048999999999996</v>
      </c>
      <c r="BW44" s="360">
        <f>BW34-BW59</f>
        <v>11.202999999999989</v>
      </c>
      <c r="BX44" s="360">
        <f>M44-BW44</f>
        <v>12.074000000000012</v>
      </c>
      <c r="BY44" s="360">
        <f>BY34-BY59</f>
        <v>13.289999999999992</v>
      </c>
      <c r="BZ44" s="360">
        <f>N44-BY44</f>
        <v>13.997000000000007</v>
      </c>
      <c r="CA44" s="360">
        <f>CA34-CA59</f>
        <v>15.363</v>
      </c>
      <c r="CB44" s="360">
        <f>P44-CA44</f>
        <v>17.869</v>
      </c>
      <c r="CC44" s="360">
        <f>CC34-CC59</f>
        <v>16.100000000000009</v>
      </c>
      <c r="CD44" s="360">
        <f>P44-CC44</f>
        <v>17.131999999999991</v>
      </c>
      <c r="CE44" s="360">
        <f>CE34-CE59</f>
        <v>17.400000000000006</v>
      </c>
      <c r="CF44" s="360">
        <f>Q44-CE44</f>
        <v>18.129999999999995</v>
      </c>
      <c r="CG44" s="360">
        <f>CG34-CG59</f>
        <v>18.774000000000001</v>
      </c>
      <c r="CH44" s="360">
        <f>R44-CG44</f>
        <v>20.350000000000001</v>
      </c>
      <c r="CI44" s="360">
        <f>CI34-CI59</f>
        <v>19.77600000000001</v>
      </c>
      <c r="CJ44" s="360">
        <f>S44-CI44</f>
        <v>21.124999999999993</v>
      </c>
      <c r="CK44" s="360">
        <f>CK34-CK59</f>
        <v>23.099999999999994</v>
      </c>
      <c r="CL44" s="360">
        <f>T44-CK44</f>
        <v>30.800000000000011</v>
      </c>
      <c r="CM44" s="360">
        <f t="shared" ref="CM44:CN44" si="314">CM266+CM296+CM347</f>
        <v>30.499999999999993</v>
      </c>
      <c r="CN44" s="360">
        <f t="shared" si="314"/>
        <v>30.6</v>
      </c>
    </row>
    <row r="45" spans="1:95">
      <c r="A45" s="171" t="s">
        <v>508</v>
      </c>
      <c r="B45" s="782" t="s">
        <v>237</v>
      </c>
      <c r="C45" s="952"/>
      <c r="D45" s="952"/>
      <c r="E45" s="952"/>
      <c r="F45" s="282"/>
      <c r="G45" s="282"/>
      <c r="H45" s="282"/>
      <c r="I45" s="304">
        <f>I41/I7</f>
        <v>7.8651245848844545E-3</v>
      </c>
      <c r="J45" s="304">
        <f t="shared" ref="J45:T45" si="315">J43/J7</f>
        <v>8.4675352638439987E-3</v>
      </c>
      <c r="K45" s="304">
        <f t="shared" si="315"/>
        <v>8.0341732638288827E-3</v>
      </c>
      <c r="L45" s="304">
        <f t="shared" si="315"/>
        <v>8.0562342250520558E-3</v>
      </c>
      <c r="M45" s="304">
        <f t="shared" si="315"/>
        <v>8.5222529765827514E-3</v>
      </c>
      <c r="N45" s="304">
        <f t="shared" si="315"/>
        <v>9.2209081143112791E-3</v>
      </c>
      <c r="O45" s="304">
        <f t="shared" si="315"/>
        <v>9.8324952554389809E-3</v>
      </c>
      <c r="P45" s="304">
        <f t="shared" si="315"/>
        <v>1.0044734614919597E-2</v>
      </c>
      <c r="Q45" s="304">
        <f t="shared" si="315"/>
        <v>1.0198706862527E-2</v>
      </c>
      <c r="R45" s="304">
        <f t="shared" si="315"/>
        <v>1.0712635016877794E-2</v>
      </c>
      <c r="S45" s="304">
        <f t="shared" si="315"/>
        <v>1.0342986804542813E-2</v>
      </c>
      <c r="T45" s="304">
        <f t="shared" si="315"/>
        <v>9.5771144278606977E-3</v>
      </c>
      <c r="U45" s="304">
        <f t="shared" ref="U45:AM45" si="316">U43/U7</f>
        <v>8.9141123090614657E-3</v>
      </c>
      <c r="V45" s="304">
        <f>V43/V7</f>
        <v>7.2065978094024057E-3</v>
      </c>
      <c r="W45" s="304">
        <f>W43/W7</f>
        <v>8.7649157337925891E-3</v>
      </c>
      <c r="X45" s="304">
        <f t="shared" si="316"/>
        <v>7.9207362620326138E-3</v>
      </c>
      <c r="Y45" s="304">
        <f>Y43/Y7</f>
        <v>2.7307769323187833E-2</v>
      </c>
      <c r="Z45" s="304">
        <f>Z43/Z7</f>
        <v>2.6964344878558495E-2</v>
      </c>
      <c r="AA45" s="304">
        <f t="shared" si="316"/>
        <v>2.8956041874502774E-2</v>
      </c>
      <c r="AB45" s="304">
        <f>AB43/AB7</f>
        <v>2.2079656763539211E-2</v>
      </c>
      <c r="AC45" s="304">
        <f t="shared" ref="AC45" si="317">AC43/AC7</f>
        <v>2.7522704973710028E-2</v>
      </c>
      <c r="AD45" s="304">
        <f t="shared" si="316"/>
        <v>2.4506230302486512E-2</v>
      </c>
      <c r="AE45" s="304">
        <f t="shared" ref="AE45:AJ45" si="318">AE43/AE7</f>
        <v>2.2316837385330541E-2</v>
      </c>
      <c r="AF45" s="304">
        <f t="shared" si="318"/>
        <v>2.5353530730858973E-2</v>
      </c>
      <c r="AG45" s="618">
        <f t="shared" si="318"/>
        <v>2.3754332755632584E-2</v>
      </c>
      <c r="AH45" s="618">
        <f t="shared" si="318"/>
        <v>2.1483375959079291E-2</v>
      </c>
      <c r="AI45" s="563">
        <f t="shared" si="318"/>
        <v>2.5483566779364756E-2</v>
      </c>
      <c r="AJ45" s="618">
        <f t="shared" si="318"/>
        <v>2.3290118839857061E-2</v>
      </c>
      <c r="AK45" s="618">
        <f t="shared" ref="AK45" si="319">AK43/AK7</f>
        <v>2.2955773812983086E-2</v>
      </c>
      <c r="AL45" s="618">
        <f t="shared" si="316"/>
        <v>2.6770196149244956E-2</v>
      </c>
      <c r="AM45" s="618">
        <f t="shared" si="316"/>
        <v>2.4717484675367999E-2</v>
      </c>
      <c r="AN45" s="567">
        <f t="shared" ref="AN45:AV45" si="320">AN43/AN7</f>
        <v>2.2220654627539499E-2</v>
      </c>
      <c r="AO45" s="304">
        <f t="shared" si="320"/>
        <v>2.7188600442224237E-2</v>
      </c>
      <c r="AP45" s="567">
        <f t="shared" si="320"/>
        <v>2.4519649827566603E-2</v>
      </c>
      <c r="AQ45" s="1540">
        <f t="shared" ref="AQ45" si="321">AQ43/AQ7</f>
        <v>2.2184608811397954E-2</v>
      </c>
      <c r="AR45" s="304">
        <f t="shared" si="320"/>
        <v>2.6346779989389207E-2</v>
      </c>
      <c r="AS45" s="254">
        <f t="shared" si="320"/>
        <v>2.407540903788645E-2</v>
      </c>
      <c r="AT45" s="304">
        <f t="shared" si="320"/>
        <v>2.1851301774261638E-2</v>
      </c>
      <c r="AU45" s="304">
        <f t="shared" si="320"/>
        <v>2.5897148658539596E-2</v>
      </c>
      <c r="AV45" s="254">
        <f t="shared" si="320"/>
        <v>2.3691205389463441E-2</v>
      </c>
      <c r="AW45" s="304">
        <f t="shared" ref="AW45:AY45" si="322">AW43/AW7</f>
        <v>2.1196930975983571E-2</v>
      </c>
      <c r="AX45" s="304">
        <f t="shared" si="322"/>
        <v>2.5859388182005245E-2</v>
      </c>
      <c r="AY45" s="254">
        <f t="shared" si="322"/>
        <v>2.3312309606948668E-2</v>
      </c>
      <c r="AZ45" s="304">
        <f t="shared" ref="AZ45:BB45" si="323">AZ43/AZ7</f>
        <v>2.0857175093241427E-2</v>
      </c>
      <c r="BA45" s="304">
        <f t="shared" si="323"/>
        <v>2.5444397790955597E-2</v>
      </c>
      <c r="BB45" s="254">
        <f t="shared" si="323"/>
        <v>2.2938416563773847E-2</v>
      </c>
      <c r="BC45" s="563"/>
      <c r="BD45" s="330"/>
      <c r="BE45" s="330"/>
      <c r="BF45" s="330"/>
      <c r="BG45" s="330"/>
      <c r="BH45" s="315"/>
      <c r="BI45" s="317"/>
      <c r="BJ45" s="317"/>
      <c r="BK45" s="328">
        <f t="shared" ref="BK45:CN45" si="324">BK43/BK7</f>
        <v>5.9676298705450591E-3</v>
      </c>
      <c r="BL45" s="328">
        <f t="shared" si="324"/>
        <v>8.1191046942018178E-3</v>
      </c>
      <c r="BM45" s="328">
        <f t="shared" si="324"/>
        <v>6.6458076915919895E-3</v>
      </c>
      <c r="BN45" s="328">
        <f t="shared" si="324"/>
        <v>8.7108123587797317E-3</v>
      </c>
      <c r="BO45" s="328">
        <f t="shared" si="324"/>
        <v>7.0610941557677394E-3</v>
      </c>
      <c r="BP45" s="328">
        <f t="shared" si="324"/>
        <v>8.8053488078718278E-3</v>
      </c>
      <c r="BQ45" s="328">
        <f t="shared" si="324"/>
        <v>7.5884279509119768E-3</v>
      </c>
      <c r="BR45" s="328">
        <f t="shared" si="324"/>
        <v>9.3973888294038421E-3</v>
      </c>
      <c r="BS45" s="328">
        <f t="shared" si="324"/>
        <v>6.8788174908096947E-3</v>
      </c>
      <c r="BT45" s="328">
        <f t="shared" si="324"/>
        <v>9.3938015909107164E-3</v>
      </c>
      <c r="BU45" s="328">
        <f t="shared" si="324"/>
        <v>6.896196390990557E-3</v>
      </c>
      <c r="BV45" s="328">
        <f t="shared" si="324"/>
        <v>9.4294741207899737E-3</v>
      </c>
      <c r="BW45" s="328">
        <f t="shared" si="324"/>
        <v>7.2101862947893253E-3</v>
      </c>
      <c r="BX45" s="328">
        <f t="shared" si="324"/>
        <v>1.0253527250740106E-2</v>
      </c>
      <c r="BY45" s="328">
        <f t="shared" si="324"/>
        <v>7.8983308313037726E-3</v>
      </c>
      <c r="BZ45" s="328">
        <f t="shared" si="324"/>
        <v>1.0964116937003136E-2</v>
      </c>
      <c r="CA45" s="328">
        <f t="shared" si="324"/>
        <v>8.6565329129123375E-3</v>
      </c>
      <c r="CB45" s="328">
        <f t="shared" si="324"/>
        <v>1.3206332595008511E-2</v>
      </c>
      <c r="CC45" s="328">
        <f t="shared" si="324"/>
        <v>8.8644282058397365E-3</v>
      </c>
      <c r="CD45" s="328">
        <f t="shared" si="324"/>
        <v>1.1481404039266771E-2</v>
      </c>
      <c r="CE45" s="328">
        <f t="shared" si="324"/>
        <v>8.9694744042645245E-3</v>
      </c>
      <c r="CF45" s="328">
        <f t="shared" si="324"/>
        <v>1.1743277572736419E-2</v>
      </c>
      <c r="CG45" s="328">
        <f t="shared" si="324"/>
        <v>9.5534789237248299E-3</v>
      </c>
      <c r="CH45" s="328">
        <f t="shared" si="324"/>
        <v>1.2062919238311121E-2</v>
      </c>
      <c r="CI45" s="328">
        <f t="shared" si="324"/>
        <v>9.3423285999687314E-3</v>
      </c>
      <c r="CJ45" s="328">
        <f t="shared" si="324"/>
        <v>1.0645661578646645E-2</v>
      </c>
      <c r="CK45" s="328">
        <f t="shared" si="324"/>
        <v>8.7913768060545912E-3</v>
      </c>
      <c r="CL45" s="328">
        <f t="shared" si="324"/>
        <v>1.0668364702463269E-2</v>
      </c>
      <c r="CM45" s="328">
        <f t="shared" si="324"/>
        <v>8.2660306791695996E-3</v>
      </c>
      <c r="CN45" s="328">
        <f t="shared" si="324"/>
        <v>9.6697740559330073E-3</v>
      </c>
    </row>
    <row r="46" spans="1:95">
      <c r="A46" s="165"/>
      <c r="B46" s="976" t="s">
        <v>782</v>
      </c>
      <c r="C46" s="977"/>
      <c r="D46" s="977"/>
      <c r="E46" s="977"/>
      <c r="F46" s="978"/>
      <c r="G46" s="978"/>
      <c r="H46" s="978"/>
      <c r="I46" s="313"/>
      <c r="J46" s="313">
        <f>J43/I43-1</f>
        <v>0.45906707890845522</v>
      </c>
      <c r="K46" s="313">
        <f t="shared" ref="K46:U46" si="325">K43/J43-1</f>
        <v>0.35351022664455511</v>
      </c>
      <c r="L46" s="313">
        <f t="shared" si="325"/>
        <v>0.27622353822067924</v>
      </c>
      <c r="M46" s="313">
        <f t="shared" si="325"/>
        <v>0.24150621366472902</v>
      </c>
      <c r="N46" s="313">
        <f t="shared" si="325"/>
        <v>0.17227305924302949</v>
      </c>
      <c r="O46" s="313">
        <f t="shared" si="325"/>
        <v>0.12705684025360076</v>
      </c>
      <c r="P46" s="313">
        <f t="shared" si="325"/>
        <v>8.0574884567861105E-2</v>
      </c>
      <c r="Q46" s="313">
        <f t="shared" si="325"/>
        <v>6.9150216658642405E-2</v>
      </c>
      <c r="R46" s="313">
        <f t="shared" si="325"/>
        <v>0.10115395440472841</v>
      </c>
      <c r="S46" s="313">
        <f t="shared" si="325"/>
        <v>4.5419691238114845E-2</v>
      </c>
      <c r="T46" s="313">
        <f t="shared" si="325"/>
        <v>0.3178161903131953</v>
      </c>
      <c r="U46" s="266">
        <f t="shared" si="325"/>
        <v>0.13358070500927632</v>
      </c>
      <c r="V46" s="266">
        <f>V43/CM43-1</f>
        <v>-9.180327868852356E-2</v>
      </c>
      <c r="W46" s="266">
        <f>W43/CN43-1</f>
        <v>-6.8627450980392912E-2</v>
      </c>
      <c r="X46" s="266">
        <f t="shared" ref="X46:AM46" si="326">X43/U43-1</f>
        <v>-8.0196399345335512E-2</v>
      </c>
      <c r="Y46" s="266">
        <f t="shared" si="326"/>
        <v>2.9386281588447627</v>
      </c>
      <c r="Z46" s="266">
        <f t="shared" si="326"/>
        <v>2.7122807017543873</v>
      </c>
      <c r="AA46" s="266">
        <f t="shared" si="326"/>
        <v>3.080071174377224</v>
      </c>
      <c r="AB46" s="266">
        <f t="shared" si="326"/>
        <v>0</v>
      </c>
      <c r="AC46" s="266">
        <f t="shared" si="326"/>
        <v>3.4026465028355934E-2</v>
      </c>
      <c r="AD46" s="266">
        <f t="shared" si="326"/>
        <v>-4.7099869167030128E-2</v>
      </c>
      <c r="AE46" s="266">
        <f t="shared" si="326"/>
        <v>-5.4995417048571138E-3</v>
      </c>
      <c r="AF46" s="266">
        <f t="shared" si="326"/>
        <v>1.279707495429494E-2</v>
      </c>
      <c r="AG46" s="1116">
        <f t="shared" si="326"/>
        <v>3.6613272311212253E-3</v>
      </c>
      <c r="AH46" s="1116">
        <f t="shared" si="326"/>
        <v>4.5161290322580649E-2</v>
      </c>
      <c r="AI46" s="653">
        <f t="shared" si="326"/>
        <v>0</v>
      </c>
      <c r="AJ46" s="1116">
        <f t="shared" si="326"/>
        <v>2.2343821249429796E-2</v>
      </c>
      <c r="AK46" s="1116">
        <f t="shared" si="326"/>
        <v>4.4973544973544666E-2</v>
      </c>
      <c r="AL46" s="1116">
        <f t="shared" ref="AL46" si="327">AL43/AI43-1</f>
        <v>7.0397111913356403E-2</v>
      </c>
      <c r="AM46" s="1116">
        <f t="shared" si="326"/>
        <v>5.7537912578055295E-2</v>
      </c>
      <c r="AN46" s="1254">
        <f t="shared" ref="AN46" si="328">AN43/AK43-1</f>
        <v>6.3291139240506E-2</v>
      </c>
      <c r="AO46" s="266">
        <f>AO43/AL43-1</f>
        <v>0.11973018549747194</v>
      </c>
      <c r="AP46" s="1254">
        <f>AP43/AM43-1</f>
        <v>9.1522564318852861E-2</v>
      </c>
      <c r="AQ46" s="1596">
        <f>AQ43/AN43-1</f>
        <v>7.1428571428571619E-2</v>
      </c>
      <c r="AR46" s="266">
        <f t="shared" ref="AR46" si="329">AR43/AO43-1</f>
        <v>5.0068956766293748E-3</v>
      </c>
      <c r="AS46" s="266">
        <f t="shared" ref="AS46" si="330">AS43/AP43-1</f>
        <v>3.734511493762116E-2</v>
      </c>
      <c r="AT46" s="266">
        <f t="shared" ref="AT46" si="331">AT43/AQ43-1</f>
        <v>2.5422222222222235E-2</v>
      </c>
      <c r="AU46" s="266">
        <f t="shared" ref="AU46" si="332">AU43/AR43-1</f>
        <v>2.5285334003445348E-2</v>
      </c>
      <c r="AV46" s="266">
        <f t="shared" ref="AV46" si="333">AV43/AS43-1</f>
        <v>2.5354169476727195E-2</v>
      </c>
      <c r="AW46" s="266">
        <f t="shared" ref="AW46" si="334">AW43/AT43-1</f>
        <v>1.2779017857143193E-2</v>
      </c>
      <c r="AX46" s="266">
        <f t="shared" ref="AX46" si="335">AX43/AU43-1</f>
        <v>3.8078884110445577E-2</v>
      </c>
      <c r="AY46" s="266">
        <f t="shared" ref="AY46" si="336">AY43/AV43-1</f>
        <v>2.535577420162527E-2</v>
      </c>
      <c r="AZ46" s="266">
        <f t="shared" ref="AZ46" si="337">AZ43/AW43-1</f>
        <v>2.5368890847980552E-2</v>
      </c>
      <c r="BA46" s="266">
        <f t="shared" ref="BA46" si="338">BA43/AX43-1</f>
        <v>2.5346030209963066E-2</v>
      </c>
      <c r="BB46" s="266">
        <f t="shared" ref="BB46" si="339">BB43/AY43-1</f>
        <v>2.5357385638130614E-2</v>
      </c>
      <c r="BC46" s="653"/>
      <c r="BD46" s="376"/>
      <c r="BE46" s="376"/>
      <c r="BF46" s="376"/>
      <c r="BG46" s="376"/>
      <c r="BH46" s="547"/>
      <c r="BI46" s="548"/>
      <c r="BJ46" s="548"/>
      <c r="BK46" s="376"/>
      <c r="BL46" s="376"/>
      <c r="BM46" s="376"/>
      <c r="BN46" s="376"/>
      <c r="BO46" s="376"/>
      <c r="BP46" s="376"/>
      <c r="BQ46" s="376"/>
      <c r="BR46" s="376"/>
      <c r="BS46" s="376"/>
      <c r="BT46" s="376"/>
      <c r="BU46" s="376"/>
      <c r="BV46" s="376"/>
      <c r="BW46" s="376"/>
      <c r="BX46" s="376"/>
      <c r="BY46" s="376"/>
      <c r="BZ46" s="376"/>
      <c r="CA46" s="376"/>
      <c r="CB46" s="376"/>
      <c r="CC46" s="376"/>
      <c r="CD46" s="376"/>
      <c r="CE46" s="376"/>
      <c r="CF46" s="376"/>
      <c r="CG46" s="376"/>
      <c r="CH46" s="376"/>
      <c r="CI46" s="376"/>
      <c r="CJ46" s="376"/>
      <c r="CK46" s="376"/>
      <c r="CL46" s="376"/>
      <c r="CM46" s="376"/>
      <c r="CN46" s="376"/>
    </row>
    <row r="47" spans="1:95">
      <c r="A47" s="171"/>
      <c r="B47" s="783" t="s">
        <v>238</v>
      </c>
      <c r="C47" s="979"/>
      <c r="D47" s="279"/>
      <c r="E47" s="279"/>
      <c r="F47" s="279">
        <f t="shared" ref="F47:U47" si="340">F412/F44</f>
        <v>4.7407126611068993</v>
      </c>
      <c r="G47" s="279">
        <f t="shared" si="340"/>
        <v>3.245580808080808</v>
      </c>
      <c r="H47" s="279">
        <f t="shared" si="340"/>
        <v>3.0015186028853456</v>
      </c>
      <c r="I47" s="279">
        <f t="shared" si="340"/>
        <v>3.9045570641215215</v>
      </c>
      <c r="J47" s="279">
        <f t="shared" si="340"/>
        <v>3.1698912843191454</v>
      </c>
      <c r="K47" s="279">
        <f t="shared" si="340"/>
        <v>3.5105166428425569</v>
      </c>
      <c r="L47" s="279">
        <f t="shared" si="340"/>
        <v>2.3704730918982349</v>
      </c>
      <c r="M47" s="279">
        <f t="shared" si="340"/>
        <v>2.3396485801434892</v>
      </c>
      <c r="N47" s="279">
        <f t="shared" si="340"/>
        <v>1.6514457433942904</v>
      </c>
      <c r="O47" s="279">
        <f t="shared" si="340"/>
        <v>1.4982766469402355</v>
      </c>
      <c r="P47" s="279">
        <f t="shared" si="340"/>
        <v>1.0624398170438132</v>
      </c>
      <c r="Q47" s="279">
        <f t="shared" si="340"/>
        <v>1.0108077680833099</v>
      </c>
      <c r="R47" s="279">
        <f t="shared" si="340"/>
        <v>1.0854207136284633</v>
      </c>
      <c r="S47" s="279">
        <f t="shared" si="340"/>
        <v>1.2797486614019218</v>
      </c>
      <c r="T47" s="279">
        <f t="shared" si="340"/>
        <v>0.91094619666048227</v>
      </c>
      <c r="U47" s="279">
        <f t="shared" si="340"/>
        <v>0.89034369885433706</v>
      </c>
      <c r="V47" s="293"/>
      <c r="W47" s="293"/>
      <c r="X47" s="279">
        <f>X412/X44</f>
        <v>1.0551601423487544</v>
      </c>
      <c r="Y47" s="279">
        <f>Y412/Y44</f>
        <v>0</v>
      </c>
      <c r="Z47" s="293"/>
      <c r="AA47" s="279">
        <f>AA412/AA44</f>
        <v>0.18796336676842565</v>
      </c>
      <c r="AB47" s="279">
        <f>AB412/AB44</f>
        <v>0</v>
      </c>
      <c r="AC47" s="293"/>
      <c r="AD47" s="279">
        <f>AD412/AD44</f>
        <v>0.26407322654462245</v>
      </c>
      <c r="AE47" s="279">
        <f>AE412/AE44</f>
        <v>0</v>
      </c>
      <c r="AF47" s="293"/>
      <c r="AG47" s="279">
        <f t="shared" ref="AG47:BB47" si="341">AG412/AG44</f>
        <v>0.26265389876880985</v>
      </c>
      <c r="AH47" s="279">
        <f t="shared" si="341"/>
        <v>0.30070546737213394</v>
      </c>
      <c r="AI47" s="179">
        <f t="shared" si="341"/>
        <v>0.34205776173285196</v>
      </c>
      <c r="AJ47" s="279">
        <f t="shared" si="341"/>
        <v>0.32114183764495985</v>
      </c>
      <c r="AK47" s="279">
        <f t="shared" si="341"/>
        <v>0.30970464135021097</v>
      </c>
      <c r="AL47" s="581">
        <f t="shared" si="341"/>
        <v>0.31871838111298506</v>
      </c>
      <c r="AM47" s="279">
        <f t="shared" si="341"/>
        <v>0.31421341206242093</v>
      </c>
      <c r="AN47" s="179">
        <f t="shared" si="341"/>
        <v>0.30714285714285727</v>
      </c>
      <c r="AO47" s="293">
        <f t="shared" si="341"/>
        <v>0.328313253012048</v>
      </c>
      <c r="AP47" s="179">
        <f t="shared" si="341"/>
        <v>0.31800618238021638</v>
      </c>
      <c r="AQ47" s="1371">
        <f t="shared" ref="AQ47" si="342">AQ412/AQ44</f>
        <v>0.34740740740740739</v>
      </c>
      <c r="AR47" s="293">
        <f t="shared" si="341"/>
        <v>0.31699723921821116</v>
      </c>
      <c r="AS47" s="208">
        <f t="shared" si="341"/>
        <v>0.33228926608934201</v>
      </c>
      <c r="AT47" s="279">
        <f t="shared" si="341"/>
        <v>0.35671939161860944</v>
      </c>
      <c r="AU47" s="293">
        <f t="shared" si="341"/>
        <v>0.36087047421907897</v>
      </c>
      <c r="AV47" s="208">
        <f t="shared" si="341"/>
        <v>0.35878292641793308</v>
      </c>
      <c r="AW47" s="279">
        <f t="shared" si="341"/>
        <v>0.36701892630387145</v>
      </c>
      <c r="AX47" s="293">
        <f t="shared" si="341"/>
        <v>0.36224085507614506</v>
      </c>
      <c r="AY47" s="208">
        <f t="shared" si="341"/>
        <v>0.36461423785597014</v>
      </c>
      <c r="AZ47" s="279">
        <f t="shared" si="341"/>
        <v>0.37299709917091745</v>
      </c>
      <c r="BA47" s="293">
        <f t="shared" si="341"/>
        <v>0.36814940842907684</v>
      </c>
      <c r="BB47" s="208">
        <f t="shared" si="341"/>
        <v>0.3705573999132909</v>
      </c>
      <c r="BC47" s="179"/>
      <c r="BD47" s="320"/>
      <c r="BE47" s="320"/>
      <c r="BF47" s="320"/>
      <c r="BG47" s="320"/>
      <c r="BH47" s="318"/>
      <c r="BI47" s="322"/>
      <c r="BJ47" s="322"/>
      <c r="BK47" s="320"/>
      <c r="BL47" s="320"/>
      <c r="BM47" s="321"/>
      <c r="BN47" s="321"/>
      <c r="BO47" s="321"/>
      <c r="BP47" s="321"/>
      <c r="BQ47" s="321"/>
      <c r="BR47" s="321"/>
      <c r="BS47" s="321"/>
      <c r="BT47" s="321"/>
      <c r="BU47" s="321"/>
      <c r="BV47" s="321"/>
      <c r="BW47" s="321"/>
      <c r="BX47" s="321"/>
      <c r="BY47" s="321"/>
      <c r="BZ47" s="321"/>
      <c r="CA47" s="321"/>
      <c r="CB47" s="321"/>
      <c r="CC47" s="321"/>
      <c r="CD47" s="321"/>
      <c r="CE47" s="321"/>
      <c r="CF47" s="320"/>
      <c r="CG47" s="321"/>
      <c r="CH47" s="321"/>
      <c r="CI47" s="321"/>
      <c r="CJ47" s="321"/>
      <c r="CK47" s="321"/>
      <c r="CL47" s="321"/>
      <c r="CM47" s="321"/>
      <c r="CN47" s="321"/>
    </row>
    <row r="48" spans="1:95">
      <c r="A48" s="171"/>
      <c r="B48" s="783"/>
      <c r="C48" s="9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93"/>
      <c r="W48" s="293"/>
      <c r="X48" s="279"/>
      <c r="Y48" s="279"/>
      <c r="Z48" s="293"/>
      <c r="AA48" s="279"/>
      <c r="AB48" s="279"/>
      <c r="AC48" s="293"/>
      <c r="AD48" s="279"/>
      <c r="AE48" s="279"/>
      <c r="AF48" s="293"/>
      <c r="AG48" s="279"/>
      <c r="AH48" s="179"/>
      <c r="AI48" s="566"/>
      <c r="AJ48" s="179"/>
      <c r="AK48" s="179"/>
      <c r="AL48" s="581"/>
      <c r="AM48" s="179"/>
      <c r="AN48" s="179"/>
      <c r="AO48" s="293"/>
      <c r="AP48" s="179"/>
      <c r="AQ48" s="1371"/>
      <c r="AR48" s="293"/>
      <c r="AS48" s="208"/>
      <c r="AT48" s="279"/>
      <c r="AU48" s="293"/>
      <c r="AV48" s="208"/>
      <c r="AW48" s="279"/>
      <c r="AX48" s="293"/>
      <c r="AY48" s="208"/>
      <c r="AZ48" s="279"/>
      <c r="BA48" s="293"/>
      <c r="BB48" s="208"/>
      <c r="BC48" s="179"/>
      <c r="BD48" s="320"/>
      <c r="BE48" s="320"/>
      <c r="BF48" s="320"/>
      <c r="BG48" s="320"/>
      <c r="BH48" s="318"/>
      <c r="BI48" s="322"/>
      <c r="BJ48" s="322"/>
      <c r="BK48" s="320"/>
      <c r="BL48" s="320"/>
      <c r="BM48" s="321"/>
      <c r="BN48" s="321"/>
      <c r="BO48" s="321"/>
      <c r="BP48" s="321"/>
      <c r="BQ48" s="321"/>
      <c r="BR48" s="321"/>
      <c r="BS48" s="321"/>
      <c r="BT48" s="321"/>
      <c r="BU48" s="321"/>
      <c r="BV48" s="321"/>
      <c r="BW48" s="321"/>
      <c r="BX48" s="321"/>
      <c r="BY48" s="321"/>
      <c r="BZ48" s="321"/>
      <c r="CA48" s="321"/>
      <c r="CB48" s="321"/>
      <c r="CC48" s="321"/>
      <c r="CD48" s="321"/>
      <c r="CE48" s="321"/>
      <c r="CF48" s="320"/>
      <c r="CG48" s="321"/>
      <c r="CH48" s="321"/>
      <c r="CI48" s="321"/>
      <c r="CJ48" s="321"/>
      <c r="CK48" s="321"/>
      <c r="CL48" s="321"/>
      <c r="CM48" s="321"/>
      <c r="CN48" s="321"/>
    </row>
    <row r="49" spans="1:92">
      <c r="A49" s="171"/>
      <c r="B49" s="783" t="s">
        <v>892</v>
      </c>
      <c r="C49" s="9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93"/>
      <c r="W49" s="293"/>
      <c r="X49" s="279"/>
      <c r="Y49" s="279"/>
      <c r="Z49" s="293"/>
      <c r="AA49" s="279"/>
      <c r="AB49" s="279"/>
      <c r="AC49" s="293"/>
      <c r="AD49" s="842">
        <v>51.8</v>
      </c>
      <c r="AE49" s="279"/>
      <c r="AF49" s="293"/>
      <c r="AG49" s="842">
        <v>52</v>
      </c>
      <c r="AH49" s="179"/>
      <c r="AI49" s="179"/>
      <c r="AJ49" s="179"/>
      <c r="AK49" s="179"/>
      <c r="AL49" s="208"/>
      <c r="AM49" s="179"/>
      <c r="AN49" s="179"/>
      <c r="AO49" s="208"/>
      <c r="AP49" s="179"/>
      <c r="AQ49" s="1371"/>
      <c r="AR49" s="293"/>
      <c r="AS49" s="208"/>
      <c r="AT49" s="279"/>
      <c r="AU49" s="293"/>
      <c r="AV49" s="208"/>
      <c r="AW49" s="279"/>
      <c r="AX49" s="293"/>
      <c r="AY49" s="208"/>
      <c r="AZ49" s="279"/>
      <c r="BA49" s="293"/>
      <c r="BB49" s="208"/>
      <c r="BC49" s="179"/>
      <c r="BD49" s="320"/>
      <c r="BE49" s="320"/>
      <c r="BF49" s="320"/>
      <c r="BG49" s="320"/>
      <c r="BH49" s="318"/>
      <c r="BI49" s="322"/>
      <c r="BJ49" s="322"/>
      <c r="BK49" s="320"/>
      <c r="BL49" s="320"/>
      <c r="BM49" s="321"/>
      <c r="BN49" s="321"/>
      <c r="BO49" s="321"/>
      <c r="BP49" s="321"/>
      <c r="BQ49" s="321"/>
      <c r="BR49" s="321"/>
      <c r="BS49" s="321"/>
      <c r="BT49" s="321"/>
      <c r="BU49" s="321"/>
      <c r="BV49" s="321"/>
      <c r="BW49" s="321"/>
      <c r="BX49" s="321"/>
      <c r="BY49" s="321"/>
      <c r="BZ49" s="321"/>
      <c r="CA49" s="321"/>
      <c r="CB49" s="321"/>
      <c r="CC49" s="321"/>
      <c r="CD49" s="321"/>
      <c r="CE49" s="321"/>
      <c r="CF49" s="320"/>
      <c r="CG49" s="321"/>
      <c r="CH49" s="321"/>
      <c r="CI49" s="321"/>
      <c r="CJ49" s="321"/>
      <c r="CK49" s="321"/>
      <c r="CL49" s="321"/>
      <c r="CM49" s="321"/>
      <c r="CN49" s="321"/>
    </row>
    <row r="50" spans="1:92">
      <c r="A50" s="171"/>
      <c r="B50" s="783" t="s">
        <v>893</v>
      </c>
      <c r="C50" s="9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93"/>
      <c r="W50" s="293"/>
      <c r="X50" s="279"/>
      <c r="Y50" s="279"/>
      <c r="Z50" s="293"/>
      <c r="AA50" s="279"/>
      <c r="AB50" s="279"/>
      <c r="AC50" s="293"/>
      <c r="AD50" s="842">
        <v>3</v>
      </c>
      <c r="AE50" s="279"/>
      <c r="AF50" s="293"/>
      <c r="AG50" s="842">
        <v>1.8</v>
      </c>
      <c r="AH50" s="179"/>
      <c r="AI50" s="179"/>
      <c r="AJ50" s="179"/>
      <c r="AK50" s="179"/>
      <c r="AL50" s="208"/>
      <c r="AM50" s="179"/>
      <c r="AN50" s="179"/>
      <c r="AO50" s="208"/>
      <c r="AP50" s="179"/>
      <c r="AQ50" s="1371"/>
      <c r="AR50" s="293"/>
      <c r="AS50" s="208"/>
      <c r="AT50" s="279"/>
      <c r="AU50" s="293"/>
      <c r="AV50" s="208"/>
      <c r="AW50" s="279"/>
      <c r="AX50" s="293"/>
      <c r="AY50" s="208"/>
      <c r="AZ50" s="279"/>
      <c r="BA50" s="293"/>
      <c r="BB50" s="208"/>
      <c r="BC50" s="179"/>
      <c r="BD50" s="320"/>
      <c r="BE50" s="320"/>
      <c r="BF50" s="320"/>
      <c r="BG50" s="320"/>
      <c r="BH50" s="318"/>
      <c r="BI50" s="322"/>
      <c r="BJ50" s="322"/>
      <c r="BK50" s="320"/>
      <c r="BL50" s="320"/>
      <c r="BM50" s="321"/>
      <c r="BN50" s="321"/>
      <c r="BO50" s="321"/>
      <c r="BP50" s="321"/>
      <c r="BQ50" s="321"/>
      <c r="BR50" s="321"/>
      <c r="BS50" s="321"/>
      <c r="BT50" s="321"/>
      <c r="BU50" s="321"/>
      <c r="BV50" s="321"/>
      <c r="BW50" s="321"/>
      <c r="BX50" s="321"/>
      <c r="BY50" s="321"/>
      <c r="BZ50" s="321"/>
      <c r="CA50" s="321"/>
      <c r="CB50" s="321"/>
      <c r="CC50" s="321"/>
      <c r="CD50" s="321"/>
      <c r="CE50" s="321"/>
      <c r="CF50" s="320"/>
      <c r="CG50" s="321"/>
      <c r="CH50" s="321"/>
      <c r="CI50" s="321"/>
      <c r="CJ50" s="321"/>
      <c r="CK50" s="321"/>
      <c r="CL50" s="321"/>
      <c r="CM50" s="321"/>
      <c r="CN50" s="321"/>
    </row>
    <row r="51" spans="1:92">
      <c r="A51" s="171"/>
      <c r="B51" s="783" t="s">
        <v>894</v>
      </c>
      <c r="C51" s="9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93"/>
      <c r="W51" s="293"/>
      <c r="X51" s="279"/>
      <c r="Y51" s="279"/>
      <c r="Z51" s="293"/>
      <c r="AA51" s="279"/>
      <c r="AB51" s="279"/>
      <c r="AC51" s="293"/>
      <c r="AD51" s="842">
        <v>159.1</v>
      </c>
      <c r="AE51" s="279"/>
      <c r="AF51" s="293"/>
      <c r="AG51" s="842">
        <v>162.80000000000001</v>
      </c>
      <c r="AH51" s="179"/>
      <c r="AI51" s="179"/>
      <c r="AJ51" s="179"/>
      <c r="AK51" s="179"/>
      <c r="AL51" s="208"/>
      <c r="AM51" s="179"/>
      <c r="AN51" s="179"/>
      <c r="AO51" s="208"/>
      <c r="AP51" s="179"/>
      <c r="AQ51" s="1371"/>
      <c r="AR51" s="293"/>
      <c r="AS51" s="208"/>
      <c r="AT51" s="279"/>
      <c r="AU51" s="293"/>
      <c r="AV51" s="208"/>
      <c r="AW51" s="279"/>
      <c r="AX51" s="293"/>
      <c r="AY51" s="208"/>
      <c r="AZ51" s="279"/>
      <c r="BA51" s="293"/>
      <c r="BB51" s="208"/>
      <c r="BC51" s="179"/>
      <c r="BD51" s="320"/>
      <c r="BE51" s="320"/>
      <c r="BF51" s="320"/>
      <c r="BG51" s="320"/>
      <c r="BH51" s="318"/>
      <c r="BI51" s="322"/>
      <c r="BJ51" s="322"/>
      <c r="BK51" s="320"/>
      <c r="BL51" s="320"/>
      <c r="BM51" s="321"/>
      <c r="BN51" s="321"/>
      <c r="BO51" s="321"/>
      <c r="BP51" s="321"/>
      <c r="BQ51" s="321"/>
      <c r="BR51" s="321"/>
      <c r="BS51" s="321"/>
      <c r="BT51" s="321"/>
      <c r="BU51" s="321"/>
      <c r="BV51" s="321"/>
      <c r="BW51" s="321"/>
      <c r="BX51" s="321"/>
      <c r="BY51" s="321"/>
      <c r="BZ51" s="321"/>
      <c r="CA51" s="321"/>
      <c r="CB51" s="321"/>
      <c r="CC51" s="321"/>
      <c r="CD51" s="321"/>
      <c r="CE51" s="321"/>
      <c r="CF51" s="320"/>
      <c r="CG51" s="321"/>
      <c r="CH51" s="321"/>
      <c r="CI51" s="321"/>
      <c r="CJ51" s="321"/>
      <c r="CK51" s="321"/>
      <c r="CL51" s="321"/>
      <c r="CM51" s="321"/>
      <c r="CN51" s="321"/>
    </row>
    <row r="52" spans="1:92">
      <c r="A52" s="171"/>
      <c r="B52" s="783" t="s">
        <v>895</v>
      </c>
      <c r="C52" s="9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93"/>
      <c r="W52" s="293"/>
      <c r="X52" s="279"/>
      <c r="Y52" s="279"/>
      <c r="Z52" s="293"/>
      <c r="AA52" s="279"/>
      <c r="AB52" s="279"/>
      <c r="AC52" s="293"/>
      <c r="AD52" s="842">
        <v>4.5999999999999996</v>
      </c>
      <c r="AE52" s="279"/>
      <c r="AF52" s="293"/>
      <c r="AG52" s="842">
        <v>2.7</v>
      </c>
      <c r="AH52" s="179"/>
      <c r="AI52" s="179"/>
      <c r="AJ52" s="179"/>
      <c r="AK52" s="179"/>
      <c r="AL52" s="208"/>
      <c r="AM52" s="179"/>
      <c r="AN52" s="179"/>
      <c r="AO52" s="208"/>
      <c r="AP52" s="179"/>
      <c r="AQ52" s="1371"/>
      <c r="AR52" s="293"/>
      <c r="AS52" s="208"/>
      <c r="AT52" s="279"/>
      <c r="AU52" s="293"/>
      <c r="AV52" s="208"/>
      <c r="AW52" s="279"/>
      <c r="AX52" s="293"/>
      <c r="AY52" s="208"/>
      <c r="AZ52" s="279"/>
      <c r="BA52" s="293"/>
      <c r="BB52" s="208"/>
      <c r="BC52" s="179"/>
      <c r="BD52" s="320"/>
      <c r="BE52" s="320"/>
      <c r="BF52" s="320"/>
      <c r="BG52" s="320"/>
      <c r="BH52" s="318"/>
      <c r="BI52" s="322"/>
      <c r="BJ52" s="322"/>
      <c r="BK52" s="320"/>
      <c r="BL52" s="320"/>
      <c r="BM52" s="321"/>
      <c r="BN52" s="321"/>
      <c r="BO52" s="321"/>
      <c r="BP52" s="321"/>
      <c r="BQ52" s="321"/>
      <c r="BR52" s="321"/>
      <c r="BS52" s="321"/>
      <c r="BT52" s="321"/>
      <c r="BU52" s="321"/>
      <c r="BV52" s="321"/>
      <c r="BW52" s="321"/>
      <c r="BX52" s="321"/>
      <c r="BY52" s="321"/>
      <c r="BZ52" s="321"/>
      <c r="CA52" s="321"/>
      <c r="CB52" s="321"/>
      <c r="CC52" s="321"/>
      <c r="CD52" s="321"/>
      <c r="CE52" s="321"/>
      <c r="CF52" s="320"/>
      <c r="CG52" s="321"/>
      <c r="CH52" s="321"/>
      <c r="CI52" s="321"/>
      <c r="CJ52" s="321"/>
      <c r="CK52" s="321"/>
      <c r="CL52" s="321"/>
      <c r="CM52" s="321"/>
      <c r="CN52" s="321"/>
    </row>
    <row r="53" spans="1:92">
      <c r="A53" s="171"/>
      <c r="B53" s="834" t="s">
        <v>314</v>
      </c>
      <c r="C53" s="9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93"/>
      <c r="W53" s="293"/>
      <c r="X53" s="279"/>
      <c r="Y53" s="279"/>
      <c r="Z53" s="293"/>
      <c r="AA53" s="279"/>
      <c r="AB53" s="279"/>
      <c r="AC53" s="293"/>
      <c r="AD53" s="279">
        <f>SUM(AD49:AD52)</f>
        <v>218.49999999999997</v>
      </c>
      <c r="AE53" s="279"/>
      <c r="AF53" s="293"/>
      <c r="AG53" s="279">
        <f>SUM(AG49:AG52)</f>
        <v>219.3</v>
      </c>
      <c r="AH53" s="179"/>
      <c r="AI53" s="179"/>
      <c r="AJ53" s="179"/>
      <c r="AK53" s="179"/>
      <c r="AL53" s="208"/>
      <c r="AM53" s="179"/>
      <c r="AN53" s="179"/>
      <c r="AO53" s="208"/>
      <c r="AP53" s="179"/>
      <c r="AQ53" s="1371"/>
      <c r="AR53" s="293"/>
      <c r="AS53" s="208"/>
      <c r="AT53" s="279"/>
      <c r="AU53" s="293"/>
      <c r="AV53" s="208"/>
      <c r="AW53" s="279"/>
      <c r="AX53" s="293"/>
      <c r="AY53" s="208"/>
      <c r="AZ53" s="279"/>
      <c r="BA53" s="293"/>
      <c r="BB53" s="208"/>
      <c r="BC53" s="179"/>
      <c r="BD53" s="320"/>
      <c r="BE53" s="320"/>
      <c r="BF53" s="320"/>
      <c r="BG53" s="320"/>
      <c r="BH53" s="318"/>
      <c r="BI53" s="322"/>
      <c r="BJ53" s="322"/>
      <c r="BK53" s="320"/>
      <c r="BL53" s="320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0"/>
      <c r="CG53" s="321"/>
      <c r="CH53" s="321"/>
      <c r="CI53" s="321"/>
      <c r="CJ53" s="321"/>
      <c r="CK53" s="321"/>
      <c r="CL53" s="321"/>
      <c r="CM53" s="321"/>
      <c r="CN53" s="321"/>
    </row>
    <row r="54" spans="1:92">
      <c r="A54" s="165"/>
      <c r="B54" s="782"/>
      <c r="C54" s="952"/>
      <c r="D54" s="952"/>
      <c r="E54" s="952"/>
      <c r="F54" s="282"/>
      <c r="G54" s="282"/>
      <c r="H54" s="282"/>
      <c r="I54" s="304"/>
      <c r="J54" s="304"/>
      <c r="K54" s="304"/>
      <c r="L54" s="304"/>
      <c r="M54" s="304"/>
      <c r="N54" s="304"/>
      <c r="O54" s="304"/>
      <c r="P54" s="304"/>
      <c r="Q54" s="304"/>
      <c r="R54" s="304"/>
      <c r="S54" s="304"/>
      <c r="T54" s="304"/>
      <c r="U54" s="304"/>
      <c r="V54" s="304"/>
      <c r="W54" s="304"/>
      <c r="X54" s="304"/>
      <c r="Y54" s="304"/>
      <c r="Z54" s="304"/>
      <c r="AA54" s="304"/>
      <c r="AB54" s="304"/>
      <c r="AC54" s="304"/>
      <c r="AD54" s="304"/>
      <c r="AE54" s="304"/>
      <c r="AF54" s="304"/>
      <c r="AG54" s="618"/>
      <c r="AH54" s="618"/>
      <c r="AI54" s="563"/>
      <c r="AJ54" s="618"/>
      <c r="AK54" s="618"/>
      <c r="AL54" s="618"/>
      <c r="AM54" s="618"/>
      <c r="AN54" s="567"/>
      <c r="AO54" s="304"/>
      <c r="AP54" s="567"/>
      <c r="AQ54" s="1540"/>
      <c r="AR54" s="304"/>
      <c r="AS54" s="254"/>
      <c r="AT54" s="304"/>
      <c r="AU54" s="304"/>
      <c r="AV54" s="254"/>
      <c r="AW54" s="304"/>
      <c r="AX54" s="304"/>
      <c r="AY54" s="254"/>
      <c r="AZ54" s="304"/>
      <c r="BA54" s="304"/>
      <c r="BB54" s="254"/>
      <c r="BC54" s="563"/>
      <c r="BD54" s="328"/>
      <c r="BE54" s="328"/>
      <c r="BF54" s="328"/>
      <c r="BG54" s="328"/>
      <c r="BH54" s="315"/>
      <c r="BI54" s="317"/>
      <c r="BJ54" s="317"/>
      <c r="BK54" s="328"/>
      <c r="BL54" s="328"/>
      <c r="BM54" s="328"/>
      <c r="BN54" s="328"/>
      <c r="BO54" s="328"/>
      <c r="BP54" s="328"/>
      <c r="BQ54" s="328"/>
      <c r="BR54" s="328"/>
      <c r="BS54" s="328"/>
      <c r="BT54" s="328"/>
      <c r="BU54" s="328"/>
      <c r="BV54" s="328"/>
      <c r="BW54" s="328"/>
      <c r="BX54" s="328"/>
      <c r="BY54" s="328"/>
      <c r="BZ54" s="328"/>
      <c r="CA54" s="328"/>
      <c r="CB54" s="328"/>
      <c r="CC54" s="328"/>
      <c r="CD54" s="328"/>
      <c r="CE54" s="328"/>
      <c r="CF54" s="328"/>
      <c r="CG54" s="328"/>
      <c r="CH54" s="328"/>
      <c r="CI54" s="328"/>
      <c r="CJ54" s="328"/>
      <c r="CK54" s="328"/>
      <c r="CL54" s="328"/>
      <c r="CM54" s="328"/>
      <c r="CN54" s="328"/>
    </row>
    <row r="55" spans="1:92">
      <c r="A55" s="165" t="s">
        <v>744</v>
      </c>
      <c r="B55" s="782" t="s">
        <v>728</v>
      </c>
      <c r="C55" s="952"/>
      <c r="D55" s="952"/>
      <c r="E55" s="952"/>
      <c r="F55" s="282">
        <f t="shared" ref="F55:K55" si="343">F59</f>
        <v>16.781000000000002</v>
      </c>
      <c r="G55" s="282">
        <f t="shared" si="343"/>
        <v>22.731999999999999</v>
      </c>
      <c r="H55" s="282">
        <f t="shared" si="343"/>
        <v>37.031999999999996</v>
      </c>
      <c r="I55" s="282">
        <f t="shared" si="343"/>
        <v>44.561</v>
      </c>
      <c r="J55" s="282">
        <f t="shared" si="343"/>
        <v>65.534000000000006</v>
      </c>
      <c r="K55" s="282">
        <f t="shared" si="343"/>
        <v>102.29899999999999</v>
      </c>
      <c r="L55" s="279">
        <f t="shared" ref="L55:X55" si="344">L302+L270</f>
        <v>141.96600000000001</v>
      </c>
      <c r="M55" s="279">
        <f t="shared" si="344"/>
        <v>175.11</v>
      </c>
      <c r="N55" s="279">
        <f t="shared" si="344"/>
        <v>196.51300000000003</v>
      </c>
      <c r="O55" s="279">
        <f t="shared" si="344"/>
        <v>161.459</v>
      </c>
      <c r="P55" s="279">
        <f t="shared" si="344"/>
        <v>177.75300000000001</v>
      </c>
      <c r="Q55" s="279">
        <f t="shared" si="344"/>
        <v>191.12</v>
      </c>
      <c r="R55" s="279">
        <f t="shared" si="344"/>
        <v>200.90700000000001</v>
      </c>
      <c r="S55" s="279">
        <f t="shared" si="344"/>
        <v>221.215</v>
      </c>
      <c r="T55" s="279">
        <f t="shared" si="344"/>
        <v>259.90000000000003</v>
      </c>
      <c r="U55" s="279">
        <f t="shared" si="344"/>
        <v>289.7</v>
      </c>
      <c r="V55" s="279">
        <f>V302+V270</f>
        <v>192.89999999999998</v>
      </c>
      <c r="W55" s="279">
        <f>W302+W270</f>
        <v>107.10000000000001</v>
      </c>
      <c r="X55" s="279">
        <f t="shared" si="344"/>
        <v>300</v>
      </c>
      <c r="Y55" s="279">
        <f>Y302+Y270</f>
        <v>210.7</v>
      </c>
      <c r="Z55" s="279">
        <f>Z302+Z270</f>
        <v>179.5</v>
      </c>
      <c r="AA55" s="279">
        <f t="shared" ref="AA55:AM55" si="345">AA302+AA270</f>
        <v>390.2</v>
      </c>
      <c r="AB55" s="279">
        <f>AB302+AB270</f>
        <v>336.20000000000005</v>
      </c>
      <c r="AC55" s="279">
        <f>AC302+AC270</f>
        <v>192.20000000000005</v>
      </c>
      <c r="AD55" s="279">
        <f t="shared" si="345"/>
        <v>528.40000000000009</v>
      </c>
      <c r="AE55" s="279">
        <f>AE302+AE270</f>
        <v>299.39999999999998</v>
      </c>
      <c r="AF55" s="279">
        <f>AF302+AF270</f>
        <v>253.80000000000007</v>
      </c>
      <c r="AG55" s="279">
        <f t="shared" si="345"/>
        <v>553.20000000000005</v>
      </c>
      <c r="AH55" s="279">
        <f>AH302+AH270</f>
        <v>346.2</v>
      </c>
      <c r="AI55" s="179">
        <f>AI302+AI270</f>
        <v>209.8</v>
      </c>
      <c r="AJ55" s="279">
        <f t="shared" ref="AJ55" si="346">AJ302+AJ270</f>
        <v>556</v>
      </c>
      <c r="AK55" s="279">
        <f>AK302+AK270</f>
        <v>294.2</v>
      </c>
      <c r="AL55" s="279">
        <f t="shared" si="345"/>
        <v>194.90000000000006</v>
      </c>
      <c r="AM55" s="279">
        <f t="shared" si="345"/>
        <v>489.1</v>
      </c>
      <c r="AN55" s="179">
        <f t="shared" ref="AN55:AV55" si="347">AN302+AN270</f>
        <v>318.5</v>
      </c>
      <c r="AO55" s="279">
        <f t="shared" si="347"/>
        <v>211.60000000000002</v>
      </c>
      <c r="AP55" s="179">
        <f t="shared" si="347"/>
        <v>530.1</v>
      </c>
      <c r="AQ55" s="1371">
        <f t="shared" ref="AQ55" si="348">AQ302+AQ270</f>
        <v>344.90000000000003</v>
      </c>
      <c r="AR55" s="279">
        <f t="shared" si="347"/>
        <v>223.29637674838398</v>
      </c>
      <c r="AS55" s="279">
        <f t="shared" si="347"/>
        <v>568.19637674838407</v>
      </c>
      <c r="AT55" s="279">
        <f t="shared" si="347"/>
        <v>351.31692825171848</v>
      </c>
      <c r="AU55" s="279">
        <f t="shared" si="347"/>
        <v>227.83121130744422</v>
      </c>
      <c r="AV55" s="279">
        <f t="shared" si="347"/>
        <v>579.1481395591627</v>
      </c>
      <c r="AW55" s="279">
        <f t="shared" ref="AW55:AY55" si="349">AW302+AW270</f>
        <v>373.37887261951539</v>
      </c>
      <c r="AX55" s="279">
        <f t="shared" si="349"/>
        <v>236.54374086729015</v>
      </c>
      <c r="AY55" s="279">
        <f t="shared" si="349"/>
        <v>609.92261348680552</v>
      </c>
      <c r="AZ55" s="279">
        <f t="shared" ref="AZ55:BB55" si="350">AZ302+AZ270</f>
        <v>392.56585458593969</v>
      </c>
      <c r="BA55" s="279">
        <f t="shared" si="350"/>
        <v>249.1761442398774</v>
      </c>
      <c r="BB55" s="279">
        <f t="shared" si="350"/>
        <v>641.74199882581706</v>
      </c>
      <c r="BC55" s="179"/>
      <c r="BD55" s="320"/>
      <c r="BE55" s="320"/>
      <c r="BF55" s="320"/>
      <c r="BG55" s="320"/>
      <c r="BH55" s="315"/>
      <c r="BI55" s="317"/>
      <c r="BJ55" s="317"/>
      <c r="BK55" s="320">
        <f t="shared" ref="BK55:CH55" si="351">BK59</f>
        <v>14.5</v>
      </c>
      <c r="BL55" s="320">
        <f t="shared" si="351"/>
        <v>8.2319999999999993</v>
      </c>
      <c r="BM55" s="320">
        <f t="shared" si="351"/>
        <v>24.6</v>
      </c>
      <c r="BN55" s="320">
        <f t="shared" si="351"/>
        <v>12.431999999999995</v>
      </c>
      <c r="BO55" s="320">
        <f t="shared" si="351"/>
        <v>31.1</v>
      </c>
      <c r="BP55" s="320">
        <f t="shared" si="351"/>
        <v>13.460999999999999</v>
      </c>
      <c r="BQ55" s="320">
        <f t="shared" si="351"/>
        <v>41.8</v>
      </c>
      <c r="BR55" s="320">
        <f t="shared" si="351"/>
        <v>23.734000000000009</v>
      </c>
      <c r="BS55" s="320">
        <f t="shared" si="351"/>
        <v>64.8</v>
      </c>
      <c r="BT55" s="320">
        <f t="shared" si="351"/>
        <v>37.498999999999995</v>
      </c>
      <c r="BU55" s="320">
        <f t="shared" si="351"/>
        <v>89.2</v>
      </c>
      <c r="BV55" s="320">
        <f t="shared" si="351"/>
        <v>52.766000000000005</v>
      </c>
      <c r="BW55" s="320">
        <f t="shared" si="351"/>
        <v>111.4</v>
      </c>
      <c r="BX55" s="320">
        <f t="shared" si="351"/>
        <v>63.710000000000008</v>
      </c>
      <c r="BY55" s="320">
        <f t="shared" si="351"/>
        <v>127</v>
      </c>
      <c r="BZ55" s="320">
        <f t="shared" si="351"/>
        <v>69.013000000000005</v>
      </c>
      <c r="CA55" s="320">
        <f t="shared" si="351"/>
        <v>120.73699999999999</v>
      </c>
      <c r="CB55" s="320">
        <f t="shared" si="351"/>
        <v>38.244</v>
      </c>
      <c r="CC55" s="320">
        <f t="shared" si="351"/>
        <v>123.7</v>
      </c>
      <c r="CD55" s="320">
        <f t="shared" si="351"/>
        <v>54.053000000000011</v>
      </c>
      <c r="CE55" s="320">
        <f t="shared" si="351"/>
        <v>132.9</v>
      </c>
      <c r="CF55" s="320">
        <f t="shared" si="351"/>
        <v>58.22</v>
      </c>
      <c r="CG55" s="320">
        <f t="shared" si="351"/>
        <v>129.971</v>
      </c>
      <c r="CH55" s="320">
        <f t="shared" si="351"/>
        <v>70.936000000000007</v>
      </c>
      <c r="CI55" s="320">
        <f t="shared" ref="CI55:CN55" si="352">CI302+CI270</f>
        <v>138.15899999999999</v>
      </c>
      <c r="CJ55" s="320">
        <f t="shared" si="352"/>
        <v>83.056000000000012</v>
      </c>
      <c r="CK55" s="320">
        <f t="shared" si="352"/>
        <v>166.6</v>
      </c>
      <c r="CL55" s="320">
        <f t="shared" si="352"/>
        <v>93.300000000000011</v>
      </c>
      <c r="CM55" s="320">
        <f t="shared" si="352"/>
        <v>183.8</v>
      </c>
      <c r="CN55" s="320">
        <f t="shared" si="352"/>
        <v>105.9</v>
      </c>
    </row>
    <row r="56" spans="1:92">
      <c r="A56" s="165" t="s">
        <v>765</v>
      </c>
      <c r="B56" s="782" t="s">
        <v>729</v>
      </c>
      <c r="C56" s="958"/>
      <c r="D56" s="958"/>
      <c r="E56" s="958"/>
      <c r="F56" s="303"/>
      <c r="G56" s="303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294">
        <f>T350</f>
        <v>46.4</v>
      </c>
      <c r="U56" s="294">
        <f>U350</f>
        <v>60.9</v>
      </c>
      <c r="V56" s="279">
        <f>V350</f>
        <v>43.7</v>
      </c>
      <c r="W56" s="279">
        <f>W350</f>
        <v>29.199999999999989</v>
      </c>
      <c r="X56" s="294">
        <f t="shared" ref="X56:AM56" si="353">X350</f>
        <v>72.900000000000006</v>
      </c>
      <c r="Y56" s="279">
        <f>Y350</f>
        <v>52.3</v>
      </c>
      <c r="Z56" s="279">
        <f>Z350</f>
        <v>60.499999999999972</v>
      </c>
      <c r="AA56" s="294">
        <f t="shared" si="353"/>
        <v>112.8</v>
      </c>
      <c r="AB56" s="279">
        <f>AB350</f>
        <v>126.6</v>
      </c>
      <c r="AC56" s="279">
        <f>AC350</f>
        <v>88.1</v>
      </c>
      <c r="AD56" s="294">
        <f t="shared" si="353"/>
        <v>214.7</v>
      </c>
      <c r="AE56" s="279">
        <v>1.4999999999999999E-2</v>
      </c>
      <c r="AF56" s="279">
        <f t="shared" ref="AF56" si="354">AF350</f>
        <v>120.30000000000003</v>
      </c>
      <c r="AG56" s="294">
        <f t="shared" si="353"/>
        <v>241.4</v>
      </c>
      <c r="AH56" s="279">
        <v>1.4999999999999999E-2</v>
      </c>
      <c r="AI56" s="179">
        <f t="shared" ref="AI56:AJ56" si="355">AI350</f>
        <v>80</v>
      </c>
      <c r="AJ56" s="294">
        <f t="shared" si="355"/>
        <v>213</v>
      </c>
      <c r="AK56" s="279">
        <v>1.4999999999999999E-2</v>
      </c>
      <c r="AL56" s="279">
        <f t="shared" si="353"/>
        <v>65.599999999999994</v>
      </c>
      <c r="AM56" s="294">
        <f t="shared" si="353"/>
        <v>158.1</v>
      </c>
      <c r="AN56" s="1629">
        <v>1.4999999999999999E-2</v>
      </c>
      <c r="AO56" s="279">
        <f t="shared" ref="AO56:AV56" si="356">AO350</f>
        <v>74</v>
      </c>
      <c r="AP56" s="190">
        <f t="shared" si="356"/>
        <v>173.5</v>
      </c>
      <c r="AQ56" s="1385">
        <f t="shared" ref="AQ56" si="357">AQ350</f>
        <v>107.4</v>
      </c>
      <c r="AR56" s="279">
        <f t="shared" si="356"/>
        <v>74.90674321596245</v>
      </c>
      <c r="AS56" s="205">
        <f t="shared" si="356"/>
        <v>182.30674321596246</v>
      </c>
      <c r="AT56" s="279">
        <f t="shared" si="356"/>
        <v>109.22707</v>
      </c>
      <c r="AU56" s="279">
        <f t="shared" si="356"/>
        <v>75.975999737089296</v>
      </c>
      <c r="AV56" s="205">
        <f t="shared" si="356"/>
        <v>185.20306973708929</v>
      </c>
      <c r="AW56" s="279">
        <f t="shared" ref="AW56:AY56" si="358">AW350</f>
        <v>113.52869244999999</v>
      </c>
      <c r="AX56" s="279">
        <f t="shared" si="358"/>
        <v>79.135372027887485</v>
      </c>
      <c r="AY56" s="205">
        <f t="shared" si="358"/>
        <v>192.66406447788748</v>
      </c>
      <c r="AZ56" s="279">
        <f t="shared" ref="AZ56:BB56" si="359">AZ350</f>
        <v>117.99283856075003</v>
      </c>
      <c r="BA56" s="279">
        <f t="shared" si="359"/>
        <v>82.417827656363471</v>
      </c>
      <c r="BB56" s="205">
        <f t="shared" si="359"/>
        <v>200.41066621711349</v>
      </c>
      <c r="BC56" s="190"/>
      <c r="BD56" s="316"/>
      <c r="BE56" s="316"/>
      <c r="BF56" s="316"/>
      <c r="BG56" s="316"/>
      <c r="BH56" s="315"/>
      <c r="BI56" s="317"/>
      <c r="BJ56" s="317"/>
      <c r="BK56" s="320"/>
      <c r="BL56" s="320"/>
      <c r="BM56" s="320"/>
      <c r="BN56" s="320"/>
      <c r="BO56" s="320"/>
      <c r="BP56" s="320"/>
      <c r="BQ56" s="320"/>
      <c r="BR56" s="320"/>
      <c r="BS56" s="320"/>
      <c r="BT56" s="320"/>
      <c r="BU56" s="320"/>
      <c r="BV56" s="320"/>
      <c r="BW56" s="320"/>
      <c r="BX56" s="320"/>
      <c r="BY56" s="320"/>
      <c r="BZ56" s="320"/>
      <c r="CA56" s="320"/>
      <c r="CB56" s="320"/>
      <c r="CC56" s="320"/>
      <c r="CD56" s="320"/>
      <c r="CE56" s="320"/>
      <c r="CF56" s="320"/>
      <c r="CG56" s="320"/>
      <c r="CH56" s="320"/>
      <c r="CI56" s="320"/>
      <c r="CJ56" s="320"/>
      <c r="CK56" s="320">
        <f t="shared" ref="CK56:CN56" si="360">CK350</f>
        <v>14.3</v>
      </c>
      <c r="CL56" s="320">
        <f t="shared" si="360"/>
        <v>32.099999999999994</v>
      </c>
      <c r="CM56" s="320">
        <f t="shared" si="360"/>
        <v>42</v>
      </c>
      <c r="CN56" s="320">
        <f t="shared" si="360"/>
        <v>18.900000000000006</v>
      </c>
    </row>
    <row r="57" spans="1:92">
      <c r="A57" s="171"/>
      <c r="B57" s="783" t="s">
        <v>641</v>
      </c>
      <c r="C57" s="965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93"/>
      <c r="W57" s="293"/>
      <c r="X57" s="279"/>
      <c r="Y57" s="293"/>
      <c r="Z57" s="293"/>
      <c r="AA57" s="279"/>
      <c r="AB57" s="293"/>
      <c r="AC57" s="293"/>
      <c r="AD57" s="279"/>
      <c r="AE57" s="293"/>
      <c r="AF57" s="293"/>
      <c r="AG57" s="279"/>
      <c r="AH57" s="581"/>
      <c r="AI57" s="566"/>
      <c r="AJ57" s="279"/>
      <c r="AK57" s="581"/>
      <c r="AL57" s="581"/>
      <c r="AM57" s="279"/>
      <c r="AN57" s="646"/>
      <c r="AO57" s="293"/>
      <c r="AP57" s="179"/>
      <c r="AQ57" s="1371"/>
      <c r="AR57" s="293"/>
      <c r="AS57" s="179"/>
      <c r="AT57" s="293"/>
      <c r="AU57" s="293"/>
      <c r="AV57" s="179"/>
      <c r="AW57" s="293"/>
      <c r="AX57" s="293"/>
      <c r="AY57" s="179"/>
      <c r="AZ57" s="293"/>
      <c r="BA57" s="293"/>
      <c r="BB57" s="179"/>
      <c r="BC57" s="179"/>
      <c r="BD57" s="320"/>
      <c r="BE57" s="320"/>
      <c r="BF57" s="320"/>
      <c r="BG57" s="320"/>
      <c r="BH57" s="318"/>
      <c r="BI57" s="322"/>
      <c r="BJ57" s="322"/>
      <c r="BK57" s="320"/>
      <c r="BL57" s="320"/>
      <c r="BM57" s="321">
        <f>BM59/(BM59+BN59)</f>
        <v>0.66429034348671434</v>
      </c>
      <c r="BN57" s="321"/>
      <c r="BO57" s="321">
        <f>BO59/(BO59+BP59)</f>
        <v>0.69791970557213712</v>
      </c>
      <c r="BP57" s="321"/>
      <c r="BQ57" s="321">
        <f>BQ59/(BQ59+BR59)</f>
        <v>0.63783684804834118</v>
      </c>
      <c r="BR57" s="321"/>
      <c r="BS57" s="321">
        <f>BS59/(BS59+BT59)</f>
        <v>0.63343727700173025</v>
      </c>
      <c r="BT57" s="321"/>
      <c r="BU57" s="321">
        <f>BU59/(BU59+BV59)</f>
        <v>0.6283194567713396</v>
      </c>
      <c r="BV57" s="321"/>
      <c r="BW57" s="321">
        <f>BW59/(BW59+BX59)</f>
        <v>0.63617154931186115</v>
      </c>
      <c r="BX57" s="321"/>
      <c r="BY57" s="321">
        <f>BY59/(BY59+BZ59)</f>
        <v>0.64791620963915653</v>
      </c>
      <c r="BZ57" s="321"/>
      <c r="CA57" s="321">
        <f>CA59/(CA59+CB59)</f>
        <v>0.75944295230247638</v>
      </c>
      <c r="CB57" s="321"/>
      <c r="CC57" s="321">
        <f>CC59/(CC59+CD59)</f>
        <v>0.69590949238550115</v>
      </c>
      <c r="CD57" s="321"/>
      <c r="CE57" s="321">
        <f>CE59/(CE59+CF59)</f>
        <v>0.69537463373796571</v>
      </c>
      <c r="CF57" s="320"/>
      <c r="CG57" s="321"/>
      <c r="CH57" s="321"/>
      <c r="CI57" s="321"/>
      <c r="CJ57" s="321">
        <f>CJ44/S44</f>
        <v>0.51649103933889129</v>
      </c>
      <c r="CK57" s="321"/>
      <c r="CL57" s="321"/>
      <c r="CM57" s="321"/>
      <c r="CN57" s="321"/>
    </row>
    <row r="58" spans="1:92">
      <c r="A58" s="171"/>
      <c r="B58" s="783"/>
      <c r="C58" s="965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93"/>
      <c r="W58" s="293"/>
      <c r="X58" s="279"/>
      <c r="Y58" s="293"/>
      <c r="Z58" s="293"/>
      <c r="AA58" s="279"/>
      <c r="AB58" s="293"/>
      <c r="AC58" s="293"/>
      <c r="AD58" s="279"/>
      <c r="AE58" s="293"/>
      <c r="AF58" s="293"/>
      <c r="AG58" s="618"/>
      <c r="AH58" s="581"/>
      <c r="AI58" s="566"/>
      <c r="AJ58" s="618"/>
      <c r="AK58" s="581"/>
      <c r="AL58" s="581"/>
      <c r="AM58" s="618"/>
      <c r="AN58" s="646"/>
      <c r="AO58" s="293"/>
      <c r="AP58" s="179"/>
      <c r="AQ58" s="1371"/>
      <c r="AR58" s="293"/>
      <c r="AS58" s="179"/>
      <c r="AT58" s="293"/>
      <c r="AU58" s="293"/>
      <c r="AV58" s="179"/>
      <c r="AW58" s="293"/>
      <c r="AX58" s="293"/>
      <c r="AY58" s="179"/>
      <c r="AZ58" s="293"/>
      <c r="BA58" s="293"/>
      <c r="BB58" s="179"/>
      <c r="BC58" s="179"/>
      <c r="BD58" s="320"/>
      <c r="BE58" s="320"/>
      <c r="BF58" s="320"/>
      <c r="BG58" s="320"/>
      <c r="BH58" s="318"/>
      <c r="BI58" s="322"/>
      <c r="BJ58" s="322"/>
      <c r="BK58" s="320"/>
      <c r="BL58" s="320"/>
      <c r="BM58" s="321"/>
      <c r="BN58" s="321"/>
      <c r="BO58" s="321"/>
      <c r="BP58" s="321"/>
      <c r="BQ58" s="321"/>
      <c r="BR58" s="321"/>
      <c r="BS58" s="321"/>
      <c r="BT58" s="321"/>
      <c r="BU58" s="321"/>
      <c r="BV58" s="321"/>
      <c r="BW58" s="321"/>
      <c r="BX58" s="321"/>
      <c r="BY58" s="321"/>
      <c r="BZ58" s="321"/>
      <c r="CA58" s="321"/>
      <c r="CB58" s="321"/>
      <c r="CC58" s="321"/>
      <c r="CD58" s="321"/>
      <c r="CE58" s="321"/>
      <c r="CF58" s="320"/>
      <c r="CG58" s="321"/>
      <c r="CH58" s="321"/>
      <c r="CI58" s="321"/>
      <c r="CJ58" s="321"/>
      <c r="CK58" s="321"/>
      <c r="CL58" s="321"/>
      <c r="CM58" s="321"/>
      <c r="CN58" s="321"/>
    </row>
    <row r="59" spans="1:92">
      <c r="A59" s="72" t="s">
        <v>384</v>
      </c>
      <c r="B59" s="961" t="s">
        <v>165</v>
      </c>
      <c r="C59" s="962"/>
      <c r="D59" s="280">
        <v>5.7450000000000001</v>
      </c>
      <c r="E59" s="280">
        <v>11.593</v>
      </c>
      <c r="F59" s="280">
        <f t="shared" ref="F59:T59" si="361">F34-F44</f>
        <v>16.781000000000002</v>
      </c>
      <c r="G59" s="280">
        <f t="shared" si="361"/>
        <v>22.731999999999999</v>
      </c>
      <c r="H59" s="280">
        <f t="shared" si="361"/>
        <v>37.031999999999996</v>
      </c>
      <c r="I59" s="280">
        <f t="shared" si="361"/>
        <v>44.561</v>
      </c>
      <c r="J59" s="280">
        <f t="shared" si="361"/>
        <v>65.534000000000006</v>
      </c>
      <c r="K59" s="280">
        <f t="shared" si="361"/>
        <v>102.29899999999999</v>
      </c>
      <c r="L59" s="280">
        <f t="shared" si="361"/>
        <v>141.96600000000001</v>
      </c>
      <c r="M59" s="280">
        <f t="shared" si="361"/>
        <v>175.11</v>
      </c>
      <c r="N59" s="280">
        <f t="shared" si="361"/>
        <v>196.01300000000001</v>
      </c>
      <c r="O59" s="280">
        <f t="shared" si="361"/>
        <v>161.459</v>
      </c>
      <c r="P59" s="280">
        <f t="shared" si="361"/>
        <v>177.75300000000001</v>
      </c>
      <c r="Q59" s="280">
        <f t="shared" si="361"/>
        <v>191.12</v>
      </c>
      <c r="R59" s="280">
        <f t="shared" si="361"/>
        <v>200.90700000000001</v>
      </c>
      <c r="S59" s="280">
        <f t="shared" si="361"/>
        <v>221.17500000000001</v>
      </c>
      <c r="T59" s="280">
        <f t="shared" si="361"/>
        <v>306.39999999999998</v>
      </c>
      <c r="U59" s="280">
        <f t="shared" ref="U59:AD59" si="362">U34-U44</f>
        <v>350.59999999999997</v>
      </c>
      <c r="V59" s="838">
        <v>236.6</v>
      </c>
      <c r="W59" s="280">
        <f>X59-V59</f>
        <v>136.30000000000004</v>
      </c>
      <c r="X59" s="280">
        <f t="shared" si="362"/>
        <v>372.90000000000003</v>
      </c>
      <c r="Y59" s="838">
        <v>263</v>
      </c>
      <c r="Z59" s="280">
        <f>AA59-Y59</f>
        <v>239.90000000000003</v>
      </c>
      <c r="AA59" s="280">
        <f t="shared" si="362"/>
        <v>502.90000000000003</v>
      </c>
      <c r="AB59" s="838">
        <v>462.8</v>
      </c>
      <c r="AC59" s="280">
        <f>AC34-AC44</f>
        <v>280.30000000000007</v>
      </c>
      <c r="AD59" s="280">
        <f t="shared" si="362"/>
        <v>743.1</v>
      </c>
      <c r="AE59" s="838">
        <v>420.5</v>
      </c>
      <c r="AF59" s="280">
        <f>AF34-AF44</f>
        <v>374.10000000000008</v>
      </c>
      <c r="AG59" s="1113">
        <f>AG34-AG44</f>
        <v>794.59999999999991</v>
      </c>
      <c r="AH59" s="1190">
        <v>479.2</v>
      </c>
      <c r="AI59" s="201">
        <f>AJ59-AH59</f>
        <v>289.8</v>
      </c>
      <c r="AJ59" s="1188">
        <f>AJ34-AJ44</f>
        <v>769</v>
      </c>
      <c r="AK59" s="1910">
        <v>386.7</v>
      </c>
      <c r="AL59" s="1188">
        <f t="shared" ref="AL59" si="363">AM59-AK59</f>
        <v>260.49999999999994</v>
      </c>
      <c r="AM59" s="1579">
        <f>AM34-AM44</f>
        <v>647.19999999999993</v>
      </c>
      <c r="AN59" s="1582">
        <f>AN34-AN44</f>
        <v>419.90000000000003</v>
      </c>
      <c r="AO59" s="280">
        <f>AP59-AN59</f>
        <v>287.89999999999992</v>
      </c>
      <c r="AP59" s="1582">
        <f>AP33-AP44</f>
        <v>707.8</v>
      </c>
      <c r="AQ59" s="1639">
        <f>AQ33-AQ44</f>
        <v>454</v>
      </c>
      <c r="AR59" s="280">
        <f t="shared" ref="AR59" si="364">AS59-AQ59</f>
        <v>299.74192521296516</v>
      </c>
      <c r="AS59" s="201">
        <f t="shared" ref="AS59:AT59" si="365">AS34-AS44</f>
        <v>753.74192521296516</v>
      </c>
      <c r="AT59" s="280">
        <f t="shared" si="365"/>
        <v>462.29499825171848</v>
      </c>
      <c r="AU59" s="280">
        <f t="shared" ref="AU59" si="366">AV59-AT59</f>
        <v>305.39218045061097</v>
      </c>
      <c r="AV59" s="201">
        <f t="shared" ref="AV59:AW59" si="367">AV34-AV44</f>
        <v>767.68717870232945</v>
      </c>
      <c r="AW59" s="280">
        <f t="shared" si="367"/>
        <v>488.71109506951535</v>
      </c>
      <c r="AX59" s="280">
        <f t="shared" ref="AX59" si="368">AY59-AW59</f>
        <v>317.31163138343726</v>
      </c>
      <c r="AY59" s="201">
        <f t="shared" ref="AY59:AZ59" si="369">AY34-AY44</f>
        <v>806.02272645295261</v>
      </c>
      <c r="AZ59" s="280">
        <f t="shared" si="369"/>
        <v>512.41632904668973</v>
      </c>
      <c r="BA59" s="280">
        <f t="shared" ref="BA59" si="370">BB59-AZ59</f>
        <v>333.27546593914826</v>
      </c>
      <c r="BB59" s="201">
        <f t="shared" ref="BB59" si="371">BB34-BB44</f>
        <v>845.69179498583799</v>
      </c>
      <c r="BC59" s="1206"/>
      <c r="BD59" s="360"/>
      <c r="BE59" s="360"/>
      <c r="BF59" s="360"/>
      <c r="BG59" s="360"/>
      <c r="BH59" s="361"/>
      <c r="BI59" s="361"/>
      <c r="BJ59" s="361"/>
      <c r="BK59" s="468">
        <v>14.5</v>
      </c>
      <c r="BL59" s="360">
        <f>G59-BK59</f>
        <v>8.2319999999999993</v>
      </c>
      <c r="BM59" s="468">
        <v>24.6</v>
      </c>
      <c r="BN59" s="360">
        <f>H59-BM59</f>
        <v>12.431999999999995</v>
      </c>
      <c r="BO59" s="468">
        <v>31.1</v>
      </c>
      <c r="BP59" s="360">
        <f>I59-BO59</f>
        <v>13.460999999999999</v>
      </c>
      <c r="BQ59" s="468">
        <v>41.8</v>
      </c>
      <c r="BR59" s="360">
        <f>J59-BQ59</f>
        <v>23.734000000000009</v>
      </c>
      <c r="BS59" s="468">
        <v>64.8</v>
      </c>
      <c r="BT59" s="360">
        <f>K59-BS59</f>
        <v>37.498999999999995</v>
      </c>
      <c r="BU59" s="468">
        <v>89.2</v>
      </c>
      <c r="BV59" s="360">
        <f>L59-BU59</f>
        <v>52.766000000000005</v>
      </c>
      <c r="BW59" s="468">
        <v>111.4</v>
      </c>
      <c r="BX59" s="360">
        <f>M59-BW59</f>
        <v>63.710000000000008</v>
      </c>
      <c r="BY59" s="468">
        <v>127</v>
      </c>
      <c r="BZ59" s="360">
        <f>N59-BY59</f>
        <v>69.013000000000005</v>
      </c>
      <c r="CA59" s="468">
        <v>120.73699999999999</v>
      </c>
      <c r="CB59" s="360">
        <f>CB34-CB44</f>
        <v>38.244</v>
      </c>
      <c r="CC59" s="468">
        <v>123.7</v>
      </c>
      <c r="CD59" s="360">
        <f>CD34-CD44</f>
        <v>54.053000000000011</v>
      </c>
      <c r="CE59" s="468">
        <v>132.9</v>
      </c>
      <c r="CF59" s="360">
        <f>CF34-CF44</f>
        <v>58.22</v>
      </c>
      <c r="CG59" s="468">
        <v>129.971</v>
      </c>
      <c r="CH59" s="360">
        <f>R59-CG59</f>
        <v>70.936000000000007</v>
      </c>
      <c r="CI59" s="468">
        <v>138.15899999999999</v>
      </c>
      <c r="CJ59" s="360">
        <f>S59-CI59</f>
        <v>83.01600000000002</v>
      </c>
      <c r="CK59" s="468">
        <f>180.8</f>
        <v>180.8</v>
      </c>
      <c r="CL59" s="360">
        <f>T59-CK59</f>
        <v>125.59999999999997</v>
      </c>
      <c r="CM59" s="468">
        <v>225.8</v>
      </c>
      <c r="CN59" s="360">
        <f>U59-CM59</f>
        <v>124.79999999999995</v>
      </c>
    </row>
    <row r="60" spans="1:92">
      <c r="A60" s="72" t="s">
        <v>911</v>
      </c>
      <c r="B60" s="963" t="s">
        <v>453</v>
      </c>
      <c r="C60" s="964"/>
      <c r="D60" s="304">
        <f>D59/D90</f>
        <v>4.0067232048206218E-2</v>
      </c>
      <c r="E60" s="304">
        <f>E59/E90</f>
        <v>4.6595284603821514E-2</v>
      </c>
      <c r="F60" s="304">
        <f>F59/F90</f>
        <v>4.7159498081976205E-2</v>
      </c>
      <c r="G60" s="304">
        <f>G59/G90</f>
        <v>5.0252344939947867E-2</v>
      </c>
      <c r="H60" s="304">
        <f>H59/H90</f>
        <v>5.336461352013061E-2</v>
      </c>
      <c r="I60" s="304">
        <f>I59/I7</f>
        <v>4.7113565886145473E-2</v>
      </c>
      <c r="J60" s="304">
        <f t="shared" ref="J60:AA60" si="372">J59/J7</f>
        <v>5.1125065043371352E-2</v>
      </c>
      <c r="K60" s="304">
        <f t="shared" si="372"/>
        <v>5.5944992901533659E-2</v>
      </c>
      <c r="L60" s="304">
        <f t="shared" si="372"/>
        <v>6.10011919565705E-2</v>
      </c>
      <c r="M60" s="304">
        <f t="shared" si="372"/>
        <v>6.4111858002723954E-2</v>
      </c>
      <c r="N60" s="304">
        <f t="shared" si="372"/>
        <v>6.6237324081448931E-2</v>
      </c>
      <c r="O60" s="304">
        <f t="shared" si="372"/>
        <v>5.1620759948231856E-2</v>
      </c>
      <c r="P60" s="304">
        <f t="shared" si="372"/>
        <v>5.3727783822996013E-2</v>
      </c>
      <c r="Q60" s="304">
        <f t="shared" si="372"/>
        <v>5.4860029709151707E-2</v>
      </c>
      <c r="R60" s="304">
        <f t="shared" si="372"/>
        <v>5.5010821064713916E-2</v>
      </c>
      <c r="S60" s="304">
        <f t="shared" si="372"/>
        <v>5.5930419952929182E-2</v>
      </c>
      <c r="T60" s="304">
        <f t="shared" si="372"/>
        <v>5.444207533759772E-2</v>
      </c>
      <c r="U60" s="304">
        <f t="shared" si="372"/>
        <v>5.1150372758706208E-2</v>
      </c>
      <c r="V60" s="304">
        <f>V59/V7</f>
        <v>6.1555272263704247E-2</v>
      </c>
      <c r="W60" s="304">
        <f>W59/W7</f>
        <v>4.1917825070734424E-2</v>
      </c>
      <c r="X60" s="304">
        <f t="shared" si="372"/>
        <v>5.2555917297365869E-2</v>
      </c>
      <c r="Y60" s="304">
        <f>Y59/Y7</f>
        <v>6.582899479375251E-2</v>
      </c>
      <c r="Z60" s="304">
        <f>Z59/Z7</f>
        <v>6.1141269719907243E-2</v>
      </c>
      <c r="AA60" s="304">
        <f t="shared" si="372"/>
        <v>6.3506295066233953E-2</v>
      </c>
      <c r="AB60" s="304">
        <f>AB59/AB7</f>
        <v>9.3661458754958321E-2</v>
      </c>
      <c r="AC60" s="304">
        <f>AC59/AC7</f>
        <v>7.051749729552946E-2</v>
      </c>
      <c r="AD60" s="304">
        <f t="shared" ref="AD60:AG60" si="373">AD59/AD7</f>
        <v>8.3343614360538804E-2</v>
      </c>
      <c r="AE60" s="304">
        <f>AE59/AE7</f>
        <v>8.6490600189230327E-2</v>
      </c>
      <c r="AF60" s="304">
        <f>AF59/AF7</f>
        <v>8.5602489588577205E-2</v>
      </c>
      <c r="AG60" s="618">
        <f t="shared" si="373"/>
        <v>8.6070190641247823E-2</v>
      </c>
      <c r="AH60" s="618">
        <f>AH59/AH7</f>
        <v>9.0783366486691289E-2</v>
      </c>
      <c r="AI60" s="563">
        <f t="shared" ref="AI60:AJ60" si="374">AI59/AI7</f>
        <v>6.6652866901262681E-2</v>
      </c>
      <c r="AJ60" s="618">
        <f t="shared" si="374"/>
        <v>7.9884484334746111E-2</v>
      </c>
      <c r="AK60" s="618">
        <f>AK59/AK7</f>
        <v>7.4911373278316956E-2</v>
      </c>
      <c r="AL60" s="618">
        <f t="shared" ref="AL60:AM60" si="375">AL59/AL7</f>
        <v>5.8799629821908221E-2</v>
      </c>
      <c r="AM60" s="618">
        <f t="shared" si="375"/>
        <v>6.7470080480380293E-2</v>
      </c>
      <c r="AN60" s="567">
        <f t="shared" ref="AN60" si="376">AN59/AN7</f>
        <v>7.4051213318284431E-2</v>
      </c>
      <c r="AO60" s="304">
        <f t="shared" ref="AO60" si="377">AO59/AO7</f>
        <v>5.8942756530996621E-2</v>
      </c>
      <c r="AP60" s="567">
        <f t="shared" ref="AP60" si="378">AP59/AP7</f>
        <v>6.7059536893167085E-2</v>
      </c>
      <c r="AQ60" s="1540">
        <f t="shared" ref="AQ60" si="379">AQ59/AQ7</f>
        <v>7.4606017780553133E-2</v>
      </c>
      <c r="AR60" s="304">
        <f t="shared" ref="AR60" si="380">AR59/AR7</f>
        <v>5.9170865339770944E-2</v>
      </c>
      <c r="AS60" s="304">
        <f t="shared" ref="AS60:AT60" si="381">AS59/AS7</f>
        <v>6.759410296906268E-2</v>
      </c>
      <c r="AT60" s="304">
        <f t="shared" si="381"/>
        <v>7.2972632884954772E-2</v>
      </c>
      <c r="AU60" s="304">
        <f t="shared" ref="AU60" si="382">AU59/AU7</f>
        <v>5.7796029065076755E-2</v>
      </c>
      <c r="AV60" s="304">
        <f t="shared" ref="AV60:AX60" si="383">AV59/AV7</f>
        <v>6.6070866942405437E-2</v>
      </c>
      <c r="AW60" s="304">
        <f t="shared" si="383"/>
        <v>7.3888014366413235E-2</v>
      </c>
      <c r="AX60" s="304">
        <f t="shared" si="383"/>
        <v>5.7764633023779349E-2</v>
      </c>
      <c r="AY60" s="304">
        <f t="shared" ref="AY60:BA60" si="384">AY59/AY7</f>
        <v>6.6572760875816248E-2</v>
      </c>
      <c r="AZ60" s="304">
        <f t="shared" si="384"/>
        <v>7.434420506616736E-2</v>
      </c>
      <c r="BA60" s="304">
        <f t="shared" si="384"/>
        <v>5.8221427272107627E-2</v>
      </c>
      <c r="BB60" s="304">
        <f t="shared" ref="BB60" si="385">BB59/BB7</f>
        <v>6.7029235644277915E-2</v>
      </c>
      <c r="BC60" s="563"/>
      <c r="BD60" s="328"/>
      <c r="BE60" s="328"/>
      <c r="BF60" s="328"/>
      <c r="BG60" s="328"/>
      <c r="BH60" s="363"/>
      <c r="BI60" s="364"/>
      <c r="BJ60" s="364"/>
      <c r="BK60" s="328">
        <f t="shared" ref="BK60:CL60" si="386">BK59/BK7</f>
        <v>6.1807595087788103E-2</v>
      </c>
      <c r="BL60" s="328">
        <f t="shared" si="386"/>
        <v>3.7803433168930638E-2</v>
      </c>
      <c r="BM60" s="328">
        <f t="shared" si="386"/>
        <v>6.5394747685265181E-2</v>
      </c>
      <c r="BN60" s="328">
        <f t="shared" si="386"/>
        <v>3.9123128339721674E-2</v>
      </c>
      <c r="BO60" s="328">
        <f t="shared" si="386"/>
        <v>6.1000007845660176E-2</v>
      </c>
      <c r="BP60" s="328">
        <f t="shared" si="386"/>
        <v>3.0874915421402107E-2</v>
      </c>
      <c r="BQ60" s="328">
        <f t="shared" si="386"/>
        <v>6.3439257669624119E-2</v>
      </c>
      <c r="BR60" s="328">
        <f t="shared" si="386"/>
        <v>3.8100038687576165E-2</v>
      </c>
      <c r="BS60" s="328">
        <f t="shared" si="386"/>
        <v>6.555108432418652E-2</v>
      </c>
      <c r="BT60" s="328">
        <f t="shared" si="386"/>
        <v>4.4640497510779469E-2</v>
      </c>
      <c r="BU60" s="328">
        <f t="shared" si="386"/>
        <v>7.0705829663949143E-2</v>
      </c>
      <c r="BV60" s="328">
        <f t="shared" si="386"/>
        <v>4.9512949692268285E-2</v>
      </c>
      <c r="BW60" s="328">
        <f t="shared" si="386"/>
        <v>7.1696398575339798E-2</v>
      </c>
      <c r="BX60" s="328">
        <f t="shared" si="386"/>
        <v>5.410404349384227E-2</v>
      </c>
      <c r="BY60" s="328">
        <f t="shared" si="386"/>
        <v>7.5476901096732857E-2</v>
      </c>
      <c r="BZ60" s="328">
        <f t="shared" si="386"/>
        <v>5.4059198554932991E-2</v>
      </c>
      <c r="CA60" s="328">
        <f t="shared" si="386"/>
        <v>6.8031231810603193E-2</v>
      </c>
      <c r="CB60" s="328">
        <f t="shared" si="386"/>
        <v>2.826475929058736E-2</v>
      </c>
      <c r="CC60" s="328">
        <f t="shared" si="386"/>
        <v>6.8107439072197185E-2</v>
      </c>
      <c r="CD60" s="328">
        <f t="shared" si="386"/>
        <v>3.6224861810324957E-2</v>
      </c>
      <c r="CE60" s="328">
        <f t="shared" si="386"/>
        <v>6.8508226915330747E-2</v>
      </c>
      <c r="CF60" s="328">
        <f t="shared" si="386"/>
        <v>3.7710624395185577E-2</v>
      </c>
      <c r="CG60" s="328">
        <f t="shared" si="386"/>
        <v>6.6138021156676247E-2</v>
      </c>
      <c r="CH60" s="328">
        <f t="shared" si="386"/>
        <v>4.2048906097731584E-2</v>
      </c>
      <c r="CI60" s="328">
        <f t="shared" si="386"/>
        <v>6.5267332981547285E-2</v>
      </c>
      <c r="CJ60" s="328">
        <f t="shared" si="386"/>
        <v>4.517508774793895E-2</v>
      </c>
      <c r="CK60" s="328">
        <f t="shared" si="386"/>
        <v>6.9107866371072552E-2</v>
      </c>
      <c r="CL60" s="328">
        <f t="shared" si="386"/>
        <v>4.1702636297230873E-2</v>
      </c>
      <c r="CM60" s="328">
        <f>CM59/CM7</f>
        <v>6.1195728765786765E-2</v>
      </c>
      <c r="CN60" s="328">
        <f t="shared" ref="CN60" si="387">CN59/CN7</f>
        <v>3.9437509875177738E-2</v>
      </c>
    </row>
    <row r="61" spans="1:92">
      <c r="A61" s="210"/>
      <c r="B61" s="980" t="s">
        <v>509</v>
      </c>
      <c r="C61" s="981"/>
      <c r="D61" s="313"/>
      <c r="E61" s="313">
        <f t="shared" ref="E61:U61" si="388">E60-D60</f>
        <v>6.5280525556152963E-3</v>
      </c>
      <c r="F61" s="313">
        <f t="shared" si="388"/>
        <v>5.6421347815469036E-4</v>
      </c>
      <c r="G61" s="313">
        <f t="shared" si="388"/>
        <v>3.0928468579716623E-3</v>
      </c>
      <c r="H61" s="313">
        <f t="shared" si="388"/>
        <v>3.1122685801827435E-3</v>
      </c>
      <c r="I61" s="313">
        <f t="shared" si="388"/>
        <v>-6.2510476339851379E-3</v>
      </c>
      <c r="J61" s="313">
        <f t="shared" si="388"/>
        <v>4.0114991572258799E-3</v>
      </c>
      <c r="K61" s="313">
        <f t="shared" si="388"/>
        <v>4.8199278581623067E-3</v>
      </c>
      <c r="L61" s="313">
        <f t="shared" si="388"/>
        <v>5.0561990550368405E-3</v>
      </c>
      <c r="M61" s="313">
        <f t="shared" si="388"/>
        <v>3.1106660461534541E-3</v>
      </c>
      <c r="N61" s="313">
        <f t="shared" si="388"/>
        <v>2.1254660787249774E-3</v>
      </c>
      <c r="O61" s="313">
        <f t="shared" si="388"/>
        <v>-1.4616564133217075E-2</v>
      </c>
      <c r="P61" s="313">
        <f t="shared" si="388"/>
        <v>2.1070238747641565E-3</v>
      </c>
      <c r="Q61" s="313">
        <f t="shared" si="388"/>
        <v>1.1322458861556944E-3</v>
      </c>
      <c r="R61" s="313">
        <f t="shared" si="388"/>
        <v>1.5079135556220896E-4</v>
      </c>
      <c r="S61" s="313">
        <f t="shared" si="388"/>
        <v>9.1959888821526586E-4</v>
      </c>
      <c r="T61" s="313">
        <f t="shared" si="388"/>
        <v>-1.488344615331462E-3</v>
      </c>
      <c r="U61" s="313">
        <f t="shared" si="388"/>
        <v>-3.2917025788915116E-3</v>
      </c>
      <c r="V61" s="313">
        <f>V60-CM60</f>
        <v>3.5954349791748191E-4</v>
      </c>
      <c r="W61" s="313">
        <f>W60-CN60</f>
        <v>2.4803151955566857E-3</v>
      </c>
      <c r="X61" s="313">
        <f t="shared" ref="X61:AM61" si="389">X60-U60</f>
        <v>1.4055445386596602E-3</v>
      </c>
      <c r="Y61" s="313">
        <f t="shared" si="389"/>
        <v>4.2737225300482629E-3</v>
      </c>
      <c r="Z61" s="313">
        <f t="shared" si="389"/>
        <v>1.9223444649172819E-2</v>
      </c>
      <c r="AA61" s="313">
        <f t="shared" si="389"/>
        <v>1.0950377768868085E-2</v>
      </c>
      <c r="AB61" s="313">
        <f t="shared" si="389"/>
        <v>2.7832463961205811E-2</v>
      </c>
      <c r="AC61" s="313">
        <f t="shared" si="389"/>
        <v>9.3762275756222174E-3</v>
      </c>
      <c r="AD61" s="313">
        <f t="shared" si="389"/>
        <v>1.983731929430485E-2</v>
      </c>
      <c r="AE61" s="313">
        <f t="shared" si="389"/>
        <v>-7.1708585657279944E-3</v>
      </c>
      <c r="AF61" s="313">
        <f t="shared" si="389"/>
        <v>1.5084992293047744E-2</v>
      </c>
      <c r="AG61" s="1119">
        <f t="shared" si="389"/>
        <v>2.7265762807090199E-3</v>
      </c>
      <c r="AH61" s="1119">
        <f t="shared" si="389"/>
        <v>4.2927662974609621E-3</v>
      </c>
      <c r="AI61" s="651">
        <f t="shared" si="389"/>
        <v>-1.8949622687314524E-2</v>
      </c>
      <c r="AJ61" s="1119">
        <f t="shared" si="389"/>
        <v>-6.185706306501712E-3</v>
      </c>
      <c r="AK61" s="1119">
        <f t="shared" si="389"/>
        <v>-1.5871993208374333E-2</v>
      </c>
      <c r="AL61" s="1119">
        <f t="shared" ref="AL61" si="390">AL60-AI60</f>
        <v>-7.8532370793544595E-3</v>
      </c>
      <c r="AM61" s="1119">
        <f t="shared" si="389"/>
        <v>-1.2414403854365819E-2</v>
      </c>
      <c r="AN61" s="654">
        <f t="shared" ref="AN61" si="391">AN60-AK60</f>
        <v>-8.6015996003252493E-4</v>
      </c>
      <c r="AO61" s="313">
        <f>AO60-AL60</f>
        <v>1.4312670908839947E-4</v>
      </c>
      <c r="AP61" s="654">
        <f>AP60-AM60</f>
        <v>-4.1054358721320794E-4</v>
      </c>
      <c r="AQ61" s="1595">
        <f>AQ60-AN60</f>
        <v>5.548044622687015E-4</v>
      </c>
      <c r="AR61" s="313">
        <f t="shared" ref="AR61" si="392">AR60-AO60</f>
        <v>2.2810880877432299E-4</v>
      </c>
      <c r="AS61" s="211">
        <f t="shared" ref="AS61" si="393">AS60-AP60</f>
        <v>5.3456607589559557E-4</v>
      </c>
      <c r="AT61" s="313">
        <f t="shared" ref="AT61" si="394">AT60-AQ60</f>
        <v>-1.633384895598361E-3</v>
      </c>
      <c r="AU61" s="313">
        <f t="shared" ref="AU61" si="395">AU60-AR60</f>
        <v>-1.3748362746941883E-3</v>
      </c>
      <c r="AV61" s="211">
        <f t="shared" ref="AV61" si="396">AV60-AS60</f>
        <v>-1.5232360266572431E-3</v>
      </c>
      <c r="AW61" s="313">
        <f t="shared" ref="AW61" si="397">AW60-AT60</f>
        <v>9.1538148145846321E-4</v>
      </c>
      <c r="AX61" s="313">
        <f t="shared" ref="AX61" si="398">AX60-AU60</f>
        <v>-3.1396041297405974E-5</v>
      </c>
      <c r="AY61" s="211">
        <f t="shared" ref="AY61" si="399">AY60-AV60</f>
        <v>5.0189393341081023E-4</v>
      </c>
      <c r="AZ61" s="313">
        <f t="shared" ref="AZ61" si="400">AZ60-AW60</f>
        <v>4.5619069975412485E-4</v>
      </c>
      <c r="BA61" s="313">
        <f t="shared" ref="BA61" si="401">BA60-AX60</f>
        <v>4.5679424832827803E-4</v>
      </c>
      <c r="BB61" s="211">
        <f t="shared" ref="BB61" si="402">BB60-AY60</f>
        <v>4.5647476846166768E-4</v>
      </c>
      <c r="BC61" s="651"/>
      <c r="BD61" s="373"/>
      <c r="BE61" s="373"/>
      <c r="BF61" s="373"/>
      <c r="BG61" s="373"/>
      <c r="BH61" s="374"/>
      <c r="BI61" s="375"/>
      <c r="BJ61" s="375"/>
      <c r="BK61" s="373"/>
      <c r="BL61" s="373"/>
      <c r="BM61" s="373">
        <f t="shared" ref="BM61:CH61" si="403">BM60-BK60</f>
        <v>3.5871525974770779E-3</v>
      </c>
      <c r="BN61" s="373">
        <f t="shared" si="403"/>
        <v>1.3196951707910368E-3</v>
      </c>
      <c r="BO61" s="373">
        <f t="shared" si="403"/>
        <v>-4.3947398396050052E-3</v>
      </c>
      <c r="BP61" s="373">
        <f t="shared" si="403"/>
        <v>-8.2482129183195675E-3</v>
      </c>
      <c r="BQ61" s="373">
        <f t="shared" si="403"/>
        <v>2.4392498239639432E-3</v>
      </c>
      <c r="BR61" s="373">
        <f t="shared" si="403"/>
        <v>7.2251232661740585E-3</v>
      </c>
      <c r="BS61" s="373">
        <f t="shared" si="403"/>
        <v>2.1118266545624015E-3</v>
      </c>
      <c r="BT61" s="373">
        <f t="shared" si="403"/>
        <v>6.5404588232033031E-3</v>
      </c>
      <c r="BU61" s="373">
        <f t="shared" si="403"/>
        <v>5.1547453397626231E-3</v>
      </c>
      <c r="BV61" s="373">
        <f t="shared" si="403"/>
        <v>4.8724521814888164E-3</v>
      </c>
      <c r="BW61" s="373">
        <f t="shared" si="403"/>
        <v>9.9056891139065462E-4</v>
      </c>
      <c r="BX61" s="373">
        <f t="shared" si="403"/>
        <v>4.5910938015739852E-3</v>
      </c>
      <c r="BY61" s="373">
        <f t="shared" si="403"/>
        <v>3.7805025213930588E-3</v>
      </c>
      <c r="BZ61" s="373">
        <f t="shared" si="403"/>
        <v>-4.4844938909278931E-5</v>
      </c>
      <c r="CA61" s="373">
        <f t="shared" si="403"/>
        <v>-7.4456692861296636E-3</v>
      </c>
      <c r="CB61" s="373">
        <f t="shared" si="403"/>
        <v>-2.5794439264345631E-2</v>
      </c>
      <c r="CC61" s="373">
        <f t="shared" si="403"/>
        <v>7.6207261593991271E-5</v>
      </c>
      <c r="CD61" s="373">
        <f t="shared" si="403"/>
        <v>7.9601025197375969E-3</v>
      </c>
      <c r="CE61" s="373">
        <f t="shared" si="403"/>
        <v>4.0078784313356264E-4</v>
      </c>
      <c r="CF61" s="373">
        <f t="shared" si="403"/>
        <v>1.4857625848606199E-3</v>
      </c>
      <c r="CG61" s="373">
        <f t="shared" si="403"/>
        <v>-2.3702057586545006E-3</v>
      </c>
      <c r="CH61" s="373">
        <f t="shared" si="403"/>
        <v>4.3382817025460069E-3</v>
      </c>
      <c r="CI61" s="373">
        <f t="shared" ref="CI61:CN61" si="404">CI60-CG60</f>
        <v>-8.7068817512896135E-4</v>
      </c>
      <c r="CJ61" s="373">
        <f t="shared" si="404"/>
        <v>3.1261816502073658E-3</v>
      </c>
      <c r="CK61" s="373">
        <f>CK60-CI60</f>
        <v>3.8405333895252664E-3</v>
      </c>
      <c r="CL61" s="373">
        <f t="shared" si="404"/>
        <v>-3.4724514507080764E-3</v>
      </c>
      <c r="CM61" s="373">
        <f t="shared" si="404"/>
        <v>-7.9121376052857864E-3</v>
      </c>
      <c r="CN61" s="373">
        <f t="shared" si="404"/>
        <v>-2.2651264220531347E-3</v>
      </c>
    </row>
    <row r="62" spans="1:92">
      <c r="A62" s="210"/>
      <c r="B62" s="980" t="s">
        <v>452</v>
      </c>
      <c r="C62" s="981"/>
      <c r="D62" s="982"/>
      <c r="E62" s="266">
        <f t="shared" ref="E62:U62" si="405">E59/D59-1</f>
        <v>1.0179286335944298</v>
      </c>
      <c r="F62" s="266">
        <f t="shared" si="405"/>
        <v>0.44751142931079113</v>
      </c>
      <c r="G62" s="266">
        <f t="shared" si="405"/>
        <v>0.35462725701686404</v>
      </c>
      <c r="H62" s="266">
        <f t="shared" si="405"/>
        <v>0.62906915361604776</v>
      </c>
      <c r="I62" s="266">
        <f t="shared" si="405"/>
        <v>0.20331065024843387</v>
      </c>
      <c r="J62" s="266">
        <f t="shared" si="405"/>
        <v>0.47065819887345439</v>
      </c>
      <c r="K62" s="266">
        <f t="shared" si="405"/>
        <v>0.56100650044251821</v>
      </c>
      <c r="L62" s="266">
        <f t="shared" si="405"/>
        <v>0.38775550103129075</v>
      </c>
      <c r="M62" s="266">
        <f t="shared" si="405"/>
        <v>0.23346435061916226</v>
      </c>
      <c r="N62" s="266">
        <f t="shared" si="405"/>
        <v>0.11937068128604866</v>
      </c>
      <c r="O62" s="266">
        <f t="shared" si="405"/>
        <v>-0.17628422604623162</v>
      </c>
      <c r="P62" s="266">
        <f t="shared" si="405"/>
        <v>0.10091726072872986</v>
      </c>
      <c r="Q62" s="266">
        <f t="shared" si="405"/>
        <v>7.5199855979927177E-2</v>
      </c>
      <c r="R62" s="266">
        <f t="shared" si="405"/>
        <v>5.1208664713269236E-2</v>
      </c>
      <c r="S62" s="266">
        <f t="shared" si="405"/>
        <v>0.10088249787214987</v>
      </c>
      <c r="T62" s="266">
        <f t="shared" si="405"/>
        <v>0.38532835989600978</v>
      </c>
      <c r="U62" s="266">
        <f t="shared" si="405"/>
        <v>0.14425587467362933</v>
      </c>
      <c r="V62" s="266">
        <f>V59/CM59-1</f>
        <v>4.7829937998228544E-2</v>
      </c>
      <c r="W62" s="266">
        <f>W59/CN59-1</f>
        <v>9.2147435897436569E-2</v>
      </c>
      <c r="X62" s="266">
        <f t="shared" ref="X62:AM62" si="406">X59/U59-1</f>
        <v>6.3605248146035631E-2</v>
      </c>
      <c r="Y62" s="266">
        <f t="shared" si="406"/>
        <v>0.11158072696534238</v>
      </c>
      <c r="Z62" s="266">
        <f t="shared" si="406"/>
        <v>0.76008804108583972</v>
      </c>
      <c r="AA62" s="266">
        <f t="shared" si="406"/>
        <v>0.3486189326897291</v>
      </c>
      <c r="AB62" s="266">
        <f t="shared" si="406"/>
        <v>0.75969581749049442</v>
      </c>
      <c r="AC62" s="266">
        <f t="shared" si="406"/>
        <v>0.16840350145894134</v>
      </c>
      <c r="AD62" s="266">
        <f t="shared" si="406"/>
        <v>0.47762974746470466</v>
      </c>
      <c r="AE62" s="266">
        <f t="shared" si="406"/>
        <v>-9.1400172860847007E-2</v>
      </c>
      <c r="AF62" s="266">
        <f t="shared" si="406"/>
        <v>0.33464145558330349</v>
      </c>
      <c r="AG62" s="1116">
        <f t="shared" si="406"/>
        <v>6.9304265913066709E-2</v>
      </c>
      <c r="AH62" s="1116">
        <f t="shared" si="406"/>
        <v>0.13959571938168835</v>
      </c>
      <c r="AI62" s="653">
        <f t="shared" si="406"/>
        <v>-0.22534081796311156</v>
      </c>
      <c r="AJ62" s="1116">
        <f t="shared" si="406"/>
        <v>-3.2217467908381425E-2</v>
      </c>
      <c r="AK62" s="1116">
        <f t="shared" si="406"/>
        <v>-0.1930300500834724</v>
      </c>
      <c r="AL62" s="1116">
        <f t="shared" ref="AL62" si="407">AL59/AI59-1</f>
        <v>-0.10110420979986223</v>
      </c>
      <c r="AM62" s="1116">
        <f t="shared" si="406"/>
        <v>-0.15838751625487657</v>
      </c>
      <c r="AN62" s="1254">
        <f t="shared" ref="AN62" si="408">AN59/AK59-1</f>
        <v>8.5854667701060317E-2</v>
      </c>
      <c r="AO62" s="266">
        <f>AO59/AL59-1</f>
        <v>0.10518234165067164</v>
      </c>
      <c r="AP62" s="1254">
        <f>AP59/AM59-1</f>
        <v>9.3634116192830685E-2</v>
      </c>
      <c r="AQ62" s="1596">
        <f>AQ59/AN59-1</f>
        <v>8.1209811859966674E-2</v>
      </c>
      <c r="AR62" s="266">
        <f t="shared" ref="AR62" si="409">AR59/AO59-1</f>
        <v>4.1132077849827198E-2</v>
      </c>
      <c r="AS62" s="209">
        <f t="shared" ref="AS62" si="410">AS59/AP59-1</f>
        <v>6.4908060487376629E-2</v>
      </c>
      <c r="AT62" s="266">
        <f t="shared" ref="AT62" si="411">AT59/AQ59-1</f>
        <v>1.827092125929175E-2</v>
      </c>
      <c r="AU62" s="266">
        <f t="shared" ref="AU62" si="412">AU59/AR59-1</f>
        <v>1.8850400168849646E-2</v>
      </c>
      <c r="AV62" s="209">
        <f t="shared" ref="AV62" si="413">AV59/AS59-1</f>
        <v>1.8501363693447459E-2</v>
      </c>
      <c r="AW62" s="266">
        <f t="shared" ref="AW62" si="414">AW59/AT59-1</f>
        <v>5.714121268388328E-2</v>
      </c>
      <c r="AX62" s="266">
        <f t="shared" ref="AX62" si="415">AX59/AU59-1</f>
        <v>3.9029980778286344E-2</v>
      </c>
      <c r="AY62" s="209">
        <f t="shared" ref="AY62" si="416">AY59/AV59-1</f>
        <v>4.9936417871956795E-2</v>
      </c>
      <c r="AZ62" s="266">
        <f t="shared" ref="AZ62" si="417">AZ59/AW59-1</f>
        <v>4.8505618588017718E-2</v>
      </c>
      <c r="BA62" s="266">
        <f t="shared" ref="BA62" si="418">BA59/AX59-1</f>
        <v>5.0309641931847171E-2</v>
      </c>
      <c r="BB62" s="209">
        <f t="shared" ref="BB62" si="419">BB59/AY59-1</f>
        <v>4.921581889812976E-2</v>
      </c>
      <c r="BC62" s="653"/>
      <c r="BD62" s="376"/>
      <c r="BE62" s="376"/>
      <c r="BF62" s="376"/>
      <c r="BG62" s="376"/>
      <c r="BH62" s="374"/>
      <c r="BI62" s="375"/>
      <c r="BJ62" s="375"/>
      <c r="BK62" s="376"/>
      <c r="BL62" s="376"/>
      <c r="BM62" s="376">
        <f t="shared" ref="BM62:CN62" si="420">BM59/BK59-1</f>
        <v>0.69655172413793109</v>
      </c>
      <c r="BN62" s="376">
        <f t="shared" si="420"/>
        <v>0.51020408163265252</v>
      </c>
      <c r="BO62" s="376">
        <f t="shared" si="420"/>
        <v>0.2642276422764227</v>
      </c>
      <c r="BP62" s="376">
        <f t="shared" si="420"/>
        <v>8.2770270270270618E-2</v>
      </c>
      <c r="BQ62" s="376">
        <f t="shared" si="420"/>
        <v>0.34405144694533751</v>
      </c>
      <c r="BR62" s="376">
        <f t="shared" si="420"/>
        <v>0.76316766956392623</v>
      </c>
      <c r="BS62" s="376">
        <f t="shared" si="420"/>
        <v>0.55023923444976086</v>
      </c>
      <c r="BT62" s="376">
        <f t="shared" si="420"/>
        <v>0.5799696637734888</v>
      </c>
      <c r="BU62" s="376">
        <f t="shared" si="420"/>
        <v>0.37654320987654333</v>
      </c>
      <c r="BV62" s="376">
        <f t="shared" si="420"/>
        <v>0.40713085682284889</v>
      </c>
      <c r="BW62" s="376">
        <f t="shared" si="420"/>
        <v>0.24887892376681608</v>
      </c>
      <c r="BX62" s="376">
        <f t="shared" si="420"/>
        <v>0.20740628434977082</v>
      </c>
      <c r="BY62" s="376">
        <f t="shared" si="420"/>
        <v>0.1400359066427288</v>
      </c>
      <c r="BZ62" s="376">
        <f t="shared" si="420"/>
        <v>8.3236540574478157E-2</v>
      </c>
      <c r="CA62" s="376">
        <f t="shared" si="420"/>
        <v>-4.9314960629921356E-2</v>
      </c>
      <c r="CB62" s="376">
        <f t="shared" si="420"/>
        <v>-0.44584353672496491</v>
      </c>
      <c r="CC62" s="376">
        <f t="shared" si="420"/>
        <v>2.4540944366681305E-2</v>
      </c>
      <c r="CD62" s="376">
        <f t="shared" si="420"/>
        <v>0.41337203221420382</v>
      </c>
      <c r="CE62" s="376">
        <f t="shared" si="420"/>
        <v>7.4373484236055054E-2</v>
      </c>
      <c r="CF62" s="376">
        <f t="shared" si="420"/>
        <v>7.709100327456353E-2</v>
      </c>
      <c r="CG62" s="376">
        <f t="shared" si="420"/>
        <v>-2.2039127163280714E-2</v>
      </c>
      <c r="CH62" s="376">
        <f t="shared" si="420"/>
        <v>0.21841291652353156</v>
      </c>
      <c r="CI62" s="376">
        <f t="shared" si="420"/>
        <v>6.2998668933839097E-2</v>
      </c>
      <c r="CJ62" s="376">
        <f t="shared" si="420"/>
        <v>0.1702943498364724</v>
      </c>
      <c r="CK62" s="376">
        <f t="shared" si="420"/>
        <v>0.30863714995041969</v>
      </c>
      <c r="CL62" s="376">
        <f t="shared" si="420"/>
        <v>0.51296135684687205</v>
      </c>
      <c r="CM62" s="376">
        <f t="shared" si="420"/>
        <v>0.24889380530973448</v>
      </c>
      <c r="CN62" s="376">
        <f t="shared" si="420"/>
        <v>-6.3694267515924663E-3</v>
      </c>
    </row>
    <row r="63" spans="1:92">
      <c r="A63" s="210"/>
      <c r="B63" s="980" t="s">
        <v>510</v>
      </c>
      <c r="C63" s="981"/>
      <c r="D63" s="983">
        <f t="shared" ref="D63:T63" si="421">D59/D199</f>
        <v>0.45960000000000001</v>
      </c>
      <c r="E63" s="983">
        <f t="shared" si="421"/>
        <v>0.6440555555555556</v>
      </c>
      <c r="F63" s="983">
        <f t="shared" si="421"/>
        <v>0.71408510638297884</v>
      </c>
      <c r="G63" s="983">
        <f t="shared" si="421"/>
        <v>0.78386206896551724</v>
      </c>
      <c r="H63" s="983">
        <f t="shared" si="421"/>
        <v>0.92579999999999996</v>
      </c>
      <c r="I63" s="983">
        <f t="shared" si="421"/>
        <v>0.78177192982456145</v>
      </c>
      <c r="J63" s="983">
        <f t="shared" si="421"/>
        <v>0.84560000000000013</v>
      </c>
      <c r="K63" s="983">
        <f t="shared" si="421"/>
        <v>1.0546288659793814</v>
      </c>
      <c r="L63" s="983">
        <f t="shared" si="421"/>
        <v>1.2453157894736844</v>
      </c>
      <c r="M63" s="983">
        <f t="shared" si="421"/>
        <v>1.3265909090909092</v>
      </c>
      <c r="N63" s="983">
        <f t="shared" si="421"/>
        <v>1.315523489932886</v>
      </c>
      <c r="O63" s="983">
        <f t="shared" si="421"/>
        <v>0.99359384615384616</v>
      </c>
      <c r="P63" s="983">
        <f t="shared" si="421"/>
        <v>1.0304521739130437</v>
      </c>
      <c r="Q63" s="983">
        <f t="shared" si="421"/>
        <v>1.0647353760445684</v>
      </c>
      <c r="R63" s="983">
        <f t="shared" si="421"/>
        <v>1.0889268292682928</v>
      </c>
      <c r="S63" s="983">
        <f t="shared" si="421"/>
        <v>1.1610236220472441</v>
      </c>
      <c r="T63" s="983">
        <f t="shared" si="421"/>
        <v>1.551392405063291</v>
      </c>
      <c r="U63" s="983">
        <f t="shared" ref="U63:AD63" si="422">U59/U199</f>
        <v>1.7144254278728606</v>
      </c>
      <c r="V63" s="584">
        <f>V59/V199</f>
        <v>1.1375</v>
      </c>
      <c r="W63" s="584">
        <f>W59/W199</f>
        <v>0.64750593824228042</v>
      </c>
      <c r="X63" s="983">
        <f t="shared" si="422"/>
        <v>1.7778307508939215</v>
      </c>
      <c r="Y63" s="584">
        <f>Y59/Y199</f>
        <v>1.2464454976303319</v>
      </c>
      <c r="Z63" s="584">
        <f>Z59/Z199</f>
        <v>1.1316037735849058</v>
      </c>
      <c r="AA63" s="983">
        <f t="shared" si="422"/>
        <v>2.3862396204033218</v>
      </c>
      <c r="AB63" s="584">
        <f>AB59/AB199</f>
        <v>2.2003169572107764</v>
      </c>
      <c r="AC63" s="584">
        <v>0.3</v>
      </c>
      <c r="AD63" s="983">
        <f t="shared" si="422"/>
        <v>3.5385714285714287</v>
      </c>
      <c r="AE63" s="584">
        <v>0.15</v>
      </c>
      <c r="AF63" s="584">
        <f t="shared" ref="AF63:AJ63" si="423">AF59/AF199</f>
        <v>1.7604705882352945</v>
      </c>
      <c r="AG63" s="1120">
        <f t="shared" si="423"/>
        <v>3.7658767772511843</v>
      </c>
      <c r="AH63" s="1192">
        <v>0.15</v>
      </c>
      <c r="AI63" s="655">
        <f t="shared" si="423"/>
        <v>1.3416666666666668</v>
      </c>
      <c r="AJ63" s="1120">
        <f t="shared" si="423"/>
        <v>3.5850815850815851</v>
      </c>
      <c r="AK63" s="1192">
        <f>+AH63</f>
        <v>0.15</v>
      </c>
      <c r="AL63" s="1192">
        <f t="shared" ref="AL63:AM63" si="424">AL59/AL199</f>
        <v>1.178733031674208</v>
      </c>
      <c r="AM63" s="1120">
        <f t="shared" si="424"/>
        <v>2.9418181818181814</v>
      </c>
      <c r="AN63" s="1630">
        <f>+AK63</f>
        <v>0.15</v>
      </c>
      <c r="AO63" s="584">
        <f t="shared" ref="AO63:AV63" si="425">AO59/AO199</f>
        <v>1.2599562363238508</v>
      </c>
      <c r="AP63" s="1703">
        <f t="shared" si="425"/>
        <v>3.1249448123620307</v>
      </c>
      <c r="AQ63" s="1641">
        <f t="shared" ref="AQ63" si="426">AQ59/AQ199</f>
        <v>1.9696312364425164</v>
      </c>
      <c r="AR63" s="584">
        <f t="shared" si="425"/>
        <v>1.2864460309569321</v>
      </c>
      <c r="AS63" s="212">
        <f t="shared" si="425"/>
        <v>3.2559046445484454</v>
      </c>
      <c r="AT63" s="584">
        <f t="shared" si="425"/>
        <v>1.9714072420115927</v>
      </c>
      <c r="AU63" s="584">
        <f t="shared" si="425"/>
        <v>1.2967820825928278</v>
      </c>
      <c r="AV63" s="212">
        <f t="shared" si="425"/>
        <v>3.2667539519248061</v>
      </c>
      <c r="AW63" s="584">
        <f t="shared" ref="AW63:AY63" si="427">AW59/AW199</f>
        <v>2.0664316916258576</v>
      </c>
      <c r="AX63" s="584">
        <f t="shared" si="427"/>
        <v>1.3360489742460515</v>
      </c>
      <c r="AY63" s="212">
        <f t="shared" si="427"/>
        <v>3.4009397740630911</v>
      </c>
      <c r="AZ63" s="584">
        <f t="shared" ref="AZ63:BB63" si="428">AZ59/AZ199</f>
        <v>2.1484961385605441</v>
      </c>
      <c r="BA63" s="584">
        <f t="shared" si="428"/>
        <v>1.3915468306436254</v>
      </c>
      <c r="BB63" s="212">
        <f t="shared" si="428"/>
        <v>3.5384593932461841</v>
      </c>
      <c r="BC63" s="1346"/>
      <c r="BD63" s="377"/>
      <c r="BE63" s="377"/>
      <c r="BF63" s="377"/>
      <c r="BG63" s="377"/>
      <c r="BH63" s="374"/>
      <c r="BI63" s="375"/>
      <c r="BJ63" s="375"/>
      <c r="BK63" s="377"/>
      <c r="BL63" s="377"/>
      <c r="BM63" s="377"/>
      <c r="BN63" s="377"/>
      <c r="BO63" s="377"/>
      <c r="BP63" s="377"/>
      <c r="BQ63" s="377"/>
      <c r="BR63" s="377"/>
      <c r="BS63" s="445">
        <f>BS59/SUM(BS59:BT59)</f>
        <v>0.63343727700173025</v>
      </c>
      <c r="BT63" s="377"/>
      <c r="BU63" s="445">
        <f>BU59/SUM(BU59:BV59)</f>
        <v>0.6283194567713396</v>
      </c>
      <c r="BV63" s="377"/>
      <c r="BW63" s="445">
        <f>BW59/SUM(BW59:BX59)</f>
        <v>0.63617154931186115</v>
      </c>
      <c r="BX63" s="377"/>
      <c r="BY63" s="445">
        <f>BY59/SUM(BY59:BZ59)</f>
        <v>0.64791620963915653</v>
      </c>
      <c r="BZ63" s="377"/>
      <c r="CA63" s="445">
        <f>CA59/SUM(CA59:CB59)</f>
        <v>0.75944295230247638</v>
      </c>
      <c r="CB63" s="377"/>
      <c r="CC63" s="445">
        <f>CC59/SUM(CC59:CD59)</f>
        <v>0.69590949238550115</v>
      </c>
      <c r="CD63" s="377"/>
      <c r="CE63" s="445">
        <f>CE59/SUM(CE59:CF59)</f>
        <v>0.69537463373796571</v>
      </c>
      <c r="CF63" s="377"/>
      <c r="CG63" s="445">
        <f>CG59/SUM(CG59:CH59)</f>
        <v>0.64692121230220945</v>
      </c>
      <c r="CH63" s="377"/>
      <c r="CI63" s="511">
        <f t="shared" ref="CI63:CN63" si="429">CI59/CI199</f>
        <v>0.72524409448818894</v>
      </c>
      <c r="CJ63" s="511">
        <f t="shared" si="429"/>
        <v>0.42791752577319597</v>
      </c>
      <c r="CK63" s="511">
        <f t="shared" si="429"/>
        <v>0.92010178117048347</v>
      </c>
      <c r="CL63" s="511">
        <f t="shared" si="429"/>
        <v>0.62799999999999978</v>
      </c>
      <c r="CM63" s="511">
        <f t="shared" si="429"/>
        <v>1.1068627450980393</v>
      </c>
      <c r="CN63" s="511">
        <f t="shared" si="429"/>
        <v>0.60144578313252994</v>
      </c>
    </row>
    <row r="64" spans="1:92">
      <c r="A64" s="210"/>
      <c r="B64" s="980" t="s">
        <v>452</v>
      </c>
      <c r="C64" s="981"/>
      <c r="D64" s="983"/>
      <c r="E64" s="266">
        <f>E63/D63-1</f>
        <v>0.40133932888502089</v>
      </c>
      <c r="F64" s="266">
        <f t="shared" ref="F64:U64" si="430">F63/E63-1</f>
        <v>0.10873215862103147</v>
      </c>
      <c r="G64" s="266">
        <f t="shared" si="430"/>
        <v>9.7715191030907089E-2</v>
      </c>
      <c r="H64" s="266">
        <f t="shared" si="430"/>
        <v>0.18107513637163475</v>
      </c>
      <c r="I64" s="266">
        <f t="shared" si="430"/>
        <v>-0.15557147350987088</v>
      </c>
      <c r="J64" s="266">
        <f t="shared" si="430"/>
        <v>8.164538497789553E-2</v>
      </c>
      <c r="K64" s="266">
        <f t="shared" si="430"/>
        <v>0.24719591530201201</v>
      </c>
      <c r="L64" s="266">
        <f t="shared" si="430"/>
        <v>0.18080950526346684</v>
      </c>
      <c r="M64" s="266">
        <f t="shared" si="430"/>
        <v>6.5264666443821895E-2</v>
      </c>
      <c r="N64" s="266">
        <f t="shared" si="430"/>
        <v>-8.342752149272159E-3</v>
      </c>
      <c r="O64" s="266">
        <f t="shared" si="430"/>
        <v>-0.24471599803623711</v>
      </c>
      <c r="P64" s="266">
        <f t="shared" si="430"/>
        <v>3.7095970251702193E-2</v>
      </c>
      <c r="Q64" s="266">
        <f t="shared" si="430"/>
        <v>3.3270056582381136E-2</v>
      </c>
      <c r="R64" s="266">
        <f t="shared" si="430"/>
        <v>2.2720625019142515E-2</v>
      </c>
      <c r="S64" s="266">
        <f t="shared" si="430"/>
        <v>6.6209033372239379E-2</v>
      </c>
      <c r="T64" s="266">
        <f t="shared" si="430"/>
        <v>0.33622811422880949</v>
      </c>
      <c r="U64" s="266">
        <f t="shared" si="430"/>
        <v>0.10508819192196461</v>
      </c>
      <c r="V64" s="266"/>
      <c r="W64" s="266"/>
      <c r="X64" s="266">
        <f>X63/U63-1</f>
        <v>3.6983424294942946E-2</v>
      </c>
      <c r="Y64" s="266"/>
      <c r="Z64" s="266"/>
      <c r="AA64" s="266">
        <f>AA63/X63-1</f>
        <v>0.34221979184659879</v>
      </c>
      <c r="AB64" s="266"/>
      <c r="AC64" s="266"/>
      <c r="AD64" s="266">
        <f>AD63/AA63-1</f>
        <v>0.48290699656279279</v>
      </c>
      <c r="AE64" s="266"/>
      <c r="AF64" s="266"/>
      <c r="AG64" s="1116">
        <f>AG63/AD63-1</f>
        <v>6.4236473183620912E-2</v>
      </c>
      <c r="AH64" s="1116"/>
      <c r="AI64" s="653">
        <f t="shared" ref="AI64" si="431">AI63/AF63-1</f>
        <v>-0.23789316582019071</v>
      </c>
      <c r="AJ64" s="1116">
        <f>AJ63/AG63-1</f>
        <v>-4.8008791275843676E-2</v>
      </c>
      <c r="AK64" s="1116"/>
      <c r="AL64" s="1116">
        <f t="shared" ref="AL64" si="432">AL63/AI63-1</f>
        <v>-0.12144121862791957</v>
      </c>
      <c r="AM64" s="1116">
        <f>AM63/AJ63-1</f>
        <v>-0.17942782834850468</v>
      </c>
      <c r="AN64" s="1254">
        <f t="shared" ref="AN64" si="433">AN63/AK63-1</f>
        <v>0</v>
      </c>
      <c r="AO64" s="266">
        <f>AO63/AL63-1</f>
        <v>6.8907210086645243E-2</v>
      </c>
      <c r="AP64" s="1254">
        <f>AP63/AM63-1</f>
        <v>6.2249472681778162E-2</v>
      </c>
      <c r="AQ64" s="1596">
        <f>AQ63/AN63-1</f>
        <v>12.130874909616777</v>
      </c>
      <c r="AR64" s="266">
        <f t="shared" ref="AR64" si="434">AR63/AO63-1</f>
        <v>2.1024376775474307E-2</v>
      </c>
      <c r="AS64" s="209">
        <f t="shared" ref="AS64" si="435">AS63/AP63-1</f>
        <v>4.1907886394776606E-2</v>
      </c>
      <c r="AT64" s="266">
        <f t="shared" ref="AT64" si="436">AT63/AQ63-1</f>
        <v>9.0169445742760423E-4</v>
      </c>
      <c r="AU64" s="266">
        <f t="shared" ref="AU64" si="437">AU63/AR63-1</f>
        <v>8.0345785110060852E-3</v>
      </c>
      <c r="AV64" s="209">
        <f t="shared" ref="AV64" si="438">AV63/AS63-1</f>
        <v>3.3321944469493214E-3</v>
      </c>
      <c r="AW64" s="266">
        <f t="shared" ref="AW64" si="439">AW63/AT63-1</f>
        <v>4.8201329278522609E-2</v>
      </c>
      <c r="AX64" s="266">
        <f t="shared" ref="AX64" si="440">AX63/AU63-1</f>
        <v>3.02802546243639E-2</v>
      </c>
      <c r="AY64" s="209">
        <f t="shared" ref="AY64" si="441">AY63/AV63-1</f>
        <v>4.1076194936328525E-2</v>
      </c>
      <c r="AZ64" s="266">
        <f t="shared" ref="AZ64" si="442">AZ63/AW63-1</f>
        <v>3.9713118641787171E-2</v>
      </c>
      <c r="BA64" s="266">
        <f t="shared" ref="BA64" si="443">BA63/AX63-1</f>
        <v>4.1538788972082408E-2</v>
      </c>
      <c r="BB64" s="209">
        <f t="shared" ref="BB64" si="444">BB63/AY63-1</f>
        <v>4.0435770204421795E-2</v>
      </c>
      <c r="BC64" s="653"/>
      <c r="BD64" s="376"/>
      <c r="BE64" s="376"/>
      <c r="BF64" s="376"/>
      <c r="BG64" s="376"/>
      <c r="BH64" s="374"/>
      <c r="BI64" s="375"/>
      <c r="BJ64" s="375"/>
      <c r="BK64" s="376"/>
      <c r="BL64" s="376"/>
      <c r="BM64" s="376"/>
      <c r="BN64" s="376"/>
      <c r="BO64" s="376"/>
      <c r="BP64" s="376"/>
      <c r="BQ64" s="376"/>
      <c r="BR64" s="376"/>
      <c r="BS64" s="376"/>
      <c r="BT64" s="376"/>
      <c r="BU64" s="376"/>
      <c r="BV64" s="376"/>
      <c r="BW64" s="376"/>
      <c r="BX64" s="376"/>
      <c r="BY64" s="376"/>
      <c r="BZ64" s="376"/>
      <c r="CA64" s="376"/>
      <c r="CB64" s="376"/>
      <c r="CC64" s="376"/>
      <c r="CD64" s="376"/>
      <c r="CE64" s="376"/>
      <c r="CF64" s="376"/>
      <c r="CG64" s="376"/>
      <c r="CH64" s="376"/>
      <c r="CI64" s="376"/>
      <c r="CJ64" s="376"/>
      <c r="CK64" s="376"/>
      <c r="CL64" s="376"/>
      <c r="CM64" s="376"/>
      <c r="CN64" s="376"/>
    </row>
    <row r="65" spans="1:96">
      <c r="A65" s="213"/>
      <c r="B65" s="956" t="s">
        <v>511</v>
      </c>
      <c r="C65" s="971"/>
      <c r="D65" s="338"/>
      <c r="E65" s="313">
        <f t="shared" ref="E65:U65" si="445">E60-D60</f>
        <v>6.5280525556152963E-3</v>
      </c>
      <c r="F65" s="313">
        <f t="shared" si="445"/>
        <v>5.6421347815469036E-4</v>
      </c>
      <c r="G65" s="313">
        <f t="shared" si="445"/>
        <v>3.0928468579716623E-3</v>
      </c>
      <c r="H65" s="313">
        <f t="shared" si="445"/>
        <v>3.1122685801827435E-3</v>
      </c>
      <c r="I65" s="313">
        <f t="shared" si="445"/>
        <v>-6.2510476339851379E-3</v>
      </c>
      <c r="J65" s="313">
        <f t="shared" si="445"/>
        <v>4.0114991572258799E-3</v>
      </c>
      <c r="K65" s="313">
        <f t="shared" si="445"/>
        <v>4.8199278581623067E-3</v>
      </c>
      <c r="L65" s="313">
        <f t="shared" si="445"/>
        <v>5.0561990550368405E-3</v>
      </c>
      <c r="M65" s="313">
        <f>M60-L60</f>
        <v>3.1106660461534541E-3</v>
      </c>
      <c r="N65" s="313">
        <f t="shared" si="445"/>
        <v>2.1254660787249774E-3</v>
      </c>
      <c r="O65" s="313">
        <f t="shared" si="445"/>
        <v>-1.4616564133217075E-2</v>
      </c>
      <c r="P65" s="313">
        <f t="shared" si="445"/>
        <v>2.1070238747641565E-3</v>
      </c>
      <c r="Q65" s="313">
        <f t="shared" si="445"/>
        <v>1.1322458861556944E-3</v>
      </c>
      <c r="R65" s="313">
        <f t="shared" si="445"/>
        <v>1.5079135556220896E-4</v>
      </c>
      <c r="S65" s="313">
        <f t="shared" si="445"/>
        <v>9.1959888821526586E-4</v>
      </c>
      <c r="T65" s="313">
        <f t="shared" si="445"/>
        <v>-1.488344615331462E-3</v>
      </c>
      <c r="U65" s="313">
        <f t="shared" si="445"/>
        <v>-3.2917025788915116E-3</v>
      </c>
      <c r="V65" s="313"/>
      <c r="W65" s="313"/>
      <c r="X65" s="313"/>
      <c r="Y65" s="313"/>
      <c r="Z65" s="313"/>
      <c r="AA65" s="313"/>
      <c r="AB65" s="313"/>
      <c r="AC65" s="313"/>
      <c r="AD65" s="313"/>
      <c r="AE65" s="313"/>
      <c r="AF65" s="313"/>
      <c r="AG65" s="1119">
        <f>+AG60/X60-1</f>
        <v>0.63768791541122449</v>
      </c>
      <c r="AH65" s="1119"/>
      <c r="AI65" s="651"/>
      <c r="AJ65" s="1119">
        <f>+AJ60/AA60-1</f>
        <v>0.25789867368944308</v>
      </c>
      <c r="AK65" s="1119"/>
      <c r="AL65" s="1119"/>
      <c r="AM65" s="1119">
        <f>+AM60/AD60-1</f>
        <v>-0.19045890920317765</v>
      </c>
      <c r="AN65" s="654"/>
      <c r="AO65" s="313"/>
      <c r="AP65" s="654"/>
      <c r="AQ65" s="1595"/>
      <c r="AR65" s="313"/>
      <c r="AS65" s="211"/>
      <c r="AT65" s="313"/>
      <c r="AU65" s="313"/>
      <c r="AV65" s="211"/>
      <c r="AW65" s="313"/>
      <c r="AX65" s="313"/>
      <c r="AY65" s="211"/>
      <c r="AZ65" s="313"/>
      <c r="BA65" s="313"/>
      <c r="BB65" s="211"/>
      <c r="BC65" s="651"/>
      <c r="BD65" s="373"/>
      <c r="BE65" s="373"/>
      <c r="BF65" s="373"/>
      <c r="BG65" s="373"/>
      <c r="BH65" s="370"/>
      <c r="BI65" s="371"/>
      <c r="BJ65" s="371"/>
      <c r="BK65" s="373"/>
      <c r="BL65" s="373"/>
      <c r="BM65" s="373"/>
      <c r="BN65" s="373"/>
      <c r="BO65" s="373"/>
      <c r="BP65" s="373"/>
      <c r="BQ65" s="373"/>
      <c r="BR65" s="373"/>
      <c r="BS65" s="373"/>
      <c r="BT65" s="373"/>
      <c r="BU65" s="373"/>
      <c r="BV65" s="373"/>
      <c r="BW65" s="373"/>
      <c r="BX65" s="373"/>
      <c r="BY65" s="373"/>
      <c r="BZ65" s="373"/>
      <c r="CA65" s="373"/>
      <c r="CB65" s="373"/>
      <c r="CC65" s="373"/>
      <c r="CD65" s="373"/>
      <c r="CE65" s="373"/>
      <c r="CF65" s="373"/>
      <c r="CG65" s="373"/>
      <c r="CH65" s="373"/>
      <c r="CI65" s="373"/>
      <c r="CJ65" s="373"/>
      <c r="CK65" s="373"/>
      <c r="CL65" s="373"/>
      <c r="CM65" s="373"/>
      <c r="CN65" s="373"/>
    </row>
    <row r="66" spans="1:96">
      <c r="A66" s="171"/>
      <c r="B66" s="834" t="s">
        <v>512</v>
      </c>
      <c r="C66" s="965"/>
      <c r="D66" s="279"/>
      <c r="E66" s="279"/>
      <c r="F66" s="279"/>
      <c r="G66" s="279"/>
      <c r="H66" s="279"/>
      <c r="I66" s="279">
        <f t="shared" ref="I66:T66" si="446">I62/I96</f>
        <v>0.56013626662649751</v>
      </c>
      <c r="J66" s="279">
        <f t="shared" si="446"/>
        <v>1.3248131288887719</v>
      </c>
      <c r="K66" s="279">
        <f t="shared" si="446"/>
        <v>1.3153162172487114</v>
      </c>
      <c r="L66" s="279">
        <f t="shared" si="446"/>
        <v>1.4217623951533802</v>
      </c>
      <c r="M66" s="279">
        <f t="shared" si="446"/>
        <v>1.3447055230440859</v>
      </c>
      <c r="N66" s="279">
        <f t="shared" si="446"/>
        <v>1.4304182773455834</v>
      </c>
      <c r="O66" s="279">
        <f t="shared" si="446"/>
        <v>-3.0952457578364081</v>
      </c>
      <c r="P66" s="279">
        <f t="shared" si="446"/>
        <v>1.7476977806588556</v>
      </c>
      <c r="Q66" s="279">
        <f t="shared" si="446"/>
        <v>1.4186241113271025</v>
      </c>
      <c r="R66" s="279">
        <f t="shared" si="446"/>
        <v>1.0596246512640679</v>
      </c>
      <c r="S66" s="279">
        <f t="shared" si="446"/>
        <v>1.2186530731178793</v>
      </c>
      <c r="T66" s="279">
        <f t="shared" si="446"/>
        <v>3.6705544569400521</v>
      </c>
      <c r="U66" s="279">
        <f t="shared" ref="U66:AD66" si="447">U62/U96</f>
        <v>1.6440805163638263</v>
      </c>
      <c r="V66" s="279"/>
      <c r="W66" s="279"/>
      <c r="X66" s="279">
        <f t="shared" si="447"/>
        <v>1.5551221421713373</v>
      </c>
      <c r="Y66" s="279"/>
      <c r="Z66" s="279"/>
      <c r="AA66" s="279">
        <f t="shared" si="447"/>
        <v>2.9599404626551697</v>
      </c>
      <c r="AB66" s="279"/>
      <c r="AC66" s="279"/>
      <c r="AD66" s="279">
        <f t="shared" si="447"/>
        <v>3.9405344867291632</v>
      </c>
      <c r="AE66" s="279"/>
      <c r="AF66" s="279"/>
      <c r="AG66" s="279">
        <f>AG62/AG96</f>
        <v>1.7742120989569723</v>
      </c>
      <c r="AH66" s="279"/>
      <c r="AI66" s="179"/>
      <c r="AJ66" s="279">
        <f>AJ62/AJ96</f>
        <v>-0.5597741605893708</v>
      </c>
      <c r="AK66" s="279"/>
      <c r="AL66" s="279"/>
      <c r="AM66" s="279">
        <f>AM62/AM96</f>
        <v>-10.802377409919682</v>
      </c>
      <c r="AN66" s="179"/>
      <c r="AO66" s="279"/>
      <c r="AP66" s="179"/>
      <c r="AQ66" s="1371"/>
      <c r="AR66" s="279"/>
      <c r="AS66" s="179"/>
      <c r="AT66" s="279"/>
      <c r="AU66" s="279"/>
      <c r="AV66" s="179"/>
      <c r="AW66" s="279"/>
      <c r="AX66" s="279"/>
      <c r="AY66" s="179"/>
      <c r="AZ66" s="279"/>
      <c r="BA66" s="279"/>
      <c r="BB66" s="179"/>
      <c r="BC66" s="179"/>
      <c r="BD66" s="320"/>
      <c r="BE66" s="320"/>
      <c r="BF66" s="320"/>
      <c r="BG66" s="320"/>
      <c r="BH66" s="318"/>
      <c r="BI66" s="322"/>
      <c r="BJ66" s="322"/>
      <c r="BK66" s="320"/>
      <c r="BL66" s="320"/>
      <c r="BM66" s="320"/>
      <c r="BN66" s="320"/>
      <c r="BO66" s="320"/>
      <c r="BP66" s="320"/>
      <c r="BQ66" s="320"/>
      <c r="BR66" s="320"/>
      <c r="BS66" s="320"/>
      <c r="BT66" s="320"/>
      <c r="BU66" s="320"/>
      <c r="BV66" s="320"/>
      <c r="BW66" s="320"/>
      <c r="BX66" s="320"/>
      <c r="BY66" s="320"/>
      <c r="BZ66" s="320"/>
      <c r="CA66" s="320"/>
      <c r="CB66" s="320"/>
      <c r="CC66" s="320"/>
      <c r="CD66" s="320"/>
      <c r="CE66" s="320"/>
      <c r="CF66" s="320"/>
      <c r="CG66" s="320"/>
      <c r="CH66" s="320"/>
      <c r="CI66" s="320"/>
      <c r="CJ66" s="320"/>
      <c r="CK66" s="320"/>
      <c r="CL66" s="320"/>
      <c r="CM66" s="320"/>
      <c r="CN66" s="320"/>
    </row>
    <row r="67" spans="1:96">
      <c r="A67" s="171"/>
      <c r="B67" s="834" t="s">
        <v>798</v>
      </c>
      <c r="C67" s="965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63">
        <f>V59/X59</f>
        <v>0.63448645749530697</v>
      </c>
      <c r="W67" s="263">
        <f>1-V67</f>
        <v>0.36551354250469303</v>
      </c>
      <c r="X67" s="279"/>
      <c r="Y67" s="263">
        <f>Y59/AA59</f>
        <v>0.52296679260290313</v>
      </c>
      <c r="Z67" s="263">
        <f>1-Y67</f>
        <v>0.47703320739709687</v>
      </c>
      <c r="AA67" s="279"/>
      <c r="AB67" s="263">
        <f>AB59/AD59</f>
        <v>0.62279639348674476</v>
      </c>
      <c r="AC67" s="263">
        <f>1-AB67</f>
        <v>0.37720360651325524</v>
      </c>
      <c r="AD67" s="279"/>
      <c r="AE67" s="263">
        <f>AE59/AG59</f>
        <v>0.52919708029197088</v>
      </c>
      <c r="AF67" s="263">
        <f>1-AE67</f>
        <v>0.47080291970802912</v>
      </c>
      <c r="AG67" s="279"/>
      <c r="AH67" s="284">
        <f>AH59/AJ59</f>
        <v>0.62314694408322491</v>
      </c>
      <c r="AI67" s="564">
        <f>1-AH67</f>
        <v>0.37685305591677509</v>
      </c>
      <c r="AJ67" s="279"/>
      <c r="AK67" s="284">
        <f>AK59/AM59</f>
        <v>0.59749690976514225</v>
      </c>
      <c r="AL67" s="284">
        <f t="shared" ref="AL67" si="448">1-AK67</f>
        <v>0.40250309023485775</v>
      </c>
      <c r="AM67" s="279"/>
      <c r="AN67" s="137">
        <f>AN59/AP59</f>
        <v>0.59324667985306589</v>
      </c>
      <c r="AO67" s="263">
        <f>1-AN67</f>
        <v>0.40675332014693411</v>
      </c>
      <c r="AP67" s="179"/>
      <c r="AQ67" s="1315">
        <f>AQ59/AS59</f>
        <v>0.60232817734229804</v>
      </c>
      <c r="AR67" s="263">
        <f t="shared" ref="AR67" si="449">1-AQ67</f>
        <v>0.39767182265770196</v>
      </c>
      <c r="AS67" s="179"/>
      <c r="AT67" s="263">
        <f t="shared" ref="AT67" si="450">AT59/AV59</f>
        <v>0.60219189674779405</v>
      </c>
      <c r="AU67" s="263">
        <f t="shared" ref="AU67" si="451">1-AT67</f>
        <v>0.39780810325220595</v>
      </c>
      <c r="AV67" s="179"/>
      <c r="AW67" s="263">
        <f t="shared" ref="AW67" si="452">AW59/AY59</f>
        <v>0.60632421274295334</v>
      </c>
      <c r="AX67" s="263">
        <f t="shared" ref="AX67" si="453">1-AW67</f>
        <v>0.39367578725704666</v>
      </c>
      <c r="AY67" s="179"/>
      <c r="AZ67" s="263">
        <f t="shared" ref="AZ67" si="454">AZ59/BB59</f>
        <v>0.60591379990303762</v>
      </c>
      <c r="BA67" s="263">
        <f t="shared" ref="BA67" si="455">1-AZ67</f>
        <v>0.39408620009696238</v>
      </c>
      <c r="BB67" s="179"/>
      <c r="BC67" s="179"/>
      <c r="BD67" s="320"/>
      <c r="BE67" s="320"/>
      <c r="BF67" s="320"/>
      <c r="BG67" s="320"/>
      <c r="BH67" s="318"/>
      <c r="BI67" s="322"/>
      <c r="BJ67" s="322"/>
      <c r="BK67" s="320"/>
      <c r="BL67" s="320"/>
      <c r="BM67" s="320"/>
      <c r="BN67" s="320"/>
      <c r="BO67" s="320"/>
      <c r="BP67" s="320"/>
      <c r="BQ67" s="320"/>
      <c r="BR67" s="320"/>
      <c r="BS67" s="320"/>
      <c r="BT67" s="320"/>
      <c r="BU67" s="320"/>
      <c r="BV67" s="320"/>
      <c r="BW67" s="320"/>
      <c r="BX67" s="320"/>
      <c r="BY67" s="320"/>
      <c r="BZ67" s="320"/>
      <c r="CA67" s="320"/>
      <c r="CB67" s="320"/>
      <c r="CC67" s="320"/>
      <c r="CD67" s="320"/>
      <c r="CE67" s="320"/>
      <c r="CF67" s="320"/>
      <c r="CG67" s="320"/>
      <c r="CH67" s="320"/>
      <c r="CI67" s="331">
        <f>CI59/S59</f>
        <v>0.62465920651068152</v>
      </c>
      <c r="CJ67" s="331">
        <f>1-CI67</f>
        <v>0.37534079348931848</v>
      </c>
      <c r="CK67" s="331">
        <f>CK59/T59</f>
        <v>0.5900783289817233</v>
      </c>
      <c r="CL67" s="331">
        <f>1-CK67</f>
        <v>0.4099216710182767</v>
      </c>
      <c r="CM67" s="331">
        <f>CM59/U59</f>
        <v>0.64403879064460934</v>
      </c>
      <c r="CN67" s="331">
        <f>1-CM67</f>
        <v>0.35596120935539066</v>
      </c>
    </row>
    <row r="68" spans="1:96">
      <c r="A68" s="170"/>
      <c r="B68" s="984"/>
      <c r="C68" s="985"/>
      <c r="D68" s="263"/>
      <c r="E68" s="263"/>
      <c r="F68" s="304"/>
      <c r="G68" s="304"/>
      <c r="H68" s="304"/>
      <c r="I68" s="304"/>
      <c r="J68" s="304"/>
      <c r="K68" s="304"/>
      <c r="L68" s="304"/>
      <c r="M68" s="304"/>
      <c r="N68" s="986"/>
      <c r="O68" s="986"/>
      <c r="P68" s="304"/>
      <c r="Q68" s="304"/>
      <c r="R68" s="304"/>
      <c r="S68" s="304"/>
      <c r="T68" s="304"/>
      <c r="U68" s="304"/>
      <c r="V68" s="304"/>
      <c r="W68" s="304"/>
      <c r="X68" s="304"/>
      <c r="Y68" s="304"/>
      <c r="Z68" s="304"/>
      <c r="AA68" s="304"/>
      <c r="AB68" s="304"/>
      <c r="AC68" s="304"/>
      <c r="AD68" s="304"/>
      <c r="AE68" s="304"/>
      <c r="AF68" s="304"/>
      <c r="AG68" s="618"/>
      <c r="AH68" s="633"/>
      <c r="AI68" s="563"/>
      <c r="AJ68" s="618"/>
      <c r="AK68" s="633"/>
      <c r="AL68" s="618"/>
      <c r="AM68" s="618"/>
      <c r="AN68" s="567"/>
      <c r="AO68" s="304"/>
      <c r="AP68" s="567"/>
      <c r="AQ68" s="1540"/>
      <c r="AR68" s="304"/>
      <c r="AS68" s="202"/>
      <c r="AT68" s="304"/>
      <c r="AU68" s="304"/>
      <c r="AV68" s="202"/>
      <c r="AW68" s="304"/>
      <c r="AX68" s="304"/>
      <c r="AY68" s="202"/>
      <c r="AZ68" s="304"/>
      <c r="BA68" s="304"/>
      <c r="BB68" s="202"/>
      <c r="BC68" s="563"/>
      <c r="BD68" s="328"/>
      <c r="BE68" s="328"/>
      <c r="BF68" s="328"/>
      <c r="BG68" s="328"/>
      <c r="BH68" s="378"/>
      <c r="BI68" s="379"/>
      <c r="BJ68" s="379"/>
      <c r="BK68" s="328"/>
      <c r="BL68" s="328"/>
      <c r="BM68" s="328"/>
      <c r="BN68" s="328"/>
      <c r="BO68" s="328"/>
      <c r="BP68" s="328"/>
      <c r="BQ68" s="328"/>
      <c r="BR68" s="328"/>
      <c r="BS68" s="328"/>
      <c r="BT68" s="328"/>
      <c r="BU68" s="328"/>
      <c r="BV68" s="328"/>
      <c r="BW68" s="328"/>
      <c r="BX68" s="328"/>
      <c r="BY68" s="328"/>
      <c r="BZ68" s="328"/>
      <c r="CA68" s="328"/>
      <c r="CB68" s="328"/>
      <c r="CC68" s="328"/>
      <c r="CD68" s="328"/>
      <c r="CE68" s="328"/>
      <c r="CF68" s="328"/>
      <c r="CG68" s="328"/>
      <c r="CH68" s="328"/>
      <c r="CI68" s="328"/>
      <c r="CJ68" s="328"/>
      <c r="CK68" s="328"/>
      <c r="CL68" s="328"/>
      <c r="CM68" s="328"/>
      <c r="CN68" s="328"/>
    </row>
    <row r="69" spans="1:96">
      <c r="A69" s="204"/>
      <c r="B69" s="833"/>
      <c r="C69" s="957"/>
      <c r="D69" s="952"/>
      <c r="E69" s="952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190"/>
      <c r="AJ69" s="282"/>
      <c r="AK69" s="282"/>
      <c r="AL69" s="282"/>
      <c r="AM69" s="282"/>
      <c r="AN69" s="190"/>
      <c r="AO69" s="282"/>
      <c r="AP69" s="190"/>
      <c r="AQ69" s="1385"/>
      <c r="AR69" s="282"/>
      <c r="AS69" s="190"/>
      <c r="AT69" s="282"/>
      <c r="AU69" s="282"/>
      <c r="AV69" s="190"/>
      <c r="AW69" s="282"/>
      <c r="AX69" s="282"/>
      <c r="AY69" s="190"/>
      <c r="AZ69" s="282"/>
      <c r="BA69" s="282"/>
      <c r="BB69" s="190"/>
      <c r="BC69" s="190"/>
      <c r="BD69" s="316"/>
      <c r="BE69" s="316"/>
      <c r="BF69" s="316"/>
      <c r="BG69" s="316"/>
      <c r="BH69" s="315"/>
      <c r="BI69" s="317"/>
      <c r="BJ69" s="317"/>
      <c r="BK69" s="316"/>
      <c r="BL69" s="316"/>
      <c r="BM69" s="316"/>
      <c r="BN69" s="316"/>
      <c r="BO69" s="316"/>
      <c r="BP69" s="316"/>
      <c r="BQ69" s="316"/>
      <c r="BR69" s="316"/>
      <c r="BS69" s="316"/>
      <c r="BT69" s="316"/>
      <c r="BU69" s="316"/>
      <c r="BV69" s="316"/>
      <c r="BW69" s="316"/>
      <c r="BX69" s="316"/>
      <c r="BY69" s="316"/>
      <c r="BZ69" s="316"/>
      <c r="CA69" s="316"/>
      <c r="CB69" s="316"/>
      <c r="CC69" s="316"/>
      <c r="CD69" s="316"/>
      <c r="CE69" s="316"/>
      <c r="CF69" s="316"/>
      <c r="CG69" s="316"/>
      <c r="CH69" s="316"/>
      <c r="CI69" s="316"/>
      <c r="CJ69" s="316"/>
      <c r="CK69" s="316"/>
      <c r="CL69" s="316"/>
      <c r="CM69" s="316"/>
      <c r="CN69" s="316"/>
    </row>
    <row r="70" spans="1:96">
      <c r="A70" s="204"/>
      <c r="B70" s="300" t="s">
        <v>787</v>
      </c>
      <c r="C70" s="297"/>
      <c r="D70" s="298"/>
      <c r="E70" s="298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>
        <f>-Y69/'P&amp;L'!BK10</f>
        <v>0</v>
      </c>
      <c r="Z70" s="299"/>
      <c r="AA70" s="299"/>
      <c r="AB70" s="299">
        <f>-AB69/'P&amp;L'!BN10</f>
        <v>0</v>
      </c>
      <c r="AC70" s="299"/>
      <c r="AD70" s="299"/>
      <c r="AE70" s="299">
        <v>9.5000000000000001E-2</v>
      </c>
      <c r="AF70" s="299"/>
      <c r="AG70" s="299"/>
      <c r="AH70" s="299">
        <v>9.5000000000000001E-2</v>
      </c>
      <c r="AI70" s="299"/>
      <c r="AJ70" s="299"/>
      <c r="AK70" s="299">
        <v>9.5000000000000001E-2</v>
      </c>
      <c r="AL70" s="299"/>
      <c r="AM70" s="299"/>
      <c r="AN70" s="299"/>
      <c r="AO70" s="299"/>
      <c r="AP70" s="299"/>
      <c r="AQ70" s="1381"/>
      <c r="AR70" s="299"/>
      <c r="AS70" s="299"/>
      <c r="AT70" s="299"/>
      <c r="AU70" s="299"/>
      <c r="AV70" s="299"/>
      <c r="AW70" s="299"/>
      <c r="AX70" s="299"/>
      <c r="AY70" s="299"/>
      <c r="AZ70" s="299"/>
      <c r="BA70" s="299"/>
      <c r="BB70" s="299"/>
      <c r="BC70" s="190"/>
      <c r="BD70" s="316"/>
      <c r="BE70" s="316"/>
      <c r="BF70" s="316"/>
      <c r="BG70" s="316"/>
      <c r="BH70" s="315"/>
      <c r="BI70" s="317"/>
      <c r="BJ70" s="317"/>
      <c r="BK70" s="299"/>
      <c r="BL70" s="299"/>
      <c r="BM70" s="299"/>
      <c r="BN70" s="299"/>
      <c r="BO70" s="299"/>
      <c r="BP70" s="299"/>
      <c r="BQ70" s="299"/>
      <c r="BR70" s="299"/>
      <c r="BS70" s="299"/>
      <c r="BT70" s="299"/>
      <c r="BU70" s="299"/>
      <c r="BV70" s="299"/>
      <c r="BW70" s="299"/>
      <c r="BX70" s="299"/>
      <c r="BY70" s="299"/>
      <c r="BZ70" s="299"/>
      <c r="CA70" s="299"/>
      <c r="CB70" s="299"/>
      <c r="CC70" s="299"/>
      <c r="CD70" s="299"/>
      <c r="CE70" s="299"/>
      <c r="CF70" s="299"/>
      <c r="CG70" s="299"/>
      <c r="CH70" s="299"/>
      <c r="CI70" s="299"/>
      <c r="CJ70" s="299"/>
      <c r="CK70" s="299"/>
      <c r="CL70" s="299"/>
      <c r="CM70" s="299"/>
      <c r="CN70" s="299"/>
    </row>
    <row r="71" spans="1:96">
      <c r="A71" s="204"/>
      <c r="B71" s="184" t="s">
        <v>590</v>
      </c>
      <c r="C71" s="185"/>
      <c r="D71" s="186"/>
      <c r="E71" s="18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166"/>
      <c r="W71" s="196"/>
      <c r="X71" s="196"/>
      <c r="Y71" s="196"/>
      <c r="Z71" s="196"/>
      <c r="AA71" s="196"/>
      <c r="AB71" s="196"/>
      <c r="AC71" s="196"/>
      <c r="AD71" s="196"/>
      <c r="AE71" s="196"/>
      <c r="AF71" s="196"/>
      <c r="AG71" s="196"/>
      <c r="AH71" s="1193"/>
      <c r="AI71" s="196"/>
      <c r="AJ71" s="196"/>
      <c r="AK71" s="1193"/>
      <c r="AL71" s="196"/>
      <c r="AM71" s="196"/>
      <c r="AN71" s="196"/>
      <c r="AO71" s="196"/>
      <c r="AP71" s="196"/>
      <c r="AQ71" s="1369"/>
      <c r="AR71" s="196"/>
      <c r="AS71" s="196"/>
      <c r="AT71" s="196"/>
      <c r="AU71" s="196"/>
      <c r="AV71" s="196"/>
      <c r="AW71" s="196"/>
      <c r="AX71" s="196"/>
      <c r="AY71" s="196"/>
      <c r="AZ71" s="196"/>
      <c r="BA71" s="196"/>
      <c r="BB71" s="196"/>
      <c r="BC71" s="190"/>
      <c r="BD71" s="316"/>
      <c r="BE71" s="316"/>
      <c r="BF71" s="316"/>
      <c r="BG71" s="316"/>
      <c r="BH71" s="315"/>
      <c r="BI71" s="317"/>
      <c r="BJ71" s="317"/>
      <c r="BK71" s="196"/>
      <c r="BL71" s="196"/>
      <c r="BM71" s="196"/>
      <c r="BN71" s="196"/>
      <c r="BO71" s="196"/>
      <c r="BP71" s="196"/>
      <c r="BQ71" s="196"/>
      <c r="BR71" s="196"/>
      <c r="BS71" s="196"/>
      <c r="BT71" s="196"/>
      <c r="BU71" s="196"/>
      <c r="BV71" s="196"/>
      <c r="BW71" s="196"/>
      <c r="BX71" s="196"/>
      <c r="BY71" s="196"/>
      <c r="BZ71" s="196"/>
      <c r="CA71" s="196"/>
      <c r="CB71" s="196"/>
      <c r="CC71" s="196"/>
      <c r="CD71" s="196"/>
      <c r="CE71" s="196"/>
      <c r="CF71" s="196"/>
      <c r="CG71" s="196"/>
      <c r="CH71" s="196"/>
      <c r="CI71" s="196"/>
      <c r="CJ71" s="196"/>
      <c r="CK71" s="196"/>
      <c r="CL71" s="196"/>
      <c r="CM71" s="196"/>
      <c r="CN71" s="196"/>
    </row>
    <row r="72" spans="1:96">
      <c r="A72" s="204" t="s">
        <v>523</v>
      </c>
      <c r="B72" s="877" t="s">
        <v>712</v>
      </c>
      <c r="C72" s="608"/>
      <c r="D72" s="608">
        <f t="shared" ref="D72:I72" si="456">D90</f>
        <v>143.38399999999999</v>
      </c>
      <c r="E72" s="608">
        <f t="shared" si="456"/>
        <v>248.80199999999999</v>
      </c>
      <c r="F72" s="608">
        <f t="shared" si="456"/>
        <v>355.83499999999998</v>
      </c>
      <c r="G72" s="608">
        <f t="shared" si="456"/>
        <v>452.35700000000003</v>
      </c>
      <c r="H72" s="608">
        <f t="shared" si="456"/>
        <v>693.94299999999998</v>
      </c>
      <c r="I72" s="608">
        <f t="shared" si="456"/>
        <v>945.82100000000003</v>
      </c>
      <c r="J72" s="987">
        <v>1259.9079999999999</v>
      </c>
      <c r="K72" s="987">
        <v>1735.06</v>
      </c>
      <c r="L72" s="987">
        <v>2204.9639999999999</v>
      </c>
      <c r="M72" s="987">
        <v>2598.0480000000002</v>
      </c>
      <c r="N72" s="987">
        <v>2814.627</v>
      </c>
      <c r="O72" s="987">
        <v>2954.6320000000001</v>
      </c>
      <c r="P72" s="988">
        <v>3140.817</v>
      </c>
      <c r="Q72" s="988">
        <v>3292.848</v>
      </c>
      <c r="R72" s="988">
        <v>3456.0160000000001</v>
      </c>
      <c r="S72" s="988">
        <v>3739.3580000000002</v>
      </c>
      <c r="T72" s="988">
        <v>4148.6000000000004</v>
      </c>
      <c r="U72" s="988">
        <v>4539.7</v>
      </c>
      <c r="V72" s="987">
        <v>2591.3000000000002</v>
      </c>
      <c r="W72" s="585">
        <f>X72-V72</f>
        <v>2134.6999999999998</v>
      </c>
      <c r="X72" s="988">
        <v>4726</v>
      </c>
      <c r="Y72" s="987">
        <v>2722.4</v>
      </c>
      <c r="Z72" s="585">
        <f>AA72-Y72</f>
        <v>2596.4999999999995</v>
      </c>
      <c r="AA72" s="988">
        <v>5318.9</v>
      </c>
      <c r="AB72" s="987">
        <v>3355.7</v>
      </c>
      <c r="AC72" s="585">
        <f>AD72-AB72</f>
        <v>2601.1000000000004</v>
      </c>
      <c r="AD72" s="988">
        <v>5956.8</v>
      </c>
      <c r="AE72" s="987">
        <v>3290.5</v>
      </c>
      <c r="AF72" s="585">
        <f>AG72-AE72</f>
        <v>2906</v>
      </c>
      <c r="AG72" s="988">
        <v>6196.5</v>
      </c>
      <c r="AH72" s="987">
        <v>3588.8</v>
      </c>
      <c r="AI72" s="656">
        <f>AJ72-AH72</f>
        <v>2957.3</v>
      </c>
      <c r="AJ72" s="988">
        <v>6546.1</v>
      </c>
      <c r="AK72" s="1249">
        <v>3615.1</v>
      </c>
      <c r="AL72" s="656">
        <f>AM72-AK72</f>
        <v>2994.7999999999997</v>
      </c>
      <c r="AM72" s="988">
        <v>6609.9</v>
      </c>
      <c r="AN72" s="1911">
        <v>3875.2</v>
      </c>
      <c r="AO72" s="656">
        <f>AP72-AN72</f>
        <v>3228</v>
      </c>
      <c r="AP72" s="1704">
        <v>7103.2</v>
      </c>
      <c r="AQ72" s="1925">
        <v>4120.5</v>
      </c>
      <c r="AR72" s="656">
        <f t="shared" ref="AR72" si="457">AS72-AQ72</f>
        <v>3352.5146601941751</v>
      </c>
      <c r="AS72" s="232">
        <f t="shared" ref="AS72:AT72" si="458">AP72*(1+AS76)</f>
        <v>7473.0146601941751</v>
      </c>
      <c r="AT72" s="656">
        <f t="shared" si="458"/>
        <v>4304.3376923076921</v>
      </c>
      <c r="AU72" s="656">
        <f>AV72-AT72</f>
        <v>3503.3536052999634</v>
      </c>
      <c r="AV72" s="232">
        <f t="shared" ref="AV72" si="459">AS72*(1+AV76)</f>
        <v>7807.6912976076555</v>
      </c>
      <c r="AW72" s="656">
        <f t="shared" ref="AW72" si="460">AT72*(1+AW76)</f>
        <v>4497.00804615383</v>
      </c>
      <c r="AX72" s="656">
        <f>AY72-AW72</f>
        <v>3660.1703857276925</v>
      </c>
      <c r="AY72" s="232">
        <f t="shared" ref="AY72" si="461">AV72*(1+AY76)</f>
        <v>8157.1784318815226</v>
      </c>
      <c r="AZ72" s="656">
        <f t="shared" ref="AZ72" si="462">AW72*(1+AZ76)</f>
        <v>4698.201202341962</v>
      </c>
      <c r="BA72" s="656">
        <f>BB72-AZ72</f>
        <v>3823.9239802360617</v>
      </c>
      <c r="BB72" s="232">
        <f t="shared" ref="BB72" si="463">AY72*(1+BB76)</f>
        <v>8522.1251825780237</v>
      </c>
      <c r="BC72" s="662"/>
      <c r="BD72" s="380"/>
      <c r="BE72" s="380"/>
      <c r="BF72" s="380"/>
      <c r="BG72" s="380"/>
      <c r="BH72" s="315"/>
      <c r="BI72" s="317"/>
      <c r="BJ72" s="317"/>
      <c r="BK72" s="482"/>
      <c r="BL72" s="482"/>
      <c r="BM72" s="482"/>
      <c r="BN72" s="482"/>
      <c r="BO72" s="483"/>
      <c r="BP72" s="483"/>
      <c r="BQ72" s="483"/>
      <c r="BR72" s="483"/>
      <c r="BS72" s="447">
        <v>940.7</v>
      </c>
      <c r="BT72" s="480">
        <f>K72-BS72</f>
        <v>794.3599999999999</v>
      </c>
      <c r="BU72" s="447">
        <f>BU90-BU84</f>
        <v>1194.5650000000001</v>
      </c>
      <c r="BV72" s="480">
        <f>L72-BU72</f>
        <v>1010.3989999999999</v>
      </c>
      <c r="BW72" s="447">
        <v>1477.2</v>
      </c>
      <c r="BX72" s="480">
        <f>M72-BW72</f>
        <v>1120.8480000000002</v>
      </c>
      <c r="BY72" s="447">
        <v>1606.5</v>
      </c>
      <c r="BZ72" s="480">
        <f>N72-BY72</f>
        <v>1208.127</v>
      </c>
      <c r="CA72" s="447">
        <v>1677.3</v>
      </c>
      <c r="CB72" s="480">
        <f>O72-CA72</f>
        <v>1277.3320000000001</v>
      </c>
      <c r="CC72" s="447">
        <v>1724</v>
      </c>
      <c r="CD72" s="480">
        <f>P72-CC72</f>
        <v>1416.817</v>
      </c>
      <c r="CE72" s="447">
        <v>1836</v>
      </c>
      <c r="CF72" s="480">
        <f>Q72-CE72</f>
        <v>1456.848</v>
      </c>
      <c r="CG72" s="447">
        <v>1862.1079999999999</v>
      </c>
      <c r="CH72" s="480">
        <f>R72-CG72</f>
        <v>1593.9080000000001</v>
      </c>
      <c r="CI72" s="447">
        <v>2000.864</v>
      </c>
      <c r="CJ72" s="480">
        <f>S72-CI72</f>
        <v>1738.4940000000001</v>
      </c>
      <c r="CK72" s="447">
        <v>2234.1999999999998</v>
      </c>
      <c r="CL72" s="480">
        <f>T72-CK72</f>
        <v>1914.4000000000005</v>
      </c>
      <c r="CM72" s="447">
        <v>2476</v>
      </c>
      <c r="CN72" s="480">
        <f>U72-CM72</f>
        <v>2063.6999999999998</v>
      </c>
    </row>
    <row r="73" spans="1:96">
      <c r="A73" s="165" t="s">
        <v>524</v>
      </c>
      <c r="B73" s="989" t="s">
        <v>592</v>
      </c>
      <c r="C73" s="990"/>
      <c r="D73" s="990"/>
      <c r="E73" s="990"/>
      <c r="F73" s="990"/>
      <c r="G73" s="990"/>
      <c r="H73" s="990"/>
      <c r="I73" s="990"/>
      <c r="J73" s="990"/>
      <c r="K73" s="991">
        <v>0.16500000000000001</v>
      </c>
      <c r="L73" s="991">
        <v>0.11899999999999999</v>
      </c>
      <c r="M73" s="991">
        <v>4.4999999999999998E-2</v>
      </c>
      <c r="N73" s="991">
        <v>-5.0000000000000001E-3</v>
      </c>
      <c r="O73" s="991">
        <v>-1.7999999999999999E-2</v>
      </c>
      <c r="P73" s="991">
        <v>-5.0000000000000001E-3</v>
      </c>
      <c r="Q73" s="991">
        <v>1.2999999999999999E-2</v>
      </c>
      <c r="R73" s="991">
        <v>3.1E-2</v>
      </c>
      <c r="S73" s="991">
        <v>5.5E-2</v>
      </c>
      <c r="T73" s="991">
        <v>8.5999999999999993E-2</v>
      </c>
      <c r="U73" s="991">
        <v>6.2E-2</v>
      </c>
      <c r="V73" s="991">
        <v>0.03</v>
      </c>
      <c r="W73" s="586">
        <f>(X72*X73-V72*V73)/W72</f>
        <v>2.5572211551974519E-2</v>
      </c>
      <c r="X73" s="991">
        <v>2.8000000000000001E-2</v>
      </c>
      <c r="Y73" s="991">
        <v>4.3999999999999997E-2</v>
      </c>
      <c r="Z73" s="586">
        <f>(AA72*AA73-Y72*Y73)/Z72</f>
        <v>0.20378209127671865</v>
      </c>
      <c r="AA73" s="991">
        <v>0.122</v>
      </c>
      <c r="AB73" s="991">
        <v>0.24199999999999999</v>
      </c>
      <c r="AC73" s="586">
        <f>(AD73*2)-AB73</f>
        <v>-2.0000000000000018E-3</v>
      </c>
      <c r="AD73" s="991">
        <v>0.12</v>
      </c>
      <c r="AE73" s="991">
        <v>-2.5000000000000001E-2</v>
      </c>
      <c r="AF73" s="586">
        <f>(AG73*2)-AE73</f>
        <v>9.2999999999999999E-2</v>
      </c>
      <c r="AG73" s="991">
        <v>3.4000000000000002E-2</v>
      </c>
      <c r="AH73" s="991">
        <v>8.5000000000000006E-2</v>
      </c>
      <c r="AI73" s="657">
        <f>AJ73*2-AH73</f>
        <v>1.0999999999999996E-2</v>
      </c>
      <c r="AJ73" s="991">
        <v>4.8000000000000001E-2</v>
      </c>
      <c r="AK73" s="1250">
        <v>1E-3</v>
      </c>
      <c r="AL73" s="657">
        <f>(AM73*2-AK73)</f>
        <v>1.0999999999999999E-2</v>
      </c>
      <c r="AM73" s="991">
        <v>6.0000000000000001E-3</v>
      </c>
      <c r="AN73" s="1912">
        <v>7.1999999999999995E-2</v>
      </c>
      <c r="AO73" s="657">
        <f>(AP73*2-AN73)</f>
        <v>7.1999999999999995E-2</v>
      </c>
      <c r="AP73" s="991">
        <v>7.1999999999999995E-2</v>
      </c>
      <c r="AQ73" s="1926">
        <v>0.05</v>
      </c>
      <c r="AR73" s="657">
        <f>(AS73*2-AQ73)</f>
        <v>2.4999999999999994E-2</v>
      </c>
      <c r="AS73" s="230">
        <v>3.7499999999999999E-2</v>
      </c>
      <c r="AT73" s="230">
        <v>0.04</v>
      </c>
      <c r="AU73" s="657">
        <f>(AV73*2-AT73)</f>
        <v>0.04</v>
      </c>
      <c r="AV73" s="230">
        <v>0.04</v>
      </c>
      <c r="AW73" s="230">
        <v>0.04</v>
      </c>
      <c r="AX73" s="657">
        <f>(AY73*2-AW73)</f>
        <v>0.04</v>
      </c>
      <c r="AY73" s="230">
        <v>0.04</v>
      </c>
      <c r="AZ73" s="230">
        <v>0.04</v>
      </c>
      <c r="BA73" s="657">
        <f>(BB73*2-AZ73)</f>
        <v>0.04</v>
      </c>
      <c r="BB73" s="230">
        <v>0.04</v>
      </c>
      <c r="BC73" s="1336"/>
      <c r="BD73" s="381"/>
      <c r="BE73" s="381"/>
      <c r="BF73" s="381"/>
      <c r="BG73" s="381"/>
      <c r="BH73" s="378"/>
      <c r="BI73" s="379"/>
      <c r="BJ73" s="379"/>
      <c r="BK73" s="448"/>
      <c r="BL73" s="448"/>
      <c r="BM73" s="448"/>
      <c r="BN73" s="448"/>
      <c r="BO73" s="448"/>
      <c r="BP73" s="448"/>
      <c r="BQ73" s="448"/>
      <c r="BR73" s="448"/>
      <c r="BS73" s="449">
        <v>0.19600000000000001</v>
      </c>
      <c r="BT73" s="498">
        <f>K73*2-BS73</f>
        <v>0.13400000000000001</v>
      </c>
      <c r="BU73" s="449">
        <v>0.111</v>
      </c>
      <c r="BV73" s="498">
        <f>L73*2-BU73</f>
        <v>0.127</v>
      </c>
      <c r="BW73" s="449">
        <v>0.10199999999999999</v>
      </c>
      <c r="BX73" s="498">
        <f>M73*2-BW73</f>
        <v>-1.1999999999999997E-2</v>
      </c>
      <c r="BY73" s="449">
        <v>-1.6E-2</v>
      </c>
      <c r="BZ73" s="498">
        <v>1E-3</v>
      </c>
      <c r="CA73" s="449">
        <v>-3.1E-2</v>
      </c>
      <c r="CB73" s="498">
        <v>-1E-3</v>
      </c>
      <c r="CC73" s="449">
        <v>-3.4000000000000002E-2</v>
      </c>
      <c r="CD73" s="498">
        <v>3.5000000000000003E-2</v>
      </c>
      <c r="CE73" s="449">
        <v>2.3E-2</v>
      </c>
      <c r="CF73" s="498">
        <v>1E-3</v>
      </c>
      <c r="CG73" s="449">
        <v>-6.0000000000000001E-3</v>
      </c>
      <c r="CH73" s="498">
        <f>(R72*R73-CG72*CG73)/CH72</f>
        <v>7.4225829847142988E-2</v>
      </c>
      <c r="CI73" s="449">
        <v>5.1999999999999998E-2</v>
      </c>
      <c r="CJ73" s="498">
        <f>(S72*S73-CI72*CI73)/CJ72</f>
        <v>5.8452753935302623E-2</v>
      </c>
      <c r="CK73" s="449">
        <v>8.6999999999999994E-2</v>
      </c>
      <c r="CL73" s="498">
        <f>(T72*T73-CK72*CK73)/CL72</f>
        <v>8.4832950271625573E-2</v>
      </c>
      <c r="CM73" s="449">
        <v>7.8E-2</v>
      </c>
      <c r="CN73" s="498">
        <f>(U72*U73-CM72*CM73)/CN72</f>
        <v>4.2803411348548717E-2</v>
      </c>
    </row>
    <row r="74" spans="1:96">
      <c r="A74" s="165"/>
      <c r="B74" s="589" t="s">
        <v>593</v>
      </c>
      <c r="C74" s="589"/>
      <c r="D74" s="589"/>
      <c r="E74" s="589"/>
      <c r="F74" s="589"/>
      <c r="G74" s="589"/>
      <c r="H74" s="589"/>
      <c r="I74" s="589"/>
      <c r="J74" s="589"/>
      <c r="K74" s="263">
        <f t="shared" ref="K74:T74" si="464">K169</f>
        <v>0.11589497459062681</v>
      </c>
      <c r="L74" s="263">
        <f t="shared" si="464"/>
        <v>0.16331435800126504</v>
      </c>
      <c r="M74" s="263">
        <f t="shared" si="464"/>
        <v>0.23934319269247495</v>
      </c>
      <c r="N74" s="263">
        <f t="shared" si="464"/>
        <v>0.16241116083179774</v>
      </c>
      <c r="O74" s="263">
        <f t="shared" si="464"/>
        <v>0.11148852657004826</v>
      </c>
      <c r="P74" s="263">
        <f t="shared" si="464"/>
        <v>7.8200147717571777E-2</v>
      </c>
      <c r="Q74" s="263">
        <f t="shared" si="464"/>
        <v>6.3589231446526728E-2</v>
      </c>
      <c r="R74" s="263">
        <f t="shared" si="464"/>
        <v>9.6557649922575539E-2</v>
      </c>
      <c r="S74" s="263">
        <f t="shared" si="464"/>
        <v>8.9035459565269148E-2</v>
      </c>
      <c r="T74" s="263">
        <f t="shared" si="464"/>
        <v>7.8542543650220953E-2</v>
      </c>
      <c r="U74" s="263">
        <f t="shared" ref="U74:AD74" si="465">U169</f>
        <v>5.6770272909714148E-2</v>
      </c>
      <c r="V74" s="263">
        <f>V169</f>
        <v>3.9345655121830081E-2</v>
      </c>
      <c r="W74" s="263">
        <f>W169</f>
        <v>1.5544041450777257E-2</v>
      </c>
      <c r="X74" s="263">
        <f t="shared" si="465"/>
        <v>1.5544041450777257E-2</v>
      </c>
      <c r="Y74" s="263">
        <f>Y169</f>
        <v>1.0152284263959421E-2</v>
      </c>
      <c r="Z74" s="263">
        <f>Z169</f>
        <v>5.1020408163264808E-3</v>
      </c>
      <c r="AA74" s="263">
        <f t="shared" si="465"/>
        <v>5.1020408163264808E-3</v>
      </c>
      <c r="AB74" s="263">
        <f>AB169</f>
        <v>-1.0050251256281451E-2</v>
      </c>
      <c r="AC74" s="263">
        <f t="shared" ref="AC74" si="466">AC169</f>
        <v>0</v>
      </c>
      <c r="AD74" s="263">
        <f t="shared" si="465"/>
        <v>0</v>
      </c>
      <c r="AE74" s="263">
        <f>AE169</f>
        <v>5.0761421319795996E-3</v>
      </c>
      <c r="AF74" s="263">
        <f>AF169</f>
        <v>5.050505050505194E-3</v>
      </c>
      <c r="AG74" s="284">
        <f>AG169</f>
        <v>1.0152284263959421E-2</v>
      </c>
      <c r="AH74" s="284">
        <f>AH169</f>
        <v>2.0202020202020332E-2</v>
      </c>
      <c r="AI74" s="564">
        <f t="shared" ref="AI74:AV74" si="467">AI169</f>
        <v>1.5075376884422065E-2</v>
      </c>
      <c r="AJ74" s="284">
        <f>AJ169</f>
        <v>1.5075376884422065E-2</v>
      </c>
      <c r="AK74" s="137">
        <f>AK169</f>
        <v>9.9009900990099098E-3</v>
      </c>
      <c r="AL74" s="137">
        <f t="shared" ref="AL74" si="468">AL169</f>
        <v>9.9009900990099098E-3</v>
      </c>
      <c r="AM74" s="284">
        <f>AM169</f>
        <v>1.4851485148514643E-2</v>
      </c>
      <c r="AN74" s="137">
        <f>AN169</f>
        <v>9.8039215686274161E-3</v>
      </c>
      <c r="AO74" s="564">
        <f t="shared" ref="AO74" si="469">AO169</f>
        <v>1.4705882352941124E-2</v>
      </c>
      <c r="AP74" s="284">
        <f>AP169</f>
        <v>4.8780487804878092E-3</v>
      </c>
      <c r="AQ74" s="1315">
        <f>AQ169</f>
        <v>9.7087378640776656E-3</v>
      </c>
      <c r="AR74" s="564">
        <f t="shared" ref="AR74" si="470">AR169</f>
        <v>9.6618357487923134E-3</v>
      </c>
      <c r="AS74" s="564">
        <f>AS169</f>
        <v>1.4563106796116498E-2</v>
      </c>
      <c r="AT74" s="564">
        <f t="shared" si="467"/>
        <v>9.6153846153845812E-3</v>
      </c>
      <c r="AU74" s="564">
        <f t="shared" ref="AU74" si="471">AU169</f>
        <v>4.7846889952152249E-3</v>
      </c>
      <c r="AV74" s="564">
        <f t="shared" si="467"/>
        <v>4.7846889952152249E-3</v>
      </c>
      <c r="AW74" s="564">
        <f t="shared" ref="AW74:AY74" si="472">AW169</f>
        <v>4.7619047619009702E-3</v>
      </c>
      <c r="AX74" s="564">
        <f t="shared" si="472"/>
        <v>4.761904761904745E-3</v>
      </c>
      <c r="AY74" s="564">
        <f t="shared" si="472"/>
        <v>4.761904761904745E-3</v>
      </c>
      <c r="AZ74" s="564">
        <f t="shared" ref="AZ74:BB74" si="473">AZ169</f>
        <v>4.73933649289493E-3</v>
      </c>
      <c r="BA74" s="564">
        <f t="shared" si="473"/>
        <v>4.7393364928911552E-3</v>
      </c>
      <c r="BB74" s="564">
        <f t="shared" si="473"/>
        <v>4.7393364928911552E-3</v>
      </c>
      <c r="BC74" s="564"/>
      <c r="BD74" s="331"/>
      <c r="BE74" s="331"/>
      <c r="BF74" s="331"/>
      <c r="BG74" s="331"/>
      <c r="BH74" s="315"/>
      <c r="BI74" s="317"/>
      <c r="BJ74" s="317"/>
      <c r="BK74" s="450"/>
      <c r="BL74" s="450"/>
      <c r="BM74" s="450"/>
      <c r="BN74" s="450"/>
      <c r="BO74" s="450"/>
      <c r="BP74" s="450"/>
      <c r="BQ74" s="450"/>
      <c r="BR74" s="450"/>
      <c r="BS74" s="331">
        <f t="shared" ref="BS74:CN74" si="474">BS169</f>
        <v>0</v>
      </c>
      <c r="BT74" s="331">
        <f t="shared" si="474"/>
        <v>0</v>
      </c>
      <c r="BU74" s="331">
        <f t="shared" si="474"/>
        <v>0</v>
      </c>
      <c r="BV74" s="331">
        <f t="shared" si="474"/>
        <v>0</v>
      </c>
      <c r="BW74" s="331">
        <f t="shared" si="474"/>
        <v>0.28972431077694227</v>
      </c>
      <c r="BX74" s="331">
        <f t="shared" si="474"/>
        <v>0.23934319269247495</v>
      </c>
      <c r="BY74" s="331">
        <f t="shared" si="474"/>
        <v>0.17178390983287994</v>
      </c>
      <c r="BZ74" s="331">
        <f t="shared" si="474"/>
        <v>0.16241116083179774</v>
      </c>
      <c r="CA74" s="331">
        <f t="shared" si="474"/>
        <v>0.1721393034825871</v>
      </c>
      <c r="CB74" s="331">
        <f t="shared" si="474"/>
        <v>0.11148852657004826</v>
      </c>
      <c r="CC74" s="331">
        <f t="shared" si="474"/>
        <v>0.1069609507640068</v>
      </c>
      <c r="CD74" s="331">
        <f t="shared" si="474"/>
        <v>7.8200147717571777E-2</v>
      </c>
      <c r="CE74" s="331">
        <f t="shared" si="474"/>
        <v>5.8410020449897848E-2</v>
      </c>
      <c r="CF74" s="331">
        <f t="shared" si="474"/>
        <v>6.3589231446526728E-2</v>
      </c>
      <c r="CG74" s="331">
        <f t="shared" si="474"/>
        <v>6.3458519502475497E-2</v>
      </c>
      <c r="CH74" s="331">
        <f t="shared" si="474"/>
        <v>9.6557649922575539E-2</v>
      </c>
      <c r="CI74" s="331">
        <f t="shared" si="474"/>
        <v>0.11792426048941129</v>
      </c>
      <c r="CJ74" s="331">
        <f t="shared" si="474"/>
        <v>8.9035459565269148E-2</v>
      </c>
      <c r="CK74" s="331">
        <f t="shared" si="474"/>
        <v>9.2629791620869817E-2</v>
      </c>
      <c r="CL74" s="331">
        <f t="shared" si="474"/>
        <v>7.8542543650220953E-2</v>
      </c>
      <c r="CM74" s="331">
        <f t="shared" si="474"/>
        <v>4.9180327868852514E-2</v>
      </c>
      <c r="CN74" s="331">
        <f t="shared" si="474"/>
        <v>5.6770272909714148E-2</v>
      </c>
    </row>
    <row r="75" spans="1:96">
      <c r="A75" s="165"/>
      <c r="B75" s="589" t="s">
        <v>672</v>
      </c>
      <c r="C75" s="587"/>
      <c r="D75" s="587"/>
      <c r="E75" s="587"/>
      <c r="F75" s="587"/>
      <c r="G75" s="587"/>
      <c r="H75" s="587"/>
      <c r="I75" s="587"/>
      <c r="J75" s="587"/>
      <c r="K75" s="992">
        <f t="shared" ref="K75:T75" si="475">K76-K73-K74</f>
        <v>9.6237323958156235E-2</v>
      </c>
      <c r="L75" s="992">
        <f t="shared" si="475"/>
        <v>-1.1485683488568155E-2</v>
      </c>
      <c r="M75" s="992">
        <f t="shared" si="475"/>
        <v>-0.10607089436923683</v>
      </c>
      <c r="N75" s="992">
        <f t="shared" si="475"/>
        <v>-7.4048959671542236E-2</v>
      </c>
      <c r="O75" s="992">
        <f t="shared" si="475"/>
        <v>-4.3746589183673482E-2</v>
      </c>
      <c r="P75" s="992">
        <f t="shared" si="475"/>
        <v>-1.0185532022622401E-2</v>
      </c>
      <c r="Q75" s="992">
        <f t="shared" si="475"/>
        <v>-2.8184310051870484E-2</v>
      </c>
      <c r="R75" s="992">
        <f t="shared" si="475"/>
        <v>-7.8005408215700539E-2</v>
      </c>
      <c r="S75" s="992">
        <f t="shared" si="475"/>
        <v>-6.2050306718754618E-2</v>
      </c>
      <c r="T75" s="992">
        <f t="shared" si="475"/>
        <v>-5.5100762467461678E-2</v>
      </c>
      <c r="U75" s="992">
        <f t="shared" ref="U75:AB75" si="476">U76-U73-U74</f>
        <v>-2.4497506193231711E-2</v>
      </c>
      <c r="V75" s="587">
        <f t="shared" si="476"/>
        <v>-2.2778611503090102E-2</v>
      </c>
      <c r="W75" s="587">
        <f t="shared" si="476"/>
        <v>-6.712027582390187E-3</v>
      </c>
      <c r="X75" s="992">
        <f t="shared" si="476"/>
        <v>-2.5060874009501279E-3</v>
      </c>
      <c r="Y75" s="587">
        <f t="shared" si="476"/>
        <v>-3.5599174982434284E-3</v>
      </c>
      <c r="Z75" s="587">
        <f t="shared" si="476"/>
        <v>7.4460313959695545E-3</v>
      </c>
      <c r="AA75" s="992">
        <f t="shared" si="476"/>
        <v>-1.6471106428183058E-3</v>
      </c>
      <c r="AB75" s="587">
        <f t="shared" si="476"/>
        <v>6.7587570529692442E-4</v>
      </c>
      <c r="AC75" s="587">
        <f>AC76-SUM(AC73:AC74)</f>
        <v>3.7716156364340225E-3</v>
      </c>
      <c r="AD75" s="992">
        <f>AD76-AD73-AD74</f>
        <v>-6.9187237962675674E-5</v>
      </c>
      <c r="AE75" s="587">
        <f>AE76-AE73-AE74</f>
        <v>4.9423066654239595E-4</v>
      </c>
      <c r="AF75" s="587">
        <f>AF76-SUM(AF73:AF74)</f>
        <v>1.9169132795021609E-2</v>
      </c>
      <c r="AG75" s="992">
        <f t="shared" ref="AG75:AL75" si="477">AG76-AG73-AG74</f>
        <v>-3.9125582365621969E-3</v>
      </c>
      <c r="AH75" s="587">
        <f t="shared" si="477"/>
        <v>-1.4547104535708219E-2</v>
      </c>
      <c r="AI75" s="657">
        <f t="shared" si="477"/>
        <v>-8.4222454322541024E-3</v>
      </c>
      <c r="AJ75" s="992">
        <f t="shared" si="477"/>
        <v>-6.6564307051272947E-3</v>
      </c>
      <c r="AK75" s="660">
        <f t="shared" si="477"/>
        <v>-3.5726352171553391E-3</v>
      </c>
      <c r="AL75" s="657">
        <f t="shared" si="477"/>
        <v>-8.2205045209490131E-3</v>
      </c>
      <c r="AM75" s="992">
        <f t="shared" ref="AM75:AN75" si="478">AM76-AM73-AM74</f>
        <v>-1.1105224015931942E-2</v>
      </c>
      <c r="AN75" s="660">
        <f t="shared" si="478"/>
        <v>-9.8557043685500306E-3</v>
      </c>
      <c r="AO75" s="657">
        <f>AO76-AO73-AO74</f>
        <v>-8.8375772908332734E-3</v>
      </c>
      <c r="AP75" s="992">
        <f t="shared" ref="AP75:AQ75" si="479">AP76-AP73-AP74</f>
        <v>-2.2475702558505811E-3</v>
      </c>
      <c r="AQ75" s="1733">
        <f t="shared" si="479"/>
        <v>3.5912208477307112E-3</v>
      </c>
      <c r="AR75" s="657">
        <f>AR76-AR73-AR74</f>
        <v>3.9114790573337166E-3</v>
      </c>
      <c r="AS75" s="1880">
        <v>0</v>
      </c>
      <c r="AT75" s="230">
        <v>-5.0000000000000001E-3</v>
      </c>
      <c r="AU75" s="657">
        <f>AU76-AU73-AU74</f>
        <v>2.0808818686938318E-4</v>
      </c>
      <c r="AV75" s="230">
        <v>0</v>
      </c>
      <c r="AW75" s="230">
        <v>0</v>
      </c>
      <c r="AX75" s="657">
        <f>AX76-AX73-AX74</f>
        <v>4.6976311729451936E-15</v>
      </c>
      <c r="AY75" s="230">
        <v>0</v>
      </c>
      <c r="AZ75" s="230">
        <v>0</v>
      </c>
      <c r="BA75" s="657">
        <f>BA76-BA73-BA74</f>
        <v>-4.6282422339061213E-15</v>
      </c>
      <c r="BB75" s="230">
        <v>0</v>
      </c>
      <c r="BC75" s="1336"/>
      <c r="BD75" s="381"/>
      <c r="BE75" s="381"/>
      <c r="BF75" s="381"/>
      <c r="BG75" s="381"/>
      <c r="BH75" s="315"/>
      <c r="BI75" s="317"/>
      <c r="BJ75" s="317"/>
      <c r="BK75" s="390"/>
      <c r="BL75" s="390"/>
      <c r="BM75" s="390"/>
      <c r="BN75" s="390"/>
      <c r="BO75" s="390"/>
      <c r="BP75" s="390"/>
      <c r="BQ75" s="390"/>
      <c r="BR75" s="390"/>
      <c r="BS75" s="390">
        <f t="shared" ref="BS75:CM75" si="480">BS76-BS73-BS74</f>
        <v>-0.19600000000000001</v>
      </c>
      <c r="BT75" s="390">
        <f t="shared" si="480"/>
        <v>-0.13400000000000001</v>
      </c>
      <c r="BU75" s="390">
        <f t="shared" si="480"/>
        <v>0.15886818326777941</v>
      </c>
      <c r="BV75" s="390">
        <f t="shared" si="480"/>
        <v>0.14496611108313617</v>
      </c>
      <c r="BW75" s="390">
        <f t="shared" si="480"/>
        <v>-0.15512353978499116</v>
      </c>
      <c r="BX75" s="390">
        <f t="shared" si="480"/>
        <v>-0.11803093090282514</v>
      </c>
      <c r="BY75" s="390">
        <f t="shared" si="480"/>
        <v>-6.8253446794699593E-2</v>
      </c>
      <c r="BZ75" s="390">
        <f t="shared" si="480"/>
        <v>-8.5542440006137421E-2</v>
      </c>
      <c r="CA75" s="390">
        <f t="shared" si="480"/>
        <v>-0.1721393034825871</v>
      </c>
      <c r="CB75" s="390">
        <f t="shared" si="480"/>
        <v>-5.3205641575341356E-2</v>
      </c>
      <c r="CC75" s="390">
        <f t="shared" si="480"/>
        <v>-4.5118585057216026E-2</v>
      </c>
      <c r="CD75" s="390">
        <f t="shared" si="480"/>
        <v>-3.9998771536150224E-3</v>
      </c>
      <c r="CE75" s="390">
        <f t="shared" si="480"/>
        <v>-1.6444823234120644E-2</v>
      </c>
      <c r="CF75" s="390">
        <f t="shared" si="480"/>
        <v>-3.6335053242849136E-2</v>
      </c>
      <c r="CG75" s="390">
        <f t="shared" si="480"/>
        <v>-4.3238475929490823E-2</v>
      </c>
      <c r="CH75" s="390">
        <f t="shared" si="480"/>
        <v>-7.6703658127378338E-2</v>
      </c>
      <c r="CI75" s="390">
        <f t="shared" si="480"/>
        <v>-9.5408711444994798E-2</v>
      </c>
      <c r="CJ75" s="390">
        <f t="shared" si="480"/>
        <v>-5.6776578952028298E-2</v>
      </c>
      <c r="CK75" s="390">
        <f t="shared" si="480"/>
        <v>-6.3012170433222964E-2</v>
      </c>
      <c r="CL75" s="390">
        <f t="shared" si="480"/>
        <v>-6.2192516011079835E-2</v>
      </c>
      <c r="CM75" s="390">
        <f t="shared" si="480"/>
        <v>-1.8953669557152539E-2</v>
      </c>
      <c r="CN75" s="390">
        <f t="shared" ref="CN75" si="481">CN76-CN73-CN74</f>
        <v>-2.158580293774516E-2</v>
      </c>
      <c r="CR75" s="1340"/>
    </row>
    <row r="76" spans="1:96">
      <c r="A76" s="165" t="s">
        <v>912</v>
      </c>
      <c r="B76" s="993" t="s">
        <v>591</v>
      </c>
      <c r="C76" s="994"/>
      <c r="D76" s="994"/>
      <c r="E76" s="994"/>
      <c r="F76" s="994"/>
      <c r="G76" s="994"/>
      <c r="H76" s="994"/>
      <c r="I76" s="994"/>
      <c r="J76" s="994"/>
      <c r="K76" s="588">
        <f t="shared" ref="K76:S76" si="482">K72/J72-1</f>
        <v>0.37713229854878305</v>
      </c>
      <c r="L76" s="588">
        <f t="shared" si="482"/>
        <v>0.27082867451269688</v>
      </c>
      <c r="M76" s="588">
        <f t="shared" si="482"/>
        <v>0.1782722983232381</v>
      </c>
      <c r="N76" s="588">
        <f t="shared" si="482"/>
        <v>8.33622011602555E-2</v>
      </c>
      <c r="O76" s="588">
        <f t="shared" si="482"/>
        <v>4.9741937386374779E-2</v>
      </c>
      <c r="P76" s="588">
        <f t="shared" si="482"/>
        <v>6.3014615694949372E-2</v>
      </c>
      <c r="Q76" s="588">
        <f t="shared" si="482"/>
        <v>4.8404921394656242E-2</v>
      </c>
      <c r="R76" s="588">
        <f t="shared" si="482"/>
        <v>4.9552241706875E-2</v>
      </c>
      <c r="S76" s="588">
        <f t="shared" si="482"/>
        <v>8.1985152846514531E-2</v>
      </c>
      <c r="T76" s="588">
        <f t="shared" ref="T76:U76" si="483">T72/S72-1</f>
        <v>0.10944178118275927</v>
      </c>
      <c r="U76" s="588">
        <f t="shared" si="483"/>
        <v>9.4272766716482437E-2</v>
      </c>
      <c r="V76" s="588">
        <f>V72/CM72-1</f>
        <v>4.6567043618739978E-2</v>
      </c>
      <c r="W76" s="588">
        <f>W72/CN72-1</f>
        <v>3.4404225420361589E-2</v>
      </c>
      <c r="X76" s="588">
        <f t="shared" ref="X76:AQ76" si="484">X72/U72-1</f>
        <v>4.103795404982713E-2</v>
      </c>
      <c r="Y76" s="588">
        <f t="shared" si="484"/>
        <v>5.059236676571599E-2</v>
      </c>
      <c r="Z76" s="588">
        <f t="shared" si="484"/>
        <v>0.21633016348901468</v>
      </c>
      <c r="AA76" s="588">
        <f t="shared" si="484"/>
        <v>0.12545493017350817</v>
      </c>
      <c r="AB76" s="588">
        <f t="shared" si="484"/>
        <v>0.23262562444901547</v>
      </c>
      <c r="AC76" s="588">
        <f t="shared" si="484"/>
        <v>1.7716156364340208E-3</v>
      </c>
      <c r="AD76" s="588">
        <f t="shared" si="484"/>
        <v>0.11993081276203732</v>
      </c>
      <c r="AE76" s="588">
        <f t="shared" si="484"/>
        <v>-1.9429627201478006E-2</v>
      </c>
      <c r="AF76" s="588">
        <f t="shared" si="484"/>
        <v>0.1172196378455268</v>
      </c>
      <c r="AG76" s="1121">
        <f t="shared" si="484"/>
        <v>4.0239726027397227E-2</v>
      </c>
      <c r="AH76" s="1194">
        <f t="shared" si="484"/>
        <v>9.0654915666312119E-2</v>
      </c>
      <c r="AI76" s="658">
        <f>AI72/AF72-1</f>
        <v>1.7653131452167958E-2</v>
      </c>
      <c r="AJ76" s="1194">
        <f t="shared" si="484"/>
        <v>5.6418946179294771E-2</v>
      </c>
      <c r="AK76" s="1251">
        <f t="shared" si="484"/>
        <v>7.3283548818545707E-3</v>
      </c>
      <c r="AL76" s="1251">
        <f>AL72/AI72-1</f>
        <v>1.2680485578060896E-2</v>
      </c>
      <c r="AM76" s="1584">
        <f t="shared" si="484"/>
        <v>9.7462611325827009E-3</v>
      </c>
      <c r="AN76" s="1631">
        <f t="shared" si="484"/>
        <v>7.194821720007738E-2</v>
      </c>
      <c r="AO76" s="658">
        <f>AO72/AL72-1</f>
        <v>7.7868305062107845E-2</v>
      </c>
      <c r="AP76" s="1584">
        <f t="shared" si="484"/>
        <v>7.4630478524637223E-2</v>
      </c>
      <c r="AQ76" s="1734">
        <f t="shared" si="484"/>
        <v>6.329995871180838E-2</v>
      </c>
      <c r="AR76" s="658">
        <f>AR72/AO72-1</f>
        <v>3.8573314806126024E-2</v>
      </c>
      <c r="AS76" s="192">
        <f>SUM(AS73:AS75)</f>
        <v>5.2063106796116497E-2</v>
      </c>
      <c r="AT76" s="588">
        <f t="shared" ref="AT76" si="485">SUM(AT73:AT75)</f>
        <v>4.4615384615384585E-2</v>
      </c>
      <c r="AU76" s="658">
        <f>AU72/AR72-1</f>
        <v>4.4992777182084609E-2</v>
      </c>
      <c r="AV76" s="192">
        <f>SUM(AV73:AV75)</f>
        <v>4.4784688995215226E-2</v>
      </c>
      <c r="AW76" s="588">
        <f t="shared" ref="AW76" si="486">SUM(AW73:AW75)</f>
        <v>4.4761904761900971E-2</v>
      </c>
      <c r="AX76" s="658">
        <f>AX72/AU72-1</f>
        <v>4.4761904761909443E-2</v>
      </c>
      <c r="AY76" s="192">
        <f>SUM(AY73:AY75)</f>
        <v>4.4761904761904746E-2</v>
      </c>
      <c r="AZ76" s="588">
        <f t="shared" ref="AZ76" si="487">SUM(AZ73:AZ75)</f>
        <v>4.4739336492894931E-2</v>
      </c>
      <c r="BA76" s="658">
        <f>BA72/AX72-1</f>
        <v>4.4739336492886528E-2</v>
      </c>
      <c r="BB76" s="192">
        <f>SUM(BB73:BB75)</f>
        <v>4.4739336492891156E-2</v>
      </c>
      <c r="BC76" s="137"/>
      <c r="BD76" s="359"/>
      <c r="BE76" s="359"/>
      <c r="BF76" s="359"/>
      <c r="BG76" s="359"/>
      <c r="BH76" s="315"/>
      <c r="BI76" s="317"/>
      <c r="BJ76" s="317"/>
      <c r="BK76" s="385"/>
      <c r="BL76" s="385"/>
      <c r="BM76" s="385"/>
      <c r="BN76" s="385"/>
      <c r="BO76" s="385"/>
      <c r="BP76" s="385"/>
      <c r="BQ76" s="385"/>
      <c r="BR76" s="385"/>
      <c r="BS76" s="385"/>
      <c r="BT76" s="385"/>
      <c r="BU76" s="385">
        <f t="shared" ref="BU76:BZ76" si="488">BU72/BS72-1</f>
        <v>0.26986818326777939</v>
      </c>
      <c r="BV76" s="385">
        <f t="shared" si="488"/>
        <v>0.27196611108313617</v>
      </c>
      <c r="BW76" s="385">
        <f t="shared" si="488"/>
        <v>0.23660077099195109</v>
      </c>
      <c r="BX76" s="385">
        <f t="shared" si="488"/>
        <v>0.10931226178964981</v>
      </c>
      <c r="BY76" s="385">
        <f t="shared" si="488"/>
        <v>8.7530463038180351E-2</v>
      </c>
      <c r="BZ76" s="385">
        <f t="shared" si="488"/>
        <v>7.786872082566032E-2</v>
      </c>
      <c r="CA76" s="385">
        <v>-3.1E-2</v>
      </c>
      <c r="CB76" s="385">
        <f t="shared" ref="CB76:CM76" si="489">CB72/BZ72-1</f>
        <v>5.7282884994706906E-2</v>
      </c>
      <c r="CC76" s="385">
        <f t="shared" si="489"/>
        <v>2.7842365706790773E-2</v>
      </c>
      <c r="CD76" s="385">
        <f t="shared" si="489"/>
        <v>0.10920027056395676</v>
      </c>
      <c r="CE76" s="385">
        <f t="shared" si="489"/>
        <v>6.4965197215777204E-2</v>
      </c>
      <c r="CF76" s="385">
        <f t="shared" si="489"/>
        <v>2.8254178203677593E-2</v>
      </c>
      <c r="CG76" s="385">
        <f t="shared" si="489"/>
        <v>1.4220043572984675E-2</v>
      </c>
      <c r="CH76" s="385">
        <f t="shared" si="489"/>
        <v>9.4079821642340189E-2</v>
      </c>
      <c r="CI76" s="385">
        <f t="shared" si="489"/>
        <v>7.4515549044416485E-2</v>
      </c>
      <c r="CJ76" s="385">
        <f t="shared" si="489"/>
        <v>9.0711634548543474E-2</v>
      </c>
      <c r="CK76" s="385">
        <f t="shared" si="489"/>
        <v>0.11661762118764685</v>
      </c>
      <c r="CL76" s="385">
        <f t="shared" si="489"/>
        <v>0.10118297791076669</v>
      </c>
      <c r="CM76" s="385">
        <f t="shared" si="489"/>
        <v>0.10822665831169997</v>
      </c>
      <c r="CN76" s="385">
        <f>CN72/CL72-1</f>
        <v>7.7987881320517705E-2</v>
      </c>
    </row>
    <row r="77" spans="1:96">
      <c r="A77" s="165"/>
      <c r="B77" s="589"/>
      <c r="C77" s="589"/>
      <c r="D77" s="589"/>
      <c r="E77" s="589"/>
      <c r="F77" s="589"/>
      <c r="G77" s="589"/>
      <c r="H77" s="589"/>
      <c r="I77" s="589"/>
      <c r="J77" s="589"/>
      <c r="K77" s="589"/>
      <c r="L77" s="589"/>
      <c r="M77" s="589"/>
      <c r="N77" s="589"/>
      <c r="O77" s="589"/>
      <c r="P77" s="589"/>
      <c r="Q77" s="589"/>
      <c r="R77" s="589"/>
      <c r="S77" s="589"/>
      <c r="T77" s="589"/>
      <c r="U77" s="589"/>
      <c r="V77" s="589"/>
      <c r="W77" s="589"/>
      <c r="X77" s="589"/>
      <c r="Y77" s="589"/>
      <c r="Z77" s="589"/>
      <c r="AA77" s="589"/>
      <c r="AB77" s="266"/>
      <c r="AC77" s="589"/>
      <c r="AD77" s="589"/>
      <c r="AE77" s="313"/>
      <c r="AF77" s="589"/>
      <c r="AG77" s="1119"/>
      <c r="AH77" s="1119"/>
      <c r="AI77" s="47"/>
      <c r="AJ77" s="1119"/>
      <c r="AK77" s="654"/>
      <c r="AL77" s="589"/>
      <c r="AM77" s="1119"/>
      <c r="AN77" s="654"/>
      <c r="AO77" s="589"/>
      <c r="AP77" s="190"/>
      <c r="AQ77" s="1595"/>
      <c r="AR77" s="589"/>
      <c r="AS77" s="190"/>
      <c r="AT77" s="313"/>
      <c r="AU77" s="589"/>
      <c r="AV77" s="190"/>
      <c r="AW77" s="313"/>
      <c r="AX77" s="589"/>
      <c r="AY77" s="190"/>
      <c r="AZ77" s="313"/>
      <c r="BA77" s="589"/>
      <c r="BB77" s="190"/>
      <c r="BC77" s="190"/>
      <c r="BD77" s="316"/>
      <c r="BE77" s="316"/>
      <c r="BF77" s="316"/>
      <c r="BG77" s="316"/>
      <c r="BH77" s="315"/>
      <c r="BI77" s="317"/>
      <c r="BJ77" s="317"/>
      <c r="BK77" s="450"/>
      <c r="BL77" s="450"/>
      <c r="BM77" s="450"/>
      <c r="BN77" s="450"/>
      <c r="BO77" s="450"/>
      <c r="BP77" s="450"/>
      <c r="BQ77" s="450"/>
      <c r="BR77" s="450"/>
      <c r="BS77" s="450"/>
      <c r="BT77" s="450"/>
      <c r="BU77" s="450"/>
      <c r="BV77" s="450"/>
      <c r="BW77" s="450"/>
      <c r="BX77" s="450"/>
      <c r="BY77" s="450"/>
      <c r="BZ77" s="450"/>
      <c r="CA77" s="450"/>
      <c r="CB77" s="450"/>
      <c r="CC77" s="450"/>
      <c r="CD77" s="450"/>
      <c r="CE77" s="450"/>
      <c r="CF77" s="450"/>
      <c r="CG77" s="450"/>
      <c r="CH77" s="450"/>
      <c r="CI77" s="450"/>
      <c r="CJ77" s="450"/>
      <c r="CK77" s="450"/>
      <c r="CL77" s="450"/>
      <c r="CM77" s="450"/>
      <c r="CN77" s="450"/>
    </row>
    <row r="78" spans="1:96">
      <c r="A78" s="165" t="s">
        <v>527</v>
      </c>
      <c r="B78" s="537" t="s">
        <v>594</v>
      </c>
      <c r="C78" s="608"/>
      <c r="D78" s="608"/>
      <c r="E78" s="608"/>
      <c r="F78" s="608"/>
      <c r="G78" s="608"/>
      <c r="H78" s="608"/>
      <c r="I78" s="608"/>
      <c r="J78" s="608"/>
      <c r="K78" s="995">
        <v>109.2</v>
      </c>
      <c r="L78" s="996">
        <v>150.30000000000001</v>
      </c>
      <c r="M78" s="996">
        <v>167.3</v>
      </c>
      <c r="N78" s="996">
        <v>188.7</v>
      </c>
      <c r="O78" s="996">
        <v>222.2</v>
      </c>
      <c r="P78" s="988">
        <v>209.4</v>
      </c>
      <c r="Q78" s="988">
        <v>211.4</v>
      </c>
      <c r="R78" s="988">
        <v>211.1</v>
      </c>
      <c r="S78" s="988">
        <v>234.6</v>
      </c>
      <c r="T78" s="988">
        <v>234</v>
      </c>
      <c r="U78" s="988">
        <v>231.5</v>
      </c>
      <c r="V78" s="996">
        <v>131.80000000000001</v>
      </c>
      <c r="W78" s="585">
        <f>X78-V78</f>
        <v>104.39999999999998</v>
      </c>
      <c r="X78" s="988">
        <v>236.2</v>
      </c>
      <c r="Y78" s="996">
        <v>132.80000000000001</v>
      </c>
      <c r="Z78" s="585">
        <f>AA78-Y78</f>
        <v>90</v>
      </c>
      <c r="AA78" s="988">
        <v>222.8</v>
      </c>
      <c r="AB78" s="996">
        <v>144.9</v>
      </c>
      <c r="AC78" s="585">
        <f>AD78-AB78</f>
        <v>116.70000000000002</v>
      </c>
      <c r="AD78" s="988">
        <v>261.60000000000002</v>
      </c>
      <c r="AE78" s="996">
        <v>138.4</v>
      </c>
      <c r="AF78" s="585">
        <f>AG78-AE78</f>
        <v>123.99999999999997</v>
      </c>
      <c r="AG78" s="988">
        <v>262.39999999999998</v>
      </c>
      <c r="AH78" s="996">
        <v>160.6</v>
      </c>
      <c r="AI78" s="659">
        <f>AJ78-AH78</f>
        <v>131.50000000000003</v>
      </c>
      <c r="AJ78" s="988">
        <v>292.10000000000002</v>
      </c>
      <c r="AK78" s="1252">
        <v>168.7</v>
      </c>
      <c r="AL78" s="659">
        <f>AM78-AK78</f>
        <v>159.19999999999999</v>
      </c>
      <c r="AM78" s="988">
        <v>327.9</v>
      </c>
      <c r="AN78" s="1921">
        <v>202.5</v>
      </c>
      <c r="AO78" s="659">
        <f>AP78-AN78</f>
        <v>193.8</v>
      </c>
      <c r="AP78" s="1704">
        <v>396.3</v>
      </c>
      <c r="AQ78" s="1927">
        <v>268.60000000000002</v>
      </c>
      <c r="AR78" s="659">
        <f>AS78-AQ78</f>
        <v>237.81478571428568</v>
      </c>
      <c r="AS78" s="232">
        <f>AP78*(1+AS82)</f>
        <v>506.4147857142857</v>
      </c>
      <c r="AT78" s="590">
        <f>AQ78*(1+AT82)</f>
        <v>291.11668085106385</v>
      </c>
      <c r="AU78" s="659">
        <f>AV78-AT78</f>
        <v>257.07732468465042</v>
      </c>
      <c r="AV78" s="232">
        <f>AS78*(1+AV82)</f>
        <v>548.19400553571427</v>
      </c>
      <c r="AW78" s="590">
        <f>AT78*(1+AW82)</f>
        <v>305.67251489361706</v>
      </c>
      <c r="AX78" s="659">
        <f>AY78-AW78</f>
        <v>269.50123483610992</v>
      </c>
      <c r="AY78" s="232">
        <f>AV78*(1+AY82)</f>
        <v>575.17374972972698</v>
      </c>
      <c r="AZ78" s="590">
        <f>AW78*(1+AZ82)</f>
        <v>320.4858752307693</v>
      </c>
      <c r="BA78" s="659">
        <f>BB78-AZ78</f>
        <v>283.58221617170096</v>
      </c>
      <c r="BB78" s="232">
        <f>AY78*(1+BB82)</f>
        <v>604.06809140247026</v>
      </c>
      <c r="BC78" s="662"/>
      <c r="BD78" s="316"/>
      <c r="BE78" s="316"/>
      <c r="BF78" s="316"/>
      <c r="BG78" s="316"/>
      <c r="BH78" s="315"/>
      <c r="BI78" s="317"/>
      <c r="BJ78" s="317"/>
      <c r="BK78" s="499"/>
      <c r="BL78" s="499"/>
      <c r="BM78" s="499"/>
      <c r="BN78" s="499"/>
      <c r="BO78" s="499"/>
      <c r="BP78" s="499"/>
      <c r="BQ78" s="499"/>
      <c r="BR78" s="499"/>
      <c r="BS78" s="451">
        <v>55.040871934604901</v>
      </c>
      <c r="BT78" s="500">
        <f>K78-BS78</f>
        <v>54.159128065395102</v>
      </c>
      <c r="BU78" s="451">
        <v>80.8</v>
      </c>
      <c r="BV78" s="500">
        <f>L78-BU78</f>
        <v>69.500000000000014</v>
      </c>
      <c r="BW78" s="451">
        <v>95.2</v>
      </c>
      <c r="BX78" s="500">
        <f>M78-BW78</f>
        <v>72.100000000000009</v>
      </c>
      <c r="BY78" s="451">
        <v>97.5</v>
      </c>
      <c r="BZ78" s="500">
        <f>N78-BY78</f>
        <v>91.199999999999989</v>
      </c>
      <c r="CA78" s="451">
        <v>124.9</v>
      </c>
      <c r="CB78" s="500">
        <f>O78-CA78</f>
        <v>97.299999999999983</v>
      </c>
      <c r="CC78" s="451">
        <v>117.5</v>
      </c>
      <c r="CD78" s="500">
        <f>P78-CC78</f>
        <v>91.9</v>
      </c>
      <c r="CE78" s="451">
        <v>118</v>
      </c>
      <c r="CF78" s="500">
        <f>Q78-CE78</f>
        <v>93.4</v>
      </c>
      <c r="CG78" s="451">
        <v>113</v>
      </c>
      <c r="CH78" s="500">
        <f>R78-CG78</f>
        <v>98.1</v>
      </c>
      <c r="CI78" s="451">
        <v>127.3</v>
      </c>
      <c r="CJ78" s="500">
        <f>S78-CI78</f>
        <v>107.3</v>
      </c>
      <c r="CK78" s="451">
        <v>125.1</v>
      </c>
      <c r="CL78" s="500">
        <f>T78-CK78</f>
        <v>108.9</v>
      </c>
      <c r="CM78" s="521">
        <v>124.6</v>
      </c>
      <c r="CN78" s="480">
        <f>U78-CM78</f>
        <v>106.9</v>
      </c>
    </row>
    <row r="79" spans="1:96">
      <c r="A79" s="171" t="s">
        <v>528</v>
      </c>
      <c r="B79" s="989" t="s">
        <v>592</v>
      </c>
      <c r="C79" s="990"/>
      <c r="D79" s="990"/>
      <c r="E79" s="990"/>
      <c r="F79" s="990"/>
      <c r="G79" s="990"/>
      <c r="H79" s="990"/>
      <c r="I79" s="990"/>
      <c r="J79" s="990"/>
      <c r="K79" s="991">
        <v>-0.109</v>
      </c>
      <c r="L79" s="991">
        <v>8.7999999999999995E-2</v>
      </c>
      <c r="M79" s="991">
        <v>0.13400000000000001</v>
      </c>
      <c r="N79" s="991">
        <v>2.4E-2</v>
      </c>
      <c r="O79" s="991">
        <v>0.11700000000000001</v>
      </c>
      <c r="P79" s="991">
        <v>-5.5E-2</v>
      </c>
      <c r="Q79" s="991">
        <v>8.0000000000000002E-3</v>
      </c>
      <c r="R79" s="991">
        <v>-4.4999999999999998E-2</v>
      </c>
      <c r="S79" s="991">
        <v>4.3999999999999997E-2</v>
      </c>
      <c r="T79" s="991">
        <v>-8.7999999999999995E-2</v>
      </c>
      <c r="U79" s="991">
        <v>2.4E-2</v>
      </c>
      <c r="V79" s="991">
        <v>0.126</v>
      </c>
      <c r="W79" s="586">
        <f>(X78*X79-V78*V79)/W78</f>
        <v>6.7176245210728E-2</v>
      </c>
      <c r="X79" s="991">
        <v>0.1</v>
      </c>
      <c r="Y79" s="991">
        <v>8.0000000000000002E-3</v>
      </c>
      <c r="Z79" s="586">
        <f>AA79*2-Y79</f>
        <v>-0.122</v>
      </c>
      <c r="AA79" s="991">
        <v>-5.7000000000000002E-2</v>
      </c>
      <c r="AB79" s="991">
        <v>9.0999999999999998E-2</v>
      </c>
      <c r="AC79" s="586">
        <f>(AD79*2)-AB79</f>
        <v>0.25700000000000001</v>
      </c>
      <c r="AD79" s="991">
        <v>0.17399999999999999</v>
      </c>
      <c r="AE79" s="991">
        <v>-4.4999999999999998E-2</v>
      </c>
      <c r="AF79" s="586">
        <f>(AG79*2)-AE79</f>
        <v>5.0999999999999997E-2</v>
      </c>
      <c r="AG79" s="991">
        <v>3.0000000000000001E-3</v>
      </c>
      <c r="AH79" s="991">
        <v>0.161</v>
      </c>
      <c r="AI79" s="657">
        <f>AJ79*2-AH79</f>
        <v>6.5000000000000002E-2</v>
      </c>
      <c r="AJ79" s="991">
        <v>0.113</v>
      </c>
      <c r="AK79" s="1250">
        <v>-1.2E-2</v>
      </c>
      <c r="AL79" s="657">
        <f>AM79*2-AK79</f>
        <v>4.3999999999999997E-2</v>
      </c>
      <c r="AM79" s="991">
        <v>1.6E-2</v>
      </c>
      <c r="AN79" s="1912">
        <v>6.9000000000000006E-2</v>
      </c>
      <c r="AO79" s="657">
        <f>AP79*2-AN79</f>
        <v>0.11499999999999999</v>
      </c>
      <c r="AP79" s="991">
        <v>9.1999999999999998E-2</v>
      </c>
      <c r="AQ79" s="1926">
        <v>0.20200000000000001</v>
      </c>
      <c r="AR79" s="657">
        <f>AS79*2-AQ79</f>
        <v>0.14799999999999996</v>
      </c>
      <c r="AS79" s="236">
        <v>0.17499999999999999</v>
      </c>
      <c r="AT79" s="230">
        <v>0.05</v>
      </c>
      <c r="AU79" s="657">
        <f>AV79*2-AT79</f>
        <v>0.05</v>
      </c>
      <c r="AV79" s="236">
        <v>0.05</v>
      </c>
      <c r="AW79" s="230">
        <v>0.03</v>
      </c>
      <c r="AX79" s="657">
        <f>AY79*2-AW79</f>
        <v>0.03</v>
      </c>
      <c r="AY79" s="236">
        <v>0.03</v>
      </c>
      <c r="AZ79" s="230">
        <v>0.03</v>
      </c>
      <c r="BA79" s="657">
        <f>BB79*2-AZ79</f>
        <v>0.03</v>
      </c>
      <c r="BB79" s="236">
        <v>0.03</v>
      </c>
      <c r="BC79" s="236"/>
      <c r="BD79" s="382"/>
      <c r="BE79" s="382"/>
      <c r="BF79" s="382"/>
      <c r="BG79" s="382"/>
      <c r="BH79" s="383"/>
      <c r="BI79" s="384"/>
      <c r="BJ79" s="384"/>
      <c r="BK79" s="448"/>
      <c r="BL79" s="448"/>
      <c r="BM79" s="448"/>
      <c r="BN79" s="448"/>
      <c r="BO79" s="448"/>
      <c r="BP79" s="448"/>
      <c r="BQ79" s="448"/>
      <c r="BR79" s="448"/>
      <c r="BS79" s="449">
        <v>4.0000000000000001E-3</v>
      </c>
      <c r="BT79" s="485">
        <f>K79*2-BS79</f>
        <v>-0.222</v>
      </c>
      <c r="BU79" s="449">
        <v>0.113</v>
      </c>
      <c r="BV79" s="485">
        <f>L79*2-BU79</f>
        <v>6.2999999999999987E-2</v>
      </c>
      <c r="BW79" s="449">
        <v>5.8000000000000003E-2</v>
      </c>
      <c r="BX79" s="485">
        <f>M79*2-BW79</f>
        <v>0.21000000000000002</v>
      </c>
      <c r="BY79" s="449">
        <v>3.9E-2</v>
      </c>
      <c r="BZ79" s="485">
        <v>0.01</v>
      </c>
      <c r="CA79" s="449">
        <v>0.16</v>
      </c>
      <c r="CB79" s="449">
        <v>6.4000000000000001E-2</v>
      </c>
      <c r="CC79" s="449">
        <v>-5.6000000000000001E-2</v>
      </c>
      <c r="CD79" s="449">
        <v>-5.3999999999999999E-2</v>
      </c>
      <c r="CE79" s="449">
        <v>3.0000000000000001E-3</v>
      </c>
      <c r="CF79" s="449">
        <v>1.4999999999999999E-2</v>
      </c>
      <c r="CG79" s="449">
        <v>-6.4000000000000001E-2</v>
      </c>
      <c r="CH79" s="498">
        <f>(R78*R79-CG78*CG79)/CH78</f>
        <v>-2.311416921508664E-2</v>
      </c>
      <c r="CI79" s="449">
        <v>5.1999999999999998E-2</v>
      </c>
      <c r="CJ79" s="498">
        <f>(S78*S79-CI78*CI79)/CJ78</f>
        <v>3.4508853681267479E-2</v>
      </c>
      <c r="CK79" s="449">
        <v>-0.112</v>
      </c>
      <c r="CL79" s="449">
        <f>(T78*T79-CK78*CK79)/CL78</f>
        <v>-6.0429752066115699E-2</v>
      </c>
      <c r="CM79" s="449">
        <v>2.4E-2</v>
      </c>
      <c r="CN79" s="390">
        <f>CM79</f>
        <v>2.4E-2</v>
      </c>
    </row>
    <row r="80" spans="1:96">
      <c r="A80" s="165"/>
      <c r="B80" s="589" t="s">
        <v>593</v>
      </c>
      <c r="C80" s="589"/>
      <c r="D80" s="589"/>
      <c r="E80" s="589"/>
      <c r="F80" s="589"/>
      <c r="G80" s="589"/>
      <c r="H80" s="589"/>
      <c r="I80" s="589"/>
      <c r="J80" s="263"/>
      <c r="K80" s="263">
        <f t="shared" ref="K80:T80" si="490">K190</f>
        <v>0</v>
      </c>
      <c r="L80" s="263">
        <f t="shared" si="490"/>
        <v>0.17619047619047623</v>
      </c>
      <c r="M80" s="263">
        <f t="shared" si="490"/>
        <v>5.6680161943319929E-2</v>
      </c>
      <c r="N80" s="263">
        <f t="shared" si="490"/>
        <v>1.3409961685823646E-2</v>
      </c>
      <c r="O80" s="263">
        <f t="shared" si="490"/>
        <v>0.16729678638941392</v>
      </c>
      <c r="P80" s="263">
        <f t="shared" si="490"/>
        <v>0</v>
      </c>
      <c r="Q80" s="263">
        <f t="shared" si="490"/>
        <v>0</v>
      </c>
      <c r="R80" s="263">
        <f t="shared" si="490"/>
        <v>8.218623481781373E-2</v>
      </c>
      <c r="S80" s="263">
        <f t="shared" si="490"/>
        <v>8.4923307145529314E-2</v>
      </c>
      <c r="T80" s="263">
        <f t="shared" si="490"/>
        <v>7.9655172413793052E-2</v>
      </c>
      <c r="U80" s="263">
        <f t="shared" ref="U80:AD80" si="491">U190</f>
        <v>-9.9009900990099098E-3</v>
      </c>
      <c r="V80" s="587">
        <f>V190</f>
        <v>-3.2258064516129004E-2</v>
      </c>
      <c r="W80" s="587">
        <f>W190</f>
        <v>-6.6666666666666652E-2</v>
      </c>
      <c r="X80" s="263">
        <f t="shared" si="491"/>
        <v>-8.064516129032262E-2</v>
      </c>
      <c r="Y80" s="587">
        <f>Y190</f>
        <v>-6.6666666666666652E-2</v>
      </c>
      <c r="Z80" s="587">
        <f>Z190</f>
        <v>0</v>
      </c>
      <c r="AA80" s="263">
        <f t="shared" si="491"/>
        <v>-1.7543859649122862E-2</v>
      </c>
      <c r="AB80" s="587">
        <f>AB190</f>
        <v>0</v>
      </c>
      <c r="AC80" s="587">
        <f>AC175</f>
        <v>0</v>
      </c>
      <c r="AD80" s="263">
        <f t="shared" si="491"/>
        <v>0</v>
      </c>
      <c r="AE80" s="587">
        <f>AE190</f>
        <v>0</v>
      </c>
      <c r="AF80" s="587">
        <f>AF175</f>
        <v>0</v>
      </c>
      <c r="AG80" s="284">
        <f>AG190</f>
        <v>0</v>
      </c>
      <c r="AH80" s="587">
        <f>AH190</f>
        <v>0</v>
      </c>
      <c r="AI80" s="564">
        <f t="shared" ref="AI80:AV80" si="492">AI190</f>
        <v>0</v>
      </c>
      <c r="AJ80" s="284">
        <f>AJ190</f>
        <v>0</v>
      </c>
      <c r="AK80" s="587">
        <f>AK190</f>
        <v>0.10714285714285721</v>
      </c>
      <c r="AL80" s="137">
        <f>AL190</f>
        <v>0.21428571428571419</v>
      </c>
      <c r="AM80" s="284">
        <f>AM190</f>
        <v>0.1785714285714286</v>
      </c>
      <c r="AN80" s="587">
        <f>AN190</f>
        <v>0.29032258064516125</v>
      </c>
      <c r="AO80" s="564">
        <f t="shared" ref="AO80" si="493">AO190</f>
        <v>0.29411764705882359</v>
      </c>
      <c r="AP80" s="284">
        <f>AP190</f>
        <v>0.27272727272727271</v>
      </c>
      <c r="AQ80" s="1383">
        <f>AQ190</f>
        <v>0.17500000000000004</v>
      </c>
      <c r="AR80" s="564">
        <f t="shared" ref="AR80" si="494">AR190</f>
        <v>0.11363636363636354</v>
      </c>
      <c r="AS80" s="564">
        <f t="shared" si="492"/>
        <v>0.14285714285714279</v>
      </c>
      <c r="AT80" s="564">
        <f t="shared" si="492"/>
        <v>6.3829787234042534E-2</v>
      </c>
      <c r="AU80" s="564">
        <f t="shared" ref="AU80" si="495">AU190</f>
        <v>4.081632653061229E-2</v>
      </c>
      <c r="AV80" s="564">
        <f t="shared" si="492"/>
        <v>6.25E-2</v>
      </c>
      <c r="AW80" s="564">
        <f t="shared" ref="AW80:AY80" si="496">AW190</f>
        <v>4.0000000000000036E-2</v>
      </c>
      <c r="AX80" s="564">
        <f t="shared" si="496"/>
        <v>3.9215686274509887E-2</v>
      </c>
      <c r="AY80" s="564">
        <f t="shared" si="496"/>
        <v>3.9215686274509887E-2</v>
      </c>
      <c r="AZ80" s="564">
        <f t="shared" ref="AZ80:BB80" si="497">AZ190</f>
        <v>3.8461538461538547E-2</v>
      </c>
      <c r="BA80" s="564">
        <f t="shared" si="497"/>
        <v>3.7735849056603765E-2</v>
      </c>
      <c r="BB80" s="564">
        <f t="shared" si="497"/>
        <v>3.7735849056603765E-2</v>
      </c>
      <c r="BC80" s="564"/>
      <c r="BD80" s="331"/>
      <c r="BE80" s="331"/>
      <c r="BF80" s="331"/>
      <c r="BG80" s="331"/>
      <c r="BH80" s="315"/>
      <c r="BI80" s="317"/>
      <c r="BJ80" s="317"/>
      <c r="BK80" s="450"/>
      <c r="BL80" s="450"/>
      <c r="BM80" s="450"/>
      <c r="BN80" s="450"/>
      <c r="BO80" s="450"/>
      <c r="BP80" s="450"/>
      <c r="BQ80" s="450"/>
      <c r="BR80" s="450"/>
      <c r="BS80" s="450"/>
      <c r="BT80" s="450"/>
      <c r="BU80" s="450"/>
      <c r="BV80" s="450"/>
      <c r="BW80" s="390">
        <f t="shared" ref="BW80:CN80" si="498">BW190</f>
        <v>0.18876518218623484</v>
      </c>
      <c r="BX80" s="390">
        <f t="shared" si="498"/>
        <v>-5.96804511278195E-2</v>
      </c>
      <c r="BY80" s="390">
        <f t="shared" si="498"/>
        <v>-9.9191145168156636E-2</v>
      </c>
      <c r="BZ80" s="390">
        <f t="shared" si="498"/>
        <v>0.19540229885057481</v>
      </c>
      <c r="CA80" s="390">
        <f t="shared" si="498"/>
        <v>0.16729678638941392</v>
      </c>
      <c r="CB80" s="390">
        <f t="shared" si="498"/>
        <v>3.2608695652173836E-2</v>
      </c>
      <c r="CC80" s="390">
        <f t="shared" si="498"/>
        <v>0</v>
      </c>
      <c r="CD80" s="390">
        <f t="shared" si="498"/>
        <v>0</v>
      </c>
      <c r="CE80" s="390">
        <f t="shared" si="498"/>
        <v>0</v>
      </c>
      <c r="CF80" s="390">
        <f t="shared" si="498"/>
        <v>0</v>
      </c>
      <c r="CG80" s="390">
        <f t="shared" si="498"/>
        <v>8.218623481781373E-2</v>
      </c>
      <c r="CH80" s="390">
        <f t="shared" si="498"/>
        <v>0.12226720647773281</v>
      </c>
      <c r="CI80" s="390">
        <f t="shared" si="498"/>
        <v>8.4923307145529314E-2</v>
      </c>
      <c r="CJ80" s="390">
        <f t="shared" si="498"/>
        <v>8.2251082251082241E-2</v>
      </c>
      <c r="CK80" s="390">
        <f t="shared" si="498"/>
        <v>7.9655172413793052E-2</v>
      </c>
      <c r="CL80" s="390">
        <f t="shared" si="498"/>
        <v>7.7333333333333254E-2</v>
      </c>
      <c r="CM80" s="390">
        <f t="shared" si="498"/>
        <v>-9.9009900990099098E-3</v>
      </c>
      <c r="CN80" s="390">
        <f t="shared" si="498"/>
        <v>-7.1782178217821735E-2</v>
      </c>
    </row>
    <row r="81" spans="1:101">
      <c r="A81" s="165"/>
      <c r="B81" s="589" t="s">
        <v>672</v>
      </c>
      <c r="C81" s="587"/>
      <c r="D81" s="587"/>
      <c r="E81" s="587"/>
      <c r="F81" s="587"/>
      <c r="G81" s="587"/>
      <c r="H81" s="587"/>
      <c r="I81" s="587"/>
      <c r="J81" s="587"/>
      <c r="K81" s="587"/>
      <c r="L81" s="992">
        <f t="shared" ref="L81:T81" si="499">L82-L79-L80</f>
        <v>0.11218315018315017</v>
      </c>
      <c r="M81" s="992">
        <f t="shared" si="499"/>
        <v>-7.7573042848176788E-2</v>
      </c>
      <c r="N81" s="992">
        <f t="shared" si="499"/>
        <v>9.0503965391283164E-2</v>
      </c>
      <c r="O81" s="992">
        <f t="shared" si="499"/>
        <v>-0.10676631474129518</v>
      </c>
      <c r="P81" s="992">
        <f t="shared" si="499"/>
        <v>-2.6057605760574851E-3</v>
      </c>
      <c r="Q81" s="992">
        <f t="shared" si="499"/>
        <v>1.5510983763131828E-3</v>
      </c>
      <c r="R81" s="992">
        <f t="shared" si="499"/>
        <v>-3.8605345508447672E-2</v>
      </c>
      <c r="S81" s="992">
        <f t="shared" si="499"/>
        <v>-1.7601658637713194E-2</v>
      </c>
      <c r="T81" s="992">
        <f t="shared" si="499"/>
        <v>5.7872828291737621E-3</v>
      </c>
      <c r="U81" s="992">
        <f t="shared" ref="U81:AB81" si="500">U82-U79-U80</f>
        <v>-2.4782770584750737E-2</v>
      </c>
      <c r="V81" s="587">
        <f t="shared" si="500"/>
        <v>-3.5957023766374774E-2</v>
      </c>
      <c r="W81" s="587">
        <f t="shared" si="500"/>
        <v>-2.3895920920113986E-2</v>
      </c>
      <c r="X81" s="992">
        <f t="shared" si="500"/>
        <v>9.4753710025782811E-4</v>
      </c>
      <c r="Y81" s="587">
        <f t="shared" si="500"/>
        <v>6.6253920080930673E-2</v>
      </c>
      <c r="Z81" s="587">
        <f t="shared" si="500"/>
        <v>-1.5931034482758455E-2</v>
      </c>
      <c r="AA81" s="992">
        <f t="shared" si="500"/>
        <v>1.7812276245227916E-2</v>
      </c>
      <c r="AB81" s="587">
        <f t="shared" si="500"/>
        <v>1.1445783132521536E-4</v>
      </c>
      <c r="AC81" s="587">
        <f>AC82-SUM(AC79:AC80)</f>
        <v>3.966666666666685E-2</v>
      </c>
      <c r="AD81" s="992">
        <f>AD82-AD79-AD80</f>
        <v>1.4721723518856811E-4</v>
      </c>
      <c r="AE81" s="587">
        <f>AE82-AE79-AE80</f>
        <v>1.4147688060735242E-4</v>
      </c>
      <c r="AF81" s="587">
        <f>AF82-SUM(AF79:AF80)</f>
        <v>1.1553556126820456E-2</v>
      </c>
      <c r="AG81" s="992">
        <f t="shared" ref="AG81:AL81" si="501">AG82-AG79-AG80</f>
        <v>5.8103975535075784E-5</v>
      </c>
      <c r="AH81" s="587">
        <f t="shared" si="501"/>
        <v>-5.9537572254339532E-4</v>
      </c>
      <c r="AI81" s="657">
        <f t="shared" si="501"/>
        <v>-4.5161290322575653E-3</v>
      </c>
      <c r="AJ81" s="992">
        <f t="shared" si="501"/>
        <v>1.8597560975618099E-4</v>
      </c>
      <c r="AK81" s="587">
        <f t="shared" si="501"/>
        <v>-4.4706991638498575E-2</v>
      </c>
      <c r="AL81" s="657">
        <f t="shared" si="501"/>
        <v>-4.7639326453014996E-2</v>
      </c>
      <c r="AM81" s="992">
        <f t="shared" ref="AM81:AN81" si="502">AM82-AM79-AM80</f>
        <v>-7.201066171076452E-2</v>
      </c>
      <c r="AN81" s="587">
        <f t="shared" si="502"/>
        <v>-0.15896691970858728</v>
      </c>
      <c r="AO81" s="657">
        <f>AO82-AO79-AO80</f>
        <v>-0.19178096364173802</v>
      </c>
      <c r="AP81" s="992">
        <f t="shared" ref="AP81:AQ81" si="503">AP82-AP79-AP80</f>
        <v>-0.15612708974465597</v>
      </c>
      <c r="AQ81" s="1383">
        <f t="shared" si="503"/>
        <v>-5.0580246913580151E-2</v>
      </c>
      <c r="AR81" s="657">
        <f>AR82-AR79-AR80</f>
        <v>-3.4521886266468516E-2</v>
      </c>
      <c r="AS81" s="236">
        <v>-0.04</v>
      </c>
      <c r="AT81" s="935">
        <v>-0.03</v>
      </c>
      <c r="AU81" s="657">
        <f>AU82-AU79-AU80</f>
        <v>-9.818255226891684E-3</v>
      </c>
      <c r="AV81" s="236">
        <v>-0.03</v>
      </c>
      <c r="AW81" s="935">
        <v>-0.02</v>
      </c>
      <c r="AX81" s="657">
        <f>AX82-AX79-AX80</f>
        <v>-2.0888163935853327E-2</v>
      </c>
      <c r="AY81" s="236">
        <v>-0.02</v>
      </c>
      <c r="AZ81" s="935">
        <v>-0.02</v>
      </c>
      <c r="BA81" s="657">
        <f>BA82-BA79-BA80</f>
        <v>-1.5487549177183729E-2</v>
      </c>
      <c r="BB81" s="236">
        <v>-1.7500000000000002E-2</v>
      </c>
      <c r="BC81" s="236"/>
      <c r="BD81" s="381"/>
      <c r="BE81" s="381"/>
      <c r="BF81" s="381"/>
      <c r="BG81" s="381"/>
      <c r="BH81" s="315"/>
      <c r="BI81" s="317"/>
      <c r="BJ81" s="317"/>
      <c r="BK81" s="390"/>
      <c r="BL81" s="390"/>
      <c r="BM81" s="390"/>
      <c r="BN81" s="390"/>
      <c r="BO81" s="390"/>
      <c r="BP81" s="390"/>
      <c r="BQ81" s="390"/>
      <c r="BR81" s="390"/>
      <c r="BS81" s="390"/>
      <c r="BT81" s="390"/>
      <c r="BU81" s="390"/>
      <c r="BV81" s="390"/>
      <c r="BW81" s="390">
        <f t="shared" ref="BW81:CM81" si="504">BW82-BW79-BW80</f>
        <v>-6.8547360404056457E-2</v>
      </c>
      <c r="BX81" s="390">
        <f t="shared" si="504"/>
        <v>-0.11290947692973458</v>
      </c>
      <c r="BY81" s="390">
        <f t="shared" si="504"/>
        <v>8.4350809033702762E-2</v>
      </c>
      <c r="BZ81" s="390">
        <f t="shared" si="504"/>
        <v>5.9507548583544123E-2</v>
      </c>
      <c r="CA81" s="390">
        <f t="shared" si="504"/>
        <v>-4.6271145363772831E-2</v>
      </c>
      <c r="CB81" s="390">
        <f t="shared" si="504"/>
        <v>-2.9722730739893233E-2</v>
      </c>
      <c r="CC81" s="390">
        <f t="shared" si="504"/>
        <v>-3.2473979183346643E-3</v>
      </c>
      <c r="CD81" s="390">
        <f t="shared" si="504"/>
        <v>-1.4984583761559686E-3</v>
      </c>
      <c r="CE81" s="390">
        <f t="shared" si="504"/>
        <v>1.2553191489360653E-3</v>
      </c>
      <c r="CF81" s="390">
        <f t="shared" si="504"/>
        <v>1.3220892274211776E-3</v>
      </c>
      <c r="CG81" s="390">
        <f t="shared" si="504"/>
        <v>-6.055911617374593E-2</v>
      </c>
      <c r="CH81" s="390">
        <f t="shared" si="504"/>
        <v>-4.8831838119177295E-2</v>
      </c>
      <c r="CI81" s="390">
        <f t="shared" si="504"/>
        <v>-1.0374634579157715E-2</v>
      </c>
      <c r="CJ81" s="390">
        <f t="shared" si="504"/>
        <v>-2.2978080682604582E-2</v>
      </c>
      <c r="CK81" s="390">
        <f t="shared" si="504"/>
        <v>1.506281658856358E-2</v>
      </c>
      <c r="CL81" s="390">
        <f t="shared" si="504"/>
        <v>-1.9921180798922744E-3</v>
      </c>
      <c r="CM81" s="390">
        <f t="shared" si="504"/>
        <v>-1.809581245894374E-2</v>
      </c>
      <c r="CN81" s="390">
        <f t="shared" ref="CN81" si="505">CN82-CN79-CN80</f>
        <v>2.9416705306894241E-2</v>
      </c>
    </row>
    <row r="82" spans="1:101">
      <c r="A82" s="207"/>
      <c r="B82" s="993" t="s">
        <v>591</v>
      </c>
      <c r="C82" s="994"/>
      <c r="D82" s="994"/>
      <c r="E82" s="994"/>
      <c r="F82" s="994"/>
      <c r="G82" s="994"/>
      <c r="H82" s="994"/>
      <c r="I82" s="994"/>
      <c r="J82" s="994"/>
      <c r="K82" s="588"/>
      <c r="L82" s="588">
        <f t="shared" ref="L82:S82" si="506">L78/K78-1</f>
        <v>0.37637362637362637</v>
      </c>
      <c r="M82" s="588">
        <f t="shared" si="506"/>
        <v>0.11310711909514315</v>
      </c>
      <c r="N82" s="588">
        <f t="shared" si="506"/>
        <v>0.1279139270771068</v>
      </c>
      <c r="O82" s="588">
        <f t="shared" si="506"/>
        <v>0.17753047164811875</v>
      </c>
      <c r="P82" s="588">
        <f t="shared" si="506"/>
        <v>-5.7605760576057485E-2</v>
      </c>
      <c r="Q82" s="588">
        <f t="shared" si="506"/>
        <v>9.5510983763131829E-3</v>
      </c>
      <c r="R82" s="588">
        <f t="shared" si="506"/>
        <v>-1.4191106906339401E-3</v>
      </c>
      <c r="S82" s="588">
        <f t="shared" si="506"/>
        <v>0.11132164850781612</v>
      </c>
      <c r="T82" s="588">
        <f t="shared" ref="T82:U82" si="507">T78/S78-1</f>
        <v>-2.5575447570331811E-3</v>
      </c>
      <c r="U82" s="588">
        <f t="shared" si="507"/>
        <v>-1.0683760683760646E-2</v>
      </c>
      <c r="V82" s="588">
        <f>V78/CM78-1</f>
        <v>5.7784911717496223E-2</v>
      </c>
      <c r="W82" s="588">
        <f>W78/CN78-1</f>
        <v>-2.3386342376052638E-2</v>
      </c>
      <c r="X82" s="588">
        <f t="shared" ref="X82:AQ82" si="508">X78/U78-1</f>
        <v>2.0302375809935214E-2</v>
      </c>
      <c r="Y82" s="588">
        <f t="shared" si="508"/>
        <v>7.587253414264028E-3</v>
      </c>
      <c r="Z82" s="588">
        <f t="shared" si="508"/>
        <v>-0.13793103448275845</v>
      </c>
      <c r="AA82" s="588">
        <f t="shared" si="508"/>
        <v>-5.6731583403894947E-2</v>
      </c>
      <c r="AB82" s="588">
        <f t="shared" si="508"/>
        <v>9.1114457831325213E-2</v>
      </c>
      <c r="AC82" s="588">
        <f t="shared" si="508"/>
        <v>0.29666666666666686</v>
      </c>
      <c r="AD82" s="588">
        <f t="shared" si="508"/>
        <v>0.17414721723518856</v>
      </c>
      <c r="AE82" s="588">
        <f t="shared" si="508"/>
        <v>-4.4858523119392646E-2</v>
      </c>
      <c r="AF82" s="588">
        <f t="shared" si="508"/>
        <v>6.2553556126820453E-2</v>
      </c>
      <c r="AG82" s="1121">
        <f t="shared" si="508"/>
        <v>3.0581039755350758E-3</v>
      </c>
      <c r="AH82" s="1194">
        <f t="shared" si="508"/>
        <v>0.16040462427745661</v>
      </c>
      <c r="AI82" s="658">
        <f>AI78/AF78-1</f>
        <v>6.0483870967742437E-2</v>
      </c>
      <c r="AJ82" s="1194">
        <f t="shared" si="508"/>
        <v>0.11318597560975618</v>
      </c>
      <c r="AK82" s="1194">
        <f t="shared" si="508"/>
        <v>5.0435865504358635E-2</v>
      </c>
      <c r="AL82" s="1251">
        <f>AL78/AI78-1</f>
        <v>0.21064638783269918</v>
      </c>
      <c r="AM82" s="1584">
        <f t="shared" si="508"/>
        <v>0.12256076686066408</v>
      </c>
      <c r="AN82" s="1584">
        <f t="shared" si="508"/>
        <v>0.20035566093657398</v>
      </c>
      <c r="AO82" s="658">
        <f>AO78/AL78-1</f>
        <v>0.21733668341708556</v>
      </c>
      <c r="AP82" s="1584">
        <f t="shared" si="508"/>
        <v>0.20860018298261673</v>
      </c>
      <c r="AQ82" s="1597">
        <f t="shared" si="508"/>
        <v>0.32641975308641991</v>
      </c>
      <c r="AR82" s="658">
        <f>AR78/AO78-1</f>
        <v>0.22711447736989498</v>
      </c>
      <c r="AS82" s="233">
        <f>SUM(AS79:AS81)</f>
        <v>0.2778571428571428</v>
      </c>
      <c r="AT82" s="588">
        <f t="shared" ref="AT82" si="509">SUM(AT79:AT81)</f>
        <v>8.3829787234042538E-2</v>
      </c>
      <c r="AU82" s="658">
        <f>AU78/AR78-1</f>
        <v>8.0998071303720609E-2</v>
      </c>
      <c r="AV82" s="233">
        <f>SUM(AV79:AV81)</f>
        <v>8.2500000000000004E-2</v>
      </c>
      <c r="AW82" s="588">
        <f t="shared" ref="AW82" si="510">SUM(AW79:AW81)</f>
        <v>5.0000000000000031E-2</v>
      </c>
      <c r="AX82" s="658">
        <f>AX78/AU78-1</f>
        <v>4.8327522338656559E-2</v>
      </c>
      <c r="AY82" s="233">
        <f>SUM(AY79:AY81)</f>
        <v>4.9215686274509882E-2</v>
      </c>
      <c r="AZ82" s="588">
        <f t="shared" ref="AZ82" si="511">SUM(AZ79:AZ81)</f>
        <v>4.8461538461538542E-2</v>
      </c>
      <c r="BA82" s="658">
        <f>BA78/AX78-1</f>
        <v>5.2248299879420035E-2</v>
      </c>
      <c r="BB82" s="233">
        <f>SUM(BB79:BB81)</f>
        <v>5.0235849056603762E-2</v>
      </c>
      <c r="BC82" s="1251"/>
      <c r="BD82" s="385"/>
      <c r="BE82" s="385"/>
      <c r="BF82" s="385"/>
      <c r="BG82" s="385"/>
      <c r="BH82" s="386"/>
      <c r="BI82" s="386"/>
      <c r="BJ82" s="386"/>
      <c r="BK82" s="385"/>
      <c r="BL82" s="385"/>
      <c r="BM82" s="385"/>
      <c r="BN82" s="385"/>
      <c r="BO82" s="385"/>
      <c r="BP82" s="385"/>
      <c r="BQ82" s="385"/>
      <c r="BR82" s="385"/>
      <c r="BS82" s="385"/>
      <c r="BT82" s="385"/>
      <c r="BU82" s="385">
        <f t="shared" ref="BU82:CM82" si="512">BU78/BS78-1</f>
        <v>0.46799999999999997</v>
      </c>
      <c r="BV82" s="385">
        <f t="shared" si="512"/>
        <v>0.28325551910808811</v>
      </c>
      <c r="BW82" s="385">
        <f t="shared" si="512"/>
        <v>0.17821782178217838</v>
      </c>
      <c r="BX82" s="385">
        <f t="shared" si="512"/>
        <v>3.7410071942445944E-2</v>
      </c>
      <c r="BY82" s="385">
        <f t="shared" si="512"/>
        <v>2.4159663865546133E-2</v>
      </c>
      <c r="BZ82" s="385">
        <f t="shared" si="512"/>
        <v>0.26490984743411894</v>
      </c>
      <c r="CA82" s="385">
        <f t="shared" si="512"/>
        <v>0.28102564102564109</v>
      </c>
      <c r="CB82" s="385">
        <f t="shared" si="512"/>
        <v>6.6885964912280604E-2</v>
      </c>
      <c r="CC82" s="385">
        <f t="shared" si="512"/>
        <v>-5.9247397918334666E-2</v>
      </c>
      <c r="CD82" s="385">
        <f t="shared" si="512"/>
        <v>-5.5498458376155968E-2</v>
      </c>
      <c r="CE82" s="385">
        <f t="shared" si="512"/>
        <v>4.2553191489360653E-3</v>
      </c>
      <c r="CF82" s="385">
        <f t="shared" si="512"/>
        <v>1.6322089227421177E-2</v>
      </c>
      <c r="CG82" s="385">
        <f t="shared" si="512"/>
        <v>-4.2372881355932202E-2</v>
      </c>
      <c r="CH82" s="385">
        <f t="shared" si="512"/>
        <v>5.0321199143468887E-2</v>
      </c>
      <c r="CI82" s="385">
        <f t="shared" si="512"/>
        <v>0.12654867256637159</v>
      </c>
      <c r="CJ82" s="385">
        <f t="shared" si="512"/>
        <v>9.3781855249745139E-2</v>
      </c>
      <c r="CK82" s="385">
        <f t="shared" si="512"/>
        <v>-1.7282010997643371E-2</v>
      </c>
      <c r="CL82" s="385">
        <f t="shared" si="512"/>
        <v>1.491146318732528E-2</v>
      </c>
      <c r="CM82" s="385">
        <f t="shared" si="512"/>
        <v>-3.9968025579536492E-3</v>
      </c>
      <c r="CN82" s="385">
        <f>CN78/CL78-1</f>
        <v>-1.8365472910927494E-2</v>
      </c>
    </row>
    <row r="83" spans="1:101">
      <c r="A83" s="165"/>
      <c r="B83" s="589"/>
      <c r="C83" s="589"/>
      <c r="D83" s="589"/>
      <c r="E83" s="589"/>
      <c r="F83" s="589"/>
      <c r="G83" s="589"/>
      <c r="H83" s="589"/>
      <c r="I83" s="589"/>
      <c r="J83" s="589"/>
      <c r="K83" s="589"/>
      <c r="L83" s="589"/>
      <c r="M83" s="589"/>
      <c r="N83" s="589"/>
      <c r="O83" s="589"/>
      <c r="P83" s="589"/>
      <c r="Q83" s="589"/>
      <c r="R83" s="589"/>
      <c r="S83" s="589"/>
      <c r="T83" s="589"/>
      <c r="U83" s="589"/>
      <c r="V83" s="589"/>
      <c r="W83" s="589"/>
      <c r="X83" s="589"/>
      <c r="Y83" s="589"/>
      <c r="Z83" s="589"/>
      <c r="AA83" s="589"/>
      <c r="AB83" s="589"/>
      <c r="AC83" s="589"/>
      <c r="AD83" s="589"/>
      <c r="AE83" s="589"/>
      <c r="AF83" s="589"/>
      <c r="AG83" s="589"/>
      <c r="AH83" s="589"/>
      <c r="AI83" s="47"/>
      <c r="AJ83" s="589"/>
      <c r="AK83" s="589"/>
      <c r="AL83" s="589"/>
      <c r="AM83" s="589"/>
      <c r="AN83" s="589"/>
      <c r="AO83" s="589"/>
      <c r="AP83" s="589"/>
      <c r="AQ83" s="1382"/>
      <c r="AR83" s="589"/>
      <c r="AS83" s="190"/>
      <c r="AT83" s="589"/>
      <c r="AU83" s="589"/>
      <c r="AV83" s="190"/>
      <c r="AW83" s="589"/>
      <c r="AX83" s="589"/>
      <c r="AY83" s="190"/>
      <c r="AZ83" s="589"/>
      <c r="BA83" s="589"/>
      <c r="BB83" s="190"/>
      <c r="BC83" s="190"/>
      <c r="BD83" s="316"/>
      <c r="BE83" s="316"/>
      <c r="BF83" s="316"/>
      <c r="BG83" s="316"/>
      <c r="BH83" s="315"/>
      <c r="BI83" s="317"/>
      <c r="BJ83" s="317"/>
      <c r="BK83" s="450"/>
      <c r="BL83" s="450"/>
      <c r="BM83" s="450"/>
      <c r="BN83" s="450"/>
      <c r="BO83" s="450"/>
      <c r="BP83" s="450"/>
      <c r="BQ83" s="450"/>
      <c r="BR83" s="450"/>
      <c r="BS83" s="450"/>
      <c r="BT83" s="450"/>
      <c r="BU83" s="450"/>
      <c r="BV83" s="450"/>
      <c r="BW83" s="450"/>
      <c r="BX83" s="450"/>
      <c r="BY83" s="450"/>
      <c r="BZ83" s="450"/>
      <c r="CA83" s="450"/>
      <c r="CB83" s="450"/>
      <c r="CC83" s="450"/>
      <c r="CD83" s="450"/>
      <c r="CE83" s="450"/>
      <c r="CF83" s="450"/>
      <c r="CG83" s="450"/>
      <c r="CH83" s="450"/>
      <c r="CI83" s="450"/>
      <c r="CJ83" s="450"/>
      <c r="CK83" s="450"/>
      <c r="CL83" s="450"/>
      <c r="CM83" s="450"/>
      <c r="CN83" s="450"/>
    </row>
    <row r="84" spans="1:101" outlineLevel="1">
      <c r="A84" s="165" t="s">
        <v>14</v>
      </c>
      <c r="B84" s="997" t="s">
        <v>713</v>
      </c>
      <c r="C84" s="997"/>
      <c r="D84" s="997"/>
      <c r="E84" s="997"/>
      <c r="F84" s="997"/>
      <c r="G84" s="997"/>
      <c r="H84" s="997"/>
      <c r="I84" s="997"/>
      <c r="J84" s="998"/>
      <c r="K84" s="622">
        <f t="shared" ref="K84:R84" si="513">K90-K72</f>
        <v>93.504000000000133</v>
      </c>
      <c r="L84" s="622">
        <f t="shared" si="513"/>
        <v>122.30200000000013</v>
      </c>
      <c r="M84" s="622">
        <f t="shared" si="513"/>
        <v>133.27199999999993</v>
      </c>
      <c r="N84" s="622">
        <f t="shared" si="513"/>
        <v>144.6260000000002</v>
      </c>
      <c r="O84" s="622">
        <f t="shared" si="513"/>
        <v>173.15999999999985</v>
      </c>
      <c r="P84" s="622">
        <f t="shared" si="513"/>
        <v>167.58300000000008</v>
      </c>
      <c r="Q84" s="622">
        <f t="shared" si="513"/>
        <v>190.92700000000013</v>
      </c>
      <c r="R84" s="622">
        <f t="shared" si="513"/>
        <v>196.11999999999989</v>
      </c>
      <c r="S84" s="622">
        <f>S90-S72</f>
        <v>215.10899999999992</v>
      </c>
      <c r="T84" s="622">
        <v>221</v>
      </c>
      <c r="U84" s="999">
        <f>6854.3-4539.7-2101.3</f>
        <v>213.30000000000018</v>
      </c>
      <c r="V84" s="585">
        <f>V90-V72</f>
        <v>121.69999999999982</v>
      </c>
      <c r="W84" s="591">
        <f>X84-V84</f>
        <v>99.699999999999818</v>
      </c>
      <c r="X84" s="999">
        <f>7095.3-2147.9-4726</f>
        <v>221.39999999999964</v>
      </c>
      <c r="Y84" s="585">
        <f>Y90-Y72</f>
        <v>125.29999999999973</v>
      </c>
      <c r="Z84" s="591">
        <f>AA84-Y84</f>
        <v>85.900000000000091</v>
      </c>
      <c r="AA84" s="999">
        <f>7918.9-5318.9-2388.8</f>
        <v>211.19999999999982</v>
      </c>
      <c r="AB84" s="585">
        <f>AB90-AB72</f>
        <v>135</v>
      </c>
      <c r="AC84" s="591">
        <f>AD84-AB84</f>
        <v>108.60000000000036</v>
      </c>
      <c r="AD84" s="999">
        <f>8916.1-5956.8-2715.7</f>
        <v>243.60000000000036</v>
      </c>
      <c r="AE84" s="585">
        <f>AE90-AE72</f>
        <v>131.90000000000009</v>
      </c>
      <c r="AF84" s="591">
        <f>AG84-AE84</f>
        <v>114.19999999999982</v>
      </c>
      <c r="AG84" s="999">
        <f>9232-6196.5-2789.4</f>
        <v>246.09999999999991</v>
      </c>
      <c r="AH84" s="585">
        <f>AH90-AH72</f>
        <v>145.69999999999982</v>
      </c>
      <c r="AI84" s="659">
        <f>AJ84-AH84</f>
        <v>121.59999999999945</v>
      </c>
      <c r="AJ84" s="999">
        <v>267.29999999999927</v>
      </c>
      <c r="AK84" s="585">
        <f>AK90-AK72</f>
        <v>156.10000000000036</v>
      </c>
      <c r="AL84" s="591">
        <f>AM84-AK84</f>
        <v>147.29999999999961</v>
      </c>
      <c r="AM84" s="1913">
        <v>303.39999999999998</v>
      </c>
      <c r="AN84" s="585">
        <f>AN90-AN72</f>
        <v>184.09999999999991</v>
      </c>
      <c r="AO84" s="591">
        <f>AP84-AN84</f>
        <v>177.30000000000064</v>
      </c>
      <c r="AP84" s="1705">
        <f>AP90-AP72</f>
        <v>361.40000000000055</v>
      </c>
      <c r="AQ84" s="1598">
        <f>AQ90-AQ72</f>
        <v>239</v>
      </c>
      <c r="AR84" s="591">
        <f>AS84-AQ84</f>
        <v>201.58086357142855</v>
      </c>
      <c r="AS84" s="232">
        <f>AS78*AS85</f>
        <v>440.58086357142855</v>
      </c>
      <c r="AT84" s="232">
        <f>AT78*AT85</f>
        <v>253.27151234042555</v>
      </c>
      <c r="AU84" s="591">
        <f>AV84-AT84</f>
        <v>223.65727247564587</v>
      </c>
      <c r="AV84" s="232">
        <f>AV78*AV85</f>
        <v>476.92878481607141</v>
      </c>
      <c r="AW84" s="232">
        <f>AW78*AW85</f>
        <v>278.16198855319152</v>
      </c>
      <c r="AX84" s="591">
        <f>AY84-AW84</f>
        <v>222.23917371167096</v>
      </c>
      <c r="AY84" s="232">
        <f>AY78*AY85</f>
        <v>500.40116226486248</v>
      </c>
      <c r="AZ84" s="232">
        <f>AZ78*AZ85</f>
        <v>291.64214646000005</v>
      </c>
      <c r="BA84" s="591">
        <f>BB84-AZ84</f>
        <v>233.89709306014902</v>
      </c>
      <c r="BB84" s="232">
        <f>BB78*BB85</f>
        <v>525.53923952014907</v>
      </c>
      <c r="BC84" s="662"/>
      <c r="BD84" s="380"/>
      <c r="BE84" s="380"/>
      <c r="BF84" s="380"/>
      <c r="BG84" s="380"/>
      <c r="BH84" s="315"/>
      <c r="BI84" s="317"/>
      <c r="BJ84" s="317"/>
      <c r="BK84" s="453"/>
      <c r="BL84" s="453"/>
      <c r="BM84" s="453"/>
      <c r="BN84" s="453"/>
      <c r="BO84" s="453"/>
      <c r="BP84" s="453"/>
      <c r="BQ84" s="453"/>
      <c r="BR84" s="453"/>
      <c r="BS84" s="452">
        <f>BS90-BS72</f>
        <v>47.841999999999985</v>
      </c>
      <c r="BT84" s="453">
        <f>BT90-BT72</f>
        <v>45.662000000000148</v>
      </c>
      <c r="BU84" s="501">
        <v>67</v>
      </c>
      <c r="BV84" s="453">
        <f>BV90-BV72</f>
        <v>55.302000000000135</v>
      </c>
      <c r="BW84" s="501">
        <v>76.599999999999994</v>
      </c>
      <c r="BX84" s="453">
        <f>M84-BW84</f>
        <v>56.67199999999994</v>
      </c>
      <c r="BY84" s="453">
        <v>76.099999999999994</v>
      </c>
      <c r="BZ84" s="453">
        <f>N84-BY84</f>
        <v>68.526000000000209</v>
      </c>
      <c r="CA84" s="453">
        <v>97.4</v>
      </c>
      <c r="CB84" s="453">
        <f>O84-CA84</f>
        <v>75.759999999999849</v>
      </c>
      <c r="CC84" s="453">
        <v>92.245999999999995</v>
      </c>
      <c r="CD84" s="453">
        <f>P84-CC84</f>
        <v>75.337000000000089</v>
      </c>
      <c r="CE84" s="482">
        <v>103.913</v>
      </c>
      <c r="CF84" s="453">
        <f>Q84-CE84</f>
        <v>87.014000000000138</v>
      </c>
      <c r="CG84" s="482">
        <v>103.04</v>
      </c>
      <c r="CH84" s="453">
        <f>R84-CG84</f>
        <v>93.079999999999885</v>
      </c>
      <c r="CI84" s="482">
        <v>115.953</v>
      </c>
      <c r="CJ84" s="453">
        <f>S84-CI84</f>
        <v>99.155999999999921</v>
      </c>
      <c r="CK84" s="500">
        <f>CK90-CK72</f>
        <v>118.90000000000009</v>
      </c>
      <c r="CL84" s="453">
        <f>T84-CK84</f>
        <v>102.09999999999991</v>
      </c>
      <c r="CM84" s="480">
        <f>CM90-CM72</f>
        <v>114</v>
      </c>
      <c r="CN84" s="522">
        <f>U84-CM84</f>
        <v>99.300000000000182</v>
      </c>
    </row>
    <row r="85" spans="1:101" outlineLevel="1">
      <c r="A85" s="165"/>
      <c r="B85" s="589" t="s">
        <v>595</v>
      </c>
      <c r="C85" s="589"/>
      <c r="D85" s="589"/>
      <c r="E85" s="589"/>
      <c r="F85" s="589"/>
      <c r="G85" s="589"/>
      <c r="H85" s="589"/>
      <c r="I85" s="589"/>
      <c r="J85" s="592"/>
      <c r="K85" s="592">
        <f t="shared" ref="K85:S85" si="514">K84/K78</f>
        <v>0.85626373626373742</v>
      </c>
      <c r="L85" s="592">
        <f t="shared" si="514"/>
        <v>0.813719228210247</v>
      </c>
      <c r="M85" s="592">
        <f t="shared" si="514"/>
        <v>0.79660490137477535</v>
      </c>
      <c r="N85" s="592">
        <f t="shared" si="514"/>
        <v>0.76643349231584634</v>
      </c>
      <c r="O85" s="592">
        <f t="shared" si="514"/>
        <v>0.77929792979297863</v>
      </c>
      <c r="P85" s="592">
        <f t="shared" si="514"/>
        <v>0.80030085959885422</v>
      </c>
      <c r="Q85" s="592">
        <f t="shared" si="514"/>
        <v>0.90315515610217656</v>
      </c>
      <c r="R85" s="592">
        <f t="shared" si="514"/>
        <v>0.92903837044054904</v>
      </c>
      <c r="S85" s="592">
        <f t="shared" si="514"/>
        <v>0.91691815856777459</v>
      </c>
      <c r="T85" s="592">
        <f>T84/T78</f>
        <v>0.94444444444444442</v>
      </c>
      <c r="U85" s="592">
        <f>U84/U78</f>
        <v>0.92138228941684741</v>
      </c>
      <c r="V85" s="592">
        <f>V84/V78</f>
        <v>0.92336874051593176</v>
      </c>
      <c r="W85" s="592">
        <f>V85</f>
        <v>0.92336874051593176</v>
      </c>
      <c r="X85" s="592">
        <f>X84/X78</f>
        <v>0.93734123624047272</v>
      </c>
      <c r="Y85" s="592">
        <f>Y84/Y78</f>
        <v>0.94352409638554002</v>
      </c>
      <c r="Z85" s="592">
        <f>Z84/Z78</f>
        <v>0.95444444444444543</v>
      </c>
      <c r="AA85" s="592">
        <f t="shared" ref="AA85" si="515">X85</f>
        <v>0.93734123624047272</v>
      </c>
      <c r="AB85" s="592">
        <f t="shared" ref="AB85:AF85" si="516">AB84/AB78</f>
        <v>0.93167701863354035</v>
      </c>
      <c r="AC85" s="592">
        <f t="shared" si="516"/>
        <v>0.93059125964010581</v>
      </c>
      <c r="AD85" s="592">
        <f t="shared" si="516"/>
        <v>0.93119266055046002</v>
      </c>
      <c r="AE85" s="592">
        <f t="shared" si="516"/>
        <v>0.95303468208092545</v>
      </c>
      <c r="AF85" s="592">
        <f t="shared" si="516"/>
        <v>0.92096774193548259</v>
      </c>
      <c r="AG85" s="1122">
        <f>AG84/AG78</f>
        <v>0.93788109756097537</v>
      </c>
      <c r="AH85" s="1122">
        <f t="shared" ref="AH85" si="517">AH84/AH78</f>
        <v>0.90722291407222799</v>
      </c>
      <c r="AI85" s="661">
        <f t="shared" ref="AI85" si="518">AI84/AI78</f>
        <v>0.92471482889733403</v>
      </c>
      <c r="AJ85" s="1122">
        <f>AJ84/AJ78</f>
        <v>0.91509756932557085</v>
      </c>
      <c r="AK85" s="1122">
        <f t="shared" ref="AK85" si="519">AK84/AK78</f>
        <v>0.92531120331950434</v>
      </c>
      <c r="AL85" s="1122">
        <f t="shared" ref="AL85" si="520">AL84/AL78</f>
        <v>0.9252512562814047</v>
      </c>
      <c r="AM85" s="1122">
        <f>AM84/AM78</f>
        <v>0.92528209820067098</v>
      </c>
      <c r="AN85" s="1122">
        <f t="shared" ref="AN85" si="521">AN84/AN78</f>
        <v>0.90913580246913539</v>
      </c>
      <c r="AO85" s="592">
        <f t="shared" ref="AO85" si="522">AO84/AO78</f>
        <v>0.91486068111455432</v>
      </c>
      <c r="AP85" s="1122">
        <f>AP84/AP78</f>
        <v>0.91193540247287541</v>
      </c>
      <c r="AQ85" s="1386">
        <f>AQ84/AQ78</f>
        <v>0.88979895755770655</v>
      </c>
      <c r="AR85" s="592">
        <f t="shared" ref="AR85" si="523">AR84/AR78</f>
        <v>0.84763805987072183</v>
      </c>
      <c r="AS85" s="311">
        <v>0.87</v>
      </c>
      <c r="AT85" s="311">
        <v>0.87</v>
      </c>
      <c r="AU85" s="592">
        <f t="shared" ref="AU85" si="524">AU84/AU78</f>
        <v>0.87</v>
      </c>
      <c r="AV85" s="311">
        <f>AS85</f>
        <v>0.87</v>
      </c>
      <c r="AW85" s="311">
        <v>0.91</v>
      </c>
      <c r="AX85" s="592">
        <f t="shared" ref="AX85" si="525">AX84/AX78</f>
        <v>0.82463137449748558</v>
      </c>
      <c r="AY85" s="311">
        <f>AV85</f>
        <v>0.87</v>
      </c>
      <c r="AZ85" s="311">
        <v>0.91</v>
      </c>
      <c r="BA85" s="592">
        <f t="shared" ref="BA85" si="526">BA84/BA78</f>
        <v>0.82479464409901848</v>
      </c>
      <c r="BB85" s="311">
        <f>AY85</f>
        <v>0.87</v>
      </c>
      <c r="BC85" s="311"/>
      <c r="BD85" s="387"/>
      <c r="BE85" s="387"/>
      <c r="BF85" s="387"/>
      <c r="BG85" s="387"/>
      <c r="BH85" s="315"/>
      <c r="BI85" s="317"/>
      <c r="BJ85" s="317"/>
      <c r="BK85" s="455"/>
      <c r="BL85" s="455"/>
      <c r="BM85" s="455"/>
      <c r="BN85" s="455"/>
      <c r="BO85" s="455"/>
      <c r="BP85" s="455"/>
      <c r="BQ85" s="455"/>
      <c r="BR85" s="455"/>
      <c r="BS85" s="455">
        <f t="shared" ref="BS85:CM85" si="527">BS84/BS78</f>
        <v>0.86920861386138593</v>
      </c>
      <c r="BT85" s="455">
        <f t="shared" si="527"/>
        <v>0.84310810810811077</v>
      </c>
      <c r="BU85" s="455">
        <f t="shared" si="527"/>
        <v>0.82920792079207928</v>
      </c>
      <c r="BV85" s="455">
        <f t="shared" si="527"/>
        <v>0.79571223021582915</v>
      </c>
      <c r="BW85" s="455">
        <f t="shared" si="527"/>
        <v>0.80462184873949572</v>
      </c>
      <c r="BX85" s="455">
        <f t="shared" si="527"/>
        <v>0.78601941747572723</v>
      </c>
      <c r="BY85" s="455">
        <f t="shared" si="527"/>
        <v>0.78051282051282045</v>
      </c>
      <c r="BZ85" s="455">
        <f t="shared" si="527"/>
        <v>0.75138157894737079</v>
      </c>
      <c r="CA85" s="455">
        <f t="shared" si="527"/>
        <v>0.77982385908726981</v>
      </c>
      <c r="CB85" s="455">
        <f t="shared" si="527"/>
        <v>0.77862281603288652</v>
      </c>
      <c r="CC85" s="455">
        <f t="shared" si="527"/>
        <v>0.78507234042553187</v>
      </c>
      <c r="CD85" s="455">
        <f t="shared" si="527"/>
        <v>0.81977149075081701</v>
      </c>
      <c r="CE85" s="455">
        <f t="shared" si="527"/>
        <v>0.88061864406779655</v>
      </c>
      <c r="CF85" s="455">
        <f t="shared" si="527"/>
        <v>0.93162740899357743</v>
      </c>
      <c r="CG85" s="455">
        <f t="shared" si="527"/>
        <v>0.91185840707964605</v>
      </c>
      <c r="CH85" s="455">
        <f t="shared" si="527"/>
        <v>0.9488277268093771</v>
      </c>
      <c r="CI85" s="455">
        <f t="shared" si="527"/>
        <v>0.91086410054988221</v>
      </c>
      <c r="CJ85" s="455">
        <f t="shared" si="527"/>
        <v>0.92410065237651373</v>
      </c>
      <c r="CK85" s="455">
        <f t="shared" si="527"/>
        <v>0.95043964828137562</v>
      </c>
      <c r="CL85" s="455">
        <f t="shared" si="527"/>
        <v>0.93755739210284572</v>
      </c>
      <c r="CM85" s="455">
        <f t="shared" si="527"/>
        <v>0.91492776886035321</v>
      </c>
      <c r="CN85" s="455">
        <f>CM85</f>
        <v>0.91492776886035321</v>
      </c>
    </row>
    <row r="86" spans="1:101" outlineLevel="1">
      <c r="A86" s="165"/>
      <c r="B86" s="589" t="s">
        <v>24</v>
      </c>
      <c r="C86" s="589"/>
      <c r="D86" s="589"/>
      <c r="E86" s="589"/>
      <c r="F86" s="589"/>
      <c r="G86" s="589"/>
      <c r="H86" s="589"/>
      <c r="I86" s="589"/>
      <c r="J86" s="589"/>
      <c r="K86" s="266"/>
      <c r="L86" s="266">
        <f t="shared" ref="L86:U86" si="528">L85/K85-1</f>
        <v>-4.9686219620991068E-2</v>
      </c>
      <c r="M86" s="266">
        <f t="shared" si="528"/>
        <v>-2.103222615632927E-2</v>
      </c>
      <c r="N86" s="266">
        <f t="shared" si="528"/>
        <v>-3.7874998015778427E-2</v>
      </c>
      <c r="O86" s="266">
        <f t="shared" si="528"/>
        <v>1.6784805995705199E-2</v>
      </c>
      <c r="P86" s="266">
        <f t="shared" si="528"/>
        <v>2.6951091492640078E-2</v>
      </c>
      <c r="Q86" s="266">
        <f t="shared" si="528"/>
        <v>0.12851953770845315</v>
      </c>
      <c r="R86" s="266">
        <f t="shared" si="528"/>
        <v>2.8658657555672873E-2</v>
      </c>
      <c r="S86" s="266">
        <f t="shared" si="528"/>
        <v>-1.304597555752951E-2</v>
      </c>
      <c r="T86" s="266">
        <f t="shared" si="528"/>
        <v>3.0020439250179054E-2</v>
      </c>
      <c r="U86" s="266">
        <f t="shared" si="528"/>
        <v>-2.4418752382161513E-2</v>
      </c>
      <c r="V86" s="266">
        <f>V85/CM85-1</f>
        <v>9.2258339323252336E-3</v>
      </c>
      <c r="W86" s="266">
        <f>W85/CN85-1</f>
        <v>9.2258339323252336E-3</v>
      </c>
      <c r="X86" s="266">
        <f t="shared" ref="X86:AV86" si="529">X85/U85-1</f>
        <v>1.7320657241768567E-2</v>
      </c>
      <c r="Y86" s="266">
        <f t="shared" si="529"/>
        <v>2.1828068230192121E-2</v>
      </c>
      <c r="Z86" s="266">
        <f t="shared" si="529"/>
        <v>3.3654706473115192E-2</v>
      </c>
      <c r="AA86" s="266">
        <f t="shared" si="529"/>
        <v>0</v>
      </c>
      <c r="AB86" s="266">
        <f t="shared" si="529"/>
        <v>-1.2556200522470529E-2</v>
      </c>
      <c r="AC86" s="266">
        <f t="shared" si="529"/>
        <v>-2.4991695371252232E-2</v>
      </c>
      <c r="AD86" s="266">
        <f t="shared" si="529"/>
        <v>-6.5595915897967982E-3</v>
      </c>
      <c r="AE86" s="266">
        <f t="shared" si="529"/>
        <v>2.2923892100193299E-2</v>
      </c>
      <c r="AF86" s="266">
        <f t="shared" si="529"/>
        <v>-1.0341293887012215E-2</v>
      </c>
      <c r="AG86" s="1116">
        <f t="shared" si="529"/>
        <v>7.1826564940509208E-3</v>
      </c>
      <c r="AH86" s="1116">
        <f t="shared" si="529"/>
        <v>-4.8069360821862972E-2</v>
      </c>
      <c r="AI86" s="653">
        <f t="shared" si="529"/>
        <v>4.068640834234527E-3</v>
      </c>
      <c r="AJ86" s="1116">
        <f>AJ85/AG85-1</f>
        <v>-2.4292555095368318E-2</v>
      </c>
      <c r="AK86" s="1116">
        <f t="shared" si="529"/>
        <v>1.9938086843600544E-2</v>
      </c>
      <c r="AL86" s="1116">
        <f t="shared" si="529"/>
        <v>5.8010033721456189E-4</v>
      </c>
      <c r="AM86" s="1116">
        <f>AM85/AJ85-1</f>
        <v>1.1129445882591682E-2</v>
      </c>
      <c r="AN86" s="1116">
        <f t="shared" si="529"/>
        <v>-1.7481038587169984E-2</v>
      </c>
      <c r="AO86" s="266">
        <f>AO85/AL85-1</f>
        <v>-1.123000384631756E-2</v>
      </c>
      <c r="AP86" s="1116">
        <f>AP85/AM85-1</f>
        <v>-1.4424461203507488E-2</v>
      </c>
      <c r="AQ86" s="1380">
        <f>AQ85/AN85-1</f>
        <v>-2.1269479057926866E-2</v>
      </c>
      <c r="AR86" s="266">
        <f t="shared" si="529"/>
        <v>-7.3478533542327695E-2</v>
      </c>
      <c r="AS86" s="231">
        <f t="shared" si="529"/>
        <v>-4.5985058107361643E-2</v>
      </c>
      <c r="AT86" s="266">
        <f t="shared" si="529"/>
        <v>-2.2251046025104526E-2</v>
      </c>
      <c r="AU86" s="266">
        <f t="shared" si="529"/>
        <v>2.6381472456166843E-2</v>
      </c>
      <c r="AV86" s="231">
        <f t="shared" si="529"/>
        <v>0</v>
      </c>
      <c r="AW86" s="266">
        <f t="shared" ref="AW86" si="530">AW85/AT85-1</f>
        <v>4.5977011494252817E-2</v>
      </c>
      <c r="AX86" s="266">
        <f t="shared" ref="AX86" si="531">AX85/AU85-1</f>
        <v>-5.2147845405189019E-2</v>
      </c>
      <c r="AY86" s="231">
        <f t="shared" ref="AY86" si="532">AY85/AV85-1</f>
        <v>0</v>
      </c>
      <c r="AZ86" s="266">
        <f t="shared" ref="AZ86" si="533">AZ85/AW85-1</f>
        <v>0</v>
      </c>
      <c r="BA86" s="266">
        <f t="shared" ref="BA86" si="534">BA85/AX85-1</f>
        <v>1.9799101341777536E-4</v>
      </c>
      <c r="BB86" s="231">
        <f t="shared" ref="BB86" si="535">BB85/AY85-1</f>
        <v>0</v>
      </c>
      <c r="BC86" s="653"/>
      <c r="BD86" s="376"/>
      <c r="BE86" s="376"/>
      <c r="BF86" s="376"/>
      <c r="BG86" s="376"/>
      <c r="BH86" s="315"/>
      <c r="BI86" s="317"/>
      <c r="BJ86" s="317"/>
      <c r="BK86" s="450"/>
      <c r="BL86" s="450"/>
      <c r="BM86" s="450"/>
      <c r="BN86" s="450"/>
      <c r="BO86" s="450"/>
      <c r="BP86" s="450"/>
      <c r="BQ86" s="450"/>
      <c r="BR86" s="450"/>
      <c r="BS86" s="450"/>
      <c r="BT86" s="376"/>
      <c r="BU86" s="376">
        <f t="shared" ref="BU86:CN86" si="536">BU85/BS85-1</f>
        <v>-4.601966942274871E-2</v>
      </c>
      <c r="BV86" s="376">
        <f t="shared" si="536"/>
        <v>-5.6215658984273609E-2</v>
      </c>
      <c r="BW86" s="376">
        <f t="shared" si="536"/>
        <v>-2.965006898281719E-2</v>
      </c>
      <c r="BX86" s="376">
        <f t="shared" si="536"/>
        <v>-1.2181304210283184E-2</v>
      </c>
      <c r="BY86" s="376">
        <f t="shared" si="536"/>
        <v>-2.9963178683805269E-2</v>
      </c>
      <c r="BZ86" s="376">
        <f t="shared" si="536"/>
        <v>-4.4067408206777681E-2</v>
      </c>
      <c r="CA86" s="376">
        <f t="shared" si="536"/>
        <v>-8.8270353470676355E-4</v>
      </c>
      <c r="CB86" s="376">
        <f t="shared" si="536"/>
        <v>3.6254864171249235E-2</v>
      </c>
      <c r="CC86" s="376">
        <f t="shared" si="536"/>
        <v>6.7303420857178775E-3</v>
      </c>
      <c r="CD86" s="376">
        <f t="shared" si="536"/>
        <v>5.2848020724058031E-2</v>
      </c>
      <c r="CE86" s="376">
        <f t="shared" si="536"/>
        <v>0.12170382106504452</v>
      </c>
      <c r="CF86" s="376">
        <f t="shared" si="536"/>
        <v>0.1364476802435679</v>
      </c>
      <c r="CG86" s="376">
        <f t="shared" si="536"/>
        <v>3.5474791752699186E-2</v>
      </c>
      <c r="CH86" s="376">
        <f t="shared" si="536"/>
        <v>1.8462657549310313E-2</v>
      </c>
      <c r="CI86" s="376">
        <f t="shared" si="536"/>
        <v>-1.0904176811268318E-3</v>
      </c>
      <c r="CJ86" s="376">
        <f t="shared" si="536"/>
        <v>-2.606065751895037E-2</v>
      </c>
      <c r="CK86" s="376">
        <f t="shared" si="536"/>
        <v>4.3448356025450829E-2</v>
      </c>
      <c r="CL86" s="376">
        <f t="shared" si="536"/>
        <v>1.4561984878730616E-2</v>
      </c>
      <c r="CM86" s="376">
        <f t="shared" si="536"/>
        <v>-3.7363634277290947E-2</v>
      </c>
      <c r="CN86" s="376">
        <f t="shared" si="536"/>
        <v>-2.4136787180288333E-2</v>
      </c>
    </row>
    <row r="87" spans="1:101" outlineLevel="1">
      <c r="A87" s="942" t="s">
        <v>916</v>
      </c>
      <c r="B87" s="989" t="s">
        <v>529</v>
      </c>
      <c r="C87" s="989"/>
      <c r="D87" s="989"/>
      <c r="E87" s="989"/>
      <c r="F87" s="989"/>
      <c r="G87" s="989"/>
      <c r="H87" s="989"/>
      <c r="I87" s="989"/>
      <c r="J87" s="989"/>
      <c r="K87" s="944"/>
      <c r="L87" s="944">
        <f>+L84/K84-1</f>
        <v>0.30798682409308653</v>
      </c>
      <c r="M87" s="944">
        <f t="shared" ref="M87:U87" si="537">+M84/L84-1</f>
        <v>8.9695998430113777E-2</v>
      </c>
      <c r="N87" s="944">
        <f t="shared" si="537"/>
        <v>8.519418932709244E-2</v>
      </c>
      <c r="O87" s="944">
        <f t="shared" si="537"/>
        <v>0.19729509216876373</v>
      </c>
      <c r="P87" s="944">
        <f t="shared" si="537"/>
        <v>-3.2207207207205935E-2</v>
      </c>
      <c r="Q87" s="944">
        <f t="shared" si="537"/>
        <v>0.13929813883269815</v>
      </c>
      <c r="R87" s="944">
        <f t="shared" si="537"/>
        <v>2.7198877057722282E-2</v>
      </c>
      <c r="S87" s="944">
        <f t="shared" si="537"/>
        <v>9.682337344482983E-2</v>
      </c>
      <c r="T87" s="944">
        <f t="shared" si="537"/>
        <v>2.7386115876137485E-2</v>
      </c>
      <c r="U87" s="944">
        <f t="shared" si="537"/>
        <v>-3.4841628959275228E-2</v>
      </c>
      <c r="V87" s="944"/>
      <c r="W87" s="944"/>
      <c r="X87" s="944">
        <f>X84/U84-1</f>
        <v>3.7974683544301113E-2</v>
      </c>
      <c r="Y87" s="944">
        <f t="shared" ref="Y87:AV87" si="538">Y84/V84-1</f>
        <v>2.9580936729662444E-2</v>
      </c>
      <c r="Z87" s="944">
        <f t="shared" si="538"/>
        <v>-0.1384152457372092</v>
      </c>
      <c r="AA87" s="944">
        <f t="shared" si="538"/>
        <v>-4.6070460704606297E-2</v>
      </c>
      <c r="AB87" s="944">
        <f t="shared" si="538"/>
        <v>7.7414205905828259E-2</v>
      </c>
      <c r="AC87" s="944">
        <f t="shared" si="538"/>
        <v>0.26426076833527645</v>
      </c>
      <c r="AD87" s="944">
        <f t="shared" si="538"/>
        <v>0.15340909090909371</v>
      </c>
      <c r="AE87" s="944">
        <f t="shared" si="538"/>
        <v>-2.2962962962962297E-2</v>
      </c>
      <c r="AF87" s="944">
        <f t="shared" si="538"/>
        <v>5.1565377532223122E-2</v>
      </c>
      <c r="AG87" s="1123">
        <f t="shared" si="538"/>
        <v>1.0262725779965232E-2</v>
      </c>
      <c r="AH87" s="1195">
        <f t="shared" si="538"/>
        <v>0.10462471569370524</v>
      </c>
      <c r="AI87" s="665">
        <f t="shared" si="538"/>
        <v>6.4798598949208808E-2</v>
      </c>
      <c r="AJ87" s="1195">
        <f t="shared" si="538"/>
        <v>8.6143843965865052E-2</v>
      </c>
      <c r="AK87" s="1195">
        <f t="shared" si="538"/>
        <v>7.1379547014416955E-2</v>
      </c>
      <c r="AL87" s="1195">
        <f t="shared" si="538"/>
        <v>0.21134868421052855</v>
      </c>
      <c r="AM87" s="1585">
        <f t="shared" si="538"/>
        <v>0.13505424616536033</v>
      </c>
      <c r="AN87" s="1585">
        <f t="shared" si="538"/>
        <v>0.17937219730941378</v>
      </c>
      <c r="AO87" s="944">
        <f>AO84/AL84-1</f>
        <v>0.20366598778004819</v>
      </c>
      <c r="AP87" s="1585">
        <f t="shared" si="538"/>
        <v>0.19116677653263214</v>
      </c>
      <c r="AQ87" s="1599">
        <f t="shared" si="538"/>
        <v>0.29820749592612783</v>
      </c>
      <c r="AR87" s="944">
        <f t="shared" si="538"/>
        <v>0.1369479050841953</v>
      </c>
      <c r="AS87" s="945">
        <f t="shared" si="538"/>
        <v>0.21909480788994995</v>
      </c>
      <c r="AT87" s="944">
        <f t="shared" si="538"/>
        <v>5.971344075491869E-2</v>
      </c>
      <c r="AU87" s="944">
        <f t="shared" si="538"/>
        <v>0.10951639214698927</v>
      </c>
      <c r="AV87" s="945">
        <f t="shared" si="538"/>
        <v>8.2500000000000018E-2</v>
      </c>
      <c r="AW87" s="944">
        <f t="shared" ref="AW87" si="539">AW84/AT84-1</f>
        <v>9.8275862068965658E-2</v>
      </c>
      <c r="AX87" s="944">
        <f t="shared" ref="AX87" si="540">AX84/AU84-1</f>
        <v>-6.3404992302645846E-3</v>
      </c>
      <c r="AY87" s="945">
        <f t="shared" ref="AY87" si="541">AY84/AV84-1</f>
        <v>4.9215686274510118E-2</v>
      </c>
      <c r="AZ87" s="944">
        <f t="shared" ref="AZ87" si="542">AZ84/AW84-1</f>
        <v>4.8461538461538556E-2</v>
      </c>
      <c r="BA87" s="944">
        <f t="shared" ref="BA87" si="543">BA84/AX84-1</f>
        <v>5.2456635586680234E-2</v>
      </c>
      <c r="BB87" s="945">
        <f t="shared" ref="BB87" si="544">BB84/AY84-1</f>
        <v>5.0235849056603499E-2</v>
      </c>
      <c r="BC87" s="1342"/>
      <c r="BD87" s="391"/>
      <c r="BE87" s="391"/>
      <c r="BF87" s="391"/>
      <c r="BG87" s="391"/>
      <c r="BH87" s="946"/>
      <c r="BI87" s="947"/>
      <c r="BJ87" s="947"/>
      <c r="BK87" s="943"/>
      <c r="BL87" s="943"/>
      <c r="BM87" s="943"/>
      <c r="BN87" s="943"/>
      <c r="BO87" s="943"/>
      <c r="BP87" s="943"/>
      <c r="BQ87" s="943"/>
      <c r="BR87" s="943"/>
      <c r="BS87" s="943"/>
      <c r="BT87" s="391"/>
      <c r="BU87" s="391"/>
      <c r="BV87" s="391"/>
      <c r="BW87" s="391"/>
      <c r="BX87" s="391"/>
      <c r="BY87" s="391"/>
      <c r="BZ87" s="391"/>
      <c r="CA87" s="391"/>
      <c r="CB87" s="391"/>
      <c r="CC87" s="391"/>
      <c r="CD87" s="391"/>
      <c r="CE87" s="391"/>
      <c r="CF87" s="391"/>
      <c r="CG87" s="391"/>
      <c r="CH87" s="391"/>
      <c r="CI87" s="391"/>
      <c r="CJ87" s="391"/>
      <c r="CK87" s="391"/>
      <c r="CL87" s="391"/>
      <c r="CM87" s="391"/>
      <c r="CN87" s="391"/>
      <c r="CO87" s="948"/>
      <c r="CP87" s="948"/>
      <c r="CQ87" s="948"/>
      <c r="CR87" s="948"/>
      <c r="CS87" s="948"/>
      <c r="CT87" s="948"/>
      <c r="CU87" s="948"/>
      <c r="CV87" s="948"/>
      <c r="CW87" s="948"/>
    </row>
    <row r="88" spans="1:101" outlineLevel="1">
      <c r="A88" s="165"/>
      <c r="B88" s="589"/>
      <c r="C88" s="589"/>
      <c r="D88" s="589"/>
      <c r="E88" s="589"/>
      <c r="F88" s="589"/>
      <c r="G88" s="589"/>
      <c r="H88" s="589"/>
      <c r="I88" s="589"/>
      <c r="J88" s="589"/>
      <c r="K88" s="266"/>
      <c r="L88" s="266"/>
      <c r="M88" s="266"/>
      <c r="N88" s="266"/>
      <c r="O88" s="266"/>
      <c r="P88" s="266"/>
      <c r="Q88" s="266"/>
      <c r="R88" s="266"/>
      <c r="S88" s="266"/>
      <c r="T88" s="266"/>
      <c r="U88" s="266"/>
      <c r="V88" s="266"/>
      <c r="W88" s="266"/>
      <c r="X88" s="266"/>
      <c r="Y88" s="266"/>
      <c r="Z88" s="266"/>
      <c r="AA88" s="266"/>
      <c r="AB88" s="266"/>
      <c r="AC88" s="266"/>
      <c r="AD88" s="266"/>
      <c r="AE88" s="266"/>
      <c r="AF88" s="266"/>
      <c r="AG88" s="1116"/>
      <c r="AH88" s="1116"/>
      <c r="AI88" s="653"/>
      <c r="AJ88" s="1116"/>
      <c r="AK88" s="1116"/>
      <c r="AL88" s="1116"/>
      <c r="AM88" s="1116"/>
      <c r="AN88" s="1116"/>
      <c r="AO88" s="266"/>
      <c r="AP88" s="1116"/>
      <c r="AQ88" s="1380"/>
      <c r="AR88" s="266"/>
      <c r="AS88" s="231"/>
      <c r="AT88" s="266"/>
      <c r="AU88" s="266"/>
      <c r="AV88" s="231"/>
      <c r="AW88" s="266"/>
      <c r="AX88" s="266"/>
      <c r="AY88" s="231"/>
      <c r="AZ88" s="266"/>
      <c r="BA88" s="266"/>
      <c r="BB88" s="231"/>
      <c r="BC88" s="653"/>
      <c r="BD88" s="376"/>
      <c r="BE88" s="376"/>
      <c r="BF88" s="376"/>
      <c r="BG88" s="376"/>
      <c r="BH88" s="315"/>
      <c r="BI88" s="317"/>
      <c r="BJ88" s="317"/>
      <c r="BK88" s="450"/>
      <c r="BL88" s="450"/>
      <c r="BM88" s="450"/>
      <c r="BN88" s="450"/>
      <c r="BO88" s="450"/>
      <c r="BP88" s="450"/>
      <c r="BQ88" s="450"/>
      <c r="BR88" s="450"/>
      <c r="BS88" s="450"/>
      <c r="BT88" s="376"/>
      <c r="BU88" s="376"/>
      <c r="BV88" s="376"/>
      <c r="BW88" s="376"/>
      <c r="BX88" s="376"/>
      <c r="BY88" s="376"/>
      <c r="BZ88" s="376"/>
      <c r="CA88" s="376"/>
      <c r="CB88" s="376"/>
      <c r="CC88" s="376"/>
      <c r="CD88" s="376"/>
      <c r="CE88" s="376"/>
      <c r="CF88" s="376"/>
      <c r="CG88" s="376"/>
      <c r="CH88" s="376"/>
      <c r="CI88" s="376"/>
      <c r="CJ88" s="376"/>
      <c r="CK88" s="376"/>
      <c r="CL88" s="376"/>
      <c r="CM88" s="376"/>
      <c r="CN88" s="376"/>
      <c r="CQ88">
        <f>1/1.15</f>
        <v>0.86956521739130443</v>
      </c>
    </row>
    <row r="89" spans="1:101" outlineLevel="1">
      <c r="A89" s="165"/>
      <c r="B89" s="833"/>
      <c r="C89" s="303"/>
      <c r="D89" s="303"/>
      <c r="E89" s="303"/>
      <c r="F89" s="303"/>
      <c r="G89" s="303"/>
      <c r="H89" s="303"/>
      <c r="I89" s="303"/>
      <c r="J89" s="303"/>
      <c r="K89" s="303"/>
      <c r="L89" s="303"/>
      <c r="M89" s="303"/>
      <c r="N89" s="303"/>
      <c r="O89" s="303"/>
      <c r="P89" s="303"/>
      <c r="Q89" s="303"/>
      <c r="R89" s="303"/>
      <c r="S89" s="303"/>
      <c r="T89" s="303"/>
      <c r="U89" s="303"/>
      <c r="V89" s="303"/>
      <c r="W89" s="303"/>
      <c r="X89" s="303"/>
      <c r="Y89" s="303"/>
      <c r="Z89" s="303"/>
      <c r="AA89" s="303"/>
      <c r="AB89" s="303"/>
      <c r="AC89" s="303"/>
      <c r="AD89" s="303"/>
      <c r="AE89" s="303"/>
      <c r="AF89" s="303"/>
      <c r="AG89" s="303"/>
      <c r="AH89" s="303"/>
      <c r="AI89" s="662"/>
      <c r="AJ89" s="303"/>
      <c r="AK89" s="303"/>
      <c r="AL89" s="303"/>
      <c r="AM89" s="303"/>
      <c r="AN89" s="303"/>
      <c r="AO89" s="303"/>
      <c r="AP89" s="303"/>
      <c r="AQ89" s="1378"/>
      <c r="AR89" s="303"/>
      <c r="AS89" s="190"/>
      <c r="AT89" s="303"/>
      <c r="AU89" s="303"/>
      <c r="AV89" s="190"/>
      <c r="AW89" s="303"/>
      <c r="AX89" s="303"/>
      <c r="AY89" s="190"/>
      <c r="AZ89" s="303"/>
      <c r="BA89" s="303"/>
      <c r="BB89" s="190"/>
      <c r="BC89" s="190"/>
      <c r="BD89" s="316"/>
      <c r="BE89" s="316"/>
      <c r="BF89" s="316"/>
      <c r="BG89" s="316"/>
      <c r="BH89" s="315"/>
      <c r="BI89" s="317"/>
      <c r="BJ89" s="317"/>
      <c r="BK89" s="380"/>
      <c r="BL89" s="380"/>
      <c r="BM89" s="380"/>
      <c r="BN89" s="380"/>
      <c r="BO89" s="380"/>
      <c r="BP89" s="380"/>
      <c r="BQ89" s="380"/>
      <c r="BR89" s="380"/>
      <c r="BS89" s="380"/>
      <c r="BT89" s="380"/>
      <c r="BU89" s="380"/>
      <c r="BV89" s="380"/>
      <c r="BW89" s="380"/>
      <c r="BX89" s="380"/>
      <c r="BY89" s="380"/>
      <c r="BZ89" s="380"/>
      <c r="CA89" s="380"/>
      <c r="CB89" s="380"/>
      <c r="CC89" s="380"/>
      <c r="CD89" s="380"/>
      <c r="CE89" s="380"/>
      <c r="CF89" s="380"/>
      <c r="CG89" s="380"/>
      <c r="CH89" s="380"/>
      <c r="CI89" s="380"/>
      <c r="CJ89" s="380"/>
      <c r="CK89" s="380"/>
      <c r="CL89" s="380"/>
      <c r="CM89" s="380"/>
      <c r="CN89" s="380"/>
    </row>
    <row r="90" spans="1:101" outlineLevel="1">
      <c r="A90" s="177" t="s">
        <v>743</v>
      </c>
      <c r="B90" s="953" t="s">
        <v>714</v>
      </c>
      <c r="C90" s="305"/>
      <c r="D90" s="1000">
        <v>143.38399999999999</v>
      </c>
      <c r="E90" s="1000">
        <v>248.80199999999999</v>
      </c>
      <c r="F90" s="1000">
        <v>355.83499999999998</v>
      </c>
      <c r="G90" s="1000">
        <v>452.35700000000003</v>
      </c>
      <c r="H90" s="1000">
        <v>693.94299999999998</v>
      </c>
      <c r="I90" s="1000">
        <v>945.82100000000003</v>
      </c>
      <c r="J90" s="1000">
        <v>1281.837</v>
      </c>
      <c r="K90" s="1000">
        <v>1828.5640000000001</v>
      </c>
      <c r="L90" s="1000">
        <v>2327.2660000000001</v>
      </c>
      <c r="M90" s="1000">
        <v>2731.32</v>
      </c>
      <c r="N90" s="1000">
        <v>2959.2530000000002</v>
      </c>
      <c r="O90" s="1000">
        <v>3127.7919999999999</v>
      </c>
      <c r="P90" s="1000">
        <v>3308.4</v>
      </c>
      <c r="Q90" s="1000">
        <v>3483.7750000000001</v>
      </c>
      <c r="R90" s="1000">
        <v>3652.136</v>
      </c>
      <c r="S90" s="1000">
        <v>3954.4670000000001</v>
      </c>
      <c r="T90" s="1000">
        <f>4148.6+221</f>
        <v>4369.6000000000004</v>
      </c>
      <c r="U90" s="1000">
        <f>U72+U84</f>
        <v>4753</v>
      </c>
      <c r="V90" s="1000">
        <f>3843.7-1130.7</f>
        <v>2713</v>
      </c>
      <c r="W90" s="593">
        <f>X90-V90</f>
        <v>2234.3999999999996</v>
      </c>
      <c r="X90" s="1000">
        <f>7095.3-2147.9</f>
        <v>4947.3999999999996</v>
      </c>
      <c r="Y90" s="1000">
        <f>3995.2-1147.5</f>
        <v>2847.7</v>
      </c>
      <c r="Z90" s="593">
        <f>AA90-Y90</f>
        <v>2682.3999999999996</v>
      </c>
      <c r="AA90" s="1000">
        <f t="shared" ref="AA90:AD90" si="545">AA72+AA84</f>
        <v>5530.0999999999995</v>
      </c>
      <c r="AB90" s="1000">
        <f>4941.2-1450.5</f>
        <v>3490.7</v>
      </c>
      <c r="AC90" s="593">
        <f>AC72+AC84</f>
        <v>2709.7000000000007</v>
      </c>
      <c r="AD90" s="1000">
        <f t="shared" si="545"/>
        <v>6200.4000000000005</v>
      </c>
      <c r="AE90" s="1000">
        <f>4861.8-1439.4</f>
        <v>3422.4</v>
      </c>
      <c r="AF90" s="593">
        <f>AF72+AF84</f>
        <v>3020.2</v>
      </c>
      <c r="AG90" s="1124">
        <f>AG72+AG84</f>
        <v>6442.6</v>
      </c>
      <c r="AH90" s="1196">
        <f>5278.5-1544</f>
        <v>3734.5</v>
      </c>
      <c r="AI90" s="663">
        <f>AJ90-AH90</f>
        <v>3078.8999999999996</v>
      </c>
      <c r="AJ90" s="1196">
        <f>AJ72+AJ84</f>
        <v>6813.4</v>
      </c>
      <c r="AK90" s="1253">
        <f>5162.1-1390.9</f>
        <v>3771.2000000000003</v>
      </c>
      <c r="AL90" s="1363">
        <f>AM90-AK90</f>
        <v>3142.099999999999</v>
      </c>
      <c r="AM90" s="1586">
        <f>AM72+AM84</f>
        <v>6913.2999999999993</v>
      </c>
      <c r="AN90" s="1914">
        <f>3875.2+184.1</f>
        <v>4059.2999999999997</v>
      </c>
      <c r="AO90" s="663">
        <f>AP90-AN90</f>
        <v>3405.3000000000006</v>
      </c>
      <c r="AP90" s="1586">
        <v>7464.6</v>
      </c>
      <c r="AQ90" s="1735">
        <f>4120.5+239</f>
        <v>4359.5</v>
      </c>
      <c r="AR90" s="663">
        <f t="shared" ref="AR90" si="546">AS90-AQ90</f>
        <v>3554.0955237656035</v>
      </c>
      <c r="AS90" s="191">
        <f t="shared" ref="AS90:AT90" si="547">AS72+AS84</f>
        <v>7913.5955237656035</v>
      </c>
      <c r="AT90" s="125">
        <f t="shared" si="547"/>
        <v>4557.6092046481181</v>
      </c>
      <c r="AU90" s="663">
        <f>AV90-AT90</f>
        <v>3727.0108777756095</v>
      </c>
      <c r="AV90" s="191">
        <f t="shared" ref="AV90:AW90" si="548">AV72+AV84</f>
        <v>8284.6200824237276</v>
      </c>
      <c r="AW90" s="125">
        <f t="shared" si="548"/>
        <v>4775.1700347070218</v>
      </c>
      <c r="AX90" s="663">
        <f>AY90-AW90</f>
        <v>3882.4095594393639</v>
      </c>
      <c r="AY90" s="191">
        <f t="shared" ref="AY90:AZ90" si="549">AY72+AY84</f>
        <v>8657.5795941463857</v>
      </c>
      <c r="AZ90" s="125">
        <f t="shared" si="549"/>
        <v>4989.8433488019618</v>
      </c>
      <c r="BA90" s="663">
        <f>BB90-AZ90</f>
        <v>4057.8210732962107</v>
      </c>
      <c r="BB90" s="191">
        <f t="shared" ref="BB90" si="550">BB72+BB84</f>
        <v>9047.6644220981725</v>
      </c>
      <c r="BC90" s="1268"/>
      <c r="BD90" s="356"/>
      <c r="BE90" s="356"/>
      <c r="BF90" s="356"/>
      <c r="BG90" s="356"/>
      <c r="BH90" s="323"/>
      <c r="BI90" s="362"/>
      <c r="BJ90" s="388"/>
      <c r="BK90" s="456">
        <v>234.59899999999999</v>
      </c>
      <c r="BL90" s="502">
        <f>G90-BK90</f>
        <v>217.75800000000004</v>
      </c>
      <c r="BM90" s="456">
        <v>376.17700000000002</v>
      </c>
      <c r="BN90" s="502">
        <f>H90-BM90</f>
        <v>317.76599999999996</v>
      </c>
      <c r="BO90" s="456">
        <v>509.83600000000001</v>
      </c>
      <c r="BP90" s="502">
        <f>I90-BO90</f>
        <v>435.98500000000001</v>
      </c>
      <c r="BQ90" s="456">
        <v>658.89800000000002</v>
      </c>
      <c r="BR90" s="502">
        <f>J90-BQ90</f>
        <v>622.93899999999996</v>
      </c>
      <c r="BS90" s="456">
        <v>988.54200000000003</v>
      </c>
      <c r="BT90" s="502">
        <f>K90-BS90</f>
        <v>840.02200000000005</v>
      </c>
      <c r="BU90" s="456">
        <v>1261.5650000000001</v>
      </c>
      <c r="BV90" s="502">
        <f>L90-BU90</f>
        <v>1065.701</v>
      </c>
      <c r="BW90" s="456">
        <v>1553.7739999999999</v>
      </c>
      <c r="BX90" s="502">
        <f>M90-BW90</f>
        <v>1177.5460000000003</v>
      </c>
      <c r="BY90" s="456">
        <v>1682.634</v>
      </c>
      <c r="BZ90" s="502">
        <f>N90-BY90</f>
        <v>1276.6190000000001</v>
      </c>
      <c r="CA90" s="456">
        <v>1774.729</v>
      </c>
      <c r="CB90" s="502">
        <f>O90-CA90</f>
        <v>1353.0629999999999</v>
      </c>
      <c r="CC90" s="456">
        <v>1816.248</v>
      </c>
      <c r="CD90" s="502">
        <f>P90-CC90</f>
        <v>1492.152</v>
      </c>
      <c r="CE90" s="456">
        <v>1939.867</v>
      </c>
      <c r="CF90" s="502">
        <f>Q90-CE90</f>
        <v>1543.9080000000001</v>
      </c>
      <c r="CG90" s="456">
        <v>1965.1479999999999</v>
      </c>
      <c r="CH90" s="502">
        <f>R90-CG90</f>
        <v>1686.9880000000001</v>
      </c>
      <c r="CI90" s="456">
        <v>2116.817</v>
      </c>
      <c r="CJ90" s="502">
        <f>S90-CI90</f>
        <v>1837.65</v>
      </c>
      <c r="CK90" s="456">
        <f>2616.2-263.1</f>
        <v>2353.1</v>
      </c>
      <c r="CL90" s="502">
        <f>T90-CK90</f>
        <v>2016.5000000000005</v>
      </c>
      <c r="CM90" s="456">
        <f>3689.8-1099.8</f>
        <v>2590</v>
      </c>
      <c r="CN90" s="502">
        <f>U90-CM90</f>
        <v>2163</v>
      </c>
    </row>
    <row r="91" spans="1:101" outlineLevel="1">
      <c r="A91" s="163" t="s">
        <v>454</v>
      </c>
      <c r="B91" s="589" t="s">
        <v>10</v>
      </c>
      <c r="C91" s="589"/>
      <c r="D91" s="991"/>
      <c r="E91" s="991"/>
      <c r="F91" s="991">
        <v>0.14199999999999999</v>
      </c>
      <c r="G91" s="991">
        <v>0.08</v>
      </c>
      <c r="H91" s="991">
        <v>4.7E-2</v>
      </c>
      <c r="I91" s="991">
        <v>5.2999999999999999E-2</v>
      </c>
      <c r="J91" s="991">
        <v>0.114</v>
      </c>
      <c r="K91" s="991">
        <v>0.153</v>
      </c>
      <c r="L91" s="991">
        <v>0.115</v>
      </c>
      <c r="M91" s="991">
        <v>4.8000000000000001E-2</v>
      </c>
      <c r="N91" s="991">
        <v>-1.2E-2</v>
      </c>
      <c r="O91" s="991">
        <v>-1.2999999999999999E-2</v>
      </c>
      <c r="P91" s="991">
        <v>-5.0000000000000001E-3</v>
      </c>
      <c r="Q91" s="991">
        <v>0.02</v>
      </c>
      <c r="R91" s="991">
        <v>2.9000000000000001E-2</v>
      </c>
      <c r="S91" s="991">
        <v>5.3999999999999999E-2</v>
      </c>
      <c r="T91" s="284">
        <f t="shared" ref="T91:AR91" si="551">(T72/T90*T73)+((T84/T90)*(T79+T86))</f>
        <v>7.8717987246953849E-2</v>
      </c>
      <c r="U91" s="284">
        <f t="shared" si="551"/>
        <v>5.919883865282663E-2</v>
      </c>
      <c r="V91" s="284">
        <f t="shared" ref="V91:W91" si="552">(V72/V90*V73)+((V84/V90)*(V79+V86))</f>
        <v>3.4720229999839279E-2</v>
      </c>
      <c r="W91" s="284">
        <f t="shared" si="552"/>
        <v>2.7840264630577517E-2</v>
      </c>
      <c r="X91" s="284">
        <f t="shared" si="551"/>
        <v>3.1997168919700759E-2</v>
      </c>
      <c r="Y91" s="284">
        <f t="shared" si="551"/>
        <v>4.3376429030179818E-2</v>
      </c>
      <c r="Z91" s="284">
        <f t="shared" si="551"/>
        <v>0.19442713215256507</v>
      </c>
      <c r="AA91" s="284">
        <f t="shared" si="551"/>
        <v>0.1151638125892841</v>
      </c>
      <c r="AB91" s="284">
        <f t="shared" ref="AB91:AC91" si="553">(AB72/AB90*AB73)+((AB84/AB90)*(AB79+AB86))</f>
        <v>0.23567459619258788</v>
      </c>
      <c r="AC91" s="284">
        <f t="shared" si="553"/>
        <v>7.3786403966055588E-3</v>
      </c>
      <c r="AD91" s="284">
        <f t="shared" si="551"/>
        <v>0.12186382870278135</v>
      </c>
      <c r="AE91" s="284">
        <f t="shared" si="551"/>
        <v>-2.4887312597003421E-2</v>
      </c>
      <c r="AF91" s="284">
        <f t="shared" si="551"/>
        <v>9.1020867571055958E-2</v>
      </c>
      <c r="AG91" s="284">
        <f t="shared" si="551"/>
        <v>3.309020453903485E-2</v>
      </c>
      <c r="AH91" s="284">
        <f t="shared" ref="AH91" si="554">(AH72/AH90*AH73)+((AH84/AH90)*(AH79+AH86))</f>
        <v>8.6089702538025059E-2</v>
      </c>
      <c r="AI91" s="657">
        <f t="shared" ref="AI91:AK91" si="555">(AI72/AI90*AI73)+((AI84/AI90)*(AI79+AI86))</f>
        <v>1.3293399176797841E-2</v>
      </c>
      <c r="AJ91" s="284">
        <f t="shared" si="555"/>
        <v>4.9597014709690905E-2</v>
      </c>
      <c r="AK91" s="137">
        <f t="shared" si="555"/>
        <v>1.2871858708862027E-3</v>
      </c>
      <c r="AL91" s="657">
        <f t="shared" si="551"/>
        <v>1.25742174913821E-2</v>
      </c>
      <c r="AM91" s="284">
        <f t="shared" si="551"/>
        <v>6.9272957749234552E-3</v>
      </c>
      <c r="AN91" s="137">
        <f t="shared" si="551"/>
        <v>7.1071130686596706E-2</v>
      </c>
      <c r="AO91" s="657">
        <f t="shared" ref="AO91:AQ91" si="556">(AO72/AO90*AO73)+((AO84/AO90)*(AO79+AO86))</f>
        <v>7.3654133356252857E-2</v>
      </c>
      <c r="AP91" s="284">
        <f t="shared" si="556"/>
        <v>7.2269940749812772E-2</v>
      </c>
      <c r="AQ91" s="1315">
        <f t="shared" si="556"/>
        <v>5.7167013305460604E-2</v>
      </c>
      <c r="AR91" s="657">
        <f t="shared" si="551"/>
        <v>2.7808753987367353E-2</v>
      </c>
      <c r="AS91" s="664">
        <f t="shared" ref="AS91:AU91" si="557">(AS72/AS90*AS73)+((AS84/AS90)*(AS79+AS86))</f>
        <v>4.2594995316308754E-2</v>
      </c>
      <c r="AT91" s="137">
        <f t="shared" si="557"/>
        <v>3.9319195478329752E-2</v>
      </c>
      <c r="AU91" s="657">
        <f t="shared" si="557"/>
        <v>4.2183245814149735E-2</v>
      </c>
      <c r="AV91" s="664">
        <f t="shared" ref="AV91" si="558">(AV72/AV90*AV73)+((AV84/AV90)*(AV79+AV86))</f>
        <v>4.0575679729512155E-2</v>
      </c>
      <c r="AW91" s="137">
        <f>(AW72/AW90*AW73)+((AW84/AW90)*(AW79+AW86))</f>
        <v>4.2095723709670241E-2</v>
      </c>
      <c r="AX91" s="657">
        <f>(AX72/AX90*AX73)+((AX84/AX90)*(AX79+AX86))</f>
        <v>3.644249644470679E-2</v>
      </c>
      <c r="AY91" s="664">
        <f t="shared" ref="AY91:BA91" si="559">(AY72/AY90*AY73)+((AY84/AY90)*(AY79+AY86))</f>
        <v>3.9422008014106849E-2</v>
      </c>
      <c r="AZ91" s="137">
        <f t="shared" si="559"/>
        <v>3.9415528452351072E-2</v>
      </c>
      <c r="BA91" s="657">
        <f t="shared" si="559"/>
        <v>3.9435001847863964E-2</v>
      </c>
      <c r="BB91" s="664">
        <f t="shared" ref="BB91" si="560">(BB72/BB90*BB73)+((BB84/BB90)*(BB79+BB86))</f>
        <v>3.9419143753567427E-2</v>
      </c>
      <c r="BC91" s="664"/>
      <c r="BD91" s="389"/>
      <c r="BE91" s="389"/>
      <c r="BF91" s="389"/>
      <c r="BG91" s="389"/>
      <c r="BH91" s="315"/>
      <c r="BI91" s="317"/>
      <c r="BJ91" s="317"/>
      <c r="BK91" s="449">
        <v>8.4000000000000005E-2</v>
      </c>
      <c r="BL91" s="359">
        <f>G91*2-BK91</f>
        <v>7.5999999999999998E-2</v>
      </c>
      <c r="BM91" s="449">
        <v>0.10299999999999999</v>
      </c>
      <c r="BN91" s="359">
        <f>H91*2-BM91</f>
        <v>-8.9999999999999941E-3</v>
      </c>
      <c r="BO91" s="449">
        <v>5.2999999999999999E-2</v>
      </c>
      <c r="BP91" s="359">
        <f>2*I91-BO91</f>
        <v>5.2999999999999999E-2</v>
      </c>
      <c r="BQ91" s="449">
        <v>5.8000000000000003E-2</v>
      </c>
      <c r="BR91" s="359">
        <f>2*J91-BO91</f>
        <v>0.17500000000000002</v>
      </c>
      <c r="BS91" s="449">
        <v>0.188</v>
      </c>
      <c r="BT91" s="359">
        <f>2*K91-BS91</f>
        <v>0.11799999999999999</v>
      </c>
      <c r="BU91" s="449">
        <v>0.111</v>
      </c>
      <c r="BV91" s="359">
        <f>2*L91-BU91</f>
        <v>0.11900000000000001</v>
      </c>
      <c r="BW91" s="449">
        <v>9.9000000000000005E-2</v>
      </c>
      <c r="BX91" s="359">
        <f>2*M91-BW91</f>
        <v>-3.0000000000000027E-3</v>
      </c>
      <c r="BY91" s="449">
        <v>-1.4999999999999999E-2</v>
      </c>
      <c r="BZ91" s="449">
        <v>-0.01</v>
      </c>
      <c r="CA91" s="449">
        <v>-2.8000000000000001E-2</v>
      </c>
      <c r="CB91" s="449">
        <v>-3.0000000000000001E-3</v>
      </c>
      <c r="CC91" s="449">
        <v>-3.4000000000000002E-2</v>
      </c>
      <c r="CD91" s="449">
        <v>3.2000000000000001E-2</v>
      </c>
      <c r="CE91" s="449">
        <v>2.8000000000000001E-2</v>
      </c>
      <c r="CF91" s="449">
        <v>8.9999999999999993E-3</v>
      </c>
      <c r="CG91" s="449">
        <v>-7.0000000000000001E-3</v>
      </c>
      <c r="CH91" s="449">
        <v>7.3999999999999996E-2</v>
      </c>
      <c r="CI91" s="449">
        <v>5.1999999999999998E-2</v>
      </c>
      <c r="CJ91" s="449">
        <f t="shared" ref="CJ91:CN91" si="561">+CJ92+CJ93</f>
        <v>5.5754605794721912E-2</v>
      </c>
      <c r="CK91" s="359">
        <f t="shared" si="561"/>
        <v>7.9140117092952308E-2</v>
      </c>
      <c r="CL91" s="359">
        <f t="shared" si="561"/>
        <v>7.8215274470700716E-2</v>
      </c>
      <c r="CM91" s="359">
        <f t="shared" si="561"/>
        <v>7.3978589070420389E-2</v>
      </c>
      <c r="CN91" s="359">
        <f t="shared" si="561"/>
        <v>4.0832092941746348E-2</v>
      </c>
    </row>
    <row r="92" spans="1:101" outlineLevel="1">
      <c r="A92" s="165"/>
      <c r="B92" s="589" t="s">
        <v>11</v>
      </c>
      <c r="C92" s="589"/>
      <c r="D92" s="589"/>
      <c r="E92" s="589"/>
      <c r="F92" s="587">
        <f t="shared" ref="F92:T92" si="562">F86*F84/F90</f>
        <v>0</v>
      </c>
      <c r="G92" s="587">
        <f t="shared" si="562"/>
        <v>0</v>
      </c>
      <c r="H92" s="587">
        <f t="shared" si="562"/>
        <v>0</v>
      </c>
      <c r="I92" s="587">
        <f t="shared" si="562"/>
        <v>0</v>
      </c>
      <c r="J92" s="587">
        <f t="shared" si="562"/>
        <v>0</v>
      </c>
      <c r="K92" s="587">
        <f t="shared" si="562"/>
        <v>0</v>
      </c>
      <c r="L92" s="587">
        <f t="shared" si="562"/>
        <v>-2.6110999052478129E-3</v>
      </c>
      <c r="M92" s="587">
        <f t="shared" si="562"/>
        <v>-1.0262462268450102E-3</v>
      </c>
      <c r="N92" s="587">
        <f t="shared" si="562"/>
        <v>-1.8510446599293736E-3</v>
      </c>
      <c r="O92" s="587">
        <f t="shared" si="562"/>
        <v>9.2923602535472619E-4</v>
      </c>
      <c r="P92" s="587">
        <f t="shared" si="562"/>
        <v>1.3651749382212262E-3</v>
      </c>
      <c r="Q92" s="587">
        <f t="shared" si="562"/>
        <v>7.043465716374292E-3</v>
      </c>
      <c r="R92" s="587">
        <f t="shared" si="562"/>
        <v>1.5389722397573804E-3</v>
      </c>
      <c r="S92" s="587">
        <f t="shared" si="562"/>
        <v>-7.0965486782532613E-4</v>
      </c>
      <c r="T92" s="587">
        <f t="shared" si="562"/>
        <v>1.5183351048813553E-3</v>
      </c>
      <c r="U92" s="587">
        <f t="shared" ref="U92:AR92" si="563">U86*U84/U90</f>
        <v>-1.0958383932495382E-3</v>
      </c>
      <c r="V92" s="587">
        <f t="shared" ref="V92:W92" si="564">V86*V84/V90</f>
        <v>4.1385329508440076E-4</v>
      </c>
      <c r="W92" s="587">
        <f t="shared" si="564"/>
        <v>4.1166113634659164E-4</v>
      </c>
      <c r="X92" s="587">
        <f t="shared" si="563"/>
        <v>7.7511289027116365E-4</v>
      </c>
      <c r="Y92" s="587">
        <f t="shared" si="563"/>
        <v>9.6044420031712158E-4</v>
      </c>
      <c r="Z92" s="587">
        <f t="shared" si="563"/>
        <v>1.0777435453476732E-3</v>
      </c>
      <c r="AA92" s="587">
        <f t="shared" si="563"/>
        <v>0</v>
      </c>
      <c r="AB92" s="587">
        <f t="shared" ref="AB92:AC92" si="565">AB86*AB84/AB90</f>
        <v>-4.8560090255064066E-4</v>
      </c>
      <c r="AC92" s="587">
        <f t="shared" si="565"/>
        <v>-1.001623101198657E-3</v>
      </c>
      <c r="AD92" s="587">
        <f t="shared" si="563"/>
        <v>-2.5771184298988811E-4</v>
      </c>
      <c r="AE92" s="587">
        <f t="shared" si="563"/>
        <v>8.8349151706857711E-4</v>
      </c>
      <c r="AF92" s="587">
        <f t="shared" si="563"/>
        <v>-3.9102568104655095E-4</v>
      </c>
      <c r="AG92" s="587">
        <f>AG86*AG84/AG90</f>
        <v>2.7436931722998957E-4</v>
      </c>
      <c r="AH92" s="587">
        <f t="shared" ref="AH92" si="566">AH86*AH84/AH90</f>
        <v>-1.8754065796613808E-3</v>
      </c>
      <c r="AI92" s="657">
        <f t="shared" ref="AI92" si="567">AI86*AI84/AI90</f>
        <v>1.6068944280194755E-4</v>
      </c>
      <c r="AJ92" s="587">
        <f>AJ86*AJ84/AJ90</f>
        <v>-9.5303372427744362E-4</v>
      </c>
      <c r="AK92" s="660">
        <f t="shared" ref="AK92" si="568">AK86*AK84/AK90</f>
        <v>8.2529045298208837E-4</v>
      </c>
      <c r="AL92" s="657">
        <f t="shared" si="563"/>
        <v>2.7194799551798085E-5</v>
      </c>
      <c r="AM92" s="587">
        <f>AM86*AM84/AM90</f>
        <v>4.8843155667746465E-4</v>
      </c>
      <c r="AN92" s="660">
        <f t="shared" ref="AN92" si="569">AN86*AN84/AN90</f>
        <v>-7.9281137237897979E-4</v>
      </c>
      <c r="AO92" s="657">
        <f t="shared" ref="AO92" si="570">AO86*AO84/AO90</f>
        <v>-5.8470022669136648E-4</v>
      </c>
      <c r="AP92" s="587">
        <f>AP86*AP84/AP90</f>
        <v>-6.9836297711164887E-4</v>
      </c>
      <c r="AQ92" s="1733">
        <f t="shared" ref="AQ92" si="571">AQ86*AQ84/AQ90</f>
        <v>-1.1660524130851064E-3</v>
      </c>
      <c r="AR92" s="657">
        <f t="shared" si="563"/>
        <v>-4.1675487184799302E-3</v>
      </c>
      <c r="AS92" s="660">
        <f t="shared" ref="AS92:AU92" si="572">AS86*AS84/AS90</f>
        <v>-2.5601683269608319E-3</v>
      </c>
      <c r="AT92" s="660">
        <f t="shared" si="572"/>
        <v>-1.2365158627877014E-3</v>
      </c>
      <c r="AU92" s="657">
        <f t="shared" si="572"/>
        <v>1.5831475589787364E-3</v>
      </c>
      <c r="AV92" s="660">
        <f t="shared" ref="AV92:AX92" si="573">AV86*AV84/AV90</f>
        <v>0</v>
      </c>
      <c r="AW92" s="660">
        <f>AW86*AW84/AW90</f>
        <v>2.6782411625178859E-3</v>
      </c>
      <c r="AX92" s="657">
        <f t="shared" si="573"/>
        <v>-2.985077667943592E-3</v>
      </c>
      <c r="AY92" s="660">
        <f t="shared" ref="AY92:BA92" si="574">AY86*AY84/AY90</f>
        <v>0</v>
      </c>
      <c r="AZ92" s="660">
        <f t="shared" si="574"/>
        <v>0</v>
      </c>
      <c r="BA92" s="657">
        <f t="shared" si="574"/>
        <v>1.1412411157112185E-5</v>
      </c>
      <c r="BB92" s="660">
        <f t="shared" ref="BB92" si="575">BB86*BB84/BB90</f>
        <v>0</v>
      </c>
      <c r="BC92" s="660"/>
      <c r="BD92" s="390"/>
      <c r="BE92" s="390"/>
      <c r="BF92" s="390"/>
      <c r="BG92" s="390"/>
      <c r="BH92" s="315"/>
      <c r="BI92" s="317"/>
      <c r="BJ92" s="317"/>
      <c r="BK92" s="390"/>
      <c r="BL92" s="390"/>
      <c r="BM92" s="390"/>
      <c r="BN92" s="390"/>
      <c r="BO92" s="390"/>
      <c r="BP92" s="390"/>
      <c r="BQ92" s="390"/>
      <c r="BR92" s="390"/>
      <c r="BS92" s="390"/>
      <c r="BT92" s="390"/>
      <c r="BU92" s="390">
        <f t="shared" ref="BU92:CN92" si="576">BU86*BU84/BU90</f>
        <v>-2.4440420044343045E-3</v>
      </c>
      <c r="BV92" s="390">
        <f t="shared" si="576"/>
        <v>-2.9171769315673971E-3</v>
      </c>
      <c r="BW92" s="390">
        <f t="shared" si="576"/>
        <v>-1.4617282076310949E-3</v>
      </c>
      <c r="BX92" s="390">
        <f t="shared" si="576"/>
        <v>-5.8625214828564461E-4</v>
      </c>
      <c r="BY92" s="390">
        <f t="shared" si="576"/>
        <v>-1.3551359938272856E-3</v>
      </c>
      <c r="BZ92" s="390">
        <f t="shared" si="576"/>
        <v>-2.3654380945118758E-3</v>
      </c>
      <c r="CA92" s="390">
        <f t="shared" si="576"/>
        <v>-4.844419868072183E-5</v>
      </c>
      <c r="CB92" s="390">
        <f t="shared" si="576"/>
        <v>2.0299635047398654E-3</v>
      </c>
      <c r="CC92" s="390">
        <f t="shared" si="576"/>
        <v>3.4182949467205542E-4</v>
      </c>
      <c r="CD92" s="390">
        <f t="shared" si="576"/>
        <v>2.6682344273829773E-3</v>
      </c>
      <c r="CE92" s="390">
        <f t="shared" si="576"/>
        <v>6.5193176430817009E-3</v>
      </c>
      <c r="CF92" s="390">
        <f t="shared" si="576"/>
        <v>7.6901333814669241E-3</v>
      </c>
      <c r="CG92" s="390">
        <f t="shared" si="576"/>
        <v>1.8600749369503593E-3</v>
      </c>
      <c r="CH92" s="390">
        <f t="shared" si="576"/>
        <v>1.0186819139731888E-3</v>
      </c>
      <c r="CI92" s="390">
        <f t="shared" si="576"/>
        <v>-5.972986865643063E-5</v>
      </c>
      <c r="CJ92" s="390">
        <f t="shared" si="576"/>
        <v>-1.4061821113645365E-3</v>
      </c>
      <c r="CK92" s="390">
        <f t="shared" si="576"/>
        <v>2.195405860960481E-3</v>
      </c>
      <c r="CL92" s="390">
        <f t="shared" si="576"/>
        <v>7.3730654902970209E-4</v>
      </c>
      <c r="CM92" s="390">
        <f t="shared" si="576"/>
        <v>-1.6445769527456248E-3</v>
      </c>
      <c r="CN92" s="390">
        <f t="shared" si="576"/>
        <v>-1.1080827401769005E-3</v>
      </c>
    </row>
    <row r="93" spans="1:101" outlineLevel="1">
      <c r="A93" s="165"/>
      <c r="B93" s="589" t="s">
        <v>12</v>
      </c>
      <c r="C93" s="589"/>
      <c r="D93" s="589"/>
      <c r="E93" s="589"/>
      <c r="F93" s="587">
        <f t="shared" ref="F93:T93" si="577">F91-F92</f>
        <v>0.14199999999999999</v>
      </c>
      <c r="G93" s="587">
        <f t="shared" si="577"/>
        <v>0.08</v>
      </c>
      <c r="H93" s="587">
        <f t="shared" si="577"/>
        <v>4.7E-2</v>
      </c>
      <c r="I93" s="587">
        <f t="shared" si="577"/>
        <v>5.2999999999999999E-2</v>
      </c>
      <c r="J93" s="587">
        <f t="shared" si="577"/>
        <v>0.114</v>
      </c>
      <c r="K93" s="587">
        <f t="shared" si="577"/>
        <v>0.153</v>
      </c>
      <c r="L93" s="587">
        <f t="shared" si="577"/>
        <v>0.11761109990524782</v>
      </c>
      <c r="M93" s="587">
        <f t="shared" si="577"/>
        <v>4.9026246226845011E-2</v>
      </c>
      <c r="N93" s="587">
        <f t="shared" si="577"/>
        <v>-1.0148955340070627E-2</v>
      </c>
      <c r="O93" s="587">
        <f t="shared" si="577"/>
        <v>-1.3929236025354726E-2</v>
      </c>
      <c r="P93" s="587">
        <f t="shared" si="577"/>
        <v>-6.3651749382212259E-3</v>
      </c>
      <c r="Q93" s="587">
        <f t="shared" si="577"/>
        <v>1.2956534283625708E-2</v>
      </c>
      <c r="R93" s="587">
        <f t="shared" si="577"/>
        <v>2.7461027760242621E-2</v>
      </c>
      <c r="S93" s="587">
        <f t="shared" si="577"/>
        <v>5.4709654867825329E-2</v>
      </c>
      <c r="T93" s="587">
        <f t="shared" si="577"/>
        <v>7.71996521420725E-2</v>
      </c>
      <c r="U93" s="587">
        <f t="shared" ref="U93:AR93" si="578">U91-U92</f>
        <v>6.0294677046076169E-2</v>
      </c>
      <c r="V93" s="587">
        <f t="shared" ref="V93:W93" si="579">V91-V92</f>
        <v>3.4306376704754879E-2</v>
      </c>
      <c r="W93" s="587">
        <f t="shared" si="579"/>
        <v>2.7428603494230926E-2</v>
      </c>
      <c r="X93" s="587">
        <f t="shared" si="578"/>
        <v>3.1222056029429596E-2</v>
      </c>
      <c r="Y93" s="587">
        <f t="shared" si="578"/>
        <v>4.2415984829862696E-2</v>
      </c>
      <c r="Z93" s="587">
        <f t="shared" si="578"/>
        <v>0.1933493886072174</v>
      </c>
      <c r="AA93" s="587">
        <f t="shared" si="578"/>
        <v>0.1151638125892841</v>
      </c>
      <c r="AB93" s="587">
        <f t="shared" ref="AB93:AC93" si="580">AB91-AB92</f>
        <v>0.23616019709513852</v>
      </c>
      <c r="AC93" s="587">
        <f t="shared" si="580"/>
        <v>8.3802634978042152E-3</v>
      </c>
      <c r="AD93" s="587">
        <f t="shared" si="578"/>
        <v>0.12212154054577125</v>
      </c>
      <c r="AE93" s="587">
        <f t="shared" si="578"/>
        <v>-2.5770804114071996E-2</v>
      </c>
      <c r="AF93" s="587">
        <f t="shared" si="578"/>
        <v>9.1411893252102513E-2</v>
      </c>
      <c r="AG93" s="587">
        <f>AG91-AG92</f>
        <v>3.2815835221804861E-2</v>
      </c>
      <c r="AH93" s="587">
        <f t="shared" ref="AH93" si="581">AH91-AH92</f>
        <v>8.7965109117686444E-2</v>
      </c>
      <c r="AI93" s="657">
        <f t="shared" ref="AI93" si="582">AI91-AI92</f>
        <v>1.3132709733995893E-2</v>
      </c>
      <c r="AJ93" s="587">
        <f>AJ91-AJ92</f>
        <v>5.0550048433968348E-2</v>
      </c>
      <c r="AK93" s="660">
        <f t="shared" ref="AK93" si="583">AK91-AK92</f>
        <v>4.6189541790411434E-4</v>
      </c>
      <c r="AL93" s="657">
        <f t="shared" si="578"/>
        <v>1.2547022691830303E-2</v>
      </c>
      <c r="AM93" s="587">
        <f>AM91-AM92</f>
        <v>6.4388642182459906E-3</v>
      </c>
      <c r="AN93" s="660">
        <f t="shared" ref="AN93" si="584">AN91-AN92</f>
        <v>7.1863942058975686E-2</v>
      </c>
      <c r="AO93" s="657">
        <f t="shared" ref="AO93" si="585">AO91-AO92</f>
        <v>7.4238833582944225E-2</v>
      </c>
      <c r="AP93" s="587">
        <f>AP91-AP92</f>
        <v>7.2968303726924422E-2</v>
      </c>
      <c r="AQ93" s="1733">
        <f t="shared" ref="AQ93" si="586">AQ91-AQ92</f>
        <v>5.8333065718545712E-2</v>
      </c>
      <c r="AR93" s="657">
        <f t="shared" si="578"/>
        <v>3.1976302705847282E-2</v>
      </c>
      <c r="AS93" s="660">
        <f t="shared" ref="AS93:AU93" si="587">AS91-AS92</f>
        <v>4.5155163643269589E-2</v>
      </c>
      <c r="AT93" s="660">
        <f t="shared" si="587"/>
        <v>4.0555711341117455E-2</v>
      </c>
      <c r="AU93" s="657">
        <f t="shared" si="587"/>
        <v>4.0600098255170997E-2</v>
      </c>
      <c r="AV93" s="660">
        <f t="shared" ref="AV93:AX93" si="588">AV91-AV92</f>
        <v>4.0575679729512155E-2</v>
      </c>
      <c r="AW93" s="660">
        <f>AW91-AW92</f>
        <v>3.9417482547152355E-2</v>
      </c>
      <c r="AX93" s="657">
        <f t="shared" si="588"/>
        <v>3.9427574112650382E-2</v>
      </c>
      <c r="AY93" s="660">
        <f t="shared" ref="AY93:BA93" si="589">AY91-AY92</f>
        <v>3.9422008014106849E-2</v>
      </c>
      <c r="AZ93" s="660">
        <f t="shared" si="589"/>
        <v>3.9415528452351072E-2</v>
      </c>
      <c r="BA93" s="657">
        <f t="shared" si="589"/>
        <v>3.9423589436706853E-2</v>
      </c>
      <c r="BB93" s="660">
        <f t="shared" ref="BB93" si="590">BB91-BB92</f>
        <v>3.9419143753567427E-2</v>
      </c>
      <c r="BC93" s="660"/>
      <c r="BD93" s="390"/>
      <c r="BE93" s="390"/>
      <c r="BF93" s="390"/>
      <c r="BG93" s="390"/>
      <c r="BH93" s="315"/>
      <c r="BI93" s="317"/>
      <c r="BJ93" s="317"/>
      <c r="BK93" s="390"/>
      <c r="BL93" s="390"/>
      <c r="BM93" s="390"/>
      <c r="BN93" s="390"/>
      <c r="BO93" s="390"/>
      <c r="BP93" s="390"/>
      <c r="BQ93" s="390"/>
      <c r="BR93" s="390"/>
      <c r="BS93" s="390"/>
      <c r="BT93" s="390"/>
      <c r="BU93" s="390">
        <f t="shared" ref="BU93:CF93" si="591">BU91-BU92</f>
        <v>0.11344404200443431</v>
      </c>
      <c r="BV93" s="390">
        <f t="shared" si="591"/>
        <v>0.12191717693156741</v>
      </c>
      <c r="BW93" s="390">
        <f t="shared" si="591"/>
        <v>0.10046172820763109</v>
      </c>
      <c r="BX93" s="390">
        <f t="shared" si="591"/>
        <v>-2.4137478517143578E-3</v>
      </c>
      <c r="BY93" s="390">
        <f t="shared" si="591"/>
        <v>-1.3644864006172715E-2</v>
      </c>
      <c r="BZ93" s="390">
        <f t="shared" si="591"/>
        <v>-7.6345619054881244E-3</v>
      </c>
      <c r="CA93" s="390">
        <f t="shared" si="591"/>
        <v>-2.7951555801319278E-2</v>
      </c>
      <c r="CB93" s="390">
        <f t="shared" si="591"/>
        <v>-5.0299635047398655E-3</v>
      </c>
      <c r="CC93" s="390">
        <f t="shared" si="591"/>
        <v>-3.4341829494672058E-2</v>
      </c>
      <c r="CD93" s="390">
        <f t="shared" si="591"/>
        <v>2.9331765572617022E-2</v>
      </c>
      <c r="CE93" s="390">
        <f t="shared" si="591"/>
        <v>2.1480682356918301E-2</v>
      </c>
      <c r="CF93" s="390">
        <f t="shared" si="591"/>
        <v>1.3098666185330753E-3</v>
      </c>
      <c r="CG93" s="390">
        <f t="shared" ref="CG93:CN93" si="592">(CG73*CG72/CG90+CG79*CG84/CG90)</f>
        <v>-9.0411551699922862E-3</v>
      </c>
      <c r="CH93" s="390">
        <f t="shared" si="592"/>
        <v>6.8855070178009389E-2</v>
      </c>
      <c r="CI93" s="390">
        <f t="shared" si="592"/>
        <v>5.1999999999999998E-2</v>
      </c>
      <c r="CJ93" s="390">
        <f t="shared" si="592"/>
        <v>5.7160787906086447E-2</v>
      </c>
      <c r="CK93" s="390">
        <f t="shared" si="592"/>
        <v>7.6944711231991827E-2</v>
      </c>
      <c r="CL93" s="390">
        <f t="shared" si="592"/>
        <v>7.7477967921671012E-2</v>
      </c>
      <c r="CM93" s="390">
        <f>(CM73*CM72/CM90+CM79*CM84/CM90)</f>
        <v>7.5623166023166016E-2</v>
      </c>
      <c r="CN93" s="390">
        <f t="shared" si="592"/>
        <v>4.194017568192325E-2</v>
      </c>
    </row>
    <row r="94" spans="1:101" outlineLevel="1">
      <c r="A94" s="165"/>
      <c r="B94" s="589" t="s">
        <v>19</v>
      </c>
      <c r="C94" s="589"/>
      <c r="D94" s="589"/>
      <c r="E94" s="589"/>
      <c r="F94" s="587">
        <f t="shared" ref="F94:T94" si="593">F202</f>
        <v>0</v>
      </c>
      <c r="G94" s="587">
        <f t="shared" si="593"/>
        <v>0.29078014184397172</v>
      </c>
      <c r="H94" s="587">
        <f t="shared" si="593"/>
        <v>0.49450549450549453</v>
      </c>
      <c r="I94" s="587">
        <f t="shared" si="593"/>
        <v>0.52757352941176472</v>
      </c>
      <c r="J94" s="587">
        <f t="shared" si="593"/>
        <v>0.65030084235860408</v>
      </c>
      <c r="K94" s="587">
        <f t="shared" si="593"/>
        <v>0.21547323902581295</v>
      </c>
      <c r="L94" s="587">
        <f t="shared" si="593"/>
        <v>0.14445977563141166</v>
      </c>
      <c r="M94" s="587">
        <f t="shared" si="593"/>
        <v>0.18891859307018932</v>
      </c>
      <c r="N94" s="587">
        <f t="shared" si="593"/>
        <v>0.17988624840174605</v>
      </c>
      <c r="O94" s="587">
        <f t="shared" si="593"/>
        <v>0.1375882814543552</v>
      </c>
      <c r="P94" s="587">
        <f t="shared" si="593"/>
        <v>8.6341594952574985E-2</v>
      </c>
      <c r="Q94" s="587">
        <f t="shared" si="593"/>
        <v>6.5345436800963164E-2</v>
      </c>
      <c r="R94" s="587">
        <f t="shared" si="593"/>
        <v>8.0693907360992245E-2</v>
      </c>
      <c r="S94" s="587">
        <f t="shared" si="593"/>
        <v>9.208277576017676E-2</v>
      </c>
      <c r="T94" s="587">
        <f t="shared" si="593"/>
        <v>8.3292688202860399E-2</v>
      </c>
      <c r="U94" s="587">
        <f t="shared" ref="U94:AR94" si="594">U202</f>
        <v>6.1882784735515894E-2</v>
      </c>
      <c r="V94" s="587">
        <f t="shared" ref="V94:W94" si="595">V202</f>
        <v>2.39281807101277E-2</v>
      </c>
      <c r="W94" s="587">
        <f t="shared" si="595"/>
        <v>2.1529267165897537E-2</v>
      </c>
      <c r="X94" s="587">
        <f t="shared" si="594"/>
        <v>2.8055208462133274E-2</v>
      </c>
      <c r="Y94" s="587">
        <f t="shared" si="594"/>
        <v>2.6434424754714358E-2</v>
      </c>
      <c r="Z94" s="587">
        <f t="shared" si="594"/>
        <v>7.2026682149188836E-3</v>
      </c>
      <c r="AA94" s="587">
        <f t="shared" si="594"/>
        <v>8.6700370441703534E-3</v>
      </c>
      <c r="AB94" s="587">
        <f t="shared" ref="AB94:AC94" si="596">AB202</f>
        <v>-2.389415958057417E-3</v>
      </c>
      <c r="AC94" s="587">
        <f t="shared" si="596"/>
        <v>-4.7674405176627577E-3</v>
      </c>
      <c r="AD94" s="587">
        <f t="shared" si="594"/>
        <v>2.4008894049729612E-3</v>
      </c>
      <c r="AE94" s="587">
        <f t="shared" si="594"/>
        <v>2.3951389412653068E-3</v>
      </c>
      <c r="AF94" s="587">
        <f t="shared" si="594"/>
        <v>7.1854168237961424E-3</v>
      </c>
      <c r="AG94" s="587">
        <f>AG202</f>
        <v>4.7902778825308356E-3</v>
      </c>
      <c r="AH94" s="587">
        <f t="shared" ref="AH94" si="597">AH202</f>
        <v>1.4336495748344502E-2</v>
      </c>
      <c r="AI94" s="657">
        <f t="shared" ref="AI94" si="598">AI202</f>
        <v>1.664636154257515E-2</v>
      </c>
      <c r="AJ94" s="587">
        <f>AJ202</f>
        <v>1.1918601294157227E-2</v>
      </c>
      <c r="AK94" s="660">
        <f t="shared" ref="AK94" si="599">AK202</f>
        <v>1.771250488579823E-2</v>
      </c>
      <c r="AL94" s="657">
        <f t="shared" si="594"/>
        <v>2.1141736893596219E-2</v>
      </c>
      <c r="AM94" s="587">
        <f>AM202</f>
        <v>2.4024338170471671E-2</v>
      </c>
      <c r="AN94" s="660">
        <f t="shared" ref="AN94" si="600">AN202</f>
        <v>2.9066236069605678E-2</v>
      </c>
      <c r="AO94" s="657">
        <f t="shared" ref="AO94" si="601">AO202</f>
        <v>3.0688888560077343E-2</v>
      </c>
      <c r="AP94" s="587">
        <f>AP202</f>
        <v>2.6586699777763068E-2</v>
      </c>
      <c r="AQ94" s="1733">
        <f t="shared" ref="AQ94" si="602">AQ202</f>
        <v>1.9969180392773067E-2</v>
      </c>
      <c r="AR94" s="657">
        <f t="shared" si="594"/>
        <v>1.822128071162421E-2</v>
      </c>
      <c r="AS94" s="660">
        <f t="shared" ref="AS94:AU94" si="603">AS202</f>
        <v>2.0253173717915907E-2</v>
      </c>
      <c r="AT94" s="660">
        <f t="shared" si="603"/>
        <v>1.6581525909914019E-2</v>
      </c>
      <c r="AU94" s="657">
        <f t="shared" si="603"/>
        <v>1.0213873632062498E-2</v>
      </c>
      <c r="AV94" s="660">
        <f t="shared" ref="AV94:AX94" si="604">AV202</f>
        <v>1.4318204992928685E-2</v>
      </c>
      <c r="AW94" s="660">
        <f>AW202</f>
        <v>7.9816930752620863E-3</v>
      </c>
      <c r="AX94" s="657">
        <f t="shared" si="604"/>
        <v>7.9499659810522427E-3</v>
      </c>
      <c r="AY94" s="660">
        <f t="shared" ref="AY94:BA94" si="605">AY202</f>
        <v>7.9671801829286348E-3</v>
      </c>
      <c r="AZ94" s="660">
        <f t="shared" si="605"/>
        <v>7.9184901175279876E-3</v>
      </c>
      <c r="BA94" s="657">
        <f t="shared" si="605"/>
        <v>7.887262512398463E-3</v>
      </c>
      <c r="BB94" s="660">
        <f t="shared" ref="BB94" si="606">BB202</f>
        <v>7.9042059499225825E-3</v>
      </c>
      <c r="BC94" s="660"/>
      <c r="BD94" s="390"/>
      <c r="BE94" s="390"/>
      <c r="BF94" s="390"/>
      <c r="BG94" s="390"/>
      <c r="BH94" s="315"/>
      <c r="BI94" s="317"/>
      <c r="BJ94" s="317"/>
      <c r="BK94" s="390"/>
      <c r="BL94" s="390"/>
      <c r="BM94" s="390"/>
      <c r="BN94" s="390"/>
      <c r="BO94" s="390"/>
      <c r="BP94" s="390"/>
      <c r="BQ94" s="390"/>
      <c r="BR94" s="390"/>
      <c r="BS94" s="390"/>
      <c r="BT94" s="390"/>
      <c r="BU94" s="390">
        <f t="shared" ref="BU94:CN94" si="607">BU202</f>
        <v>0</v>
      </c>
      <c r="BV94" s="390">
        <f t="shared" si="607"/>
        <v>0</v>
      </c>
      <c r="BW94" s="390">
        <f t="shared" si="607"/>
        <v>0</v>
      </c>
      <c r="BX94" s="390">
        <f t="shared" si="607"/>
        <v>0.22720679651885622</v>
      </c>
      <c r="BY94" s="390">
        <f t="shared" si="607"/>
        <v>0.1710857718551082</v>
      </c>
      <c r="BZ94" s="390">
        <f t="shared" si="607"/>
        <v>0.16926973406500623</v>
      </c>
      <c r="CA94" s="390">
        <f t="shared" si="607"/>
        <v>0.16740312047862971</v>
      </c>
      <c r="CB94" s="390">
        <f t="shared" si="607"/>
        <v>0.13108303249097464</v>
      </c>
      <c r="CC94" s="390">
        <f t="shared" si="607"/>
        <v>0.10012058685603265</v>
      </c>
      <c r="CD94" s="390">
        <f t="shared" si="607"/>
        <v>8.5011559641927859E-2</v>
      </c>
      <c r="CE94" s="390">
        <f t="shared" si="607"/>
        <v>6.2890027559639572E-2</v>
      </c>
      <c r="CF94" s="390">
        <f t="shared" si="607"/>
        <v>5.6584871472575182E-2</v>
      </c>
      <c r="CG94" s="390">
        <f t="shared" si="607"/>
        <v>6.4843073652626426E-2</v>
      </c>
      <c r="CH94" s="390">
        <f t="shared" si="607"/>
        <v>8.3063462343759387E-2</v>
      </c>
      <c r="CI94" s="390">
        <f t="shared" si="607"/>
        <v>0.10584503963218639</v>
      </c>
      <c r="CJ94" s="390">
        <f t="shared" si="607"/>
        <v>0.10163167094137293</v>
      </c>
      <c r="CK94" s="390">
        <f t="shared" si="607"/>
        <v>9.0095377378495822E-2</v>
      </c>
      <c r="CL94" s="390">
        <f t="shared" si="607"/>
        <v>8.4930342720421326E-2</v>
      </c>
      <c r="CM94" s="390">
        <f>CM202</f>
        <v>5.8265581555421164E-2</v>
      </c>
      <c r="CN94" s="390">
        <f t="shared" si="607"/>
        <v>4.4322222198992511E-2</v>
      </c>
    </row>
    <row r="95" spans="1:101" outlineLevel="1">
      <c r="A95" s="165"/>
      <c r="B95" s="589" t="s">
        <v>671</v>
      </c>
      <c r="C95" s="589"/>
      <c r="D95" s="589"/>
      <c r="E95" s="589"/>
      <c r="F95" s="587">
        <f t="shared" ref="F95:T95" si="608">F96-F91-F94</f>
        <v>0.28819348719061744</v>
      </c>
      <c r="G95" s="587">
        <f t="shared" si="608"/>
        <v>-9.9525206269899413E-2</v>
      </c>
      <c r="H95" s="587">
        <f t="shared" si="608"/>
        <v>-7.4450068817815684E-3</v>
      </c>
      <c r="I95" s="587">
        <f t="shared" si="608"/>
        <v>-0.2176071186258644</v>
      </c>
      <c r="J95" s="587">
        <f t="shared" si="608"/>
        <v>-0.4090370027948812</v>
      </c>
      <c r="K95" s="587">
        <f t="shared" si="608"/>
        <v>5.8045109250917992E-2</v>
      </c>
      <c r="L95" s="587">
        <f t="shared" si="608"/>
        <v>1.3268988579193008E-2</v>
      </c>
      <c r="M95" s="587">
        <f t="shared" si="608"/>
        <v>-6.3301138082233421E-2</v>
      </c>
      <c r="N95" s="587">
        <f t="shared" si="608"/>
        <v>-8.4434657229712121E-2</v>
      </c>
      <c r="O95" s="587">
        <f t="shared" si="608"/>
        <v>-6.7635057110238775E-2</v>
      </c>
      <c r="P95" s="587">
        <f t="shared" si="608"/>
        <v>-2.3598624831799531E-2</v>
      </c>
      <c r="Q95" s="587">
        <f t="shared" si="608"/>
        <v>-3.2336429425796828E-2</v>
      </c>
      <c r="R95" s="587">
        <f t="shared" si="608"/>
        <v>-6.1366733533750301E-2</v>
      </c>
      <c r="S95" s="587">
        <f t="shared" si="608"/>
        <v>-6.3300809261667312E-2</v>
      </c>
      <c r="T95" s="587">
        <f t="shared" si="608"/>
        <v>-5.7032431858452928E-2</v>
      </c>
      <c r="U95" s="587">
        <f t="shared" ref="U95:AR95" si="609">U96-U91-U94</f>
        <v>-3.3339038254691894E-2</v>
      </c>
      <c r="V95" s="587">
        <f t="shared" ref="V95:W95" si="610">V96-V91-V94</f>
        <v>-1.1158063219619561E-2</v>
      </c>
      <c r="W95" s="587">
        <f t="shared" si="610"/>
        <v>-1.6359823058611035E-2</v>
      </c>
      <c r="X95" s="587">
        <f t="shared" si="609"/>
        <v>-1.9151893476931948E-2</v>
      </c>
      <c r="Y95" s="587">
        <f t="shared" si="609"/>
        <v>-2.0161019652937061E-2</v>
      </c>
      <c r="Z95" s="587">
        <f t="shared" si="609"/>
        <v>-1.1285472346518888E-3</v>
      </c>
      <c r="AA95" s="587">
        <f t="shared" si="609"/>
        <v>-6.0548141804893651E-3</v>
      </c>
      <c r="AB95" s="587">
        <f t="shared" ref="AB95:AC95" si="611">AB96-AB91-AB94</f>
        <v>-7.4889236063742926E-3</v>
      </c>
      <c r="AC95" s="587">
        <f t="shared" si="611"/>
        <v>7.5662531481975473E-3</v>
      </c>
      <c r="AD95" s="587">
        <f t="shared" si="609"/>
        <v>-3.0553367222456856E-3</v>
      </c>
      <c r="AE95" s="587">
        <f t="shared" si="609"/>
        <v>2.9258975506590082E-3</v>
      </c>
      <c r="AF95" s="587">
        <f t="shared" si="609"/>
        <v>1.6382046416676427E-2</v>
      </c>
      <c r="AG95" s="587">
        <f>AG96-AG91-AG94</f>
        <v>1.1815135786923739E-3</v>
      </c>
      <c r="AH95" s="587">
        <f t="shared" ref="AH95" si="612">AH96-AH91-AH94</f>
        <v>-9.2328836533636105E-3</v>
      </c>
      <c r="AI95" s="657">
        <f t="shared" ref="AI95" si="613">AI96-AI91-AI94</f>
        <v>-1.0503961765661266E-2</v>
      </c>
      <c r="AJ95" s="587">
        <f>AJ96-AJ91-AJ94</f>
        <v>-3.9612125021564124E-3</v>
      </c>
      <c r="AK95" s="660">
        <f t="shared" ref="AK95" si="614">AK96-AK91-AK94</f>
        <v>-9.1724046407383568E-3</v>
      </c>
      <c r="AL95" s="657">
        <f t="shared" si="609"/>
        <v>-1.3189142861382397E-2</v>
      </c>
      <c r="AM95" s="587">
        <f>AM96-AM91-AM94</f>
        <v>-1.6289350797480725E-2</v>
      </c>
      <c r="AN95" s="660">
        <f t="shared" ref="AN95" si="615">AN96-AN91-AN94</f>
        <v>-2.3742585254293347E-2</v>
      </c>
      <c r="AO95" s="657">
        <f t="shared" ref="AO95" si="616">AO96-AO91-AO94</f>
        <v>-2.0577387468030658E-2</v>
      </c>
      <c r="AP95" s="587">
        <f>AP96-AP91-AP94</f>
        <v>-1.9111800870682455E-2</v>
      </c>
      <c r="AQ95" s="1733">
        <f t="shared" ref="AQ95" si="617">AQ96-AQ91-AQ94</f>
        <v>-3.1825563716009336E-3</v>
      </c>
      <c r="AR95" s="657">
        <f t="shared" si="609"/>
        <v>-2.3347585807046226E-3</v>
      </c>
      <c r="AS95" s="660">
        <f t="shared" ref="AS95:AU95" si="618">AS96-AS91-AS94</f>
        <v>-2.6981913039239303E-3</v>
      </c>
      <c r="AT95" s="660">
        <f t="shared" si="618"/>
        <v>-1.0457619048957492E-2</v>
      </c>
      <c r="AU95" s="657">
        <f t="shared" si="618"/>
        <v>-3.7446977952599395E-3</v>
      </c>
      <c r="AV95" s="660">
        <f t="shared" ref="AV95:AX95" si="619">AV96-AV91-AV94</f>
        <v>-8.0094366174187151E-3</v>
      </c>
      <c r="AW95" s="660">
        <f>AW96-AW91-AW94</f>
        <v>-2.3416807246701699E-3</v>
      </c>
      <c r="AX95" s="657">
        <f t="shared" si="619"/>
        <v>-2.6972040109241313E-3</v>
      </c>
      <c r="AY95" s="660">
        <f t="shared" ref="AY95:BA95" si="620">AY96-AY91-AY94</f>
        <v>-2.3708882614824206E-3</v>
      </c>
      <c r="AZ95" s="660">
        <f t="shared" si="620"/>
        <v>-2.3778573160083624E-3</v>
      </c>
      <c r="BA95" s="657">
        <f t="shared" si="620"/>
        <v>-2.1411696892052953E-3</v>
      </c>
      <c r="BB95" s="660">
        <f t="shared" ref="BB95" si="621">BB96-BB91-BB94</f>
        <v>-2.2663191893804238E-3</v>
      </c>
      <c r="BC95" s="660"/>
      <c r="BD95" s="390"/>
      <c r="BE95" s="390"/>
      <c r="BF95" s="390"/>
      <c r="BG95" s="390"/>
      <c r="BH95" s="315"/>
      <c r="BI95" s="317"/>
      <c r="BJ95" s="317"/>
      <c r="BK95" s="390"/>
      <c r="BL95" s="390"/>
      <c r="BM95" s="390"/>
      <c r="BN95" s="390"/>
      <c r="BO95" s="390"/>
      <c r="BP95" s="390"/>
      <c r="BQ95" s="390"/>
      <c r="BR95" s="390"/>
      <c r="BS95" s="390"/>
      <c r="BT95" s="390"/>
      <c r="BU95" s="390">
        <f t="shared" ref="BU95:CN95" si="622">BU96-BU94-BU91</f>
        <v>0.1651875570284318</v>
      </c>
      <c r="BV95" s="390">
        <f t="shared" si="622"/>
        <v>0.14965843989800254</v>
      </c>
      <c r="BW95" s="390">
        <f t="shared" si="622"/>
        <v>0.13262421278332856</v>
      </c>
      <c r="BX95" s="390">
        <f t="shared" si="622"/>
        <v>-0.11925709674377838</v>
      </c>
      <c r="BY95" s="390">
        <f t="shared" si="622"/>
        <v>-7.3152217811856116E-2</v>
      </c>
      <c r="BZ95" s="390">
        <f t="shared" si="622"/>
        <v>-7.5134591998369485E-2</v>
      </c>
      <c r="CA95" s="390">
        <f t="shared" si="622"/>
        <v>-8.4670481057341346E-2</v>
      </c>
      <c r="CB95" s="390">
        <f t="shared" si="622"/>
        <v>-6.8202989972416028E-2</v>
      </c>
      <c r="CC95" s="390">
        <f t="shared" si="622"/>
        <v>-4.2726029151729544E-2</v>
      </c>
      <c r="CD95" s="390">
        <f t="shared" si="622"/>
        <v>-1.4215902676952802E-2</v>
      </c>
      <c r="CE95" s="390">
        <f t="shared" si="622"/>
        <v>-2.282718592127295E-2</v>
      </c>
      <c r="CF95" s="390">
        <f t="shared" si="622"/>
        <v>-3.089939707050348E-2</v>
      </c>
      <c r="CG95" s="390">
        <f t="shared" si="622"/>
        <v>-4.4810736899642774E-2</v>
      </c>
      <c r="CH95" s="390">
        <f t="shared" si="622"/>
        <v>-6.4389546540486162E-2</v>
      </c>
      <c r="CI95" s="390">
        <f t="shared" si="622"/>
        <v>-8.0665610907225183E-2</v>
      </c>
      <c r="CJ95" s="390">
        <f t="shared" si="622"/>
        <v>-6.8077994756614246E-2</v>
      </c>
      <c r="CK95" s="390">
        <f t="shared" si="622"/>
        <v>-5.7613658479012439E-2</v>
      </c>
      <c r="CL95" s="390">
        <f t="shared" si="622"/>
        <v>-6.5820228787454041E-2</v>
      </c>
      <c r="CM95" s="390">
        <f t="shared" si="622"/>
        <v>-3.1568466235887785E-2</v>
      </c>
      <c r="CN95" s="390">
        <f t="shared" si="622"/>
        <v>-1.2503682857079326E-2</v>
      </c>
    </row>
    <row r="96" spans="1:101" outlineLevel="1">
      <c r="A96" s="189" t="s">
        <v>458</v>
      </c>
      <c r="B96" s="1001" t="s">
        <v>602</v>
      </c>
      <c r="C96" s="588"/>
      <c r="D96" s="588"/>
      <c r="E96" s="588">
        <f t="shared" ref="E96:U96" si="623">E90/D90-1</f>
        <v>0.73521452881772031</v>
      </c>
      <c r="F96" s="588">
        <f t="shared" si="623"/>
        <v>0.43019348719061745</v>
      </c>
      <c r="G96" s="588">
        <f t="shared" si="623"/>
        <v>0.27125493557407232</v>
      </c>
      <c r="H96" s="588">
        <f t="shared" si="623"/>
        <v>0.53406048762371294</v>
      </c>
      <c r="I96" s="588">
        <f t="shared" si="623"/>
        <v>0.36296641078590031</v>
      </c>
      <c r="J96" s="588">
        <f t="shared" si="623"/>
        <v>0.35526383956372287</v>
      </c>
      <c r="K96" s="588">
        <f t="shared" si="623"/>
        <v>0.42651834827673096</v>
      </c>
      <c r="L96" s="588">
        <f t="shared" si="623"/>
        <v>0.27272876421060466</v>
      </c>
      <c r="M96" s="588">
        <f t="shared" si="623"/>
        <v>0.17361745498795589</v>
      </c>
      <c r="N96" s="588">
        <f t="shared" si="623"/>
        <v>8.3451591172033934E-2</v>
      </c>
      <c r="O96" s="588">
        <f t="shared" si="623"/>
        <v>5.6953224344116427E-2</v>
      </c>
      <c r="P96" s="588">
        <f t="shared" si="623"/>
        <v>5.774297012077545E-2</v>
      </c>
      <c r="Q96" s="588">
        <f t="shared" si="623"/>
        <v>5.3009007375166339E-2</v>
      </c>
      <c r="R96" s="588">
        <f t="shared" si="623"/>
        <v>4.8327173827241943E-2</v>
      </c>
      <c r="S96" s="588">
        <f t="shared" si="623"/>
        <v>8.2781966498509441E-2</v>
      </c>
      <c r="T96" s="588">
        <f t="shared" si="623"/>
        <v>0.10497824359136132</v>
      </c>
      <c r="U96" s="588">
        <f t="shared" si="623"/>
        <v>8.774258513365063E-2</v>
      </c>
      <c r="V96" s="588">
        <f>V90/CM90-1</f>
        <v>4.7490347490347418E-2</v>
      </c>
      <c r="W96" s="588">
        <f>W90/CN90-1</f>
        <v>3.3009708737864019E-2</v>
      </c>
      <c r="X96" s="588">
        <f t="shared" ref="X96:AQ96" si="624">X90/U90-1</f>
        <v>4.0900483904902085E-2</v>
      </c>
      <c r="Y96" s="588">
        <f t="shared" si="624"/>
        <v>4.9649834131957116E-2</v>
      </c>
      <c r="Z96" s="588">
        <f t="shared" si="624"/>
        <v>0.20050125313283207</v>
      </c>
      <c r="AA96" s="588">
        <f t="shared" si="624"/>
        <v>0.11777903545296509</v>
      </c>
      <c r="AB96" s="588">
        <f t="shared" si="624"/>
        <v>0.22579625662815617</v>
      </c>
      <c r="AC96" s="588">
        <f t="shared" si="624"/>
        <v>1.0177453027140348E-2</v>
      </c>
      <c r="AD96" s="588">
        <f t="shared" si="624"/>
        <v>0.12120938138550863</v>
      </c>
      <c r="AE96" s="588">
        <f t="shared" si="624"/>
        <v>-1.9566276105079106E-2</v>
      </c>
      <c r="AF96" s="588">
        <f t="shared" si="624"/>
        <v>0.11458833081152853</v>
      </c>
      <c r="AG96" s="1121">
        <f t="shared" si="624"/>
        <v>3.9061996000258059E-2</v>
      </c>
      <c r="AH96" s="1194">
        <f t="shared" si="624"/>
        <v>9.1193314633005951E-2</v>
      </c>
      <c r="AI96" s="658">
        <f>AI90/AF90-1</f>
        <v>1.9435798953711725E-2</v>
      </c>
      <c r="AJ96" s="1194">
        <f t="shared" si="624"/>
        <v>5.755440350169172E-2</v>
      </c>
      <c r="AK96" s="1251">
        <f t="shared" si="624"/>
        <v>9.8272861159460767E-3</v>
      </c>
      <c r="AL96" s="1251">
        <f>AL90/AI90-1</f>
        <v>2.0526811523595923E-2</v>
      </c>
      <c r="AM96" s="1584">
        <f t="shared" si="624"/>
        <v>1.4662283147914401E-2</v>
      </c>
      <c r="AN96" s="1631">
        <f t="shared" si="624"/>
        <v>7.6394781501909037E-2</v>
      </c>
      <c r="AO96" s="658">
        <f>AO90/AL90-1</f>
        <v>8.3765634448299542E-2</v>
      </c>
      <c r="AP96" s="1584">
        <f t="shared" si="624"/>
        <v>7.9744839656893385E-2</v>
      </c>
      <c r="AQ96" s="1734">
        <f t="shared" si="624"/>
        <v>7.3953637326632737E-2</v>
      </c>
      <c r="AR96" s="658">
        <f t="shared" ref="AR96:AV96" si="625">AR90/AO90-1</f>
        <v>4.3695276118286941E-2</v>
      </c>
      <c r="AS96" s="665">
        <f t="shared" si="625"/>
        <v>6.014997773030073E-2</v>
      </c>
      <c r="AT96" s="658">
        <f t="shared" si="625"/>
        <v>4.5443102339286279E-2</v>
      </c>
      <c r="AU96" s="658">
        <f>AU90/AR90-1</f>
        <v>4.8652421650952293E-2</v>
      </c>
      <c r="AV96" s="665">
        <f t="shared" si="625"/>
        <v>4.6884448105022125E-2</v>
      </c>
      <c r="AW96" s="658">
        <f t="shared" ref="AW96" si="626">AW90/AT90-1</f>
        <v>4.7735736060262157E-2</v>
      </c>
      <c r="AX96" s="658">
        <f>AX90/AU90-1</f>
        <v>4.1695258414834901E-2</v>
      </c>
      <c r="AY96" s="665">
        <f t="shared" ref="AY96" si="627">AY90/AV90-1</f>
        <v>4.5018299935553063E-2</v>
      </c>
      <c r="AZ96" s="658">
        <f t="shared" ref="AZ96" si="628">AZ90/AW90-1</f>
        <v>4.4956161253870697E-2</v>
      </c>
      <c r="BA96" s="658">
        <f>BA90/AX90-1</f>
        <v>4.5181094671057132E-2</v>
      </c>
      <c r="BB96" s="665">
        <f t="shared" ref="BB96" si="629">BB90/AY90-1</f>
        <v>4.5057030514109586E-2</v>
      </c>
      <c r="BC96" s="1342"/>
      <c r="BD96" s="391"/>
      <c r="BE96" s="391"/>
      <c r="BF96" s="391"/>
      <c r="BG96" s="391"/>
      <c r="BH96" s="392"/>
      <c r="BI96" s="386"/>
      <c r="BJ96" s="386"/>
      <c r="BK96" s="385"/>
      <c r="BL96" s="385"/>
      <c r="BM96" s="385">
        <f t="shared" ref="BM96:CN96" si="630">BM90/BK90-1</f>
        <v>0.60348935843716323</v>
      </c>
      <c r="BN96" s="385">
        <f t="shared" si="630"/>
        <v>0.45926211666161465</v>
      </c>
      <c r="BO96" s="385">
        <f t="shared" si="630"/>
        <v>0.3553088041001975</v>
      </c>
      <c r="BP96" s="385">
        <f t="shared" si="630"/>
        <v>0.37203162075237772</v>
      </c>
      <c r="BQ96" s="385">
        <f t="shared" si="630"/>
        <v>0.29237244917973615</v>
      </c>
      <c r="BR96" s="385">
        <f t="shared" si="630"/>
        <v>0.4288083305618311</v>
      </c>
      <c r="BS96" s="385">
        <f t="shared" si="630"/>
        <v>0.50029594869008553</v>
      </c>
      <c r="BT96" s="385">
        <f t="shared" si="630"/>
        <v>0.34848195409181337</v>
      </c>
      <c r="BU96" s="385">
        <f t="shared" si="630"/>
        <v>0.27618755702843178</v>
      </c>
      <c r="BV96" s="385">
        <f t="shared" si="630"/>
        <v>0.26865843989800253</v>
      </c>
      <c r="BW96" s="385">
        <f t="shared" si="630"/>
        <v>0.23162421278332856</v>
      </c>
      <c r="BX96" s="385">
        <f t="shared" si="630"/>
        <v>0.10494969977507784</v>
      </c>
      <c r="BY96" s="385">
        <f t="shared" si="630"/>
        <v>8.2933554043252089E-2</v>
      </c>
      <c r="BZ96" s="385">
        <f t="shared" si="630"/>
        <v>8.4135142066636748E-2</v>
      </c>
      <c r="CA96" s="385">
        <f t="shared" si="630"/>
        <v>5.4732639421288365E-2</v>
      </c>
      <c r="CB96" s="385">
        <f t="shared" si="630"/>
        <v>5.9880042518558607E-2</v>
      </c>
      <c r="CC96" s="385">
        <f t="shared" si="630"/>
        <v>2.3394557704303098E-2</v>
      </c>
      <c r="CD96" s="385">
        <f t="shared" si="630"/>
        <v>0.10279565696497506</v>
      </c>
      <c r="CE96" s="385">
        <f t="shared" si="630"/>
        <v>6.8062841638366622E-2</v>
      </c>
      <c r="CF96" s="385">
        <f t="shared" si="630"/>
        <v>3.4685474402071703E-2</v>
      </c>
      <c r="CG96" s="385">
        <f t="shared" si="630"/>
        <v>1.3032336752983653E-2</v>
      </c>
      <c r="CH96" s="385">
        <f t="shared" si="630"/>
        <v>9.2673915803273221E-2</v>
      </c>
      <c r="CI96" s="385">
        <f t="shared" si="630"/>
        <v>7.7179428724961197E-2</v>
      </c>
      <c r="CJ96" s="385">
        <f t="shared" si="630"/>
        <v>8.9308281979480597E-2</v>
      </c>
      <c r="CK96" s="385">
        <f t="shared" si="630"/>
        <v>0.11162183599243569</v>
      </c>
      <c r="CL96" s="385">
        <f t="shared" si="630"/>
        <v>9.7325388403668001E-2</v>
      </c>
      <c r="CM96" s="385">
        <f t="shared" si="630"/>
        <v>0.10067570438995377</v>
      </c>
      <c r="CN96" s="385">
        <f t="shared" si="630"/>
        <v>7.2650632283659533E-2</v>
      </c>
    </row>
    <row r="97" spans="1:92" outlineLevel="1">
      <c r="A97" s="171"/>
      <c r="B97" s="839" t="s">
        <v>605</v>
      </c>
      <c r="C97" s="279"/>
      <c r="D97" s="279"/>
      <c r="E97" s="338">
        <f t="shared" ref="E97:X97" si="631">E90/E199</f>
        <v>13.822333333333333</v>
      </c>
      <c r="F97" s="338">
        <f t="shared" si="631"/>
        <v>15.14191489361702</v>
      </c>
      <c r="G97" s="338">
        <f t="shared" si="631"/>
        <v>15.598517241379311</v>
      </c>
      <c r="H97" s="338">
        <f t="shared" si="631"/>
        <v>17.348575</v>
      </c>
      <c r="I97" s="338">
        <f t="shared" si="631"/>
        <v>16.593350877192982</v>
      </c>
      <c r="J97" s="338">
        <f t="shared" si="631"/>
        <v>16.539832258064514</v>
      </c>
      <c r="K97" s="338">
        <f t="shared" si="631"/>
        <v>18.85117525773196</v>
      </c>
      <c r="L97" s="338">
        <f t="shared" si="631"/>
        <v>20.41461403508772</v>
      </c>
      <c r="M97" s="338">
        <f t="shared" si="631"/>
        <v>20.691818181818181</v>
      </c>
      <c r="N97" s="338">
        <f t="shared" si="631"/>
        <v>19.860758389261747</v>
      </c>
      <c r="O97" s="338">
        <f t="shared" si="631"/>
        <v>19.247950769230769</v>
      </c>
      <c r="P97" s="338">
        <f t="shared" si="631"/>
        <v>19.179130434782611</v>
      </c>
      <c r="Q97" s="338">
        <f t="shared" si="631"/>
        <v>19.408217270194985</v>
      </c>
      <c r="R97" s="338">
        <f t="shared" si="631"/>
        <v>19.794775067750678</v>
      </c>
      <c r="S97" s="338">
        <f t="shared" si="631"/>
        <v>20.758356955380577</v>
      </c>
      <c r="T97" s="338">
        <f t="shared" si="631"/>
        <v>22.12455696202532</v>
      </c>
      <c r="U97" s="338">
        <f>U90/U199</f>
        <v>23.242053789731052</v>
      </c>
      <c r="V97" s="338">
        <f>V90/V199</f>
        <v>13.04326923076923</v>
      </c>
      <c r="W97" s="338">
        <f>W90/W199</f>
        <v>10.614726840855106</v>
      </c>
      <c r="X97" s="338">
        <f t="shared" si="631"/>
        <v>23.587127532777114</v>
      </c>
      <c r="Y97" s="338">
        <f>Y90/Y199</f>
        <v>13.496208530805687</v>
      </c>
      <c r="Z97" s="338">
        <f>Z90/Z199</f>
        <v>12.652830188679243</v>
      </c>
      <c r="AA97" s="338">
        <f t="shared" ref="AA97:AD97" si="632">AA90/AA199</f>
        <v>26.24009489916963</v>
      </c>
      <c r="AB97" s="338">
        <f>AB90/AB199</f>
        <v>16.596038034865291</v>
      </c>
      <c r="AC97" s="338">
        <f t="shared" ref="AC97" si="633">AC90/AC199</f>
        <v>12.842180094786734</v>
      </c>
      <c r="AD97" s="338">
        <f t="shared" si="632"/>
        <v>29.525714285714287</v>
      </c>
      <c r="AE97" s="338">
        <f t="shared" ref="AE97:AJ97" si="634">AE90/AE199</f>
        <v>16.258432304038006</v>
      </c>
      <c r="AF97" s="338">
        <f t="shared" si="634"/>
        <v>14.212705882352941</v>
      </c>
      <c r="AG97" s="338">
        <f t="shared" si="634"/>
        <v>30.533649289099529</v>
      </c>
      <c r="AH97" s="338">
        <f t="shared" si="634"/>
        <v>17.410256410256409</v>
      </c>
      <c r="AI97" s="650">
        <f t="shared" si="634"/>
        <v>14.254166666666665</v>
      </c>
      <c r="AJ97" s="338">
        <f t="shared" si="634"/>
        <v>31.764102564102561</v>
      </c>
      <c r="AK97" s="650">
        <f t="shared" ref="AK97" si="635">AK90/AK199</f>
        <v>17.259496567505721</v>
      </c>
      <c r="AL97" s="650">
        <f>AL90/AL199</f>
        <v>14.217647058823525</v>
      </c>
      <c r="AM97" s="338">
        <f t="shared" ref="AM97:AN97" si="636">AM90/AM199</f>
        <v>31.424090909090907</v>
      </c>
      <c r="AN97" s="650">
        <f t="shared" si="636"/>
        <v>18.001330376940132</v>
      </c>
      <c r="AO97" s="650">
        <f>AO90/AO199</f>
        <v>14.902844638949675</v>
      </c>
      <c r="AP97" s="338">
        <f t="shared" ref="AP97:AQ97" si="637">AP90/AP199</f>
        <v>32.956291390728481</v>
      </c>
      <c r="AQ97" s="1732">
        <f t="shared" si="637"/>
        <v>18.913232104121477</v>
      </c>
      <c r="AR97" s="650">
        <f t="shared" ref="AR97:AV97" si="638">AR90/AR199</f>
        <v>15.253628857363106</v>
      </c>
      <c r="AS97" s="650">
        <f t="shared" si="638"/>
        <v>34.183997942831979</v>
      </c>
      <c r="AT97" s="650">
        <f t="shared" si="638"/>
        <v>19.435433708520758</v>
      </c>
      <c r="AU97" s="650">
        <f>AU90/AU199</f>
        <v>15.825948525586453</v>
      </c>
      <c r="AV97" s="650">
        <f t="shared" si="638"/>
        <v>35.253702478398843</v>
      </c>
      <c r="AW97" s="650">
        <f t="shared" ref="AW97" si="639">AW90/AW199</f>
        <v>20.190993804258021</v>
      </c>
      <c r="AX97" s="650">
        <f>AX90/AX199</f>
        <v>16.346987618692058</v>
      </c>
      <c r="AY97" s="650">
        <f t="shared" ref="AY97:AZ97" si="640">AY90/AY199</f>
        <v>36.529871705259012</v>
      </c>
      <c r="AZ97" s="650">
        <f t="shared" si="640"/>
        <v>20.92177504738768</v>
      </c>
      <c r="BA97" s="650">
        <f>BA90/BA199</f>
        <v>16.942885483491484</v>
      </c>
      <c r="BB97" s="650">
        <f t="shared" ref="BB97" si="641">BB90/BB199</f>
        <v>37.856336494134617</v>
      </c>
      <c r="BC97" s="650"/>
      <c r="BD97" s="369"/>
      <c r="BE97" s="369"/>
      <c r="BF97" s="369"/>
      <c r="BG97" s="369"/>
      <c r="BH97" s="318"/>
      <c r="BI97" s="322"/>
      <c r="BJ97" s="322"/>
      <c r="BK97" s="369"/>
      <c r="BL97" s="369"/>
      <c r="BM97" s="369">
        <f t="shared" ref="BM97:CN97" si="642">BM90/BM199</f>
        <v>9.8993947368421065</v>
      </c>
      <c r="BN97" s="369">
        <f t="shared" si="642"/>
        <v>6.9079565217391297</v>
      </c>
      <c r="BO97" s="369">
        <f t="shared" si="642"/>
        <v>9.4414074074074072</v>
      </c>
      <c r="BP97" s="369">
        <f t="shared" si="642"/>
        <v>6.9203968253968258</v>
      </c>
      <c r="BQ97" s="369">
        <f t="shared" si="642"/>
        <v>9.5492463768115954</v>
      </c>
      <c r="BR97" s="369">
        <f t="shared" si="642"/>
        <v>7.7383726708074532</v>
      </c>
      <c r="BS97" s="369">
        <f t="shared" si="642"/>
        <v>10.243958549222798</v>
      </c>
      <c r="BT97" s="369">
        <f t="shared" si="642"/>
        <v>8.0384880382775119</v>
      </c>
      <c r="BU97" s="369">
        <f t="shared" si="642"/>
        <v>11.263973214285715</v>
      </c>
      <c r="BV97" s="369">
        <f t="shared" si="642"/>
        <v>8.3913464566929132</v>
      </c>
      <c r="BW97" s="369">
        <f t="shared" si="642"/>
        <v>11.424808823529411</v>
      </c>
      <c r="BX97" s="369">
        <f t="shared" si="642"/>
        <v>8.4715539568345335</v>
      </c>
      <c r="BY97" s="369">
        <f t="shared" si="642"/>
        <v>11.684958333333334</v>
      </c>
      <c r="BZ97" s="369">
        <f t="shared" si="642"/>
        <v>8.3988092105263163</v>
      </c>
      <c r="CA97" s="369">
        <f t="shared" si="642"/>
        <v>11.023161490683231</v>
      </c>
      <c r="CB97" s="369">
        <f t="shared" si="642"/>
        <v>8.1265045045045046</v>
      </c>
      <c r="CC97" s="369">
        <f t="shared" si="642"/>
        <v>10.559581395348838</v>
      </c>
      <c r="CD97" s="369">
        <f t="shared" si="642"/>
        <v>8.4541189801699712</v>
      </c>
      <c r="CE97" s="369">
        <f t="shared" si="642"/>
        <v>10.807058495821726</v>
      </c>
      <c r="CF97" s="369">
        <f t="shared" si="642"/>
        <v>8.4830109890109906</v>
      </c>
      <c r="CG97" s="369">
        <f t="shared" si="642"/>
        <v>10.70925340599455</v>
      </c>
      <c r="CH97" s="369">
        <f t="shared" si="642"/>
        <v>9.069827956989247</v>
      </c>
      <c r="CI97" s="369">
        <f t="shared" si="642"/>
        <v>11.111900262467191</v>
      </c>
      <c r="CJ97" s="369">
        <f t="shared" si="642"/>
        <v>9.4724226804123717</v>
      </c>
      <c r="CK97" s="369">
        <f t="shared" si="642"/>
        <v>11.975063613231551</v>
      </c>
      <c r="CL97" s="369">
        <f t="shared" si="642"/>
        <v>10.082500000000003</v>
      </c>
      <c r="CM97" s="369">
        <f t="shared" si="642"/>
        <v>12.696078431372548</v>
      </c>
      <c r="CN97" s="369">
        <f t="shared" si="642"/>
        <v>10.424096385542169</v>
      </c>
    </row>
    <row r="98" spans="1:92" outlineLevel="1">
      <c r="A98" s="171"/>
      <c r="B98" s="839" t="s">
        <v>607</v>
      </c>
      <c r="C98" s="279"/>
      <c r="D98" s="279"/>
      <c r="E98" s="266"/>
      <c r="F98" s="266">
        <f t="shared" ref="F98:U98" si="643">F97/E97-1</f>
        <v>9.546735189068567E-2</v>
      </c>
      <c r="G98" s="266">
        <f t="shared" si="643"/>
        <v>3.0154861585886206E-2</v>
      </c>
      <c r="H98" s="266">
        <f t="shared" si="643"/>
        <v>0.11219385352719202</v>
      </c>
      <c r="I98" s="266">
        <f t="shared" si="643"/>
        <v>-4.3532343308140153E-2</v>
      </c>
      <c r="J98" s="266">
        <f t="shared" si="643"/>
        <v>-3.2253050950683537E-3</v>
      </c>
      <c r="K98" s="266">
        <f t="shared" si="643"/>
        <v>0.13974404114893479</v>
      </c>
      <c r="L98" s="266">
        <f t="shared" si="643"/>
        <v>8.2935878319549516E-2</v>
      </c>
      <c r="M98" s="266">
        <f t="shared" si="643"/>
        <v>1.3578711125961762E-2</v>
      </c>
      <c r="N98" s="266">
        <f t="shared" si="643"/>
        <v>-4.0163691042224725E-2</v>
      </c>
      <c r="O98" s="266">
        <f t="shared" si="643"/>
        <v>-3.0855197370625476E-2</v>
      </c>
      <c r="P98" s="266">
        <f t="shared" si="643"/>
        <v>-3.5754629297043428E-3</v>
      </c>
      <c r="Q98" s="266">
        <f t="shared" si="643"/>
        <v>1.194458926025721E-2</v>
      </c>
      <c r="R98" s="266">
        <f t="shared" si="643"/>
        <v>1.9917223317018617E-2</v>
      </c>
      <c r="S98" s="266">
        <f t="shared" si="643"/>
        <v>4.8678597474934193E-2</v>
      </c>
      <c r="T98" s="266">
        <f t="shared" si="643"/>
        <v>6.58144577425539E-2</v>
      </c>
      <c r="U98" s="266">
        <f t="shared" si="643"/>
        <v>5.0509342610738361E-2</v>
      </c>
      <c r="V98" s="266">
        <f>V97/CM97-1</f>
        <v>2.7346302346302309E-2</v>
      </c>
      <c r="W98" s="266">
        <f>W97/CN97-1</f>
        <v>1.8287480109770771E-2</v>
      </c>
      <c r="X98" s="266">
        <f t="shared" ref="X98:AU98" si="644">X97/U97-1</f>
        <v>1.4846955702276343E-2</v>
      </c>
      <c r="Y98" s="266">
        <f t="shared" si="644"/>
        <v>3.4725902840981648E-2</v>
      </c>
      <c r="Z98" s="266">
        <f t="shared" si="644"/>
        <v>0.19200714049274126</v>
      </c>
      <c r="AA98" s="266">
        <f t="shared" si="644"/>
        <v>0.11247522033812318</v>
      </c>
      <c r="AB98" s="266">
        <f t="shared" si="644"/>
        <v>0.22968150625296779</v>
      </c>
      <c r="AC98" s="266">
        <f t="shared" si="644"/>
        <v>1.4965023894567553E-2</v>
      </c>
      <c r="AD98" s="266">
        <f t="shared" si="644"/>
        <v>0.12521370060474246</v>
      </c>
      <c r="AE98" s="266">
        <f t="shared" si="644"/>
        <v>-2.0342549837379043E-2</v>
      </c>
      <c r="AF98" s="266">
        <f t="shared" si="644"/>
        <v>0.10672064847638829</v>
      </c>
      <c r="AG98" s="1116">
        <f t="shared" si="644"/>
        <v>3.4137531564237822E-2</v>
      </c>
      <c r="AH98" s="1116">
        <f t="shared" si="644"/>
        <v>7.0844721353136242E-2</v>
      </c>
      <c r="AI98" s="653">
        <f t="shared" si="644"/>
        <v>2.9171633225171245E-3</v>
      </c>
      <c r="AJ98" s="1116">
        <f t="shared" si="644"/>
        <v>4.0298271043622158E-2</v>
      </c>
      <c r="AK98" s="1254">
        <f t="shared" si="644"/>
        <v>-8.6592545909820462E-3</v>
      </c>
      <c r="AL98" s="1254">
        <f t="shared" si="644"/>
        <v>-2.5620303660781607E-3</v>
      </c>
      <c r="AM98" s="1116">
        <f t="shared" si="644"/>
        <v>-1.0704273930783437E-2</v>
      </c>
      <c r="AN98" s="1254">
        <f t="shared" si="644"/>
        <v>4.2981196266816513E-2</v>
      </c>
      <c r="AO98" s="653">
        <f>AO97/AL97-1</f>
        <v>4.8193458262906663E-2</v>
      </c>
      <c r="AP98" s="1116">
        <f t="shared" si="644"/>
        <v>4.875878465570227E-2</v>
      </c>
      <c r="AQ98" s="1596">
        <f t="shared" si="644"/>
        <v>5.0657462981152701E-2</v>
      </c>
      <c r="AR98" s="653">
        <f t="shared" ref="AR98" si="645">AR97/AO97-1</f>
        <v>2.3538071214714851E-2</v>
      </c>
      <c r="AS98" s="653">
        <f t="shared" ref="AS98" si="646">AS97/AP97-1</f>
        <v>3.725257000394433E-2</v>
      </c>
      <c r="AT98" s="653">
        <f t="shared" ref="AT98" si="647">AT97/AQ97-1</f>
        <v>2.7610384175716041E-2</v>
      </c>
      <c r="AU98" s="653">
        <f t="shared" si="644"/>
        <v>3.7520230338309313E-2</v>
      </c>
      <c r="AV98" s="653">
        <f t="shared" ref="AV98" si="648">AV97/AS97-1</f>
        <v>3.1292552069415613E-2</v>
      </c>
      <c r="AW98" s="653">
        <f t="shared" ref="AW98" si="649">AW97/AT97-1</f>
        <v>3.8875391569266338E-2</v>
      </c>
      <c r="AX98" s="653">
        <f t="shared" ref="AX98" si="650">AX97/AU97-1</f>
        <v>3.2923087817657182E-2</v>
      </c>
      <c r="AY98" s="653">
        <f t="shared" ref="AY98" si="651">AY97/AV97-1</f>
        <v>3.6199580104873341E-2</v>
      </c>
      <c r="AZ98" s="653">
        <f t="shared" ref="AZ98" si="652">AZ97/AW97-1</f>
        <v>3.6193426149016439E-2</v>
      </c>
      <c r="BA98" s="653">
        <f t="shared" ref="BA98" si="653">BA97/AX97-1</f>
        <v>3.6453068828292468E-2</v>
      </c>
      <c r="BB98" s="653">
        <f t="shared" ref="BB98" si="654">BB97/AY97-1</f>
        <v>3.6311783396836939E-2</v>
      </c>
      <c r="BC98" s="653"/>
      <c r="BD98" s="376"/>
      <c r="BE98" s="376"/>
      <c r="BF98" s="376"/>
      <c r="BG98" s="376"/>
      <c r="BH98" s="318"/>
      <c r="BI98" s="393"/>
      <c r="BJ98" s="322"/>
      <c r="BK98" s="376"/>
      <c r="BL98" s="376"/>
      <c r="BM98" s="376"/>
      <c r="BN98" s="376"/>
      <c r="BO98" s="376">
        <f t="shared" ref="BO98:CN98" si="655">BO97/BM97-1</f>
        <v>-4.6264174892453713E-2</v>
      </c>
      <c r="BP98" s="376">
        <f t="shared" si="655"/>
        <v>1.8008659461805632E-3</v>
      </c>
      <c r="BQ98" s="376">
        <f t="shared" si="655"/>
        <v>1.1421916749358996E-2</v>
      </c>
      <c r="BR98" s="376">
        <f t="shared" si="655"/>
        <v>0.11819782391795486</v>
      </c>
      <c r="BS98" s="376">
        <f t="shared" si="655"/>
        <v>7.2750471084102486E-2</v>
      </c>
      <c r="BT98" s="376">
        <f t="shared" si="655"/>
        <v>3.8782749324315358E-2</v>
      </c>
      <c r="BU98" s="376">
        <f t="shared" si="655"/>
        <v>9.9572314761104064E-2</v>
      </c>
      <c r="BV98" s="376">
        <f t="shared" si="655"/>
        <v>4.3896117868828854E-2</v>
      </c>
      <c r="BW98" s="376">
        <f t="shared" si="655"/>
        <v>1.4278763468623445E-2</v>
      </c>
      <c r="BX98" s="376">
        <f t="shared" si="655"/>
        <v>9.5583587873013798E-3</v>
      </c>
      <c r="BY98" s="376">
        <f t="shared" si="655"/>
        <v>2.2770578818627207E-2</v>
      </c>
      <c r="BZ98" s="376">
        <f t="shared" si="655"/>
        <v>-8.5869424522202475E-3</v>
      </c>
      <c r="CA98" s="376">
        <f t="shared" si="655"/>
        <v>-5.6636645486549564E-2</v>
      </c>
      <c r="CB98" s="376">
        <f t="shared" si="655"/>
        <v>-3.2421823046120513E-2</v>
      </c>
      <c r="CC98" s="376">
        <f t="shared" si="655"/>
        <v>-4.2055094241902458E-2</v>
      </c>
      <c r="CD98" s="376">
        <f t="shared" si="655"/>
        <v>4.0314316627016122E-2</v>
      </c>
      <c r="CE98" s="376">
        <f t="shared" si="655"/>
        <v>2.3436260511415119E-2</v>
      </c>
      <c r="CF98" s="376">
        <f t="shared" si="655"/>
        <v>3.4175067690422889E-3</v>
      </c>
      <c r="CG98" s="376">
        <f t="shared" si="655"/>
        <v>-9.0501120045746175E-3</v>
      </c>
      <c r="CH98" s="376">
        <f t="shared" si="655"/>
        <v>6.9175552022557429E-2</v>
      </c>
      <c r="CI98" s="376">
        <f t="shared" si="655"/>
        <v>3.7598032393860281E-2</v>
      </c>
      <c r="CJ98" s="376">
        <f t="shared" si="655"/>
        <v>4.4388352825687649E-2</v>
      </c>
      <c r="CK98" s="376">
        <f t="shared" si="655"/>
        <v>7.7679184511750599E-2</v>
      </c>
      <c r="CL98" s="376">
        <f t="shared" si="655"/>
        <v>6.4405626751558032E-2</v>
      </c>
      <c r="CM98" s="376">
        <f t="shared" si="655"/>
        <v>6.0209685846205341E-2</v>
      </c>
      <c r="CN98" s="376">
        <f t="shared" si="655"/>
        <v>3.3880127502322388E-2</v>
      </c>
    </row>
    <row r="99" spans="1:92" outlineLevel="1">
      <c r="A99" s="171"/>
      <c r="B99" s="839" t="s">
        <v>606</v>
      </c>
      <c r="C99" s="279"/>
      <c r="D99" s="279"/>
      <c r="E99" s="338">
        <f t="shared" ref="E99:U99" si="656">E90-D90</f>
        <v>105.41800000000001</v>
      </c>
      <c r="F99" s="338">
        <f t="shared" si="656"/>
        <v>107.03299999999999</v>
      </c>
      <c r="G99" s="338">
        <f t="shared" si="656"/>
        <v>96.522000000000048</v>
      </c>
      <c r="H99" s="338">
        <f t="shared" si="656"/>
        <v>241.58599999999996</v>
      </c>
      <c r="I99" s="338">
        <f t="shared" si="656"/>
        <v>251.87800000000004</v>
      </c>
      <c r="J99" s="338">
        <f t="shared" si="656"/>
        <v>336.01599999999996</v>
      </c>
      <c r="K99" s="338">
        <f t="shared" si="656"/>
        <v>546.72700000000009</v>
      </c>
      <c r="L99" s="338">
        <f t="shared" si="656"/>
        <v>498.702</v>
      </c>
      <c r="M99" s="338">
        <f t="shared" si="656"/>
        <v>404.05400000000009</v>
      </c>
      <c r="N99" s="338">
        <f t="shared" si="656"/>
        <v>227.93299999999999</v>
      </c>
      <c r="O99" s="338">
        <f t="shared" si="656"/>
        <v>168.53899999999976</v>
      </c>
      <c r="P99" s="338">
        <f t="shared" si="656"/>
        <v>180.60800000000017</v>
      </c>
      <c r="Q99" s="338">
        <f t="shared" si="656"/>
        <v>175.375</v>
      </c>
      <c r="R99" s="338">
        <f t="shared" si="656"/>
        <v>168.36099999999988</v>
      </c>
      <c r="S99" s="338">
        <f t="shared" si="656"/>
        <v>302.33100000000013</v>
      </c>
      <c r="T99" s="338">
        <f t="shared" si="656"/>
        <v>415.13300000000027</v>
      </c>
      <c r="U99" s="338">
        <f t="shared" si="656"/>
        <v>383.39999999999964</v>
      </c>
      <c r="V99" s="338">
        <f>V90-CM90</f>
        <v>123</v>
      </c>
      <c r="W99" s="338"/>
      <c r="X99" s="338">
        <f>X90-U90</f>
        <v>194.39999999999964</v>
      </c>
      <c r="Y99" s="338">
        <f>Y90-V90</f>
        <v>134.69999999999982</v>
      </c>
      <c r="Z99" s="338"/>
      <c r="AA99" s="338">
        <f>AA90-X90</f>
        <v>582.69999999999982</v>
      </c>
      <c r="AB99" s="338">
        <f>AB90-Y90</f>
        <v>643</v>
      </c>
      <c r="AC99" s="338"/>
      <c r="AD99" s="338">
        <f>AD90-AA90</f>
        <v>670.30000000000109</v>
      </c>
      <c r="AE99" s="338">
        <f>AE90-AB90</f>
        <v>-68.299999999999727</v>
      </c>
      <c r="AF99" s="338"/>
      <c r="AG99" s="338">
        <f>AG90-AD90</f>
        <v>242.19999999999982</v>
      </c>
      <c r="AH99" s="338">
        <f>AH90-AE90</f>
        <v>312.09999999999991</v>
      </c>
      <c r="AI99" s="650">
        <f t="shared" ref="AI99" si="657">AI90-AF90</f>
        <v>58.699999999999818</v>
      </c>
      <c r="AJ99" s="338">
        <f>AJ90-AG90</f>
        <v>370.79999999999927</v>
      </c>
      <c r="AK99" s="650">
        <f>AK90-AH90</f>
        <v>36.700000000000273</v>
      </c>
      <c r="AL99" s="650">
        <f t="shared" ref="AL99" si="658">AL90-AI90</f>
        <v>63.199999999999363</v>
      </c>
      <c r="AM99" s="338">
        <f>AM90-AJ90</f>
        <v>99.899999999999636</v>
      </c>
      <c r="AN99" s="650">
        <f>AN90-AK90</f>
        <v>288.09999999999945</v>
      </c>
      <c r="AO99" s="650">
        <f>AO90-AL90</f>
        <v>263.20000000000164</v>
      </c>
      <c r="AP99" s="338">
        <f>AP90-AM90</f>
        <v>551.30000000000109</v>
      </c>
      <c r="AQ99" s="1732">
        <f>AQ90-AN90</f>
        <v>300.20000000000027</v>
      </c>
      <c r="AR99" s="650">
        <f t="shared" ref="AR99:AS99" si="659">AR90-AO90</f>
        <v>148.79552376560287</v>
      </c>
      <c r="AS99" s="650">
        <f t="shared" si="659"/>
        <v>448.99552376560314</v>
      </c>
      <c r="AT99" s="650">
        <f t="shared" ref="AT99:AU99" si="660">AT90-AQ90</f>
        <v>198.10920464811807</v>
      </c>
      <c r="AU99" s="650">
        <f t="shared" si="660"/>
        <v>172.91535401000601</v>
      </c>
      <c r="AV99" s="650">
        <f t="shared" ref="AV99" si="661">AV90-AS90</f>
        <v>371.02455865812408</v>
      </c>
      <c r="AW99" s="650">
        <f t="shared" ref="AW99" si="662">AW90-AT90</f>
        <v>217.56083005890378</v>
      </c>
      <c r="AX99" s="650">
        <f t="shared" ref="AX99" si="663">AX90-AU90</f>
        <v>155.39868166375436</v>
      </c>
      <c r="AY99" s="650">
        <f t="shared" ref="AY99" si="664">AY90-AV90</f>
        <v>372.95951172265814</v>
      </c>
      <c r="AZ99" s="650">
        <f t="shared" ref="AZ99" si="665">AZ90-AW90</f>
        <v>214.67331409494</v>
      </c>
      <c r="BA99" s="650">
        <f t="shared" ref="BA99" si="666">BA90-AX90</f>
        <v>175.4115138568468</v>
      </c>
      <c r="BB99" s="650">
        <f t="shared" ref="BB99" si="667">BB90-AY90</f>
        <v>390.08482795178679</v>
      </c>
      <c r="BC99" s="650"/>
      <c r="BD99" s="369"/>
      <c r="BE99" s="369"/>
      <c r="BF99" s="369"/>
      <c r="BG99" s="369"/>
      <c r="BH99" s="318"/>
      <c r="BI99" s="379"/>
      <c r="BJ99" s="322"/>
      <c r="BK99" s="369"/>
      <c r="BL99" s="369"/>
      <c r="BM99" s="369"/>
      <c r="BN99" s="369"/>
      <c r="BO99" s="369"/>
      <c r="BP99" s="369"/>
      <c r="BQ99" s="369"/>
      <c r="BR99" s="369"/>
      <c r="BS99" s="369"/>
      <c r="BT99" s="369"/>
      <c r="BU99" s="369"/>
      <c r="BV99" s="369"/>
      <c r="BW99" s="369"/>
      <c r="BX99" s="369"/>
      <c r="BY99" s="369"/>
      <c r="BZ99" s="369"/>
      <c r="CA99" s="369"/>
      <c r="CB99" s="369"/>
      <c r="CC99" s="369"/>
      <c r="CD99" s="369"/>
      <c r="CE99" s="369"/>
      <c r="CF99" s="369"/>
      <c r="CG99" s="369"/>
      <c r="CH99" s="369"/>
      <c r="CI99" s="369"/>
      <c r="CJ99" s="369"/>
      <c r="CK99" s="369"/>
      <c r="CL99" s="369"/>
      <c r="CM99" s="369"/>
      <c r="CN99" s="369"/>
    </row>
    <row r="100" spans="1:92" outlineLevel="1">
      <c r="A100" s="171"/>
      <c r="B100" s="839"/>
      <c r="C100" s="279"/>
      <c r="D100" s="279"/>
      <c r="E100" s="338"/>
      <c r="F100" s="338"/>
      <c r="G100" s="338"/>
      <c r="H100" s="338"/>
      <c r="I100" s="338"/>
      <c r="J100" s="338"/>
      <c r="K100" s="338"/>
      <c r="L100" s="338"/>
      <c r="M100" s="338"/>
      <c r="N100" s="338"/>
      <c r="O100" s="338"/>
      <c r="P100" s="338"/>
      <c r="Q100" s="338"/>
      <c r="R100" s="338"/>
      <c r="S100" s="338"/>
      <c r="T100" s="338"/>
      <c r="U100" s="338"/>
      <c r="V100" s="338"/>
      <c r="W100" s="338"/>
      <c r="X100" s="338"/>
      <c r="Y100" s="338"/>
      <c r="Z100" s="338"/>
      <c r="AA100" s="338"/>
      <c r="AB100" s="338"/>
      <c r="AC100" s="338"/>
      <c r="AD100" s="338"/>
      <c r="AE100" s="338"/>
      <c r="AF100" s="338"/>
      <c r="AG100" s="338"/>
      <c r="AH100" s="338"/>
      <c r="AI100" s="650"/>
      <c r="AJ100" s="338"/>
      <c r="AK100" s="650"/>
      <c r="AL100" s="338"/>
      <c r="AM100" s="338"/>
      <c r="AN100" s="650"/>
      <c r="AO100" s="338"/>
      <c r="AP100" s="338"/>
      <c r="AQ100" s="1732"/>
      <c r="AR100" s="338"/>
      <c r="AS100" s="179"/>
      <c r="AT100" s="338"/>
      <c r="AU100" s="338"/>
      <c r="AV100" s="179"/>
      <c r="AW100" s="338"/>
      <c r="AX100" s="338"/>
      <c r="AY100" s="179"/>
      <c r="AZ100" s="338"/>
      <c r="BA100" s="338"/>
      <c r="BB100" s="179"/>
      <c r="BC100" s="179"/>
      <c r="BD100" s="320"/>
      <c r="BE100" s="320"/>
      <c r="BF100" s="320"/>
      <c r="BG100" s="320"/>
      <c r="BH100" s="318"/>
      <c r="BI100" s="322"/>
      <c r="BJ100" s="322"/>
      <c r="BK100" s="369"/>
      <c r="BL100" s="369"/>
      <c r="BM100" s="369"/>
      <c r="BN100" s="369"/>
      <c r="BO100" s="369"/>
      <c r="BP100" s="369"/>
      <c r="BQ100" s="369"/>
      <c r="BR100" s="369"/>
      <c r="BS100" s="369"/>
      <c r="BT100" s="369"/>
      <c r="BU100" s="369"/>
      <c r="BV100" s="369"/>
      <c r="BW100" s="369"/>
      <c r="BX100" s="369"/>
      <c r="BY100" s="369"/>
      <c r="BZ100" s="369"/>
      <c r="CA100" s="369"/>
      <c r="CB100" s="369"/>
      <c r="CC100" s="369"/>
      <c r="CD100" s="369"/>
      <c r="CE100" s="369"/>
      <c r="CF100" s="369"/>
      <c r="CG100" s="369"/>
      <c r="CH100" s="369"/>
      <c r="CI100" s="369"/>
      <c r="CJ100" s="369"/>
      <c r="CK100" s="369"/>
      <c r="CL100" s="369"/>
      <c r="CM100" s="369"/>
      <c r="CN100" s="369"/>
    </row>
    <row r="101" spans="1:92" outlineLevel="1">
      <c r="A101" s="165"/>
      <c r="B101" s="833" t="s">
        <v>460</v>
      </c>
      <c r="C101" s="1002"/>
      <c r="D101" s="1002"/>
      <c r="E101" s="293"/>
      <c r="F101" s="986"/>
      <c r="G101" s="293"/>
      <c r="H101" s="293"/>
      <c r="I101" s="293"/>
      <c r="J101" s="293"/>
      <c r="K101" s="263"/>
      <c r="L101" s="263"/>
      <c r="M101" s="263"/>
      <c r="N101" s="263"/>
      <c r="O101" s="279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84"/>
      <c r="AH101" s="284"/>
      <c r="AI101" s="564"/>
      <c r="AJ101" s="284"/>
      <c r="AK101" s="137"/>
      <c r="AL101" s="284"/>
      <c r="AM101" s="284"/>
      <c r="AN101" s="137"/>
      <c r="AO101" s="263"/>
      <c r="AP101" s="284"/>
      <c r="AQ101" s="1315"/>
      <c r="AR101" s="263"/>
      <c r="AS101" s="193"/>
      <c r="AT101" s="263"/>
      <c r="AU101" s="263"/>
      <c r="AV101" s="193"/>
      <c r="AW101" s="263"/>
      <c r="AX101" s="263"/>
      <c r="AY101" s="193"/>
      <c r="AZ101" s="263"/>
      <c r="BA101" s="263"/>
      <c r="BB101" s="193"/>
      <c r="BC101" s="564"/>
      <c r="BD101" s="331"/>
      <c r="BE101" s="331"/>
      <c r="BF101" s="331"/>
      <c r="BG101" s="331"/>
      <c r="BH101" s="315"/>
      <c r="BI101" s="317"/>
      <c r="BJ101" s="317"/>
      <c r="BK101" s="331"/>
      <c r="BL101" s="331"/>
      <c r="BM101" s="331"/>
      <c r="BN101" s="331"/>
      <c r="BO101" s="331"/>
      <c r="BP101" s="331"/>
      <c r="BQ101" s="331"/>
      <c r="BR101" s="331"/>
      <c r="BS101" s="331"/>
      <c r="BT101" s="331"/>
      <c r="BU101" s="331"/>
      <c r="BV101" s="331"/>
      <c r="BW101" s="331"/>
      <c r="BX101" s="331"/>
      <c r="BY101" s="331"/>
      <c r="BZ101" s="331"/>
      <c r="CA101" s="331"/>
      <c r="CB101" s="331"/>
      <c r="CC101" s="331"/>
      <c r="CD101" s="331"/>
      <c r="CE101" s="331"/>
      <c r="CF101" s="331"/>
      <c r="CG101" s="331"/>
      <c r="CH101" s="331"/>
      <c r="CI101" s="331"/>
      <c r="CJ101" s="331"/>
      <c r="CK101" s="331"/>
      <c r="CL101" s="331"/>
      <c r="CM101" s="331"/>
      <c r="CN101" s="331"/>
    </row>
    <row r="102" spans="1:92" outlineLevel="2">
      <c r="A102" s="168"/>
      <c r="B102" s="1003" t="s">
        <v>461</v>
      </c>
      <c r="C102" s="595"/>
      <c r="D102" s="595"/>
      <c r="E102" s="595"/>
      <c r="F102" s="595">
        <f t="shared" ref="F102:N102" si="668">SUM(F103:F108)</f>
        <v>0.66</v>
      </c>
      <c r="G102" s="595">
        <f t="shared" si="668"/>
        <v>0.66</v>
      </c>
      <c r="H102" s="595">
        <f t="shared" si="668"/>
        <v>0.66999999999999993</v>
      </c>
      <c r="I102" s="595">
        <f t="shared" si="668"/>
        <v>0.67000000000000015</v>
      </c>
      <c r="J102" s="595">
        <f t="shared" si="668"/>
        <v>0.69500000000000017</v>
      </c>
      <c r="K102" s="595">
        <f t="shared" si="668"/>
        <v>0.7200000000000002</v>
      </c>
      <c r="L102" s="595">
        <f t="shared" si="668"/>
        <v>0.74</v>
      </c>
      <c r="M102" s="595">
        <f t="shared" si="668"/>
        <v>0.747</v>
      </c>
      <c r="N102" s="595">
        <f t="shared" si="668"/>
        <v>0.75000000000000011</v>
      </c>
      <c r="O102" s="1004">
        <v>0.76500000000000001</v>
      </c>
      <c r="P102" s="1004">
        <v>0.78500000000000003</v>
      </c>
      <c r="Q102" s="1004">
        <v>0.81299999999999994</v>
      </c>
      <c r="R102" s="1004">
        <v>0.83399999999999996</v>
      </c>
      <c r="S102" s="1004">
        <v>0.85899999999999999</v>
      </c>
      <c r="T102" s="1004">
        <f t="shared" ref="T102:Y102" si="669">1-T109</f>
        <v>0.88</v>
      </c>
      <c r="U102" s="1004">
        <f t="shared" si="669"/>
        <v>0.9</v>
      </c>
      <c r="V102" s="292">
        <f t="shared" si="669"/>
        <v>0.89906541835606335</v>
      </c>
      <c r="W102" s="292">
        <f t="shared" si="669"/>
        <v>0.91663413891872547</v>
      </c>
      <c r="X102" s="1004">
        <f t="shared" si="669"/>
        <v>0.90700000000000003</v>
      </c>
      <c r="Y102" s="292">
        <f t="shared" si="669"/>
        <v>0.92134092237244092</v>
      </c>
      <c r="Z102" s="292"/>
      <c r="AA102" s="1004">
        <f>100%-AA109</f>
        <v>0.92700000000000005</v>
      </c>
      <c r="AB102" s="292"/>
      <c r="AC102" s="292"/>
      <c r="AD102" s="1004">
        <f>100%-AD109</f>
        <v>0.94499999999999995</v>
      </c>
      <c r="AE102" s="292"/>
      <c r="AF102" s="292"/>
      <c r="AG102" s="1004">
        <f>100%-AG109</f>
        <v>0.95299999999999996</v>
      </c>
      <c r="AH102" s="1125"/>
      <c r="AI102" s="666"/>
      <c r="AJ102" s="1239"/>
      <c r="AK102" s="1255"/>
      <c r="AL102" s="1125"/>
      <c r="AM102" s="1239"/>
      <c r="AN102" s="1255"/>
      <c r="AO102" s="292"/>
      <c r="AP102" s="1239"/>
      <c r="AQ102" s="1600"/>
      <c r="AR102" s="292"/>
      <c r="AS102" s="194"/>
      <c r="AT102" s="292"/>
      <c r="AU102" s="292"/>
      <c r="AV102" s="194"/>
      <c r="AW102" s="292"/>
      <c r="AX102" s="292"/>
      <c r="AY102" s="194"/>
      <c r="AZ102" s="292"/>
      <c r="BA102" s="292"/>
      <c r="BB102" s="194"/>
      <c r="BC102" s="668"/>
      <c r="BD102" s="394"/>
      <c r="BE102" s="394"/>
      <c r="BF102" s="394"/>
      <c r="BG102" s="394"/>
      <c r="BH102" s="363"/>
      <c r="BI102" s="364"/>
      <c r="BJ102" s="364"/>
      <c r="BK102" s="394"/>
      <c r="BL102" s="394"/>
      <c r="BM102" s="394"/>
      <c r="BN102" s="394"/>
      <c r="BO102" s="394"/>
      <c r="BP102" s="394"/>
      <c r="BQ102" s="394"/>
      <c r="BR102" s="394"/>
      <c r="BS102" s="394"/>
      <c r="BT102" s="394"/>
      <c r="BU102" s="394"/>
      <c r="BV102" s="394"/>
      <c r="BW102" s="394"/>
      <c r="BX102" s="394"/>
      <c r="BY102" s="394"/>
      <c r="BZ102" s="394"/>
      <c r="CA102" s="422">
        <v>0.74</v>
      </c>
      <c r="CB102" s="422">
        <f>CB116/CB90</f>
        <v>0.7977909528233349</v>
      </c>
      <c r="CC102" s="422">
        <f>1-CC109</f>
        <v>0.76300000000000001</v>
      </c>
      <c r="CD102" s="422">
        <f>CD116/CD90</f>
        <v>0.81177840863397288</v>
      </c>
      <c r="CE102" s="422">
        <f>1-CE109</f>
        <v>0.79600000000000004</v>
      </c>
      <c r="CF102" s="422">
        <f>CF116/CF90</f>
        <v>0.83435991198957415</v>
      </c>
      <c r="CG102" s="422">
        <f>100%-CG109</f>
        <v>0.81600000000000006</v>
      </c>
      <c r="CH102" s="422">
        <f>1-CH109</f>
        <v>0.85496794049513092</v>
      </c>
      <c r="CI102" s="422">
        <f>100%-CI109</f>
        <v>0.84</v>
      </c>
      <c r="CJ102" s="422">
        <f>1-CJ109</f>
        <v>0.88088638913830164</v>
      </c>
      <c r="CK102" s="422">
        <f>1-CK109</f>
        <v>0.86699999999999999</v>
      </c>
      <c r="CL102" s="422">
        <f>1-CL109</f>
        <v>0.89516999752045634</v>
      </c>
      <c r="CM102" s="503">
        <v>0.88800000000000001</v>
      </c>
      <c r="CN102" s="422">
        <f>1-CN109</f>
        <v>0.91436893203883485</v>
      </c>
    </row>
    <row r="103" spans="1:92" outlineLevel="2">
      <c r="A103" s="165"/>
      <c r="B103" s="782" t="s">
        <v>462</v>
      </c>
      <c r="C103" s="1002"/>
      <c r="D103" s="1002"/>
      <c r="E103" s="293"/>
      <c r="F103" s="1005">
        <v>0.64</v>
      </c>
      <c r="G103" s="1005">
        <v>0.64</v>
      </c>
      <c r="H103" s="1005">
        <v>0.57999999999999996</v>
      </c>
      <c r="I103" s="1005">
        <v>0.55000000000000004</v>
      </c>
      <c r="J103" s="1005">
        <v>0.5</v>
      </c>
      <c r="K103" s="1005">
        <v>0.45</v>
      </c>
      <c r="L103" s="1005">
        <v>0.42</v>
      </c>
      <c r="M103" s="1005">
        <v>0.39700000000000002</v>
      </c>
      <c r="N103" s="1005">
        <v>0.34</v>
      </c>
      <c r="O103" s="1005">
        <v>0.33</v>
      </c>
      <c r="P103" s="1006">
        <v>0.33500000000000002</v>
      </c>
      <c r="Q103" s="263">
        <f t="shared" ref="Q103:T108" si="670">Q117/Q$127</f>
        <v>0.34681215491815637</v>
      </c>
      <c r="R103" s="263">
        <f t="shared" si="670"/>
        <v>0.34741607552402221</v>
      </c>
      <c r="S103" s="263">
        <f t="shared" si="670"/>
        <v>0.36182597209990636</v>
      </c>
      <c r="T103" s="263">
        <f>T117/T$127</f>
        <v>0.39552418866646832</v>
      </c>
      <c r="U103" s="263">
        <f>U117/U$127</f>
        <v>0.399134632201883</v>
      </c>
      <c r="V103" s="594"/>
      <c r="W103" s="594"/>
      <c r="X103" s="263"/>
      <c r="Y103" s="594"/>
      <c r="Z103" s="594"/>
      <c r="AA103" s="263"/>
      <c r="AB103" s="594"/>
      <c r="AC103" s="594"/>
      <c r="AD103" s="263"/>
      <c r="AE103" s="594"/>
      <c r="AF103" s="594"/>
      <c r="AG103" s="284"/>
      <c r="AH103" s="1197"/>
      <c r="AI103" s="667"/>
      <c r="AJ103" s="646"/>
      <c r="AK103" s="1256"/>
      <c r="AL103" s="1197"/>
      <c r="AM103" s="646"/>
      <c r="AN103" s="1256"/>
      <c r="AO103" s="594"/>
      <c r="AP103" s="646"/>
      <c r="AQ103" s="1736"/>
      <c r="AR103" s="594"/>
      <c r="AS103" s="180"/>
      <c r="AT103" s="594"/>
      <c r="AU103" s="594"/>
      <c r="AV103" s="180"/>
      <c r="AW103" s="594"/>
      <c r="AX103" s="594"/>
      <c r="AY103" s="180"/>
      <c r="AZ103" s="594"/>
      <c r="BA103" s="594"/>
      <c r="BB103" s="180"/>
      <c r="BC103" s="566"/>
      <c r="BD103" s="321"/>
      <c r="BE103" s="321"/>
      <c r="BF103" s="321"/>
      <c r="BG103" s="321"/>
      <c r="BH103" s="315"/>
      <c r="BI103" s="317"/>
      <c r="BJ103" s="317"/>
      <c r="BK103" s="493"/>
      <c r="BL103" s="493"/>
      <c r="BM103" s="493"/>
      <c r="BN103" s="493"/>
      <c r="BO103" s="493"/>
      <c r="BP103" s="493"/>
      <c r="BQ103" s="493"/>
      <c r="BR103" s="493"/>
      <c r="BS103" s="493"/>
      <c r="BT103" s="493"/>
      <c r="BU103" s="493"/>
      <c r="BV103" s="493"/>
      <c r="BW103" s="493"/>
      <c r="BX103" s="493"/>
      <c r="BY103" s="493"/>
      <c r="BZ103" s="493"/>
      <c r="CA103" s="493"/>
      <c r="CB103" s="493"/>
      <c r="CC103" s="493"/>
      <c r="CD103" s="493"/>
      <c r="CE103" s="493"/>
      <c r="CF103" s="493"/>
      <c r="CG103" s="493"/>
      <c r="CH103" s="493"/>
      <c r="CI103" s="493"/>
      <c r="CJ103" s="493"/>
      <c r="CK103" s="493"/>
      <c r="CL103" s="493"/>
      <c r="CM103" s="493"/>
      <c r="CN103" s="493"/>
    </row>
    <row r="104" spans="1:92" outlineLevel="2">
      <c r="A104" s="165"/>
      <c r="B104" s="782" t="s">
        <v>463</v>
      </c>
      <c r="C104" s="1002"/>
      <c r="D104" s="1002"/>
      <c r="E104" s="293"/>
      <c r="F104" s="1005">
        <v>0</v>
      </c>
      <c r="G104" s="1005">
        <v>0</v>
      </c>
      <c r="H104" s="1005">
        <v>0</v>
      </c>
      <c r="I104" s="1005">
        <v>0.01</v>
      </c>
      <c r="J104" s="1005">
        <v>0.05</v>
      </c>
      <c r="K104" s="1005">
        <v>0.1</v>
      </c>
      <c r="L104" s="1005">
        <v>0.115</v>
      </c>
      <c r="M104" s="1005">
        <v>0.13</v>
      </c>
      <c r="N104" s="1005">
        <v>0.17</v>
      </c>
      <c r="O104" s="1005">
        <v>0.19</v>
      </c>
      <c r="P104" s="1006">
        <v>0.185</v>
      </c>
      <c r="Q104" s="263">
        <f t="shared" si="670"/>
        <v>0.16163204569755513</v>
      </c>
      <c r="R104" s="263">
        <f t="shared" si="670"/>
        <v>0.1495554901569931</v>
      </c>
      <c r="S104" s="263">
        <f t="shared" si="670"/>
        <v>0.14226516475873993</v>
      </c>
      <c r="T104" s="263">
        <f t="shared" si="670"/>
        <v>0.12874929038996705</v>
      </c>
      <c r="U104" s="263">
        <f>U118/U$127</f>
        <v>0.13611831142040814</v>
      </c>
      <c r="V104" s="594"/>
      <c r="W104" s="594"/>
      <c r="X104" s="263"/>
      <c r="Y104" s="594"/>
      <c r="Z104" s="594"/>
      <c r="AA104" s="263"/>
      <c r="AB104" s="594"/>
      <c r="AC104" s="594"/>
      <c r="AD104" s="263"/>
      <c r="AE104" s="594"/>
      <c r="AF104" s="594"/>
      <c r="AG104" s="284"/>
      <c r="AH104" s="1197"/>
      <c r="AI104" s="667"/>
      <c r="AJ104" s="646"/>
      <c r="AK104" s="1256"/>
      <c r="AL104" s="1197"/>
      <c r="AM104" s="646"/>
      <c r="AN104" s="1256"/>
      <c r="AO104" s="594"/>
      <c r="AP104" s="646"/>
      <c r="AQ104" s="1736"/>
      <c r="AR104" s="594"/>
      <c r="AS104" s="180"/>
      <c r="AT104" s="594"/>
      <c r="AU104" s="594"/>
      <c r="AV104" s="180"/>
      <c r="AW104" s="594"/>
      <c r="AX104" s="594"/>
      <c r="AY104" s="180"/>
      <c r="AZ104" s="594"/>
      <c r="BA104" s="594"/>
      <c r="BB104" s="180"/>
      <c r="BC104" s="566"/>
      <c r="BD104" s="321"/>
      <c r="BE104" s="321"/>
      <c r="BF104" s="321"/>
      <c r="BG104" s="321"/>
      <c r="BH104" s="315"/>
      <c r="BI104" s="317"/>
      <c r="BJ104" s="317"/>
      <c r="BK104" s="493"/>
      <c r="BL104" s="493"/>
      <c r="BM104" s="493"/>
      <c r="BN104" s="493"/>
      <c r="BO104" s="493"/>
      <c r="BP104" s="493"/>
      <c r="BQ104" s="493"/>
      <c r="BR104" s="493"/>
      <c r="BS104" s="493"/>
      <c r="BT104" s="493"/>
      <c r="BU104" s="493"/>
      <c r="BV104" s="493"/>
      <c r="BW104" s="493"/>
      <c r="BX104" s="493"/>
      <c r="BY104" s="493"/>
      <c r="BZ104" s="493"/>
      <c r="CA104" s="493"/>
      <c r="CB104" s="493"/>
      <c r="CC104" s="493"/>
      <c r="CD104" s="493"/>
      <c r="CE104" s="493"/>
      <c r="CF104" s="493"/>
      <c r="CG104" s="493"/>
      <c r="CH104" s="493"/>
      <c r="CI104" s="493"/>
      <c r="CJ104" s="493"/>
      <c r="CK104" s="493"/>
      <c r="CL104" s="493"/>
      <c r="CM104" s="493"/>
      <c r="CN104" s="493"/>
    </row>
    <row r="105" spans="1:92" outlineLevel="2">
      <c r="A105" s="165"/>
      <c r="B105" s="782" t="s">
        <v>464</v>
      </c>
      <c r="C105" s="1002"/>
      <c r="D105" s="1002"/>
      <c r="E105" s="293"/>
      <c r="F105" s="1005">
        <v>0</v>
      </c>
      <c r="G105" s="1005">
        <v>0</v>
      </c>
      <c r="H105" s="1005">
        <v>0.06</v>
      </c>
      <c r="I105" s="1005">
        <v>0.05</v>
      </c>
      <c r="J105" s="1005">
        <v>0.05</v>
      </c>
      <c r="K105" s="1005">
        <v>0.05</v>
      </c>
      <c r="L105" s="1005">
        <v>0.05</v>
      </c>
      <c r="M105" s="1005">
        <v>0.05</v>
      </c>
      <c r="N105" s="1005">
        <v>0.05</v>
      </c>
      <c r="O105" s="1005">
        <v>0.04</v>
      </c>
      <c r="P105" s="1006">
        <v>0.06</v>
      </c>
      <c r="Q105" s="263">
        <f t="shared" si="670"/>
        <v>6.837548349132766E-2</v>
      </c>
      <c r="R105" s="263">
        <f t="shared" si="670"/>
        <v>8.4790445919867174E-2</v>
      </c>
      <c r="S105" s="263">
        <f t="shared" si="670"/>
        <v>9.396955089017052E-2</v>
      </c>
      <c r="T105" s="263">
        <f t="shared" si="670"/>
        <v>9.7798290735994109E-2</v>
      </c>
      <c r="U105" s="263">
        <f>U119/U$127</f>
        <v>9.4404877290132541E-2</v>
      </c>
      <c r="V105" s="594"/>
      <c r="W105" s="594"/>
      <c r="X105" s="263"/>
      <c r="Y105" s="594"/>
      <c r="Z105" s="594"/>
      <c r="AA105" s="263"/>
      <c r="AB105" s="594"/>
      <c r="AC105" s="594"/>
      <c r="AD105" s="263"/>
      <c r="AE105" s="594"/>
      <c r="AF105" s="594"/>
      <c r="AG105" s="284"/>
      <c r="AH105" s="1197"/>
      <c r="AI105" s="667"/>
      <c r="AJ105" s="646"/>
      <c r="AK105" s="1256"/>
      <c r="AL105" s="1197"/>
      <c r="AM105" s="646"/>
      <c r="AN105" s="1256"/>
      <c r="AO105" s="594"/>
      <c r="AP105" s="646"/>
      <c r="AQ105" s="1736"/>
      <c r="AR105" s="594"/>
      <c r="AS105" s="180"/>
      <c r="AT105" s="594"/>
      <c r="AU105" s="594"/>
      <c r="AV105" s="180"/>
      <c r="AW105" s="594"/>
      <c r="AX105" s="594"/>
      <c r="AY105" s="180"/>
      <c r="AZ105" s="594"/>
      <c r="BA105" s="594"/>
      <c r="BB105" s="180"/>
      <c r="BC105" s="566"/>
      <c r="BD105" s="321"/>
      <c r="BE105" s="321"/>
      <c r="BF105" s="321"/>
      <c r="BG105" s="321"/>
      <c r="BH105" s="315"/>
      <c r="BI105" s="317"/>
      <c r="BJ105" s="317"/>
      <c r="BK105" s="493"/>
      <c r="BL105" s="493"/>
      <c r="BM105" s="493"/>
      <c r="BN105" s="493"/>
      <c r="BO105" s="493"/>
      <c r="BP105" s="493"/>
      <c r="BQ105" s="493"/>
      <c r="BR105" s="493"/>
      <c r="BS105" s="493"/>
      <c r="BT105" s="493"/>
      <c r="BU105" s="493"/>
      <c r="BV105" s="493"/>
      <c r="BW105" s="493"/>
      <c r="BX105" s="493"/>
      <c r="BY105" s="493"/>
      <c r="BZ105" s="493"/>
      <c r="CA105" s="493"/>
      <c r="CB105" s="493"/>
      <c r="CC105" s="493"/>
      <c r="CD105" s="493"/>
      <c r="CE105" s="493"/>
      <c r="CF105" s="493"/>
      <c r="CG105" s="493"/>
      <c r="CH105" s="493"/>
      <c r="CI105" s="493"/>
      <c r="CJ105" s="493"/>
      <c r="CK105" s="493"/>
      <c r="CL105" s="493"/>
      <c r="CM105" s="493"/>
      <c r="CN105" s="493"/>
    </row>
    <row r="106" spans="1:92" outlineLevel="2">
      <c r="A106" s="165"/>
      <c r="B106" s="782" t="s">
        <v>465</v>
      </c>
      <c r="C106" s="1002"/>
      <c r="D106" s="1002"/>
      <c r="E106" s="293"/>
      <c r="F106" s="1005">
        <v>0</v>
      </c>
      <c r="G106" s="1005">
        <v>0</v>
      </c>
      <c r="H106" s="1005">
        <v>0.01</v>
      </c>
      <c r="I106" s="1005">
        <v>0.04</v>
      </c>
      <c r="J106" s="1005">
        <v>7.0000000000000007E-2</v>
      </c>
      <c r="K106" s="1005">
        <v>7.0000000000000007E-2</v>
      </c>
      <c r="L106" s="1005">
        <v>7.4999999999999997E-2</v>
      </c>
      <c r="M106" s="1005">
        <v>7.0000000000000007E-2</v>
      </c>
      <c r="N106" s="1005">
        <v>7.0000000000000007E-2</v>
      </c>
      <c r="O106" s="1005">
        <v>6.5000000000000002E-2</v>
      </c>
      <c r="P106" s="1006">
        <v>6.5000000000000002E-2</v>
      </c>
      <c r="Q106" s="263">
        <f t="shared" si="670"/>
        <v>9.2591800561172874E-2</v>
      </c>
      <c r="R106" s="263">
        <f t="shared" si="670"/>
        <v>0.10157188834150756</v>
      </c>
      <c r="S106" s="263">
        <f t="shared" si="670"/>
        <v>0.10787737070507858</v>
      </c>
      <c r="T106" s="263">
        <f t="shared" si="670"/>
        <v>0.10250992713863967</v>
      </c>
      <c r="U106" s="263">
        <f>U120/U$127</f>
        <v>0.10837712692378496</v>
      </c>
      <c r="V106" s="594"/>
      <c r="W106" s="594"/>
      <c r="X106" s="263"/>
      <c r="Y106" s="594"/>
      <c r="Z106" s="594"/>
      <c r="AA106" s="263"/>
      <c r="AB106" s="594"/>
      <c r="AC106" s="594"/>
      <c r="AD106" s="263"/>
      <c r="AE106" s="594"/>
      <c r="AF106" s="594"/>
      <c r="AG106" s="284"/>
      <c r="AH106" s="1197"/>
      <c r="AI106" s="667"/>
      <c r="AJ106" s="646"/>
      <c r="AK106" s="1256"/>
      <c r="AL106" s="1197"/>
      <c r="AM106" s="646"/>
      <c r="AN106" s="1256"/>
      <c r="AO106" s="594"/>
      <c r="AP106" s="646"/>
      <c r="AQ106" s="1736"/>
      <c r="AR106" s="594"/>
      <c r="AS106" s="180"/>
      <c r="AT106" s="594"/>
      <c r="AU106" s="594"/>
      <c r="AV106" s="180"/>
      <c r="AW106" s="594"/>
      <c r="AX106" s="594"/>
      <c r="AY106" s="180"/>
      <c r="AZ106" s="594"/>
      <c r="BA106" s="594"/>
      <c r="BB106" s="180"/>
      <c r="BC106" s="566"/>
      <c r="BD106" s="321"/>
      <c r="BE106" s="321"/>
      <c r="BF106" s="321"/>
      <c r="BG106" s="321"/>
      <c r="BH106" s="318"/>
      <c r="BI106" s="317"/>
      <c r="BJ106" s="317"/>
      <c r="BK106" s="493"/>
      <c r="BL106" s="493"/>
      <c r="BM106" s="493"/>
      <c r="BN106" s="493"/>
      <c r="BO106" s="493"/>
      <c r="BP106" s="493"/>
      <c r="BQ106" s="493"/>
      <c r="BR106" s="493"/>
      <c r="BS106" s="493"/>
      <c r="BT106" s="493"/>
      <c r="BU106" s="493"/>
      <c r="BV106" s="493"/>
      <c r="BW106" s="493"/>
      <c r="BX106" s="493"/>
      <c r="BY106" s="493"/>
      <c r="BZ106" s="493"/>
      <c r="CA106" s="493"/>
      <c r="CB106" s="493"/>
      <c r="CC106" s="493"/>
      <c r="CD106" s="493"/>
      <c r="CE106" s="493"/>
      <c r="CF106" s="493"/>
      <c r="CG106" s="493"/>
      <c r="CH106" s="493"/>
      <c r="CI106" s="493"/>
      <c r="CJ106" s="493"/>
      <c r="CK106" s="493"/>
      <c r="CL106" s="493"/>
      <c r="CM106" s="493"/>
      <c r="CN106" s="493"/>
    </row>
    <row r="107" spans="1:92" outlineLevel="2">
      <c r="A107" s="165"/>
      <c r="B107" s="782" t="s">
        <v>466</v>
      </c>
      <c r="C107" s="1002"/>
      <c r="D107" s="1002"/>
      <c r="E107" s="293"/>
      <c r="F107" s="1005">
        <v>0.02</v>
      </c>
      <c r="G107" s="1005">
        <v>0.02</v>
      </c>
      <c r="H107" s="1005">
        <v>0.02</v>
      </c>
      <c r="I107" s="1005">
        <v>0.02</v>
      </c>
      <c r="J107" s="1005">
        <v>0.02</v>
      </c>
      <c r="K107" s="1005">
        <f t="shared" ref="K107:P107" si="671">J107</f>
        <v>0.02</v>
      </c>
      <c r="L107" s="1005">
        <f t="shared" si="671"/>
        <v>0.02</v>
      </c>
      <c r="M107" s="1005">
        <f t="shared" si="671"/>
        <v>0.02</v>
      </c>
      <c r="N107" s="1005">
        <f t="shared" si="671"/>
        <v>0.02</v>
      </c>
      <c r="O107" s="1005">
        <f t="shared" si="671"/>
        <v>0.02</v>
      </c>
      <c r="P107" s="1006">
        <f t="shared" si="671"/>
        <v>0.02</v>
      </c>
      <c r="Q107" s="263">
        <f t="shared" si="670"/>
        <v>2.05126450473983E-2</v>
      </c>
      <c r="R107" s="263">
        <f t="shared" si="670"/>
        <v>2.1523728579658598E-2</v>
      </c>
      <c r="S107" s="263">
        <f t="shared" si="670"/>
        <v>2.1865991649443535E-2</v>
      </c>
      <c r="T107" s="263">
        <f t="shared" si="670"/>
        <v>2.2756909959721714E-2</v>
      </c>
      <c r="U107" s="263">
        <f>U121/U$127</f>
        <v>2.4059411492531036E-2</v>
      </c>
      <c r="V107" s="594"/>
      <c r="W107" s="594"/>
      <c r="X107" s="263"/>
      <c r="Y107" s="594"/>
      <c r="Z107" s="594"/>
      <c r="AA107" s="263"/>
      <c r="AB107" s="594"/>
      <c r="AC107" s="594"/>
      <c r="AD107" s="263"/>
      <c r="AE107" s="594"/>
      <c r="AF107" s="594"/>
      <c r="AG107" s="284"/>
      <c r="AH107" s="1197"/>
      <c r="AI107" s="667"/>
      <c r="AJ107" s="646"/>
      <c r="AK107" s="1256"/>
      <c r="AL107" s="1197"/>
      <c r="AM107" s="646"/>
      <c r="AN107" s="1256"/>
      <c r="AO107" s="594"/>
      <c r="AP107" s="646"/>
      <c r="AQ107" s="1736"/>
      <c r="AR107" s="594"/>
      <c r="AS107" s="180"/>
      <c r="AT107" s="594"/>
      <c r="AU107" s="594"/>
      <c r="AV107" s="180"/>
      <c r="AW107" s="594"/>
      <c r="AX107" s="594"/>
      <c r="AY107" s="180"/>
      <c r="AZ107" s="594"/>
      <c r="BA107" s="594"/>
      <c r="BB107" s="180"/>
      <c r="BC107" s="566"/>
      <c r="BD107" s="321"/>
      <c r="BE107" s="321"/>
      <c r="BF107" s="321"/>
      <c r="BG107" s="321"/>
      <c r="BH107" s="315"/>
      <c r="BI107" s="317"/>
      <c r="BJ107" s="317"/>
      <c r="BK107" s="493"/>
      <c r="BL107" s="493"/>
      <c r="BM107" s="493"/>
      <c r="BN107" s="493"/>
      <c r="BO107" s="493"/>
      <c r="BP107" s="493"/>
      <c r="BQ107" s="493"/>
      <c r="BR107" s="493"/>
      <c r="BS107" s="493"/>
      <c r="BT107" s="493"/>
      <c r="BU107" s="493"/>
      <c r="BV107" s="493"/>
      <c r="BW107" s="493"/>
      <c r="BX107" s="493"/>
      <c r="BY107" s="493"/>
      <c r="BZ107" s="493"/>
      <c r="CA107" s="493"/>
      <c r="CB107" s="493"/>
      <c r="CC107" s="493"/>
      <c r="CD107" s="493"/>
      <c r="CE107" s="493"/>
      <c r="CF107" s="493"/>
      <c r="CG107" s="493"/>
      <c r="CH107" s="493"/>
      <c r="CI107" s="493"/>
      <c r="CJ107" s="493"/>
      <c r="CK107" s="493"/>
      <c r="CL107" s="493"/>
      <c r="CM107" s="493"/>
      <c r="CN107" s="493"/>
    </row>
    <row r="108" spans="1:92" outlineLevel="2">
      <c r="A108" s="165"/>
      <c r="B108" s="782" t="s">
        <v>467</v>
      </c>
      <c r="C108" s="1002"/>
      <c r="D108" s="1002"/>
      <c r="E108" s="293"/>
      <c r="F108" s="1005">
        <v>0</v>
      </c>
      <c r="G108" s="1005">
        <v>0</v>
      </c>
      <c r="H108" s="1005">
        <v>0</v>
      </c>
      <c r="I108" s="1005">
        <v>0</v>
      </c>
      <c r="J108" s="1005">
        <v>5.0000000000000001E-3</v>
      </c>
      <c r="K108" s="1005">
        <v>0.03</v>
      </c>
      <c r="L108" s="1005">
        <v>0.06</v>
      </c>
      <c r="M108" s="1005">
        <v>0.08</v>
      </c>
      <c r="N108" s="1005">
        <v>0.1</v>
      </c>
      <c r="O108" s="1005">
        <v>0.12</v>
      </c>
      <c r="P108" s="1006">
        <v>0.12</v>
      </c>
      <c r="Q108" s="263">
        <f t="shared" si="670"/>
        <v>0.12307587028438979</v>
      </c>
      <c r="R108" s="263">
        <f t="shared" si="670"/>
        <v>0.12914237147795155</v>
      </c>
      <c r="S108" s="263">
        <f t="shared" si="670"/>
        <v>0.13119594989666117</v>
      </c>
      <c r="T108" s="263">
        <f t="shared" si="670"/>
        <v>0.13654145975833026</v>
      </c>
      <c r="U108" s="263">
        <f>U122/U$127</f>
        <v>0.13808010073974333</v>
      </c>
      <c r="V108" s="594"/>
      <c r="W108" s="594"/>
      <c r="X108" s="263"/>
      <c r="Y108" s="594"/>
      <c r="Z108" s="594"/>
      <c r="AA108" s="263"/>
      <c r="AB108" s="594"/>
      <c r="AC108" s="594"/>
      <c r="AD108" s="263"/>
      <c r="AE108" s="594"/>
      <c r="AF108" s="594"/>
      <c r="AG108" s="284"/>
      <c r="AH108" s="1197"/>
      <c r="AI108" s="667"/>
      <c r="AJ108" s="646"/>
      <c r="AK108" s="1256"/>
      <c r="AL108" s="1197"/>
      <c r="AM108" s="646"/>
      <c r="AN108" s="1256"/>
      <c r="AO108" s="594"/>
      <c r="AP108" s="646"/>
      <c r="AQ108" s="1736"/>
      <c r="AR108" s="594"/>
      <c r="AS108" s="180"/>
      <c r="AT108" s="594"/>
      <c r="AU108" s="594"/>
      <c r="AV108" s="180"/>
      <c r="AW108" s="594"/>
      <c r="AX108" s="594"/>
      <c r="AY108" s="180"/>
      <c r="AZ108" s="594"/>
      <c r="BA108" s="594"/>
      <c r="BB108" s="180"/>
      <c r="BC108" s="566"/>
      <c r="BD108" s="321"/>
      <c r="BE108" s="321"/>
      <c r="BF108" s="321"/>
      <c r="BG108" s="321"/>
      <c r="BH108" s="315"/>
      <c r="BI108" s="317"/>
      <c r="BJ108" s="317"/>
      <c r="BK108" s="493"/>
      <c r="BL108" s="493"/>
      <c r="BM108" s="493"/>
      <c r="BN108" s="493"/>
      <c r="BO108" s="493"/>
      <c r="BP108" s="493"/>
      <c r="BQ108" s="493"/>
      <c r="BR108" s="493"/>
      <c r="BS108" s="493"/>
      <c r="BT108" s="493"/>
      <c r="BU108" s="493"/>
      <c r="BV108" s="493"/>
      <c r="BW108" s="493"/>
      <c r="BX108" s="493"/>
      <c r="BY108" s="493"/>
      <c r="BZ108" s="493"/>
      <c r="CA108" s="493"/>
      <c r="CB108" s="493"/>
      <c r="CC108" s="493"/>
      <c r="CD108" s="493"/>
      <c r="CE108" s="493"/>
      <c r="CF108" s="493"/>
      <c r="CG108" s="493"/>
      <c r="CH108" s="493"/>
      <c r="CI108" s="493"/>
      <c r="CJ108" s="493"/>
      <c r="CK108" s="493"/>
      <c r="CL108" s="493"/>
      <c r="CM108" s="493"/>
      <c r="CN108" s="493"/>
    </row>
    <row r="109" spans="1:92" outlineLevel="2">
      <c r="A109" s="168"/>
      <c r="B109" s="1003" t="s">
        <v>468</v>
      </c>
      <c r="C109" s="595"/>
      <c r="D109" s="595"/>
      <c r="E109" s="595"/>
      <c r="F109" s="595">
        <f t="shared" ref="F109:N109" si="672">SUM(F110:F112)</f>
        <v>0.34</v>
      </c>
      <c r="G109" s="595">
        <f t="shared" si="672"/>
        <v>0.34</v>
      </c>
      <c r="H109" s="595">
        <f t="shared" si="672"/>
        <v>0.33</v>
      </c>
      <c r="I109" s="595">
        <f t="shared" si="672"/>
        <v>0.32999999999999996</v>
      </c>
      <c r="J109" s="595">
        <f t="shared" si="672"/>
        <v>0.30499999999999999</v>
      </c>
      <c r="K109" s="595">
        <f t="shared" si="672"/>
        <v>0.28000000000000003</v>
      </c>
      <c r="L109" s="595">
        <f t="shared" si="672"/>
        <v>0.26</v>
      </c>
      <c r="M109" s="595">
        <f t="shared" si="672"/>
        <v>0.253</v>
      </c>
      <c r="N109" s="595">
        <f t="shared" si="672"/>
        <v>0.25</v>
      </c>
      <c r="O109" s="1007">
        <v>0.23499999999999999</v>
      </c>
      <c r="P109" s="1007">
        <v>0.215</v>
      </c>
      <c r="Q109" s="1007">
        <v>0.187</v>
      </c>
      <c r="R109" s="1007">
        <v>0.16600000000000001</v>
      </c>
      <c r="S109" s="1007">
        <v>0.14099999999999999</v>
      </c>
      <c r="T109" s="1007">
        <v>0.12</v>
      </c>
      <c r="U109" s="1007">
        <v>0.1</v>
      </c>
      <c r="V109" s="292">
        <f>V123/V90</f>
        <v>0.10093458164393659</v>
      </c>
      <c r="W109" s="292">
        <f>W123/W90</f>
        <v>8.3365861081274487E-2</v>
      </c>
      <c r="X109" s="1007">
        <v>9.2999999999999999E-2</v>
      </c>
      <c r="Y109" s="292">
        <f>Y123/Y90</f>
        <v>7.8659077627559096E-2</v>
      </c>
      <c r="Z109" s="292"/>
      <c r="AA109" s="1007">
        <v>7.2999999999999995E-2</v>
      </c>
      <c r="AB109" s="292"/>
      <c r="AC109" s="292"/>
      <c r="AD109" s="1007">
        <v>5.5E-2</v>
      </c>
      <c r="AE109" s="292"/>
      <c r="AF109" s="292"/>
      <c r="AG109" s="1004">
        <v>4.7E-2</v>
      </c>
      <c r="AH109" s="1125"/>
      <c r="AI109" s="666"/>
      <c r="AJ109" s="1240"/>
      <c r="AK109" s="1255"/>
      <c r="AL109" s="1125"/>
      <c r="AM109" s="1240"/>
      <c r="AN109" s="1255"/>
      <c r="AO109" s="292"/>
      <c r="AP109" s="1240"/>
      <c r="AQ109" s="1600"/>
      <c r="AR109" s="292"/>
      <c r="AS109" s="290"/>
      <c r="AT109" s="292"/>
      <c r="AU109" s="292"/>
      <c r="AV109" s="290"/>
      <c r="AW109" s="292"/>
      <c r="AX109" s="292"/>
      <c r="AY109" s="290"/>
      <c r="AZ109" s="292"/>
      <c r="BA109" s="292"/>
      <c r="BB109" s="290"/>
      <c r="BC109" s="1347"/>
      <c r="BD109" s="395"/>
      <c r="BE109" s="395"/>
      <c r="BF109" s="395"/>
      <c r="BG109" s="395"/>
      <c r="BH109" s="363"/>
      <c r="BI109" s="364"/>
      <c r="BJ109" s="364"/>
      <c r="BK109" s="394"/>
      <c r="BL109" s="394"/>
      <c r="BM109" s="394"/>
      <c r="BN109" s="394"/>
      <c r="BO109" s="394"/>
      <c r="BP109" s="394"/>
      <c r="BQ109" s="394"/>
      <c r="BR109" s="394"/>
      <c r="BS109" s="394"/>
      <c r="BT109" s="394"/>
      <c r="BU109" s="394"/>
      <c r="BV109" s="394"/>
      <c r="BW109" s="394"/>
      <c r="BX109" s="394"/>
      <c r="BY109" s="394"/>
      <c r="BZ109" s="394"/>
      <c r="CA109" s="422">
        <v>0.26</v>
      </c>
      <c r="CB109" s="422">
        <f>CB123/CB90</f>
        <v>0.20220904717666507</v>
      </c>
      <c r="CC109" s="422">
        <v>0.23699999999999999</v>
      </c>
      <c r="CD109" s="422">
        <f>CD123/CD90</f>
        <v>0.18822159136602709</v>
      </c>
      <c r="CE109" s="422">
        <v>0.20399999999999999</v>
      </c>
      <c r="CF109" s="422">
        <f>CF123/CF90</f>
        <v>0.16564008801042548</v>
      </c>
      <c r="CG109" s="503">
        <v>0.184</v>
      </c>
      <c r="CH109" s="422">
        <f>CH123/CH90</f>
        <v>0.14503205950486908</v>
      </c>
      <c r="CI109" s="503">
        <v>0.16</v>
      </c>
      <c r="CJ109" s="422">
        <f>CJ123/CJ90</f>
        <v>0.11911361086169835</v>
      </c>
      <c r="CK109" s="503">
        <v>0.13300000000000001</v>
      </c>
      <c r="CL109" s="422">
        <f>CL123/CL90</f>
        <v>0.10483000247954372</v>
      </c>
      <c r="CM109" s="503">
        <v>0.112</v>
      </c>
      <c r="CN109" s="422">
        <f>CN123/CN90</f>
        <v>8.5631067961165139E-2</v>
      </c>
    </row>
    <row r="110" spans="1:92" outlineLevel="2">
      <c r="A110" s="165"/>
      <c r="B110" s="782" t="s">
        <v>469</v>
      </c>
      <c r="C110" s="1002"/>
      <c r="D110" s="1002"/>
      <c r="E110" s="293"/>
      <c r="F110" s="1005">
        <v>0.34</v>
      </c>
      <c r="G110" s="1005">
        <v>0.34</v>
      </c>
      <c r="H110" s="1005">
        <v>0.32500000000000001</v>
      </c>
      <c r="I110" s="1005">
        <v>0.28999999999999998</v>
      </c>
      <c r="J110" s="1005">
        <v>0.23499999999999999</v>
      </c>
      <c r="K110" s="1005">
        <v>0.2</v>
      </c>
      <c r="L110" s="1005">
        <v>0.16</v>
      </c>
      <c r="M110" s="1005">
        <v>0.13</v>
      </c>
      <c r="N110" s="1005">
        <v>0.11</v>
      </c>
      <c r="O110" s="1006">
        <v>0.09</v>
      </c>
      <c r="P110" s="1006">
        <v>0.08</v>
      </c>
      <c r="Q110" s="1006">
        <v>7.0000000000000007E-2</v>
      </c>
      <c r="R110" s="1006">
        <v>0.06</v>
      </c>
      <c r="S110" s="1006">
        <v>0.06</v>
      </c>
      <c r="T110" s="263">
        <f t="shared" ref="T110:U113" si="673">T124/T$127</f>
        <v>4.9412737596118632E-2</v>
      </c>
      <c r="U110" s="263">
        <f t="shared" si="673"/>
        <v>3.8612836833578794E-2</v>
      </c>
      <c r="V110" s="594"/>
      <c r="W110" s="594"/>
      <c r="X110" s="263"/>
      <c r="Y110" s="594"/>
      <c r="Z110" s="594"/>
      <c r="AA110" s="263"/>
      <c r="AB110" s="594"/>
      <c r="AC110" s="594"/>
      <c r="AD110" s="263"/>
      <c r="AE110" s="594"/>
      <c r="AF110" s="594"/>
      <c r="AG110" s="284"/>
      <c r="AH110" s="1197"/>
      <c r="AI110" s="667"/>
      <c r="AJ110" s="1241"/>
      <c r="AK110" s="1256"/>
      <c r="AL110" s="1197"/>
      <c r="AM110" s="1241"/>
      <c r="AN110" s="1256"/>
      <c r="AO110" s="594"/>
      <c r="AP110" s="1241"/>
      <c r="AQ110" s="1736"/>
      <c r="AR110" s="594"/>
      <c r="AS110" s="265"/>
      <c r="AT110" s="594"/>
      <c r="AU110" s="594"/>
      <c r="AV110" s="265"/>
      <c r="AW110" s="594"/>
      <c r="AX110" s="594"/>
      <c r="AY110" s="265"/>
      <c r="AZ110" s="594"/>
      <c r="BA110" s="594"/>
      <c r="BB110" s="265"/>
      <c r="BC110" s="1333"/>
      <c r="BD110" s="329"/>
      <c r="BE110" s="329"/>
      <c r="BF110" s="329"/>
      <c r="BG110" s="329"/>
      <c r="BH110" s="315"/>
      <c r="BI110" s="317"/>
      <c r="BJ110" s="317"/>
      <c r="BK110" s="493"/>
      <c r="BL110" s="493"/>
      <c r="BM110" s="493"/>
      <c r="BN110" s="493"/>
      <c r="BO110" s="493"/>
      <c r="BP110" s="493"/>
      <c r="BQ110" s="493"/>
      <c r="BR110" s="493"/>
      <c r="BS110" s="493"/>
      <c r="BT110" s="493"/>
      <c r="BU110" s="493"/>
      <c r="BV110" s="493"/>
      <c r="BW110" s="493"/>
      <c r="BX110" s="493"/>
      <c r="BY110" s="493"/>
      <c r="BZ110" s="493"/>
      <c r="CA110" s="493"/>
      <c r="CB110" s="493"/>
      <c r="CC110" s="493"/>
      <c r="CD110" s="493"/>
      <c r="CE110" s="493"/>
      <c r="CF110" s="493"/>
      <c r="CG110" s="493"/>
      <c r="CH110" s="493"/>
      <c r="CI110" s="493"/>
      <c r="CJ110" s="493"/>
      <c r="CK110" s="493"/>
      <c r="CL110" s="493"/>
      <c r="CM110" s="493"/>
      <c r="CN110" s="493"/>
    </row>
    <row r="111" spans="1:92" outlineLevel="2">
      <c r="A111" s="165"/>
      <c r="B111" s="782" t="s">
        <v>470</v>
      </c>
      <c r="C111" s="1002"/>
      <c r="D111" s="1002"/>
      <c r="E111" s="293"/>
      <c r="F111" s="1005">
        <v>0</v>
      </c>
      <c r="G111" s="1005">
        <v>0</v>
      </c>
      <c r="H111" s="1005">
        <v>0</v>
      </c>
      <c r="I111" s="1005">
        <v>0.01</v>
      </c>
      <c r="J111" s="1005">
        <v>0.02</v>
      </c>
      <c r="K111" s="1005">
        <v>0.02</v>
      </c>
      <c r="L111" s="1005">
        <v>0.03</v>
      </c>
      <c r="M111" s="1005">
        <v>3.5000000000000003E-2</v>
      </c>
      <c r="N111" s="1005">
        <v>0.04</v>
      </c>
      <c r="O111" s="1006">
        <v>0.04</v>
      </c>
      <c r="P111" s="1006">
        <v>4.4999999999999998E-2</v>
      </c>
      <c r="Q111" s="1006">
        <v>0.04</v>
      </c>
      <c r="R111" s="1006">
        <v>0.03</v>
      </c>
      <c r="S111" s="1006">
        <v>0.03</v>
      </c>
      <c r="T111" s="263">
        <f t="shared" si="673"/>
        <v>2.4706368798059316E-2</v>
      </c>
      <c r="U111" s="263">
        <f t="shared" si="673"/>
        <v>2.0669224422680415E-2</v>
      </c>
      <c r="V111" s="594"/>
      <c r="W111" s="594"/>
      <c r="X111" s="263"/>
      <c r="Y111" s="594"/>
      <c r="Z111" s="594"/>
      <c r="AA111" s="263"/>
      <c r="AB111" s="594"/>
      <c r="AC111" s="594"/>
      <c r="AD111" s="263"/>
      <c r="AE111" s="594"/>
      <c r="AF111" s="594"/>
      <c r="AG111" s="284"/>
      <c r="AH111" s="1197"/>
      <c r="AI111" s="667"/>
      <c r="AJ111" s="1241"/>
      <c r="AK111" s="1256"/>
      <c r="AL111" s="1197"/>
      <c r="AM111" s="1241"/>
      <c r="AN111" s="1256"/>
      <c r="AO111" s="594"/>
      <c r="AP111" s="1241"/>
      <c r="AQ111" s="1736"/>
      <c r="AR111" s="594"/>
      <c r="AS111" s="265"/>
      <c r="AT111" s="594"/>
      <c r="AU111" s="594"/>
      <c r="AV111" s="265"/>
      <c r="AW111" s="594"/>
      <c r="AX111" s="594"/>
      <c r="AY111" s="265"/>
      <c r="AZ111" s="594"/>
      <c r="BA111" s="594"/>
      <c r="BB111" s="265"/>
      <c r="BC111" s="1333"/>
      <c r="BD111" s="329"/>
      <c r="BE111" s="329"/>
      <c r="BF111" s="329"/>
      <c r="BG111" s="329"/>
      <c r="BH111" s="315"/>
      <c r="BI111" s="317"/>
      <c r="BJ111" s="317"/>
      <c r="BK111" s="493"/>
      <c r="BL111" s="493"/>
      <c r="BM111" s="493"/>
      <c r="BN111" s="493"/>
      <c r="BO111" s="493"/>
      <c r="BP111" s="493"/>
      <c r="BQ111" s="493"/>
      <c r="BR111" s="493"/>
      <c r="BS111" s="493"/>
      <c r="BT111" s="493"/>
      <c r="BU111" s="493"/>
      <c r="BV111" s="493"/>
      <c r="BW111" s="493"/>
      <c r="BX111" s="493"/>
      <c r="BY111" s="493"/>
      <c r="BZ111" s="493"/>
      <c r="CA111" s="493"/>
      <c r="CB111" s="493"/>
      <c r="CC111" s="493"/>
      <c r="CD111" s="493"/>
      <c r="CE111" s="493"/>
      <c r="CF111" s="493"/>
      <c r="CG111" s="493"/>
      <c r="CH111" s="493"/>
      <c r="CI111" s="493"/>
      <c r="CJ111" s="493"/>
      <c r="CK111" s="493"/>
      <c r="CL111" s="493"/>
      <c r="CM111" s="493"/>
      <c r="CN111" s="493"/>
    </row>
    <row r="112" spans="1:92" outlineLevel="2">
      <c r="A112" s="165"/>
      <c r="B112" s="782" t="s">
        <v>471</v>
      </c>
      <c r="C112" s="1002"/>
      <c r="D112" s="1002"/>
      <c r="E112" s="293"/>
      <c r="F112" s="1005">
        <v>0</v>
      </c>
      <c r="G112" s="1005">
        <v>0</v>
      </c>
      <c r="H112" s="1005">
        <v>5.0000000000000001E-3</v>
      </c>
      <c r="I112" s="1005">
        <v>0.03</v>
      </c>
      <c r="J112" s="1005">
        <v>0.05</v>
      </c>
      <c r="K112" s="1005">
        <v>0.06</v>
      </c>
      <c r="L112" s="1005">
        <v>7.0000000000000007E-2</v>
      </c>
      <c r="M112" s="1005">
        <v>8.7999999999999995E-2</v>
      </c>
      <c r="N112" s="1005">
        <v>0.1</v>
      </c>
      <c r="O112" s="263">
        <f>O109-O110-O111</f>
        <v>0.10499999999999998</v>
      </c>
      <c r="P112" s="263">
        <f>P109-P110-P111</f>
        <v>9.0000000000000011E-2</v>
      </c>
      <c r="Q112" s="263">
        <f>Q109-Q110-Q111</f>
        <v>7.6999999999999985E-2</v>
      </c>
      <c r="R112" s="263">
        <f>R109-R110-R111</f>
        <v>7.6000000000000012E-2</v>
      </c>
      <c r="S112" s="263">
        <f>S109-S110-S111</f>
        <v>5.099999999999999E-2</v>
      </c>
      <c r="T112" s="263">
        <f t="shared" si="673"/>
        <v>4.2000826956700828E-2</v>
      </c>
      <c r="U112" s="263">
        <f t="shared" si="673"/>
        <v>4.0543478675257719E-2</v>
      </c>
      <c r="V112" s="594"/>
      <c r="W112" s="594"/>
      <c r="X112" s="263"/>
      <c r="Y112" s="594"/>
      <c r="Z112" s="594"/>
      <c r="AA112" s="263"/>
      <c r="AB112" s="594"/>
      <c r="AC112" s="594"/>
      <c r="AD112" s="263"/>
      <c r="AE112" s="594"/>
      <c r="AF112" s="594"/>
      <c r="AG112" s="284"/>
      <c r="AH112" s="1197"/>
      <c r="AI112" s="667"/>
      <c r="AJ112" s="137"/>
      <c r="AK112" s="1256"/>
      <c r="AL112" s="1197"/>
      <c r="AM112" s="137"/>
      <c r="AN112" s="1256"/>
      <c r="AO112" s="594"/>
      <c r="AP112" s="137"/>
      <c r="AQ112" s="1736"/>
      <c r="AR112" s="594"/>
      <c r="AS112" s="193"/>
      <c r="AT112" s="594"/>
      <c r="AU112" s="594"/>
      <c r="AV112" s="193"/>
      <c r="AW112" s="594"/>
      <c r="AX112" s="594"/>
      <c r="AY112" s="193"/>
      <c r="AZ112" s="594"/>
      <c r="BA112" s="594"/>
      <c r="BB112" s="193"/>
      <c r="BC112" s="564"/>
      <c r="BD112" s="331"/>
      <c r="BE112" s="331"/>
      <c r="BF112" s="331"/>
      <c r="BG112" s="331"/>
      <c r="BH112" s="315"/>
      <c r="BI112" s="317"/>
      <c r="BJ112" s="317"/>
      <c r="BK112" s="493"/>
      <c r="BL112" s="493"/>
      <c r="BM112" s="493"/>
      <c r="BN112" s="493"/>
      <c r="BO112" s="493"/>
      <c r="BP112" s="493"/>
      <c r="BQ112" s="493"/>
      <c r="BR112" s="493"/>
      <c r="BS112" s="493"/>
      <c r="BT112" s="493"/>
      <c r="BU112" s="493"/>
      <c r="BV112" s="493"/>
      <c r="BW112" s="493"/>
      <c r="BX112" s="493"/>
      <c r="BY112" s="493"/>
      <c r="BZ112" s="493"/>
      <c r="CA112" s="493"/>
      <c r="CB112" s="493"/>
      <c r="CC112" s="493"/>
      <c r="CD112" s="493"/>
      <c r="CE112" s="493"/>
      <c r="CF112" s="493"/>
      <c r="CG112" s="493"/>
      <c r="CH112" s="493"/>
      <c r="CI112" s="493"/>
      <c r="CJ112" s="493"/>
      <c r="CK112" s="493"/>
      <c r="CL112" s="493"/>
      <c r="CM112" s="493"/>
      <c r="CN112" s="493"/>
    </row>
    <row r="113" spans="1:92" outlineLevel="2">
      <c r="A113" s="165"/>
      <c r="B113" s="833" t="s">
        <v>219</v>
      </c>
      <c r="C113" s="1008"/>
      <c r="D113" s="1008"/>
      <c r="E113" s="595"/>
      <c r="F113" s="595">
        <f t="shared" ref="F113:S113" si="674">F109+F102</f>
        <v>1</v>
      </c>
      <c r="G113" s="595">
        <f t="shared" si="674"/>
        <v>1</v>
      </c>
      <c r="H113" s="595">
        <f t="shared" si="674"/>
        <v>1</v>
      </c>
      <c r="I113" s="595">
        <f t="shared" si="674"/>
        <v>1</v>
      </c>
      <c r="J113" s="595">
        <f t="shared" si="674"/>
        <v>1.0000000000000002</v>
      </c>
      <c r="K113" s="595">
        <f t="shared" si="674"/>
        <v>1.0000000000000002</v>
      </c>
      <c r="L113" s="595">
        <f t="shared" si="674"/>
        <v>1</v>
      </c>
      <c r="M113" s="595">
        <f t="shared" si="674"/>
        <v>1</v>
      </c>
      <c r="N113" s="595">
        <f t="shared" si="674"/>
        <v>1</v>
      </c>
      <c r="O113" s="595">
        <f t="shared" si="674"/>
        <v>1</v>
      </c>
      <c r="P113" s="595">
        <f t="shared" si="674"/>
        <v>1</v>
      </c>
      <c r="Q113" s="595">
        <f t="shared" si="674"/>
        <v>1</v>
      </c>
      <c r="R113" s="595">
        <f t="shared" si="674"/>
        <v>1</v>
      </c>
      <c r="S113" s="595">
        <f t="shared" si="674"/>
        <v>1</v>
      </c>
      <c r="T113" s="292">
        <f t="shared" si="673"/>
        <v>1</v>
      </c>
      <c r="U113" s="292">
        <f t="shared" si="673"/>
        <v>1</v>
      </c>
      <c r="V113" s="595"/>
      <c r="W113" s="595"/>
      <c r="X113" s="292"/>
      <c r="Y113" s="595"/>
      <c r="Z113" s="595"/>
      <c r="AA113" s="292"/>
      <c r="AB113" s="595"/>
      <c r="AC113" s="595"/>
      <c r="AD113" s="292"/>
      <c r="AE113" s="595"/>
      <c r="AF113" s="595"/>
      <c r="AG113" s="1125"/>
      <c r="AH113" s="1126"/>
      <c r="AI113" s="668"/>
      <c r="AJ113" s="1239"/>
      <c r="AK113" s="1239"/>
      <c r="AL113" s="1126"/>
      <c r="AM113" s="1239"/>
      <c r="AN113" s="1239"/>
      <c r="AO113" s="595"/>
      <c r="AP113" s="1239"/>
      <c r="AQ113" s="1373"/>
      <c r="AR113" s="595"/>
      <c r="AS113" s="194"/>
      <c r="AT113" s="595"/>
      <c r="AU113" s="595"/>
      <c r="AV113" s="194"/>
      <c r="AW113" s="595"/>
      <c r="AX113" s="595"/>
      <c r="AY113" s="194"/>
      <c r="AZ113" s="595"/>
      <c r="BA113" s="595"/>
      <c r="BB113" s="194"/>
      <c r="BC113" s="668"/>
      <c r="BD113" s="394"/>
      <c r="BE113" s="394"/>
      <c r="BF113" s="394"/>
      <c r="BG113" s="394"/>
      <c r="BH113" s="315"/>
      <c r="BI113" s="396">
        <f>T7/T198</f>
        <v>28</v>
      </c>
      <c r="BJ113" s="317"/>
      <c r="BK113" s="394"/>
      <c r="BL113" s="394"/>
      <c r="BM113" s="394"/>
      <c r="BN113" s="394"/>
      <c r="BO113" s="394"/>
      <c r="BP113" s="394"/>
      <c r="BQ113" s="394"/>
      <c r="BR113" s="394"/>
      <c r="BS113" s="394"/>
      <c r="BT113" s="394"/>
      <c r="BU113" s="394"/>
      <c r="BV113" s="394"/>
      <c r="BW113" s="394"/>
      <c r="BX113" s="394"/>
      <c r="BY113" s="394"/>
      <c r="BZ113" s="394"/>
      <c r="CA113" s="394"/>
      <c r="CB113" s="394"/>
      <c r="CC113" s="394"/>
      <c r="CD113" s="394"/>
      <c r="CE113" s="394"/>
      <c r="CF113" s="394"/>
      <c r="CG113" s="394"/>
      <c r="CH113" s="394"/>
      <c r="CI113" s="394"/>
      <c r="CJ113" s="394"/>
      <c r="CK113" s="394"/>
      <c r="CL113" s="394"/>
      <c r="CM113" s="394"/>
      <c r="CN113" s="394"/>
    </row>
    <row r="114" spans="1:92" outlineLevel="2">
      <c r="A114" s="165"/>
      <c r="B114" s="833"/>
      <c r="C114" s="1008"/>
      <c r="D114" s="1008"/>
      <c r="E114" s="595"/>
      <c r="F114" s="292"/>
      <c r="G114" s="292"/>
      <c r="H114" s="292"/>
      <c r="I114" s="292"/>
      <c r="J114" s="292"/>
      <c r="K114" s="292"/>
      <c r="L114" s="292"/>
      <c r="M114" s="292"/>
      <c r="N114" s="292"/>
      <c r="O114" s="292"/>
      <c r="P114" s="595"/>
      <c r="Q114" s="595"/>
      <c r="R114" s="595"/>
      <c r="S114" s="595"/>
      <c r="T114" s="595"/>
      <c r="U114" s="595"/>
      <c r="V114" s="292"/>
      <c r="W114" s="292"/>
      <c r="X114" s="595"/>
      <c r="Y114" s="292"/>
      <c r="Z114" s="292"/>
      <c r="AA114" s="595"/>
      <c r="AB114" s="292"/>
      <c r="AC114" s="292"/>
      <c r="AD114" s="595"/>
      <c r="AE114" s="292"/>
      <c r="AF114" s="292"/>
      <c r="AG114" s="1126"/>
      <c r="AH114" s="1125"/>
      <c r="AI114" s="666"/>
      <c r="AJ114" s="1239"/>
      <c r="AK114" s="1255"/>
      <c r="AL114" s="1125"/>
      <c r="AM114" s="1239"/>
      <c r="AN114" s="1255"/>
      <c r="AO114" s="292"/>
      <c r="AP114" s="1239"/>
      <c r="AQ114" s="1600"/>
      <c r="AR114" s="292"/>
      <c r="AS114" s="194"/>
      <c r="AT114" s="292"/>
      <c r="AU114" s="292"/>
      <c r="AV114" s="194"/>
      <c r="AW114" s="292"/>
      <c r="AX114" s="292"/>
      <c r="AY114" s="194"/>
      <c r="AZ114" s="292"/>
      <c r="BA114" s="292"/>
      <c r="BB114" s="194"/>
      <c r="BC114" s="668"/>
      <c r="BD114" s="394"/>
      <c r="BE114" s="394"/>
      <c r="BF114" s="394"/>
      <c r="BG114" s="394"/>
      <c r="BH114" s="315"/>
      <c r="BI114" s="317">
        <f>240-218</f>
        <v>22</v>
      </c>
      <c r="BJ114" s="317"/>
      <c r="BK114" s="422"/>
      <c r="BL114" s="422"/>
      <c r="BM114" s="422"/>
      <c r="BN114" s="422"/>
      <c r="BO114" s="422"/>
      <c r="BP114" s="422"/>
      <c r="BQ114" s="422"/>
      <c r="BR114" s="422"/>
      <c r="BS114" s="422"/>
      <c r="BT114" s="422"/>
      <c r="BU114" s="422"/>
      <c r="BV114" s="422"/>
      <c r="BW114" s="422"/>
      <c r="BX114" s="422"/>
      <c r="BY114" s="422"/>
      <c r="BZ114" s="422"/>
      <c r="CA114" s="422"/>
      <c r="CB114" s="422"/>
      <c r="CC114" s="422"/>
      <c r="CD114" s="422"/>
      <c r="CE114" s="422"/>
      <c r="CF114" s="422"/>
      <c r="CG114" s="422"/>
      <c r="CH114" s="422"/>
      <c r="CI114" s="422"/>
      <c r="CJ114" s="422"/>
      <c r="CK114" s="422"/>
      <c r="CL114" s="422"/>
      <c r="CM114" s="422"/>
      <c r="CN114" s="422"/>
    </row>
    <row r="115" spans="1:92" outlineLevel="2">
      <c r="A115" s="171"/>
      <c r="B115" s="833" t="s">
        <v>460</v>
      </c>
      <c r="C115" s="279"/>
      <c r="D115" s="279"/>
      <c r="E115" s="279"/>
      <c r="F115" s="339" t="str">
        <f t="shared" ref="F115:X115" si="675">F2</f>
        <v>FY03</v>
      </c>
      <c r="G115" s="339" t="str">
        <f t="shared" si="675"/>
        <v>FY04</v>
      </c>
      <c r="H115" s="339" t="str">
        <f t="shared" si="675"/>
        <v>FY05</v>
      </c>
      <c r="I115" s="339" t="str">
        <f t="shared" si="675"/>
        <v>FY06</v>
      </c>
      <c r="J115" s="339" t="str">
        <f t="shared" si="675"/>
        <v>FY07</v>
      </c>
      <c r="K115" s="339" t="str">
        <f t="shared" si="675"/>
        <v>FY08</v>
      </c>
      <c r="L115" s="339" t="str">
        <f t="shared" si="675"/>
        <v>FY09</v>
      </c>
      <c r="M115" s="339" t="str">
        <f t="shared" si="675"/>
        <v>FY10</v>
      </c>
      <c r="N115" s="339" t="str">
        <f t="shared" si="675"/>
        <v>FY11</v>
      </c>
      <c r="O115" s="339" t="str">
        <f t="shared" si="675"/>
        <v>FY12</v>
      </c>
      <c r="P115" s="339" t="str">
        <f t="shared" si="675"/>
        <v>FY13</v>
      </c>
      <c r="Q115" s="339" t="str">
        <f t="shared" si="675"/>
        <v>FY14</v>
      </c>
      <c r="R115" s="339" t="str">
        <f t="shared" si="675"/>
        <v>FY15</v>
      </c>
      <c r="S115" s="339" t="str">
        <f t="shared" si="675"/>
        <v>FY16</v>
      </c>
      <c r="T115" s="339" t="str">
        <f t="shared" si="675"/>
        <v>FY17</v>
      </c>
      <c r="U115" s="339" t="str">
        <f t="shared" si="675"/>
        <v>FY18</v>
      </c>
      <c r="V115" s="294"/>
      <c r="W115" s="294"/>
      <c r="X115" s="339" t="str">
        <f t="shared" si="675"/>
        <v>FY19</v>
      </c>
      <c r="Y115" s="294"/>
      <c r="Z115" s="294"/>
      <c r="AA115" s="339"/>
      <c r="AB115" s="294"/>
      <c r="AC115" s="294"/>
      <c r="AD115" s="339"/>
      <c r="AE115" s="294"/>
      <c r="AF115" s="294"/>
      <c r="AG115" s="339"/>
      <c r="AH115" s="294"/>
      <c r="AI115" s="241"/>
      <c r="AJ115" s="179"/>
      <c r="AK115" s="241"/>
      <c r="AL115" s="294"/>
      <c r="AM115" s="179"/>
      <c r="AN115" s="241"/>
      <c r="AO115" s="294"/>
      <c r="AP115" s="179"/>
      <c r="AQ115" s="1645"/>
      <c r="AR115" s="294"/>
      <c r="AS115" s="179"/>
      <c r="AT115" s="294"/>
      <c r="AU115" s="294"/>
      <c r="AV115" s="179"/>
      <c r="AW115" s="294"/>
      <c r="AX115" s="294"/>
      <c r="AY115" s="179"/>
      <c r="AZ115" s="294"/>
      <c r="BA115" s="294"/>
      <c r="BB115" s="179"/>
      <c r="BC115" s="179"/>
      <c r="BD115" s="320"/>
      <c r="BE115" s="320"/>
      <c r="BF115" s="320"/>
      <c r="BG115" s="320"/>
      <c r="BH115" s="318"/>
      <c r="BI115" s="322">
        <f>BI113*BI114</f>
        <v>616</v>
      </c>
      <c r="BJ115" s="322"/>
      <c r="BK115" s="419"/>
      <c r="BL115" s="419"/>
      <c r="BM115" s="419"/>
      <c r="BN115" s="419"/>
      <c r="BO115" s="419"/>
      <c r="BP115" s="419"/>
      <c r="BQ115" s="419"/>
      <c r="BR115" s="419"/>
      <c r="BS115" s="419"/>
      <c r="BT115" s="419"/>
      <c r="BU115" s="419"/>
      <c r="BV115" s="419"/>
      <c r="BW115" s="419"/>
      <c r="BX115" s="419"/>
      <c r="BY115" s="419"/>
      <c r="BZ115" s="419"/>
      <c r="CA115" s="419"/>
      <c r="CB115" s="419"/>
      <c r="CC115" s="419"/>
      <c r="CD115" s="419"/>
      <c r="CE115" s="419"/>
      <c r="CF115" s="419"/>
      <c r="CG115" s="419"/>
      <c r="CH115" s="419"/>
      <c r="CI115" s="419"/>
      <c r="CJ115" s="419"/>
      <c r="CK115" s="419"/>
      <c r="CL115" s="419"/>
      <c r="CM115" s="419"/>
      <c r="CN115" s="419"/>
    </row>
    <row r="116" spans="1:92" outlineLevel="2">
      <c r="A116" s="171"/>
      <c r="B116" s="833" t="s">
        <v>461</v>
      </c>
      <c r="C116" s="279"/>
      <c r="D116" s="279"/>
      <c r="E116" s="279"/>
      <c r="F116" s="282">
        <f t="shared" ref="F116:T116" si="676">F102*F$90</f>
        <v>234.8511</v>
      </c>
      <c r="G116" s="282">
        <f t="shared" si="676"/>
        <v>298.55562000000003</v>
      </c>
      <c r="H116" s="282">
        <f t="shared" si="676"/>
        <v>464.94180999999992</v>
      </c>
      <c r="I116" s="282">
        <f t="shared" si="676"/>
        <v>633.70007000000021</v>
      </c>
      <c r="J116" s="282">
        <f t="shared" si="676"/>
        <v>890.87671500000022</v>
      </c>
      <c r="K116" s="282">
        <f t="shared" si="676"/>
        <v>1316.5660800000005</v>
      </c>
      <c r="L116" s="282">
        <f t="shared" si="676"/>
        <v>1722.1768400000001</v>
      </c>
      <c r="M116" s="282">
        <f t="shared" si="676"/>
        <v>2040.2960400000002</v>
      </c>
      <c r="N116" s="282">
        <f t="shared" si="676"/>
        <v>2219.4397500000005</v>
      </c>
      <c r="O116" s="282">
        <f t="shared" si="676"/>
        <v>2392.7608799999998</v>
      </c>
      <c r="P116" s="282">
        <f t="shared" si="676"/>
        <v>2597.0940000000001</v>
      </c>
      <c r="Q116" s="282">
        <f t="shared" si="676"/>
        <v>2832.3090749999997</v>
      </c>
      <c r="R116" s="282">
        <f t="shared" si="676"/>
        <v>3045.8814239999997</v>
      </c>
      <c r="S116" s="282">
        <f t="shared" si="676"/>
        <v>3396.8871530000001</v>
      </c>
      <c r="T116" s="282">
        <f t="shared" si="676"/>
        <v>3845.2480000000005</v>
      </c>
      <c r="U116" s="282">
        <f>U102*U90</f>
        <v>4277.7</v>
      </c>
      <c r="V116" s="282">
        <f>CM116*(1+V130)</f>
        <v>2437.9152000000004</v>
      </c>
      <c r="W116" s="282">
        <f>X116-V116</f>
        <v>2049.3765999999996</v>
      </c>
      <c r="X116" s="282">
        <f>X102*X90</f>
        <v>4487.2918</v>
      </c>
      <c r="Y116" s="282">
        <f>V116*(1+Y130)</f>
        <v>2628.0725856000004</v>
      </c>
      <c r="Z116" s="282"/>
      <c r="AA116" s="282"/>
      <c r="AB116" s="282"/>
      <c r="AC116" s="282"/>
      <c r="AD116" s="282"/>
      <c r="AE116" s="282"/>
      <c r="AF116" s="282"/>
      <c r="AG116" s="282"/>
      <c r="AH116" s="282"/>
      <c r="AI116" s="190"/>
      <c r="AJ116" s="179"/>
      <c r="AK116" s="190"/>
      <c r="AL116" s="282"/>
      <c r="AM116" s="179"/>
      <c r="AN116" s="190"/>
      <c r="AO116" s="282"/>
      <c r="AP116" s="179"/>
      <c r="AQ116" s="1385"/>
      <c r="AR116" s="282"/>
      <c r="AS116" s="179"/>
      <c r="AT116" s="282"/>
      <c r="AU116" s="282"/>
      <c r="AV116" s="179"/>
      <c r="AW116" s="282"/>
      <c r="AX116" s="282"/>
      <c r="AY116" s="179"/>
      <c r="AZ116" s="282"/>
      <c r="BA116" s="282"/>
      <c r="BB116" s="179"/>
      <c r="BC116" s="179"/>
      <c r="BD116" s="320"/>
      <c r="BE116" s="320"/>
      <c r="BF116" s="320"/>
      <c r="BG116" s="320"/>
      <c r="BH116" s="318" t="s">
        <v>165</v>
      </c>
      <c r="BI116" s="322">
        <f>BI115*T60</f>
        <v>33.536318407960195</v>
      </c>
      <c r="BJ116" s="322"/>
      <c r="BK116" s="316"/>
      <c r="BL116" s="316"/>
      <c r="BM116" s="316"/>
      <c r="BN116" s="316"/>
      <c r="BO116" s="316"/>
      <c r="BP116" s="316"/>
      <c r="BQ116" s="316"/>
      <c r="BR116" s="316"/>
      <c r="BS116" s="316"/>
      <c r="BT116" s="316"/>
      <c r="BU116" s="316"/>
      <c r="BV116" s="316"/>
      <c r="BW116" s="316"/>
      <c r="BX116" s="316"/>
      <c r="BY116" s="316"/>
      <c r="BZ116" s="316"/>
      <c r="CA116" s="316">
        <f>CA102*CA$90</f>
        <v>1313.29946</v>
      </c>
      <c r="CB116" s="316">
        <f>O116-CA116</f>
        <v>1079.4614199999999</v>
      </c>
      <c r="CC116" s="316">
        <f>CC102*CC$90</f>
        <v>1385.7972240000001</v>
      </c>
      <c r="CD116" s="316">
        <f>P116-CC116</f>
        <v>1211.2967759999999</v>
      </c>
      <c r="CE116" s="316">
        <f>CE102*CE$90</f>
        <v>1544.1341320000001</v>
      </c>
      <c r="CF116" s="316">
        <f>Q116-CE116</f>
        <v>1288.1749429999995</v>
      </c>
      <c r="CG116" s="316">
        <f>CG102*CG$90</f>
        <v>1603.5607680000001</v>
      </c>
      <c r="CH116" s="316">
        <f>R116-CG116</f>
        <v>1442.3206559999996</v>
      </c>
      <c r="CI116" s="316">
        <f>CI102*CI$90</f>
        <v>1778.12628</v>
      </c>
      <c r="CJ116" s="316">
        <f>S116-CI116</f>
        <v>1618.7608730000002</v>
      </c>
      <c r="CK116" s="316">
        <f>CK102*CK$90</f>
        <v>2040.1377</v>
      </c>
      <c r="CL116" s="316">
        <f>T116-CK116</f>
        <v>1805.1103000000005</v>
      </c>
      <c r="CM116" s="316">
        <f>CM102*CM$90</f>
        <v>2299.92</v>
      </c>
      <c r="CN116" s="316">
        <f>U116-CM116</f>
        <v>1977.7799999999997</v>
      </c>
    </row>
    <row r="117" spans="1:92" outlineLevel="2">
      <c r="A117" s="171"/>
      <c r="B117" s="782" t="s">
        <v>462</v>
      </c>
      <c r="C117" s="279"/>
      <c r="D117" s="279"/>
      <c r="E117" s="279"/>
      <c r="F117" s="282">
        <f t="shared" ref="F117:P117" si="677">F103*F$90</f>
        <v>227.73439999999999</v>
      </c>
      <c r="G117" s="282">
        <f t="shared" si="677"/>
        <v>289.50848000000002</v>
      </c>
      <c r="H117" s="282">
        <f t="shared" si="677"/>
        <v>402.48693999999995</v>
      </c>
      <c r="I117" s="282">
        <f t="shared" si="677"/>
        <v>520.20155000000011</v>
      </c>
      <c r="J117" s="282">
        <f t="shared" si="677"/>
        <v>640.91849999999999</v>
      </c>
      <c r="K117" s="282">
        <f t="shared" si="677"/>
        <v>822.85380000000009</v>
      </c>
      <c r="L117" s="282">
        <f t="shared" si="677"/>
        <v>977.45172000000002</v>
      </c>
      <c r="M117" s="282">
        <f t="shared" si="677"/>
        <v>1084.3340400000002</v>
      </c>
      <c r="N117" s="282">
        <f t="shared" si="677"/>
        <v>1006.1460200000001</v>
      </c>
      <c r="O117" s="282">
        <f t="shared" si="677"/>
        <v>1032.17136</v>
      </c>
      <c r="P117" s="282">
        <f t="shared" si="677"/>
        <v>1108.3140000000001</v>
      </c>
      <c r="Q117" s="282">
        <f t="shared" ref="Q117:X117" si="678">Q90-Q118-Q119-Q120-Q121-Q122-Q124-Q125-Q126</f>
        <v>1208.2155150000001</v>
      </c>
      <c r="R117" s="282">
        <f t="shared" si="678"/>
        <v>1268.8107564000002</v>
      </c>
      <c r="S117" s="282">
        <f t="shared" si="678"/>
        <v>1430.8288664120005</v>
      </c>
      <c r="T117" s="282">
        <f t="shared" si="678"/>
        <v>1728.282494797</v>
      </c>
      <c r="U117" s="282">
        <f t="shared" si="678"/>
        <v>1897.0869068555498</v>
      </c>
      <c r="V117" s="282"/>
      <c r="W117" s="282"/>
      <c r="X117" s="282">
        <f t="shared" si="678"/>
        <v>2091.4869068555495</v>
      </c>
      <c r="Y117" s="282"/>
      <c r="Z117" s="282"/>
      <c r="AA117" s="282"/>
      <c r="AB117" s="282"/>
      <c r="AC117" s="282"/>
      <c r="AD117" s="282"/>
      <c r="AE117" s="282"/>
      <c r="AF117" s="282"/>
      <c r="AG117" s="282"/>
      <c r="AH117" s="282"/>
      <c r="AI117" s="190"/>
      <c r="AJ117" s="179"/>
      <c r="AK117" s="190"/>
      <c r="AL117" s="282"/>
      <c r="AM117" s="179"/>
      <c r="AN117" s="190"/>
      <c r="AO117" s="282"/>
      <c r="AP117" s="179"/>
      <c r="AQ117" s="1385"/>
      <c r="AR117" s="282"/>
      <c r="AS117" s="179"/>
      <c r="AT117" s="282"/>
      <c r="AU117" s="282"/>
      <c r="AV117" s="179"/>
      <c r="AW117" s="282"/>
      <c r="AX117" s="282"/>
      <c r="AY117" s="179"/>
      <c r="AZ117" s="282"/>
      <c r="BA117" s="282"/>
      <c r="BB117" s="179"/>
      <c r="BC117" s="179"/>
      <c r="BD117" s="320"/>
      <c r="BE117" s="320"/>
      <c r="BF117" s="320"/>
      <c r="BG117" s="320"/>
      <c r="BH117" s="318" t="s">
        <v>286</v>
      </c>
      <c r="BI117" s="322">
        <f>BI116*0.7</f>
        <v>23.475422885572137</v>
      </c>
      <c r="BJ117" s="322"/>
      <c r="BK117" s="316"/>
      <c r="BL117" s="316"/>
      <c r="BM117" s="316"/>
      <c r="BN117" s="316"/>
      <c r="BO117" s="316"/>
      <c r="BP117" s="316"/>
      <c r="BQ117" s="316"/>
      <c r="BR117" s="316"/>
      <c r="BS117" s="316"/>
      <c r="BT117" s="316"/>
      <c r="BU117" s="316"/>
      <c r="BV117" s="316"/>
      <c r="BW117" s="316"/>
      <c r="BX117" s="316"/>
      <c r="BY117" s="316"/>
      <c r="BZ117" s="316"/>
      <c r="CA117" s="316"/>
      <c r="CB117" s="316"/>
      <c r="CC117" s="316"/>
      <c r="CD117" s="316"/>
      <c r="CE117" s="316"/>
      <c r="CF117" s="316"/>
      <c r="CG117" s="316"/>
      <c r="CH117" s="316"/>
      <c r="CI117" s="316"/>
      <c r="CJ117" s="316"/>
      <c r="CK117" s="316"/>
      <c r="CL117" s="316"/>
      <c r="CM117" s="316"/>
      <c r="CN117" s="316"/>
    </row>
    <row r="118" spans="1:92" outlineLevel="2">
      <c r="A118" s="171"/>
      <c r="B118" s="782" t="s">
        <v>463</v>
      </c>
      <c r="C118" s="279"/>
      <c r="D118" s="279"/>
      <c r="E118" s="279"/>
      <c r="F118" s="282">
        <f t="shared" ref="F118:P118" si="679">F104*F$90</f>
        <v>0</v>
      </c>
      <c r="G118" s="282">
        <f t="shared" si="679"/>
        <v>0</v>
      </c>
      <c r="H118" s="282">
        <f t="shared" si="679"/>
        <v>0</v>
      </c>
      <c r="I118" s="282">
        <f t="shared" si="679"/>
        <v>9.4582100000000011</v>
      </c>
      <c r="J118" s="282">
        <f t="shared" si="679"/>
        <v>64.091850000000008</v>
      </c>
      <c r="K118" s="282">
        <f t="shared" si="679"/>
        <v>182.85640000000001</v>
      </c>
      <c r="L118" s="282">
        <f t="shared" si="679"/>
        <v>267.63559000000004</v>
      </c>
      <c r="M118" s="282">
        <f t="shared" si="679"/>
        <v>355.07160000000005</v>
      </c>
      <c r="N118" s="282">
        <f t="shared" si="679"/>
        <v>503.07301000000007</v>
      </c>
      <c r="O118" s="282">
        <f t="shared" si="679"/>
        <v>594.28048000000001</v>
      </c>
      <c r="P118" s="282">
        <f t="shared" si="679"/>
        <v>612.05399999999997</v>
      </c>
      <c r="Q118" s="282">
        <f t="shared" ref="Q118:U122" si="680">P118*(1+Q132)</f>
        <v>563.08968000000004</v>
      </c>
      <c r="R118" s="282">
        <f t="shared" si="680"/>
        <v>546.19698960000005</v>
      </c>
      <c r="S118" s="282">
        <f t="shared" si="680"/>
        <v>562.58289928800002</v>
      </c>
      <c r="T118" s="282">
        <f>S118*(1+T132)</f>
        <v>562.58289928800002</v>
      </c>
      <c r="U118" s="282">
        <f>T118*(1+U132)</f>
        <v>646.97033418119997</v>
      </c>
      <c r="V118" s="282"/>
      <c r="W118" s="282"/>
      <c r="X118" s="282">
        <f>U118*(1+X132)</f>
        <v>646.97033418119997</v>
      </c>
      <c r="Y118" s="282"/>
      <c r="Z118" s="282"/>
      <c r="AA118" s="282"/>
      <c r="AB118" s="282"/>
      <c r="AC118" s="282"/>
      <c r="AD118" s="282"/>
      <c r="AE118" s="282"/>
      <c r="AF118" s="282"/>
      <c r="AG118" s="282"/>
      <c r="AH118" s="282"/>
      <c r="AI118" s="190"/>
      <c r="AJ118" s="179"/>
      <c r="AK118" s="190"/>
      <c r="AL118" s="282"/>
      <c r="AM118" s="179"/>
      <c r="AN118" s="190"/>
      <c r="AO118" s="282"/>
      <c r="AP118" s="179"/>
      <c r="AQ118" s="1385"/>
      <c r="AR118" s="282"/>
      <c r="AS118" s="179"/>
      <c r="AT118" s="282"/>
      <c r="AU118" s="282"/>
      <c r="AV118" s="179"/>
      <c r="AW118" s="282"/>
      <c r="AX118" s="282"/>
      <c r="AY118" s="179"/>
      <c r="AZ118" s="282"/>
      <c r="BA118" s="282"/>
      <c r="BB118" s="179"/>
      <c r="BC118" s="179"/>
      <c r="BD118" s="320"/>
      <c r="BE118" s="320"/>
      <c r="BF118" s="320"/>
      <c r="BG118" s="320"/>
      <c r="BH118" s="318" t="s">
        <v>709</v>
      </c>
      <c r="BI118" s="397">
        <f>BI117/'P&amp;L'!AS121</f>
        <v>0.20830011433515649</v>
      </c>
      <c r="BJ118" s="322"/>
      <c r="BK118" s="316"/>
      <c r="BL118" s="316"/>
      <c r="BM118" s="316"/>
      <c r="BN118" s="316"/>
      <c r="BO118" s="316"/>
      <c r="BP118" s="316"/>
      <c r="BQ118" s="316"/>
      <c r="BR118" s="316"/>
      <c r="BS118" s="316"/>
      <c r="BT118" s="316"/>
      <c r="BU118" s="316"/>
      <c r="BV118" s="316"/>
      <c r="BW118" s="316"/>
      <c r="BX118" s="316"/>
      <c r="BY118" s="316"/>
      <c r="BZ118" s="316"/>
      <c r="CA118" s="316"/>
      <c r="CB118" s="316"/>
      <c r="CC118" s="316"/>
      <c r="CD118" s="316"/>
      <c r="CE118" s="316"/>
      <c r="CF118" s="316"/>
      <c r="CG118" s="316"/>
      <c r="CH118" s="316"/>
      <c r="CI118" s="316"/>
      <c r="CJ118" s="316"/>
      <c r="CK118" s="316"/>
      <c r="CL118" s="316"/>
      <c r="CM118" s="316"/>
      <c r="CN118" s="316"/>
    </row>
    <row r="119" spans="1:92" outlineLevel="2">
      <c r="A119" s="171"/>
      <c r="B119" s="782" t="s">
        <v>464</v>
      </c>
      <c r="C119" s="279"/>
      <c r="D119" s="279"/>
      <c r="E119" s="279"/>
      <c r="F119" s="282">
        <f t="shared" ref="F119:P119" si="681">F105*F$90</f>
        <v>0</v>
      </c>
      <c r="G119" s="282">
        <f t="shared" si="681"/>
        <v>0</v>
      </c>
      <c r="H119" s="282">
        <f t="shared" si="681"/>
        <v>41.636579999999995</v>
      </c>
      <c r="I119" s="282">
        <f t="shared" si="681"/>
        <v>47.291050000000006</v>
      </c>
      <c r="J119" s="282">
        <f t="shared" si="681"/>
        <v>64.091850000000008</v>
      </c>
      <c r="K119" s="282">
        <f t="shared" si="681"/>
        <v>91.428200000000004</v>
      </c>
      <c r="L119" s="282">
        <f t="shared" si="681"/>
        <v>116.36330000000001</v>
      </c>
      <c r="M119" s="282">
        <f t="shared" si="681"/>
        <v>136.566</v>
      </c>
      <c r="N119" s="282">
        <f t="shared" si="681"/>
        <v>147.96265000000002</v>
      </c>
      <c r="O119" s="282">
        <f t="shared" si="681"/>
        <v>125.11167999999999</v>
      </c>
      <c r="P119" s="282">
        <f t="shared" si="681"/>
        <v>198.50399999999999</v>
      </c>
      <c r="Q119" s="282">
        <f t="shared" si="680"/>
        <v>238.20479999999998</v>
      </c>
      <c r="R119" s="282">
        <f t="shared" si="680"/>
        <v>309.66623999999996</v>
      </c>
      <c r="S119" s="282">
        <f t="shared" si="680"/>
        <v>371.59948799999995</v>
      </c>
      <c r="T119" s="282">
        <f t="shared" si="680"/>
        <v>427.33941119999992</v>
      </c>
      <c r="U119" s="282">
        <f t="shared" si="680"/>
        <v>448.70638175999994</v>
      </c>
      <c r="V119" s="282"/>
      <c r="W119" s="282"/>
      <c r="X119" s="282">
        <f>U119*(1+X133)</f>
        <v>448.70638175999994</v>
      </c>
      <c r="Y119" s="282"/>
      <c r="Z119" s="282"/>
      <c r="AA119" s="282"/>
      <c r="AB119" s="282"/>
      <c r="AC119" s="282"/>
      <c r="AD119" s="282"/>
      <c r="AE119" s="282"/>
      <c r="AF119" s="282"/>
      <c r="AG119" s="282"/>
      <c r="AH119" s="282"/>
      <c r="AI119" s="190"/>
      <c r="AJ119" s="179"/>
      <c r="AK119" s="190"/>
      <c r="AL119" s="282"/>
      <c r="AM119" s="179"/>
      <c r="AN119" s="190"/>
      <c r="AO119" s="282"/>
      <c r="AP119" s="179"/>
      <c r="AQ119" s="1385"/>
      <c r="AR119" s="282"/>
      <c r="AS119" s="179"/>
      <c r="AT119" s="282"/>
      <c r="AU119" s="282"/>
      <c r="AV119" s="179"/>
      <c r="AW119" s="282"/>
      <c r="AX119" s="282"/>
      <c r="AY119" s="179"/>
      <c r="AZ119" s="282"/>
      <c r="BA119" s="282"/>
      <c r="BB119" s="179"/>
      <c r="BC119" s="179"/>
      <c r="BD119" s="320"/>
      <c r="BE119" s="320"/>
      <c r="BF119" s="320"/>
      <c r="BG119" s="320"/>
      <c r="BH119" s="318" t="s">
        <v>710</v>
      </c>
      <c r="BI119" s="322">
        <f>Summary!AA50</f>
        <v>48.4037542753411</v>
      </c>
      <c r="BJ119" s="322"/>
      <c r="BK119" s="316"/>
      <c r="BL119" s="316"/>
      <c r="BM119" s="316"/>
      <c r="BN119" s="316"/>
      <c r="BO119" s="316"/>
      <c r="BP119" s="316"/>
      <c r="BQ119" s="316"/>
      <c r="BR119" s="316"/>
      <c r="BS119" s="316"/>
      <c r="BT119" s="316"/>
      <c r="BU119" s="316"/>
      <c r="BV119" s="316"/>
      <c r="BW119" s="316"/>
      <c r="BX119" s="316"/>
      <c r="BY119" s="316"/>
      <c r="BZ119" s="316"/>
      <c r="CA119" s="316"/>
      <c r="CB119" s="316"/>
      <c r="CC119" s="316"/>
      <c r="CD119" s="316"/>
      <c r="CE119" s="316"/>
      <c r="CF119" s="316"/>
      <c r="CG119" s="316"/>
      <c r="CH119" s="316"/>
      <c r="CI119" s="316"/>
      <c r="CJ119" s="316"/>
      <c r="CK119" s="316"/>
      <c r="CL119" s="316"/>
      <c r="CM119" s="316"/>
      <c r="CN119" s="316"/>
    </row>
    <row r="120" spans="1:92" outlineLevel="2">
      <c r="A120" s="171"/>
      <c r="B120" s="782" t="s">
        <v>465</v>
      </c>
      <c r="C120" s="279"/>
      <c r="D120" s="279"/>
      <c r="E120" s="279"/>
      <c r="F120" s="282">
        <f t="shared" ref="F120:P120" si="682">F106*F$90</f>
        <v>0</v>
      </c>
      <c r="G120" s="282">
        <f t="shared" si="682"/>
        <v>0</v>
      </c>
      <c r="H120" s="282">
        <f t="shared" si="682"/>
        <v>6.9394299999999998</v>
      </c>
      <c r="I120" s="282">
        <f t="shared" si="682"/>
        <v>37.832840000000004</v>
      </c>
      <c r="J120" s="282">
        <f t="shared" si="682"/>
        <v>89.728590000000011</v>
      </c>
      <c r="K120" s="282">
        <f t="shared" si="682"/>
        <v>127.99948000000002</v>
      </c>
      <c r="L120" s="282">
        <f t="shared" si="682"/>
        <v>174.54495</v>
      </c>
      <c r="M120" s="282">
        <f t="shared" si="682"/>
        <v>191.19240000000002</v>
      </c>
      <c r="N120" s="282">
        <f t="shared" si="682"/>
        <v>207.14771000000002</v>
      </c>
      <c r="O120" s="282">
        <f t="shared" si="682"/>
        <v>203.30647999999999</v>
      </c>
      <c r="P120" s="282">
        <f t="shared" si="682"/>
        <v>215.04600000000002</v>
      </c>
      <c r="Q120" s="282">
        <f t="shared" si="680"/>
        <v>322.56900000000002</v>
      </c>
      <c r="R120" s="282">
        <f t="shared" si="680"/>
        <v>370.95434999999998</v>
      </c>
      <c r="S120" s="282">
        <f t="shared" si="680"/>
        <v>426.59750249999996</v>
      </c>
      <c r="T120" s="282">
        <f t="shared" si="680"/>
        <v>447.92737762499996</v>
      </c>
      <c r="U120" s="282">
        <f t="shared" si="680"/>
        <v>515.1164842687499</v>
      </c>
      <c r="V120" s="282"/>
      <c r="W120" s="282"/>
      <c r="X120" s="282">
        <f>U120*(1+X134)</f>
        <v>515.1164842687499</v>
      </c>
      <c r="Y120" s="282"/>
      <c r="Z120" s="282"/>
      <c r="AA120" s="282"/>
      <c r="AB120" s="282"/>
      <c r="AC120" s="282"/>
      <c r="AD120" s="282"/>
      <c r="AE120" s="282"/>
      <c r="AF120" s="282"/>
      <c r="AG120" s="282"/>
      <c r="AH120" s="282"/>
      <c r="AI120" s="190"/>
      <c r="AJ120" s="179"/>
      <c r="AK120" s="190"/>
      <c r="AL120" s="282"/>
      <c r="AM120" s="179"/>
      <c r="AN120" s="190"/>
      <c r="AO120" s="282"/>
      <c r="AP120" s="179"/>
      <c r="AQ120" s="1385"/>
      <c r="AR120" s="282"/>
      <c r="AS120" s="179"/>
      <c r="AT120" s="282"/>
      <c r="AU120" s="282"/>
      <c r="AV120" s="179"/>
      <c r="AW120" s="282"/>
      <c r="AX120" s="282"/>
      <c r="AY120" s="179"/>
      <c r="AZ120" s="282"/>
      <c r="BA120" s="282"/>
      <c r="BB120" s="179"/>
      <c r="BC120" s="179"/>
      <c r="BD120" s="320"/>
      <c r="BE120" s="320"/>
      <c r="BF120" s="320"/>
      <c r="BG120" s="320"/>
      <c r="BH120" s="318"/>
      <c r="BI120" s="397">
        <f>BI118*BI119</f>
        <v>10.082507549804371</v>
      </c>
      <c r="BJ120" s="322"/>
      <c r="BK120" s="316"/>
      <c r="BL120" s="316"/>
      <c r="BM120" s="316"/>
      <c r="BN120" s="316"/>
      <c r="BO120" s="316"/>
      <c r="BP120" s="316"/>
      <c r="BQ120" s="316"/>
      <c r="BR120" s="316"/>
      <c r="BS120" s="316"/>
      <c r="BT120" s="316"/>
      <c r="BU120" s="316"/>
      <c r="BV120" s="316"/>
      <c r="BW120" s="316"/>
      <c r="BX120" s="316"/>
      <c r="BY120" s="316"/>
      <c r="BZ120" s="316"/>
      <c r="CA120" s="316"/>
      <c r="CB120" s="316"/>
      <c r="CC120" s="316"/>
      <c r="CD120" s="316"/>
      <c r="CE120" s="316"/>
      <c r="CF120" s="316"/>
      <c r="CG120" s="316"/>
      <c r="CH120" s="316"/>
      <c r="CI120" s="316"/>
      <c r="CJ120" s="316"/>
      <c r="CK120" s="316"/>
      <c r="CL120" s="316"/>
      <c r="CM120" s="316"/>
      <c r="CN120" s="316"/>
    </row>
    <row r="121" spans="1:92" outlineLevel="2">
      <c r="A121" s="171"/>
      <c r="B121" s="782" t="s">
        <v>466</v>
      </c>
      <c r="C121" s="279"/>
      <c r="D121" s="279"/>
      <c r="E121" s="279"/>
      <c r="F121" s="282">
        <f t="shared" ref="F121:P121" si="683">F107*F$90</f>
        <v>7.1166999999999998</v>
      </c>
      <c r="G121" s="282">
        <f t="shared" si="683"/>
        <v>9.0471400000000006</v>
      </c>
      <c r="H121" s="282">
        <f t="shared" si="683"/>
        <v>13.87886</v>
      </c>
      <c r="I121" s="282">
        <f t="shared" si="683"/>
        <v>18.916420000000002</v>
      </c>
      <c r="J121" s="282">
        <f t="shared" si="683"/>
        <v>25.63674</v>
      </c>
      <c r="K121" s="282">
        <f t="shared" si="683"/>
        <v>36.571280000000002</v>
      </c>
      <c r="L121" s="282">
        <f t="shared" si="683"/>
        <v>46.545320000000004</v>
      </c>
      <c r="M121" s="282">
        <f t="shared" si="683"/>
        <v>54.626400000000004</v>
      </c>
      <c r="N121" s="282">
        <f t="shared" si="683"/>
        <v>59.185060000000007</v>
      </c>
      <c r="O121" s="282">
        <f t="shared" si="683"/>
        <v>62.555839999999996</v>
      </c>
      <c r="P121" s="282">
        <f t="shared" si="683"/>
        <v>66.168000000000006</v>
      </c>
      <c r="Q121" s="282">
        <f t="shared" si="680"/>
        <v>71.46144000000001</v>
      </c>
      <c r="R121" s="282">
        <f t="shared" si="680"/>
        <v>78.607584000000017</v>
      </c>
      <c r="S121" s="282">
        <f t="shared" si="680"/>
        <v>86.468342400000026</v>
      </c>
      <c r="T121" s="282">
        <f t="shared" si="680"/>
        <v>99.438593760000018</v>
      </c>
      <c r="U121" s="282">
        <f t="shared" si="680"/>
        <v>114.35438282400001</v>
      </c>
      <c r="V121" s="282"/>
      <c r="W121" s="282"/>
      <c r="X121" s="282">
        <f>U121*(1+X135)</f>
        <v>114.35438282400001</v>
      </c>
      <c r="Y121" s="282"/>
      <c r="Z121" s="282"/>
      <c r="AA121" s="282"/>
      <c r="AB121" s="282"/>
      <c r="AC121" s="282"/>
      <c r="AD121" s="282"/>
      <c r="AE121" s="282"/>
      <c r="AF121" s="282"/>
      <c r="AG121" s="282"/>
      <c r="AH121" s="282"/>
      <c r="AI121" s="190"/>
      <c r="AJ121" s="179"/>
      <c r="AK121" s="190"/>
      <c r="AL121" s="282"/>
      <c r="AM121" s="179"/>
      <c r="AN121" s="190"/>
      <c r="AO121" s="282"/>
      <c r="AP121" s="179"/>
      <c r="AQ121" s="1385"/>
      <c r="AR121" s="282"/>
      <c r="AS121" s="179"/>
      <c r="AT121" s="282"/>
      <c r="AU121" s="282"/>
      <c r="AV121" s="179"/>
      <c r="AW121" s="282"/>
      <c r="AX121" s="282"/>
      <c r="AY121" s="179"/>
      <c r="AZ121" s="282"/>
      <c r="BA121" s="282"/>
      <c r="BB121" s="179"/>
      <c r="BC121" s="179"/>
      <c r="BD121" s="320"/>
      <c r="BE121" s="320"/>
      <c r="BF121" s="320"/>
      <c r="BG121" s="320"/>
      <c r="BH121" s="318"/>
      <c r="BI121" s="322"/>
      <c r="BJ121" s="322"/>
      <c r="BK121" s="316"/>
      <c r="BL121" s="316"/>
      <c r="BM121" s="316"/>
      <c r="BN121" s="316"/>
      <c r="BO121" s="316"/>
      <c r="BP121" s="316"/>
      <c r="BQ121" s="316"/>
      <c r="BR121" s="316"/>
      <c r="BS121" s="316"/>
      <c r="BT121" s="316"/>
      <c r="BU121" s="316"/>
      <c r="BV121" s="316"/>
      <c r="BW121" s="316"/>
      <c r="BX121" s="316"/>
      <c r="BY121" s="316"/>
      <c r="BZ121" s="316"/>
      <c r="CA121" s="316"/>
      <c r="CB121" s="316"/>
      <c r="CC121" s="316"/>
      <c r="CD121" s="316"/>
      <c r="CE121" s="316"/>
      <c r="CF121" s="316"/>
      <c r="CG121" s="316"/>
      <c r="CH121" s="316"/>
      <c r="CI121" s="316"/>
      <c r="CJ121" s="316"/>
      <c r="CK121" s="316"/>
      <c r="CL121" s="316"/>
      <c r="CM121" s="316"/>
      <c r="CN121" s="316"/>
    </row>
    <row r="122" spans="1:92" outlineLevel="2">
      <c r="A122" s="171"/>
      <c r="B122" s="782" t="s">
        <v>467</v>
      </c>
      <c r="C122" s="279"/>
      <c r="D122" s="279"/>
      <c r="E122" s="279"/>
      <c r="F122" s="282">
        <f t="shared" ref="F122:P122" si="684">F108*F$90</f>
        <v>0</v>
      </c>
      <c r="G122" s="282">
        <f t="shared" si="684"/>
        <v>0</v>
      </c>
      <c r="H122" s="282">
        <f t="shared" si="684"/>
        <v>0</v>
      </c>
      <c r="I122" s="282">
        <f t="shared" si="684"/>
        <v>0</v>
      </c>
      <c r="J122" s="282">
        <f t="shared" si="684"/>
        <v>6.4091849999999999</v>
      </c>
      <c r="K122" s="282">
        <f t="shared" si="684"/>
        <v>54.856920000000002</v>
      </c>
      <c r="L122" s="282">
        <f t="shared" si="684"/>
        <v>139.63596000000001</v>
      </c>
      <c r="M122" s="282">
        <f t="shared" si="684"/>
        <v>218.50560000000002</v>
      </c>
      <c r="N122" s="282">
        <f t="shared" si="684"/>
        <v>295.92530000000005</v>
      </c>
      <c r="O122" s="282">
        <f t="shared" si="684"/>
        <v>375.33503999999999</v>
      </c>
      <c r="P122" s="282">
        <f t="shared" si="684"/>
        <v>397.00799999999998</v>
      </c>
      <c r="Q122" s="282">
        <f t="shared" si="680"/>
        <v>428.76864</v>
      </c>
      <c r="R122" s="282">
        <f t="shared" si="680"/>
        <v>471.64550400000002</v>
      </c>
      <c r="S122" s="282">
        <f t="shared" si="680"/>
        <v>518.81005440000001</v>
      </c>
      <c r="T122" s="282">
        <f t="shared" si="680"/>
        <v>596.63156256000002</v>
      </c>
      <c r="U122" s="282">
        <f t="shared" si="680"/>
        <v>656.29471881600011</v>
      </c>
      <c r="V122" s="282"/>
      <c r="W122" s="282"/>
      <c r="X122" s="282">
        <f>U122*(1+X136)</f>
        <v>656.29471881600011</v>
      </c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190"/>
      <c r="AJ122" s="179"/>
      <c r="AK122" s="190"/>
      <c r="AL122" s="282"/>
      <c r="AM122" s="179"/>
      <c r="AN122" s="190"/>
      <c r="AO122" s="282"/>
      <c r="AP122" s="179"/>
      <c r="AQ122" s="1385"/>
      <c r="AR122" s="282"/>
      <c r="AS122" s="179"/>
      <c r="AT122" s="282"/>
      <c r="AU122" s="282"/>
      <c r="AV122" s="179"/>
      <c r="AW122" s="282"/>
      <c r="AX122" s="282"/>
      <c r="AY122" s="179"/>
      <c r="AZ122" s="282"/>
      <c r="BA122" s="282"/>
      <c r="BB122" s="179"/>
      <c r="BC122" s="179"/>
      <c r="BD122" s="320"/>
      <c r="BE122" s="320"/>
      <c r="BF122" s="320"/>
      <c r="BG122" s="320"/>
      <c r="BH122" s="318"/>
      <c r="BI122" s="322"/>
      <c r="BJ122" s="322"/>
      <c r="BK122" s="316"/>
      <c r="BL122" s="316"/>
      <c r="BM122" s="316"/>
      <c r="BN122" s="316"/>
      <c r="BO122" s="316"/>
      <c r="BP122" s="316"/>
      <c r="BQ122" s="316"/>
      <c r="BR122" s="316"/>
      <c r="BS122" s="316"/>
      <c r="BT122" s="316"/>
      <c r="BU122" s="316"/>
      <c r="BV122" s="316"/>
      <c r="BW122" s="316"/>
      <c r="BX122" s="316"/>
      <c r="BY122" s="316"/>
      <c r="BZ122" s="316"/>
      <c r="CA122" s="316"/>
      <c r="CB122" s="316"/>
      <c r="CC122" s="316"/>
      <c r="CD122" s="316"/>
      <c r="CE122" s="316"/>
      <c r="CF122" s="316"/>
      <c r="CG122" s="316"/>
      <c r="CH122" s="316"/>
      <c r="CI122" s="316"/>
      <c r="CJ122" s="316"/>
      <c r="CK122" s="316"/>
      <c r="CL122" s="316"/>
      <c r="CM122" s="316"/>
      <c r="CN122" s="316"/>
    </row>
    <row r="123" spans="1:92" outlineLevel="2">
      <c r="A123" s="171"/>
      <c r="B123" s="833" t="s">
        <v>468</v>
      </c>
      <c r="C123" s="279"/>
      <c r="D123" s="279"/>
      <c r="E123" s="279"/>
      <c r="F123" s="282">
        <f t="shared" ref="F123:P123" si="685">F109*F$90</f>
        <v>120.98390000000001</v>
      </c>
      <c r="G123" s="282">
        <f t="shared" si="685"/>
        <v>153.80138000000002</v>
      </c>
      <c r="H123" s="282">
        <f t="shared" si="685"/>
        <v>229.00119000000001</v>
      </c>
      <c r="I123" s="303">
        <f t="shared" si="685"/>
        <v>312.12092999999999</v>
      </c>
      <c r="J123" s="303">
        <f t="shared" si="685"/>
        <v>390.960285</v>
      </c>
      <c r="K123" s="303">
        <f t="shared" si="685"/>
        <v>511.99792000000008</v>
      </c>
      <c r="L123" s="303">
        <f t="shared" si="685"/>
        <v>605.08915999999999</v>
      </c>
      <c r="M123" s="303">
        <f t="shared" si="685"/>
        <v>691.0239600000001</v>
      </c>
      <c r="N123" s="303">
        <f t="shared" si="685"/>
        <v>739.81325000000004</v>
      </c>
      <c r="O123" s="303">
        <f t="shared" si="685"/>
        <v>735.03111999999999</v>
      </c>
      <c r="P123" s="303">
        <f t="shared" si="685"/>
        <v>711.30600000000004</v>
      </c>
      <c r="Q123" s="303">
        <f>Q109*Q$90</f>
        <v>651.46592499999997</v>
      </c>
      <c r="R123" s="303">
        <f>R109*R$90</f>
        <v>606.25457600000004</v>
      </c>
      <c r="S123" s="303">
        <f>S109*S$90</f>
        <v>557.57984699999997</v>
      </c>
      <c r="T123" s="303">
        <f>T109*T$90</f>
        <v>524.35199999999998</v>
      </c>
      <c r="U123" s="303">
        <f>U90-U116</f>
        <v>475.30000000000018</v>
      </c>
      <c r="V123" s="282">
        <f>CM123*(1+V137)</f>
        <v>273.83551999999997</v>
      </c>
      <c r="W123" s="282">
        <f>X123-V123</f>
        <v>186.2726799999997</v>
      </c>
      <c r="X123" s="303">
        <f>X90-X116</f>
        <v>460.10819999999967</v>
      </c>
      <c r="Y123" s="282">
        <f>V123*(1+Y137)</f>
        <v>223.99745536</v>
      </c>
      <c r="Z123" s="282"/>
      <c r="AA123" s="303"/>
      <c r="AB123" s="282"/>
      <c r="AC123" s="282"/>
      <c r="AD123" s="303"/>
      <c r="AE123" s="282"/>
      <c r="AF123" s="282"/>
      <c r="AG123" s="303"/>
      <c r="AH123" s="282"/>
      <c r="AI123" s="190"/>
      <c r="AJ123" s="179"/>
      <c r="AK123" s="190"/>
      <c r="AL123" s="282"/>
      <c r="AM123" s="179"/>
      <c r="AN123" s="190"/>
      <c r="AO123" s="282"/>
      <c r="AP123" s="179"/>
      <c r="AQ123" s="1385"/>
      <c r="AR123" s="282"/>
      <c r="AS123" s="179"/>
      <c r="AT123" s="282"/>
      <c r="AU123" s="282"/>
      <c r="AV123" s="179"/>
      <c r="AW123" s="282"/>
      <c r="AX123" s="282"/>
      <c r="AY123" s="179"/>
      <c r="AZ123" s="282"/>
      <c r="BA123" s="282"/>
      <c r="BB123" s="179"/>
      <c r="BC123" s="179"/>
      <c r="BD123" s="320"/>
      <c r="BE123" s="320"/>
      <c r="BF123" s="320"/>
      <c r="BG123" s="320"/>
      <c r="BH123" s="318"/>
      <c r="BI123" s="322"/>
      <c r="BJ123" s="322"/>
      <c r="BK123" s="316"/>
      <c r="BL123" s="316"/>
      <c r="BM123" s="316"/>
      <c r="BN123" s="316"/>
      <c r="BO123" s="316"/>
      <c r="BP123" s="316"/>
      <c r="BQ123" s="316"/>
      <c r="BR123" s="316"/>
      <c r="BS123" s="316"/>
      <c r="BT123" s="316"/>
      <c r="BU123" s="316"/>
      <c r="BV123" s="316"/>
      <c r="BW123" s="316"/>
      <c r="BX123" s="316"/>
      <c r="BY123" s="316"/>
      <c r="BZ123" s="316"/>
      <c r="CA123" s="316">
        <f>CA109*CA$90</f>
        <v>461.42954000000003</v>
      </c>
      <c r="CB123" s="316">
        <f>O123-CA123</f>
        <v>273.60157999999996</v>
      </c>
      <c r="CC123" s="316">
        <f>CC109*CC$90</f>
        <v>430.45077599999996</v>
      </c>
      <c r="CD123" s="316">
        <f>P123-CC123</f>
        <v>280.85522400000008</v>
      </c>
      <c r="CE123" s="316">
        <f>CE109*CE$90</f>
        <v>395.73286799999994</v>
      </c>
      <c r="CF123" s="316">
        <f>Q123-CE123</f>
        <v>255.73305700000003</v>
      </c>
      <c r="CG123" s="316">
        <f>CG109*CG$90</f>
        <v>361.58723199999997</v>
      </c>
      <c r="CH123" s="316">
        <f>R123-CG123</f>
        <v>244.66734400000007</v>
      </c>
      <c r="CI123" s="316">
        <f>CI109*CI$90</f>
        <v>338.69072</v>
      </c>
      <c r="CJ123" s="316">
        <f>S123-CI123</f>
        <v>218.88912699999997</v>
      </c>
      <c r="CK123" s="316">
        <f>CK109*CK$90</f>
        <v>312.96230000000003</v>
      </c>
      <c r="CL123" s="316">
        <f>T123-CK123</f>
        <v>211.38969999999995</v>
      </c>
      <c r="CM123" s="316">
        <f>CM109*CM$90</f>
        <v>290.08</v>
      </c>
      <c r="CN123" s="316">
        <f>U123-CM123</f>
        <v>185.2200000000002</v>
      </c>
    </row>
    <row r="124" spans="1:92" outlineLevel="2">
      <c r="A124" s="171"/>
      <c r="B124" s="782" t="s">
        <v>469</v>
      </c>
      <c r="C124" s="279"/>
      <c r="D124" s="279"/>
      <c r="E124" s="279"/>
      <c r="F124" s="282">
        <f t="shared" ref="F124:P124" si="686">F110*F$90</f>
        <v>120.98390000000001</v>
      </c>
      <c r="G124" s="282">
        <f t="shared" si="686"/>
        <v>153.80138000000002</v>
      </c>
      <c r="H124" s="282">
        <f t="shared" si="686"/>
        <v>225.531475</v>
      </c>
      <c r="I124" s="282">
        <f t="shared" si="686"/>
        <v>274.28809000000001</v>
      </c>
      <c r="J124" s="282">
        <f t="shared" si="686"/>
        <v>301.231695</v>
      </c>
      <c r="K124" s="282">
        <f t="shared" si="686"/>
        <v>365.71280000000002</v>
      </c>
      <c r="L124" s="282">
        <f t="shared" si="686"/>
        <v>372.36256000000003</v>
      </c>
      <c r="M124" s="282">
        <f t="shared" si="686"/>
        <v>355.07160000000005</v>
      </c>
      <c r="N124" s="282">
        <f t="shared" si="686"/>
        <v>325.51783</v>
      </c>
      <c r="O124" s="282">
        <f t="shared" si="686"/>
        <v>281.50128000000001</v>
      </c>
      <c r="P124" s="282">
        <f t="shared" si="686"/>
        <v>264.67200000000003</v>
      </c>
      <c r="Q124" s="282">
        <f t="shared" ref="Q124:U126" si="687">P124*(1+Q138)</f>
        <v>243.86425000000003</v>
      </c>
      <c r="R124" s="282">
        <f t="shared" si="687"/>
        <v>219.12815999999998</v>
      </c>
      <c r="S124" s="282">
        <f t="shared" si="687"/>
        <v>237.26802000000001</v>
      </c>
      <c r="T124" s="282">
        <f t="shared" si="687"/>
        <v>215.91389820000001</v>
      </c>
      <c r="U124" s="282">
        <f t="shared" si="687"/>
        <v>183.52681347000001</v>
      </c>
      <c r="V124" s="282"/>
      <c r="W124" s="282"/>
      <c r="X124" s="282">
        <f>U124*(1+X138)</f>
        <v>183.52681347000001</v>
      </c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190"/>
      <c r="AJ124" s="179"/>
      <c r="AK124" s="190"/>
      <c r="AL124" s="282"/>
      <c r="AM124" s="179"/>
      <c r="AN124" s="190"/>
      <c r="AO124" s="282"/>
      <c r="AP124" s="179"/>
      <c r="AQ124" s="1385"/>
      <c r="AR124" s="282"/>
      <c r="AS124" s="179"/>
      <c r="AT124" s="282"/>
      <c r="AU124" s="282"/>
      <c r="AV124" s="179"/>
      <c r="AW124" s="282"/>
      <c r="AX124" s="282"/>
      <c r="AY124" s="179"/>
      <c r="AZ124" s="282"/>
      <c r="BA124" s="282"/>
      <c r="BB124" s="179"/>
      <c r="BC124" s="179"/>
      <c r="BD124" s="320"/>
      <c r="BE124" s="320"/>
      <c r="BF124" s="320"/>
      <c r="BG124" s="320"/>
      <c r="BH124" s="318"/>
      <c r="BI124" s="322"/>
      <c r="BJ124" s="322"/>
      <c r="BK124" s="316"/>
      <c r="BL124" s="316"/>
      <c r="BM124" s="316"/>
      <c r="BN124" s="316"/>
      <c r="BO124" s="316"/>
      <c r="BP124" s="316"/>
      <c r="BQ124" s="316"/>
      <c r="BR124" s="316"/>
      <c r="BS124" s="316"/>
      <c r="BT124" s="316"/>
      <c r="BU124" s="316"/>
      <c r="BV124" s="316"/>
      <c r="BW124" s="316"/>
      <c r="BX124" s="316"/>
      <c r="BY124" s="316"/>
      <c r="BZ124" s="316"/>
      <c r="CA124" s="316"/>
      <c r="CB124" s="316"/>
      <c r="CC124" s="316"/>
      <c r="CD124" s="316"/>
      <c r="CE124" s="316"/>
      <c r="CF124" s="316"/>
      <c r="CG124" s="316"/>
      <c r="CH124" s="316"/>
      <c r="CI124" s="316"/>
      <c r="CJ124" s="316"/>
      <c r="CK124" s="316"/>
      <c r="CL124" s="316"/>
      <c r="CM124" s="316"/>
      <c r="CN124" s="316"/>
    </row>
    <row r="125" spans="1:92" outlineLevel="2">
      <c r="A125" s="171"/>
      <c r="B125" s="782" t="s">
        <v>470</v>
      </c>
      <c r="C125" s="279"/>
      <c r="D125" s="279"/>
      <c r="E125" s="279"/>
      <c r="F125" s="282">
        <f t="shared" ref="F125:P125" si="688">F111*F$90</f>
        <v>0</v>
      </c>
      <c r="G125" s="282">
        <f t="shared" si="688"/>
        <v>0</v>
      </c>
      <c r="H125" s="282">
        <f t="shared" si="688"/>
        <v>0</v>
      </c>
      <c r="I125" s="282">
        <f t="shared" si="688"/>
        <v>9.4582100000000011</v>
      </c>
      <c r="J125" s="282">
        <f t="shared" si="688"/>
        <v>25.63674</v>
      </c>
      <c r="K125" s="282">
        <f t="shared" si="688"/>
        <v>36.571280000000002</v>
      </c>
      <c r="L125" s="282">
        <f t="shared" si="688"/>
        <v>69.817980000000006</v>
      </c>
      <c r="M125" s="282">
        <f t="shared" si="688"/>
        <v>95.59620000000001</v>
      </c>
      <c r="N125" s="282">
        <f t="shared" si="688"/>
        <v>118.37012000000001</v>
      </c>
      <c r="O125" s="282">
        <f t="shared" si="688"/>
        <v>125.11167999999999</v>
      </c>
      <c r="P125" s="282">
        <f t="shared" si="688"/>
        <v>148.87799999999999</v>
      </c>
      <c r="Q125" s="282">
        <f t="shared" si="687"/>
        <v>139.351</v>
      </c>
      <c r="R125" s="282">
        <f t="shared" si="687"/>
        <v>109.56407999999999</v>
      </c>
      <c r="S125" s="282">
        <f t="shared" si="687"/>
        <v>118.63401</v>
      </c>
      <c r="T125" s="282">
        <f t="shared" si="687"/>
        <v>107.9569491</v>
      </c>
      <c r="U125" s="282">
        <f t="shared" si="687"/>
        <v>98.240823681000009</v>
      </c>
      <c r="V125" s="282"/>
      <c r="W125" s="282"/>
      <c r="X125" s="282">
        <f>U125*(1+X139)</f>
        <v>98.240823681000009</v>
      </c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190"/>
      <c r="AJ125" s="179"/>
      <c r="AK125" s="190"/>
      <c r="AL125" s="282"/>
      <c r="AM125" s="179"/>
      <c r="AN125" s="190"/>
      <c r="AO125" s="282"/>
      <c r="AP125" s="179"/>
      <c r="AQ125" s="1385"/>
      <c r="AR125" s="282"/>
      <c r="AS125" s="179"/>
      <c r="AT125" s="282"/>
      <c r="AU125" s="282"/>
      <c r="AV125" s="179"/>
      <c r="AW125" s="282"/>
      <c r="AX125" s="282"/>
      <c r="AY125" s="179"/>
      <c r="AZ125" s="282"/>
      <c r="BA125" s="282"/>
      <c r="BB125" s="179"/>
      <c r="BC125" s="179"/>
      <c r="BD125" s="320"/>
      <c r="BE125" s="320"/>
      <c r="BF125" s="320"/>
      <c r="BG125" s="320"/>
      <c r="BH125" s="318"/>
      <c r="BI125" s="322"/>
      <c r="BJ125" s="322"/>
      <c r="BK125" s="316"/>
      <c r="BL125" s="316"/>
      <c r="BM125" s="316"/>
      <c r="BN125" s="316"/>
      <c r="BO125" s="316"/>
      <c r="BP125" s="316"/>
      <c r="BQ125" s="316"/>
      <c r="BR125" s="316"/>
      <c r="BS125" s="316"/>
      <c r="BT125" s="316"/>
      <c r="BU125" s="316"/>
      <c r="BV125" s="316"/>
      <c r="BW125" s="316"/>
      <c r="BX125" s="316"/>
      <c r="BY125" s="316"/>
      <c r="BZ125" s="316"/>
      <c r="CA125" s="316"/>
      <c r="CB125" s="316"/>
      <c r="CC125" s="316"/>
      <c r="CD125" s="316"/>
      <c r="CE125" s="316"/>
      <c r="CF125" s="316"/>
      <c r="CG125" s="316"/>
      <c r="CH125" s="316"/>
      <c r="CI125" s="316"/>
      <c r="CJ125" s="316"/>
      <c r="CK125" s="316"/>
      <c r="CL125" s="316"/>
      <c r="CM125" s="316"/>
      <c r="CN125" s="316"/>
    </row>
    <row r="126" spans="1:92" outlineLevel="2">
      <c r="A126" s="171"/>
      <c r="B126" s="782" t="s">
        <v>471</v>
      </c>
      <c r="C126" s="279"/>
      <c r="D126" s="279"/>
      <c r="E126" s="279"/>
      <c r="F126" s="282">
        <f t="shared" ref="F126:P126" si="689">F112*F$90</f>
        <v>0</v>
      </c>
      <c r="G126" s="282">
        <f t="shared" si="689"/>
        <v>0</v>
      </c>
      <c r="H126" s="282">
        <f t="shared" si="689"/>
        <v>3.4697149999999999</v>
      </c>
      <c r="I126" s="282">
        <f t="shared" si="689"/>
        <v>28.37463</v>
      </c>
      <c r="J126" s="282">
        <f t="shared" si="689"/>
        <v>64.091850000000008</v>
      </c>
      <c r="K126" s="282">
        <f t="shared" si="689"/>
        <v>109.71384</v>
      </c>
      <c r="L126" s="282">
        <f t="shared" si="689"/>
        <v>162.90862000000001</v>
      </c>
      <c r="M126" s="282">
        <f t="shared" si="689"/>
        <v>240.35615999999999</v>
      </c>
      <c r="N126" s="282">
        <f t="shared" si="689"/>
        <v>295.92530000000005</v>
      </c>
      <c r="O126" s="282">
        <f t="shared" si="689"/>
        <v>328.41815999999994</v>
      </c>
      <c r="P126" s="282">
        <f t="shared" si="689"/>
        <v>297.75600000000003</v>
      </c>
      <c r="Q126" s="282">
        <f t="shared" si="687"/>
        <v>268.25067499999994</v>
      </c>
      <c r="R126" s="282">
        <f t="shared" si="687"/>
        <v>277.56233600000002</v>
      </c>
      <c r="S126" s="282">
        <f t="shared" si="687"/>
        <v>201.67781699999995</v>
      </c>
      <c r="T126" s="282">
        <f t="shared" si="687"/>
        <v>183.52681346999995</v>
      </c>
      <c r="U126" s="282">
        <f t="shared" si="687"/>
        <v>192.70315414349994</v>
      </c>
      <c r="V126" s="282"/>
      <c r="W126" s="282"/>
      <c r="X126" s="282">
        <f>U126*(1+X140)</f>
        <v>192.70315414349994</v>
      </c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190"/>
      <c r="AJ126" s="179"/>
      <c r="AK126" s="190"/>
      <c r="AL126" s="282"/>
      <c r="AM126" s="179"/>
      <c r="AN126" s="190"/>
      <c r="AO126" s="282"/>
      <c r="AP126" s="179"/>
      <c r="AQ126" s="1385"/>
      <c r="AR126" s="282"/>
      <c r="AS126" s="179"/>
      <c r="AT126" s="282"/>
      <c r="AU126" s="282"/>
      <c r="AV126" s="179"/>
      <c r="AW126" s="282"/>
      <c r="AX126" s="282"/>
      <c r="AY126" s="179"/>
      <c r="AZ126" s="282"/>
      <c r="BA126" s="282"/>
      <c r="BB126" s="179"/>
      <c r="BC126" s="179"/>
      <c r="BD126" s="320"/>
      <c r="BE126" s="320"/>
      <c r="BF126" s="320"/>
      <c r="BG126" s="320"/>
      <c r="BH126" s="318"/>
      <c r="BI126" s="322"/>
      <c r="BJ126" s="322"/>
      <c r="BK126" s="316"/>
      <c r="BL126" s="316"/>
      <c r="BM126" s="316"/>
      <c r="BN126" s="316"/>
      <c r="BO126" s="316"/>
      <c r="BP126" s="316"/>
      <c r="BQ126" s="316"/>
      <c r="BR126" s="316"/>
      <c r="BS126" s="316"/>
      <c r="BT126" s="316"/>
      <c r="BU126" s="316"/>
      <c r="BV126" s="316"/>
      <c r="BW126" s="316"/>
      <c r="BX126" s="316"/>
      <c r="BY126" s="316"/>
      <c r="BZ126" s="316"/>
      <c r="CA126" s="316"/>
      <c r="CB126" s="316"/>
      <c r="CC126" s="316"/>
      <c r="CD126" s="316"/>
      <c r="CE126" s="316"/>
      <c r="CF126" s="316"/>
      <c r="CG126" s="316"/>
      <c r="CH126" s="316"/>
      <c r="CI126" s="316"/>
      <c r="CJ126" s="316"/>
      <c r="CK126" s="316"/>
      <c r="CL126" s="316"/>
      <c r="CM126" s="316"/>
      <c r="CN126" s="316"/>
    </row>
    <row r="127" spans="1:92" outlineLevel="2">
      <c r="A127" s="171"/>
      <c r="B127" s="833" t="s">
        <v>219</v>
      </c>
      <c r="C127" s="279"/>
      <c r="D127" s="279"/>
      <c r="E127" s="279"/>
      <c r="F127" s="282">
        <f t="shared" ref="F127:P127" si="690">F113*F$90</f>
        <v>355.83499999999998</v>
      </c>
      <c r="G127" s="282">
        <f t="shared" si="690"/>
        <v>452.35700000000003</v>
      </c>
      <c r="H127" s="282">
        <f t="shared" si="690"/>
        <v>693.94299999999998</v>
      </c>
      <c r="I127" s="282">
        <f t="shared" si="690"/>
        <v>945.82100000000003</v>
      </c>
      <c r="J127" s="282">
        <f t="shared" si="690"/>
        <v>1281.8370000000002</v>
      </c>
      <c r="K127" s="282">
        <f t="shared" si="690"/>
        <v>1828.5640000000005</v>
      </c>
      <c r="L127" s="282">
        <f t="shared" si="690"/>
        <v>2327.2660000000001</v>
      </c>
      <c r="M127" s="282">
        <f t="shared" si="690"/>
        <v>2731.32</v>
      </c>
      <c r="N127" s="282">
        <f t="shared" si="690"/>
        <v>2959.2530000000002</v>
      </c>
      <c r="O127" s="282">
        <f t="shared" si="690"/>
        <v>3127.7919999999999</v>
      </c>
      <c r="P127" s="282">
        <f t="shared" si="690"/>
        <v>3308.4</v>
      </c>
      <c r="Q127" s="282">
        <f t="shared" ref="Q127:X127" si="691">Q116+Q123</f>
        <v>3483.7749999999996</v>
      </c>
      <c r="R127" s="282">
        <f t="shared" si="691"/>
        <v>3652.1359999999995</v>
      </c>
      <c r="S127" s="282">
        <f t="shared" si="691"/>
        <v>3954.4670000000001</v>
      </c>
      <c r="T127" s="282">
        <f t="shared" si="691"/>
        <v>4369.6000000000004</v>
      </c>
      <c r="U127" s="282">
        <f t="shared" si="691"/>
        <v>4753</v>
      </c>
      <c r="V127" s="282">
        <f>V116+V123</f>
        <v>2711.7507200000005</v>
      </c>
      <c r="W127" s="282">
        <f>X127-V127</f>
        <v>2235.6492799999992</v>
      </c>
      <c r="X127" s="282">
        <f t="shared" si="691"/>
        <v>4947.3999999999996</v>
      </c>
      <c r="Y127" s="282">
        <f>Y116+Y123</f>
        <v>2852.0700409600004</v>
      </c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190"/>
      <c r="AJ127" s="179"/>
      <c r="AK127" s="190"/>
      <c r="AL127" s="282"/>
      <c r="AM127" s="179"/>
      <c r="AN127" s="190"/>
      <c r="AO127" s="282"/>
      <c r="AP127" s="179"/>
      <c r="AQ127" s="1385"/>
      <c r="AR127" s="282"/>
      <c r="AS127" s="179"/>
      <c r="AT127" s="282"/>
      <c r="AU127" s="282"/>
      <c r="AV127" s="179"/>
      <c r="AW127" s="282"/>
      <c r="AX127" s="282"/>
      <c r="AY127" s="179"/>
      <c r="AZ127" s="282"/>
      <c r="BA127" s="282"/>
      <c r="BB127" s="179"/>
      <c r="BC127" s="179"/>
      <c r="BD127" s="320"/>
      <c r="BE127" s="320"/>
      <c r="BF127" s="320"/>
      <c r="BG127" s="320"/>
      <c r="BH127" s="318"/>
      <c r="BI127" s="322"/>
      <c r="BJ127" s="322"/>
      <c r="BK127" s="316"/>
      <c r="BL127" s="316"/>
      <c r="BM127" s="316"/>
      <c r="BN127" s="316"/>
      <c r="BO127" s="316"/>
      <c r="BP127" s="316"/>
      <c r="BQ127" s="316"/>
      <c r="BR127" s="316"/>
      <c r="BS127" s="316"/>
      <c r="BT127" s="316"/>
      <c r="BU127" s="316"/>
      <c r="BV127" s="316"/>
      <c r="BW127" s="316"/>
      <c r="BX127" s="316"/>
      <c r="BY127" s="316"/>
      <c r="BZ127" s="316"/>
      <c r="CA127" s="316">
        <f>CA116+CA123</f>
        <v>1774.729</v>
      </c>
      <c r="CB127" s="316">
        <f>O127-CA127</f>
        <v>1353.0629999999999</v>
      </c>
      <c r="CC127" s="316">
        <f>CC116+CC123</f>
        <v>1816.248</v>
      </c>
      <c r="CD127" s="316">
        <f>P127-CC127</f>
        <v>1492.152</v>
      </c>
      <c r="CE127" s="316">
        <f>CE116+CE123</f>
        <v>1939.8670000000002</v>
      </c>
      <c r="CF127" s="316">
        <f>Q127-CE127</f>
        <v>1543.9079999999994</v>
      </c>
      <c r="CG127" s="316">
        <f>CG116+CG123</f>
        <v>1965.1480000000001</v>
      </c>
      <c r="CH127" s="316">
        <f>+CH116+CH123</f>
        <v>1686.9879999999998</v>
      </c>
      <c r="CI127" s="316">
        <f>CI116+CI123</f>
        <v>2116.817</v>
      </c>
      <c r="CJ127" s="316">
        <f>CJ116+CJ123</f>
        <v>1837.65</v>
      </c>
      <c r="CK127" s="316">
        <f>CK116+CK123</f>
        <v>2353.1</v>
      </c>
      <c r="CL127" s="316">
        <f>CL116+CL123</f>
        <v>2016.5000000000005</v>
      </c>
      <c r="CM127" s="316">
        <f>CM116+CM123</f>
        <v>2590</v>
      </c>
      <c r="CN127" s="316">
        <f>U127-CM127</f>
        <v>2163</v>
      </c>
    </row>
    <row r="128" spans="1:92" outlineLevel="2">
      <c r="A128" s="165"/>
      <c r="B128" s="833"/>
      <c r="C128" s="1008"/>
      <c r="D128" s="1008"/>
      <c r="E128" s="595"/>
      <c r="F128" s="1009" t="str">
        <f t="shared" ref="F128:U128" si="692">IF(F113=1,"ok","check")</f>
        <v>ok</v>
      </c>
      <c r="G128" s="1009" t="str">
        <f t="shared" si="692"/>
        <v>ok</v>
      </c>
      <c r="H128" s="1009" t="str">
        <f t="shared" si="692"/>
        <v>ok</v>
      </c>
      <c r="I128" s="1009" t="str">
        <f t="shared" si="692"/>
        <v>ok</v>
      </c>
      <c r="J128" s="1009" t="str">
        <f t="shared" si="692"/>
        <v>ok</v>
      </c>
      <c r="K128" s="1009" t="str">
        <f t="shared" si="692"/>
        <v>ok</v>
      </c>
      <c r="L128" s="1009" t="str">
        <f t="shared" si="692"/>
        <v>ok</v>
      </c>
      <c r="M128" s="1009" t="str">
        <f t="shared" si="692"/>
        <v>ok</v>
      </c>
      <c r="N128" s="1009" t="str">
        <f t="shared" si="692"/>
        <v>ok</v>
      </c>
      <c r="O128" s="1009" t="str">
        <f t="shared" si="692"/>
        <v>ok</v>
      </c>
      <c r="P128" s="1009" t="str">
        <f t="shared" si="692"/>
        <v>ok</v>
      </c>
      <c r="Q128" s="1009" t="str">
        <f t="shared" si="692"/>
        <v>ok</v>
      </c>
      <c r="R128" s="1009" t="str">
        <f t="shared" si="692"/>
        <v>ok</v>
      </c>
      <c r="S128" s="1009" t="str">
        <f t="shared" si="692"/>
        <v>ok</v>
      </c>
      <c r="T128" s="1009" t="str">
        <f t="shared" si="692"/>
        <v>ok</v>
      </c>
      <c r="U128" s="1009" t="str">
        <f t="shared" si="692"/>
        <v>ok</v>
      </c>
      <c r="V128" s="596"/>
      <c r="W128" s="596"/>
      <c r="X128" s="1009" t="str">
        <f>IF(X113=1,"ok","check")</f>
        <v>check</v>
      </c>
      <c r="Y128" s="596"/>
      <c r="Z128" s="596"/>
      <c r="AA128" s="1009"/>
      <c r="AB128" s="596"/>
      <c r="AC128" s="596"/>
      <c r="AD128" s="1009"/>
      <c r="AE128" s="596"/>
      <c r="AF128" s="596"/>
      <c r="AG128" s="309"/>
      <c r="AH128" s="262"/>
      <c r="AI128" s="669"/>
      <c r="AJ128" s="1239"/>
      <c r="AK128" s="675"/>
      <c r="AL128" s="262"/>
      <c r="AM128" s="1239"/>
      <c r="AN128" s="675"/>
      <c r="AO128" s="596"/>
      <c r="AP128" s="1239"/>
      <c r="AQ128" s="1601"/>
      <c r="AR128" s="596"/>
      <c r="AS128" s="194"/>
      <c r="AT128" s="596"/>
      <c r="AU128" s="596"/>
      <c r="AV128" s="194"/>
      <c r="AW128" s="596"/>
      <c r="AX128" s="596"/>
      <c r="AY128" s="194"/>
      <c r="AZ128" s="596"/>
      <c r="BA128" s="596"/>
      <c r="BB128" s="194"/>
      <c r="BC128" s="668"/>
      <c r="BD128" s="394"/>
      <c r="BE128" s="394"/>
      <c r="BF128" s="394"/>
      <c r="BG128" s="394"/>
      <c r="BH128" s="315"/>
      <c r="BI128" s="317"/>
      <c r="BJ128" s="317"/>
      <c r="BK128" s="402"/>
      <c r="BL128" s="402"/>
      <c r="BM128" s="402"/>
      <c r="BN128" s="402"/>
      <c r="BO128" s="402"/>
      <c r="BP128" s="402"/>
      <c r="BQ128" s="402"/>
      <c r="BR128" s="402"/>
      <c r="BS128" s="402"/>
      <c r="BT128" s="402"/>
      <c r="BU128" s="402"/>
      <c r="BV128" s="402"/>
      <c r="BW128" s="402"/>
      <c r="BX128" s="402"/>
      <c r="BY128" s="402"/>
      <c r="BZ128" s="402"/>
      <c r="CA128" s="402"/>
      <c r="CB128" s="402"/>
      <c r="CC128" s="402"/>
      <c r="CD128" s="402"/>
      <c r="CE128" s="402"/>
      <c r="CF128" s="402"/>
      <c r="CG128" s="402"/>
      <c r="CH128" s="402"/>
      <c r="CI128" s="402"/>
      <c r="CJ128" s="402"/>
      <c r="CK128" s="402"/>
      <c r="CL128" s="402"/>
      <c r="CM128" s="402"/>
      <c r="CN128" s="402"/>
    </row>
    <row r="129" spans="1:92" outlineLevel="2">
      <c r="A129" s="165"/>
      <c r="B129" s="833" t="s">
        <v>472</v>
      </c>
      <c r="C129" s="1008"/>
      <c r="D129" s="1008"/>
      <c r="E129" s="595"/>
      <c r="F129" s="596"/>
      <c r="G129" s="596"/>
      <c r="H129" s="596"/>
      <c r="I129" s="596"/>
      <c r="J129" s="596"/>
      <c r="K129" s="596"/>
      <c r="L129" s="596"/>
      <c r="M129" s="596"/>
      <c r="N129" s="596"/>
      <c r="O129" s="596"/>
      <c r="P129" s="595"/>
      <c r="Q129" s="595"/>
      <c r="R129" s="595"/>
      <c r="S129" s="595"/>
      <c r="T129" s="595"/>
      <c r="U129" s="595"/>
      <c r="V129" s="596"/>
      <c r="W129" s="596"/>
      <c r="X129" s="595"/>
      <c r="Y129" s="596"/>
      <c r="Z129" s="596"/>
      <c r="AA129" s="595"/>
      <c r="AB129" s="596"/>
      <c r="AC129" s="596"/>
      <c r="AD129" s="595"/>
      <c r="AE129" s="596"/>
      <c r="AF129" s="596"/>
      <c r="AG129" s="1126"/>
      <c r="AH129" s="262"/>
      <c r="AI129" s="669"/>
      <c r="AJ129" s="1239"/>
      <c r="AK129" s="675"/>
      <c r="AL129" s="262"/>
      <c r="AM129" s="1239"/>
      <c r="AN129" s="675"/>
      <c r="AO129" s="596"/>
      <c r="AP129" s="1239"/>
      <c r="AQ129" s="1601"/>
      <c r="AR129" s="596"/>
      <c r="AS129" s="194"/>
      <c r="AT129" s="596"/>
      <c r="AU129" s="596"/>
      <c r="AV129" s="194"/>
      <c r="AW129" s="596"/>
      <c r="AX129" s="596"/>
      <c r="AY129" s="194"/>
      <c r="AZ129" s="596"/>
      <c r="BA129" s="596"/>
      <c r="BB129" s="194"/>
      <c r="BC129" s="668"/>
      <c r="BD129" s="394"/>
      <c r="BE129" s="394"/>
      <c r="BF129" s="394"/>
      <c r="BG129" s="394"/>
      <c r="BH129" s="315"/>
      <c r="BI129" s="317"/>
      <c r="BJ129" s="317"/>
      <c r="BK129" s="402"/>
      <c r="BL129" s="402"/>
      <c r="BM129" s="402"/>
      <c r="BN129" s="402"/>
      <c r="BO129" s="402"/>
      <c r="BP129" s="402"/>
      <c r="BQ129" s="402"/>
      <c r="BR129" s="402"/>
      <c r="BS129" s="402"/>
      <c r="BT129" s="402"/>
      <c r="BU129" s="402"/>
      <c r="BV129" s="402"/>
      <c r="BW129" s="402"/>
      <c r="BX129" s="402"/>
      <c r="BY129" s="402"/>
      <c r="BZ129" s="402"/>
      <c r="CA129" s="402"/>
      <c r="CB129" s="402"/>
      <c r="CC129" s="402"/>
      <c r="CD129" s="402"/>
      <c r="CE129" s="402"/>
      <c r="CF129" s="402"/>
      <c r="CG129" s="402"/>
      <c r="CH129" s="402"/>
      <c r="CI129" s="402"/>
      <c r="CJ129" s="402"/>
      <c r="CK129" s="402"/>
      <c r="CL129" s="402"/>
      <c r="CM129" s="402"/>
      <c r="CN129" s="402"/>
    </row>
    <row r="130" spans="1:92" outlineLevel="2">
      <c r="A130" s="167"/>
      <c r="B130" s="833" t="str">
        <f t="shared" ref="B130:B135" si="693">B102</f>
        <v>Hardware</v>
      </c>
      <c r="C130" s="1008"/>
      <c r="D130" s="1008"/>
      <c r="E130" s="595"/>
      <c r="F130" s="602"/>
      <c r="G130" s="595">
        <f t="shared" ref="G130:U130" si="694">(G102*G$90)/(F102*F$90)-1</f>
        <v>0.27125493557407232</v>
      </c>
      <c r="H130" s="595">
        <f t="shared" si="694"/>
        <v>0.55730382834528402</v>
      </c>
      <c r="I130" s="595">
        <f t="shared" si="694"/>
        <v>0.36296641078590097</v>
      </c>
      <c r="J130" s="595">
        <f t="shared" si="694"/>
        <v>0.40583338581610051</v>
      </c>
      <c r="K130" s="595">
        <f t="shared" si="694"/>
        <v>0.47783195792697342</v>
      </c>
      <c r="L130" s="595">
        <f t="shared" si="694"/>
        <v>0.30808234099423215</v>
      </c>
      <c r="M130" s="595">
        <f t="shared" si="694"/>
        <v>0.18471924172432841</v>
      </c>
      <c r="N130" s="595">
        <f t="shared" si="694"/>
        <v>8.7802802381560463E-2</v>
      </c>
      <c r="O130" s="595">
        <f t="shared" si="694"/>
        <v>7.8092288830998502E-2</v>
      </c>
      <c r="P130" s="595">
        <f t="shared" si="694"/>
        <v>8.5396381104325014E-2</v>
      </c>
      <c r="Q130" s="595">
        <f t="shared" si="694"/>
        <v>9.0568564326127365E-2</v>
      </c>
      <c r="R130" s="595">
        <f t="shared" si="694"/>
        <v>7.5405735512816596E-2</v>
      </c>
      <c r="S130" s="595">
        <f t="shared" si="694"/>
        <v>0.11523945949906444</v>
      </c>
      <c r="T130" s="595">
        <f t="shared" si="694"/>
        <v>0.13199168144400253</v>
      </c>
      <c r="U130" s="595">
        <f t="shared" si="694"/>
        <v>0.11246400752305163</v>
      </c>
      <c r="V130" s="597">
        <v>0.06</v>
      </c>
      <c r="W130" s="263">
        <f>W116/CN116-1</f>
        <v>3.6200487415182669E-2</v>
      </c>
      <c r="X130" s="1007">
        <v>5.3999999999999999E-2</v>
      </c>
      <c r="Y130" s="597">
        <v>7.8E-2</v>
      </c>
      <c r="Z130" s="263"/>
      <c r="AA130" s="1007"/>
      <c r="AB130" s="597"/>
      <c r="AC130" s="263"/>
      <c r="AD130" s="1007"/>
      <c r="AE130" s="597"/>
      <c r="AF130" s="263"/>
      <c r="AG130" s="1004">
        <v>0.05</v>
      </c>
      <c r="AH130" s="1198"/>
      <c r="AI130" s="564"/>
      <c r="AJ130" s="1239"/>
      <c r="AK130" s="1257"/>
      <c r="AL130" s="284"/>
      <c r="AM130" s="1239"/>
      <c r="AN130" s="1257"/>
      <c r="AO130" s="263"/>
      <c r="AP130" s="1239"/>
      <c r="AQ130" s="1737"/>
      <c r="AR130" s="263"/>
      <c r="AS130" s="194"/>
      <c r="AT130" s="597"/>
      <c r="AU130" s="263"/>
      <c r="AV130" s="194"/>
      <c r="AW130" s="597"/>
      <c r="AX130" s="263"/>
      <c r="AY130" s="194"/>
      <c r="AZ130" s="597"/>
      <c r="BA130" s="263"/>
      <c r="BB130" s="194"/>
      <c r="BC130" s="668"/>
      <c r="BD130" s="394"/>
      <c r="BE130" s="394"/>
      <c r="BF130" s="394"/>
      <c r="BG130" s="394"/>
      <c r="BH130" s="335"/>
      <c r="BI130" s="398"/>
      <c r="BJ130" s="398"/>
      <c r="BK130" s="394"/>
      <c r="BL130" s="394"/>
      <c r="BM130" s="394"/>
      <c r="BN130" s="394"/>
      <c r="BO130" s="394"/>
      <c r="BP130" s="394"/>
      <c r="BQ130" s="394"/>
      <c r="BR130" s="394"/>
      <c r="BS130" s="394"/>
      <c r="BT130" s="394"/>
      <c r="BU130" s="394"/>
      <c r="BV130" s="394"/>
      <c r="BW130" s="394"/>
      <c r="BX130" s="394"/>
      <c r="BY130" s="394"/>
      <c r="BZ130" s="394"/>
      <c r="CA130" s="394"/>
      <c r="CB130" s="394"/>
      <c r="CC130" s="331">
        <f t="shared" ref="CC130:CN130" si="695">CC116/CA116-1</f>
        <v>5.5202766930247726E-2</v>
      </c>
      <c r="CD130" s="331">
        <f t="shared" si="695"/>
        <v>0.12213067883426532</v>
      </c>
      <c r="CE130" s="331">
        <f t="shared" si="695"/>
        <v>0.11425690949428535</v>
      </c>
      <c r="CF130" s="331">
        <f t="shared" si="695"/>
        <v>6.3467655923158839E-2</v>
      </c>
      <c r="CG130" s="331">
        <f t="shared" si="695"/>
        <v>3.8485410540746834E-2</v>
      </c>
      <c r="CH130" s="331">
        <f t="shared" si="695"/>
        <v>0.11966209546120643</v>
      </c>
      <c r="CI130" s="331">
        <f t="shared" si="695"/>
        <v>0.10886117662863648</v>
      </c>
      <c r="CJ130" s="331">
        <f t="shared" si="695"/>
        <v>0.12233078425800525</v>
      </c>
      <c r="CK130" s="331">
        <f t="shared" si="695"/>
        <v>0.14735253786362135</v>
      </c>
      <c r="CL130" s="331">
        <f t="shared" si="695"/>
        <v>0.11511856390168651</v>
      </c>
      <c r="CM130" s="331">
        <f t="shared" si="695"/>
        <v>0.12733566954818798</v>
      </c>
      <c r="CN130" s="331">
        <f t="shared" si="695"/>
        <v>9.5656038304140933E-2</v>
      </c>
    </row>
    <row r="131" spans="1:92" outlineLevel="2">
      <c r="A131" s="165"/>
      <c r="B131" s="782" t="str">
        <f t="shared" si="693"/>
        <v>Audio &amp; Visual Hardware incl Car Sound &amp; Cameras</v>
      </c>
      <c r="C131" s="1008"/>
      <c r="D131" s="1008"/>
      <c r="E131" s="595"/>
      <c r="F131" s="596"/>
      <c r="G131" s="293">
        <f t="shared" ref="G131:Q131" si="696">(G103*G$90)/(F103*F$90)-1</f>
        <v>0.27125493557407232</v>
      </c>
      <c r="H131" s="293">
        <f t="shared" si="696"/>
        <v>0.39024231690898969</v>
      </c>
      <c r="I131" s="293">
        <f t="shared" si="696"/>
        <v>0.29246814815904387</v>
      </c>
      <c r="J131" s="293">
        <f t="shared" si="696"/>
        <v>0.23205803596702057</v>
      </c>
      <c r="K131" s="293">
        <f t="shared" si="696"/>
        <v>0.28386651344905811</v>
      </c>
      <c r="L131" s="293">
        <f t="shared" si="696"/>
        <v>0.18788017992989747</v>
      </c>
      <c r="M131" s="293">
        <f t="shared" si="696"/>
        <v>0.10934792769099655</v>
      </c>
      <c r="N131" s="293">
        <f t="shared" si="696"/>
        <v>-7.2106949625965866E-2</v>
      </c>
      <c r="O131" s="293">
        <f t="shared" si="696"/>
        <v>2.5866364804583597E-2</v>
      </c>
      <c r="P131" s="293">
        <f t="shared" si="696"/>
        <v>7.3769378758968829E-2</v>
      </c>
      <c r="Q131" s="293">
        <f t="shared" si="696"/>
        <v>9.013827760003057E-2</v>
      </c>
      <c r="R131" s="293">
        <f>R117/Q117-1</f>
        <v>5.0152676114244565E-2</v>
      </c>
      <c r="S131" s="293">
        <f>S117/R117-1</f>
        <v>0.12769288815906221</v>
      </c>
      <c r="T131" s="293">
        <f>T117/S117-1</f>
        <v>0.20788903227183653</v>
      </c>
      <c r="U131" s="293">
        <f>U117/T117-1</f>
        <v>9.7671771001983876E-2</v>
      </c>
      <c r="V131" s="263"/>
      <c r="W131" s="293"/>
      <c r="X131" s="293"/>
      <c r="Y131" s="263"/>
      <c r="Z131" s="293"/>
      <c r="AA131" s="293"/>
      <c r="AB131" s="263"/>
      <c r="AC131" s="293"/>
      <c r="AD131" s="293"/>
      <c r="AE131" s="263"/>
      <c r="AF131" s="293"/>
      <c r="AG131" s="581"/>
      <c r="AH131" s="284"/>
      <c r="AI131" s="566"/>
      <c r="AJ131" s="1239"/>
      <c r="AK131" s="137"/>
      <c r="AL131" s="581"/>
      <c r="AM131" s="1239"/>
      <c r="AN131" s="137"/>
      <c r="AO131" s="293"/>
      <c r="AP131" s="1239"/>
      <c r="AQ131" s="1315"/>
      <c r="AR131" s="293"/>
      <c r="AS131" s="194"/>
      <c r="AT131" s="263"/>
      <c r="AU131" s="293"/>
      <c r="AV131" s="194"/>
      <c r="AW131" s="263"/>
      <c r="AX131" s="293"/>
      <c r="AY131" s="194"/>
      <c r="AZ131" s="263"/>
      <c r="BA131" s="293"/>
      <c r="BB131" s="194"/>
      <c r="BC131" s="668"/>
      <c r="BD131" s="394"/>
      <c r="BE131" s="394"/>
      <c r="BF131" s="394"/>
      <c r="BG131" s="394"/>
      <c r="BH131" s="315"/>
      <c r="BI131" s="317"/>
      <c r="BJ131" s="317"/>
      <c r="BK131" s="321"/>
      <c r="BL131" s="321"/>
      <c r="BM131" s="321"/>
      <c r="BN131" s="321"/>
      <c r="BO131" s="321"/>
      <c r="BP131" s="321"/>
      <c r="BQ131" s="321"/>
      <c r="BR131" s="321"/>
      <c r="BS131" s="321"/>
      <c r="BT131" s="321"/>
      <c r="BU131" s="321"/>
      <c r="BV131" s="321"/>
      <c r="BW131" s="321"/>
      <c r="BX131" s="321"/>
      <c r="BY131" s="321"/>
      <c r="BZ131" s="321"/>
      <c r="CA131" s="321"/>
      <c r="CB131" s="321"/>
      <c r="CC131" s="321"/>
      <c r="CD131" s="321"/>
      <c r="CE131" s="321"/>
      <c r="CF131" s="321"/>
      <c r="CG131" s="321"/>
      <c r="CH131" s="321"/>
      <c r="CI131" s="321"/>
      <c r="CJ131" s="321"/>
      <c r="CK131" s="321"/>
      <c r="CL131" s="321"/>
      <c r="CM131" s="321"/>
      <c r="CN131" s="321"/>
    </row>
    <row r="132" spans="1:92" outlineLevel="2">
      <c r="A132" s="165"/>
      <c r="B132" s="782" t="str">
        <f t="shared" si="693"/>
        <v>Computer Hardware</v>
      </c>
      <c r="C132" s="1008"/>
      <c r="D132" s="1008"/>
      <c r="E132" s="595"/>
      <c r="F132" s="596"/>
      <c r="G132" s="293"/>
      <c r="H132" s="293"/>
      <c r="I132" s="293"/>
      <c r="J132" s="293">
        <f t="shared" ref="J132:P135" si="697">(J104*J$90)/(I104*I$90)-1</f>
        <v>5.7763191978186148</v>
      </c>
      <c r="K132" s="293">
        <f t="shared" si="697"/>
        <v>1.8530366965534619</v>
      </c>
      <c r="L132" s="293">
        <f t="shared" si="697"/>
        <v>0.46363807884219543</v>
      </c>
      <c r="M132" s="293">
        <f t="shared" si="697"/>
        <v>0.32669799259508059</v>
      </c>
      <c r="N132" s="293">
        <f t="shared" si="697"/>
        <v>0.41682131153266</v>
      </c>
      <c r="O132" s="293">
        <f t="shared" si="697"/>
        <v>0.18130066250224774</v>
      </c>
      <c r="P132" s="293">
        <f t="shared" si="697"/>
        <v>2.9907628801807418E-2</v>
      </c>
      <c r="Q132" s="293">
        <v>-0.08</v>
      </c>
      <c r="R132" s="293">
        <v>-0.03</v>
      </c>
      <c r="S132" s="293">
        <v>0.03</v>
      </c>
      <c r="T132" s="1010">
        <v>0</v>
      </c>
      <c r="U132" s="1010">
        <v>0.15</v>
      </c>
      <c r="V132" s="293"/>
      <c r="W132" s="293"/>
      <c r="X132" s="1010"/>
      <c r="Y132" s="293"/>
      <c r="Z132" s="293"/>
      <c r="AA132" s="1010"/>
      <c r="AB132" s="293"/>
      <c r="AC132" s="293"/>
      <c r="AD132" s="1010"/>
      <c r="AE132" s="293"/>
      <c r="AF132" s="293"/>
      <c r="AG132" s="1127"/>
      <c r="AH132" s="581"/>
      <c r="AI132" s="566"/>
      <c r="AJ132" s="1239"/>
      <c r="AK132" s="646"/>
      <c r="AL132" s="581"/>
      <c r="AM132" s="1239"/>
      <c r="AN132" s="646"/>
      <c r="AO132" s="293"/>
      <c r="AP132" s="1239"/>
      <c r="AQ132" s="1374"/>
      <c r="AR132" s="293"/>
      <c r="AS132" s="194"/>
      <c r="AT132" s="293"/>
      <c r="AU132" s="293"/>
      <c r="AV132" s="194"/>
      <c r="AW132" s="293"/>
      <c r="AX132" s="293"/>
      <c r="AY132" s="194"/>
      <c r="AZ132" s="293"/>
      <c r="BA132" s="293"/>
      <c r="BB132" s="194"/>
      <c r="BC132" s="668"/>
      <c r="BD132" s="394"/>
      <c r="BE132" s="394"/>
      <c r="BF132" s="394"/>
      <c r="BG132" s="394"/>
      <c r="BH132" s="315"/>
      <c r="BI132" s="317"/>
      <c r="BJ132" s="317"/>
      <c r="BK132" s="321"/>
      <c r="BL132" s="321"/>
      <c r="BM132" s="321"/>
      <c r="BN132" s="321"/>
      <c r="BO132" s="321"/>
      <c r="BP132" s="321"/>
      <c r="BQ132" s="321"/>
      <c r="BR132" s="321"/>
      <c r="BS132" s="321"/>
      <c r="BT132" s="321"/>
      <c r="BU132" s="321"/>
      <c r="BV132" s="321"/>
      <c r="BW132" s="321"/>
      <c r="BX132" s="321"/>
      <c r="BY132" s="321"/>
      <c r="BZ132" s="321"/>
      <c r="CA132" s="321"/>
      <c r="CB132" s="321"/>
      <c r="CC132" s="321"/>
      <c r="CD132" s="321"/>
      <c r="CE132" s="321"/>
      <c r="CF132" s="321"/>
      <c r="CG132" s="321"/>
      <c r="CH132" s="321"/>
      <c r="CI132" s="321"/>
      <c r="CJ132" s="321"/>
      <c r="CK132" s="321"/>
      <c r="CL132" s="321"/>
      <c r="CM132" s="321"/>
      <c r="CN132" s="321"/>
    </row>
    <row r="133" spans="1:92" outlineLevel="2">
      <c r="A133" s="165"/>
      <c r="B133" s="782" t="str">
        <f t="shared" si="693"/>
        <v>Domestic Appliances</v>
      </c>
      <c r="C133" s="1008"/>
      <c r="D133" s="1008"/>
      <c r="E133" s="595"/>
      <c r="F133" s="596"/>
      <c r="G133" s="293"/>
      <c r="H133" s="293"/>
      <c r="I133" s="293">
        <f>(I105*I$90)/(H105*H$90)-1</f>
        <v>0.13580534232158392</v>
      </c>
      <c r="J133" s="293">
        <f t="shared" si="697"/>
        <v>0.35526383956372287</v>
      </c>
      <c r="K133" s="293">
        <f t="shared" si="697"/>
        <v>0.42651834827673096</v>
      </c>
      <c r="L133" s="293">
        <f t="shared" si="697"/>
        <v>0.27272876421060466</v>
      </c>
      <c r="M133" s="293">
        <f t="shared" si="697"/>
        <v>0.17361745498795567</v>
      </c>
      <c r="N133" s="293">
        <f t="shared" si="697"/>
        <v>8.3451591172034156E-2</v>
      </c>
      <c r="O133" s="293">
        <f t="shared" si="697"/>
        <v>-0.15443742052470688</v>
      </c>
      <c r="P133" s="293">
        <f t="shared" si="697"/>
        <v>0.58661445518116295</v>
      </c>
      <c r="Q133" s="293">
        <v>0.2</v>
      </c>
      <c r="R133" s="293">
        <v>0.3</v>
      </c>
      <c r="S133" s="293">
        <v>0.2</v>
      </c>
      <c r="T133" s="1010">
        <v>0.15</v>
      </c>
      <c r="U133" s="1010">
        <v>0.05</v>
      </c>
      <c r="V133" s="293"/>
      <c r="W133" s="293"/>
      <c r="X133" s="1010"/>
      <c r="Y133" s="293"/>
      <c r="Z133" s="293"/>
      <c r="AA133" s="1010"/>
      <c r="AB133" s="293"/>
      <c r="AC133" s="293"/>
      <c r="AD133" s="1010"/>
      <c r="AE133" s="293"/>
      <c r="AF133" s="293"/>
      <c r="AG133" s="1127"/>
      <c r="AH133" s="581"/>
      <c r="AI133" s="566"/>
      <c r="AJ133" s="1239"/>
      <c r="AK133" s="646"/>
      <c r="AL133" s="581"/>
      <c r="AM133" s="1239"/>
      <c r="AN133" s="646"/>
      <c r="AO133" s="293"/>
      <c r="AP133" s="1239"/>
      <c r="AQ133" s="1374"/>
      <c r="AR133" s="293"/>
      <c r="AS133" s="194"/>
      <c r="AT133" s="293"/>
      <c r="AU133" s="293"/>
      <c r="AV133" s="194"/>
      <c r="AW133" s="293"/>
      <c r="AX133" s="293"/>
      <c r="AY133" s="194"/>
      <c r="AZ133" s="293"/>
      <c r="BA133" s="293"/>
      <c r="BB133" s="194"/>
      <c r="BC133" s="668"/>
      <c r="BD133" s="394"/>
      <c r="BE133" s="394"/>
      <c r="BF133" s="394"/>
      <c r="BG133" s="394"/>
      <c r="BH133" s="315"/>
      <c r="BI133" s="317"/>
      <c r="BJ133" s="317"/>
      <c r="BK133" s="321"/>
      <c r="BL133" s="321"/>
      <c r="BM133" s="321"/>
      <c r="BN133" s="321"/>
      <c r="BO133" s="321"/>
      <c r="BP133" s="321"/>
      <c r="BQ133" s="321"/>
      <c r="BR133" s="321"/>
      <c r="BS133" s="321"/>
      <c r="BT133" s="321"/>
      <c r="BU133" s="321"/>
      <c r="BV133" s="321"/>
      <c r="BW133" s="321"/>
      <c r="BX133" s="321"/>
      <c r="BY133" s="321"/>
      <c r="BZ133" s="321"/>
      <c r="CA133" s="321"/>
      <c r="CB133" s="321"/>
      <c r="CC133" s="321"/>
      <c r="CD133" s="321"/>
      <c r="CE133" s="321"/>
      <c r="CF133" s="321"/>
      <c r="CG133" s="321"/>
      <c r="CH133" s="321"/>
      <c r="CI133" s="321"/>
      <c r="CJ133" s="321"/>
      <c r="CK133" s="321"/>
      <c r="CL133" s="321"/>
      <c r="CM133" s="321"/>
      <c r="CN133" s="321"/>
    </row>
    <row r="134" spans="1:92" outlineLevel="2">
      <c r="A134" s="165"/>
      <c r="B134" s="782" t="str">
        <f t="shared" si="693"/>
        <v>Games Hardware</v>
      </c>
      <c r="C134" s="1008"/>
      <c r="D134" s="1008"/>
      <c r="E134" s="595"/>
      <c r="F134" s="596"/>
      <c r="G134" s="293"/>
      <c r="H134" s="293"/>
      <c r="I134" s="293">
        <f>(I106*I$90)/(H106*H$90)-1</f>
        <v>4.4518656431436021</v>
      </c>
      <c r="J134" s="293">
        <f t="shared" si="697"/>
        <v>1.3717117192365151</v>
      </c>
      <c r="K134" s="293">
        <f t="shared" si="697"/>
        <v>0.42651834827673096</v>
      </c>
      <c r="L134" s="293">
        <f t="shared" si="697"/>
        <v>0.36363796165421891</v>
      </c>
      <c r="M134" s="293">
        <f t="shared" si="697"/>
        <v>9.5376291322092133E-2</v>
      </c>
      <c r="N134" s="293">
        <f t="shared" si="697"/>
        <v>8.3451591172033934E-2</v>
      </c>
      <c r="O134" s="293">
        <f t="shared" si="697"/>
        <v>-1.8543434537606207E-2</v>
      </c>
      <c r="P134" s="293">
        <f t="shared" si="697"/>
        <v>5.774297012077545E-2</v>
      </c>
      <c r="Q134" s="293">
        <v>0.5</v>
      </c>
      <c r="R134" s="293">
        <v>0.15</v>
      </c>
      <c r="S134" s="293">
        <v>0.15</v>
      </c>
      <c r="T134" s="1010">
        <v>0.05</v>
      </c>
      <c r="U134" s="1010">
        <v>0.15</v>
      </c>
      <c r="V134" s="293"/>
      <c r="W134" s="293"/>
      <c r="X134" s="1010"/>
      <c r="Y134" s="293"/>
      <c r="Z134" s="293"/>
      <c r="AA134" s="1010"/>
      <c r="AB134" s="293"/>
      <c r="AC134" s="293"/>
      <c r="AD134" s="1010"/>
      <c r="AE134" s="293"/>
      <c r="AF134" s="293"/>
      <c r="AG134" s="1127"/>
      <c r="AH134" s="581"/>
      <c r="AI134" s="566"/>
      <c r="AJ134" s="1239"/>
      <c r="AK134" s="646"/>
      <c r="AL134" s="581"/>
      <c r="AM134" s="1239"/>
      <c r="AN134" s="646"/>
      <c r="AO134" s="293"/>
      <c r="AP134" s="1239"/>
      <c r="AQ134" s="1374"/>
      <c r="AR134" s="293"/>
      <c r="AS134" s="194"/>
      <c r="AT134" s="293"/>
      <c r="AU134" s="293"/>
      <c r="AV134" s="194"/>
      <c r="AW134" s="293"/>
      <c r="AX134" s="293"/>
      <c r="AY134" s="194"/>
      <c r="AZ134" s="293"/>
      <c r="BA134" s="293"/>
      <c r="BB134" s="194"/>
      <c r="BC134" s="668"/>
      <c r="BD134" s="394"/>
      <c r="BE134" s="394"/>
      <c r="BF134" s="394"/>
      <c r="BG134" s="394"/>
      <c r="BH134" s="315"/>
      <c r="BI134" s="317"/>
      <c r="BJ134" s="317"/>
      <c r="BK134" s="321"/>
      <c r="BL134" s="321"/>
      <c r="BM134" s="321"/>
      <c r="BN134" s="321"/>
      <c r="BO134" s="321"/>
      <c r="BP134" s="321"/>
      <c r="BQ134" s="321"/>
      <c r="BR134" s="321"/>
      <c r="BS134" s="321"/>
      <c r="BT134" s="321"/>
      <c r="BU134" s="321"/>
      <c r="BV134" s="321"/>
      <c r="BW134" s="321"/>
      <c r="BX134" s="321"/>
      <c r="BY134" s="321"/>
      <c r="BZ134" s="321"/>
      <c r="CA134" s="321"/>
      <c r="CB134" s="321"/>
      <c r="CC134" s="321"/>
      <c r="CD134" s="321"/>
      <c r="CE134" s="321"/>
      <c r="CF134" s="321"/>
      <c r="CG134" s="321"/>
      <c r="CH134" s="321"/>
      <c r="CI134" s="321"/>
      <c r="CJ134" s="321"/>
      <c r="CK134" s="321"/>
      <c r="CL134" s="321"/>
      <c r="CM134" s="321"/>
      <c r="CN134" s="321"/>
    </row>
    <row r="135" spans="1:92" outlineLevel="2">
      <c r="A135" s="165"/>
      <c r="B135" s="782" t="str">
        <f t="shared" si="693"/>
        <v>Accessories</v>
      </c>
      <c r="C135" s="1008"/>
      <c r="D135" s="1008"/>
      <c r="E135" s="595"/>
      <c r="F135" s="596"/>
      <c r="G135" s="293">
        <f>(G107*G$90)/(F107*F$90)-1</f>
        <v>0.27125493557407232</v>
      </c>
      <c r="H135" s="293">
        <f>(H107*H$90)/(G107*G$90)-1</f>
        <v>0.53406048762371294</v>
      </c>
      <c r="I135" s="293">
        <f>(I107*I$90)/(H107*H$90)-1</f>
        <v>0.36296641078590053</v>
      </c>
      <c r="J135" s="293">
        <f t="shared" si="697"/>
        <v>0.35526383956372287</v>
      </c>
      <c r="K135" s="293">
        <f t="shared" si="697"/>
        <v>0.42651834827673096</v>
      </c>
      <c r="L135" s="293">
        <f t="shared" si="697"/>
        <v>0.27272876421060466</v>
      </c>
      <c r="M135" s="293">
        <f t="shared" si="697"/>
        <v>0.17361745498795589</v>
      </c>
      <c r="N135" s="293">
        <f t="shared" si="697"/>
        <v>8.3451591172034156E-2</v>
      </c>
      <c r="O135" s="293">
        <f t="shared" si="697"/>
        <v>5.6953224344116427E-2</v>
      </c>
      <c r="P135" s="293">
        <f t="shared" si="697"/>
        <v>5.774297012077545E-2</v>
      </c>
      <c r="Q135" s="293">
        <v>0.08</v>
      </c>
      <c r="R135" s="293">
        <v>0.1</v>
      </c>
      <c r="S135" s="293">
        <v>0.1</v>
      </c>
      <c r="T135" s="1010">
        <v>0.15</v>
      </c>
      <c r="U135" s="1010">
        <v>0.15</v>
      </c>
      <c r="V135" s="293"/>
      <c r="W135" s="293"/>
      <c r="X135" s="1010"/>
      <c r="Y135" s="293"/>
      <c r="Z135" s="293"/>
      <c r="AA135" s="1010"/>
      <c r="AB135" s="293"/>
      <c r="AC135" s="293"/>
      <c r="AD135" s="1010"/>
      <c r="AE135" s="293"/>
      <c r="AF135" s="293"/>
      <c r="AG135" s="1127"/>
      <c r="AH135" s="581"/>
      <c r="AI135" s="566"/>
      <c r="AJ135" s="1239"/>
      <c r="AK135" s="646"/>
      <c r="AL135" s="581"/>
      <c r="AM135" s="1239"/>
      <c r="AN135" s="646"/>
      <c r="AO135" s="293"/>
      <c r="AP135" s="1239"/>
      <c r="AQ135" s="1374"/>
      <c r="AR135" s="293"/>
      <c r="AS135" s="194"/>
      <c r="AT135" s="293"/>
      <c r="AU135" s="293"/>
      <c r="AV135" s="194"/>
      <c r="AW135" s="293"/>
      <c r="AX135" s="293"/>
      <c r="AY135" s="194"/>
      <c r="AZ135" s="293"/>
      <c r="BA135" s="293"/>
      <c r="BB135" s="194"/>
      <c r="BC135" s="668"/>
      <c r="BD135" s="394"/>
      <c r="BE135" s="394"/>
      <c r="BF135" s="394"/>
      <c r="BG135" s="394"/>
      <c r="BH135" s="315"/>
      <c r="BI135" s="317"/>
      <c r="BJ135" s="317"/>
      <c r="BK135" s="321"/>
      <c r="BL135" s="321"/>
      <c r="BM135" s="321"/>
      <c r="BN135" s="321"/>
      <c r="BO135" s="321"/>
      <c r="BP135" s="321"/>
      <c r="BQ135" s="321"/>
      <c r="BR135" s="321"/>
      <c r="BS135" s="321"/>
      <c r="BT135" s="321"/>
      <c r="BU135" s="321"/>
      <c r="BV135" s="321"/>
      <c r="BW135" s="321"/>
      <c r="BX135" s="321"/>
      <c r="BY135" s="321"/>
      <c r="BZ135" s="321"/>
      <c r="CA135" s="321"/>
      <c r="CB135" s="321"/>
      <c r="CC135" s="321"/>
      <c r="CD135" s="321"/>
      <c r="CE135" s="321"/>
      <c r="CF135" s="321"/>
      <c r="CG135" s="321"/>
      <c r="CH135" s="321"/>
      <c r="CI135" s="321"/>
      <c r="CJ135" s="321"/>
      <c r="CK135" s="321"/>
      <c r="CL135" s="321"/>
      <c r="CM135" s="321"/>
      <c r="CN135" s="321"/>
    </row>
    <row r="136" spans="1:92" outlineLevel="2">
      <c r="A136" s="165"/>
      <c r="B136" s="782" t="s">
        <v>467</v>
      </c>
      <c r="C136" s="1008"/>
      <c r="D136" s="1008"/>
      <c r="E136" s="595"/>
      <c r="F136" s="596"/>
      <c r="G136" s="293"/>
      <c r="H136" s="293"/>
      <c r="I136" s="293"/>
      <c r="J136" s="293"/>
      <c r="K136" s="293">
        <f t="shared" ref="K136:P141" si="698">(K108*K$90)/(J108*J$90)-1</f>
        <v>7.5591100896603862</v>
      </c>
      <c r="L136" s="293">
        <f t="shared" si="698"/>
        <v>1.5454575284212093</v>
      </c>
      <c r="M136" s="293">
        <f t="shared" si="698"/>
        <v>0.56482327331727444</v>
      </c>
      <c r="N136" s="293">
        <f t="shared" si="698"/>
        <v>0.3543144889650427</v>
      </c>
      <c r="O136" s="293">
        <f t="shared" si="698"/>
        <v>0.26834386921293962</v>
      </c>
      <c r="P136" s="293">
        <f t="shared" si="698"/>
        <v>5.7742970120775228E-2</v>
      </c>
      <c r="Q136" s="293">
        <v>0.08</v>
      </c>
      <c r="R136" s="293">
        <v>0.1</v>
      </c>
      <c r="S136" s="293">
        <v>0.1</v>
      </c>
      <c r="T136" s="1010">
        <v>0.15</v>
      </c>
      <c r="U136" s="1010">
        <v>0.1</v>
      </c>
      <c r="V136" s="293"/>
      <c r="W136" s="293"/>
      <c r="X136" s="1010"/>
      <c r="Y136" s="293"/>
      <c r="Z136" s="293"/>
      <c r="AA136" s="1010"/>
      <c r="AB136" s="293"/>
      <c r="AC136" s="293"/>
      <c r="AD136" s="1010"/>
      <c r="AE136" s="293"/>
      <c r="AF136" s="293"/>
      <c r="AG136" s="1127"/>
      <c r="AH136" s="581"/>
      <c r="AI136" s="566"/>
      <c r="AJ136" s="1239"/>
      <c r="AK136" s="646"/>
      <c r="AL136" s="581"/>
      <c r="AM136" s="1239"/>
      <c r="AN136" s="646"/>
      <c r="AO136" s="293"/>
      <c r="AP136" s="1239"/>
      <c r="AQ136" s="1374"/>
      <c r="AR136" s="293"/>
      <c r="AS136" s="194"/>
      <c r="AT136" s="293"/>
      <c r="AU136" s="293"/>
      <c r="AV136" s="194"/>
      <c r="AW136" s="293"/>
      <c r="AX136" s="293"/>
      <c r="AY136" s="194"/>
      <c r="AZ136" s="293"/>
      <c r="BA136" s="293"/>
      <c r="BB136" s="194"/>
      <c r="BC136" s="668"/>
      <c r="BD136" s="394"/>
      <c r="BE136" s="394"/>
      <c r="BF136" s="394"/>
      <c r="BG136" s="394"/>
      <c r="BH136" s="315"/>
      <c r="BI136" s="317"/>
      <c r="BJ136" s="317"/>
      <c r="BK136" s="321"/>
      <c r="BL136" s="321"/>
      <c r="BM136" s="321"/>
      <c r="BN136" s="321"/>
      <c r="BO136" s="321"/>
      <c r="BP136" s="321" t="s">
        <v>473</v>
      </c>
      <c r="BQ136" s="321">
        <v>7.1999999999999995E-2</v>
      </c>
      <c r="BR136" s="321"/>
      <c r="BS136" s="321"/>
      <c r="BT136" s="321"/>
      <c r="BU136" s="321"/>
      <c r="BV136" s="321"/>
      <c r="BW136" s="321"/>
      <c r="BX136" s="321"/>
      <c r="BY136" s="321"/>
      <c r="BZ136" s="321"/>
      <c r="CA136" s="321"/>
      <c r="CB136" s="321"/>
      <c r="CC136" s="321"/>
      <c r="CD136" s="321"/>
      <c r="CE136" s="321"/>
      <c r="CF136" s="321"/>
      <c r="CG136" s="321"/>
      <c r="CH136" s="321"/>
      <c r="CI136" s="321"/>
      <c r="CJ136" s="321"/>
      <c r="CK136" s="321"/>
      <c r="CL136" s="321"/>
      <c r="CM136" s="321"/>
      <c r="CN136" s="321"/>
    </row>
    <row r="137" spans="1:92" outlineLevel="2">
      <c r="A137" s="167"/>
      <c r="B137" s="833" t="str">
        <f>B109</f>
        <v>Software</v>
      </c>
      <c r="C137" s="1008"/>
      <c r="D137" s="1008"/>
      <c r="E137" s="595"/>
      <c r="F137" s="602"/>
      <c r="G137" s="595">
        <f t="shared" ref="G137:J138" si="699">(G109*G$90)/(F109*F$90)-1</f>
        <v>0.27125493557407232</v>
      </c>
      <c r="H137" s="595">
        <f t="shared" si="699"/>
        <v>0.48894106151713324</v>
      </c>
      <c r="I137" s="595">
        <f t="shared" si="699"/>
        <v>0.36296641078590008</v>
      </c>
      <c r="J137" s="595">
        <f t="shared" si="699"/>
        <v>0.25259233656647129</v>
      </c>
      <c r="K137" s="595">
        <f t="shared" si="698"/>
        <v>0.30959061481142536</v>
      </c>
      <c r="L137" s="595">
        <f t="shared" si="698"/>
        <v>0.18181956676698974</v>
      </c>
      <c r="M137" s="595">
        <f t="shared" si="698"/>
        <v>0.14202006196904948</v>
      </c>
      <c r="N137" s="595">
        <f t="shared" si="698"/>
        <v>7.0604339102800395E-2</v>
      </c>
      <c r="O137" s="595">
        <f t="shared" si="698"/>
        <v>-6.4639691165304658E-3</v>
      </c>
      <c r="P137" s="595">
        <f t="shared" si="698"/>
        <v>-3.2277708187375742E-2</v>
      </c>
      <c r="Q137" s="595">
        <f>Q123/P123-1</f>
        <v>-8.4127049399274068E-2</v>
      </c>
      <c r="R137" s="595">
        <f>R123/Q123-1</f>
        <v>-6.9399407190790408E-2</v>
      </c>
      <c r="S137" s="595">
        <f>S123/R123-1</f>
        <v>-8.0287606769338549E-2</v>
      </c>
      <c r="T137" s="595">
        <f>T123/S123-1</f>
        <v>-5.9592984177564756E-2</v>
      </c>
      <c r="U137" s="595">
        <f>U123/T123-1</f>
        <v>-9.3547845721957401E-2</v>
      </c>
      <c r="V137" s="597">
        <v>-5.6000000000000001E-2</v>
      </c>
      <c r="W137" s="263">
        <f>W123/CN123-1</f>
        <v>5.6834035201354105E-3</v>
      </c>
      <c r="X137" s="1007">
        <v>-7.2999999999999995E-2</v>
      </c>
      <c r="Y137" s="597">
        <v>-0.182</v>
      </c>
      <c r="Z137" s="263"/>
      <c r="AA137" s="1007"/>
      <c r="AB137" s="597"/>
      <c r="AC137" s="263"/>
      <c r="AD137" s="1007"/>
      <c r="AE137" s="597"/>
      <c r="AF137" s="263"/>
      <c r="AG137" s="1004"/>
      <c r="AH137" s="1198"/>
      <c r="AI137" s="564"/>
      <c r="AJ137" s="1239"/>
      <c r="AK137" s="1257"/>
      <c r="AL137" s="284"/>
      <c r="AM137" s="1239"/>
      <c r="AN137" s="1257"/>
      <c r="AO137" s="263"/>
      <c r="AP137" s="1239"/>
      <c r="AQ137" s="1737"/>
      <c r="AR137" s="263"/>
      <c r="AS137" s="194"/>
      <c r="AT137" s="597"/>
      <c r="AU137" s="263"/>
      <c r="AV137" s="194"/>
      <c r="AW137" s="597"/>
      <c r="AX137" s="263"/>
      <c r="AY137" s="194"/>
      <c r="AZ137" s="597"/>
      <c r="BA137" s="263"/>
      <c r="BB137" s="194"/>
      <c r="BC137" s="668"/>
      <c r="BD137" s="394"/>
      <c r="BE137" s="394"/>
      <c r="BF137" s="394"/>
      <c r="BG137" s="394"/>
      <c r="BH137" s="335"/>
      <c r="BI137" s="398"/>
      <c r="BJ137" s="398"/>
      <c r="BK137" s="394"/>
      <c r="BL137" s="394"/>
      <c r="BM137" s="394"/>
      <c r="BN137" s="394"/>
      <c r="BO137" s="394"/>
      <c r="BP137" s="394" t="s">
        <v>474</v>
      </c>
      <c r="BQ137" s="394">
        <v>0.05</v>
      </c>
      <c r="BR137" s="394"/>
      <c r="BS137" s="394"/>
      <c r="BT137" s="394"/>
      <c r="BU137" s="394"/>
      <c r="BV137" s="394"/>
      <c r="BW137" s="394"/>
      <c r="BX137" s="394"/>
      <c r="BY137" s="394"/>
      <c r="BZ137" s="394"/>
      <c r="CA137" s="394"/>
      <c r="CB137" s="394"/>
      <c r="CC137" s="331">
        <f t="shared" ref="CC137:CL137" si="700">CC123/CA123-1</f>
        <v>-6.7136499323385501E-2</v>
      </c>
      <c r="CD137" s="331">
        <f t="shared" si="700"/>
        <v>2.651170362393418E-2</v>
      </c>
      <c r="CE137" s="331">
        <f t="shared" si="700"/>
        <v>-8.0654769222671896E-2</v>
      </c>
      <c r="CF137" s="331">
        <f t="shared" si="700"/>
        <v>-8.9448815094854806E-2</v>
      </c>
      <c r="CG137" s="331">
        <f t="shared" si="700"/>
        <v>-8.6284559007112738E-2</v>
      </c>
      <c r="CH137" s="331">
        <f t="shared" si="700"/>
        <v>-4.3270561615348591E-2</v>
      </c>
      <c r="CI137" s="331">
        <f t="shared" si="700"/>
        <v>-6.3322235891338008E-2</v>
      </c>
      <c r="CJ137" s="331">
        <f t="shared" si="700"/>
        <v>-0.10536026826694167</v>
      </c>
      <c r="CK137" s="331">
        <f t="shared" si="700"/>
        <v>-7.5964348831287665E-2</v>
      </c>
      <c r="CL137" s="331">
        <f t="shared" si="700"/>
        <v>-3.4261304354327393E-2</v>
      </c>
      <c r="CM137" s="331">
        <f>CM123/CK123-1</f>
        <v>-7.3115196303197072E-2</v>
      </c>
      <c r="CN137" s="331">
        <f>CN123/CL123-1</f>
        <v>-0.12379836860547011</v>
      </c>
    </row>
    <row r="138" spans="1:92" outlineLevel="2">
      <c r="A138" s="165"/>
      <c r="B138" s="782" t="str">
        <f>B110</f>
        <v>CD's and DVD's</v>
      </c>
      <c r="C138" s="1008"/>
      <c r="D138" s="1008"/>
      <c r="E138" s="595"/>
      <c r="F138" s="596"/>
      <c r="G138" s="293">
        <f t="shared" si="699"/>
        <v>0.27125493557407232</v>
      </c>
      <c r="H138" s="293">
        <f t="shared" si="699"/>
        <v>0.46638134846384327</v>
      </c>
      <c r="I138" s="293">
        <f t="shared" si="699"/>
        <v>0.21618541270126501</v>
      </c>
      <c r="J138" s="293">
        <f t="shared" si="699"/>
        <v>9.8231042405085844E-2</v>
      </c>
      <c r="K138" s="293">
        <f t="shared" si="698"/>
        <v>0.21405816874615402</v>
      </c>
      <c r="L138" s="293">
        <f t="shared" si="698"/>
        <v>1.818301136848377E-2</v>
      </c>
      <c r="M138" s="293">
        <f t="shared" si="698"/>
        <v>-4.6435817822285896E-2</v>
      </c>
      <c r="N138" s="293">
        <f t="shared" si="698"/>
        <v>-8.3233269008278987E-2</v>
      </c>
      <c r="O138" s="293">
        <f t="shared" si="698"/>
        <v>-0.13522008917299555</v>
      </c>
      <c r="P138" s="293">
        <f t="shared" si="698"/>
        <v>-5.978402655931081E-2</v>
      </c>
      <c r="Q138" s="293">
        <f t="shared" ref="Q138:S141" si="701">(Q110*Q$90)/(P110*P$90)-1</f>
        <v>-7.8617118546729481E-2</v>
      </c>
      <c r="R138" s="293">
        <f t="shared" si="701"/>
        <v>-0.10143385100522129</v>
      </c>
      <c r="S138" s="293">
        <f t="shared" si="701"/>
        <v>8.2781966498509441E-2</v>
      </c>
      <c r="T138" s="1010">
        <v>-0.09</v>
      </c>
      <c r="U138" s="1010">
        <v>-0.15</v>
      </c>
      <c r="V138" s="293"/>
      <c r="W138" s="293"/>
      <c r="X138" s="1010"/>
      <c r="Y138" s="293"/>
      <c r="Z138" s="293"/>
      <c r="AA138" s="1010"/>
      <c r="AB138" s="293"/>
      <c r="AC138" s="293"/>
      <c r="AD138" s="1010"/>
      <c r="AE138" s="293"/>
      <c r="AF138" s="293"/>
      <c r="AG138" s="1127"/>
      <c r="AH138" s="581"/>
      <c r="AI138" s="566"/>
      <c r="AJ138" s="1239"/>
      <c r="AK138" s="646"/>
      <c r="AL138" s="581"/>
      <c r="AM138" s="1239"/>
      <c r="AN138" s="646"/>
      <c r="AO138" s="293"/>
      <c r="AP138" s="1239"/>
      <c r="AQ138" s="1374"/>
      <c r="AR138" s="293"/>
      <c r="AS138" s="194"/>
      <c r="AT138" s="293"/>
      <c r="AU138" s="293"/>
      <c r="AV138" s="194"/>
      <c r="AW138" s="293"/>
      <c r="AX138" s="293"/>
      <c r="AY138" s="194"/>
      <c r="AZ138" s="293"/>
      <c r="BA138" s="293"/>
      <c r="BB138" s="194"/>
      <c r="BC138" s="668"/>
      <c r="BD138" s="394"/>
      <c r="BE138" s="394"/>
      <c r="BF138" s="394"/>
      <c r="BG138" s="394"/>
      <c r="BH138" s="315"/>
      <c r="BI138" s="317"/>
      <c r="BJ138" s="317"/>
      <c r="BK138" s="321"/>
      <c r="BL138" s="321"/>
      <c r="BM138" s="321"/>
      <c r="BN138" s="321"/>
      <c r="BO138" s="321"/>
      <c r="BP138" s="321" t="s">
        <v>475</v>
      </c>
      <c r="BQ138" s="321">
        <v>0</v>
      </c>
      <c r="BR138" s="321"/>
      <c r="BS138" s="321"/>
      <c r="BT138" s="321"/>
      <c r="BU138" s="321"/>
      <c r="BV138" s="321"/>
      <c r="BW138" s="321"/>
      <c r="BX138" s="321"/>
      <c r="BY138" s="321"/>
      <c r="BZ138" s="321"/>
      <c r="CA138" s="321"/>
      <c r="CB138" s="321"/>
      <c r="CC138" s="321"/>
      <c r="CD138" s="321"/>
      <c r="CE138" s="321"/>
      <c r="CF138" s="321"/>
      <c r="CG138" s="321"/>
      <c r="CH138" s="321"/>
      <c r="CI138" s="321"/>
      <c r="CJ138" s="321"/>
      <c r="CK138" s="321"/>
      <c r="CL138" s="321"/>
      <c r="CM138" s="321"/>
      <c r="CN138" s="321"/>
    </row>
    <row r="139" spans="1:92" outlineLevel="2">
      <c r="A139" s="165"/>
      <c r="B139" s="782" t="str">
        <f>B111</f>
        <v>Computer Software</v>
      </c>
      <c r="C139" s="1008"/>
      <c r="D139" s="1008"/>
      <c r="E139" s="595"/>
      <c r="F139" s="596"/>
      <c r="G139" s="293"/>
      <c r="H139" s="293"/>
      <c r="I139" s="293"/>
      <c r="J139" s="293">
        <f>(J111*J$90)/(I111*I$90)-1</f>
        <v>1.7105276791274457</v>
      </c>
      <c r="K139" s="293">
        <f t="shared" si="698"/>
        <v>0.42651834827673096</v>
      </c>
      <c r="L139" s="293">
        <f t="shared" si="698"/>
        <v>0.90909314631590687</v>
      </c>
      <c r="M139" s="293">
        <f t="shared" si="698"/>
        <v>0.36922036415261505</v>
      </c>
      <c r="N139" s="293">
        <f t="shared" si="698"/>
        <v>0.23823038991089596</v>
      </c>
      <c r="O139" s="293">
        <f t="shared" si="698"/>
        <v>5.6953224344116427E-2</v>
      </c>
      <c r="P139" s="293">
        <f t="shared" si="698"/>
        <v>0.18996084138587221</v>
      </c>
      <c r="Q139" s="293">
        <f t="shared" si="701"/>
        <v>-6.3991993444296624E-2</v>
      </c>
      <c r="R139" s="293">
        <f t="shared" si="701"/>
        <v>-0.21375461962956854</v>
      </c>
      <c r="S139" s="293">
        <f t="shared" si="701"/>
        <v>8.2781966498509441E-2</v>
      </c>
      <c r="T139" s="1010">
        <v>-0.09</v>
      </c>
      <c r="U139" s="1010">
        <v>-0.09</v>
      </c>
      <c r="V139" s="293"/>
      <c r="W139" s="293"/>
      <c r="X139" s="1010"/>
      <c r="Y139" s="293"/>
      <c r="Z139" s="293"/>
      <c r="AA139" s="1010"/>
      <c r="AB139" s="293"/>
      <c r="AC139" s="293"/>
      <c r="AD139" s="1010"/>
      <c r="AE139" s="293"/>
      <c r="AF139" s="293"/>
      <c r="AG139" s="1127"/>
      <c r="AH139" s="581"/>
      <c r="AI139" s="566"/>
      <c r="AJ139" s="1239"/>
      <c r="AK139" s="646"/>
      <c r="AL139" s="581"/>
      <c r="AM139" s="1239"/>
      <c r="AN139" s="646"/>
      <c r="AO139" s="293"/>
      <c r="AP139" s="1239"/>
      <c r="AQ139" s="1374"/>
      <c r="AR139" s="293"/>
      <c r="AS139" s="194"/>
      <c r="AT139" s="293"/>
      <c r="AU139" s="293"/>
      <c r="AV139" s="194"/>
      <c r="AW139" s="293"/>
      <c r="AX139" s="293"/>
      <c r="AY139" s="194"/>
      <c r="AZ139" s="293"/>
      <c r="BA139" s="293"/>
      <c r="BB139" s="194"/>
      <c r="BC139" s="668"/>
      <c r="BD139" s="394"/>
      <c r="BE139" s="394"/>
      <c r="BF139" s="394"/>
      <c r="BG139" s="394"/>
      <c r="BH139" s="315"/>
      <c r="BI139" s="317"/>
      <c r="BJ139" s="317"/>
      <c r="BK139" s="321"/>
      <c r="BL139" s="321"/>
      <c r="BM139" s="321"/>
      <c r="BN139" s="321"/>
      <c r="BO139" s="321"/>
      <c r="BP139" s="321"/>
      <c r="BQ139" s="321">
        <f>(BQ136*1/3)+(BQ137*1/3)+(BQ138*1/3)</f>
        <v>4.0666666666666663E-2</v>
      </c>
      <c r="BR139" s="321"/>
      <c r="BS139" s="321"/>
      <c r="BT139" s="321"/>
      <c r="BU139" s="321"/>
      <c r="BV139" s="321"/>
      <c r="BW139" s="321"/>
      <c r="BX139" s="321"/>
      <c r="BY139" s="321"/>
      <c r="BZ139" s="321"/>
      <c r="CA139" s="321"/>
      <c r="CB139" s="321"/>
      <c r="CC139" s="321"/>
      <c r="CD139" s="321"/>
      <c r="CE139" s="321"/>
      <c r="CF139" s="321"/>
      <c r="CG139" s="321"/>
      <c r="CH139" s="321"/>
      <c r="CI139" s="321"/>
      <c r="CJ139" s="321"/>
      <c r="CK139" s="321"/>
      <c r="CL139" s="321"/>
      <c r="CM139" s="321"/>
      <c r="CN139" s="321"/>
    </row>
    <row r="140" spans="1:92" outlineLevel="2">
      <c r="A140" s="165"/>
      <c r="B140" s="782" t="str">
        <f>B112</f>
        <v>Games Software</v>
      </c>
      <c r="C140" s="1008"/>
      <c r="D140" s="1008"/>
      <c r="E140" s="595"/>
      <c r="F140" s="596"/>
      <c r="G140" s="293"/>
      <c r="H140" s="293"/>
      <c r="I140" s="293"/>
      <c r="J140" s="293">
        <f>(J112*J$90)/(I112*I$90)-1</f>
        <v>1.2587730659395384</v>
      </c>
      <c r="K140" s="293">
        <f t="shared" si="698"/>
        <v>0.71182201793207711</v>
      </c>
      <c r="L140" s="293">
        <f t="shared" si="698"/>
        <v>0.48485022491237206</v>
      </c>
      <c r="M140" s="293">
        <f t="shared" si="698"/>
        <v>0.4754048005562872</v>
      </c>
      <c r="N140" s="293">
        <f t="shared" si="698"/>
        <v>0.23119498996822085</v>
      </c>
      <c r="O140" s="293">
        <f t="shared" si="698"/>
        <v>0.10980088556132195</v>
      </c>
      <c r="P140" s="293">
        <f t="shared" si="698"/>
        <v>-9.3363168467906599E-2</v>
      </c>
      <c r="Q140" s="293">
        <f t="shared" si="701"/>
        <v>-9.9092293690135835E-2</v>
      </c>
      <c r="R140" s="293">
        <f t="shared" si="701"/>
        <v>3.4712535206109285E-2</v>
      </c>
      <c r="S140" s="293">
        <f t="shared" si="701"/>
        <v>-0.27339631195494785</v>
      </c>
      <c r="T140" s="1010">
        <v>-0.09</v>
      </c>
      <c r="U140" s="1010">
        <v>0.05</v>
      </c>
      <c r="V140" s="293"/>
      <c r="W140" s="293"/>
      <c r="X140" s="1010"/>
      <c r="Y140" s="293"/>
      <c r="Z140" s="293"/>
      <c r="AA140" s="1010"/>
      <c r="AB140" s="293"/>
      <c r="AC140" s="293"/>
      <c r="AD140" s="1010"/>
      <c r="AE140" s="293"/>
      <c r="AF140" s="293"/>
      <c r="AG140" s="1127"/>
      <c r="AH140" s="581"/>
      <c r="AI140" s="566"/>
      <c r="AJ140" s="1239"/>
      <c r="AK140" s="646"/>
      <c r="AL140" s="581"/>
      <c r="AM140" s="1239"/>
      <c r="AN140" s="646"/>
      <c r="AO140" s="293"/>
      <c r="AP140" s="1239"/>
      <c r="AQ140" s="1374"/>
      <c r="AR140" s="293"/>
      <c r="AS140" s="194"/>
      <c r="AT140" s="293"/>
      <c r="AU140" s="293"/>
      <c r="AV140" s="194"/>
      <c r="AW140" s="293"/>
      <c r="AX140" s="293"/>
      <c r="AY140" s="194"/>
      <c r="AZ140" s="293"/>
      <c r="BA140" s="293"/>
      <c r="BB140" s="194"/>
      <c r="BC140" s="668"/>
      <c r="BD140" s="394"/>
      <c r="BE140" s="394"/>
      <c r="BF140" s="394"/>
      <c r="BG140" s="394"/>
      <c r="BH140" s="315"/>
      <c r="BI140" s="317"/>
      <c r="BJ140" s="317"/>
      <c r="BK140" s="321"/>
      <c r="BL140" s="321"/>
      <c r="BM140" s="321"/>
      <c r="BN140" s="321"/>
      <c r="BO140" s="321"/>
      <c r="BP140" s="321"/>
      <c r="BQ140" s="321"/>
      <c r="BR140" s="321"/>
      <c r="BS140" s="321"/>
      <c r="BT140" s="321"/>
      <c r="BU140" s="321"/>
      <c r="BV140" s="321"/>
      <c r="BW140" s="321"/>
      <c r="BX140" s="321"/>
      <c r="BY140" s="321"/>
      <c r="BZ140" s="321"/>
      <c r="CA140" s="321"/>
      <c r="CB140" s="321"/>
      <c r="CC140" s="321"/>
      <c r="CD140" s="321"/>
      <c r="CE140" s="321"/>
      <c r="CF140" s="321"/>
      <c r="CG140" s="321"/>
      <c r="CH140" s="321"/>
      <c r="CI140" s="321"/>
      <c r="CJ140" s="321"/>
      <c r="CK140" s="321"/>
      <c r="CL140" s="321"/>
      <c r="CM140" s="321"/>
      <c r="CN140" s="321"/>
    </row>
    <row r="141" spans="1:92" outlineLevel="2">
      <c r="A141" s="165"/>
      <c r="B141" s="782" t="str">
        <f>B113</f>
        <v>Total</v>
      </c>
      <c r="C141" s="1008"/>
      <c r="D141" s="1008"/>
      <c r="E141" s="595"/>
      <c r="F141" s="596"/>
      <c r="G141" s="293">
        <f>(G113*G$90)/(F113*F$90)-1</f>
        <v>0.27125493557407232</v>
      </c>
      <c r="H141" s="293">
        <f>(H113*H$90)/(G113*G$90)-1</f>
        <v>0.53406048762371294</v>
      </c>
      <c r="I141" s="293">
        <f>(I113*I$90)/(H113*H$90)-1</f>
        <v>0.36296641078590031</v>
      </c>
      <c r="J141" s="293">
        <f>(J113*J$90)/(I113*I$90)-1</f>
        <v>0.35526383956372309</v>
      </c>
      <c r="K141" s="293">
        <f t="shared" si="698"/>
        <v>0.42651834827673119</v>
      </c>
      <c r="L141" s="293">
        <f t="shared" si="698"/>
        <v>0.27272876421060421</v>
      </c>
      <c r="M141" s="293">
        <f t="shared" si="698"/>
        <v>0.17361745498795589</v>
      </c>
      <c r="N141" s="293">
        <f t="shared" si="698"/>
        <v>8.3451591172033934E-2</v>
      </c>
      <c r="O141" s="293">
        <f t="shared" si="698"/>
        <v>5.6953224344116427E-2</v>
      </c>
      <c r="P141" s="293">
        <f t="shared" si="698"/>
        <v>5.774297012077545E-2</v>
      </c>
      <c r="Q141" s="293">
        <f t="shared" si="701"/>
        <v>5.3009007375166339E-2</v>
      </c>
      <c r="R141" s="293">
        <f t="shared" si="701"/>
        <v>4.8327173827241943E-2</v>
      </c>
      <c r="S141" s="293">
        <f t="shared" si="701"/>
        <v>8.2781966498509441E-2</v>
      </c>
      <c r="T141" s="293">
        <f>(T113*T$90)/(S113*S$90)-1</f>
        <v>0.10497824359136132</v>
      </c>
      <c r="U141" s="293">
        <f>(U113*U$90)/(T113*T$90)-1</f>
        <v>8.774258513365063E-2</v>
      </c>
      <c r="V141" s="263">
        <f>V127/CM127-1</f>
        <v>4.7008000000000161E-2</v>
      </c>
      <c r="W141" s="263">
        <f>W127/CN127-1</f>
        <v>3.3587276930189258E-2</v>
      </c>
      <c r="X141" s="293"/>
      <c r="Y141" s="263">
        <f>Y127/V127-1</f>
        <v>5.1744918854488287E-2</v>
      </c>
      <c r="Z141" s="263"/>
      <c r="AA141" s="293"/>
      <c r="AB141" s="263"/>
      <c r="AC141" s="263"/>
      <c r="AD141" s="293"/>
      <c r="AE141" s="263"/>
      <c r="AF141" s="263"/>
      <c r="AG141" s="581"/>
      <c r="AH141" s="284"/>
      <c r="AI141" s="564"/>
      <c r="AJ141" s="1239"/>
      <c r="AK141" s="137"/>
      <c r="AL141" s="284"/>
      <c r="AM141" s="1239"/>
      <c r="AN141" s="137"/>
      <c r="AO141" s="263"/>
      <c r="AP141" s="1239"/>
      <c r="AQ141" s="1315"/>
      <c r="AR141" s="263"/>
      <c r="AS141" s="194"/>
      <c r="AT141" s="263"/>
      <c r="AU141" s="263"/>
      <c r="AV141" s="194"/>
      <c r="AW141" s="263"/>
      <c r="AX141" s="263"/>
      <c r="AY141" s="194"/>
      <c r="AZ141" s="263"/>
      <c r="BA141" s="263"/>
      <c r="BB141" s="194"/>
      <c r="BC141" s="668"/>
      <c r="BD141" s="394"/>
      <c r="BE141" s="394"/>
      <c r="BF141" s="394"/>
      <c r="BG141" s="394"/>
      <c r="BH141" s="315"/>
      <c r="BI141" s="317"/>
      <c r="BJ141" s="317"/>
      <c r="BK141" s="321"/>
      <c r="BL141" s="321"/>
      <c r="BM141" s="321"/>
      <c r="BN141" s="321"/>
      <c r="BO141" s="321"/>
      <c r="BP141" s="321"/>
      <c r="BQ141" s="321"/>
      <c r="BR141" s="321"/>
      <c r="BS141" s="321"/>
      <c r="BT141" s="321"/>
      <c r="BU141" s="321"/>
      <c r="BV141" s="321"/>
      <c r="BW141" s="321"/>
      <c r="BX141" s="321"/>
      <c r="BY141" s="321"/>
      <c r="BZ141" s="321"/>
      <c r="CA141" s="321"/>
      <c r="CB141" s="321"/>
      <c r="CC141" s="331">
        <f t="shared" ref="CC141:CN141" si="702">CC127/CA127-1</f>
        <v>2.3394557704303098E-2</v>
      </c>
      <c r="CD141" s="331">
        <f t="shared" si="702"/>
        <v>0.10279565696497506</v>
      </c>
      <c r="CE141" s="331">
        <f t="shared" si="702"/>
        <v>6.8062841638366622E-2</v>
      </c>
      <c r="CF141" s="331">
        <f t="shared" si="702"/>
        <v>3.4685474402071259E-2</v>
      </c>
      <c r="CG141" s="331">
        <f t="shared" si="702"/>
        <v>1.3032336752983653E-2</v>
      </c>
      <c r="CH141" s="331">
        <f t="shared" si="702"/>
        <v>9.2673915803273443E-2</v>
      </c>
      <c r="CI141" s="331">
        <f t="shared" si="702"/>
        <v>7.7179428724961197E-2</v>
      </c>
      <c r="CJ141" s="331">
        <f t="shared" si="702"/>
        <v>8.9308281979480819E-2</v>
      </c>
      <c r="CK141" s="331">
        <f t="shared" si="702"/>
        <v>0.11162183599243569</v>
      </c>
      <c r="CL141" s="331">
        <f t="shared" si="702"/>
        <v>9.7325388403668001E-2</v>
      </c>
      <c r="CM141" s="331">
        <f t="shared" si="702"/>
        <v>0.10067570438995377</v>
      </c>
      <c r="CN141" s="331">
        <f t="shared" si="702"/>
        <v>7.2650632283659533E-2</v>
      </c>
    </row>
    <row r="142" spans="1:92" outlineLevel="2">
      <c r="A142" s="165"/>
      <c r="B142" s="782"/>
      <c r="C142" s="1008"/>
      <c r="D142" s="1008"/>
      <c r="E142" s="595"/>
      <c r="F142" s="596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93"/>
      <c r="AB142" s="293"/>
      <c r="AC142" s="293"/>
      <c r="AD142" s="293"/>
      <c r="AE142" s="293"/>
      <c r="AF142" s="293"/>
      <c r="AG142" s="581"/>
      <c r="AH142" s="581"/>
      <c r="AI142" s="566"/>
      <c r="AJ142" s="1239"/>
      <c r="AK142" s="646"/>
      <c r="AL142" s="581"/>
      <c r="AM142" s="1239"/>
      <c r="AN142" s="646"/>
      <c r="AO142" s="293"/>
      <c r="AP142" s="1239"/>
      <c r="AQ142" s="1374"/>
      <c r="AR142" s="293"/>
      <c r="AS142" s="194"/>
      <c r="AT142" s="293"/>
      <c r="AU142" s="293"/>
      <c r="AV142" s="194"/>
      <c r="AW142" s="293"/>
      <c r="AX142" s="293"/>
      <c r="AY142" s="194"/>
      <c r="AZ142" s="293"/>
      <c r="BA142" s="293"/>
      <c r="BB142" s="194"/>
      <c r="BC142" s="668"/>
      <c r="BD142" s="394"/>
      <c r="BE142" s="394"/>
      <c r="BF142" s="394"/>
      <c r="BG142" s="394"/>
      <c r="BH142" s="315"/>
      <c r="BI142" s="317"/>
      <c r="BJ142" s="317"/>
      <c r="BK142" s="321"/>
      <c r="BL142" s="321"/>
      <c r="BM142" s="321"/>
      <c r="BN142" s="321"/>
      <c r="BO142" s="321"/>
      <c r="BP142" s="321"/>
      <c r="BQ142" s="321"/>
      <c r="BR142" s="321"/>
      <c r="BS142" s="321"/>
      <c r="BT142" s="321"/>
      <c r="BU142" s="321"/>
      <c r="BV142" s="321"/>
      <c r="BW142" s="321"/>
      <c r="BX142" s="321"/>
      <c r="BY142" s="321"/>
      <c r="BZ142" s="321"/>
      <c r="CA142" s="321"/>
      <c r="CB142" s="321"/>
      <c r="CC142" s="321"/>
      <c r="CD142" s="321"/>
      <c r="CE142" s="321"/>
      <c r="CF142" s="321"/>
      <c r="CG142" s="321"/>
      <c r="CH142" s="321"/>
      <c r="CI142" s="321"/>
      <c r="CJ142" s="321"/>
      <c r="CK142" s="321"/>
      <c r="CL142" s="321"/>
      <c r="CM142" s="321"/>
      <c r="CN142" s="321"/>
    </row>
    <row r="143" spans="1:92" outlineLevel="1">
      <c r="A143" s="170"/>
      <c r="B143" s="1011" t="s">
        <v>455</v>
      </c>
      <c r="C143" s="985"/>
      <c r="D143" s="985"/>
      <c r="E143" s="1012"/>
      <c r="F143" s="1013"/>
      <c r="G143" s="1013"/>
      <c r="H143" s="1013"/>
      <c r="I143" s="294">
        <f>I145*I90</f>
        <v>1.891642</v>
      </c>
      <c r="J143" s="294">
        <f>J145*J90</f>
        <v>3.8455110000000001</v>
      </c>
      <c r="K143" s="840">
        <v>10</v>
      </c>
      <c r="L143" s="840">
        <v>17</v>
      </c>
      <c r="M143" s="840">
        <f>N143/(1+N144)</f>
        <v>18.899737635925572</v>
      </c>
      <c r="N143" s="840">
        <f>O143/(1+O144)</f>
        <v>28.652002256063167</v>
      </c>
      <c r="O143" s="840">
        <v>50.8</v>
      </c>
      <c r="P143" s="840">
        <v>65.900000000000006</v>
      </c>
      <c r="Q143" s="840">
        <v>75</v>
      </c>
      <c r="R143" s="840">
        <v>87.7</v>
      </c>
      <c r="S143" s="840">
        <v>119.1</v>
      </c>
      <c r="T143" s="840">
        <f>158.9+(4.9*T85)</f>
        <v>163.52777777777777</v>
      </c>
      <c r="U143" s="840">
        <f>U72*4.6%+U84*4.1%</f>
        <v>217.57150000000001</v>
      </c>
      <c r="V143" s="612">
        <v>144.4</v>
      </c>
      <c r="W143" s="294">
        <f>X143-V143</f>
        <v>127.92839999999998</v>
      </c>
      <c r="X143" s="840">
        <f>X72*5.5%+X84*5.6%</f>
        <v>272.32839999999999</v>
      </c>
      <c r="Y143" s="612">
        <v>170.8</v>
      </c>
      <c r="Z143" s="294">
        <f>AA143-Y143</f>
        <v>252.65559999999994</v>
      </c>
      <c r="AA143" s="840">
        <f>AA72*7.6%+AA84*9.1%</f>
        <v>423.45559999999995</v>
      </c>
      <c r="AB143" s="612">
        <v>515.6</v>
      </c>
      <c r="AC143" s="294">
        <f>AD143-AB143</f>
        <v>290.56240000000003</v>
      </c>
      <c r="AD143" s="840">
        <f>AD72*13.1%+AD84*10.6%</f>
        <v>806.16240000000005</v>
      </c>
      <c r="AE143" s="612">
        <v>823.9</v>
      </c>
      <c r="AF143" s="294">
        <f>AG143-AE143</f>
        <v>406.43450000000018</v>
      </c>
      <c r="AG143" s="840">
        <f>AG72*19.2%+AG84*16.5%</f>
        <v>1230.3345000000002</v>
      </c>
      <c r="AH143" s="612">
        <f>537.3+((5278.5-1544-3588.8)*0.12)</f>
        <v>554.78399999999988</v>
      </c>
      <c r="AI143" s="241">
        <f>AJ143-AH143</f>
        <v>417.25740000000019</v>
      </c>
      <c r="AJ143" s="565">
        <f>AJ72*14.4%+AJ84*11%</f>
        <v>972.04140000000007</v>
      </c>
      <c r="AK143" s="698">
        <f>(0.15*AK72)+(0.121*AK84)</f>
        <v>561.15309999999999</v>
      </c>
      <c r="AL143" s="241">
        <f t="shared" ref="AL143" si="703">AM143-AK143</f>
        <v>502.77140000000009</v>
      </c>
      <c r="AM143" s="1922">
        <f>(15.5%*6609.9)+(13%*303)</f>
        <v>1063.9245000000001</v>
      </c>
      <c r="AN143" s="698">
        <f>(0.176*AN72)+(0.16*AN84)</f>
        <v>711.49119999999994</v>
      </c>
      <c r="AO143" s="241">
        <f>AP143-AN143</f>
        <v>510.83259999999973</v>
      </c>
      <c r="AP143" s="1919">
        <f>(16.4%*7103.2)+(15.9%*361)</f>
        <v>1222.3237999999997</v>
      </c>
      <c r="AQ143" s="1738">
        <f>(4120.5*0.184+239*0.178)</f>
        <v>800.71400000000006</v>
      </c>
      <c r="AR143" s="241">
        <f t="shared" ref="AR143" si="704">AS143-AQ143</f>
        <v>574.26850458687238</v>
      </c>
      <c r="AS143" s="241">
        <f t="shared" ref="AS143:AT143" si="705">AS145*AS90</f>
        <v>1374.9825045868724</v>
      </c>
      <c r="AT143" s="241">
        <f t="shared" si="705"/>
        <v>837.45797434836311</v>
      </c>
      <c r="AU143" s="241">
        <f t="shared" ref="AU143" si="706">AV143-AT143</f>
        <v>684.8360269443632</v>
      </c>
      <c r="AV143" s="241">
        <f t="shared" ref="AV143" si="707">AV145*AV90</f>
        <v>1522.2940012927263</v>
      </c>
      <c r="AW143" s="241">
        <f>AW145*AW90</f>
        <v>925.18634752048865</v>
      </c>
      <c r="AX143" s="241">
        <f t="shared" ref="AX143" si="708">AY143-AW143</f>
        <v>752.21453765399087</v>
      </c>
      <c r="AY143" s="241">
        <f t="shared" ref="AY143:AZ143" si="709">AY145*AY90</f>
        <v>1677.4008851744795</v>
      </c>
      <c r="AZ143" s="241">
        <f t="shared" si="709"/>
        <v>1016.6776076375189</v>
      </c>
      <c r="BA143" s="241">
        <f t="shared" ref="BA143" si="710">BB143-AZ143</f>
        <v>826.7786246256436</v>
      </c>
      <c r="BB143" s="241">
        <f t="shared" ref="BB143" si="711">BB145*BB90</f>
        <v>1843.4562322631625</v>
      </c>
      <c r="BC143" s="241"/>
      <c r="BD143" s="380"/>
      <c r="BE143" s="380"/>
      <c r="BF143" s="380"/>
      <c r="BG143" s="380"/>
      <c r="BH143" s="378"/>
      <c r="BI143" s="379"/>
      <c r="BJ143" s="379"/>
      <c r="BK143" s="469"/>
      <c r="BL143" s="469"/>
      <c r="BM143" s="469"/>
      <c r="BN143" s="469"/>
      <c r="BO143" s="469"/>
      <c r="BP143" s="469"/>
      <c r="BQ143" s="469"/>
      <c r="BR143" s="469"/>
      <c r="BS143" s="469"/>
      <c r="BT143" s="469"/>
      <c r="BU143" s="469"/>
      <c r="BV143" s="469"/>
      <c r="BW143" s="469"/>
      <c r="BX143" s="469"/>
      <c r="BY143" s="469">
        <f>CA143/(1+CA144)</f>
        <v>19.640452997544944</v>
      </c>
      <c r="BZ143" s="469">
        <f>N143-BY143</f>
        <v>9.0115492585182224</v>
      </c>
      <c r="CA143" s="469">
        <f>CC143/(1+CC144)</f>
        <v>26.514611546685675</v>
      </c>
      <c r="CB143" s="469">
        <f>O143-CA143</f>
        <v>24.285388453314322</v>
      </c>
      <c r="CC143" s="469">
        <v>37.200000000000003</v>
      </c>
      <c r="CD143" s="469">
        <f>P143-CC143</f>
        <v>28.700000000000003</v>
      </c>
      <c r="CE143" s="469">
        <v>42.9</v>
      </c>
      <c r="CF143" s="469">
        <f>Q143-CE143</f>
        <v>32.1</v>
      </c>
      <c r="CG143" s="469">
        <v>48.7</v>
      </c>
      <c r="CH143" s="469">
        <f>R143-CG143</f>
        <v>39</v>
      </c>
      <c r="CI143" s="469">
        <v>62.8</v>
      </c>
      <c r="CJ143" s="469">
        <f>S143-CI143</f>
        <v>56.3</v>
      </c>
      <c r="CK143" s="469">
        <v>84.8</v>
      </c>
      <c r="CL143" s="469">
        <f>T143-CK143</f>
        <v>78.727777777777774</v>
      </c>
      <c r="CM143" s="469">
        <v>119.3</v>
      </c>
      <c r="CN143" s="419">
        <f>U143-CM143</f>
        <v>98.271500000000017</v>
      </c>
    </row>
    <row r="144" spans="1:92" outlineLevel="1">
      <c r="A144" s="170"/>
      <c r="B144" s="1014" t="s">
        <v>452</v>
      </c>
      <c r="C144" s="985"/>
      <c r="D144" s="985"/>
      <c r="E144" s="1012"/>
      <c r="F144" s="1013"/>
      <c r="G144" s="1013"/>
      <c r="H144" s="1013"/>
      <c r="I144" s="1013"/>
      <c r="J144" s="1013"/>
      <c r="K144" s="1013"/>
      <c r="L144" s="1013"/>
      <c r="M144" s="1013"/>
      <c r="N144" s="1005">
        <v>0.51600000000000001</v>
      </c>
      <c r="O144" s="1005">
        <v>0.77300000000000002</v>
      </c>
      <c r="P144" s="1005">
        <v>0.29799999999999999</v>
      </c>
      <c r="Q144" s="293">
        <f t="shared" ref="Q144:U144" si="712">Q143/P143-1</f>
        <v>0.13808801213960531</v>
      </c>
      <c r="R144" s="293">
        <f t="shared" si="712"/>
        <v>0.16933333333333334</v>
      </c>
      <c r="S144" s="293">
        <f t="shared" si="712"/>
        <v>0.35803876852907623</v>
      </c>
      <c r="T144" s="293">
        <f t="shared" si="712"/>
        <v>0.37302920048511989</v>
      </c>
      <c r="U144" s="293">
        <f t="shared" si="712"/>
        <v>0.33048649566842214</v>
      </c>
      <c r="V144" s="598">
        <f>V143/CM143-1</f>
        <v>0.21039396479463535</v>
      </c>
      <c r="W144" s="598">
        <f>W143/CN143-1</f>
        <v>0.30178535994667799</v>
      </c>
      <c r="X144" s="293">
        <f t="shared" ref="X144:AQ144" si="713">X143/U143-1</f>
        <v>0.25167312814408116</v>
      </c>
      <c r="Y144" s="598">
        <f t="shared" si="713"/>
        <v>0.18282548476454297</v>
      </c>
      <c r="Z144" s="598">
        <f t="shared" si="713"/>
        <v>0.97497662755103609</v>
      </c>
      <c r="AA144" s="293">
        <f t="shared" si="713"/>
        <v>0.55494469177654615</v>
      </c>
      <c r="AB144" s="598">
        <f t="shared" si="713"/>
        <v>2.0187353629976581</v>
      </c>
      <c r="AC144" s="598">
        <f t="shared" si="713"/>
        <v>0.15003348431619989</v>
      </c>
      <c r="AD144" s="293">
        <f t="shared" si="713"/>
        <v>0.90377078494179819</v>
      </c>
      <c r="AE144" s="598">
        <f t="shared" si="713"/>
        <v>0.5979441427463148</v>
      </c>
      <c r="AF144" s="598">
        <f t="shared" si="713"/>
        <v>0.39878559648461098</v>
      </c>
      <c r="AG144" s="581">
        <f t="shared" si="713"/>
        <v>0.52616209835636107</v>
      </c>
      <c r="AH144" s="1199">
        <f t="shared" si="713"/>
        <v>-0.32663672775822317</v>
      </c>
      <c r="AI144" s="1332">
        <f>AI143/AF143-1</f>
        <v>2.6628891002117294E-2</v>
      </c>
      <c r="AJ144" s="646">
        <f t="shared" si="713"/>
        <v>-0.20993729753981549</v>
      </c>
      <c r="AK144" s="1258">
        <f t="shared" si="713"/>
        <v>1.1480323873796161E-2</v>
      </c>
      <c r="AL144" s="1258">
        <f t="shared" ref="AL144:AV144" si="714">AL143/AI143-1</f>
        <v>0.2049430399556722</v>
      </c>
      <c r="AM144" s="646">
        <f t="shared" si="713"/>
        <v>9.4525912167938486E-2</v>
      </c>
      <c r="AN144" s="1258">
        <f t="shared" si="713"/>
        <v>0.26790923902941977</v>
      </c>
      <c r="AO144" s="1332">
        <f>AO143/AL143-1</f>
        <v>1.6033529353498777E-2</v>
      </c>
      <c r="AP144" s="646">
        <f t="shared" si="713"/>
        <v>0.1488820870277916</v>
      </c>
      <c r="AQ144" s="1374">
        <f t="shared" si="713"/>
        <v>0.12540253484512554</v>
      </c>
      <c r="AR144" s="1332">
        <f t="shared" si="714"/>
        <v>0.12418139442720122</v>
      </c>
      <c r="AS144" s="646">
        <f t="shared" si="714"/>
        <v>0.1248921968032306</v>
      </c>
      <c r="AT144" s="653">
        <f t="shared" si="714"/>
        <v>4.5889011992250817E-2</v>
      </c>
      <c r="AU144" s="1332">
        <f t="shared" si="714"/>
        <v>0.19253628132894529</v>
      </c>
      <c r="AV144" s="646">
        <f t="shared" si="714"/>
        <v>0.10713699717227687</v>
      </c>
      <c r="AW144" s="653">
        <f>AW143/AT143-1</f>
        <v>0.10475555294626959</v>
      </c>
      <c r="AX144" s="1332">
        <f t="shared" ref="AX144" si="715">AX143/AU143-1</f>
        <v>9.8386340757013802E-2</v>
      </c>
      <c r="AY144" s="646">
        <f t="shared" ref="AY144" si="716">AY143/AV143-1</f>
        <v>0.10189022866150488</v>
      </c>
      <c r="AZ144" s="653">
        <f t="shared" ref="AZ144" si="717">AZ143/AW143-1</f>
        <v>9.8889548426895901E-2</v>
      </c>
      <c r="BA144" s="1332">
        <f t="shared" ref="BA144" si="718">BA143/AX143-1</f>
        <v>9.9126091346497303E-2</v>
      </c>
      <c r="BB144" s="646">
        <f t="shared" ref="BB144" si="719">BB143/AY143-1</f>
        <v>9.8995623858521009E-2</v>
      </c>
      <c r="BC144" s="646"/>
      <c r="BD144" s="321"/>
      <c r="BE144" s="321"/>
      <c r="BF144" s="321"/>
      <c r="BG144" s="321"/>
      <c r="BH144" s="378"/>
      <c r="BI144" s="379"/>
      <c r="BJ144" s="379"/>
      <c r="BK144" s="457"/>
      <c r="BL144" s="457"/>
      <c r="BM144" s="457"/>
      <c r="BN144" s="457"/>
      <c r="BO144" s="457"/>
      <c r="BP144" s="457"/>
      <c r="BQ144" s="457"/>
      <c r="BR144" s="457"/>
      <c r="BS144" s="457"/>
      <c r="BT144" s="457"/>
      <c r="BU144" s="457"/>
      <c r="BV144" s="457"/>
      <c r="BW144" s="457"/>
      <c r="BX144" s="457"/>
      <c r="BY144" s="504"/>
      <c r="BZ144" s="504"/>
      <c r="CA144" s="505">
        <v>0.35</v>
      </c>
      <c r="CB144" s="505">
        <f>CB143/BZ143-1</f>
        <v>1.6949182384325767</v>
      </c>
      <c r="CC144" s="505">
        <v>0.40300000000000002</v>
      </c>
      <c r="CD144" s="505">
        <f t="shared" ref="CD144:CN144" si="720">CD143/CB143-1</f>
        <v>0.18178056139279919</v>
      </c>
      <c r="CE144" s="505">
        <f t="shared" si="720"/>
        <v>0.15322580645161277</v>
      </c>
      <c r="CF144" s="505">
        <f t="shared" si="720"/>
        <v>0.11846689895470375</v>
      </c>
      <c r="CG144" s="506">
        <f t="shared" si="720"/>
        <v>0.13519813519813528</v>
      </c>
      <c r="CH144" s="506">
        <f t="shared" si="720"/>
        <v>0.2149532710280373</v>
      </c>
      <c r="CI144" s="506">
        <f t="shared" si="720"/>
        <v>0.28952772073921951</v>
      </c>
      <c r="CJ144" s="506">
        <f t="shared" si="720"/>
        <v>0.44358974358974357</v>
      </c>
      <c r="CK144" s="506">
        <f t="shared" si="720"/>
        <v>0.35031847133757954</v>
      </c>
      <c r="CL144" s="506">
        <f t="shared" si="720"/>
        <v>0.39836194987171902</v>
      </c>
      <c r="CM144" s="506">
        <f t="shared" si="720"/>
        <v>0.40683962264150941</v>
      </c>
      <c r="CN144" s="506">
        <f t="shared" si="720"/>
        <v>0.2482443017429965</v>
      </c>
    </row>
    <row r="145" spans="1:92" outlineLevel="1">
      <c r="A145" s="170"/>
      <c r="B145" s="984" t="s">
        <v>456</v>
      </c>
      <c r="C145" s="985"/>
      <c r="D145" s="985"/>
      <c r="E145" s="985"/>
      <c r="F145" s="263"/>
      <c r="G145" s="263"/>
      <c r="H145" s="263"/>
      <c r="I145" s="1006">
        <v>2E-3</v>
      </c>
      <c r="J145" s="1006">
        <v>3.0000000000000001E-3</v>
      </c>
      <c r="K145" s="263">
        <f>K143/K90</f>
        <v>5.4687722168871309E-3</v>
      </c>
      <c r="L145" s="263">
        <f>L143/L90</f>
        <v>7.3047086151733403E-3</v>
      </c>
      <c r="M145" s="263">
        <f>M143/M90</f>
        <v>6.919635061408246E-3</v>
      </c>
      <c r="N145" s="263">
        <f>N143/N90</f>
        <v>9.6821739324292871E-3</v>
      </c>
      <c r="O145" s="263">
        <v>1.6E-2</v>
      </c>
      <c r="P145" s="263">
        <f t="shared" ref="P145:AD145" si="721">P143/P90</f>
        <v>1.9918994075686133E-2</v>
      </c>
      <c r="Q145" s="263">
        <f t="shared" si="721"/>
        <v>2.152837080465874E-2</v>
      </c>
      <c r="R145" s="263">
        <f t="shared" si="721"/>
        <v>2.4013344519481204E-2</v>
      </c>
      <c r="S145" s="263">
        <f t="shared" si="721"/>
        <v>3.0117838889539346E-2</v>
      </c>
      <c r="T145" s="263">
        <f t="shared" si="721"/>
        <v>3.7423969648887258E-2</v>
      </c>
      <c r="U145" s="263">
        <f t="shared" si="721"/>
        <v>4.5775615400799496E-2</v>
      </c>
      <c r="V145" s="263">
        <f>V143/V72</f>
        <v>5.5724925712962607E-2</v>
      </c>
      <c r="W145" s="263">
        <f>W143/W72</f>
        <v>5.9928046095470089E-2</v>
      </c>
      <c r="X145" s="263">
        <f t="shared" si="721"/>
        <v>5.5044750778186526E-2</v>
      </c>
      <c r="Y145" s="263">
        <f>Y143/Y72</f>
        <v>6.2738759917719655E-2</v>
      </c>
      <c r="Z145" s="263">
        <f>Z143/Z90</f>
        <v>9.4190128243364146E-2</v>
      </c>
      <c r="AA145" s="263">
        <v>6.2E-2</v>
      </c>
      <c r="AB145" s="263">
        <f>AB143/AB72</f>
        <v>0.15364901510862117</v>
      </c>
      <c r="AC145" s="263">
        <f>AC143/AC90</f>
        <v>0.1072304683175259</v>
      </c>
      <c r="AD145" s="263">
        <f t="shared" si="721"/>
        <v>0.13001780530288368</v>
      </c>
      <c r="AE145" s="263">
        <f>AE143/AE72</f>
        <v>0.25038747910651876</v>
      </c>
      <c r="AF145" s="263">
        <f>AF143/AF90</f>
        <v>0.13457204820872798</v>
      </c>
      <c r="AG145" s="284">
        <f>AG143/AG90</f>
        <v>0.19096863067705586</v>
      </c>
      <c r="AH145" s="284">
        <f>AH143/AH72</f>
        <v>0.15458760588497544</v>
      </c>
      <c r="AI145" s="564">
        <f>AI143/AI90</f>
        <v>0.13552158238331879</v>
      </c>
      <c r="AJ145" s="137">
        <f>AJ143/AJ90</f>
        <v>0.14266612851146274</v>
      </c>
      <c r="AK145" s="137">
        <f>AK143/AK72</f>
        <v>0.15522477939752705</v>
      </c>
      <c r="AL145" s="137">
        <f>AL143/AL90</f>
        <v>0.16001126635052998</v>
      </c>
      <c r="AM145" s="137">
        <f>AM143/AM90</f>
        <v>0.15389531772091478</v>
      </c>
      <c r="AN145" s="137">
        <f>AN143/AN72</f>
        <v>0.18360115606936414</v>
      </c>
      <c r="AO145" s="564">
        <f>AO143/AO90</f>
        <v>0.15001104161160533</v>
      </c>
      <c r="AP145" s="137">
        <f>AP143/AP90</f>
        <v>0.16374940385285208</v>
      </c>
      <c r="AQ145" s="1315">
        <f>AQ143/AQ90</f>
        <v>0.18367106319532059</v>
      </c>
      <c r="AR145" s="564">
        <f>AR143/AR90</f>
        <v>0.16157936688725477</v>
      </c>
      <c r="AS145" s="236">
        <f>+AP145+1%</f>
        <v>0.17374940385285209</v>
      </c>
      <c r="AT145" s="1333">
        <f>AV145</f>
        <v>0.1837494038528521</v>
      </c>
      <c r="AU145" s="564">
        <f t="shared" ref="AU145" si="722">AU143/AU90</f>
        <v>0.18374940385285207</v>
      </c>
      <c r="AV145" s="236">
        <f>+AS145+1%</f>
        <v>0.1837494038528521</v>
      </c>
      <c r="AW145" s="1333">
        <f>AY145</f>
        <v>0.19374940385285211</v>
      </c>
      <c r="AX145" s="564">
        <f t="shared" ref="AX145" si="723">AX143/AX90</f>
        <v>0.19374940385285208</v>
      </c>
      <c r="AY145" s="236">
        <f>+AV145+1%</f>
        <v>0.19374940385285211</v>
      </c>
      <c r="AZ145" s="1333">
        <f>BB145</f>
        <v>0.20374940385285212</v>
      </c>
      <c r="BA145" s="564">
        <f t="shared" ref="BA145" si="724">BA143/BA90</f>
        <v>0.20374940385285215</v>
      </c>
      <c r="BB145" s="236">
        <f>+AY145+1%</f>
        <v>0.20374940385285212</v>
      </c>
      <c r="BC145" s="236"/>
      <c r="BD145" s="382"/>
      <c r="BE145" s="382"/>
      <c r="BF145" s="382"/>
      <c r="BG145" s="382"/>
      <c r="BH145" s="378"/>
      <c r="BI145" s="379"/>
      <c r="BJ145" s="379"/>
      <c r="BK145" s="331"/>
      <c r="BL145" s="331"/>
      <c r="BM145" s="331"/>
      <c r="BN145" s="331"/>
      <c r="BO145" s="331"/>
      <c r="BP145" s="331"/>
      <c r="BQ145" s="331"/>
      <c r="BR145" s="331"/>
      <c r="BS145" s="331"/>
      <c r="BT145" s="331"/>
      <c r="BU145" s="331"/>
      <c r="BV145" s="331"/>
      <c r="BW145" s="331"/>
      <c r="BX145" s="331"/>
      <c r="BY145" s="331">
        <f t="shared" ref="BY145:CD145" si="725">BY143/BY72</f>
        <v>1.2225616556206003E-2</v>
      </c>
      <c r="BZ145" s="331">
        <f t="shared" si="725"/>
        <v>7.4591075760397892E-3</v>
      </c>
      <c r="CA145" s="331">
        <f t="shared" si="725"/>
        <v>1.5807912446602086E-2</v>
      </c>
      <c r="CB145" s="331">
        <f t="shared" si="725"/>
        <v>1.9012589094545757E-2</v>
      </c>
      <c r="CC145" s="331">
        <f t="shared" si="725"/>
        <v>2.1577726218097448E-2</v>
      </c>
      <c r="CD145" s="331">
        <f t="shared" si="725"/>
        <v>2.025667393883614E-2</v>
      </c>
      <c r="CE145" s="331">
        <f t="shared" ref="CE145:CN145" si="726">CE143/CE72</f>
        <v>2.3366013071895425E-2</v>
      </c>
      <c r="CF145" s="331">
        <f t="shared" si="726"/>
        <v>2.2033870383183423E-2</v>
      </c>
      <c r="CG145" s="331">
        <f t="shared" si="726"/>
        <v>2.6153155456074516E-2</v>
      </c>
      <c r="CH145" s="331">
        <f t="shared" si="726"/>
        <v>2.4468162528828514E-2</v>
      </c>
      <c r="CI145" s="331">
        <f t="shared" si="726"/>
        <v>3.1386441057463174E-2</v>
      </c>
      <c r="CJ145" s="331">
        <f t="shared" si="726"/>
        <v>3.2384351053267937E-2</v>
      </c>
      <c r="CK145" s="331">
        <f t="shared" si="726"/>
        <v>3.7955420284665656E-2</v>
      </c>
      <c r="CL145" s="331">
        <f t="shared" si="726"/>
        <v>4.1123995914008435E-2</v>
      </c>
      <c r="CM145" s="331">
        <f t="shared" si="726"/>
        <v>4.8182552504038773E-2</v>
      </c>
      <c r="CN145" s="331">
        <f t="shared" si="726"/>
        <v>4.761908223094443E-2</v>
      </c>
    </row>
    <row r="146" spans="1:92" outlineLevel="1">
      <c r="A146" s="170"/>
      <c r="B146" s="984"/>
      <c r="C146" s="985"/>
      <c r="D146" s="985"/>
      <c r="E146" s="985"/>
      <c r="F146" s="263"/>
      <c r="G146" s="263"/>
      <c r="H146" s="263"/>
      <c r="I146" s="1006"/>
      <c r="J146" s="1006"/>
      <c r="K146" s="263"/>
      <c r="L146" s="263"/>
      <c r="M146" s="263"/>
      <c r="N146" s="263"/>
      <c r="O146" s="263"/>
      <c r="P146" s="263"/>
      <c r="Q146" s="263"/>
      <c r="R146" s="263"/>
      <c r="S146" s="263"/>
      <c r="T146" s="263"/>
      <c r="U146" s="263"/>
      <c r="V146" s="263"/>
      <c r="W146" s="263"/>
      <c r="X146" s="263"/>
      <c r="Y146" s="263"/>
      <c r="Z146" s="263"/>
      <c r="AA146" s="263"/>
      <c r="AB146" s="263"/>
      <c r="AC146" s="263"/>
      <c r="AD146" s="263"/>
      <c r="AE146" s="263"/>
      <c r="AF146" s="263"/>
      <c r="AG146" s="284"/>
      <c r="AH146" s="284"/>
      <c r="AI146" s="564"/>
      <c r="AJ146" s="284"/>
      <c r="AK146" s="137"/>
      <c r="AL146" s="284"/>
      <c r="AM146" s="284"/>
      <c r="AN146" s="137"/>
      <c r="AO146" s="263"/>
      <c r="AP146" s="284"/>
      <c r="AQ146" s="1376"/>
      <c r="AR146" s="263"/>
      <c r="AS146" s="197"/>
      <c r="AT146" s="263"/>
      <c r="AU146" s="263"/>
      <c r="AV146" s="197"/>
      <c r="AW146" s="263"/>
      <c r="AX146" s="263"/>
      <c r="AY146" s="197"/>
      <c r="AZ146" s="263"/>
      <c r="BA146" s="263"/>
      <c r="BB146" s="197"/>
      <c r="BC146" s="236"/>
      <c r="BD146" s="382"/>
      <c r="BE146" s="382"/>
      <c r="BF146" s="382"/>
      <c r="BG146" s="382"/>
      <c r="BH146" s="378"/>
      <c r="BI146" s="379"/>
      <c r="BJ146" s="379"/>
      <c r="BK146" s="331"/>
      <c r="BL146" s="331"/>
      <c r="BM146" s="331"/>
      <c r="BN146" s="331"/>
      <c r="BO146" s="331"/>
      <c r="BP146" s="331"/>
      <c r="BQ146" s="331"/>
      <c r="BR146" s="331"/>
      <c r="BS146" s="331"/>
      <c r="BT146" s="331"/>
      <c r="BU146" s="331"/>
      <c r="BV146" s="331"/>
      <c r="BW146" s="331"/>
      <c r="BX146" s="331"/>
      <c r="BY146" s="331"/>
      <c r="BZ146" s="331"/>
      <c r="CA146" s="331"/>
      <c r="CB146" s="331"/>
      <c r="CC146" s="331"/>
      <c r="CD146" s="331"/>
      <c r="CE146" s="331"/>
      <c r="CF146" s="331"/>
      <c r="CG146" s="331"/>
      <c r="CH146" s="331"/>
      <c r="CI146" s="331"/>
      <c r="CJ146" s="331"/>
      <c r="CK146" s="331"/>
      <c r="CL146" s="331"/>
      <c r="CM146" s="331"/>
      <c r="CN146" s="331"/>
    </row>
    <row r="147" spans="1:92" outlineLevel="1">
      <c r="A147" s="170"/>
      <c r="B147" s="984" t="s">
        <v>807</v>
      </c>
      <c r="C147" s="985"/>
      <c r="D147" s="985"/>
      <c r="E147" s="985"/>
      <c r="F147" s="263"/>
      <c r="G147" s="263"/>
      <c r="H147" s="263"/>
      <c r="I147" s="1006"/>
      <c r="J147" s="279">
        <f>J143-I143</f>
        <v>1.9538690000000001</v>
      </c>
      <c r="K147" s="279">
        <f t="shared" ref="K147:U147" si="727">K143-J143</f>
        <v>6.1544889999999999</v>
      </c>
      <c r="L147" s="279">
        <f t="shared" si="727"/>
        <v>7</v>
      </c>
      <c r="M147" s="279">
        <f t="shared" si="727"/>
        <v>1.8997376359255718</v>
      </c>
      <c r="N147" s="279">
        <f t="shared" si="727"/>
        <v>9.7522646201375949</v>
      </c>
      <c r="O147" s="279">
        <f t="shared" si="727"/>
        <v>22.147997743936831</v>
      </c>
      <c r="P147" s="279">
        <f t="shared" si="727"/>
        <v>15.100000000000009</v>
      </c>
      <c r="Q147" s="279">
        <f t="shared" si="727"/>
        <v>9.0999999999999943</v>
      </c>
      <c r="R147" s="279">
        <f t="shared" si="727"/>
        <v>12.700000000000003</v>
      </c>
      <c r="S147" s="279">
        <f t="shared" si="727"/>
        <v>31.399999999999991</v>
      </c>
      <c r="T147" s="279">
        <f t="shared" si="727"/>
        <v>44.427777777777777</v>
      </c>
      <c r="U147" s="279">
        <f t="shared" si="727"/>
        <v>54.043722222222243</v>
      </c>
      <c r="V147" s="279">
        <f>V143-CM143</f>
        <v>25.100000000000009</v>
      </c>
      <c r="W147" s="279">
        <f>W143-CN143</f>
        <v>29.656899999999965</v>
      </c>
      <c r="X147" s="279">
        <f t="shared" ref="X147:AQ147" si="728">X143-U143</f>
        <v>54.756899999999973</v>
      </c>
      <c r="Y147" s="279">
        <f t="shared" si="728"/>
        <v>26.400000000000006</v>
      </c>
      <c r="Z147" s="279">
        <f t="shared" si="728"/>
        <v>124.72719999999995</v>
      </c>
      <c r="AA147" s="279">
        <f t="shared" si="728"/>
        <v>151.12719999999996</v>
      </c>
      <c r="AB147" s="279">
        <f t="shared" si="728"/>
        <v>344.8</v>
      </c>
      <c r="AC147" s="279">
        <f t="shared" si="728"/>
        <v>37.906800000000089</v>
      </c>
      <c r="AD147" s="279">
        <f t="shared" si="728"/>
        <v>382.7068000000001</v>
      </c>
      <c r="AE147" s="279">
        <f t="shared" si="728"/>
        <v>308.29999999999995</v>
      </c>
      <c r="AF147" s="279">
        <f t="shared" si="728"/>
        <v>115.87210000000016</v>
      </c>
      <c r="AG147" s="279">
        <f t="shared" si="728"/>
        <v>424.17210000000011</v>
      </c>
      <c r="AH147" s="279">
        <f t="shared" si="728"/>
        <v>-269.1160000000001</v>
      </c>
      <c r="AI147" s="179">
        <f t="shared" si="728"/>
        <v>10.822900000000004</v>
      </c>
      <c r="AJ147" s="279">
        <f t="shared" si="728"/>
        <v>-258.29310000000009</v>
      </c>
      <c r="AK147" s="179">
        <f t="shared" si="728"/>
        <v>6.3691000000001168</v>
      </c>
      <c r="AL147" s="179">
        <f t="shared" ref="AL147" si="729">AL143-AI143</f>
        <v>85.513999999999896</v>
      </c>
      <c r="AM147" s="279">
        <f t="shared" si="728"/>
        <v>91.883100000000013</v>
      </c>
      <c r="AN147" s="179">
        <f t="shared" si="728"/>
        <v>150.33809999999994</v>
      </c>
      <c r="AO147" s="179">
        <f>AO143-AL143</f>
        <v>8.0611999999996442</v>
      </c>
      <c r="AP147" s="279">
        <f t="shared" si="728"/>
        <v>158.39929999999958</v>
      </c>
      <c r="AQ147" s="1370">
        <f t="shared" si="728"/>
        <v>89.22280000000012</v>
      </c>
      <c r="AR147" s="179">
        <f t="shared" ref="AR147" si="730">AR143-AO143</f>
        <v>63.435904586872653</v>
      </c>
      <c r="AS147" s="179">
        <f t="shared" ref="AS147" si="731">AS143-AP143</f>
        <v>152.65870458687277</v>
      </c>
      <c r="AT147" s="179">
        <f t="shared" ref="AT147" si="732">AT143-AQ143</f>
        <v>36.743974348363054</v>
      </c>
      <c r="AU147" s="179">
        <f t="shared" ref="AU147" si="733">AU143-AR143</f>
        <v>110.56752235749082</v>
      </c>
      <c r="AV147" s="179">
        <f t="shared" ref="AV147" si="734">AV143-AS143</f>
        <v>147.31149670585387</v>
      </c>
      <c r="AW147" s="179">
        <f>AW143-AT143</f>
        <v>87.728373172125544</v>
      </c>
      <c r="AX147" s="179">
        <f t="shared" ref="AX147" si="735">AX143-AU143</f>
        <v>67.378510709627676</v>
      </c>
      <c r="AY147" s="179">
        <f t="shared" ref="AY147" si="736">AY143-AV143</f>
        <v>155.10688388175322</v>
      </c>
      <c r="AZ147" s="179">
        <f t="shared" ref="AZ147" si="737">AZ143-AW143</f>
        <v>91.491260117030265</v>
      </c>
      <c r="BA147" s="179">
        <f t="shared" ref="BA147" si="738">BA143-AX143</f>
        <v>74.564086971652728</v>
      </c>
      <c r="BB147" s="179">
        <f t="shared" ref="BB147" si="739">BB143-AY143</f>
        <v>166.05534708868299</v>
      </c>
      <c r="BC147" s="179"/>
      <c r="BD147" s="382"/>
      <c r="BE147" s="382"/>
      <c r="BF147" s="382"/>
      <c r="BG147" s="382"/>
      <c r="BH147" s="378"/>
      <c r="BI147" s="379"/>
      <c r="BJ147" s="379"/>
      <c r="BK147" s="331"/>
      <c r="BL147" s="331"/>
      <c r="BM147" s="331"/>
      <c r="BN147" s="331"/>
      <c r="BO147" s="331"/>
      <c r="BP147" s="331"/>
      <c r="BQ147" s="331"/>
      <c r="BR147" s="331"/>
      <c r="BS147" s="331"/>
      <c r="BT147" s="331"/>
      <c r="BU147" s="331"/>
      <c r="BV147" s="331"/>
      <c r="BW147" s="331"/>
      <c r="BX147" s="331"/>
      <c r="BY147" s="331"/>
      <c r="BZ147" s="331"/>
      <c r="CA147" s="331"/>
      <c r="CB147" s="331"/>
      <c r="CC147" s="331"/>
      <c r="CD147" s="331"/>
      <c r="CE147" s="331"/>
      <c r="CF147" s="331"/>
      <c r="CG147" s="331"/>
      <c r="CH147" s="331"/>
      <c r="CI147" s="331"/>
      <c r="CJ147" s="331"/>
      <c r="CK147" s="331"/>
      <c r="CL147" s="331"/>
      <c r="CM147" s="331"/>
      <c r="CN147" s="331"/>
    </row>
    <row r="148" spans="1:92" outlineLevel="1">
      <c r="A148" s="170"/>
      <c r="B148" s="984" t="s">
        <v>806</v>
      </c>
      <c r="C148" s="985"/>
      <c r="D148" s="985"/>
      <c r="E148" s="985"/>
      <c r="F148" s="263"/>
      <c r="G148" s="263"/>
      <c r="H148" s="263"/>
      <c r="I148" s="1006"/>
      <c r="J148" s="263">
        <f>J147/I90</f>
        <v>2.065791518691169E-3</v>
      </c>
      <c r="K148" s="263">
        <f t="shared" ref="K148:U148" si="740">K147/J90</f>
        <v>4.801303909935507E-3</v>
      </c>
      <c r="L148" s="263">
        <f t="shared" si="740"/>
        <v>3.8281405518209915E-3</v>
      </c>
      <c r="M148" s="263">
        <f t="shared" si="740"/>
        <v>8.1629587504203284E-4</v>
      </c>
      <c r="N148" s="263">
        <f t="shared" si="740"/>
        <v>3.5705316916866551E-3</v>
      </c>
      <c r="O148" s="263">
        <f t="shared" si="740"/>
        <v>7.4843204497678402E-3</v>
      </c>
      <c r="P148" s="263">
        <f t="shared" si="740"/>
        <v>4.8276867515486994E-3</v>
      </c>
      <c r="Q148" s="263">
        <f t="shared" si="740"/>
        <v>2.7505742957320742E-3</v>
      </c>
      <c r="R148" s="263">
        <f t="shared" si="740"/>
        <v>3.6454707895888804E-3</v>
      </c>
      <c r="S148" s="263">
        <f t="shared" si="740"/>
        <v>8.5977083000194927E-3</v>
      </c>
      <c r="T148" s="263">
        <f t="shared" si="740"/>
        <v>1.1234833361304514E-2</v>
      </c>
      <c r="U148" s="263">
        <f t="shared" si="740"/>
        <v>1.2368116583262138E-2</v>
      </c>
      <c r="V148" s="263">
        <f>V147/CM90</f>
        <v>9.6911196911196942E-3</v>
      </c>
      <c r="W148" s="263">
        <f>W147/CN90</f>
        <v>1.3711003236245939E-2</v>
      </c>
      <c r="X148" s="263">
        <f t="shared" ref="X148:AQ148" si="741">X147/U90</f>
        <v>1.152049232063959E-2</v>
      </c>
      <c r="Y148" s="263">
        <f t="shared" si="741"/>
        <v>9.7309251750829356E-3</v>
      </c>
      <c r="Z148" s="263">
        <f t="shared" si="741"/>
        <v>5.5821339061940554E-2</v>
      </c>
      <c r="AA148" s="263">
        <f t="shared" si="741"/>
        <v>3.0546792254517518E-2</v>
      </c>
      <c r="AB148" s="263">
        <f t="shared" si="741"/>
        <v>0.12108016996172351</v>
      </c>
      <c r="AC148" s="263">
        <f t="shared" si="741"/>
        <v>1.413167312854164E-2</v>
      </c>
      <c r="AD148" s="263">
        <f t="shared" si="741"/>
        <v>6.920431818592794E-2</v>
      </c>
      <c r="AE148" s="263">
        <f t="shared" si="741"/>
        <v>8.8320394190277013E-2</v>
      </c>
      <c r="AF148" s="263">
        <f t="shared" si="741"/>
        <v>4.2761966269328752E-2</v>
      </c>
      <c r="AG148" s="284">
        <f t="shared" si="741"/>
        <v>6.8410441261854082E-2</v>
      </c>
      <c r="AH148" s="284">
        <f t="shared" si="741"/>
        <v>-7.863370733987847E-2</v>
      </c>
      <c r="AI148" s="564">
        <f t="shared" si="741"/>
        <v>3.5835044036818769E-3</v>
      </c>
      <c r="AJ148" s="284">
        <f t="shared" si="741"/>
        <v>-4.0091438239220206E-2</v>
      </c>
      <c r="AK148" s="137">
        <f t="shared" si="741"/>
        <v>1.7054759673316687E-3</v>
      </c>
      <c r="AL148" s="137">
        <f t="shared" ref="AL148" si="742">AL147/AI90</f>
        <v>2.7774205073240413E-2</v>
      </c>
      <c r="AM148" s="284">
        <f t="shared" si="741"/>
        <v>1.3485645933014356E-2</v>
      </c>
      <c r="AN148" s="137">
        <f t="shared" si="741"/>
        <v>3.9864791047942279E-2</v>
      </c>
      <c r="AO148" s="564">
        <f>AO147/AL90</f>
        <v>2.5655453359217234E-3</v>
      </c>
      <c r="AP148" s="284">
        <f t="shared" si="741"/>
        <v>2.2912256086094859E-2</v>
      </c>
      <c r="AQ148" s="1376">
        <f t="shared" si="741"/>
        <v>2.1979848742394038E-2</v>
      </c>
      <c r="AR148" s="564">
        <f t="shared" ref="AR148" si="743">AR147/AO90</f>
        <v>1.862858032680605E-2</v>
      </c>
      <c r="AS148" s="137">
        <f t="shared" ref="AS148" si="744">AS147/AP90</f>
        <v>2.0451022772402107E-2</v>
      </c>
      <c r="AT148" s="564">
        <f t="shared" ref="AT148" si="745">AT147/AQ90</f>
        <v>8.4284836215995085E-3</v>
      </c>
      <c r="AU148" s="564">
        <f t="shared" ref="AU148" si="746">AU147/AR90</f>
        <v>3.1109890439957367E-2</v>
      </c>
      <c r="AV148" s="137">
        <f t="shared" ref="AV148" si="747">AV147/AS90</f>
        <v>1.86149893892678E-2</v>
      </c>
      <c r="AW148" s="564">
        <f>AW147/AT90</f>
        <v>1.9248770404152904E-2</v>
      </c>
      <c r="AX148" s="564">
        <f t="shared" ref="AX148" si="748">AX147/AU90</f>
        <v>1.8078431461364869E-2</v>
      </c>
      <c r="AY148" s="137">
        <f t="shared" ref="AY148" si="749">AY147/AV90</f>
        <v>1.8722268774982322E-2</v>
      </c>
      <c r="AZ148" s="564">
        <f t="shared" ref="AZ148" si="750">AZ147/AW90</f>
        <v>1.9159791054988821E-2</v>
      </c>
      <c r="BA148" s="564">
        <f t="shared" ref="BA148" si="751">BA147/AX90</f>
        <v>1.920562110464721E-2</v>
      </c>
      <c r="BB148" s="137">
        <f t="shared" ref="BB148" si="752">BB147/AY90</f>
        <v>1.9180343106629631E-2</v>
      </c>
      <c r="BC148" s="137"/>
      <c r="BD148" s="382"/>
      <c r="BE148" s="382"/>
      <c r="BF148" s="382"/>
      <c r="BG148" s="382"/>
      <c r="BH148" s="378"/>
      <c r="BI148" s="379"/>
      <c r="BJ148" s="379"/>
      <c r="BK148" s="331"/>
      <c r="BL148" s="331"/>
      <c r="BM148" s="331"/>
      <c r="BN148" s="331"/>
      <c r="BO148" s="331"/>
      <c r="BP148" s="331"/>
      <c r="BQ148" s="331"/>
      <c r="BR148" s="331"/>
      <c r="BS148" s="331"/>
      <c r="BT148" s="331"/>
      <c r="BU148" s="331"/>
      <c r="BV148" s="331"/>
      <c r="BW148" s="331"/>
      <c r="BX148" s="331"/>
      <c r="BY148" s="331"/>
      <c r="BZ148" s="331"/>
      <c r="CA148" s="331"/>
      <c r="CB148" s="331"/>
      <c r="CC148" s="331"/>
      <c r="CD148" s="331"/>
      <c r="CE148" s="331"/>
      <c r="CF148" s="331"/>
      <c r="CG148" s="331"/>
      <c r="CH148" s="331"/>
      <c r="CI148" s="331"/>
      <c r="CJ148" s="331"/>
      <c r="CK148" s="331"/>
      <c r="CL148" s="331"/>
      <c r="CM148" s="331"/>
      <c r="CN148" s="331"/>
    </row>
    <row r="149" spans="1:92" outlineLevel="1">
      <c r="A149" s="170"/>
      <c r="B149" s="984" t="s">
        <v>805</v>
      </c>
      <c r="C149" s="985"/>
      <c r="D149" s="985"/>
      <c r="E149" s="985"/>
      <c r="F149" s="263"/>
      <c r="G149" s="263"/>
      <c r="H149" s="263"/>
      <c r="I149" s="1006"/>
      <c r="J149" s="263">
        <f>J91-J148</f>
        <v>0.11193420848130883</v>
      </c>
      <c r="K149" s="263">
        <f t="shared" ref="K149:T149" si="753">K91-K148</f>
        <v>0.1481986960900645</v>
      </c>
      <c r="L149" s="263">
        <f t="shared" si="753"/>
        <v>0.11117185944817902</v>
      </c>
      <c r="M149" s="263">
        <f t="shared" si="753"/>
        <v>4.7183704124957968E-2</v>
      </c>
      <c r="N149" s="263">
        <f t="shared" si="753"/>
        <v>-1.5570531691686654E-2</v>
      </c>
      <c r="O149" s="263">
        <f t="shared" si="753"/>
        <v>-2.0484320449767841E-2</v>
      </c>
      <c r="P149" s="263">
        <f t="shared" si="753"/>
        <v>-9.8276867515487004E-3</v>
      </c>
      <c r="Q149" s="263">
        <f t="shared" si="753"/>
        <v>1.7249425704267927E-2</v>
      </c>
      <c r="R149" s="263">
        <f t="shared" si="753"/>
        <v>2.535452921041112E-2</v>
      </c>
      <c r="S149" s="263">
        <f t="shared" si="753"/>
        <v>4.5402291699980508E-2</v>
      </c>
      <c r="T149" s="263">
        <f t="shared" si="753"/>
        <v>6.7483153885649336E-2</v>
      </c>
      <c r="U149" s="263">
        <f t="shared" ref="U149:AN149" si="754">U91-U148</f>
        <v>4.6830722069564491E-2</v>
      </c>
      <c r="V149" s="263">
        <f>V91-V148</f>
        <v>2.5029110308719585E-2</v>
      </c>
      <c r="W149" s="263">
        <f>W91-W148</f>
        <v>1.4129261394331578E-2</v>
      </c>
      <c r="X149" s="263">
        <f t="shared" si="754"/>
        <v>2.0476676599061168E-2</v>
      </c>
      <c r="Y149" s="263">
        <f>Y91-Y148</f>
        <v>3.3645503855096882E-2</v>
      </c>
      <c r="Z149" s="263">
        <f>Z91-Z148</f>
        <v>0.13860579309062451</v>
      </c>
      <c r="AA149" s="263">
        <f>AA91-AA148</f>
        <v>8.4617020334766577E-2</v>
      </c>
      <c r="AB149" s="263">
        <f>AB91-AB148</f>
        <v>0.11459442623086437</v>
      </c>
      <c r="AC149" s="263">
        <f t="shared" ref="AC149" si="755">AC91-AC148</f>
        <v>-6.7530327319360811E-3</v>
      </c>
      <c r="AD149" s="263">
        <f t="shared" ref="AD149:AI149" si="756">AD91-AD148</f>
        <v>5.2659510516853414E-2</v>
      </c>
      <c r="AE149" s="263">
        <f t="shared" si="756"/>
        <v>-0.11320770678728043</v>
      </c>
      <c r="AF149" s="263">
        <f t="shared" si="756"/>
        <v>4.8258901301727206E-2</v>
      </c>
      <c r="AG149" s="284">
        <f t="shared" si="756"/>
        <v>-3.5320236722819233E-2</v>
      </c>
      <c r="AH149" s="284">
        <f t="shared" ref="AH149" si="757">AH91-AH148</f>
        <v>0.16472340987790351</v>
      </c>
      <c r="AI149" s="564">
        <f t="shared" si="756"/>
        <v>9.7098947731159638E-3</v>
      </c>
      <c r="AJ149" s="284">
        <f t="shared" ref="AJ149:AK149" si="758">AJ91-AJ148</f>
        <v>8.9688452948911118E-2</v>
      </c>
      <c r="AK149" s="137">
        <f t="shared" si="758"/>
        <v>-4.1829009644546596E-4</v>
      </c>
      <c r="AL149" s="137">
        <f t="shared" si="754"/>
        <v>-1.5199987581858313E-2</v>
      </c>
      <c r="AM149" s="284">
        <f t="shared" si="754"/>
        <v>-6.5583501580909007E-3</v>
      </c>
      <c r="AN149" s="137">
        <f t="shared" si="754"/>
        <v>3.1206339638654428E-2</v>
      </c>
      <c r="AO149" s="564">
        <f t="shared" ref="AO149:AV149" si="759">AO91-AO148</f>
        <v>7.1088588020331134E-2</v>
      </c>
      <c r="AP149" s="284">
        <f t="shared" si="759"/>
        <v>4.9357684663717913E-2</v>
      </c>
      <c r="AQ149" s="1376">
        <f t="shared" ref="AQ149" si="760">AQ91-AQ148</f>
        <v>3.5187164563066566E-2</v>
      </c>
      <c r="AR149" s="564">
        <f t="shared" si="759"/>
        <v>9.1801736605613034E-3</v>
      </c>
      <c r="AS149" s="137">
        <f t="shared" si="759"/>
        <v>2.2143972543906647E-2</v>
      </c>
      <c r="AT149" s="564">
        <f t="shared" si="759"/>
        <v>3.0890711856730244E-2</v>
      </c>
      <c r="AU149" s="564">
        <f t="shared" si="759"/>
        <v>1.1073355374192368E-2</v>
      </c>
      <c r="AV149" s="137">
        <f t="shared" si="759"/>
        <v>2.1960690340244355E-2</v>
      </c>
      <c r="AW149" s="564">
        <f>AW91-AW148</f>
        <v>2.2846953305517337E-2</v>
      </c>
      <c r="AX149" s="564">
        <f t="shared" ref="AX149:AY149" si="761">AX91-AX148</f>
        <v>1.8364064983341921E-2</v>
      </c>
      <c r="AY149" s="137">
        <f t="shared" si="761"/>
        <v>2.0699739239124527E-2</v>
      </c>
      <c r="AZ149" s="564">
        <f t="shared" ref="AZ149:BB149" si="762">AZ91-AZ148</f>
        <v>2.025573739736225E-2</v>
      </c>
      <c r="BA149" s="564">
        <f t="shared" si="762"/>
        <v>2.0229380743216754E-2</v>
      </c>
      <c r="BB149" s="137">
        <f t="shared" si="762"/>
        <v>2.0238800646937796E-2</v>
      </c>
      <c r="BC149" s="137"/>
      <c r="BD149" s="382"/>
      <c r="BE149" s="382"/>
      <c r="BF149" s="382"/>
      <c r="BG149" s="382"/>
      <c r="BH149" s="378"/>
      <c r="BI149" s="379"/>
      <c r="BJ149" s="379"/>
      <c r="BK149" s="331"/>
      <c r="BL149" s="331"/>
      <c r="BM149" s="331"/>
      <c r="BN149" s="331"/>
      <c r="BO149" s="331"/>
      <c r="BP149" s="331"/>
      <c r="BQ149" s="331"/>
      <c r="BR149" s="331"/>
      <c r="BS149" s="331"/>
      <c r="BT149" s="331"/>
      <c r="BU149" s="331"/>
      <c r="BV149" s="331"/>
      <c r="BW149" s="331"/>
      <c r="BX149" s="331"/>
      <c r="BY149" s="331"/>
      <c r="BZ149" s="331"/>
      <c r="CA149" s="331"/>
      <c r="CB149" s="331"/>
      <c r="CC149" s="331"/>
      <c r="CD149" s="331"/>
      <c r="CE149" s="331"/>
      <c r="CF149" s="331"/>
      <c r="CG149" s="331"/>
      <c r="CH149" s="331"/>
      <c r="CI149" s="331"/>
      <c r="CJ149" s="331"/>
      <c r="CK149" s="331"/>
      <c r="CL149" s="331"/>
      <c r="CM149" s="331"/>
      <c r="CN149" s="331"/>
    </row>
    <row r="150" spans="1:92" outlineLevel="1">
      <c r="A150" s="170"/>
      <c r="B150" s="984"/>
      <c r="C150" s="985"/>
      <c r="D150" s="985"/>
      <c r="E150" s="985"/>
      <c r="F150" s="263"/>
      <c r="G150" s="263"/>
      <c r="H150" s="263"/>
      <c r="I150" s="616"/>
      <c r="J150" s="616"/>
      <c r="K150" s="263"/>
      <c r="L150" s="263"/>
      <c r="M150" s="263"/>
      <c r="N150" s="263"/>
      <c r="O150" s="263"/>
      <c r="P150" s="263"/>
      <c r="Q150" s="263"/>
      <c r="R150" s="263"/>
      <c r="S150" s="263"/>
      <c r="T150" s="263"/>
      <c r="U150" s="263"/>
      <c r="V150" s="263"/>
      <c r="W150" s="263"/>
      <c r="X150" s="263"/>
      <c r="Y150" s="263"/>
      <c r="Z150" s="263"/>
      <c r="AA150" s="263"/>
      <c r="AB150" s="263"/>
      <c r="AC150" s="263"/>
      <c r="AD150" s="263"/>
      <c r="AE150" s="263"/>
      <c r="AF150" s="263"/>
      <c r="AG150" s="284"/>
      <c r="AH150" s="284"/>
      <c r="AI150" s="564"/>
      <c r="AJ150" s="284"/>
      <c r="AK150" s="137"/>
      <c r="AL150" s="284"/>
      <c r="AM150" s="284"/>
      <c r="AN150" s="137"/>
      <c r="AO150" s="263"/>
      <c r="AP150" s="284"/>
      <c r="AQ150" s="1376"/>
      <c r="AR150" s="263"/>
      <c r="AS150" s="197"/>
      <c r="AT150" s="263"/>
      <c r="AU150" s="263"/>
      <c r="AV150" s="197"/>
      <c r="AW150" s="263"/>
      <c r="AX150" s="263"/>
      <c r="AY150" s="197"/>
      <c r="AZ150" s="263"/>
      <c r="BA150" s="263"/>
      <c r="BB150" s="197"/>
      <c r="BC150" s="236"/>
      <c r="BD150" s="382"/>
      <c r="BE150" s="382"/>
      <c r="BF150" s="382"/>
      <c r="BG150" s="382"/>
      <c r="BH150" s="378"/>
      <c r="BI150" s="379"/>
      <c r="BJ150" s="379"/>
      <c r="BK150" s="331"/>
      <c r="BL150" s="331"/>
      <c r="BM150" s="331"/>
      <c r="BN150" s="331"/>
      <c r="BO150" s="331"/>
      <c r="BP150" s="331"/>
      <c r="BQ150" s="331"/>
      <c r="BR150" s="331"/>
      <c r="BS150" s="331"/>
      <c r="BT150" s="331"/>
      <c r="BU150" s="331"/>
      <c r="BV150" s="331"/>
      <c r="BW150" s="331"/>
      <c r="BX150" s="331"/>
      <c r="BY150" s="331"/>
      <c r="BZ150" s="331"/>
      <c r="CA150" s="331"/>
      <c r="CB150" s="331"/>
      <c r="CC150" s="331"/>
      <c r="CD150" s="331"/>
      <c r="CE150" s="331"/>
      <c r="CF150" s="331"/>
      <c r="CG150" s="331"/>
      <c r="CH150" s="331"/>
      <c r="CI150" s="331"/>
      <c r="CJ150" s="331"/>
      <c r="CK150" s="331"/>
      <c r="CL150" s="331"/>
      <c r="CM150" s="331"/>
      <c r="CN150" s="331"/>
    </row>
    <row r="151" spans="1:92" outlineLevel="1">
      <c r="A151" s="204"/>
      <c r="B151" s="184" t="s">
        <v>788</v>
      </c>
      <c r="C151" s="185"/>
      <c r="D151" s="186"/>
      <c r="E151" s="18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6"/>
      <c r="AK151" s="196"/>
      <c r="AL151" s="196"/>
      <c r="AM151" s="196"/>
      <c r="AN151" s="196"/>
      <c r="AO151" s="196"/>
      <c r="AP151" s="196"/>
      <c r="AQ151" s="1369"/>
      <c r="AR151" s="196"/>
      <c r="AS151" s="196"/>
      <c r="AT151" s="196"/>
      <c r="AU151" s="196"/>
      <c r="AV151" s="196"/>
      <c r="AW151" s="196"/>
      <c r="AX151" s="196"/>
      <c r="AY151" s="196"/>
      <c r="AZ151" s="196"/>
      <c r="BA151" s="196"/>
      <c r="BB151" s="196"/>
      <c r="BC151" s="190"/>
      <c r="BD151" s="316"/>
      <c r="BE151" s="316"/>
      <c r="BF151" s="316"/>
      <c r="BG151" s="316"/>
      <c r="BH151" s="315"/>
      <c r="BI151" s="317"/>
      <c r="BJ151" s="317"/>
      <c r="BK151" s="196"/>
      <c r="BL151" s="196"/>
      <c r="BM151" s="196"/>
      <c r="BN151" s="196"/>
      <c r="BO151" s="196"/>
      <c r="BP151" s="196"/>
      <c r="BQ151" s="196"/>
      <c r="BR151" s="196"/>
      <c r="BS151" s="196"/>
      <c r="BT151" s="196"/>
      <c r="BU151" s="196"/>
      <c r="BV151" s="196"/>
      <c r="BW151" s="196"/>
      <c r="BX151" s="196"/>
      <c r="BY151" s="196"/>
      <c r="BZ151" s="196"/>
      <c r="CA151" s="196"/>
      <c r="CB151" s="196"/>
      <c r="CC151" s="196"/>
      <c r="CD151" s="196"/>
      <c r="CE151" s="196"/>
      <c r="CF151" s="196"/>
      <c r="CG151" s="196"/>
      <c r="CH151" s="196"/>
      <c r="CI151" s="196"/>
      <c r="CJ151" s="196"/>
      <c r="CK151" s="196"/>
      <c r="CL151" s="196"/>
      <c r="CM151" s="196"/>
      <c r="CN151" s="196"/>
    </row>
    <row r="152" spans="1:92" outlineLevel="1">
      <c r="A152" s="170"/>
      <c r="B152" s="1011" t="s">
        <v>522</v>
      </c>
      <c r="C152" s="1015"/>
      <c r="D152" s="1015"/>
      <c r="E152" s="1015"/>
      <c r="F152" s="596"/>
      <c r="G152" s="596"/>
      <c r="H152" s="596"/>
      <c r="I152" s="605"/>
      <c r="J152" s="605"/>
      <c r="K152" s="596"/>
      <c r="L152" s="596"/>
      <c r="M152" s="596"/>
      <c r="N152" s="596"/>
      <c r="O152" s="596"/>
      <c r="P152" s="596"/>
      <c r="Q152" s="596"/>
      <c r="R152" s="596"/>
      <c r="S152" s="596"/>
      <c r="T152" s="596"/>
      <c r="U152" s="596"/>
      <c r="V152" s="596"/>
      <c r="W152" s="596"/>
      <c r="X152" s="596"/>
      <c r="Y152" s="596"/>
      <c r="Z152" s="596"/>
      <c r="AA152" s="596"/>
      <c r="AB152" s="596"/>
      <c r="AC152" s="596"/>
      <c r="AD152" s="596"/>
      <c r="AE152" s="596"/>
      <c r="AF152" s="596"/>
      <c r="AG152" s="262"/>
      <c r="AH152" s="284">
        <f>(AH165+AH177+AH321)/(Y165+Y177+Y321)-1</f>
        <v>1.2578616352201255E-2</v>
      </c>
      <c r="AI152" s="669"/>
      <c r="AJ152" s="262"/>
      <c r="AK152" s="137">
        <f>(AK165+AK177+AK321)/(AB165+AB177+AB321)-1</f>
        <v>3.4810126582278444E-2</v>
      </c>
      <c r="AL152" s="262"/>
      <c r="AM152" s="262"/>
      <c r="AN152" s="675"/>
      <c r="AO152" s="596"/>
      <c r="AP152" s="675"/>
      <c r="AQ152" s="1601"/>
      <c r="AR152" s="596"/>
      <c r="AS152" s="197"/>
      <c r="AT152" s="596"/>
      <c r="AU152" s="596"/>
      <c r="AV152" s="197"/>
      <c r="AW152" s="596"/>
      <c r="AX152" s="596"/>
      <c r="AY152" s="197"/>
      <c r="AZ152" s="596"/>
      <c r="BA152" s="596"/>
      <c r="BB152" s="197"/>
      <c r="BC152" s="236"/>
      <c r="BD152" s="382"/>
      <c r="BE152" s="382"/>
      <c r="BF152" s="382"/>
      <c r="BG152" s="382"/>
      <c r="BH152" s="378"/>
      <c r="BI152" s="379"/>
      <c r="BJ152" s="379"/>
      <c r="BK152" s="402"/>
      <c r="BL152" s="402"/>
      <c r="BM152" s="402"/>
      <c r="BN152" s="402"/>
      <c r="BO152" s="402"/>
      <c r="BP152" s="402"/>
      <c r="BQ152" s="402"/>
      <c r="BR152" s="402"/>
      <c r="BS152" s="402"/>
      <c r="BT152" s="402"/>
      <c r="BU152" s="402"/>
      <c r="BV152" s="402"/>
      <c r="BW152" s="402"/>
      <c r="BX152" s="402"/>
      <c r="BY152" s="402"/>
      <c r="BZ152" s="402"/>
      <c r="CA152" s="402"/>
      <c r="CB152" s="402"/>
      <c r="CC152" s="402"/>
      <c r="CD152" s="402"/>
      <c r="CE152" s="402"/>
      <c r="CF152" s="402"/>
      <c r="CG152" s="402"/>
      <c r="CH152" s="402"/>
      <c r="CI152" s="402"/>
      <c r="CJ152" s="402"/>
      <c r="CK152" s="402"/>
      <c r="CL152" s="402"/>
      <c r="CM152" s="402"/>
      <c r="CN152" s="402"/>
    </row>
    <row r="153" spans="1:92" outlineLevel="1">
      <c r="A153" s="170"/>
      <c r="B153" s="1016" t="s">
        <v>611</v>
      </c>
      <c r="C153" s="934"/>
      <c r="D153" s="934">
        <f t="shared" ref="D153:U153" si="763">C157</f>
        <v>10</v>
      </c>
      <c r="E153" s="934">
        <f t="shared" si="763"/>
        <v>15</v>
      </c>
      <c r="F153" s="599">
        <f t="shared" si="763"/>
        <v>21</v>
      </c>
      <c r="G153" s="599">
        <f t="shared" si="763"/>
        <v>26</v>
      </c>
      <c r="H153" s="599">
        <f t="shared" si="763"/>
        <v>32</v>
      </c>
      <c r="I153" s="599">
        <f t="shared" si="763"/>
        <v>48</v>
      </c>
      <c r="J153" s="599">
        <f t="shared" si="763"/>
        <v>66</v>
      </c>
      <c r="K153" s="599">
        <f t="shared" si="763"/>
        <v>77</v>
      </c>
      <c r="L153" s="599">
        <f t="shared" si="763"/>
        <v>93</v>
      </c>
      <c r="M153" s="599">
        <f t="shared" si="763"/>
        <v>109</v>
      </c>
      <c r="N153" s="599">
        <f t="shared" si="763"/>
        <v>131</v>
      </c>
      <c r="O153" s="599">
        <f t="shared" si="763"/>
        <v>144</v>
      </c>
      <c r="P153" s="599">
        <f t="shared" si="763"/>
        <v>155</v>
      </c>
      <c r="Q153" s="599">
        <f t="shared" si="763"/>
        <v>156</v>
      </c>
      <c r="R153" s="599">
        <f t="shared" si="763"/>
        <v>147</v>
      </c>
      <c r="S153" s="599">
        <f t="shared" si="763"/>
        <v>133</v>
      </c>
      <c r="T153" s="599">
        <f t="shared" si="763"/>
        <v>124</v>
      </c>
      <c r="U153" s="599">
        <f t="shared" si="763"/>
        <v>126</v>
      </c>
      <c r="V153" s="599">
        <f>CN157</f>
        <v>134</v>
      </c>
      <c r="W153" s="599">
        <f>V157</f>
        <v>138</v>
      </c>
      <c r="X153" s="599">
        <f>U157</f>
        <v>134</v>
      </c>
      <c r="Y153" s="599">
        <f>W157</f>
        <v>138</v>
      </c>
      <c r="Z153" s="599">
        <f>Y157</f>
        <v>141</v>
      </c>
      <c r="AA153" s="599">
        <f>X157</f>
        <v>138</v>
      </c>
      <c r="AB153" s="599">
        <f>Z157</f>
        <v>138</v>
      </c>
      <c r="AC153" s="599">
        <f>AB157</f>
        <v>138</v>
      </c>
      <c r="AD153" s="600">
        <v>138</v>
      </c>
      <c r="AE153" s="599">
        <f>AD157</f>
        <v>137</v>
      </c>
      <c r="AF153" s="599">
        <f>AE157</f>
        <v>138</v>
      </c>
      <c r="AG153" s="599">
        <f>AD157</f>
        <v>137</v>
      </c>
      <c r="AH153" s="599">
        <f>AG157</f>
        <v>139</v>
      </c>
      <c r="AI153" s="670">
        <f t="shared" ref="AI153" si="764">AH157</f>
        <v>141</v>
      </c>
      <c r="AJ153" s="599">
        <f>AG157</f>
        <v>139</v>
      </c>
      <c r="AK153" s="670">
        <f>AJ157</f>
        <v>140</v>
      </c>
      <c r="AL153" s="670">
        <f t="shared" ref="AL153" si="765">AK157</f>
        <v>139</v>
      </c>
      <c r="AM153" s="599">
        <f>AJ157</f>
        <v>140</v>
      </c>
      <c r="AN153" s="670">
        <f>AM157</f>
        <v>141</v>
      </c>
      <c r="AO153" s="670">
        <f>AN157</f>
        <v>142</v>
      </c>
      <c r="AP153" s="1706">
        <f>AM157</f>
        <v>141</v>
      </c>
      <c r="AQ153" s="1602">
        <f t="shared" ref="AQ153" si="766">AP157</f>
        <v>142</v>
      </c>
      <c r="AR153" s="670">
        <f t="shared" ref="AR153" si="767">AQ157</f>
        <v>144</v>
      </c>
      <c r="AS153" s="670">
        <f>AP157</f>
        <v>142</v>
      </c>
      <c r="AT153" s="670">
        <f>AS157</f>
        <v>145</v>
      </c>
      <c r="AU153" s="670">
        <f t="shared" ref="AU153" si="768">AT157</f>
        <v>146</v>
      </c>
      <c r="AV153" s="670">
        <f t="shared" ref="AV153" si="769">AS157</f>
        <v>145</v>
      </c>
      <c r="AW153" s="670">
        <f>AV157</f>
        <v>146</v>
      </c>
      <c r="AX153" s="670">
        <f t="shared" ref="AX153" si="770">AW157</f>
        <v>147</v>
      </c>
      <c r="AY153" s="670">
        <f t="shared" ref="AY153" si="771">AV157</f>
        <v>146</v>
      </c>
      <c r="AZ153" s="670">
        <f t="shared" ref="AZ153" si="772">AY157</f>
        <v>147</v>
      </c>
      <c r="BA153" s="670">
        <f t="shared" ref="BA153" si="773">AZ157</f>
        <v>148</v>
      </c>
      <c r="BB153" s="670">
        <f t="shared" ref="BB153" si="774">AY157</f>
        <v>147</v>
      </c>
      <c r="BC153" s="675"/>
      <c r="BD153" s="399"/>
      <c r="BE153" s="399"/>
      <c r="BF153" s="399"/>
      <c r="BG153" s="399"/>
      <c r="BH153" s="378"/>
      <c r="BI153" s="379"/>
      <c r="BJ153" s="379"/>
      <c r="BK153" s="459"/>
      <c r="BL153" s="459">
        <f t="shared" ref="BL153:CN153" si="775">BK157</f>
        <v>30</v>
      </c>
      <c r="BM153" s="459">
        <f t="shared" si="775"/>
        <v>32</v>
      </c>
      <c r="BN153" s="459">
        <f t="shared" si="775"/>
        <v>44</v>
      </c>
      <c r="BO153" s="459">
        <f t="shared" si="775"/>
        <v>48</v>
      </c>
      <c r="BP153" s="459">
        <f t="shared" si="775"/>
        <v>60</v>
      </c>
      <c r="BQ153" s="459">
        <f t="shared" si="775"/>
        <v>66</v>
      </c>
      <c r="BR153" s="459">
        <f t="shared" si="775"/>
        <v>72</v>
      </c>
      <c r="BS153" s="459">
        <f t="shared" si="775"/>
        <v>77</v>
      </c>
      <c r="BT153" s="459">
        <f t="shared" si="775"/>
        <v>89</v>
      </c>
      <c r="BU153" s="459">
        <f t="shared" si="775"/>
        <v>93</v>
      </c>
      <c r="BV153" s="459">
        <f t="shared" si="775"/>
        <v>105</v>
      </c>
      <c r="BW153" s="459">
        <f t="shared" si="775"/>
        <v>121</v>
      </c>
      <c r="BX153" s="459">
        <f t="shared" si="775"/>
        <v>124</v>
      </c>
      <c r="BY153" s="459">
        <f t="shared" si="775"/>
        <v>131</v>
      </c>
      <c r="BZ153" s="459">
        <f t="shared" si="775"/>
        <v>134</v>
      </c>
      <c r="CA153" s="459">
        <f t="shared" si="775"/>
        <v>144</v>
      </c>
      <c r="CB153" s="459">
        <f t="shared" si="775"/>
        <v>152</v>
      </c>
      <c r="CC153" s="459">
        <f t="shared" si="775"/>
        <v>155</v>
      </c>
      <c r="CD153" s="459">
        <f t="shared" si="775"/>
        <v>163</v>
      </c>
      <c r="CE153" s="459">
        <f t="shared" si="775"/>
        <v>156</v>
      </c>
      <c r="CF153" s="459">
        <f t="shared" si="775"/>
        <v>153</v>
      </c>
      <c r="CG153" s="459">
        <f t="shared" si="775"/>
        <v>147</v>
      </c>
      <c r="CH153" s="459">
        <f t="shared" si="775"/>
        <v>133</v>
      </c>
      <c r="CI153" s="459">
        <f t="shared" si="775"/>
        <v>133</v>
      </c>
      <c r="CJ153" s="459">
        <f t="shared" si="775"/>
        <v>127</v>
      </c>
      <c r="CK153" s="459">
        <f t="shared" si="775"/>
        <v>124</v>
      </c>
      <c r="CL153" s="459">
        <f t="shared" si="775"/>
        <v>124</v>
      </c>
      <c r="CM153" s="459">
        <f t="shared" si="775"/>
        <v>126</v>
      </c>
      <c r="CN153" s="459">
        <f t="shared" si="775"/>
        <v>133</v>
      </c>
    </row>
    <row r="154" spans="1:92" outlineLevel="1">
      <c r="A154" s="170"/>
      <c r="B154" s="904" t="s">
        <v>450</v>
      </c>
      <c r="C154" s="1009"/>
      <c r="D154" s="1017">
        <v>5</v>
      </c>
      <c r="E154" s="600">
        <v>6</v>
      </c>
      <c r="F154" s="600">
        <v>5</v>
      </c>
      <c r="G154" s="1017">
        <v>6</v>
      </c>
      <c r="H154" s="600">
        <v>16</v>
      </c>
      <c r="I154" s="1017">
        <v>18</v>
      </c>
      <c r="J154" s="600">
        <v>12</v>
      </c>
      <c r="K154" s="600">
        <v>16</v>
      </c>
      <c r="L154" s="600">
        <v>16</v>
      </c>
      <c r="M154" s="600">
        <v>22</v>
      </c>
      <c r="N154" s="600">
        <v>19</v>
      </c>
      <c r="O154" s="600">
        <v>15</v>
      </c>
      <c r="P154" s="600">
        <v>13</v>
      </c>
      <c r="Q154" s="600">
        <v>7</v>
      </c>
      <c r="R154" s="600">
        <v>1</v>
      </c>
      <c r="S154" s="600">
        <v>3</v>
      </c>
      <c r="T154" s="600">
        <v>2</v>
      </c>
      <c r="U154" s="600">
        <v>8</v>
      </c>
      <c r="V154" s="600">
        <v>4</v>
      </c>
      <c r="W154" s="596">
        <f>X154-V154</f>
        <v>1</v>
      </c>
      <c r="X154" s="600">
        <v>5</v>
      </c>
      <c r="Y154" s="600">
        <v>3</v>
      </c>
      <c r="Z154" s="596">
        <f>AA154-Y154</f>
        <v>-1</v>
      </c>
      <c r="AA154" s="600">
        <v>2</v>
      </c>
      <c r="AB154" s="600">
        <f>ROUND(AD154/2,0)</f>
        <v>1</v>
      </c>
      <c r="AC154" s="596">
        <f>AD154-AB154</f>
        <v>0</v>
      </c>
      <c r="AD154" s="1018">
        <v>1</v>
      </c>
      <c r="AE154" s="600">
        <f>ROUND(AG154/2,0)</f>
        <v>1</v>
      </c>
      <c r="AF154" s="596">
        <f>AG154-AE154</f>
        <v>1</v>
      </c>
      <c r="AG154" s="1128">
        <v>2</v>
      </c>
      <c r="AH154" s="601">
        <v>2</v>
      </c>
      <c r="AI154" s="669">
        <f>AJ154-AH154</f>
        <v>0</v>
      </c>
      <c r="AJ154" s="601">
        <v>2</v>
      </c>
      <c r="AK154" s="1259">
        <v>2</v>
      </c>
      <c r="AL154" s="675">
        <v>0</v>
      </c>
      <c r="AM154" s="601">
        <v>4</v>
      </c>
      <c r="AN154" s="1920">
        <v>1</v>
      </c>
      <c r="AO154" s="1431">
        <v>1</v>
      </c>
      <c r="AP154" s="1259">
        <v>2</v>
      </c>
      <c r="AQ154" s="1603">
        <v>3</v>
      </c>
      <c r="AR154" s="1431">
        <v>1</v>
      </c>
      <c r="AS154" s="1365">
        <f>+AQ154+AR154</f>
        <v>4</v>
      </c>
      <c r="AT154" s="1430">
        <v>1</v>
      </c>
      <c r="AU154" s="1431">
        <v>0</v>
      </c>
      <c r="AV154" s="1365">
        <f>+AT154+AU154</f>
        <v>1</v>
      </c>
      <c r="AW154" s="1430">
        <v>1</v>
      </c>
      <c r="AX154" s="1431">
        <v>0</v>
      </c>
      <c r="AY154" s="1365">
        <f>+AW154+AX154</f>
        <v>1</v>
      </c>
      <c r="AZ154" s="1430">
        <v>1</v>
      </c>
      <c r="BA154" s="1431">
        <v>0</v>
      </c>
      <c r="BB154" s="1365">
        <f>+AZ154+BA154</f>
        <v>1</v>
      </c>
      <c r="BC154" s="671"/>
      <c r="BD154" s="400"/>
      <c r="BE154" s="400"/>
      <c r="BF154" s="400"/>
      <c r="BG154" s="400"/>
      <c r="BH154" s="378"/>
      <c r="BI154" s="379"/>
      <c r="BJ154" s="379"/>
      <c r="BK154" s="460"/>
      <c r="BL154" s="460">
        <v>2</v>
      </c>
      <c r="BM154" s="460">
        <v>12</v>
      </c>
      <c r="BN154" s="460">
        <v>4</v>
      </c>
      <c r="BO154" s="460">
        <v>12</v>
      </c>
      <c r="BP154" s="460">
        <v>6</v>
      </c>
      <c r="BQ154" s="460">
        <v>7</v>
      </c>
      <c r="BR154" s="460">
        <v>5</v>
      </c>
      <c r="BS154" s="460">
        <v>12</v>
      </c>
      <c r="BT154" s="460">
        <v>4</v>
      </c>
      <c r="BU154" s="460">
        <v>12</v>
      </c>
      <c r="BV154" s="460">
        <v>16</v>
      </c>
      <c r="BW154" s="460">
        <v>3</v>
      </c>
      <c r="BX154" s="460">
        <v>7</v>
      </c>
      <c r="BY154" s="460">
        <v>6</v>
      </c>
      <c r="BZ154" s="460">
        <v>13</v>
      </c>
      <c r="CA154" s="460">
        <v>10</v>
      </c>
      <c r="CB154" s="460">
        <v>5</v>
      </c>
      <c r="CC154" s="460">
        <v>11</v>
      </c>
      <c r="CD154" s="402">
        <f>P154-CC154</f>
        <v>2</v>
      </c>
      <c r="CE154" s="460">
        <v>5</v>
      </c>
      <c r="CF154" s="402">
        <f>Q154-CE154</f>
        <v>2</v>
      </c>
      <c r="CG154" s="460"/>
      <c r="CH154" s="402">
        <f>R154-CG154</f>
        <v>1</v>
      </c>
      <c r="CI154" s="460">
        <v>2</v>
      </c>
      <c r="CJ154" s="402">
        <f>S154-CI154</f>
        <v>1</v>
      </c>
      <c r="CK154" s="460">
        <v>0</v>
      </c>
      <c r="CL154" s="402">
        <v>2</v>
      </c>
      <c r="CM154" s="460">
        <v>7</v>
      </c>
      <c r="CN154" s="402">
        <f>U154-CM154</f>
        <v>1</v>
      </c>
    </row>
    <row r="155" spans="1:92" outlineLevel="1">
      <c r="A155" s="170"/>
      <c r="B155" s="904" t="s">
        <v>617</v>
      </c>
      <c r="C155" s="1009"/>
      <c r="D155" s="1006"/>
      <c r="E155" s="600"/>
      <c r="F155" s="600"/>
      <c r="G155" s="1006"/>
      <c r="H155" s="600"/>
      <c r="I155" s="1006"/>
      <c r="J155" s="600"/>
      <c r="K155" s="600"/>
      <c r="L155" s="600"/>
      <c r="M155" s="600"/>
      <c r="N155" s="1006"/>
      <c r="O155" s="1006"/>
      <c r="P155" s="600">
        <v>-8</v>
      </c>
      <c r="Q155" s="600">
        <v>-13</v>
      </c>
      <c r="R155" s="600">
        <v>-15</v>
      </c>
      <c r="S155" s="600">
        <v>-12</v>
      </c>
      <c r="T155" s="600">
        <v>0</v>
      </c>
      <c r="U155" s="600"/>
      <c r="V155" s="600"/>
      <c r="W155" s="596">
        <f>X155-V155</f>
        <v>1</v>
      </c>
      <c r="X155" s="600">
        <v>1</v>
      </c>
      <c r="Y155" s="600"/>
      <c r="Z155" s="596">
        <f>AA155-Y155</f>
        <v>0</v>
      </c>
      <c r="AA155" s="600"/>
      <c r="AB155" s="600">
        <v>0</v>
      </c>
      <c r="AC155" s="596">
        <f>AD155-AB155</f>
        <v>-1</v>
      </c>
      <c r="AD155" s="600">
        <v>-1</v>
      </c>
      <c r="AE155" s="600"/>
      <c r="AF155" s="596">
        <f>AG155-AE155</f>
        <v>0</v>
      </c>
      <c r="AG155" s="601"/>
      <c r="AH155" s="601">
        <v>1</v>
      </c>
      <c r="AI155" s="669">
        <f>AJ155-AH155</f>
        <v>0</v>
      </c>
      <c r="AJ155" s="601">
        <v>1</v>
      </c>
      <c r="AK155" s="1920">
        <v>-1</v>
      </c>
      <c r="AL155" s="675">
        <v>0</v>
      </c>
      <c r="AM155" s="601">
        <v>0</v>
      </c>
      <c r="AN155" s="1259">
        <v>0</v>
      </c>
      <c r="AO155" s="675">
        <v>0</v>
      </c>
      <c r="AP155" s="1259">
        <v>0</v>
      </c>
      <c r="AQ155" s="1739">
        <v>0</v>
      </c>
      <c r="AR155" s="675">
        <v>0</v>
      </c>
      <c r="AS155" s="1357">
        <f>+AQ155+AR155</f>
        <v>0</v>
      </c>
      <c r="AT155" s="682">
        <v>0</v>
      </c>
      <c r="AU155" s="675">
        <v>0</v>
      </c>
      <c r="AV155" s="1357">
        <f>+AT155+AU155</f>
        <v>0</v>
      </c>
      <c r="AW155" s="682">
        <v>0</v>
      </c>
      <c r="AX155" s="675">
        <v>0</v>
      </c>
      <c r="AY155" s="1357">
        <f>+AW155+AX155</f>
        <v>0</v>
      </c>
      <c r="AZ155" s="682">
        <v>0</v>
      </c>
      <c r="BA155" s="675">
        <v>0</v>
      </c>
      <c r="BB155" s="671">
        <f>+AZ155+BA155</f>
        <v>0</v>
      </c>
      <c r="BC155" s="671"/>
      <c r="BD155" s="400"/>
      <c r="BE155" s="400"/>
      <c r="BF155" s="400"/>
      <c r="BG155" s="400"/>
      <c r="BH155" s="378"/>
      <c r="BI155" s="379"/>
      <c r="BJ155" s="379"/>
      <c r="BK155" s="460"/>
      <c r="BL155" s="460"/>
      <c r="BM155" s="460"/>
      <c r="BN155" s="460"/>
      <c r="BO155" s="460"/>
      <c r="BP155" s="460"/>
      <c r="BQ155" s="460"/>
      <c r="BR155" s="460"/>
      <c r="BS155" s="460"/>
      <c r="BT155" s="460"/>
      <c r="BU155" s="460"/>
      <c r="BV155" s="460"/>
      <c r="BW155" s="460"/>
      <c r="BX155" s="460"/>
      <c r="BY155" s="460"/>
      <c r="BZ155" s="460"/>
      <c r="CA155" s="460"/>
      <c r="CB155" s="460"/>
      <c r="CC155" s="460"/>
      <c r="CD155" s="402">
        <f>P155-CC155</f>
        <v>-8</v>
      </c>
      <c r="CE155" s="460">
        <v>-7</v>
      </c>
      <c r="CF155" s="402">
        <f>Q155-CE155</f>
        <v>-6</v>
      </c>
      <c r="CG155" s="460">
        <v>-14</v>
      </c>
      <c r="CH155" s="402">
        <f>R155-CG155</f>
        <v>-1</v>
      </c>
      <c r="CI155" s="460">
        <v>-8</v>
      </c>
      <c r="CJ155" s="402">
        <f>S155-CI155</f>
        <v>-4</v>
      </c>
      <c r="CK155" s="460">
        <v>0</v>
      </c>
      <c r="CL155" s="460">
        <f>T155-CK155</f>
        <v>0</v>
      </c>
      <c r="CM155" s="460">
        <v>0</v>
      </c>
      <c r="CN155" s="460">
        <f>U155-CM155</f>
        <v>0</v>
      </c>
    </row>
    <row r="156" spans="1:92" outlineLevel="1">
      <c r="A156" s="170"/>
      <c r="B156" s="904" t="s">
        <v>451</v>
      </c>
      <c r="C156" s="1009"/>
      <c r="D156" s="600">
        <v>0</v>
      </c>
      <c r="E156" s="600">
        <v>0</v>
      </c>
      <c r="F156" s="600">
        <v>0</v>
      </c>
      <c r="G156" s="600">
        <v>0</v>
      </c>
      <c r="H156" s="600">
        <v>0</v>
      </c>
      <c r="I156" s="600">
        <v>0</v>
      </c>
      <c r="J156" s="600">
        <v>-1</v>
      </c>
      <c r="K156" s="600">
        <v>0</v>
      </c>
      <c r="L156" s="600">
        <v>0</v>
      </c>
      <c r="M156" s="600">
        <v>0</v>
      </c>
      <c r="N156" s="600">
        <v>-6</v>
      </c>
      <c r="O156" s="600">
        <v>-4</v>
      </c>
      <c r="P156" s="600">
        <v>-4</v>
      </c>
      <c r="Q156" s="600">
        <v>-3</v>
      </c>
      <c r="R156" s="600">
        <v>0</v>
      </c>
      <c r="S156" s="600">
        <v>0</v>
      </c>
      <c r="T156" s="600">
        <v>0</v>
      </c>
      <c r="U156" s="600"/>
      <c r="V156" s="600"/>
      <c r="W156" s="596">
        <f>X156-V156</f>
        <v>-2</v>
      </c>
      <c r="X156" s="600">
        <v>-2</v>
      </c>
      <c r="Y156" s="600"/>
      <c r="Z156" s="596">
        <f>AA156-Y156</f>
        <v>-4</v>
      </c>
      <c r="AA156" s="600">
        <v>-4</v>
      </c>
      <c r="AB156" s="600">
        <f>ROUND(AD156/2,0)</f>
        <v>-1</v>
      </c>
      <c r="AC156" s="596">
        <f>AD156-AB156</f>
        <v>0</v>
      </c>
      <c r="AD156" s="600">
        <v>-1</v>
      </c>
      <c r="AE156" s="600">
        <f>ROUND(AG156/2,0)</f>
        <v>0</v>
      </c>
      <c r="AF156" s="596">
        <f>AG156-AE156</f>
        <v>0</v>
      </c>
      <c r="AG156" s="601"/>
      <c r="AH156" s="601">
        <v>-1</v>
      </c>
      <c r="AI156" s="669">
        <f>AJ156-AH156</f>
        <v>-1</v>
      </c>
      <c r="AJ156" s="601">
        <v>-2</v>
      </c>
      <c r="AK156" s="1259">
        <v>-2</v>
      </c>
      <c r="AL156" s="675">
        <v>0</v>
      </c>
      <c r="AM156" s="1920">
        <v>-3</v>
      </c>
      <c r="AN156" s="1259">
        <v>0</v>
      </c>
      <c r="AO156" s="670">
        <v>0</v>
      </c>
      <c r="AP156" s="1920">
        <v>-1</v>
      </c>
      <c r="AQ156" s="1603">
        <v>-1</v>
      </c>
      <c r="AR156" s="670">
        <v>0</v>
      </c>
      <c r="AS156" s="673">
        <f>+AQ156+AR156</f>
        <v>-1</v>
      </c>
      <c r="AT156" s="673">
        <v>0</v>
      </c>
      <c r="AU156" s="670">
        <v>0</v>
      </c>
      <c r="AV156" s="673">
        <f>+AT156+AU156</f>
        <v>0</v>
      </c>
      <c r="AW156" s="673">
        <v>0</v>
      </c>
      <c r="AX156" s="670">
        <v>0</v>
      </c>
      <c r="AY156" s="673">
        <f>+AW156+AX156</f>
        <v>0</v>
      </c>
      <c r="AZ156" s="673">
        <v>0</v>
      </c>
      <c r="BA156" s="670">
        <v>0</v>
      </c>
      <c r="BB156" s="673">
        <f>+AZ156+BA156</f>
        <v>0</v>
      </c>
      <c r="BC156" s="682"/>
      <c r="BD156" s="401"/>
      <c r="BE156" s="401"/>
      <c r="BF156" s="401"/>
      <c r="BG156" s="401"/>
      <c r="BH156" s="378"/>
      <c r="BI156" s="379"/>
      <c r="BJ156" s="379"/>
      <c r="BK156" s="460"/>
      <c r="BL156" s="460"/>
      <c r="BM156" s="460"/>
      <c r="BN156" s="460"/>
      <c r="BO156" s="460"/>
      <c r="BP156" s="460"/>
      <c r="BQ156" s="460">
        <v>-1</v>
      </c>
      <c r="BR156" s="460"/>
      <c r="BS156" s="460"/>
      <c r="BT156" s="460"/>
      <c r="BU156" s="460"/>
      <c r="BV156" s="460"/>
      <c r="BW156" s="460"/>
      <c r="BX156" s="460"/>
      <c r="BY156" s="460">
        <v>-3</v>
      </c>
      <c r="BZ156" s="460">
        <v>-3</v>
      </c>
      <c r="CA156" s="460">
        <v>-2</v>
      </c>
      <c r="CB156" s="460">
        <v>-2</v>
      </c>
      <c r="CC156" s="460">
        <v>-3</v>
      </c>
      <c r="CD156" s="402">
        <f>P156-CC156</f>
        <v>-1</v>
      </c>
      <c r="CE156" s="460">
        <v>-1</v>
      </c>
      <c r="CF156" s="402">
        <f>Q156-CE156</f>
        <v>-2</v>
      </c>
      <c r="CG156" s="460"/>
      <c r="CH156" s="458"/>
      <c r="CI156" s="460">
        <v>0</v>
      </c>
      <c r="CJ156" s="458">
        <f>S156-CI156</f>
        <v>0</v>
      </c>
      <c r="CK156" s="460">
        <v>0</v>
      </c>
      <c r="CL156" s="460">
        <f>T156-CK156</f>
        <v>0</v>
      </c>
      <c r="CM156" s="460">
        <v>0</v>
      </c>
      <c r="CN156" s="460">
        <f>U156-CM156</f>
        <v>0</v>
      </c>
    </row>
    <row r="157" spans="1:92" outlineLevel="1">
      <c r="A157" s="170"/>
      <c r="B157" s="1019" t="s">
        <v>612</v>
      </c>
      <c r="C157" s="1020">
        <v>10</v>
      </c>
      <c r="D157" s="1020">
        <f t="shared" ref="D157:AD157" si="776">SUM(D153:D156)</f>
        <v>15</v>
      </c>
      <c r="E157" s="1020">
        <f t="shared" si="776"/>
        <v>21</v>
      </c>
      <c r="F157" s="269">
        <f t="shared" si="776"/>
        <v>26</v>
      </c>
      <c r="G157" s="269">
        <f t="shared" si="776"/>
        <v>32</v>
      </c>
      <c r="H157" s="269">
        <f t="shared" si="776"/>
        <v>48</v>
      </c>
      <c r="I157" s="269">
        <f t="shared" si="776"/>
        <v>66</v>
      </c>
      <c r="J157" s="269">
        <f t="shared" si="776"/>
        <v>77</v>
      </c>
      <c r="K157" s="269">
        <f t="shared" si="776"/>
        <v>93</v>
      </c>
      <c r="L157" s="269">
        <f t="shared" si="776"/>
        <v>109</v>
      </c>
      <c r="M157" s="269">
        <f t="shared" si="776"/>
        <v>131</v>
      </c>
      <c r="N157" s="269">
        <f t="shared" si="776"/>
        <v>144</v>
      </c>
      <c r="O157" s="269">
        <f t="shared" si="776"/>
        <v>155</v>
      </c>
      <c r="P157" s="269">
        <f t="shared" si="776"/>
        <v>156</v>
      </c>
      <c r="Q157" s="269">
        <f t="shared" si="776"/>
        <v>147</v>
      </c>
      <c r="R157" s="269">
        <f t="shared" si="776"/>
        <v>133</v>
      </c>
      <c r="S157" s="269">
        <f t="shared" si="776"/>
        <v>124</v>
      </c>
      <c r="T157" s="269">
        <f t="shared" si="776"/>
        <v>126</v>
      </c>
      <c r="U157" s="269">
        <f t="shared" si="776"/>
        <v>134</v>
      </c>
      <c r="V157" s="269">
        <f>SUM(V153:V156)</f>
        <v>138</v>
      </c>
      <c r="W157" s="269">
        <f>SUM(W153:W156)</f>
        <v>138</v>
      </c>
      <c r="X157" s="269">
        <f t="shared" si="776"/>
        <v>138</v>
      </c>
      <c r="Y157" s="269">
        <f>SUM(Y153:Y156)</f>
        <v>141</v>
      </c>
      <c r="Z157" s="269">
        <v>138</v>
      </c>
      <c r="AA157" s="269">
        <v>138</v>
      </c>
      <c r="AB157" s="269">
        <f>SUM(AB153:AB156)</f>
        <v>138</v>
      </c>
      <c r="AC157" s="269">
        <f>SUM(AC153:AC156)</f>
        <v>137</v>
      </c>
      <c r="AD157" s="269">
        <f t="shared" si="776"/>
        <v>137</v>
      </c>
      <c r="AE157" s="269">
        <f t="shared" ref="AE157" si="777">SUM(AE153:AE156)</f>
        <v>138</v>
      </c>
      <c r="AF157" s="269">
        <f>AG157</f>
        <v>139</v>
      </c>
      <c r="AG157" s="1129">
        <f t="shared" ref="AG157:AM157" si="778">SUM(AG153:AG156)</f>
        <v>139</v>
      </c>
      <c r="AH157" s="1200">
        <f>SUM(AH153:AH156)</f>
        <v>141</v>
      </c>
      <c r="AI157" s="674">
        <f>SUM(AI153:AI156)</f>
        <v>140</v>
      </c>
      <c r="AJ157" s="1200">
        <f t="shared" ref="AJ157" si="779">SUM(AJ153:AJ156)</f>
        <v>140</v>
      </c>
      <c r="AK157" s="1260">
        <f>SUM(AK153:AK156)</f>
        <v>139</v>
      </c>
      <c r="AL157" s="1260">
        <f t="shared" si="778"/>
        <v>139</v>
      </c>
      <c r="AM157" s="1587">
        <f t="shared" si="778"/>
        <v>141</v>
      </c>
      <c r="AN157" s="1618">
        <f>SUM(AN153:AN156)</f>
        <v>142</v>
      </c>
      <c r="AO157" s="674">
        <f t="shared" ref="AO157:AV157" si="780">SUM(AO153:AO156)</f>
        <v>143</v>
      </c>
      <c r="AP157" s="1618">
        <f t="shared" si="780"/>
        <v>142</v>
      </c>
      <c r="AQ157" s="1604">
        <f t="shared" si="780"/>
        <v>144</v>
      </c>
      <c r="AR157" s="674">
        <f t="shared" si="780"/>
        <v>145</v>
      </c>
      <c r="AS157" s="669">
        <f t="shared" si="780"/>
        <v>145</v>
      </c>
      <c r="AT157" s="674">
        <f t="shared" si="780"/>
        <v>146</v>
      </c>
      <c r="AU157" s="674">
        <f t="shared" si="780"/>
        <v>146</v>
      </c>
      <c r="AV157" s="669">
        <f t="shared" si="780"/>
        <v>146</v>
      </c>
      <c r="AW157" s="674">
        <f t="shared" ref="AW157:AY157" si="781">SUM(AW153:AW156)</f>
        <v>147</v>
      </c>
      <c r="AX157" s="674">
        <f t="shared" si="781"/>
        <v>147</v>
      </c>
      <c r="AY157" s="669">
        <f t="shared" si="781"/>
        <v>147</v>
      </c>
      <c r="AZ157" s="674">
        <f t="shared" ref="AZ157:BB157" si="782">SUM(AZ153:AZ156)</f>
        <v>148</v>
      </c>
      <c r="BA157" s="674">
        <f t="shared" si="782"/>
        <v>148</v>
      </c>
      <c r="BB157" s="669">
        <f t="shared" si="782"/>
        <v>148</v>
      </c>
      <c r="BC157" s="669"/>
      <c r="BD157" s="402"/>
      <c r="BE157" s="402"/>
      <c r="BF157" s="402"/>
      <c r="BG157" s="402"/>
      <c r="BH157" s="378"/>
      <c r="BI157" s="379"/>
      <c r="BJ157" s="379"/>
      <c r="BK157" s="461">
        <v>30</v>
      </c>
      <c r="BL157" s="461">
        <f t="shared" ref="BL157:CN157" si="783">SUM(BL153:BL156)</f>
        <v>32</v>
      </c>
      <c r="BM157" s="461">
        <f t="shared" si="783"/>
        <v>44</v>
      </c>
      <c r="BN157" s="461">
        <f t="shared" si="783"/>
        <v>48</v>
      </c>
      <c r="BO157" s="461">
        <f t="shared" si="783"/>
        <v>60</v>
      </c>
      <c r="BP157" s="461">
        <f t="shared" si="783"/>
        <v>66</v>
      </c>
      <c r="BQ157" s="461">
        <f t="shared" si="783"/>
        <v>72</v>
      </c>
      <c r="BR157" s="461">
        <f t="shared" si="783"/>
        <v>77</v>
      </c>
      <c r="BS157" s="461">
        <f t="shared" si="783"/>
        <v>89</v>
      </c>
      <c r="BT157" s="461">
        <f t="shared" si="783"/>
        <v>93</v>
      </c>
      <c r="BU157" s="461">
        <f t="shared" si="783"/>
        <v>105</v>
      </c>
      <c r="BV157" s="461">
        <f t="shared" si="783"/>
        <v>121</v>
      </c>
      <c r="BW157" s="461">
        <f t="shared" si="783"/>
        <v>124</v>
      </c>
      <c r="BX157" s="461">
        <f t="shared" si="783"/>
        <v>131</v>
      </c>
      <c r="BY157" s="461">
        <f t="shared" si="783"/>
        <v>134</v>
      </c>
      <c r="BZ157" s="461">
        <f t="shared" si="783"/>
        <v>144</v>
      </c>
      <c r="CA157" s="461">
        <f t="shared" si="783"/>
        <v>152</v>
      </c>
      <c r="CB157" s="461">
        <f t="shared" si="783"/>
        <v>155</v>
      </c>
      <c r="CC157" s="461">
        <f t="shared" si="783"/>
        <v>163</v>
      </c>
      <c r="CD157" s="461">
        <f t="shared" si="783"/>
        <v>156</v>
      </c>
      <c r="CE157" s="461">
        <f t="shared" si="783"/>
        <v>153</v>
      </c>
      <c r="CF157" s="461">
        <f t="shared" si="783"/>
        <v>147</v>
      </c>
      <c r="CG157" s="461">
        <f t="shared" si="783"/>
        <v>133</v>
      </c>
      <c r="CH157" s="461">
        <f t="shared" si="783"/>
        <v>133</v>
      </c>
      <c r="CI157" s="461">
        <f t="shared" si="783"/>
        <v>127</v>
      </c>
      <c r="CJ157" s="461">
        <f t="shared" si="783"/>
        <v>124</v>
      </c>
      <c r="CK157" s="461">
        <f t="shared" si="783"/>
        <v>124</v>
      </c>
      <c r="CL157" s="461">
        <f t="shared" si="783"/>
        <v>126</v>
      </c>
      <c r="CM157" s="461">
        <f t="shared" si="783"/>
        <v>133</v>
      </c>
      <c r="CN157" s="461">
        <f t="shared" si="783"/>
        <v>134</v>
      </c>
    </row>
    <row r="158" spans="1:92" ht="3" customHeight="1" outlineLevel="1">
      <c r="A158" s="170"/>
      <c r="B158" s="904"/>
      <c r="C158" s="1021"/>
      <c r="D158" s="1021"/>
      <c r="E158" s="1021"/>
      <c r="F158" s="262"/>
      <c r="G158" s="262"/>
      <c r="H158" s="262"/>
      <c r="I158" s="607"/>
      <c r="J158" s="607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2"/>
      <c r="AG158" s="262"/>
      <c r="AH158" s="262"/>
      <c r="AI158" s="675"/>
      <c r="AJ158" s="262"/>
      <c r="AK158" s="675"/>
      <c r="AL158" s="675"/>
      <c r="AM158" s="262"/>
      <c r="AN158" s="675"/>
      <c r="AO158" s="675"/>
      <c r="AP158" s="675"/>
      <c r="AQ158" s="1601"/>
      <c r="AR158" s="675"/>
      <c r="AS158" s="676"/>
      <c r="AT158" s="675"/>
      <c r="AU158" s="675"/>
      <c r="AV158" s="676"/>
      <c r="AW158" s="675"/>
      <c r="AX158" s="675"/>
      <c r="AY158" s="676"/>
      <c r="AZ158" s="675"/>
      <c r="BA158" s="675"/>
      <c r="BB158" s="676"/>
      <c r="BC158" s="676"/>
      <c r="BD158" s="403"/>
      <c r="BE158" s="403"/>
      <c r="BF158" s="403"/>
      <c r="BG158" s="403"/>
      <c r="BH158" s="378"/>
      <c r="BI158" s="379"/>
      <c r="BJ158" s="379"/>
      <c r="BK158" s="399"/>
      <c r="BL158" s="399"/>
      <c r="BM158" s="399"/>
      <c r="BN158" s="399"/>
      <c r="BO158" s="399"/>
      <c r="BP158" s="399"/>
      <c r="BQ158" s="399"/>
      <c r="BR158" s="399"/>
      <c r="BS158" s="399"/>
      <c r="BT158" s="399"/>
      <c r="BU158" s="399"/>
      <c r="BV158" s="399"/>
      <c r="BW158" s="399"/>
      <c r="BX158" s="399"/>
      <c r="BY158" s="399"/>
      <c r="BZ158" s="399"/>
      <c r="CA158" s="399"/>
      <c r="CB158" s="399"/>
      <c r="CC158" s="399"/>
      <c r="CD158" s="399"/>
      <c r="CE158" s="399"/>
      <c r="CF158" s="399"/>
      <c r="CG158" s="399"/>
      <c r="CH158" s="399"/>
      <c r="CI158" s="399"/>
      <c r="CJ158" s="399"/>
      <c r="CK158" s="399"/>
      <c r="CL158" s="399"/>
      <c r="CM158" s="399"/>
      <c r="CN158" s="399"/>
    </row>
    <row r="159" spans="1:92" outlineLevel="1">
      <c r="A159" s="170"/>
      <c r="B159" s="1022" t="s">
        <v>613</v>
      </c>
      <c r="C159" s="1023"/>
      <c r="D159" s="1023"/>
      <c r="E159" s="1023"/>
      <c r="F159" s="599"/>
      <c r="G159" s="599"/>
      <c r="H159" s="599"/>
      <c r="I159" s="599"/>
      <c r="J159" s="599"/>
      <c r="K159" s="599"/>
      <c r="L159" s="599"/>
      <c r="M159" s="599"/>
      <c r="N159" s="599"/>
      <c r="O159" s="599"/>
      <c r="P159" s="599"/>
      <c r="Q159" s="599">
        <f t="shared" ref="Q159:U159" si="784">P163</f>
        <v>8</v>
      </c>
      <c r="R159" s="599">
        <f t="shared" si="784"/>
        <v>22</v>
      </c>
      <c r="S159" s="599">
        <f t="shared" si="784"/>
        <v>40</v>
      </c>
      <c r="T159" s="599">
        <f t="shared" si="784"/>
        <v>55</v>
      </c>
      <c r="U159" s="599">
        <f t="shared" si="784"/>
        <v>59</v>
      </c>
      <c r="V159" s="599">
        <f>CM163</f>
        <v>59</v>
      </c>
      <c r="W159" s="599">
        <f>V163</f>
        <v>59</v>
      </c>
      <c r="X159" s="599">
        <f>U163</f>
        <v>59</v>
      </c>
      <c r="Y159" s="599">
        <f>W163</f>
        <v>58</v>
      </c>
      <c r="Z159" s="599">
        <f>Y163</f>
        <v>58</v>
      </c>
      <c r="AA159" s="599">
        <f>X163</f>
        <v>58</v>
      </c>
      <c r="AB159" s="599">
        <f>Z163</f>
        <v>59</v>
      </c>
      <c r="AC159" s="599">
        <f>AB163</f>
        <v>59</v>
      </c>
      <c r="AD159" s="599">
        <f>AA163</f>
        <v>59</v>
      </c>
      <c r="AE159" s="599">
        <f>AC163</f>
        <v>60</v>
      </c>
      <c r="AF159" s="599">
        <f>AE163</f>
        <v>60</v>
      </c>
      <c r="AG159" s="599">
        <f>AD163</f>
        <v>60</v>
      </c>
      <c r="AH159" s="599">
        <f>AG163</f>
        <v>60</v>
      </c>
      <c r="AI159" s="670">
        <f>AH163</f>
        <v>61</v>
      </c>
      <c r="AJ159" s="599">
        <f>AG163</f>
        <v>60</v>
      </c>
      <c r="AK159" s="670">
        <f>AJ163</f>
        <v>62</v>
      </c>
      <c r="AL159" s="670">
        <f t="shared" ref="AL159" si="785">AK163</f>
        <v>65</v>
      </c>
      <c r="AM159" s="599">
        <f>AJ163</f>
        <v>62</v>
      </c>
      <c r="AN159" s="670">
        <f>AM163</f>
        <v>64</v>
      </c>
      <c r="AO159" s="670">
        <f>AN163</f>
        <v>64</v>
      </c>
      <c r="AP159" s="1706">
        <f>AM163</f>
        <v>64</v>
      </c>
      <c r="AQ159" s="1602">
        <f t="shared" ref="AQ159:AR159" si="786">AP163</f>
        <v>64</v>
      </c>
      <c r="AR159" s="670">
        <f t="shared" si="786"/>
        <v>64</v>
      </c>
      <c r="AS159" s="670">
        <f t="shared" ref="AS159" si="787">AP163</f>
        <v>64</v>
      </c>
      <c r="AT159" s="670">
        <f t="shared" ref="AT159:AU159" si="788">AS163</f>
        <v>64</v>
      </c>
      <c r="AU159" s="670">
        <f t="shared" si="788"/>
        <v>64</v>
      </c>
      <c r="AV159" s="670">
        <f t="shared" ref="AV159" si="789">AS163</f>
        <v>64</v>
      </c>
      <c r="AW159" s="670">
        <f t="shared" ref="AW159" si="790">AV163</f>
        <v>64</v>
      </c>
      <c r="AX159" s="670">
        <f t="shared" ref="AX159" si="791">AW163</f>
        <v>64</v>
      </c>
      <c r="AY159" s="670">
        <f t="shared" ref="AY159" si="792">AV163</f>
        <v>64</v>
      </c>
      <c r="AZ159" s="670">
        <f t="shared" ref="AZ159" si="793">AY163</f>
        <v>64</v>
      </c>
      <c r="BA159" s="670">
        <f t="shared" ref="BA159" si="794">AZ163</f>
        <v>64</v>
      </c>
      <c r="BB159" s="670">
        <f t="shared" ref="BB159" si="795">AY163</f>
        <v>64</v>
      </c>
      <c r="BC159" s="675"/>
      <c r="BD159" s="399"/>
      <c r="BE159" s="399"/>
      <c r="BF159" s="399"/>
      <c r="BG159" s="399"/>
      <c r="BH159" s="378"/>
      <c r="BI159" s="379"/>
      <c r="BJ159" s="379"/>
      <c r="BK159" s="459"/>
      <c r="BL159" s="459"/>
      <c r="BM159" s="459"/>
      <c r="BN159" s="459"/>
      <c r="BO159" s="459"/>
      <c r="BP159" s="459"/>
      <c r="BQ159" s="459"/>
      <c r="BR159" s="459"/>
      <c r="BS159" s="459"/>
      <c r="BT159" s="459"/>
      <c r="BU159" s="459"/>
      <c r="BV159" s="459"/>
      <c r="BW159" s="459"/>
      <c r="BX159" s="459"/>
      <c r="BY159" s="459"/>
      <c r="BZ159" s="459"/>
      <c r="CA159" s="459"/>
      <c r="CB159" s="459">
        <f t="shared" ref="CB159:CN159" si="796">CA163</f>
        <v>0</v>
      </c>
      <c r="CC159" s="459">
        <f t="shared" si="796"/>
        <v>0</v>
      </c>
      <c r="CD159" s="459">
        <f t="shared" si="796"/>
        <v>0</v>
      </c>
      <c r="CE159" s="459">
        <f t="shared" si="796"/>
        <v>8</v>
      </c>
      <c r="CF159" s="459">
        <f t="shared" si="796"/>
        <v>16</v>
      </c>
      <c r="CG159" s="459">
        <f t="shared" si="796"/>
        <v>22</v>
      </c>
      <c r="CH159" s="459">
        <f t="shared" si="796"/>
        <v>38</v>
      </c>
      <c r="CI159" s="459">
        <f t="shared" si="796"/>
        <v>40</v>
      </c>
      <c r="CJ159" s="459">
        <f t="shared" si="796"/>
        <v>52</v>
      </c>
      <c r="CK159" s="459">
        <f t="shared" si="796"/>
        <v>55</v>
      </c>
      <c r="CL159" s="459">
        <f t="shared" si="796"/>
        <v>59</v>
      </c>
      <c r="CM159" s="459">
        <f t="shared" si="796"/>
        <v>59</v>
      </c>
      <c r="CN159" s="459">
        <f t="shared" si="796"/>
        <v>59</v>
      </c>
    </row>
    <row r="160" spans="1:92" outlineLevel="1">
      <c r="A160" s="170"/>
      <c r="B160" s="904" t="s">
        <v>450</v>
      </c>
      <c r="C160" s="1021"/>
      <c r="D160" s="1021"/>
      <c r="E160" s="1021"/>
      <c r="F160" s="262"/>
      <c r="G160" s="262"/>
      <c r="H160" s="262"/>
      <c r="I160" s="601"/>
      <c r="J160" s="601"/>
      <c r="K160" s="601"/>
      <c r="L160" s="601"/>
      <c r="M160" s="601"/>
      <c r="N160" s="601"/>
      <c r="O160" s="601"/>
      <c r="P160" s="601"/>
      <c r="Q160" s="601">
        <v>1</v>
      </c>
      <c r="R160" s="601">
        <v>3</v>
      </c>
      <c r="S160" s="601">
        <v>5</v>
      </c>
      <c r="T160" s="601">
        <v>4</v>
      </c>
      <c r="U160" s="601">
        <v>0</v>
      </c>
      <c r="V160" s="600">
        <v>0</v>
      </c>
      <c r="W160" s="600">
        <f>X160-V160</f>
        <v>0</v>
      </c>
      <c r="X160" s="601">
        <v>0</v>
      </c>
      <c r="Y160" s="600">
        <v>0</v>
      </c>
      <c r="Z160" s="600">
        <f>AA160-Y160</f>
        <v>1</v>
      </c>
      <c r="AA160" s="601">
        <v>1</v>
      </c>
      <c r="AB160" s="600">
        <f>ROUND(AD160/2,0)</f>
        <v>0</v>
      </c>
      <c r="AC160" s="600">
        <f>AD160-AB160</f>
        <v>0</v>
      </c>
      <c r="AD160" s="601">
        <v>0</v>
      </c>
      <c r="AE160" s="600">
        <f>ROUND(AG160/2,0)</f>
        <v>0</v>
      </c>
      <c r="AF160" s="600">
        <f>AG160-AE160</f>
        <v>0</v>
      </c>
      <c r="AG160" s="601">
        <v>0</v>
      </c>
      <c r="AH160" s="601">
        <v>2</v>
      </c>
      <c r="AI160" s="669">
        <f>AJ160-AH160</f>
        <v>1</v>
      </c>
      <c r="AJ160" s="601">
        <v>3</v>
      </c>
      <c r="AK160" s="1259">
        <v>2</v>
      </c>
      <c r="AL160" s="675">
        <v>0</v>
      </c>
      <c r="AM160" s="1920">
        <v>2</v>
      </c>
      <c r="AN160" s="1259">
        <v>0</v>
      </c>
      <c r="AO160" s="669">
        <f>AP160-AN160</f>
        <v>0</v>
      </c>
      <c r="AP160" s="1920">
        <v>0</v>
      </c>
      <c r="AQ160" s="1739">
        <v>0</v>
      </c>
      <c r="AR160" s="669">
        <f t="shared" ref="AR160" si="797">AS160-AQ160</f>
        <v>0</v>
      </c>
      <c r="AS160" s="671">
        <v>0</v>
      </c>
      <c r="AT160" s="672">
        <v>0</v>
      </c>
      <c r="AU160" s="669">
        <f t="shared" ref="AU160" si="798">AV160-AT160</f>
        <v>0</v>
      </c>
      <c r="AV160" s="671">
        <v>0</v>
      </c>
      <c r="AW160" s="672">
        <v>0</v>
      </c>
      <c r="AX160" s="669">
        <f t="shared" ref="AX160:AX162" si="799">AY160-AW160</f>
        <v>0</v>
      </c>
      <c r="AY160" s="671">
        <v>0</v>
      </c>
      <c r="AZ160" s="672">
        <v>0</v>
      </c>
      <c r="BA160" s="669">
        <f t="shared" ref="BA160:BA162" si="800">BB160-AZ160</f>
        <v>0</v>
      </c>
      <c r="BB160" s="671">
        <v>0</v>
      </c>
      <c r="BC160" s="671"/>
      <c r="BD160" s="400"/>
      <c r="BE160" s="400"/>
      <c r="BF160" s="400"/>
      <c r="BG160" s="400"/>
      <c r="BH160" s="378"/>
      <c r="BI160" s="379"/>
      <c r="BJ160" s="379"/>
      <c r="BK160" s="399"/>
      <c r="BL160" s="399"/>
      <c r="BM160" s="399"/>
      <c r="BN160" s="399"/>
      <c r="BO160" s="399"/>
      <c r="BP160" s="399"/>
      <c r="BQ160" s="399"/>
      <c r="BR160" s="399"/>
      <c r="BS160" s="399"/>
      <c r="BT160" s="399"/>
      <c r="BU160" s="399"/>
      <c r="BV160" s="399"/>
      <c r="BW160" s="399"/>
      <c r="BX160" s="399"/>
      <c r="BY160" s="399"/>
      <c r="BZ160" s="399"/>
      <c r="CA160" s="399"/>
      <c r="CB160" s="399"/>
      <c r="CC160" s="399"/>
      <c r="CD160" s="399"/>
      <c r="CE160" s="399">
        <v>1</v>
      </c>
      <c r="CF160" s="399">
        <f>Q160-CE160</f>
        <v>0</v>
      </c>
      <c r="CG160" s="460">
        <v>2</v>
      </c>
      <c r="CH160" s="402">
        <f>R160-CG160</f>
        <v>1</v>
      </c>
      <c r="CI160" s="460">
        <v>4</v>
      </c>
      <c r="CJ160" s="402">
        <v>0</v>
      </c>
      <c r="CK160" s="460">
        <v>4</v>
      </c>
      <c r="CL160" s="460">
        <v>0</v>
      </c>
      <c r="CM160" s="460">
        <v>0</v>
      </c>
      <c r="CN160" s="460">
        <f>U160-CM160</f>
        <v>0</v>
      </c>
    </row>
    <row r="161" spans="1:92" outlineLevel="1">
      <c r="A161" s="170"/>
      <c r="B161" s="904" t="s">
        <v>617</v>
      </c>
      <c r="C161" s="1021"/>
      <c r="D161" s="1021"/>
      <c r="E161" s="1021"/>
      <c r="F161" s="262"/>
      <c r="G161" s="262"/>
      <c r="H161" s="262"/>
      <c r="I161" s="601"/>
      <c r="J161" s="601"/>
      <c r="K161" s="601"/>
      <c r="L161" s="601"/>
      <c r="M161" s="601"/>
      <c r="N161" s="601"/>
      <c r="O161" s="601"/>
      <c r="P161" s="601">
        <v>8</v>
      </c>
      <c r="Q161" s="601">
        <v>13</v>
      </c>
      <c r="R161" s="601">
        <v>15</v>
      </c>
      <c r="S161" s="601">
        <f>-S155</f>
        <v>12</v>
      </c>
      <c r="T161" s="601">
        <v>0</v>
      </c>
      <c r="U161" s="601">
        <f t="shared" ref="U161:AG161" si="801">-U155</f>
        <v>0</v>
      </c>
      <c r="V161" s="600">
        <f>-V155</f>
        <v>0</v>
      </c>
      <c r="W161" s="596">
        <f>X161-V161</f>
        <v>-1</v>
      </c>
      <c r="X161" s="601">
        <f t="shared" si="801"/>
        <v>-1</v>
      </c>
      <c r="Y161" s="600">
        <f>-Y155</f>
        <v>0</v>
      </c>
      <c r="Z161" s="596">
        <f>AA161-Y161</f>
        <v>0</v>
      </c>
      <c r="AA161" s="601">
        <f t="shared" si="801"/>
        <v>0</v>
      </c>
      <c r="AB161" s="600"/>
      <c r="AC161" s="596">
        <v>1</v>
      </c>
      <c r="AD161" s="601">
        <v>1</v>
      </c>
      <c r="AE161" s="600"/>
      <c r="AF161" s="596"/>
      <c r="AG161" s="601">
        <f t="shared" si="801"/>
        <v>0</v>
      </c>
      <c r="AH161" s="601">
        <v>-1</v>
      </c>
      <c r="AI161" s="669">
        <f>AJ161-AH161</f>
        <v>0</v>
      </c>
      <c r="AJ161" s="601">
        <f>-AJ155</f>
        <v>-1</v>
      </c>
      <c r="AK161" s="1920">
        <v>1</v>
      </c>
      <c r="AL161" s="675">
        <v>0</v>
      </c>
      <c r="AM161" s="601">
        <f t="shared" ref="AM161" si="802">-AM155</f>
        <v>0</v>
      </c>
      <c r="AN161" s="1259">
        <v>0</v>
      </c>
      <c r="AO161" s="669">
        <f>AP161-AN161</f>
        <v>0</v>
      </c>
      <c r="AP161" s="601">
        <f t="shared" ref="AP161" si="803">-AP155</f>
        <v>0</v>
      </c>
      <c r="AQ161" s="1739">
        <v>0</v>
      </c>
      <c r="AR161" s="669">
        <f t="shared" ref="AR161" si="804">AS161-AQ161</f>
        <v>0</v>
      </c>
      <c r="AS161" s="671">
        <f t="shared" ref="AS161" si="805">-AS155</f>
        <v>0</v>
      </c>
      <c r="AT161" s="672">
        <v>0</v>
      </c>
      <c r="AU161" s="669">
        <f t="shared" ref="AU161" si="806">AV161-AT161</f>
        <v>0</v>
      </c>
      <c r="AV161" s="671">
        <f t="shared" ref="AV161" si="807">-AV155</f>
        <v>0</v>
      </c>
      <c r="AW161" s="672">
        <v>0</v>
      </c>
      <c r="AX161" s="669">
        <f t="shared" si="799"/>
        <v>0</v>
      </c>
      <c r="AY161" s="671">
        <f t="shared" ref="AY161" si="808">-AY155</f>
        <v>0</v>
      </c>
      <c r="AZ161" s="672">
        <v>0</v>
      </c>
      <c r="BA161" s="669">
        <f t="shared" si="800"/>
        <v>0</v>
      </c>
      <c r="BB161" s="671">
        <f t="shared" ref="BB161" si="809">-BB155</f>
        <v>0</v>
      </c>
      <c r="BC161" s="671"/>
      <c r="BD161" s="400"/>
      <c r="BE161" s="400"/>
      <c r="BF161" s="400"/>
      <c r="BG161" s="400"/>
      <c r="BH161" s="378"/>
      <c r="BI161" s="379"/>
      <c r="BJ161" s="379"/>
      <c r="BK161" s="399"/>
      <c r="BL161" s="399"/>
      <c r="BM161" s="399"/>
      <c r="BN161" s="399"/>
      <c r="BO161" s="399"/>
      <c r="BP161" s="399"/>
      <c r="BQ161" s="399"/>
      <c r="BR161" s="399"/>
      <c r="BS161" s="399"/>
      <c r="BT161" s="399"/>
      <c r="BU161" s="399"/>
      <c r="BV161" s="399"/>
      <c r="BW161" s="399"/>
      <c r="BX161" s="399"/>
      <c r="BY161" s="399"/>
      <c r="BZ161" s="399"/>
      <c r="CA161" s="399"/>
      <c r="CB161" s="399"/>
      <c r="CC161" s="399"/>
      <c r="CD161" s="399">
        <v>8</v>
      </c>
      <c r="CE161" s="399">
        <v>7</v>
      </c>
      <c r="CF161" s="399">
        <v>6</v>
      </c>
      <c r="CG161" s="460">
        <v>14</v>
      </c>
      <c r="CH161" s="402">
        <f>R161-CG161</f>
        <v>1</v>
      </c>
      <c r="CI161" s="460">
        <f>-CI155</f>
        <v>8</v>
      </c>
      <c r="CJ161" s="402">
        <v>4</v>
      </c>
      <c r="CK161" s="460">
        <v>0</v>
      </c>
      <c r="CL161" s="460">
        <f>T161-CK161</f>
        <v>0</v>
      </c>
      <c r="CM161" s="460">
        <v>0</v>
      </c>
      <c r="CN161" s="460">
        <f>U161-CM161</f>
        <v>0</v>
      </c>
    </row>
    <row r="162" spans="1:92" outlineLevel="1">
      <c r="A162" s="170"/>
      <c r="B162" s="904" t="s">
        <v>609</v>
      </c>
      <c r="C162" s="1021"/>
      <c r="D162" s="1021"/>
      <c r="E162" s="1021"/>
      <c r="F162" s="262"/>
      <c r="G162" s="262"/>
      <c r="H162" s="262"/>
      <c r="I162" s="601"/>
      <c r="J162" s="601"/>
      <c r="K162" s="601"/>
      <c r="L162" s="601"/>
      <c r="M162" s="601"/>
      <c r="N162" s="601"/>
      <c r="O162" s="601"/>
      <c r="P162" s="601"/>
      <c r="Q162" s="601">
        <v>0</v>
      </c>
      <c r="R162" s="601"/>
      <c r="S162" s="601">
        <v>-2</v>
      </c>
      <c r="T162" s="601"/>
      <c r="U162" s="601"/>
      <c r="V162" s="601"/>
      <c r="W162" s="601"/>
      <c r="X162" s="601"/>
      <c r="Y162" s="601"/>
      <c r="Z162" s="601"/>
      <c r="AA162" s="601"/>
      <c r="AB162" s="601">
        <f>ROUND(AD162/2,0)</f>
        <v>0</v>
      </c>
      <c r="AC162" s="601">
        <f>AD162-AB162</f>
        <v>0</v>
      </c>
      <c r="AD162" s="601"/>
      <c r="AE162" s="601">
        <f>ROUND(AG162/2,0)</f>
        <v>0</v>
      </c>
      <c r="AF162" s="601">
        <f>AG162-AE162</f>
        <v>0</v>
      </c>
      <c r="AG162" s="601"/>
      <c r="AH162" s="601">
        <v>0</v>
      </c>
      <c r="AI162" s="669">
        <f>AJ162-AH162</f>
        <v>0</v>
      </c>
      <c r="AJ162" s="601">
        <v>0</v>
      </c>
      <c r="AK162" s="1259">
        <v>0</v>
      </c>
      <c r="AL162" s="675">
        <f t="shared" ref="AL162" si="810">AM162-AK162</f>
        <v>0</v>
      </c>
      <c r="AM162" s="601">
        <v>0</v>
      </c>
      <c r="AN162" s="1259">
        <v>0</v>
      </c>
      <c r="AO162" s="669">
        <f>AP162-AN162</f>
        <v>0</v>
      </c>
      <c r="AP162" s="601">
        <v>0</v>
      </c>
      <c r="AQ162" s="1739">
        <v>0</v>
      </c>
      <c r="AR162" s="669">
        <f t="shared" ref="AR162" si="811">AS162-AQ162</f>
        <v>0</v>
      </c>
      <c r="AS162" s="673">
        <v>0</v>
      </c>
      <c r="AT162" s="672">
        <v>0</v>
      </c>
      <c r="AU162" s="669">
        <f t="shared" ref="AU162" si="812">AV162-AT162</f>
        <v>0</v>
      </c>
      <c r="AV162" s="673">
        <v>0</v>
      </c>
      <c r="AW162" s="672">
        <v>0</v>
      </c>
      <c r="AX162" s="669">
        <f t="shared" si="799"/>
        <v>0</v>
      </c>
      <c r="AY162" s="673">
        <v>0</v>
      </c>
      <c r="AZ162" s="672">
        <v>0</v>
      </c>
      <c r="BA162" s="669">
        <f t="shared" si="800"/>
        <v>0</v>
      </c>
      <c r="BB162" s="673">
        <v>0</v>
      </c>
      <c r="BC162" s="682"/>
      <c r="BD162" s="401"/>
      <c r="BE162" s="401"/>
      <c r="BF162" s="401"/>
      <c r="BG162" s="401"/>
      <c r="BH162" s="378"/>
      <c r="BI162" s="379"/>
      <c r="BJ162" s="379"/>
      <c r="BK162" s="399"/>
      <c r="BL162" s="399"/>
      <c r="BM162" s="399"/>
      <c r="BN162" s="399"/>
      <c r="BO162" s="399"/>
      <c r="BP162" s="399"/>
      <c r="BQ162" s="399"/>
      <c r="BR162" s="399"/>
      <c r="BS162" s="399"/>
      <c r="BT162" s="399"/>
      <c r="BU162" s="399"/>
      <c r="BV162" s="399"/>
      <c r="BW162" s="399"/>
      <c r="BX162" s="399"/>
      <c r="BY162" s="399"/>
      <c r="BZ162" s="399"/>
      <c r="CA162" s="399"/>
      <c r="CB162" s="399"/>
      <c r="CC162" s="399"/>
      <c r="CD162" s="399"/>
      <c r="CE162" s="399"/>
      <c r="CF162" s="399"/>
      <c r="CG162" s="463"/>
      <c r="CH162" s="399"/>
      <c r="CI162" s="463"/>
      <c r="CJ162" s="399">
        <v>-1</v>
      </c>
      <c r="CK162" s="463"/>
      <c r="CL162" s="463"/>
      <c r="CM162" s="463"/>
      <c r="CN162" s="463"/>
    </row>
    <row r="163" spans="1:92" outlineLevel="1">
      <c r="A163" s="170"/>
      <c r="B163" s="1019" t="s">
        <v>612</v>
      </c>
      <c r="C163" s="1024"/>
      <c r="D163" s="1024"/>
      <c r="E163" s="1024"/>
      <c r="F163" s="269"/>
      <c r="G163" s="269"/>
      <c r="H163" s="269"/>
      <c r="I163" s="606"/>
      <c r="J163" s="606"/>
      <c r="K163" s="269"/>
      <c r="L163" s="269"/>
      <c r="M163" s="269"/>
      <c r="N163" s="269"/>
      <c r="O163" s="269"/>
      <c r="P163" s="269">
        <f t="shared" ref="P163:AD163" si="813">SUM(P159:P162)</f>
        <v>8</v>
      </c>
      <c r="Q163" s="269">
        <f t="shared" si="813"/>
        <v>22</v>
      </c>
      <c r="R163" s="269">
        <f t="shared" si="813"/>
        <v>40</v>
      </c>
      <c r="S163" s="269">
        <f t="shared" si="813"/>
        <v>55</v>
      </c>
      <c r="T163" s="269">
        <f t="shared" si="813"/>
        <v>59</v>
      </c>
      <c r="U163" s="269">
        <f t="shared" si="813"/>
        <v>59</v>
      </c>
      <c r="V163" s="269">
        <f>SUM(V159:V162)</f>
        <v>59</v>
      </c>
      <c r="W163" s="269">
        <f>SUM(W159:W162)</f>
        <v>58</v>
      </c>
      <c r="X163" s="269">
        <f t="shared" si="813"/>
        <v>58</v>
      </c>
      <c r="Y163" s="269">
        <f>SUM(Y159:Y162)</f>
        <v>58</v>
      </c>
      <c r="Z163" s="269">
        <f>SUM(Z159:Z162)</f>
        <v>59</v>
      </c>
      <c r="AA163" s="269">
        <f t="shared" si="813"/>
        <v>59</v>
      </c>
      <c r="AB163" s="269">
        <f>SUM(AB159:AB162)</f>
        <v>59</v>
      </c>
      <c r="AC163" s="269">
        <f>SUM(AC159:AC162)</f>
        <v>60</v>
      </c>
      <c r="AD163" s="269">
        <f t="shared" si="813"/>
        <v>60</v>
      </c>
      <c r="AE163" s="269">
        <f t="shared" ref="AE163" si="814">SUM(AE159:AE162)</f>
        <v>60</v>
      </c>
      <c r="AF163" s="269">
        <f>SUM(AF159:AF162)</f>
        <v>60</v>
      </c>
      <c r="AG163" s="1129">
        <f t="shared" ref="AG163:AV163" si="815">SUM(AG159:AG162)</f>
        <v>60</v>
      </c>
      <c r="AH163" s="1200">
        <f>SUM(AH159:AH162)</f>
        <v>61</v>
      </c>
      <c r="AI163" s="674">
        <f>SUM(AI159:AI162)</f>
        <v>62</v>
      </c>
      <c r="AJ163" s="1200">
        <f t="shared" ref="AJ163" si="816">SUM(AJ159:AJ162)</f>
        <v>62</v>
      </c>
      <c r="AK163" s="1260">
        <f>SUM(AK159:AK162)</f>
        <v>65</v>
      </c>
      <c r="AL163" s="1260">
        <f t="shared" si="815"/>
        <v>65</v>
      </c>
      <c r="AM163" s="1587">
        <f t="shared" si="815"/>
        <v>64</v>
      </c>
      <c r="AN163" s="1618">
        <f>SUM(AN159:AN162)</f>
        <v>64</v>
      </c>
      <c r="AO163" s="674">
        <f t="shared" si="815"/>
        <v>64</v>
      </c>
      <c r="AP163" s="1618">
        <f t="shared" ref="AP163" si="817">SUM(AP159:AP162)</f>
        <v>64</v>
      </c>
      <c r="AQ163" s="1604">
        <f t="shared" si="815"/>
        <v>64</v>
      </c>
      <c r="AR163" s="674">
        <f t="shared" si="815"/>
        <v>64</v>
      </c>
      <c r="AS163" s="669">
        <f t="shared" si="815"/>
        <v>64</v>
      </c>
      <c r="AT163" s="674">
        <f t="shared" si="815"/>
        <v>64</v>
      </c>
      <c r="AU163" s="674">
        <f t="shared" si="815"/>
        <v>64</v>
      </c>
      <c r="AV163" s="669">
        <f t="shared" si="815"/>
        <v>64</v>
      </c>
      <c r="AW163" s="674">
        <f>SUM(AW159:AW162)</f>
        <v>64</v>
      </c>
      <c r="AX163" s="674">
        <f t="shared" ref="AX163:AY163" si="818">SUM(AX159:AX162)</f>
        <v>64</v>
      </c>
      <c r="AY163" s="669">
        <f t="shared" si="818"/>
        <v>64</v>
      </c>
      <c r="AZ163" s="674">
        <f t="shared" ref="AZ163:BB163" si="819">SUM(AZ159:AZ162)</f>
        <v>64</v>
      </c>
      <c r="BA163" s="674">
        <f t="shared" si="819"/>
        <v>64</v>
      </c>
      <c r="BB163" s="669">
        <f t="shared" si="819"/>
        <v>64</v>
      </c>
      <c r="BC163" s="669"/>
      <c r="BD163" s="402"/>
      <c r="BE163" s="402"/>
      <c r="BF163" s="402"/>
      <c r="BG163" s="402"/>
      <c r="BH163" s="378"/>
      <c r="BI163" s="379"/>
      <c r="BJ163" s="379"/>
      <c r="BK163" s="461"/>
      <c r="BL163" s="461"/>
      <c r="BM163" s="461"/>
      <c r="BN163" s="461"/>
      <c r="BO163" s="461"/>
      <c r="BP163" s="461"/>
      <c r="BQ163" s="461"/>
      <c r="BR163" s="461"/>
      <c r="BS163" s="461"/>
      <c r="BT163" s="461"/>
      <c r="BU163" s="461"/>
      <c r="BV163" s="461"/>
      <c r="BW163" s="494"/>
      <c r="BX163" s="461"/>
      <c r="BY163" s="461"/>
      <c r="BZ163" s="461"/>
      <c r="CA163" s="461">
        <f t="shared" ref="CA163:CG163" si="820">SUM(CA159:CA162)</f>
        <v>0</v>
      </c>
      <c r="CB163" s="461">
        <f t="shared" si="820"/>
        <v>0</v>
      </c>
      <c r="CC163" s="461">
        <f t="shared" si="820"/>
        <v>0</v>
      </c>
      <c r="CD163" s="461">
        <f t="shared" si="820"/>
        <v>8</v>
      </c>
      <c r="CE163" s="461">
        <f t="shared" si="820"/>
        <v>16</v>
      </c>
      <c r="CF163" s="461">
        <f t="shared" si="820"/>
        <v>22</v>
      </c>
      <c r="CG163" s="461">
        <f t="shared" si="820"/>
        <v>38</v>
      </c>
      <c r="CH163" s="461">
        <f>R163</f>
        <v>40</v>
      </c>
      <c r="CI163" s="461">
        <f t="shared" ref="CI163:CN163" si="821">SUM(CI159:CI162)</f>
        <v>52</v>
      </c>
      <c r="CJ163" s="461">
        <f t="shared" si="821"/>
        <v>55</v>
      </c>
      <c r="CK163" s="461">
        <f t="shared" si="821"/>
        <v>59</v>
      </c>
      <c r="CL163" s="461">
        <f t="shared" si="821"/>
        <v>59</v>
      </c>
      <c r="CM163" s="461">
        <f t="shared" si="821"/>
        <v>59</v>
      </c>
      <c r="CN163" s="461">
        <f t="shared" si="821"/>
        <v>59</v>
      </c>
    </row>
    <row r="164" spans="1:92" ht="3.75" customHeight="1" outlineLevel="1">
      <c r="A164" s="170"/>
      <c r="B164" s="1025"/>
      <c r="C164" s="1021"/>
      <c r="D164" s="1021"/>
      <c r="E164" s="1021"/>
      <c r="F164" s="262"/>
      <c r="G164" s="262"/>
      <c r="H164" s="262"/>
      <c r="I164" s="607"/>
      <c r="J164" s="607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  <c r="Z164" s="262"/>
      <c r="AA164" s="262"/>
      <c r="AB164" s="262"/>
      <c r="AC164" s="262"/>
      <c r="AD164" s="262"/>
      <c r="AE164" s="262"/>
      <c r="AF164" s="262"/>
      <c r="AG164" s="262"/>
      <c r="AH164" s="262"/>
      <c r="AI164" s="675"/>
      <c r="AJ164" s="262"/>
      <c r="AK164" s="675"/>
      <c r="AL164" s="262"/>
      <c r="AM164" s="1348"/>
      <c r="AN164" s="675"/>
      <c r="AO164" s="262"/>
      <c r="AP164" s="1348"/>
      <c r="AQ164" s="1601"/>
      <c r="AR164" s="262"/>
      <c r="AS164" s="237"/>
      <c r="AT164" s="262"/>
      <c r="AU164" s="262"/>
      <c r="AV164" s="237"/>
      <c r="AW164" s="262"/>
      <c r="AX164" s="262"/>
      <c r="AY164" s="237"/>
      <c r="AZ164" s="262"/>
      <c r="BA164" s="262"/>
      <c r="BB164" s="237"/>
      <c r="BC164" s="676"/>
      <c r="BD164" s="403"/>
      <c r="BE164" s="403"/>
      <c r="BF164" s="403"/>
      <c r="BG164" s="403"/>
      <c r="BH164" s="378"/>
      <c r="BI164" s="379"/>
      <c r="BJ164" s="379"/>
      <c r="BK164" s="399"/>
      <c r="BL164" s="399"/>
      <c r="BM164" s="399"/>
      <c r="BN164" s="399"/>
      <c r="BO164" s="399"/>
      <c r="BP164" s="399"/>
      <c r="BQ164" s="399"/>
      <c r="BR164" s="399"/>
      <c r="BS164" s="399"/>
      <c r="BT164" s="399"/>
      <c r="BU164" s="399"/>
      <c r="BV164" s="399"/>
      <c r="BW164" s="399"/>
      <c r="BX164" s="399"/>
      <c r="BY164" s="399"/>
      <c r="BZ164" s="399"/>
      <c r="CA164" s="399"/>
      <c r="CB164" s="399"/>
      <c r="CC164" s="399"/>
      <c r="CD164" s="399"/>
      <c r="CE164" s="399"/>
      <c r="CF164" s="399"/>
      <c r="CG164" s="399"/>
      <c r="CH164" s="399"/>
      <c r="CI164" s="399"/>
      <c r="CJ164" s="399"/>
      <c r="CK164" s="399"/>
      <c r="CL164" s="399"/>
      <c r="CM164" s="399"/>
      <c r="CN164" s="399"/>
    </row>
    <row r="165" spans="1:92" outlineLevel="1">
      <c r="A165" s="170" t="s">
        <v>930</v>
      </c>
      <c r="B165" s="1025" t="s">
        <v>610</v>
      </c>
      <c r="C165" s="1026">
        <v>10</v>
      </c>
      <c r="D165" s="1027">
        <v>15</v>
      </c>
      <c r="E165" s="1027">
        <v>21</v>
      </c>
      <c r="F165" s="1028">
        <v>26</v>
      </c>
      <c r="G165" s="1028">
        <v>32</v>
      </c>
      <c r="H165" s="1028">
        <v>48</v>
      </c>
      <c r="I165" s="1028">
        <v>66</v>
      </c>
      <c r="J165" s="1029">
        <v>77</v>
      </c>
      <c r="K165" s="1029">
        <v>93</v>
      </c>
      <c r="L165" s="1028">
        <v>121</v>
      </c>
      <c r="M165" s="1028">
        <v>131</v>
      </c>
      <c r="N165" s="1028">
        <v>144</v>
      </c>
      <c r="O165" s="1028">
        <v>155</v>
      </c>
      <c r="P165" s="602">
        <f t="shared" ref="P165:AD165" si="822">P157+P163</f>
        <v>164</v>
      </c>
      <c r="Q165" s="602">
        <f t="shared" si="822"/>
        <v>169</v>
      </c>
      <c r="R165" s="602">
        <f t="shared" si="822"/>
        <v>173</v>
      </c>
      <c r="S165" s="602">
        <f t="shared" si="822"/>
        <v>179</v>
      </c>
      <c r="T165" s="602">
        <f t="shared" si="822"/>
        <v>185</v>
      </c>
      <c r="U165" s="602">
        <f t="shared" si="822"/>
        <v>193</v>
      </c>
      <c r="V165" s="602">
        <f>V157+V163</f>
        <v>197</v>
      </c>
      <c r="W165" s="602">
        <f>W157+W163</f>
        <v>196</v>
      </c>
      <c r="X165" s="602">
        <f t="shared" si="822"/>
        <v>196</v>
      </c>
      <c r="Y165" s="602">
        <f>Y157+Y163</f>
        <v>199</v>
      </c>
      <c r="Z165" s="602">
        <f>Z157+Z163</f>
        <v>197</v>
      </c>
      <c r="AA165" s="602">
        <f t="shared" si="822"/>
        <v>197</v>
      </c>
      <c r="AB165" s="602">
        <f>AB157+AB163</f>
        <v>197</v>
      </c>
      <c r="AC165" s="602">
        <f>AC157+AC163</f>
        <v>197</v>
      </c>
      <c r="AD165" s="602">
        <f t="shared" si="822"/>
        <v>197</v>
      </c>
      <c r="AE165" s="602">
        <f t="shared" ref="AE165:AF165" si="823">AE157+AE163</f>
        <v>198</v>
      </c>
      <c r="AF165" s="602">
        <f t="shared" si="823"/>
        <v>199</v>
      </c>
      <c r="AG165" s="442">
        <f t="shared" ref="AG165:AM165" si="824">AG157+AG163</f>
        <v>199</v>
      </c>
      <c r="AH165" s="442">
        <f>AH157+AH163</f>
        <v>202</v>
      </c>
      <c r="AI165" s="677">
        <f>AI157+AI163</f>
        <v>202</v>
      </c>
      <c r="AJ165" s="442">
        <f t="shared" ref="AJ165" si="825">AJ157+AJ163</f>
        <v>202</v>
      </c>
      <c r="AK165" s="1261">
        <f>AK157+AK163</f>
        <v>204</v>
      </c>
      <c r="AL165" s="1261">
        <f t="shared" si="824"/>
        <v>204</v>
      </c>
      <c r="AM165" s="442">
        <f t="shared" si="824"/>
        <v>205</v>
      </c>
      <c r="AN165" s="1261">
        <f>AN157+AN163</f>
        <v>206</v>
      </c>
      <c r="AO165" s="677">
        <f t="shared" ref="AO165:AV165" si="826">AO157+AO163</f>
        <v>207</v>
      </c>
      <c r="AP165" s="1261">
        <f t="shared" si="826"/>
        <v>206</v>
      </c>
      <c r="AQ165" s="1605">
        <f t="shared" si="826"/>
        <v>208</v>
      </c>
      <c r="AR165" s="677">
        <f t="shared" si="826"/>
        <v>209</v>
      </c>
      <c r="AS165" s="677">
        <f t="shared" si="826"/>
        <v>209</v>
      </c>
      <c r="AT165" s="677">
        <f t="shared" si="826"/>
        <v>210</v>
      </c>
      <c r="AU165" s="677">
        <f t="shared" si="826"/>
        <v>210</v>
      </c>
      <c r="AV165" s="677">
        <f t="shared" si="826"/>
        <v>210</v>
      </c>
      <c r="AW165" s="677">
        <f>AW157+AW163</f>
        <v>211</v>
      </c>
      <c r="AX165" s="677">
        <f t="shared" ref="AX165:AY165" si="827">AX157+AX163</f>
        <v>211</v>
      </c>
      <c r="AY165" s="677">
        <f t="shared" si="827"/>
        <v>211</v>
      </c>
      <c r="AZ165" s="677">
        <f t="shared" ref="AZ165:BB165" si="828">AZ157+AZ163</f>
        <v>212</v>
      </c>
      <c r="BA165" s="677">
        <f t="shared" si="828"/>
        <v>212</v>
      </c>
      <c r="BB165" s="677">
        <f t="shared" si="828"/>
        <v>212</v>
      </c>
      <c r="BC165" s="677"/>
      <c r="BD165" s="404"/>
      <c r="BE165" s="404"/>
      <c r="BF165" s="404"/>
      <c r="BG165" s="404"/>
      <c r="BH165" s="378"/>
      <c r="BI165" s="379"/>
      <c r="BJ165" s="379"/>
      <c r="BK165" s="404">
        <f t="shared" ref="BK165:CN165" si="829">BK157+BK163</f>
        <v>30</v>
      </c>
      <c r="BL165" s="404">
        <f t="shared" si="829"/>
        <v>32</v>
      </c>
      <c r="BM165" s="404">
        <f t="shared" si="829"/>
        <v>44</v>
      </c>
      <c r="BN165" s="404">
        <f t="shared" si="829"/>
        <v>48</v>
      </c>
      <c r="BO165" s="404">
        <f t="shared" si="829"/>
        <v>60</v>
      </c>
      <c r="BP165" s="404">
        <f t="shared" si="829"/>
        <v>66</v>
      </c>
      <c r="BQ165" s="404">
        <f t="shared" si="829"/>
        <v>72</v>
      </c>
      <c r="BR165" s="404">
        <f t="shared" si="829"/>
        <v>77</v>
      </c>
      <c r="BS165" s="404">
        <f t="shared" si="829"/>
        <v>89</v>
      </c>
      <c r="BT165" s="404">
        <f t="shared" si="829"/>
        <v>93</v>
      </c>
      <c r="BU165" s="404">
        <f t="shared" si="829"/>
        <v>105</v>
      </c>
      <c r="BV165" s="404">
        <f t="shared" si="829"/>
        <v>121</v>
      </c>
      <c r="BW165" s="404">
        <f t="shared" si="829"/>
        <v>124</v>
      </c>
      <c r="BX165" s="404">
        <f t="shared" si="829"/>
        <v>131</v>
      </c>
      <c r="BY165" s="404">
        <f t="shared" si="829"/>
        <v>134</v>
      </c>
      <c r="BZ165" s="404">
        <f t="shared" si="829"/>
        <v>144</v>
      </c>
      <c r="CA165" s="404">
        <f t="shared" si="829"/>
        <v>152</v>
      </c>
      <c r="CB165" s="404">
        <f t="shared" si="829"/>
        <v>155</v>
      </c>
      <c r="CC165" s="404">
        <f t="shared" si="829"/>
        <v>163</v>
      </c>
      <c r="CD165" s="404">
        <f t="shared" si="829"/>
        <v>164</v>
      </c>
      <c r="CE165" s="404">
        <f t="shared" si="829"/>
        <v>169</v>
      </c>
      <c r="CF165" s="404">
        <f t="shared" si="829"/>
        <v>169</v>
      </c>
      <c r="CG165" s="404">
        <f t="shared" si="829"/>
        <v>171</v>
      </c>
      <c r="CH165" s="404">
        <f t="shared" si="829"/>
        <v>173</v>
      </c>
      <c r="CI165" s="404">
        <f t="shared" si="829"/>
        <v>179</v>
      </c>
      <c r="CJ165" s="404">
        <f t="shared" si="829"/>
        <v>179</v>
      </c>
      <c r="CK165" s="404">
        <f t="shared" si="829"/>
        <v>183</v>
      </c>
      <c r="CL165" s="404">
        <f t="shared" si="829"/>
        <v>185</v>
      </c>
      <c r="CM165" s="404">
        <f>CM157+CM163</f>
        <v>192</v>
      </c>
      <c r="CN165" s="404">
        <f t="shared" si="829"/>
        <v>193</v>
      </c>
    </row>
    <row r="166" spans="1:92" outlineLevel="1">
      <c r="A166" s="170"/>
      <c r="B166" s="863" t="s">
        <v>618</v>
      </c>
      <c r="C166" s="1030"/>
      <c r="D166" s="1031">
        <f t="shared" ref="D166:U166" si="830">AVERAGE(C165:D165)</f>
        <v>12.5</v>
      </c>
      <c r="E166" s="1031">
        <f t="shared" si="830"/>
        <v>18</v>
      </c>
      <c r="F166" s="603">
        <f t="shared" si="830"/>
        <v>23.5</v>
      </c>
      <c r="G166" s="603">
        <f t="shared" si="830"/>
        <v>29</v>
      </c>
      <c r="H166" s="603">
        <f t="shared" si="830"/>
        <v>40</v>
      </c>
      <c r="I166" s="603">
        <f t="shared" si="830"/>
        <v>57</v>
      </c>
      <c r="J166" s="603">
        <f t="shared" si="830"/>
        <v>71.5</v>
      </c>
      <c r="K166" s="603">
        <f t="shared" si="830"/>
        <v>85</v>
      </c>
      <c r="L166" s="603">
        <f t="shared" si="830"/>
        <v>107</v>
      </c>
      <c r="M166" s="603">
        <f t="shared" si="830"/>
        <v>126</v>
      </c>
      <c r="N166" s="603">
        <f t="shared" si="830"/>
        <v>137.5</v>
      </c>
      <c r="O166" s="603">
        <f t="shared" si="830"/>
        <v>149.5</v>
      </c>
      <c r="P166" s="603">
        <f t="shared" si="830"/>
        <v>159.5</v>
      </c>
      <c r="Q166" s="603">
        <f t="shared" si="830"/>
        <v>166.5</v>
      </c>
      <c r="R166" s="603">
        <f t="shared" si="830"/>
        <v>171</v>
      </c>
      <c r="S166" s="603">
        <f t="shared" si="830"/>
        <v>176</v>
      </c>
      <c r="T166" s="603">
        <f t="shared" si="830"/>
        <v>182</v>
      </c>
      <c r="U166" s="603">
        <f t="shared" si="830"/>
        <v>189</v>
      </c>
      <c r="V166" s="603">
        <f>AVERAGE(CM165:CO165)</f>
        <v>192.5</v>
      </c>
      <c r="W166" s="603">
        <f>AVERAGE(V165:W165)</f>
        <v>196.5</v>
      </c>
      <c r="X166" s="603">
        <f>(X165+U165)*0.5</f>
        <v>194.5</v>
      </c>
      <c r="Y166" s="603">
        <f>AVERAGE(X165:Y165)</f>
        <v>197.5</v>
      </c>
      <c r="Z166" s="603">
        <f>AVERAGE(Y165:Z165)</f>
        <v>198</v>
      </c>
      <c r="AA166" s="603">
        <f>(AA165+X165)*0.5</f>
        <v>196.5</v>
      </c>
      <c r="AB166" s="603">
        <f>AVERAGE(AA165:AB165)</f>
        <v>197</v>
      </c>
      <c r="AC166" s="603">
        <f>AVERAGE(AB165:AC165)</f>
        <v>197</v>
      </c>
      <c r="AD166" s="603">
        <f>(AD165+AA165)*0.5</f>
        <v>197</v>
      </c>
      <c r="AE166" s="603">
        <f>AVERAGE(AD165:AE165)</f>
        <v>197.5</v>
      </c>
      <c r="AF166" s="603">
        <f>AVERAGE(AE165:AF165)</f>
        <v>198.5</v>
      </c>
      <c r="AG166" s="1130">
        <f>(AG165+AD165)*0.5</f>
        <v>198</v>
      </c>
      <c r="AH166" s="1130">
        <f>AVERAGE(AG165:AH165)</f>
        <v>200.5</v>
      </c>
      <c r="AI166" s="678">
        <f>AVERAGE(AH165:AI165)</f>
        <v>202</v>
      </c>
      <c r="AJ166" s="1130">
        <f>(AJ165+AG165)*0.5</f>
        <v>200.5</v>
      </c>
      <c r="AK166" s="679">
        <f>AVERAGE(AJ165:AK165)</f>
        <v>203</v>
      </c>
      <c r="AL166" s="679">
        <f t="shared" ref="AL166" si="831">AVERAGE(AK165:AL165)</f>
        <v>204</v>
      </c>
      <c r="AM166" s="1130">
        <f>(AM165+AJ165)*0.5</f>
        <v>203.5</v>
      </c>
      <c r="AN166" s="679">
        <f>AVERAGE(AM165:AN165)</f>
        <v>205.5</v>
      </c>
      <c r="AO166" s="678">
        <f>AVERAGE(AN165:AO165)</f>
        <v>206.5</v>
      </c>
      <c r="AP166" s="679">
        <f>(AP165+AM165)*0.5</f>
        <v>205.5</v>
      </c>
      <c r="AQ166" s="1606">
        <f t="shared" ref="AQ166:AR166" si="832">AVERAGE(AP165:AQ165)</f>
        <v>207</v>
      </c>
      <c r="AR166" s="678">
        <f t="shared" si="832"/>
        <v>208.5</v>
      </c>
      <c r="AS166" s="679">
        <f t="shared" ref="AS166" si="833">(AS165+AP165)*0.5</f>
        <v>207.5</v>
      </c>
      <c r="AT166" s="678">
        <f t="shared" ref="AT166:AU166" si="834">AVERAGE(AS165:AT165)</f>
        <v>209.5</v>
      </c>
      <c r="AU166" s="678">
        <f t="shared" si="834"/>
        <v>210</v>
      </c>
      <c r="AV166" s="679">
        <f t="shared" ref="AV166" si="835">(AV165+AS165)*0.5</f>
        <v>209.5</v>
      </c>
      <c r="AW166" s="678">
        <f>AVERAGE(AV165:AW165)</f>
        <v>210.5</v>
      </c>
      <c r="AX166" s="678">
        <f t="shared" ref="AX166" si="836">AVERAGE(AW165:AX165)</f>
        <v>211</v>
      </c>
      <c r="AY166" s="679">
        <f t="shared" ref="AY166" si="837">(AY165+AV165)*0.5</f>
        <v>210.5</v>
      </c>
      <c r="AZ166" s="678">
        <f t="shared" ref="AZ166" si="838">AVERAGE(AY165:AZ165)</f>
        <v>211.5</v>
      </c>
      <c r="BA166" s="678">
        <f t="shared" ref="BA166" si="839">AVERAGE(AZ165:BA165)</f>
        <v>212</v>
      </c>
      <c r="BB166" s="679">
        <f t="shared" ref="BB166" si="840">(BB165+AY165)*0.5</f>
        <v>211.5</v>
      </c>
      <c r="BC166" s="679"/>
      <c r="BD166" s="405"/>
      <c r="BE166" s="405"/>
      <c r="BF166" s="405"/>
      <c r="BG166" s="405"/>
      <c r="BH166" s="378"/>
      <c r="BI166" s="379"/>
      <c r="BJ166" s="379"/>
      <c r="BK166" s="405"/>
      <c r="BL166" s="405">
        <f t="shared" ref="BL166:CN166" si="841">AVERAGE(BK165:BL165)</f>
        <v>31</v>
      </c>
      <c r="BM166" s="405">
        <f t="shared" si="841"/>
        <v>38</v>
      </c>
      <c r="BN166" s="405">
        <f t="shared" si="841"/>
        <v>46</v>
      </c>
      <c r="BO166" s="405">
        <f t="shared" si="841"/>
        <v>54</v>
      </c>
      <c r="BP166" s="405">
        <f t="shared" si="841"/>
        <v>63</v>
      </c>
      <c r="BQ166" s="405">
        <f t="shared" si="841"/>
        <v>69</v>
      </c>
      <c r="BR166" s="405">
        <f t="shared" si="841"/>
        <v>74.5</v>
      </c>
      <c r="BS166" s="405">
        <f t="shared" si="841"/>
        <v>83</v>
      </c>
      <c r="BT166" s="405">
        <f t="shared" si="841"/>
        <v>91</v>
      </c>
      <c r="BU166" s="405">
        <f t="shared" si="841"/>
        <v>99</v>
      </c>
      <c r="BV166" s="405">
        <f t="shared" si="841"/>
        <v>113</v>
      </c>
      <c r="BW166" s="405">
        <f t="shared" si="841"/>
        <v>122.5</v>
      </c>
      <c r="BX166" s="405">
        <f t="shared" si="841"/>
        <v>127.5</v>
      </c>
      <c r="BY166" s="405">
        <f t="shared" si="841"/>
        <v>132.5</v>
      </c>
      <c r="BZ166" s="405">
        <f t="shared" si="841"/>
        <v>139</v>
      </c>
      <c r="CA166" s="405">
        <f t="shared" si="841"/>
        <v>148</v>
      </c>
      <c r="CB166" s="405">
        <f t="shared" si="841"/>
        <v>153.5</v>
      </c>
      <c r="CC166" s="405">
        <f t="shared" si="841"/>
        <v>159</v>
      </c>
      <c r="CD166" s="405">
        <f t="shared" si="841"/>
        <v>163.5</v>
      </c>
      <c r="CE166" s="405">
        <f t="shared" si="841"/>
        <v>166.5</v>
      </c>
      <c r="CF166" s="405">
        <f t="shared" si="841"/>
        <v>169</v>
      </c>
      <c r="CG166" s="405">
        <f t="shared" si="841"/>
        <v>170</v>
      </c>
      <c r="CH166" s="405">
        <f t="shared" si="841"/>
        <v>172</v>
      </c>
      <c r="CI166" s="405">
        <f t="shared" si="841"/>
        <v>176</v>
      </c>
      <c r="CJ166" s="405">
        <f t="shared" si="841"/>
        <v>179</v>
      </c>
      <c r="CK166" s="405">
        <f t="shared" si="841"/>
        <v>181</v>
      </c>
      <c r="CL166" s="405">
        <f t="shared" si="841"/>
        <v>184</v>
      </c>
      <c r="CM166" s="405">
        <f t="shared" si="841"/>
        <v>188.5</v>
      </c>
      <c r="CN166" s="405">
        <f t="shared" si="841"/>
        <v>192.5</v>
      </c>
    </row>
    <row r="167" spans="1:92" outlineLevel="1">
      <c r="A167" s="170"/>
      <c r="B167" s="863" t="s">
        <v>3</v>
      </c>
      <c r="C167" s="1030"/>
      <c r="D167" s="1031"/>
      <c r="E167" s="1032">
        <v>600</v>
      </c>
      <c r="F167" s="1032">
        <v>600</v>
      </c>
      <c r="G167" s="1032">
        <v>650</v>
      </c>
      <c r="H167" s="1032">
        <v>700</v>
      </c>
      <c r="I167" s="1032">
        <v>750</v>
      </c>
      <c r="J167" s="1032">
        <v>920</v>
      </c>
      <c r="K167" s="1032">
        <v>850</v>
      </c>
      <c r="L167" s="1032">
        <v>760</v>
      </c>
      <c r="M167" s="1032">
        <v>870</v>
      </c>
      <c r="N167" s="1032">
        <v>920</v>
      </c>
      <c r="O167" s="1032">
        <v>950</v>
      </c>
      <c r="P167" s="1032">
        <f t="shared" ref="P167:T167" si="842">P458</f>
        <v>968.07909604519773</v>
      </c>
      <c r="Q167" s="1032">
        <f t="shared" si="842"/>
        <v>999.17582417582423</v>
      </c>
      <c r="R167" s="1032">
        <f>R458</f>
        <v>1070.3208556149732</v>
      </c>
      <c r="S167" s="1032">
        <f t="shared" si="842"/>
        <v>1126.5463917525774</v>
      </c>
      <c r="T167" s="1032">
        <f t="shared" si="842"/>
        <v>1175.6218905472638</v>
      </c>
      <c r="U167" s="1032">
        <f>U458</f>
        <v>1190.8653846153845</v>
      </c>
      <c r="V167" s="262">
        <f>X167</f>
        <v>1190.8653846153845</v>
      </c>
      <c r="W167" s="262">
        <f>W168/W165</f>
        <v>1190.8653846153845</v>
      </c>
      <c r="X167" s="1032">
        <f t="shared" ref="X167" si="843">U167</f>
        <v>1190.8653846153845</v>
      </c>
      <c r="Y167" s="262">
        <f>AD167</f>
        <v>1190.8653846153845</v>
      </c>
      <c r="Z167" s="262">
        <f>Z168/Z165</f>
        <v>1190.8653846153845</v>
      </c>
      <c r="AA167" s="1032">
        <f>X167</f>
        <v>1190.8653846153845</v>
      </c>
      <c r="AB167" s="262">
        <f>AD167</f>
        <v>1190.8653846153845</v>
      </c>
      <c r="AC167" s="262">
        <f>AD167</f>
        <v>1190.8653846153845</v>
      </c>
      <c r="AD167" s="1032">
        <f>AA167</f>
        <v>1190.8653846153845</v>
      </c>
      <c r="AE167" s="262">
        <f>AG167</f>
        <v>1190.8653846153845</v>
      </c>
      <c r="AF167" s="262">
        <f>AG167</f>
        <v>1190.8653846153845</v>
      </c>
      <c r="AG167" s="1032">
        <f>AD167</f>
        <v>1190.8653846153845</v>
      </c>
      <c r="AH167" s="262">
        <v>1190.8653846153845</v>
      </c>
      <c r="AI167" s="680">
        <v>1190.8653846153845</v>
      </c>
      <c r="AJ167" s="1032">
        <f>AG167</f>
        <v>1190.8653846153845</v>
      </c>
      <c r="AK167" s="675">
        <v>1190.8653846153845</v>
      </c>
      <c r="AL167" s="1364">
        <v>1190.8653846153845</v>
      </c>
      <c r="AM167" s="1032">
        <f>AJ167</f>
        <v>1190.8653846153845</v>
      </c>
      <c r="AN167" s="1632">
        <v>1190.8653846153845</v>
      </c>
      <c r="AO167" s="239">
        <v>1190.8653846153845</v>
      </c>
      <c r="AP167" s="1707">
        <f>AM167</f>
        <v>1190.8653846153845</v>
      </c>
      <c r="AQ167" s="1740">
        <v>1190.8653846153845</v>
      </c>
      <c r="AR167" s="239">
        <v>1190.8653846153845</v>
      </c>
      <c r="AS167" s="239">
        <f>AP167</f>
        <v>1190.8653846153845</v>
      </c>
      <c r="AT167" s="239">
        <v>1190.8653846153845</v>
      </c>
      <c r="AU167" s="239">
        <v>1190.8653846153845</v>
      </c>
      <c r="AV167" s="239">
        <f>AS167</f>
        <v>1190.8653846153845</v>
      </c>
      <c r="AW167" s="239">
        <v>1190.86538461538</v>
      </c>
      <c r="AX167" s="239">
        <v>1190.8653846153845</v>
      </c>
      <c r="AY167" s="239">
        <f>AV167</f>
        <v>1190.8653846153845</v>
      </c>
      <c r="AZ167" s="239">
        <v>1190.8653846153845</v>
      </c>
      <c r="BA167" s="239">
        <v>1190.8653846153845</v>
      </c>
      <c r="BB167" s="239">
        <f>AY167</f>
        <v>1190.8653846153845</v>
      </c>
      <c r="BC167" s="680"/>
      <c r="BD167" s="406"/>
      <c r="BE167" s="406"/>
      <c r="BF167" s="406"/>
      <c r="BG167" s="406"/>
      <c r="BH167" s="378"/>
      <c r="BI167" s="379"/>
      <c r="BJ167" s="379"/>
      <c r="BK167" s="405"/>
      <c r="BL167" s="405"/>
      <c r="BM167" s="405"/>
      <c r="BN167" s="405"/>
      <c r="BO167" s="405"/>
      <c r="BP167" s="405"/>
      <c r="BQ167" s="405"/>
      <c r="BR167" s="405"/>
      <c r="BS167" s="405"/>
      <c r="BT167" s="405"/>
      <c r="BU167" s="463">
        <v>760</v>
      </c>
      <c r="BV167" s="402">
        <f>BV168/BV165</f>
        <v>760</v>
      </c>
      <c r="BW167" s="463">
        <v>830</v>
      </c>
      <c r="BX167" s="402">
        <f>BX168/BX165</f>
        <v>870</v>
      </c>
      <c r="BY167" s="463">
        <v>900</v>
      </c>
      <c r="BZ167" s="402">
        <f>BZ168/BZ165</f>
        <v>920</v>
      </c>
      <c r="CA167" s="463">
        <v>930</v>
      </c>
      <c r="CB167" s="402">
        <f>CB168/CB165</f>
        <v>950</v>
      </c>
      <c r="CC167" s="463">
        <v>960</v>
      </c>
      <c r="CD167" s="402">
        <f>CD168/CD165</f>
        <v>968.07909604519773</v>
      </c>
      <c r="CE167" s="463">
        <v>980</v>
      </c>
      <c r="CF167" s="402">
        <f>CF168/CF165</f>
        <v>999.17582417582423</v>
      </c>
      <c r="CG167" s="463">
        <v>1030</v>
      </c>
      <c r="CH167" s="402">
        <f>CH168/CH165</f>
        <v>1070.3208556149732</v>
      </c>
      <c r="CI167" s="463">
        <v>1100</v>
      </c>
      <c r="CJ167" s="402">
        <f>CJ168/CJ165</f>
        <v>1126.5463917525774</v>
      </c>
      <c r="CK167" s="399">
        <f>CL167</f>
        <v>1175.6218905472638</v>
      </c>
      <c r="CL167" s="399">
        <f>CL168/CL165</f>
        <v>1175.6218905472638</v>
      </c>
      <c r="CM167" s="399">
        <f>CL167</f>
        <v>1175.6218905472638</v>
      </c>
      <c r="CN167" s="399">
        <f>CN168/CN165</f>
        <v>1190.8653846153845</v>
      </c>
    </row>
    <row r="168" spans="1:92" outlineLevel="1">
      <c r="A168" s="170"/>
      <c r="B168" s="863" t="s">
        <v>4</v>
      </c>
      <c r="C168" s="1030"/>
      <c r="D168" s="1031"/>
      <c r="E168" s="1031">
        <f t="shared" ref="E168:AD168" si="844">E165*E167</f>
        <v>12600</v>
      </c>
      <c r="F168" s="603">
        <f t="shared" si="844"/>
        <v>15600</v>
      </c>
      <c r="G168" s="603">
        <f t="shared" si="844"/>
        <v>20800</v>
      </c>
      <c r="H168" s="603">
        <f t="shared" si="844"/>
        <v>33600</v>
      </c>
      <c r="I168" s="603">
        <f t="shared" si="844"/>
        <v>49500</v>
      </c>
      <c r="J168" s="603">
        <f t="shared" si="844"/>
        <v>70840</v>
      </c>
      <c r="K168" s="603">
        <f t="shared" si="844"/>
        <v>79050</v>
      </c>
      <c r="L168" s="603">
        <f t="shared" si="844"/>
        <v>91960</v>
      </c>
      <c r="M168" s="603">
        <f t="shared" si="844"/>
        <v>113970</v>
      </c>
      <c r="N168" s="603">
        <f t="shared" si="844"/>
        <v>132480</v>
      </c>
      <c r="O168" s="603">
        <f t="shared" si="844"/>
        <v>147250</v>
      </c>
      <c r="P168" s="603">
        <f t="shared" si="844"/>
        <v>158764.97175141243</v>
      </c>
      <c r="Q168" s="603">
        <f t="shared" si="844"/>
        <v>168860.71428571429</v>
      </c>
      <c r="R168" s="603">
        <f t="shared" si="844"/>
        <v>185165.50802139036</v>
      </c>
      <c r="S168" s="603">
        <f t="shared" si="844"/>
        <v>201651.80412371136</v>
      </c>
      <c r="T168" s="603">
        <f t="shared" si="844"/>
        <v>217490.04975124379</v>
      </c>
      <c r="U168" s="603">
        <f t="shared" si="844"/>
        <v>229837.01923076922</v>
      </c>
      <c r="V168" s="262">
        <f>V165*V167</f>
        <v>234600.48076923075</v>
      </c>
      <c r="W168" s="262">
        <f>X168</f>
        <v>233409.61538461538</v>
      </c>
      <c r="X168" s="603">
        <f>X165*X167</f>
        <v>233409.61538461538</v>
      </c>
      <c r="Y168" s="262">
        <f>Y165*Y167</f>
        <v>236982.21153846153</v>
      </c>
      <c r="Z168" s="262">
        <f>AA168</f>
        <v>234600.48076923075</v>
      </c>
      <c r="AA168" s="603">
        <f t="shared" si="844"/>
        <v>234600.48076923075</v>
      </c>
      <c r="AB168" s="262">
        <f>AB165*AB167</f>
        <v>234600.48076923075</v>
      </c>
      <c r="AC168" s="262">
        <f>AC165*AC167</f>
        <v>234600.48076923075</v>
      </c>
      <c r="AD168" s="603">
        <f t="shared" si="844"/>
        <v>234600.48076923075</v>
      </c>
      <c r="AE168" s="262">
        <f>AE165*AE167</f>
        <v>235791.34615384613</v>
      </c>
      <c r="AF168" s="262">
        <f>AF165*AF167</f>
        <v>236982.21153846153</v>
      </c>
      <c r="AG168" s="1130">
        <f t="shared" ref="AG168:AX168" si="845">AG165*AG167</f>
        <v>236982.21153846153</v>
      </c>
      <c r="AH168" s="262">
        <f>AH165*AH167</f>
        <v>240554.80769230769</v>
      </c>
      <c r="AI168" s="675">
        <f>AI165*AI167</f>
        <v>240554.80769230769</v>
      </c>
      <c r="AJ168" s="1130">
        <f t="shared" ref="AJ168" si="846">AJ165*AJ167</f>
        <v>240554.80769230769</v>
      </c>
      <c r="AK168" s="675">
        <f>AK165*AK167</f>
        <v>242936.53846153844</v>
      </c>
      <c r="AL168" s="262">
        <f>AL165*AL167</f>
        <v>242936.53846153844</v>
      </c>
      <c r="AM168" s="1130">
        <f t="shared" ref="AM168" si="847">AM165*AM167</f>
        <v>244127.40384615381</v>
      </c>
      <c r="AN168" s="675">
        <f>AN165*AN167</f>
        <v>245318.26923076922</v>
      </c>
      <c r="AO168" s="262">
        <f>AO165*AO167</f>
        <v>246509.1346153846</v>
      </c>
      <c r="AP168" s="679">
        <f t="shared" ref="AP168" si="848">AP165*AP167</f>
        <v>245318.26923076922</v>
      </c>
      <c r="AQ168" s="1601">
        <f>AQ165*AQ167</f>
        <v>247699.99999999997</v>
      </c>
      <c r="AR168" s="262">
        <f>AR165*AR167</f>
        <v>248890.86538461538</v>
      </c>
      <c r="AS168" s="238">
        <f t="shared" si="845"/>
        <v>248890.86538461538</v>
      </c>
      <c r="AT168" s="262">
        <f t="shared" ref="AT168:AU168" si="849">AT165*AT167</f>
        <v>250081.73076923075</v>
      </c>
      <c r="AU168" s="262">
        <f t="shared" si="849"/>
        <v>250081.73076923075</v>
      </c>
      <c r="AV168" s="238">
        <f t="shared" si="845"/>
        <v>250081.73076923075</v>
      </c>
      <c r="AW168" s="262">
        <f>AW165*AW167</f>
        <v>251272.59615384517</v>
      </c>
      <c r="AX168" s="262">
        <f t="shared" si="845"/>
        <v>251272.59615384613</v>
      </c>
      <c r="AY168" s="238">
        <f t="shared" ref="AY168:BA168" si="850">AY165*AY167</f>
        <v>251272.59615384613</v>
      </c>
      <c r="AZ168" s="262">
        <f t="shared" si="850"/>
        <v>252463.46153846153</v>
      </c>
      <c r="BA168" s="262">
        <f t="shared" si="850"/>
        <v>252463.46153846153</v>
      </c>
      <c r="BB168" s="238">
        <f t="shared" ref="BB168" si="851">BB165*BB167</f>
        <v>252463.46153846153</v>
      </c>
      <c r="BC168" s="678"/>
      <c r="BD168" s="405"/>
      <c r="BE168" s="405"/>
      <c r="BF168" s="405"/>
      <c r="BG168" s="405"/>
      <c r="BH168" s="378"/>
      <c r="BI168" s="379"/>
      <c r="BJ168" s="379"/>
      <c r="BK168" s="405"/>
      <c r="BL168" s="405"/>
      <c r="BM168" s="405"/>
      <c r="BN168" s="405"/>
      <c r="BO168" s="405"/>
      <c r="BP168" s="405"/>
      <c r="BQ168" s="405"/>
      <c r="BR168" s="405"/>
      <c r="BS168" s="405"/>
      <c r="BT168" s="405"/>
      <c r="BU168" s="399">
        <f>BU165*BU167</f>
        <v>79800</v>
      </c>
      <c r="BV168" s="399">
        <f>L168</f>
        <v>91960</v>
      </c>
      <c r="BW168" s="399">
        <f>BW165*BW167</f>
        <v>102920</v>
      </c>
      <c r="BX168" s="399">
        <f>M168</f>
        <v>113970</v>
      </c>
      <c r="BY168" s="399">
        <f>BY165*BY167</f>
        <v>120600</v>
      </c>
      <c r="BZ168" s="399">
        <f>N168</f>
        <v>132480</v>
      </c>
      <c r="CA168" s="399">
        <f>CA165*CA167</f>
        <v>141360</v>
      </c>
      <c r="CB168" s="399">
        <f>O168</f>
        <v>147250</v>
      </c>
      <c r="CC168" s="399">
        <f>CC165*CC167</f>
        <v>156480</v>
      </c>
      <c r="CD168" s="399">
        <f>P168</f>
        <v>158764.97175141243</v>
      </c>
      <c r="CE168" s="399">
        <f>CE165*CE167</f>
        <v>165620</v>
      </c>
      <c r="CF168" s="399">
        <f>Q168</f>
        <v>168860.71428571429</v>
      </c>
      <c r="CG168" s="399">
        <f>CG165*CG167</f>
        <v>176130</v>
      </c>
      <c r="CH168" s="399">
        <f>R168</f>
        <v>185165.50802139036</v>
      </c>
      <c r="CI168" s="399">
        <f>CI165*CI167</f>
        <v>196900</v>
      </c>
      <c r="CJ168" s="399">
        <f>S168</f>
        <v>201651.80412371136</v>
      </c>
      <c r="CK168" s="399">
        <f>CK165*CK167</f>
        <v>215138.80597014926</v>
      </c>
      <c r="CL168" s="399">
        <f>T168</f>
        <v>217490.04975124379</v>
      </c>
      <c r="CM168" s="399">
        <f>CM165*CM167</f>
        <v>225719.40298507464</v>
      </c>
      <c r="CN168" s="399">
        <f>U168</f>
        <v>229837.01923076922</v>
      </c>
    </row>
    <row r="169" spans="1:92" outlineLevel="1">
      <c r="A169" s="165" t="s">
        <v>820</v>
      </c>
      <c r="B169" s="863" t="s">
        <v>5</v>
      </c>
      <c r="C169" s="1021"/>
      <c r="D169" s="439"/>
      <c r="E169" s="439"/>
      <c r="F169" s="284">
        <f t="shared" ref="F169:T169" si="852">F168/E168-1</f>
        <v>0.23809523809523814</v>
      </c>
      <c r="G169" s="284">
        <f t="shared" si="852"/>
        <v>0.33333333333333326</v>
      </c>
      <c r="H169" s="284">
        <f t="shared" si="852"/>
        <v>0.61538461538461542</v>
      </c>
      <c r="I169" s="284">
        <f t="shared" si="852"/>
        <v>0.47321428571428581</v>
      </c>
      <c r="J169" s="284">
        <f t="shared" si="852"/>
        <v>0.431111111111111</v>
      </c>
      <c r="K169" s="284">
        <f t="shared" si="852"/>
        <v>0.11589497459062681</v>
      </c>
      <c r="L169" s="284">
        <f t="shared" si="852"/>
        <v>0.16331435800126504</v>
      </c>
      <c r="M169" s="284">
        <f t="shared" si="852"/>
        <v>0.23934319269247495</v>
      </c>
      <c r="N169" s="284">
        <f t="shared" si="852"/>
        <v>0.16241116083179774</v>
      </c>
      <c r="O169" s="284">
        <f t="shared" si="852"/>
        <v>0.11148852657004826</v>
      </c>
      <c r="P169" s="284">
        <f t="shared" si="852"/>
        <v>7.8200147717571777E-2</v>
      </c>
      <c r="Q169" s="284">
        <f t="shared" si="852"/>
        <v>6.3589231446526728E-2</v>
      </c>
      <c r="R169" s="284">
        <f t="shared" si="852"/>
        <v>9.6557649922575539E-2</v>
      </c>
      <c r="S169" s="284">
        <f t="shared" si="852"/>
        <v>8.9035459565269148E-2</v>
      </c>
      <c r="T169" s="284">
        <f t="shared" si="852"/>
        <v>7.8542543650220953E-2</v>
      </c>
      <c r="U169" s="284">
        <f>U168/T168-1</f>
        <v>5.6770272909714148E-2</v>
      </c>
      <c r="V169" s="284">
        <f>V168/CM168-1</f>
        <v>3.9345655121830081E-2</v>
      </c>
      <c r="W169" s="284">
        <f>W168/CN168-1</f>
        <v>1.5544041450777257E-2</v>
      </c>
      <c r="X169" s="284">
        <f t="shared" ref="X169:AG169" si="853">X168/U168-1</f>
        <v>1.5544041450777257E-2</v>
      </c>
      <c r="Y169" s="284">
        <f t="shared" si="853"/>
        <v>1.0152284263959421E-2</v>
      </c>
      <c r="Z169" s="284">
        <f t="shared" si="853"/>
        <v>5.1020408163264808E-3</v>
      </c>
      <c r="AA169" s="284">
        <f t="shared" si="853"/>
        <v>5.1020408163264808E-3</v>
      </c>
      <c r="AB169" s="284">
        <f t="shared" si="853"/>
        <v>-1.0050251256281451E-2</v>
      </c>
      <c r="AC169" s="284">
        <f t="shared" si="853"/>
        <v>0</v>
      </c>
      <c r="AD169" s="284">
        <f t="shared" si="853"/>
        <v>0</v>
      </c>
      <c r="AE169" s="284">
        <f>AE168/AD168-1</f>
        <v>5.0761421319795996E-3</v>
      </c>
      <c r="AF169" s="284">
        <f>AF168/AE168-1</f>
        <v>5.050505050505194E-3</v>
      </c>
      <c r="AG169" s="284">
        <f t="shared" si="853"/>
        <v>1.0152284263959421E-2</v>
      </c>
      <c r="AH169" s="284">
        <f>AH168/AE168-1</f>
        <v>2.0202020202020332E-2</v>
      </c>
      <c r="AI169" s="137">
        <f>AI168/AF168-1</f>
        <v>1.5075376884422065E-2</v>
      </c>
      <c r="AJ169" s="284">
        <f t="shared" ref="AJ169" si="854">AJ168/AG168-1</f>
        <v>1.5075376884422065E-2</v>
      </c>
      <c r="AK169" s="137">
        <f>AK168/AH168-1</f>
        <v>9.9009900990099098E-3</v>
      </c>
      <c r="AL169" s="284">
        <f t="shared" ref="AL169:AM169" si="855">AL168/AI168-1</f>
        <v>9.9009900990099098E-3</v>
      </c>
      <c r="AM169" s="284">
        <f t="shared" si="855"/>
        <v>1.4851485148514643E-2</v>
      </c>
      <c r="AN169" s="137">
        <f>AN168/AK168-1</f>
        <v>9.8039215686274161E-3</v>
      </c>
      <c r="AO169" s="284">
        <f>AO168/AL168-1</f>
        <v>1.4705882352941124E-2</v>
      </c>
      <c r="AP169" s="137">
        <f t="shared" ref="AP169" si="856">AP168/AM168-1</f>
        <v>4.8780487804878092E-3</v>
      </c>
      <c r="AQ169" s="1315">
        <f>AQ168/AN168-1</f>
        <v>9.7087378640776656E-3</v>
      </c>
      <c r="AR169" s="284">
        <f t="shared" ref="AR169" si="857">AR168/AO168-1</f>
        <v>9.6618357487923134E-3</v>
      </c>
      <c r="AS169" s="234">
        <f t="shared" ref="AS169:AU169" si="858">AS168/AP168-1</f>
        <v>1.4563106796116498E-2</v>
      </c>
      <c r="AT169" s="284">
        <f t="shared" si="858"/>
        <v>9.6153846153845812E-3</v>
      </c>
      <c r="AU169" s="284">
        <f t="shared" si="858"/>
        <v>4.7846889952152249E-3</v>
      </c>
      <c r="AV169" s="234">
        <f t="shared" ref="AV169" si="859">AV168/AS168-1</f>
        <v>4.7846889952152249E-3</v>
      </c>
      <c r="AW169" s="284">
        <f>AW168/AT168-1</f>
        <v>4.7619047619009702E-3</v>
      </c>
      <c r="AX169" s="284">
        <f t="shared" ref="AX169" si="860">AX168/AU168-1</f>
        <v>4.761904761904745E-3</v>
      </c>
      <c r="AY169" s="234">
        <f t="shared" ref="AY169" si="861">AY168/AV168-1</f>
        <v>4.761904761904745E-3</v>
      </c>
      <c r="AZ169" s="284">
        <f t="shared" ref="AZ169" si="862">AZ168/AW168-1</f>
        <v>4.73933649289493E-3</v>
      </c>
      <c r="BA169" s="284">
        <f t="shared" ref="BA169" si="863">BA168/AX168-1</f>
        <v>4.7393364928911552E-3</v>
      </c>
      <c r="BB169" s="234">
        <f t="shared" ref="BB169" si="864">BB168/AY168-1</f>
        <v>4.7393364928911552E-3</v>
      </c>
      <c r="BC169" s="137"/>
      <c r="BD169" s="359"/>
      <c r="BE169" s="359"/>
      <c r="BF169" s="359"/>
      <c r="BG169" s="359"/>
      <c r="BH169" s="378"/>
      <c r="BI169" s="379"/>
      <c r="BJ169" s="379"/>
      <c r="BK169" s="359"/>
      <c r="BL169" s="359"/>
      <c r="BM169" s="359"/>
      <c r="BN169" s="359"/>
      <c r="BO169" s="359"/>
      <c r="BP169" s="359"/>
      <c r="BQ169" s="359"/>
      <c r="BR169" s="359"/>
      <c r="BS169" s="359"/>
      <c r="BT169" s="359"/>
      <c r="BU169" s="359"/>
      <c r="BV169" s="359"/>
      <c r="BW169" s="359">
        <f t="shared" ref="BW169:CN169" si="865">BW168/BU168-1</f>
        <v>0.28972431077694227</v>
      </c>
      <c r="BX169" s="359">
        <f t="shared" si="865"/>
        <v>0.23934319269247495</v>
      </c>
      <c r="BY169" s="359">
        <f t="shared" si="865"/>
        <v>0.17178390983287994</v>
      </c>
      <c r="BZ169" s="359">
        <f t="shared" si="865"/>
        <v>0.16241116083179774</v>
      </c>
      <c r="CA169" s="359">
        <f t="shared" si="865"/>
        <v>0.1721393034825871</v>
      </c>
      <c r="CB169" s="359">
        <f t="shared" si="865"/>
        <v>0.11148852657004826</v>
      </c>
      <c r="CC169" s="359">
        <f t="shared" si="865"/>
        <v>0.1069609507640068</v>
      </c>
      <c r="CD169" s="359">
        <f t="shared" si="865"/>
        <v>7.8200147717571777E-2</v>
      </c>
      <c r="CE169" s="359">
        <f t="shared" si="865"/>
        <v>5.8410020449897848E-2</v>
      </c>
      <c r="CF169" s="359">
        <f t="shared" si="865"/>
        <v>6.3589231446526728E-2</v>
      </c>
      <c r="CG169" s="359">
        <f t="shared" si="865"/>
        <v>6.3458519502475497E-2</v>
      </c>
      <c r="CH169" s="359">
        <f t="shared" si="865"/>
        <v>9.6557649922575539E-2</v>
      </c>
      <c r="CI169" s="359">
        <f t="shared" si="865"/>
        <v>0.11792426048941129</v>
      </c>
      <c r="CJ169" s="359">
        <f t="shared" si="865"/>
        <v>8.9035459565269148E-2</v>
      </c>
      <c r="CK169" s="359">
        <f t="shared" si="865"/>
        <v>9.2629791620869817E-2</v>
      </c>
      <c r="CL169" s="359">
        <f t="shared" si="865"/>
        <v>7.8542543650220953E-2</v>
      </c>
      <c r="CM169" s="359">
        <f>CM168/CK168-1</f>
        <v>4.9180327868852514E-2</v>
      </c>
      <c r="CN169" s="359">
        <f t="shared" si="865"/>
        <v>5.6770272909714148E-2</v>
      </c>
    </row>
    <row r="170" spans="1:92" outlineLevel="1">
      <c r="A170" s="170"/>
      <c r="B170" s="863" t="s">
        <v>6</v>
      </c>
      <c r="C170" s="1021"/>
      <c r="D170" s="439"/>
      <c r="E170" s="439"/>
      <c r="F170" s="262">
        <f t="shared" ref="F170:T170" si="866">AVERAGE(E168:F168)</f>
        <v>14100</v>
      </c>
      <c r="G170" s="262">
        <f t="shared" si="866"/>
        <v>18200</v>
      </c>
      <c r="H170" s="262">
        <f t="shared" si="866"/>
        <v>27200</v>
      </c>
      <c r="I170" s="603">
        <f t="shared" si="866"/>
        <v>41550</v>
      </c>
      <c r="J170" s="603">
        <f t="shared" si="866"/>
        <v>60170</v>
      </c>
      <c r="K170" s="603">
        <f t="shared" si="866"/>
        <v>74945</v>
      </c>
      <c r="L170" s="603">
        <f t="shared" si="866"/>
        <v>85505</v>
      </c>
      <c r="M170" s="603">
        <f t="shared" si="866"/>
        <v>102965</v>
      </c>
      <c r="N170" s="603">
        <f t="shared" si="866"/>
        <v>123225</v>
      </c>
      <c r="O170" s="603">
        <f t="shared" si="866"/>
        <v>139865</v>
      </c>
      <c r="P170" s="603">
        <f t="shared" si="866"/>
        <v>153007.48587570622</v>
      </c>
      <c r="Q170" s="603">
        <f t="shared" si="866"/>
        <v>163812.84301856335</v>
      </c>
      <c r="R170" s="603">
        <f t="shared" si="866"/>
        <v>177013.11115355231</v>
      </c>
      <c r="S170" s="603">
        <f t="shared" si="866"/>
        <v>193408.65607255086</v>
      </c>
      <c r="T170" s="603">
        <f t="shared" si="866"/>
        <v>209570.92693747758</v>
      </c>
      <c r="U170" s="603">
        <f>AVERAGE(T168:U168)</f>
        <v>223663.53449100652</v>
      </c>
      <c r="V170" s="262">
        <f>AVERAGE(CM168:CO168)</f>
        <v>227778.21110792193</v>
      </c>
      <c r="W170" s="262">
        <f>AVERAGE(V168:W168)</f>
        <v>234005.04807692306</v>
      </c>
      <c r="X170" s="603">
        <f>(X168+U168)*0.5</f>
        <v>231623.31730769231</v>
      </c>
      <c r="Y170" s="262">
        <f>AVERAGE(X168:Y168)</f>
        <v>235195.91346153844</v>
      </c>
      <c r="Z170" s="262">
        <f>AVERAGE(Y168:Z168)</f>
        <v>235791.34615384613</v>
      </c>
      <c r="AA170" s="603">
        <f>(AA168+X168)*0.5</f>
        <v>234005.04807692306</v>
      </c>
      <c r="AB170" s="262">
        <f>AVERAGE(AA168:AB168)</f>
        <v>234600.48076923075</v>
      </c>
      <c r="AC170" s="262">
        <f>AVERAGE(AB168:AC168)</f>
        <v>234600.48076923075</v>
      </c>
      <c r="AD170" s="603">
        <f>(AD168+AA168)*0.5</f>
        <v>234600.48076923075</v>
      </c>
      <c r="AE170" s="262">
        <f>AVERAGE(AD168:AE168)</f>
        <v>235195.91346153844</v>
      </c>
      <c r="AF170" s="262">
        <f>AVERAGE(AE168:AF168)</f>
        <v>236386.77884615381</v>
      </c>
      <c r="AG170" s="1130">
        <f>(AG168+AD168)*0.5</f>
        <v>235791.34615384613</v>
      </c>
      <c r="AH170" s="262">
        <f>AVERAGE(AG168:AH168)</f>
        <v>238768.50961538462</v>
      </c>
      <c r="AI170" s="675">
        <f>AVERAGE(AH168:AI168)</f>
        <v>240554.80769230769</v>
      </c>
      <c r="AJ170" s="1130">
        <f>(AJ168+AG168)*0.5</f>
        <v>238768.50961538462</v>
      </c>
      <c r="AK170" s="675">
        <f>AVERAGE(AJ168:AK168)</f>
        <v>241745.67307692306</v>
      </c>
      <c r="AL170" s="675">
        <f t="shared" ref="AL170" si="867">AVERAGE(AK168:AL168)</f>
        <v>242936.53846153844</v>
      </c>
      <c r="AM170" s="1130">
        <f>(AM168+AJ168)*0.5</f>
        <v>242341.10576923075</v>
      </c>
      <c r="AN170" s="675">
        <f>AVERAGE(AM168:AN168)</f>
        <v>244722.8365384615</v>
      </c>
      <c r="AO170" s="675">
        <f>AVERAGE(AN168:AO168)</f>
        <v>245913.70192307691</v>
      </c>
      <c r="AP170" s="679">
        <f>(AP168+AM168)*0.5</f>
        <v>244722.8365384615</v>
      </c>
      <c r="AQ170" s="1601">
        <f>AVERAGE(AP168:AQ168)</f>
        <v>246509.1346153846</v>
      </c>
      <c r="AR170" s="675">
        <f t="shared" ref="AR170" si="868">AVERAGE(AQ168:AR168)</f>
        <v>248295.43269230769</v>
      </c>
      <c r="AS170" s="679">
        <f t="shared" ref="AS170" si="869">(AS168+AP168)*0.5</f>
        <v>247104.56730769231</v>
      </c>
      <c r="AT170" s="675">
        <f t="shared" ref="AT170:AU170" si="870">AVERAGE(AS168:AT168)</f>
        <v>249486.29807692306</v>
      </c>
      <c r="AU170" s="675">
        <f t="shared" si="870"/>
        <v>250081.73076923075</v>
      </c>
      <c r="AV170" s="679">
        <f t="shared" ref="AV170" si="871">(AV168+AS168)*0.5</f>
        <v>249486.29807692306</v>
      </c>
      <c r="AW170" s="675">
        <f>AVERAGE(AV168:AW168)</f>
        <v>250677.16346153797</v>
      </c>
      <c r="AX170" s="675">
        <f t="shared" ref="AX170" si="872">AVERAGE(AW168:AX168)</f>
        <v>251272.59615384566</v>
      </c>
      <c r="AY170" s="679">
        <f t="shared" ref="AY170" si="873">(AY168+AV168)*0.5</f>
        <v>250677.16346153844</v>
      </c>
      <c r="AZ170" s="675">
        <f t="shared" ref="AZ170" si="874">AVERAGE(AY168:AZ168)</f>
        <v>251868.02884615381</v>
      </c>
      <c r="BA170" s="675">
        <f t="shared" ref="BA170" si="875">AVERAGE(AZ168:BA168)</f>
        <v>252463.46153846153</v>
      </c>
      <c r="BB170" s="679">
        <f t="shared" ref="BB170" si="876">(BB168+AY168)*0.5</f>
        <v>251868.02884615381</v>
      </c>
      <c r="BC170" s="679"/>
      <c r="BD170" s="399"/>
      <c r="BE170" s="399"/>
      <c r="BF170" s="399"/>
      <c r="BG170" s="399"/>
      <c r="BH170" s="378"/>
      <c r="BI170" s="379"/>
      <c r="BJ170" s="379"/>
      <c r="BK170" s="359"/>
      <c r="BL170" s="359"/>
      <c r="BM170" s="359"/>
      <c r="BN170" s="359"/>
      <c r="BO170" s="359"/>
      <c r="BP170" s="359"/>
      <c r="BQ170" s="359"/>
      <c r="BR170" s="359"/>
      <c r="BS170" s="359"/>
      <c r="BT170" s="359"/>
      <c r="BU170" s="359"/>
      <c r="BV170" s="399">
        <f t="shared" ref="BV170:CN170" si="877">AVERAGE(BU168:BV168)</f>
        <v>85880</v>
      </c>
      <c r="BW170" s="399">
        <f t="shared" si="877"/>
        <v>97440</v>
      </c>
      <c r="BX170" s="399">
        <f t="shared" si="877"/>
        <v>108445</v>
      </c>
      <c r="BY170" s="399">
        <f t="shared" si="877"/>
        <v>117285</v>
      </c>
      <c r="BZ170" s="399">
        <f t="shared" si="877"/>
        <v>126540</v>
      </c>
      <c r="CA170" s="399">
        <f t="shared" si="877"/>
        <v>136920</v>
      </c>
      <c r="CB170" s="399">
        <f t="shared" si="877"/>
        <v>144305</v>
      </c>
      <c r="CC170" s="399">
        <f t="shared" si="877"/>
        <v>151865</v>
      </c>
      <c r="CD170" s="399">
        <f t="shared" si="877"/>
        <v>157622.48587570622</v>
      </c>
      <c r="CE170" s="399">
        <f t="shared" si="877"/>
        <v>162192.48587570622</v>
      </c>
      <c r="CF170" s="399">
        <f t="shared" si="877"/>
        <v>167240.35714285716</v>
      </c>
      <c r="CG170" s="399">
        <f t="shared" si="877"/>
        <v>172495.35714285716</v>
      </c>
      <c r="CH170" s="399">
        <f t="shared" si="877"/>
        <v>180647.75401069518</v>
      </c>
      <c r="CI170" s="399">
        <f t="shared" si="877"/>
        <v>191032.75401069518</v>
      </c>
      <c r="CJ170" s="399">
        <f t="shared" si="877"/>
        <v>199275.90206185568</v>
      </c>
      <c r="CK170" s="399">
        <f t="shared" si="877"/>
        <v>208395.30504693033</v>
      </c>
      <c r="CL170" s="399">
        <f t="shared" si="877"/>
        <v>216314.42786069651</v>
      </c>
      <c r="CM170" s="399">
        <f t="shared" si="877"/>
        <v>221604.72636815923</v>
      </c>
      <c r="CN170" s="399">
        <f t="shared" si="877"/>
        <v>227778.21110792193</v>
      </c>
    </row>
    <row r="171" spans="1:92" outlineLevel="1">
      <c r="A171" s="170"/>
      <c r="B171" s="863" t="s">
        <v>833</v>
      </c>
      <c r="C171" s="1021"/>
      <c r="D171" s="439"/>
      <c r="E171" s="275"/>
      <c r="F171" s="610">
        <f>1000000*F90/F170</f>
        <v>25236.524822695035</v>
      </c>
      <c r="G171" s="610">
        <f t="shared" ref="G171:U171" si="878">1000000*G90/G170</f>
        <v>24854.780219780219</v>
      </c>
      <c r="H171" s="610">
        <f t="shared" si="878"/>
        <v>25512.610294117647</v>
      </c>
      <c r="I171" s="610">
        <f t="shared" si="878"/>
        <v>22763.441636582429</v>
      </c>
      <c r="J171" s="610">
        <f t="shared" si="878"/>
        <v>21303.589828818349</v>
      </c>
      <c r="K171" s="610">
        <f t="shared" si="878"/>
        <v>24398.745746881046</v>
      </c>
      <c r="L171" s="610">
        <f t="shared" si="878"/>
        <v>27217.89369042746</v>
      </c>
      <c r="M171" s="610">
        <f t="shared" si="878"/>
        <v>26526.683824600594</v>
      </c>
      <c r="N171" s="610">
        <f t="shared" si="878"/>
        <v>24015.037532968148</v>
      </c>
      <c r="O171" s="610">
        <f t="shared" si="878"/>
        <v>22362.935687984842</v>
      </c>
      <c r="P171" s="610">
        <f t="shared" si="878"/>
        <v>21622.471482784436</v>
      </c>
      <c r="Q171" s="610">
        <f t="shared" si="878"/>
        <v>21266.800183702428</v>
      </c>
      <c r="R171" s="610">
        <f t="shared" si="878"/>
        <v>20632.008421296588</v>
      </c>
      <c r="S171" s="610">
        <f t="shared" si="878"/>
        <v>20446.173818180156</v>
      </c>
      <c r="T171" s="610">
        <f t="shared" si="878"/>
        <v>20850.220323277983</v>
      </c>
      <c r="U171" s="610">
        <f t="shared" si="878"/>
        <v>21250.670167653625</v>
      </c>
      <c r="V171" s="284">
        <f>V166/CM166-1</f>
        <v>2.1220159151193574E-2</v>
      </c>
      <c r="W171" s="284"/>
      <c r="X171" s="610">
        <f>1000000*X90/X170</f>
        <v>21359.680266679672</v>
      </c>
      <c r="Y171" s="284">
        <f>Y166/V166-1</f>
        <v>2.5974025974025983E-2</v>
      </c>
      <c r="Z171" s="284"/>
      <c r="AA171" s="610"/>
      <c r="AB171" s="284"/>
      <c r="AC171" s="284"/>
      <c r="AD171" s="610"/>
      <c r="AE171" s="284"/>
      <c r="AF171" s="284"/>
      <c r="AG171" s="610"/>
      <c r="AH171" s="284"/>
      <c r="AI171" s="137"/>
      <c r="AJ171" s="610"/>
      <c r="AK171" s="137"/>
      <c r="AL171" s="284"/>
      <c r="AM171" s="610"/>
      <c r="AN171" s="137"/>
      <c r="AO171" s="284"/>
      <c r="AP171" s="695"/>
      <c r="AQ171" s="1315"/>
      <c r="AR171" s="284"/>
      <c r="AS171" s="234"/>
      <c r="AT171" s="284"/>
      <c r="AU171" s="284"/>
      <c r="AV171" s="234"/>
      <c r="AW171" s="284"/>
      <c r="AX171" s="284"/>
      <c r="AY171" s="234"/>
      <c r="AZ171" s="284"/>
      <c r="BA171" s="284"/>
      <c r="BB171" s="234"/>
      <c r="BC171" s="137"/>
      <c r="BD171" s="359"/>
      <c r="BE171" s="359"/>
      <c r="BF171" s="359"/>
      <c r="BG171" s="359"/>
      <c r="BH171" s="378"/>
      <c r="BI171" s="379"/>
      <c r="BJ171" s="379"/>
      <c r="BK171" s="359"/>
      <c r="BL171" s="359"/>
      <c r="BM171" s="359"/>
      <c r="BN171" s="359"/>
      <c r="BO171" s="359"/>
      <c r="BP171" s="359"/>
      <c r="BQ171" s="359"/>
      <c r="BR171" s="359"/>
      <c r="BS171" s="359"/>
      <c r="BT171" s="359"/>
      <c r="BU171" s="359"/>
      <c r="BV171" s="359"/>
      <c r="BW171" s="359"/>
      <c r="BX171" s="359"/>
      <c r="BY171" s="359"/>
      <c r="BZ171" s="359"/>
      <c r="CA171" s="359"/>
      <c r="CB171" s="359"/>
      <c r="CC171" s="359"/>
      <c r="CD171" s="359"/>
      <c r="CE171" s="359"/>
      <c r="CF171" s="359"/>
      <c r="CG171" s="359"/>
      <c r="CH171" s="359"/>
      <c r="CI171" s="359"/>
      <c r="CJ171" s="359"/>
      <c r="CK171" s="359"/>
      <c r="CL171" s="359"/>
      <c r="CM171" s="359"/>
      <c r="CN171" s="359"/>
    </row>
    <row r="172" spans="1:92" outlineLevel="1">
      <c r="A172" s="170"/>
      <c r="B172" s="1025" t="s">
        <v>526</v>
      </c>
      <c r="C172" s="1021"/>
      <c r="D172" s="1021"/>
      <c r="E172" s="1021"/>
      <c r="F172" s="262"/>
      <c r="G172" s="262"/>
      <c r="H172" s="262"/>
      <c r="I172" s="607"/>
      <c r="J172" s="607"/>
      <c r="K172" s="262"/>
      <c r="L172" s="262"/>
      <c r="M172" s="262"/>
      <c r="N172" s="262"/>
      <c r="O172" s="262"/>
      <c r="P172" s="262"/>
      <c r="Q172" s="262"/>
      <c r="R172" s="262"/>
      <c r="S172" s="262"/>
      <c r="T172" s="262"/>
      <c r="U172" s="262"/>
      <c r="V172" s="262"/>
      <c r="W172" s="262"/>
      <c r="X172" s="262"/>
      <c r="Y172" s="262"/>
      <c r="Z172" s="262"/>
      <c r="AA172" s="262"/>
      <c r="AB172" s="262"/>
      <c r="AC172" s="262"/>
      <c r="AD172" s="262"/>
      <c r="AE172" s="262"/>
      <c r="AF172" s="262"/>
      <c r="AG172" s="262"/>
      <c r="AH172" s="262"/>
      <c r="AI172" s="675"/>
      <c r="AJ172" s="262"/>
      <c r="AK172" s="675"/>
      <c r="AL172" s="262"/>
      <c r="AM172" s="262"/>
      <c r="AN172" s="675"/>
      <c r="AO172" s="262"/>
      <c r="AP172" s="675"/>
      <c r="AQ172" s="1601"/>
      <c r="AR172" s="262"/>
      <c r="AS172" s="237"/>
      <c r="AT172" s="262"/>
      <c r="AU172" s="262"/>
      <c r="AV172" s="237"/>
      <c r="AW172" s="262"/>
      <c r="AX172" s="262"/>
      <c r="AY172" s="237"/>
      <c r="AZ172" s="262"/>
      <c r="BA172" s="262"/>
      <c r="BB172" s="237"/>
      <c r="BC172" s="676"/>
      <c r="BD172" s="403"/>
      <c r="BE172" s="403"/>
      <c r="BF172" s="403"/>
      <c r="BG172" s="403"/>
      <c r="BH172" s="378"/>
      <c r="BI172" s="379"/>
      <c r="BJ172" s="379"/>
      <c r="BK172" s="399"/>
      <c r="BL172" s="399"/>
      <c r="BM172" s="399"/>
      <c r="BN172" s="399"/>
      <c r="BO172" s="399"/>
      <c r="BP172" s="399"/>
      <c r="BQ172" s="399"/>
      <c r="BR172" s="399"/>
      <c r="BS172" s="399"/>
      <c r="BT172" s="399"/>
      <c r="BU172" s="399"/>
      <c r="BV172" s="399"/>
      <c r="BW172" s="399"/>
      <c r="BX172" s="399"/>
      <c r="BY172" s="399"/>
      <c r="BZ172" s="399"/>
      <c r="CA172" s="399"/>
      <c r="CB172" s="399"/>
      <c r="CC172" s="399"/>
      <c r="CD172" s="399"/>
      <c r="CE172" s="399"/>
      <c r="CF172" s="399"/>
      <c r="CG172" s="399"/>
      <c r="CH172" s="399"/>
      <c r="CI172" s="399"/>
      <c r="CJ172" s="399"/>
      <c r="CK172" s="399"/>
      <c r="CL172" s="399"/>
      <c r="CM172" s="399"/>
      <c r="CN172" s="399"/>
    </row>
    <row r="173" spans="1:92" outlineLevel="1">
      <c r="A173" s="170"/>
      <c r="B173" s="1022" t="s">
        <v>608</v>
      </c>
      <c r="C173" s="1023"/>
      <c r="D173" s="1023"/>
      <c r="E173" s="1023"/>
      <c r="F173" s="599"/>
      <c r="G173" s="599"/>
      <c r="H173" s="599"/>
      <c r="I173" s="608"/>
      <c r="J173" s="608">
        <v>0</v>
      </c>
      <c r="K173" s="599">
        <f t="shared" ref="K173:R173" si="879">J185</f>
        <v>12</v>
      </c>
      <c r="L173" s="599">
        <f t="shared" si="879"/>
        <v>12</v>
      </c>
      <c r="M173" s="599">
        <f t="shared" si="879"/>
        <v>14</v>
      </c>
      <c r="N173" s="599">
        <f t="shared" si="879"/>
        <v>10</v>
      </c>
      <c r="O173" s="599">
        <f t="shared" si="879"/>
        <v>13</v>
      </c>
      <c r="P173" s="599">
        <f t="shared" si="879"/>
        <v>13</v>
      </c>
      <c r="Q173" s="599">
        <f t="shared" si="879"/>
        <v>13</v>
      </c>
      <c r="R173" s="599">
        <f t="shared" si="879"/>
        <v>13</v>
      </c>
      <c r="S173" s="599">
        <f t="shared" ref="S173:U173" si="880">R177</f>
        <v>11</v>
      </c>
      <c r="T173" s="599">
        <f t="shared" si="880"/>
        <v>11</v>
      </c>
      <c r="U173" s="599">
        <f t="shared" si="880"/>
        <v>12</v>
      </c>
      <c r="V173" s="599">
        <f>CM177</f>
        <v>15</v>
      </c>
      <c r="W173" s="599">
        <f>V177</f>
        <v>14</v>
      </c>
      <c r="X173" s="599">
        <f>U177</f>
        <v>15</v>
      </c>
      <c r="Y173" s="599">
        <f>X177</f>
        <v>14</v>
      </c>
      <c r="Z173" s="599">
        <f t="shared" ref="Z173:AE173" si="881">Y177</f>
        <v>14</v>
      </c>
      <c r="AA173" s="599">
        <f t="shared" si="881"/>
        <v>14</v>
      </c>
      <c r="AB173" s="599">
        <f t="shared" si="881"/>
        <v>14</v>
      </c>
      <c r="AC173" s="599">
        <f t="shared" si="881"/>
        <v>14</v>
      </c>
      <c r="AD173" s="599">
        <f t="shared" si="881"/>
        <v>14</v>
      </c>
      <c r="AE173" s="599">
        <f t="shared" si="881"/>
        <v>14</v>
      </c>
      <c r="AF173" s="599">
        <f>AE177</f>
        <v>14</v>
      </c>
      <c r="AG173" s="599">
        <f>AD177</f>
        <v>14</v>
      </c>
      <c r="AH173" s="599">
        <f>AG177</f>
        <v>14</v>
      </c>
      <c r="AI173" s="670">
        <f>AH177</f>
        <v>14</v>
      </c>
      <c r="AJ173" s="599">
        <f>AG177</f>
        <v>14</v>
      </c>
      <c r="AK173" s="670">
        <f>AJ177</f>
        <v>14</v>
      </c>
      <c r="AL173" s="670">
        <f t="shared" ref="AL173" si="882">AK177</f>
        <v>17</v>
      </c>
      <c r="AM173" s="599">
        <f>AJ177</f>
        <v>14</v>
      </c>
      <c r="AN173" s="670">
        <f>AM177</f>
        <v>19</v>
      </c>
      <c r="AO173" s="670">
        <f>AN177</f>
        <v>21</v>
      </c>
      <c r="AP173" s="1706">
        <f>AM177</f>
        <v>19</v>
      </c>
      <c r="AQ173" s="1602">
        <f t="shared" ref="AQ173:AR173" si="883">AP177</f>
        <v>23</v>
      </c>
      <c r="AR173" s="670">
        <f t="shared" si="883"/>
        <v>24</v>
      </c>
      <c r="AS173" s="670">
        <f t="shared" ref="AS173" si="884">AP177</f>
        <v>23</v>
      </c>
      <c r="AT173" s="670">
        <f t="shared" ref="AT173:AU173" si="885">AS177</f>
        <v>25</v>
      </c>
      <c r="AU173" s="670">
        <f t="shared" si="885"/>
        <v>25</v>
      </c>
      <c r="AV173" s="670">
        <f t="shared" ref="AV173" si="886">AS177</f>
        <v>25</v>
      </c>
      <c r="AW173" s="670">
        <f>AV177</f>
        <v>26</v>
      </c>
      <c r="AX173" s="670">
        <f t="shared" ref="AX173" si="887">AW177</f>
        <v>26</v>
      </c>
      <c r="AY173" s="670">
        <f t="shared" ref="AY173" si="888">AV177</f>
        <v>26</v>
      </c>
      <c r="AZ173" s="670">
        <f t="shared" ref="AZ173" si="889">AY177</f>
        <v>27</v>
      </c>
      <c r="BA173" s="670">
        <f t="shared" ref="BA173" si="890">AZ177</f>
        <v>27</v>
      </c>
      <c r="BB173" s="670">
        <f t="shared" ref="BB173" si="891">AY177</f>
        <v>27</v>
      </c>
      <c r="BC173" s="675"/>
      <c r="BD173" s="399"/>
      <c r="BE173" s="399"/>
      <c r="BF173" s="399"/>
      <c r="BG173" s="399"/>
      <c r="BH173" s="378"/>
      <c r="BI173" s="379"/>
      <c r="BJ173" s="379"/>
      <c r="BK173" s="459"/>
      <c r="BL173" s="459"/>
      <c r="BM173" s="459"/>
      <c r="BN173" s="459"/>
      <c r="BO173" s="459"/>
      <c r="BP173" s="459"/>
      <c r="BQ173" s="459"/>
      <c r="BR173" s="459"/>
      <c r="BS173" s="459">
        <f t="shared" ref="BS173:CN173" si="892">BR177</f>
        <v>12</v>
      </c>
      <c r="BT173" s="459">
        <f t="shared" si="892"/>
        <v>15</v>
      </c>
      <c r="BU173" s="459">
        <f t="shared" si="892"/>
        <v>12</v>
      </c>
      <c r="BV173" s="459">
        <f t="shared" si="892"/>
        <v>14</v>
      </c>
      <c r="BW173" s="459">
        <f t="shared" si="892"/>
        <v>14</v>
      </c>
      <c r="BX173" s="459">
        <f t="shared" si="892"/>
        <v>13</v>
      </c>
      <c r="BY173" s="459">
        <f t="shared" si="892"/>
        <v>10</v>
      </c>
      <c r="BZ173" s="459">
        <f t="shared" si="892"/>
        <v>13</v>
      </c>
      <c r="CA173" s="459">
        <f t="shared" si="892"/>
        <v>13</v>
      </c>
      <c r="CB173" s="459">
        <f t="shared" si="892"/>
        <v>13</v>
      </c>
      <c r="CC173" s="459">
        <f t="shared" si="892"/>
        <v>13</v>
      </c>
      <c r="CD173" s="459">
        <f t="shared" si="892"/>
        <v>13</v>
      </c>
      <c r="CE173" s="459">
        <f t="shared" si="892"/>
        <v>13</v>
      </c>
      <c r="CF173" s="459">
        <f t="shared" si="892"/>
        <v>13</v>
      </c>
      <c r="CG173" s="459">
        <f t="shared" si="892"/>
        <v>13</v>
      </c>
      <c r="CH173" s="459">
        <f t="shared" si="892"/>
        <v>13</v>
      </c>
      <c r="CI173" s="459">
        <f t="shared" si="892"/>
        <v>11</v>
      </c>
      <c r="CJ173" s="459">
        <f t="shared" si="892"/>
        <v>11</v>
      </c>
      <c r="CK173" s="459">
        <f t="shared" si="892"/>
        <v>11</v>
      </c>
      <c r="CL173" s="459">
        <f t="shared" si="892"/>
        <v>12</v>
      </c>
      <c r="CM173" s="459">
        <f t="shared" si="892"/>
        <v>12</v>
      </c>
      <c r="CN173" s="459">
        <f t="shared" si="892"/>
        <v>15</v>
      </c>
    </row>
    <row r="174" spans="1:92" outlineLevel="1">
      <c r="A174" s="170"/>
      <c r="B174" s="904" t="s">
        <v>450</v>
      </c>
      <c r="C174" s="1021"/>
      <c r="D174" s="1021"/>
      <c r="E174" s="1021"/>
      <c r="F174" s="262"/>
      <c r="G174" s="262"/>
      <c r="H174" s="262"/>
      <c r="I174" s="601"/>
      <c r="J174" s="601">
        <v>12</v>
      </c>
      <c r="K174" s="601">
        <v>4</v>
      </c>
      <c r="L174" s="601">
        <v>3</v>
      </c>
      <c r="M174" s="601">
        <v>2</v>
      </c>
      <c r="N174" s="601">
        <v>3</v>
      </c>
      <c r="O174" s="601">
        <v>0</v>
      </c>
      <c r="P174" s="601">
        <v>0</v>
      </c>
      <c r="Q174" s="601">
        <v>0</v>
      </c>
      <c r="R174" s="601">
        <v>0</v>
      </c>
      <c r="S174" s="601">
        <v>1</v>
      </c>
      <c r="T174" s="601">
        <v>1</v>
      </c>
      <c r="U174" s="601">
        <v>0</v>
      </c>
      <c r="V174" s="601">
        <v>0</v>
      </c>
      <c r="W174" s="601">
        <f>X174-V174</f>
        <v>0</v>
      </c>
      <c r="X174" s="601">
        <v>0</v>
      </c>
      <c r="Y174" s="601">
        <v>0</v>
      </c>
      <c r="Z174" s="601">
        <f>AA174-Y174</f>
        <v>0</v>
      </c>
      <c r="AA174" s="601">
        <v>0</v>
      </c>
      <c r="AB174" s="601">
        <f>ROUND(AD174/2,0)</f>
        <v>0</v>
      </c>
      <c r="AC174" s="601">
        <f>AD174-AB174</f>
        <v>0</v>
      </c>
      <c r="AD174" s="601">
        <v>0</v>
      </c>
      <c r="AE174" s="601">
        <f>ROUND(AG174/2,0)</f>
        <v>0</v>
      </c>
      <c r="AF174" s="601">
        <f>AG174-AE174</f>
        <v>0</v>
      </c>
      <c r="AG174" s="601">
        <v>0</v>
      </c>
      <c r="AH174" s="601">
        <v>0</v>
      </c>
      <c r="AI174" s="683">
        <f>AJ174-AH174</f>
        <v>0</v>
      </c>
      <c r="AJ174" s="601">
        <v>0</v>
      </c>
      <c r="AK174" s="1259">
        <v>3</v>
      </c>
      <c r="AL174" s="683">
        <v>0</v>
      </c>
      <c r="AM174" s="601">
        <v>5</v>
      </c>
      <c r="AN174" s="1920">
        <v>2</v>
      </c>
      <c r="AO174" s="682">
        <f>AP174-AN174</f>
        <v>2</v>
      </c>
      <c r="AP174" s="1259">
        <v>4</v>
      </c>
      <c r="AQ174" s="1643">
        <v>1</v>
      </c>
      <c r="AR174" s="682">
        <v>1</v>
      </c>
      <c r="AS174" s="685">
        <f>+AQ174+AR174</f>
        <v>2</v>
      </c>
      <c r="AT174" s="682">
        <v>0</v>
      </c>
      <c r="AU174" s="682">
        <v>1</v>
      </c>
      <c r="AV174" s="685">
        <f>+AT174+AU174</f>
        <v>1</v>
      </c>
      <c r="AW174" s="682">
        <v>0</v>
      </c>
      <c r="AX174" s="682">
        <v>1</v>
      </c>
      <c r="AY174" s="685">
        <f>+AW174+AX174</f>
        <v>1</v>
      </c>
      <c r="AZ174" s="682">
        <v>0</v>
      </c>
      <c r="BA174" s="682">
        <v>1</v>
      </c>
      <c r="BB174" s="685">
        <f>+AZ174+BA174</f>
        <v>1</v>
      </c>
      <c r="BC174" s="671"/>
      <c r="BD174" s="403"/>
      <c r="BE174" s="403"/>
      <c r="BF174" s="403"/>
      <c r="BG174" s="403"/>
      <c r="BH174" s="378"/>
      <c r="BI174" s="379"/>
      <c r="BJ174" s="379"/>
      <c r="BK174" s="462"/>
      <c r="BL174" s="462"/>
      <c r="BM174" s="462"/>
      <c r="BN174" s="462"/>
      <c r="BO174" s="462"/>
      <c r="BP174" s="462"/>
      <c r="BQ174" s="462"/>
      <c r="BR174" s="462"/>
      <c r="BS174" s="463">
        <v>3</v>
      </c>
      <c r="BT174" s="463">
        <v>1</v>
      </c>
      <c r="BU174" s="463">
        <v>2</v>
      </c>
      <c r="BV174" s="463">
        <v>1</v>
      </c>
      <c r="BW174" s="463">
        <v>1</v>
      </c>
      <c r="BX174" s="463">
        <v>1</v>
      </c>
      <c r="BY174" s="463">
        <v>3</v>
      </c>
      <c r="BZ174" s="463">
        <v>0</v>
      </c>
      <c r="CA174" s="463"/>
      <c r="CB174" s="463"/>
      <c r="CC174" s="463"/>
      <c r="CD174" s="463"/>
      <c r="CE174" s="463"/>
      <c r="CF174" s="463"/>
      <c r="CG174" s="463">
        <v>0</v>
      </c>
      <c r="CH174" s="460">
        <f>R174-CG174</f>
        <v>0</v>
      </c>
      <c r="CI174" s="463">
        <v>1</v>
      </c>
      <c r="CJ174" s="460">
        <f>S174-CI174</f>
        <v>0</v>
      </c>
      <c r="CK174" s="463">
        <v>1</v>
      </c>
      <c r="CL174" s="463">
        <f>T174-CK174</f>
        <v>0</v>
      </c>
      <c r="CM174" s="463">
        <v>0</v>
      </c>
      <c r="CN174" s="463">
        <f>U174-CM174</f>
        <v>0</v>
      </c>
    </row>
    <row r="175" spans="1:92" outlineLevel="1">
      <c r="A175" s="170"/>
      <c r="B175" s="904" t="s">
        <v>617</v>
      </c>
      <c r="C175" s="1015"/>
      <c r="D175" s="1015"/>
      <c r="E175" s="1015"/>
      <c r="F175" s="596"/>
      <c r="G175" s="596"/>
      <c r="H175" s="596"/>
      <c r="I175" s="600"/>
      <c r="J175" s="600"/>
      <c r="K175" s="600"/>
      <c r="L175" s="600"/>
      <c r="M175" s="600"/>
      <c r="N175" s="600"/>
      <c r="O175" s="600"/>
      <c r="P175" s="600"/>
      <c r="Q175" s="600"/>
      <c r="R175" s="600">
        <v>-2</v>
      </c>
      <c r="S175" s="600">
        <v>-1</v>
      </c>
      <c r="T175" s="600">
        <v>0</v>
      </c>
      <c r="U175" s="600">
        <v>4</v>
      </c>
      <c r="V175" s="600">
        <v>0</v>
      </c>
      <c r="W175" s="600">
        <f>X175-V175</f>
        <v>0</v>
      </c>
      <c r="X175" s="600">
        <v>0</v>
      </c>
      <c r="Y175" s="600">
        <v>0</v>
      </c>
      <c r="Z175" s="600">
        <f>AA175-Y175</f>
        <v>0</v>
      </c>
      <c r="AA175" s="600">
        <v>0</v>
      </c>
      <c r="AB175" s="600"/>
      <c r="AC175" s="600"/>
      <c r="AD175" s="600">
        <v>0</v>
      </c>
      <c r="AE175" s="600"/>
      <c r="AF175" s="600"/>
      <c r="AG175" s="601">
        <v>0</v>
      </c>
      <c r="AH175" s="601">
        <v>0</v>
      </c>
      <c r="AI175" s="937">
        <f t="shared" ref="AI175:AI176" si="893">AJ175-AH175</f>
        <v>0</v>
      </c>
      <c r="AJ175" s="601">
        <v>0</v>
      </c>
      <c r="AK175" s="1259">
        <v>0</v>
      </c>
      <c r="AL175" s="937">
        <f t="shared" ref="AL175:AU176" si="894">AM175-AK175</f>
        <v>0</v>
      </c>
      <c r="AM175" s="601">
        <v>0</v>
      </c>
      <c r="AN175" s="1259">
        <v>0</v>
      </c>
      <c r="AO175" s="937">
        <f>AP175-AN175</f>
        <v>0</v>
      </c>
      <c r="AP175" s="1259">
        <v>0</v>
      </c>
      <c r="AQ175" s="1741">
        <v>0</v>
      </c>
      <c r="AR175" s="937">
        <f t="shared" si="894"/>
        <v>0</v>
      </c>
      <c r="AS175" s="572">
        <v>0</v>
      </c>
      <c r="AT175" s="936">
        <v>0</v>
      </c>
      <c r="AU175" s="937">
        <f t="shared" si="894"/>
        <v>0</v>
      </c>
      <c r="AV175" s="572">
        <v>0</v>
      </c>
      <c r="AW175" s="936">
        <v>0</v>
      </c>
      <c r="AX175" s="937">
        <f t="shared" ref="AX175:AX176" si="895">AY175-AW175</f>
        <v>0</v>
      </c>
      <c r="AY175" s="572">
        <v>0</v>
      </c>
      <c r="AZ175" s="936">
        <v>0</v>
      </c>
      <c r="BA175" s="937">
        <f t="shared" ref="BA175:BA176" si="896">BB175-AZ175</f>
        <v>0</v>
      </c>
      <c r="BB175" s="572">
        <v>0</v>
      </c>
      <c r="BC175" s="572"/>
      <c r="BD175" s="407"/>
      <c r="BE175" s="407"/>
      <c r="BF175" s="407"/>
      <c r="BG175" s="407"/>
      <c r="BH175" s="378"/>
      <c r="BI175" s="379"/>
      <c r="BJ175" s="379"/>
      <c r="BK175" s="458"/>
      <c r="BL175" s="458"/>
      <c r="BM175" s="458"/>
      <c r="BN175" s="458"/>
      <c r="BO175" s="458"/>
      <c r="BP175" s="458"/>
      <c r="BQ175" s="458"/>
      <c r="BR175" s="458"/>
      <c r="BS175" s="460"/>
      <c r="BT175" s="460">
        <v>-4</v>
      </c>
      <c r="BU175" s="460">
        <v>0</v>
      </c>
      <c r="BV175" s="460">
        <v>-1</v>
      </c>
      <c r="BW175" s="460">
        <v>-2</v>
      </c>
      <c r="BX175" s="460">
        <v>-4</v>
      </c>
      <c r="BY175" s="460">
        <v>0</v>
      </c>
      <c r="BZ175" s="460">
        <v>0</v>
      </c>
      <c r="CA175" s="460"/>
      <c r="CB175" s="460"/>
      <c r="CC175" s="460"/>
      <c r="CD175" s="460"/>
      <c r="CE175" s="460"/>
      <c r="CF175" s="460"/>
      <c r="CG175" s="460">
        <v>0</v>
      </c>
      <c r="CH175" s="460">
        <v>-2</v>
      </c>
      <c r="CI175" s="460">
        <v>-1</v>
      </c>
      <c r="CJ175" s="460">
        <f>S175-CI175</f>
        <v>0</v>
      </c>
      <c r="CK175" s="460">
        <v>0</v>
      </c>
      <c r="CL175" s="460">
        <f>T175-CK175</f>
        <v>0</v>
      </c>
      <c r="CM175" s="460">
        <v>4</v>
      </c>
      <c r="CN175" s="460">
        <f>U175-CM175</f>
        <v>0</v>
      </c>
    </row>
    <row r="176" spans="1:92" outlineLevel="1">
      <c r="A176" s="170"/>
      <c r="B176" s="904" t="s">
        <v>451</v>
      </c>
      <c r="C176" s="1015"/>
      <c r="D176" s="1015"/>
      <c r="E176" s="1015"/>
      <c r="F176" s="596"/>
      <c r="G176" s="596"/>
      <c r="H176" s="596"/>
      <c r="I176" s="600"/>
      <c r="J176" s="600"/>
      <c r="K176" s="600">
        <v>-4</v>
      </c>
      <c r="L176" s="600">
        <v>-1</v>
      </c>
      <c r="M176" s="600">
        <v>-6</v>
      </c>
      <c r="N176" s="600">
        <v>0</v>
      </c>
      <c r="O176" s="600">
        <v>0</v>
      </c>
      <c r="P176" s="600">
        <v>0</v>
      </c>
      <c r="Q176" s="600">
        <v>0</v>
      </c>
      <c r="R176" s="600">
        <v>0</v>
      </c>
      <c r="S176" s="600"/>
      <c r="T176" s="600"/>
      <c r="U176" s="600">
        <v>-1</v>
      </c>
      <c r="V176" s="604">
        <v>-1</v>
      </c>
      <c r="W176" s="604"/>
      <c r="X176" s="600">
        <v>-1</v>
      </c>
      <c r="Y176" s="604"/>
      <c r="Z176" s="604"/>
      <c r="AA176" s="600"/>
      <c r="AB176" s="604">
        <f>ROUND(AD176/2,0)</f>
        <v>0</v>
      </c>
      <c r="AC176" s="604">
        <f>AD176-AB176</f>
        <v>0</v>
      </c>
      <c r="AD176" s="600"/>
      <c r="AE176" s="604">
        <f>ROUND(AG176/2,0)</f>
        <v>0</v>
      </c>
      <c r="AF176" s="604">
        <f>AG176-AE176</f>
        <v>0</v>
      </c>
      <c r="AG176" s="601"/>
      <c r="AH176" s="604">
        <v>0</v>
      </c>
      <c r="AI176" s="937">
        <f t="shared" si="893"/>
        <v>0</v>
      </c>
      <c r="AJ176" s="601">
        <v>0</v>
      </c>
      <c r="AK176" s="1262">
        <v>0</v>
      </c>
      <c r="AL176" s="937">
        <f t="shared" si="894"/>
        <v>0</v>
      </c>
      <c r="AM176" s="601">
        <v>0</v>
      </c>
      <c r="AN176" s="1262">
        <v>0</v>
      </c>
      <c r="AO176" s="937">
        <f>AP176-AN176</f>
        <v>0</v>
      </c>
      <c r="AP176" s="1259">
        <v>0</v>
      </c>
      <c r="AQ176" s="1741">
        <v>0</v>
      </c>
      <c r="AR176" s="937">
        <f t="shared" si="894"/>
        <v>0</v>
      </c>
      <c r="AS176" s="572">
        <v>0</v>
      </c>
      <c r="AT176" s="938">
        <v>0</v>
      </c>
      <c r="AU176" s="937">
        <f t="shared" si="894"/>
        <v>0</v>
      </c>
      <c r="AV176" s="572">
        <v>0</v>
      </c>
      <c r="AW176" s="938">
        <v>0</v>
      </c>
      <c r="AX176" s="937">
        <f t="shared" si="895"/>
        <v>0</v>
      </c>
      <c r="AY176" s="572">
        <v>0</v>
      </c>
      <c r="AZ176" s="938">
        <v>0</v>
      </c>
      <c r="BA176" s="937">
        <f t="shared" si="896"/>
        <v>0</v>
      </c>
      <c r="BB176" s="572">
        <v>0</v>
      </c>
      <c r="BC176" s="572"/>
      <c r="BD176" s="407"/>
      <c r="BE176" s="407"/>
      <c r="BF176" s="407"/>
      <c r="BG176" s="407"/>
      <c r="BH176" s="378"/>
      <c r="BI176" s="379"/>
      <c r="BJ176" s="379"/>
      <c r="BK176" s="458"/>
      <c r="BL176" s="458"/>
      <c r="BM176" s="446"/>
      <c r="BN176" s="446"/>
      <c r="BO176" s="446"/>
      <c r="BP176" s="446"/>
      <c r="BQ176" s="446"/>
      <c r="BR176" s="446"/>
      <c r="BS176" s="495"/>
      <c r="BT176" s="495"/>
      <c r="BU176" s="495"/>
      <c r="BV176" s="495"/>
      <c r="BW176" s="495"/>
      <c r="BX176" s="495"/>
      <c r="BY176" s="495"/>
      <c r="BZ176" s="495"/>
      <c r="CA176" s="495"/>
      <c r="CB176" s="495"/>
      <c r="CC176" s="495"/>
      <c r="CD176" s="495"/>
      <c r="CE176" s="495"/>
      <c r="CF176" s="495"/>
      <c r="CG176" s="495">
        <v>0</v>
      </c>
      <c r="CH176" s="495"/>
      <c r="CI176" s="495"/>
      <c r="CJ176" s="495"/>
      <c r="CK176" s="495"/>
      <c r="CL176" s="495"/>
      <c r="CM176" s="495">
        <v>-1</v>
      </c>
      <c r="CN176" s="495"/>
    </row>
    <row r="177" spans="1:92" outlineLevel="1">
      <c r="A177" s="170"/>
      <c r="B177" s="1019" t="s">
        <v>612</v>
      </c>
      <c r="C177" s="1024"/>
      <c r="D177" s="1024"/>
      <c r="E177" s="1024"/>
      <c r="F177" s="269"/>
      <c r="G177" s="269"/>
      <c r="H177" s="269"/>
      <c r="I177" s="606"/>
      <c r="J177" s="269">
        <f t="shared" ref="J177:AD177" si="897">SUM(J173:J176)</f>
        <v>12</v>
      </c>
      <c r="K177" s="269">
        <f t="shared" si="897"/>
        <v>12</v>
      </c>
      <c r="L177" s="269">
        <f t="shared" si="897"/>
        <v>14</v>
      </c>
      <c r="M177" s="269">
        <f t="shared" si="897"/>
        <v>10</v>
      </c>
      <c r="N177" s="269">
        <f t="shared" si="897"/>
        <v>13</v>
      </c>
      <c r="O177" s="269">
        <f t="shared" si="897"/>
        <v>13</v>
      </c>
      <c r="P177" s="269">
        <f t="shared" si="897"/>
        <v>13</v>
      </c>
      <c r="Q177" s="269">
        <f t="shared" si="897"/>
        <v>13</v>
      </c>
      <c r="R177" s="269">
        <f t="shared" si="897"/>
        <v>11</v>
      </c>
      <c r="S177" s="269">
        <f t="shared" si="897"/>
        <v>11</v>
      </c>
      <c r="T177" s="269">
        <f t="shared" si="897"/>
        <v>12</v>
      </c>
      <c r="U177" s="269">
        <f t="shared" si="897"/>
        <v>15</v>
      </c>
      <c r="V177" s="596">
        <f>SUM(V173:V176)</f>
        <v>14</v>
      </c>
      <c r="W177" s="596">
        <f>SUM(W173:W176)</f>
        <v>14</v>
      </c>
      <c r="X177" s="269">
        <f t="shared" si="897"/>
        <v>14</v>
      </c>
      <c r="Y177" s="596">
        <f>SUM(Y173:Y176)</f>
        <v>14</v>
      </c>
      <c r="Z177" s="596">
        <f>SUM(Z173:Z176)</f>
        <v>14</v>
      </c>
      <c r="AA177" s="269">
        <f t="shared" si="897"/>
        <v>14</v>
      </c>
      <c r="AB177" s="596">
        <f>SUM(AB173:AB176)</f>
        <v>14</v>
      </c>
      <c r="AC177" s="596">
        <f>SUM(AC173:AC176)</f>
        <v>14</v>
      </c>
      <c r="AD177" s="269">
        <f t="shared" si="897"/>
        <v>14</v>
      </c>
      <c r="AE177" s="596">
        <f t="shared" ref="AE177:AF177" si="898">SUM(AE173:AE176)</f>
        <v>14</v>
      </c>
      <c r="AF177" s="596">
        <f t="shared" si="898"/>
        <v>14</v>
      </c>
      <c r="AG177" s="1129">
        <f t="shared" ref="AG177:AX177" si="899">SUM(AG173:AG176)</f>
        <v>14</v>
      </c>
      <c r="AH177" s="262">
        <f t="shared" ref="AH177" si="900">SUM(AH173:AH176)</f>
        <v>14</v>
      </c>
      <c r="AI177" s="674">
        <f>SUM(AI173:AI176)</f>
        <v>14</v>
      </c>
      <c r="AJ177" s="1200">
        <f t="shared" si="899"/>
        <v>14</v>
      </c>
      <c r="AK177" s="675">
        <f t="shared" si="899"/>
        <v>17</v>
      </c>
      <c r="AL177" s="1200">
        <f>SUM(AL173:AL176)</f>
        <v>17</v>
      </c>
      <c r="AM177" s="1587">
        <f t="shared" ref="AM177:AN177" si="901">SUM(AM173:AM176)</f>
        <v>19</v>
      </c>
      <c r="AN177" s="675">
        <f t="shared" si="901"/>
        <v>21</v>
      </c>
      <c r="AO177" s="269">
        <f>SUM(AO173:AO176)</f>
        <v>23</v>
      </c>
      <c r="AP177" s="1618">
        <f t="shared" ref="AP177" si="902">SUM(AP173:AP176)</f>
        <v>23</v>
      </c>
      <c r="AQ177" s="1604">
        <f t="shared" ref="AQ177" si="903">SUM(AQ173:AQ176)</f>
        <v>24</v>
      </c>
      <c r="AR177" s="269">
        <f>SUM(AR173:AR176)</f>
        <v>25</v>
      </c>
      <c r="AS177" s="269">
        <f t="shared" si="899"/>
        <v>25</v>
      </c>
      <c r="AT177" s="269">
        <f t="shared" ref="AT177" si="904">SUM(AT173:AT176)</f>
        <v>25</v>
      </c>
      <c r="AU177" s="269">
        <f t="shared" ref="AU177" si="905">SUM(AU173:AU176)</f>
        <v>26</v>
      </c>
      <c r="AV177" s="269">
        <f t="shared" si="899"/>
        <v>26</v>
      </c>
      <c r="AW177" s="269">
        <f t="shared" si="899"/>
        <v>26</v>
      </c>
      <c r="AX177" s="269">
        <f t="shared" si="899"/>
        <v>27</v>
      </c>
      <c r="AY177" s="269">
        <f t="shared" ref="AY177:BA177" si="906">SUM(AY173:AY176)</f>
        <v>27</v>
      </c>
      <c r="AZ177" s="269">
        <f t="shared" si="906"/>
        <v>27</v>
      </c>
      <c r="BA177" s="269">
        <f t="shared" si="906"/>
        <v>28</v>
      </c>
      <c r="BB177" s="269">
        <f t="shared" ref="BB177" si="907">SUM(BB173:BB176)</f>
        <v>28</v>
      </c>
      <c r="BC177" s="675"/>
      <c r="BD177" s="399"/>
      <c r="BE177" s="399"/>
      <c r="BF177" s="399"/>
      <c r="BG177" s="399"/>
      <c r="BH177" s="378"/>
      <c r="BI177" s="379"/>
      <c r="BJ177" s="379"/>
      <c r="BK177" s="458"/>
      <c r="BL177" s="458"/>
      <c r="BM177" s="458"/>
      <c r="BN177" s="458"/>
      <c r="BO177" s="458"/>
      <c r="BP177" s="458"/>
      <c r="BQ177" s="458"/>
      <c r="BR177" s="460">
        <v>12</v>
      </c>
      <c r="BS177" s="402">
        <f t="shared" ref="BS177:CN177" si="908">SUM(BS173:BS176)</f>
        <v>15</v>
      </c>
      <c r="BT177" s="402">
        <f t="shared" si="908"/>
        <v>12</v>
      </c>
      <c r="BU177" s="402">
        <f t="shared" si="908"/>
        <v>14</v>
      </c>
      <c r="BV177" s="402">
        <f t="shared" si="908"/>
        <v>14</v>
      </c>
      <c r="BW177" s="402">
        <f t="shared" si="908"/>
        <v>13</v>
      </c>
      <c r="BX177" s="402">
        <f t="shared" si="908"/>
        <v>10</v>
      </c>
      <c r="BY177" s="402">
        <f t="shared" si="908"/>
        <v>13</v>
      </c>
      <c r="BZ177" s="402">
        <f t="shared" si="908"/>
        <v>13</v>
      </c>
      <c r="CA177" s="402">
        <f t="shared" si="908"/>
        <v>13</v>
      </c>
      <c r="CB177" s="402">
        <f t="shared" si="908"/>
        <v>13</v>
      </c>
      <c r="CC177" s="402">
        <f t="shared" si="908"/>
        <v>13</v>
      </c>
      <c r="CD177" s="402">
        <f t="shared" si="908"/>
        <v>13</v>
      </c>
      <c r="CE177" s="402">
        <f t="shared" si="908"/>
        <v>13</v>
      </c>
      <c r="CF177" s="402">
        <f t="shared" si="908"/>
        <v>13</v>
      </c>
      <c r="CG177" s="402">
        <f t="shared" si="908"/>
        <v>13</v>
      </c>
      <c r="CH177" s="402">
        <f t="shared" si="908"/>
        <v>11</v>
      </c>
      <c r="CI177" s="402">
        <f t="shared" si="908"/>
        <v>11</v>
      </c>
      <c r="CJ177" s="402">
        <f t="shared" si="908"/>
        <v>11</v>
      </c>
      <c r="CK177" s="402">
        <f t="shared" si="908"/>
        <v>12</v>
      </c>
      <c r="CL177" s="402">
        <f t="shared" si="908"/>
        <v>12</v>
      </c>
      <c r="CM177" s="402">
        <f t="shared" si="908"/>
        <v>15</v>
      </c>
      <c r="CN177" s="402">
        <f t="shared" si="908"/>
        <v>15</v>
      </c>
    </row>
    <row r="178" spans="1:92" outlineLevel="1">
      <c r="A178" s="170"/>
      <c r="B178" s="904"/>
      <c r="C178" s="1015"/>
      <c r="D178" s="1015"/>
      <c r="E178" s="1015"/>
      <c r="F178" s="596"/>
      <c r="G178" s="596"/>
      <c r="H178" s="596"/>
      <c r="I178" s="605"/>
      <c r="J178" s="605"/>
      <c r="K178" s="605"/>
      <c r="L178" s="605"/>
      <c r="M178" s="605"/>
      <c r="N178" s="605"/>
      <c r="O178" s="605"/>
      <c r="P178" s="605"/>
      <c r="Q178" s="605"/>
      <c r="R178" s="605"/>
      <c r="S178" s="605"/>
      <c r="T178" s="605"/>
      <c r="U178" s="605"/>
      <c r="V178" s="605"/>
      <c r="W178" s="605"/>
      <c r="X178" s="605"/>
      <c r="Y178" s="605"/>
      <c r="Z178" s="605"/>
      <c r="AA178" s="605"/>
      <c r="AB178" s="605"/>
      <c r="AC178" s="605"/>
      <c r="AD178" s="605"/>
      <c r="AE178" s="605"/>
      <c r="AF178" s="605"/>
      <c r="AG178" s="607"/>
      <c r="AH178" s="607"/>
      <c r="AI178" s="684"/>
      <c r="AJ178" s="607"/>
      <c r="AK178" s="1263"/>
      <c r="AL178" s="607"/>
      <c r="AM178" s="607"/>
      <c r="AN178" s="1263"/>
      <c r="AO178" s="605"/>
      <c r="AP178" s="1263"/>
      <c r="AQ178" s="1607"/>
      <c r="AR178" s="605"/>
      <c r="AS178" s="267"/>
      <c r="AT178" s="605"/>
      <c r="AU178" s="605"/>
      <c r="AV178" s="267"/>
      <c r="AW178" s="605"/>
      <c r="AX178" s="605"/>
      <c r="AY178" s="267"/>
      <c r="AZ178" s="605"/>
      <c r="BA178" s="605"/>
      <c r="BB178" s="267"/>
      <c r="BC178" s="1348"/>
      <c r="BD178" s="407"/>
      <c r="BE178" s="407"/>
      <c r="BF178" s="407"/>
      <c r="BG178" s="407"/>
      <c r="BH178" s="378"/>
      <c r="BI178" s="379"/>
      <c r="BJ178" s="379"/>
      <c r="BK178" s="458"/>
      <c r="BL178" s="458"/>
      <c r="BM178" s="458"/>
      <c r="BN178" s="458"/>
      <c r="BO178" s="458"/>
      <c r="BP178" s="458"/>
      <c r="BQ178" s="458"/>
      <c r="BR178" s="458"/>
      <c r="BS178" s="458"/>
      <c r="BT178" s="458"/>
      <c r="BU178" s="458"/>
      <c r="BV178" s="458"/>
      <c r="BW178" s="458"/>
      <c r="BX178" s="458"/>
      <c r="BY178" s="458"/>
      <c r="BZ178" s="458"/>
      <c r="CA178" s="458"/>
      <c r="CB178" s="458"/>
      <c r="CC178" s="458"/>
      <c r="CD178" s="458"/>
      <c r="CE178" s="458"/>
      <c r="CF178" s="458"/>
      <c r="CG178" s="458"/>
      <c r="CH178" s="458"/>
      <c r="CI178" s="458"/>
      <c r="CJ178" s="458"/>
      <c r="CK178" s="458"/>
      <c r="CL178" s="458"/>
      <c r="CM178" s="458"/>
      <c r="CN178" s="458"/>
    </row>
    <row r="179" spans="1:92" outlineLevel="1">
      <c r="A179" s="170"/>
      <c r="B179" s="1022" t="s">
        <v>613</v>
      </c>
      <c r="C179" s="1022"/>
      <c r="D179" s="1022"/>
      <c r="E179" s="1022"/>
      <c r="F179" s="1022"/>
      <c r="G179" s="1022"/>
      <c r="H179" s="1022"/>
      <c r="I179" s="1022"/>
      <c r="J179" s="1022"/>
      <c r="K179" s="1022"/>
      <c r="L179" s="1022"/>
      <c r="M179" s="1022"/>
      <c r="N179" s="1022"/>
      <c r="O179" s="1022"/>
      <c r="P179" s="1022"/>
      <c r="Q179" s="1022"/>
      <c r="R179" s="1033">
        <f t="shared" ref="R179:U179" si="909">Q183</f>
        <v>0</v>
      </c>
      <c r="S179" s="271">
        <f t="shared" si="909"/>
        <v>3</v>
      </c>
      <c r="T179" s="271">
        <f t="shared" si="909"/>
        <v>4</v>
      </c>
      <c r="U179" s="271">
        <f t="shared" si="909"/>
        <v>4</v>
      </c>
      <c r="V179" s="605">
        <f>CM183</f>
        <v>0</v>
      </c>
      <c r="W179" s="605">
        <f>V183</f>
        <v>0</v>
      </c>
      <c r="X179" s="271">
        <f>U183</f>
        <v>0</v>
      </c>
      <c r="Y179" s="605">
        <f>V183</f>
        <v>0</v>
      </c>
      <c r="Z179" s="605">
        <f>Y183</f>
        <v>0</v>
      </c>
      <c r="AA179" s="271">
        <f>X183</f>
        <v>0</v>
      </c>
      <c r="AB179" s="605">
        <f>Z183</f>
        <v>0</v>
      </c>
      <c r="AC179" s="605">
        <f>AB183</f>
        <v>0</v>
      </c>
      <c r="AD179" s="271">
        <f>AA183</f>
        <v>0</v>
      </c>
      <c r="AE179" s="605">
        <f>AC183</f>
        <v>0</v>
      </c>
      <c r="AF179" s="605">
        <f>AE183</f>
        <v>0</v>
      </c>
      <c r="AG179" s="271">
        <f>AD183</f>
        <v>0</v>
      </c>
      <c r="AH179" s="607">
        <f>AF183</f>
        <v>0</v>
      </c>
      <c r="AI179" s="685">
        <f>AH183</f>
        <v>0</v>
      </c>
      <c r="AJ179" s="271">
        <f>AG183</f>
        <v>0</v>
      </c>
      <c r="AK179" s="1263">
        <f>AI183</f>
        <v>0</v>
      </c>
      <c r="AL179" s="683">
        <f>AK183</f>
        <v>0</v>
      </c>
      <c r="AM179" s="271">
        <f>AJ183</f>
        <v>0</v>
      </c>
      <c r="AN179" s="1263">
        <f>AL183</f>
        <v>0</v>
      </c>
      <c r="AO179" s="685">
        <f>AN183</f>
        <v>0</v>
      </c>
      <c r="AP179" s="1708">
        <f>AM183</f>
        <v>0</v>
      </c>
      <c r="AQ179" s="1647">
        <f t="shared" ref="AQ179" si="910">AO183</f>
        <v>0</v>
      </c>
      <c r="AR179" s="685">
        <f t="shared" ref="AR179" si="911">AQ183</f>
        <v>0</v>
      </c>
      <c r="AS179" s="686">
        <f t="shared" ref="AS179" si="912">AP183</f>
        <v>0</v>
      </c>
      <c r="AT179" s="685">
        <f t="shared" ref="AT179" si="913">AR183</f>
        <v>0</v>
      </c>
      <c r="AU179" s="685">
        <f t="shared" ref="AU179" si="914">AT183</f>
        <v>0</v>
      </c>
      <c r="AV179" s="686">
        <f t="shared" ref="AV179" si="915">AS183</f>
        <v>0</v>
      </c>
      <c r="AW179" s="685">
        <f t="shared" ref="AW179" si="916">AU183</f>
        <v>0</v>
      </c>
      <c r="AX179" s="685">
        <f t="shared" ref="AX179" si="917">AW183</f>
        <v>0</v>
      </c>
      <c r="AY179" s="686">
        <f t="shared" ref="AY179" si="918">AV183</f>
        <v>0</v>
      </c>
      <c r="AZ179" s="685">
        <f t="shared" ref="AZ179" si="919">AX183</f>
        <v>0</v>
      </c>
      <c r="BA179" s="685">
        <f t="shared" ref="BA179" si="920">AZ183</f>
        <v>0</v>
      </c>
      <c r="BB179" s="686">
        <f t="shared" ref="BB179" si="921">AY183</f>
        <v>0</v>
      </c>
      <c r="BC179" s="1343"/>
      <c r="BD179" s="408"/>
      <c r="BE179" s="408"/>
      <c r="BF179" s="408"/>
      <c r="BG179" s="408"/>
      <c r="BH179" s="378"/>
      <c r="BI179" s="379"/>
      <c r="BJ179" s="379"/>
      <c r="BK179" s="458"/>
      <c r="BL179" s="458"/>
      <c r="BM179" s="458"/>
      <c r="BN179" s="458"/>
      <c r="BO179" s="458"/>
      <c r="BP179" s="458"/>
      <c r="BQ179" s="458"/>
      <c r="BR179" s="458"/>
      <c r="BS179" s="458"/>
      <c r="BT179" s="458"/>
      <c r="BU179" s="458"/>
      <c r="BV179" s="458"/>
      <c r="BW179" s="458"/>
      <c r="BX179" s="458"/>
      <c r="BY179" s="458"/>
      <c r="BZ179" s="458"/>
      <c r="CA179" s="458"/>
      <c r="CB179" s="458"/>
      <c r="CC179" s="458"/>
      <c r="CD179" s="458"/>
      <c r="CE179" s="458"/>
      <c r="CF179" s="458"/>
      <c r="CG179" s="458">
        <v>0</v>
      </c>
      <c r="CH179" s="402">
        <f t="shared" ref="CH179:CN179" si="922">CG183</f>
        <v>1</v>
      </c>
      <c r="CI179" s="458">
        <f t="shared" si="922"/>
        <v>3</v>
      </c>
      <c r="CJ179" s="402">
        <f t="shared" si="922"/>
        <v>4</v>
      </c>
      <c r="CK179" s="458">
        <f t="shared" si="922"/>
        <v>4</v>
      </c>
      <c r="CL179" s="458">
        <f t="shared" si="922"/>
        <v>4</v>
      </c>
      <c r="CM179" s="458">
        <f t="shared" si="922"/>
        <v>4</v>
      </c>
      <c r="CN179" s="458">
        <f t="shared" si="922"/>
        <v>0</v>
      </c>
    </row>
    <row r="180" spans="1:92" outlineLevel="1">
      <c r="A180" s="170"/>
      <c r="B180" s="904" t="s">
        <v>450</v>
      </c>
      <c r="C180" s="904"/>
      <c r="D180" s="904"/>
      <c r="E180" s="904"/>
      <c r="F180" s="904"/>
      <c r="G180" s="904"/>
      <c r="H180" s="904"/>
      <c r="I180" s="904"/>
      <c r="J180" s="904"/>
      <c r="K180" s="904"/>
      <c r="L180" s="904"/>
      <c r="M180" s="904"/>
      <c r="N180" s="904"/>
      <c r="O180" s="904"/>
      <c r="P180" s="904"/>
      <c r="Q180" s="904"/>
      <c r="R180" s="607">
        <v>1</v>
      </c>
      <c r="S180" s="607">
        <v>0</v>
      </c>
      <c r="T180" s="607">
        <v>0</v>
      </c>
      <c r="U180" s="607">
        <v>0</v>
      </c>
      <c r="V180" s="606">
        <v>0</v>
      </c>
      <c r="W180" s="606">
        <f>X180-V180</f>
        <v>0</v>
      </c>
      <c r="X180" s="607">
        <v>0</v>
      </c>
      <c r="Y180" s="606">
        <v>0</v>
      </c>
      <c r="Z180" s="606">
        <f>AA180-Y180</f>
        <v>0</v>
      </c>
      <c r="AA180" s="607">
        <v>0</v>
      </c>
      <c r="AB180" s="606">
        <f>ROUND(AD180/2,0)</f>
        <v>0</v>
      </c>
      <c r="AC180" s="606">
        <f>AD180-AB180</f>
        <v>0</v>
      </c>
      <c r="AD180" s="607">
        <v>0</v>
      </c>
      <c r="AE180" s="606">
        <f>ROUND(AG180/2,0)</f>
        <v>0</v>
      </c>
      <c r="AF180" s="606">
        <f>AG180-AE180</f>
        <v>0</v>
      </c>
      <c r="AG180" s="607">
        <v>0</v>
      </c>
      <c r="AH180" s="1201">
        <v>0</v>
      </c>
      <c r="AI180" s="688">
        <f>AJ180-AH180</f>
        <v>0</v>
      </c>
      <c r="AJ180" s="607">
        <v>0</v>
      </c>
      <c r="AK180" s="1264">
        <v>0</v>
      </c>
      <c r="AL180" s="1365">
        <f>AM180-AK180</f>
        <v>0</v>
      </c>
      <c r="AM180" s="607">
        <v>0</v>
      </c>
      <c r="AN180" s="1633">
        <v>0</v>
      </c>
      <c r="AO180" s="688">
        <f>AP180-AN180</f>
        <v>0</v>
      </c>
      <c r="AP180" s="1263">
        <v>0</v>
      </c>
      <c r="AQ180" s="1742">
        <v>0</v>
      </c>
      <c r="AR180" s="688">
        <f t="shared" ref="AR180" si="923">AS180-AQ180</f>
        <v>0</v>
      </c>
      <c r="AS180" s="689">
        <v>0</v>
      </c>
      <c r="AT180" s="687">
        <v>0</v>
      </c>
      <c r="AU180" s="688">
        <f t="shared" ref="AU180" si="924">AV180-AT180</f>
        <v>0</v>
      </c>
      <c r="AV180" s="689">
        <v>0</v>
      </c>
      <c r="AW180" s="687">
        <v>0</v>
      </c>
      <c r="AX180" s="688">
        <f t="shared" ref="AX180:AX182" si="925">AY180-AW180</f>
        <v>0</v>
      </c>
      <c r="AY180" s="689">
        <v>0</v>
      </c>
      <c r="AZ180" s="687">
        <v>0</v>
      </c>
      <c r="BA180" s="688">
        <f t="shared" ref="BA180:BA182" si="926">BB180-AZ180</f>
        <v>0</v>
      </c>
      <c r="BB180" s="689">
        <v>0</v>
      </c>
      <c r="BC180" s="689"/>
      <c r="BD180" s="409"/>
      <c r="BE180" s="409"/>
      <c r="BF180" s="409"/>
      <c r="BG180" s="409"/>
      <c r="BH180" s="378"/>
      <c r="BI180" s="379"/>
      <c r="BJ180" s="379"/>
      <c r="BK180" s="464"/>
      <c r="BL180" s="464"/>
      <c r="BM180" s="464"/>
      <c r="BN180" s="464"/>
      <c r="BO180" s="464"/>
      <c r="BP180" s="464"/>
      <c r="BQ180" s="464"/>
      <c r="BR180" s="464"/>
      <c r="BS180" s="464"/>
      <c r="BT180" s="464"/>
      <c r="BU180" s="464"/>
      <c r="BV180" s="464"/>
      <c r="BW180" s="464"/>
      <c r="BX180" s="464"/>
      <c r="BY180" s="464"/>
      <c r="BZ180" s="464"/>
      <c r="CA180" s="464"/>
      <c r="CB180" s="464"/>
      <c r="CC180" s="464"/>
      <c r="CD180" s="464"/>
      <c r="CE180" s="464"/>
      <c r="CF180" s="464"/>
      <c r="CG180" s="464">
        <v>1</v>
      </c>
      <c r="CH180" s="464">
        <f>R180-CG180</f>
        <v>0</v>
      </c>
      <c r="CI180" s="464">
        <v>0</v>
      </c>
      <c r="CJ180" s="464">
        <f>S180-CI180</f>
        <v>0</v>
      </c>
      <c r="CK180" s="464">
        <v>0</v>
      </c>
      <c r="CL180" s="464">
        <f>T180-CK180</f>
        <v>0</v>
      </c>
      <c r="CM180" s="464">
        <v>0</v>
      </c>
      <c r="CN180" s="464">
        <f>U180-CM180</f>
        <v>0</v>
      </c>
    </row>
    <row r="181" spans="1:92" outlineLevel="1">
      <c r="A181" s="170"/>
      <c r="B181" s="904" t="s">
        <v>617</v>
      </c>
      <c r="C181" s="904"/>
      <c r="D181" s="904"/>
      <c r="E181" s="904"/>
      <c r="F181" s="904"/>
      <c r="G181" s="904"/>
      <c r="H181" s="904"/>
      <c r="I181" s="904"/>
      <c r="J181" s="904"/>
      <c r="K181" s="904"/>
      <c r="L181" s="904"/>
      <c r="M181" s="904"/>
      <c r="N181" s="904"/>
      <c r="O181" s="904"/>
      <c r="P181" s="904"/>
      <c r="Q181" s="904"/>
      <c r="R181" s="605">
        <f t="shared" ref="R181:AD181" si="927">-R175</f>
        <v>2</v>
      </c>
      <c r="S181" s="605">
        <f t="shared" si="927"/>
        <v>1</v>
      </c>
      <c r="T181" s="605">
        <f t="shared" si="927"/>
        <v>0</v>
      </c>
      <c r="U181" s="605">
        <v>-4</v>
      </c>
      <c r="V181" s="607">
        <f>-V175</f>
        <v>0</v>
      </c>
      <c r="W181" s="607">
        <f>X181-V181</f>
        <v>0</v>
      </c>
      <c r="X181" s="605">
        <f t="shared" si="927"/>
        <v>0</v>
      </c>
      <c r="Y181" s="607">
        <f>-Y175</f>
        <v>0</v>
      </c>
      <c r="Z181" s="607">
        <f>AA181-Y181</f>
        <v>0</v>
      </c>
      <c r="AA181" s="605">
        <f t="shared" si="927"/>
        <v>0</v>
      </c>
      <c r="AB181" s="607"/>
      <c r="AC181" s="607"/>
      <c r="AD181" s="605">
        <f t="shared" si="927"/>
        <v>0</v>
      </c>
      <c r="AE181" s="607"/>
      <c r="AF181" s="607"/>
      <c r="AG181" s="607">
        <f t="shared" ref="AG181:AJ181" si="928">-AG175</f>
        <v>0</v>
      </c>
      <c r="AH181" s="607">
        <v>0</v>
      </c>
      <c r="AI181" s="683">
        <f t="shared" ref="AI181:AI182" si="929">AJ181-AH181</f>
        <v>0</v>
      </c>
      <c r="AJ181" s="607">
        <f t="shared" si="928"/>
        <v>0</v>
      </c>
      <c r="AK181" s="1263">
        <v>0</v>
      </c>
      <c r="AL181" s="683">
        <f t="shared" ref="AL181:AL182" si="930">AM181-AK181</f>
        <v>0</v>
      </c>
      <c r="AM181" s="607">
        <f t="shared" ref="AM181" si="931">-AM175</f>
        <v>0</v>
      </c>
      <c r="AN181" s="1263">
        <v>0</v>
      </c>
      <c r="AO181" s="683">
        <f>AP181-AN181</f>
        <v>0</v>
      </c>
      <c r="AP181" s="1263">
        <f t="shared" ref="AP181" si="932">-AP175</f>
        <v>0</v>
      </c>
      <c r="AQ181" s="1739">
        <v>0</v>
      </c>
      <c r="AR181" s="683">
        <f t="shared" ref="AR181:AU182" si="933">AS181-AQ181</f>
        <v>0</v>
      </c>
      <c r="AS181" s="690">
        <f t="shared" ref="AS181" si="934">-AS175</f>
        <v>0</v>
      </c>
      <c r="AT181" s="682">
        <v>0</v>
      </c>
      <c r="AU181" s="683">
        <f t="shared" si="933"/>
        <v>0</v>
      </c>
      <c r="AV181" s="690">
        <f>-AV175</f>
        <v>0</v>
      </c>
      <c r="AW181" s="682">
        <v>0</v>
      </c>
      <c r="AX181" s="683">
        <f t="shared" si="925"/>
        <v>0</v>
      </c>
      <c r="AY181" s="690">
        <f>-AY175</f>
        <v>0</v>
      </c>
      <c r="AZ181" s="682">
        <v>0</v>
      </c>
      <c r="BA181" s="683">
        <f t="shared" si="926"/>
        <v>0</v>
      </c>
      <c r="BB181" s="690">
        <f>-BB175</f>
        <v>0</v>
      </c>
      <c r="BC181" s="690"/>
      <c r="BD181" s="410"/>
      <c r="BE181" s="410"/>
      <c r="BF181" s="410"/>
      <c r="BG181" s="410"/>
      <c r="BH181" s="378"/>
      <c r="BI181" s="379"/>
      <c r="BJ181" s="379"/>
      <c r="BK181" s="462"/>
      <c r="BL181" s="462"/>
      <c r="BM181" s="462"/>
      <c r="BN181" s="462"/>
      <c r="BO181" s="462"/>
      <c r="BP181" s="462"/>
      <c r="BQ181" s="462"/>
      <c r="BR181" s="462"/>
      <c r="BS181" s="462"/>
      <c r="BT181" s="462"/>
      <c r="BU181" s="462"/>
      <c r="BV181" s="462"/>
      <c r="BW181" s="462"/>
      <c r="BX181" s="462"/>
      <c r="BY181" s="462"/>
      <c r="BZ181" s="462"/>
      <c r="CA181" s="462"/>
      <c r="CB181" s="462"/>
      <c r="CC181" s="462"/>
      <c r="CD181" s="462"/>
      <c r="CE181" s="462"/>
      <c r="CF181" s="462"/>
      <c r="CG181" s="462"/>
      <c r="CH181" s="462">
        <f>R181-CG181</f>
        <v>2</v>
      </c>
      <c r="CI181" s="462">
        <v>1</v>
      </c>
      <c r="CJ181" s="462">
        <f>S181-CI181</f>
        <v>0</v>
      </c>
      <c r="CK181" s="462">
        <v>0</v>
      </c>
      <c r="CL181" s="462">
        <f>T181-CK181</f>
        <v>0</v>
      </c>
      <c r="CM181" s="462">
        <v>-4</v>
      </c>
      <c r="CN181" s="462">
        <f>U181-CM181</f>
        <v>0</v>
      </c>
    </row>
    <row r="182" spans="1:92" outlineLevel="1">
      <c r="A182" s="170"/>
      <c r="B182" s="904" t="s">
        <v>609</v>
      </c>
      <c r="C182" s="904"/>
      <c r="D182" s="904"/>
      <c r="E182" s="904"/>
      <c r="F182" s="904"/>
      <c r="G182" s="904"/>
      <c r="H182" s="904"/>
      <c r="I182" s="904"/>
      <c r="J182" s="904"/>
      <c r="K182" s="904"/>
      <c r="L182" s="904"/>
      <c r="M182" s="904"/>
      <c r="N182" s="904"/>
      <c r="O182" s="904"/>
      <c r="P182" s="904"/>
      <c r="Q182" s="904"/>
      <c r="R182" s="605"/>
      <c r="S182" s="605"/>
      <c r="T182" s="605"/>
      <c r="U182" s="605"/>
      <c r="V182" s="608"/>
      <c r="W182" s="608"/>
      <c r="X182" s="605"/>
      <c r="Y182" s="608"/>
      <c r="Z182" s="608"/>
      <c r="AA182" s="605"/>
      <c r="AB182" s="608">
        <f>ROUND(AD182/2,0)</f>
        <v>0</v>
      </c>
      <c r="AC182" s="608">
        <f>AD182-AB182</f>
        <v>0</v>
      </c>
      <c r="AD182" s="605"/>
      <c r="AE182" s="608">
        <f>ROUND(AG182/2,0)</f>
        <v>0</v>
      </c>
      <c r="AF182" s="608">
        <f>AG182-AE182</f>
        <v>0</v>
      </c>
      <c r="AG182" s="607"/>
      <c r="AH182" s="608">
        <v>0</v>
      </c>
      <c r="AI182" s="691">
        <f t="shared" si="929"/>
        <v>0</v>
      </c>
      <c r="AJ182" s="607">
        <v>0</v>
      </c>
      <c r="AK182" s="1265">
        <v>0</v>
      </c>
      <c r="AL182" s="691">
        <f t="shared" si="930"/>
        <v>0</v>
      </c>
      <c r="AM182" s="607">
        <v>0</v>
      </c>
      <c r="AN182" s="1265">
        <v>0</v>
      </c>
      <c r="AO182" s="691">
        <f>AP182-AN182</f>
        <v>0</v>
      </c>
      <c r="AP182" s="1263">
        <v>0</v>
      </c>
      <c r="AQ182" s="1743">
        <v>0</v>
      </c>
      <c r="AR182" s="691">
        <f t="shared" si="933"/>
        <v>0</v>
      </c>
      <c r="AS182" s="689">
        <v>0</v>
      </c>
      <c r="AT182" s="673">
        <v>0</v>
      </c>
      <c r="AU182" s="691">
        <f t="shared" si="933"/>
        <v>0</v>
      </c>
      <c r="AV182" s="689">
        <v>0</v>
      </c>
      <c r="AW182" s="673">
        <v>0</v>
      </c>
      <c r="AX182" s="691">
        <f t="shared" si="925"/>
        <v>0</v>
      </c>
      <c r="AY182" s="689">
        <v>0</v>
      </c>
      <c r="AZ182" s="673">
        <v>0</v>
      </c>
      <c r="BA182" s="691">
        <f t="shared" si="926"/>
        <v>0</v>
      </c>
      <c r="BB182" s="689">
        <v>0</v>
      </c>
      <c r="BC182" s="689"/>
      <c r="BD182" s="409"/>
      <c r="BE182" s="409"/>
      <c r="BF182" s="409"/>
      <c r="BG182" s="409"/>
      <c r="BH182" s="378"/>
      <c r="BI182" s="379"/>
      <c r="BJ182" s="379"/>
      <c r="BK182" s="446"/>
      <c r="BL182" s="446"/>
      <c r="BM182" s="446"/>
      <c r="BN182" s="446"/>
      <c r="BO182" s="446"/>
      <c r="BP182" s="446"/>
      <c r="BQ182" s="446"/>
      <c r="BR182" s="446"/>
      <c r="BS182" s="446"/>
      <c r="BT182" s="446"/>
      <c r="BU182" s="446"/>
      <c r="BV182" s="446"/>
      <c r="BW182" s="446"/>
      <c r="BX182" s="446"/>
      <c r="BY182" s="446"/>
      <c r="BZ182" s="446"/>
      <c r="CA182" s="446"/>
      <c r="CB182" s="446"/>
      <c r="CC182" s="446"/>
      <c r="CD182" s="446"/>
      <c r="CE182" s="446"/>
      <c r="CF182" s="446"/>
      <c r="CG182" s="446"/>
      <c r="CH182" s="446"/>
      <c r="CI182" s="446"/>
      <c r="CJ182" s="446"/>
      <c r="CK182" s="446"/>
      <c r="CL182" s="446"/>
      <c r="CM182" s="446"/>
      <c r="CN182" s="446"/>
    </row>
    <row r="183" spans="1:92" outlineLevel="1">
      <c r="A183" s="170"/>
      <c r="B183" s="1019" t="s">
        <v>612</v>
      </c>
      <c r="C183" s="1019"/>
      <c r="D183" s="1019"/>
      <c r="E183" s="1019"/>
      <c r="F183" s="1019"/>
      <c r="G183" s="1019"/>
      <c r="H183" s="1019"/>
      <c r="I183" s="1019"/>
      <c r="J183" s="1019"/>
      <c r="K183" s="1019"/>
      <c r="L183" s="1019"/>
      <c r="M183" s="1019"/>
      <c r="N183" s="1019"/>
      <c r="O183" s="1019"/>
      <c r="P183" s="1019"/>
      <c r="Q183" s="1034">
        <v>0</v>
      </c>
      <c r="R183" s="272">
        <f t="shared" ref="R183:AD183" si="935">SUM(R179:R182)</f>
        <v>3</v>
      </c>
      <c r="S183" s="272">
        <f t="shared" si="935"/>
        <v>4</v>
      </c>
      <c r="T183" s="272">
        <f t="shared" si="935"/>
        <v>4</v>
      </c>
      <c r="U183" s="272">
        <f t="shared" si="935"/>
        <v>0</v>
      </c>
      <c r="V183" s="596">
        <f>SUM(V179:V182)</f>
        <v>0</v>
      </c>
      <c r="W183" s="596">
        <f>SUM(W179:W182)</f>
        <v>0</v>
      </c>
      <c r="X183" s="272">
        <f t="shared" si="935"/>
        <v>0</v>
      </c>
      <c r="Y183" s="596">
        <f>SUM(Y179:Y182)</f>
        <v>0</v>
      </c>
      <c r="Z183" s="596">
        <f>SUM(Z179:Z182)</f>
        <v>0</v>
      </c>
      <c r="AA183" s="272">
        <f t="shared" si="935"/>
        <v>0</v>
      </c>
      <c r="AB183" s="596">
        <f t="shared" ref="AB183:AC183" si="936">SUM(AB179:AB182)</f>
        <v>0</v>
      </c>
      <c r="AC183" s="596">
        <f t="shared" si="936"/>
        <v>0</v>
      </c>
      <c r="AD183" s="272">
        <f t="shared" si="935"/>
        <v>0</v>
      </c>
      <c r="AE183" s="596">
        <f>SUM(AE179:AE182)</f>
        <v>0</v>
      </c>
      <c r="AF183" s="596">
        <f>SUM(AF179:AF182)</f>
        <v>0</v>
      </c>
      <c r="AG183" s="1131">
        <f t="shared" ref="AG183:AV183" si="937">SUM(AG179:AG182)</f>
        <v>0</v>
      </c>
      <c r="AH183" s="262">
        <f>SUM(AH179:AH182)</f>
        <v>0</v>
      </c>
      <c r="AI183" s="669">
        <f>SUM(AI179:AI182)</f>
        <v>0</v>
      </c>
      <c r="AJ183" s="1242">
        <f t="shared" si="937"/>
        <v>0</v>
      </c>
      <c r="AK183" s="675">
        <f>SUM(AK179:AK182)</f>
        <v>0</v>
      </c>
      <c r="AL183" s="675">
        <f t="shared" si="937"/>
        <v>0</v>
      </c>
      <c r="AM183" s="1588">
        <f t="shared" ref="AM183" si="938">SUM(AM179:AM182)</f>
        <v>0</v>
      </c>
      <c r="AN183" s="675">
        <f>SUM(AN179:AN182)</f>
        <v>0</v>
      </c>
      <c r="AO183" s="669">
        <f t="shared" si="937"/>
        <v>0</v>
      </c>
      <c r="AP183" s="1709">
        <f t="shared" si="937"/>
        <v>0</v>
      </c>
      <c r="AQ183" s="1601">
        <f t="shared" si="937"/>
        <v>0</v>
      </c>
      <c r="AR183" s="669">
        <f t="shared" si="937"/>
        <v>0</v>
      </c>
      <c r="AS183" s="692">
        <f t="shared" si="937"/>
        <v>0</v>
      </c>
      <c r="AT183" s="669">
        <f t="shared" si="937"/>
        <v>0</v>
      </c>
      <c r="AU183" s="669">
        <f t="shared" si="937"/>
        <v>0</v>
      </c>
      <c r="AV183" s="692">
        <f t="shared" si="937"/>
        <v>0</v>
      </c>
      <c r="AW183" s="669">
        <f t="shared" ref="AW183:AY183" si="939">SUM(AW179:AW182)</f>
        <v>0</v>
      </c>
      <c r="AX183" s="669">
        <f t="shared" si="939"/>
        <v>0</v>
      </c>
      <c r="AY183" s="692">
        <f t="shared" si="939"/>
        <v>0</v>
      </c>
      <c r="AZ183" s="669">
        <f t="shared" ref="AZ183:BB183" si="940">SUM(AZ179:AZ182)</f>
        <v>0</v>
      </c>
      <c r="BA183" s="669">
        <f t="shared" si="940"/>
        <v>0</v>
      </c>
      <c r="BB183" s="692">
        <f t="shared" si="940"/>
        <v>0</v>
      </c>
      <c r="BC183" s="51"/>
      <c r="BD183" s="408"/>
      <c r="BE183" s="408"/>
      <c r="BF183" s="408"/>
      <c r="BG183" s="408"/>
      <c r="BH183" s="411"/>
      <c r="BI183" s="379"/>
      <c r="BJ183" s="379"/>
      <c r="BK183" s="458"/>
      <c r="BL183" s="458"/>
      <c r="BM183" s="458"/>
      <c r="BN183" s="458"/>
      <c r="BO183" s="458"/>
      <c r="BP183" s="458"/>
      <c r="BQ183" s="458"/>
      <c r="BR183" s="458"/>
      <c r="BS183" s="458"/>
      <c r="BT183" s="458"/>
      <c r="BU183" s="458"/>
      <c r="BV183" s="458"/>
      <c r="BW183" s="458"/>
      <c r="BX183" s="458"/>
      <c r="BY183" s="458"/>
      <c r="BZ183" s="458"/>
      <c r="CA183" s="458"/>
      <c r="CB183" s="458"/>
      <c r="CC183" s="458"/>
      <c r="CD183" s="458"/>
      <c r="CE183" s="458"/>
      <c r="CF183" s="402">
        <v>0</v>
      </c>
      <c r="CG183" s="402">
        <f t="shared" ref="CG183:CN183" si="941">SUM(CG179:CG182)</f>
        <v>1</v>
      </c>
      <c r="CH183" s="402">
        <f t="shared" si="941"/>
        <v>3</v>
      </c>
      <c r="CI183" s="402">
        <f t="shared" si="941"/>
        <v>4</v>
      </c>
      <c r="CJ183" s="402">
        <f t="shared" si="941"/>
        <v>4</v>
      </c>
      <c r="CK183" s="402">
        <f t="shared" si="941"/>
        <v>4</v>
      </c>
      <c r="CL183" s="402">
        <f t="shared" si="941"/>
        <v>4</v>
      </c>
      <c r="CM183" s="402">
        <f t="shared" si="941"/>
        <v>0</v>
      </c>
      <c r="CN183" s="402">
        <f t="shared" si="941"/>
        <v>0</v>
      </c>
    </row>
    <row r="184" spans="1:92" outlineLevel="1">
      <c r="A184" s="170"/>
      <c r="B184" s="904"/>
      <c r="C184" s="1015"/>
      <c r="D184" s="1015"/>
      <c r="E184" s="1015"/>
      <c r="F184" s="596"/>
      <c r="G184" s="596"/>
      <c r="H184" s="596"/>
      <c r="I184" s="605"/>
      <c r="J184" s="605"/>
      <c r="K184" s="605"/>
      <c r="L184" s="605"/>
      <c r="M184" s="605"/>
      <c r="N184" s="605"/>
      <c r="O184" s="605"/>
      <c r="P184" s="605"/>
      <c r="Q184" s="605"/>
      <c r="R184" s="605"/>
      <c r="S184" s="605"/>
      <c r="T184" s="605"/>
      <c r="U184" s="605"/>
      <c r="V184" s="605"/>
      <c r="W184" s="605"/>
      <c r="X184" s="605"/>
      <c r="Y184" s="605"/>
      <c r="Z184" s="605"/>
      <c r="AA184" s="605"/>
      <c r="AB184" s="605"/>
      <c r="AC184" s="605"/>
      <c r="AD184" s="605"/>
      <c r="AE184" s="605"/>
      <c r="AF184" s="605"/>
      <c r="AG184" s="607"/>
      <c r="AH184" s="607"/>
      <c r="AI184" s="684"/>
      <c r="AJ184" s="607"/>
      <c r="AK184" s="1263"/>
      <c r="AL184" s="607"/>
      <c r="AM184" s="607"/>
      <c r="AN184" s="1263"/>
      <c r="AO184" s="605"/>
      <c r="AP184" s="1263"/>
      <c r="AQ184" s="1607"/>
      <c r="AR184" s="605"/>
      <c r="AS184" s="268"/>
      <c r="AT184" s="605"/>
      <c r="AU184" s="605"/>
      <c r="AV184" s="268"/>
      <c r="AW184" s="605"/>
      <c r="AX184" s="605"/>
      <c r="AY184" s="268"/>
      <c r="AZ184" s="605"/>
      <c r="BA184" s="605"/>
      <c r="BB184" s="268"/>
      <c r="BC184" s="1348"/>
      <c r="BD184" s="407"/>
      <c r="BE184" s="407"/>
      <c r="BF184" s="407"/>
      <c r="BG184" s="407"/>
      <c r="BH184" s="378"/>
      <c r="BI184" s="379"/>
      <c r="BJ184" s="379"/>
      <c r="BK184" s="458"/>
      <c r="BL184" s="458"/>
      <c r="BM184" s="458"/>
      <c r="BN184" s="458"/>
      <c r="BO184" s="458"/>
      <c r="BP184" s="458"/>
      <c r="BQ184" s="458"/>
      <c r="BR184" s="458"/>
      <c r="BS184" s="458"/>
      <c r="BT184" s="458"/>
      <c r="BU184" s="458"/>
      <c r="BV184" s="458"/>
      <c r="BW184" s="458"/>
      <c r="BX184" s="458"/>
      <c r="BY184" s="458"/>
      <c r="BZ184" s="458"/>
      <c r="CA184" s="458"/>
      <c r="CB184" s="458"/>
      <c r="CC184" s="458"/>
      <c r="CD184" s="458"/>
      <c r="CE184" s="458"/>
      <c r="CF184" s="458"/>
      <c r="CG184" s="458"/>
      <c r="CH184" s="458"/>
      <c r="CI184" s="458"/>
      <c r="CJ184" s="458"/>
      <c r="CK184" s="458"/>
      <c r="CL184" s="458"/>
      <c r="CM184" s="458"/>
      <c r="CN184" s="458"/>
    </row>
    <row r="185" spans="1:92" outlineLevel="1">
      <c r="A185" s="170"/>
      <c r="B185" s="1035" t="s">
        <v>616</v>
      </c>
      <c r="C185" s="1036"/>
      <c r="D185" s="1036"/>
      <c r="E185" s="1036"/>
      <c r="F185" s="270"/>
      <c r="G185" s="270"/>
      <c r="H185" s="270"/>
      <c r="I185" s="1037"/>
      <c r="J185" s="1038">
        <f t="shared" ref="J185:AD185" si="942">J177+J183</f>
        <v>12</v>
      </c>
      <c r="K185" s="270">
        <f t="shared" si="942"/>
        <v>12</v>
      </c>
      <c r="L185" s="270">
        <f t="shared" si="942"/>
        <v>14</v>
      </c>
      <c r="M185" s="270">
        <f t="shared" si="942"/>
        <v>10</v>
      </c>
      <c r="N185" s="270">
        <f t="shared" si="942"/>
        <v>13</v>
      </c>
      <c r="O185" s="270">
        <f t="shared" si="942"/>
        <v>13</v>
      </c>
      <c r="P185" s="270">
        <f t="shared" si="942"/>
        <v>13</v>
      </c>
      <c r="Q185" s="270">
        <f t="shared" si="942"/>
        <v>13</v>
      </c>
      <c r="R185" s="270">
        <f t="shared" si="942"/>
        <v>14</v>
      </c>
      <c r="S185" s="270">
        <f t="shared" si="942"/>
        <v>15</v>
      </c>
      <c r="T185" s="270">
        <f t="shared" si="942"/>
        <v>16</v>
      </c>
      <c r="U185" s="270">
        <f t="shared" si="942"/>
        <v>15</v>
      </c>
      <c r="V185" s="609">
        <f>V177+V183</f>
        <v>14</v>
      </c>
      <c r="W185" s="609">
        <f>W177+W183</f>
        <v>14</v>
      </c>
      <c r="X185" s="270">
        <f t="shared" si="942"/>
        <v>14</v>
      </c>
      <c r="Y185" s="609">
        <f>Y177+Y183</f>
        <v>14</v>
      </c>
      <c r="Z185" s="609">
        <f>Z177+Z183</f>
        <v>14</v>
      </c>
      <c r="AA185" s="270">
        <f t="shared" si="942"/>
        <v>14</v>
      </c>
      <c r="AB185" s="609">
        <f t="shared" ref="AB185:AC185" si="943">AB177+AB183</f>
        <v>14</v>
      </c>
      <c r="AC185" s="609">
        <f t="shared" si="943"/>
        <v>14</v>
      </c>
      <c r="AD185" s="270">
        <f t="shared" si="942"/>
        <v>14</v>
      </c>
      <c r="AE185" s="609">
        <f>AE177+AE183</f>
        <v>14</v>
      </c>
      <c r="AF185" s="609">
        <f>AF177+AF183</f>
        <v>14</v>
      </c>
      <c r="AG185" s="1132">
        <f t="shared" ref="AG185:AM185" si="944">AG177+AG183</f>
        <v>14</v>
      </c>
      <c r="AH185" s="1202">
        <f>AH177+AH183</f>
        <v>14</v>
      </c>
      <c r="AI185" s="693">
        <f>AI177+AI183</f>
        <v>14</v>
      </c>
      <c r="AJ185" s="1205">
        <f t="shared" ref="AJ185" si="945">AJ177+AJ183</f>
        <v>14</v>
      </c>
      <c r="AK185" s="1266">
        <f>AK177+AK183</f>
        <v>17</v>
      </c>
      <c r="AL185" s="1202">
        <f t="shared" si="944"/>
        <v>17</v>
      </c>
      <c r="AM185" s="1589">
        <f t="shared" si="944"/>
        <v>19</v>
      </c>
      <c r="AN185" s="1634">
        <f>AN177+AN183</f>
        <v>21</v>
      </c>
      <c r="AO185" s="609">
        <f t="shared" ref="AO185:AV185" si="946">AO177+AO183</f>
        <v>23</v>
      </c>
      <c r="AP185" s="1619">
        <f t="shared" si="946"/>
        <v>23</v>
      </c>
      <c r="AQ185" s="1744">
        <f>AQ177+AQ183</f>
        <v>24</v>
      </c>
      <c r="AR185" s="609">
        <f t="shared" si="946"/>
        <v>25</v>
      </c>
      <c r="AS185" s="270">
        <f t="shared" si="946"/>
        <v>25</v>
      </c>
      <c r="AT185" s="609">
        <f t="shared" si="946"/>
        <v>25</v>
      </c>
      <c r="AU185" s="609">
        <f t="shared" si="946"/>
        <v>26</v>
      </c>
      <c r="AV185" s="270">
        <f t="shared" si="946"/>
        <v>26</v>
      </c>
      <c r="AW185" s="609">
        <f t="shared" ref="AW185:AY185" si="947">AW177+AW183</f>
        <v>26</v>
      </c>
      <c r="AX185" s="609">
        <f t="shared" si="947"/>
        <v>27</v>
      </c>
      <c r="AY185" s="270">
        <f t="shared" si="947"/>
        <v>27</v>
      </c>
      <c r="AZ185" s="609">
        <f t="shared" ref="AZ185:BB185" si="948">AZ177+AZ183</f>
        <v>27</v>
      </c>
      <c r="BA185" s="609">
        <f t="shared" si="948"/>
        <v>28</v>
      </c>
      <c r="BB185" s="270">
        <f t="shared" si="948"/>
        <v>28</v>
      </c>
      <c r="BC185" s="1261"/>
      <c r="BD185" s="412"/>
      <c r="BE185" s="412"/>
      <c r="BF185" s="412"/>
      <c r="BG185" s="412"/>
      <c r="BH185" s="378"/>
      <c r="BI185" s="379"/>
      <c r="BJ185" s="379"/>
      <c r="BK185" s="466"/>
      <c r="BL185" s="466"/>
      <c r="BM185" s="466"/>
      <c r="BN185" s="466"/>
      <c r="BO185" s="466"/>
      <c r="BP185" s="466"/>
      <c r="BQ185" s="466"/>
      <c r="BR185" s="496">
        <f t="shared" ref="BR185:CN185" si="949">BR177+BR183</f>
        <v>12</v>
      </c>
      <c r="BS185" s="496">
        <f t="shared" si="949"/>
        <v>15</v>
      </c>
      <c r="BT185" s="496">
        <f t="shared" si="949"/>
        <v>12</v>
      </c>
      <c r="BU185" s="496">
        <f t="shared" si="949"/>
        <v>14</v>
      </c>
      <c r="BV185" s="496">
        <f t="shared" si="949"/>
        <v>14</v>
      </c>
      <c r="BW185" s="496">
        <f t="shared" si="949"/>
        <v>13</v>
      </c>
      <c r="BX185" s="496">
        <f t="shared" si="949"/>
        <v>10</v>
      </c>
      <c r="BY185" s="496">
        <f t="shared" si="949"/>
        <v>13</v>
      </c>
      <c r="BZ185" s="496">
        <f t="shared" si="949"/>
        <v>13</v>
      </c>
      <c r="CA185" s="496">
        <f t="shared" si="949"/>
        <v>13</v>
      </c>
      <c r="CB185" s="496">
        <f t="shared" si="949"/>
        <v>13</v>
      </c>
      <c r="CC185" s="496">
        <f t="shared" si="949"/>
        <v>13</v>
      </c>
      <c r="CD185" s="496">
        <f t="shared" si="949"/>
        <v>13</v>
      </c>
      <c r="CE185" s="496">
        <f t="shared" si="949"/>
        <v>13</v>
      </c>
      <c r="CF185" s="496">
        <f t="shared" si="949"/>
        <v>13</v>
      </c>
      <c r="CG185" s="496">
        <f t="shared" si="949"/>
        <v>14</v>
      </c>
      <c r="CH185" s="496">
        <f t="shared" si="949"/>
        <v>14</v>
      </c>
      <c r="CI185" s="496">
        <f t="shared" si="949"/>
        <v>15</v>
      </c>
      <c r="CJ185" s="496">
        <f t="shared" si="949"/>
        <v>15</v>
      </c>
      <c r="CK185" s="496">
        <f t="shared" si="949"/>
        <v>16</v>
      </c>
      <c r="CL185" s="496">
        <f t="shared" si="949"/>
        <v>16</v>
      </c>
      <c r="CM185" s="496">
        <f t="shared" si="949"/>
        <v>15</v>
      </c>
      <c r="CN185" s="496">
        <f t="shared" si="949"/>
        <v>15</v>
      </c>
    </row>
    <row r="186" spans="1:92" outlineLevel="1">
      <c r="A186" s="170"/>
      <c r="B186" s="863" t="s">
        <v>618</v>
      </c>
      <c r="C186" s="1030"/>
      <c r="D186" s="1031"/>
      <c r="E186" s="1031"/>
      <c r="F186" s="603"/>
      <c r="G186" s="603"/>
      <c r="H186" s="603"/>
      <c r="I186" s="603"/>
      <c r="J186" s="603">
        <f t="shared" ref="J186:U186" si="950">AVERAGE(I185:J185)</f>
        <v>12</v>
      </c>
      <c r="K186" s="603">
        <f t="shared" si="950"/>
        <v>12</v>
      </c>
      <c r="L186" s="603">
        <f t="shared" si="950"/>
        <v>13</v>
      </c>
      <c r="M186" s="603">
        <f t="shared" si="950"/>
        <v>12</v>
      </c>
      <c r="N186" s="603">
        <f t="shared" si="950"/>
        <v>11.5</v>
      </c>
      <c r="O186" s="603">
        <f t="shared" si="950"/>
        <v>13</v>
      </c>
      <c r="P186" s="603">
        <f t="shared" si="950"/>
        <v>13</v>
      </c>
      <c r="Q186" s="603">
        <f t="shared" si="950"/>
        <v>13</v>
      </c>
      <c r="R186" s="603">
        <f t="shared" si="950"/>
        <v>13.5</v>
      </c>
      <c r="S186" s="603">
        <f t="shared" si="950"/>
        <v>14.5</v>
      </c>
      <c r="T186" s="603">
        <f t="shared" si="950"/>
        <v>15.5</v>
      </c>
      <c r="U186" s="603">
        <f t="shared" si="950"/>
        <v>15.5</v>
      </c>
      <c r="V186" s="603">
        <f>AVERAGE(CN185:CO185)</f>
        <v>15</v>
      </c>
      <c r="W186" s="603">
        <f>AVERAGE(V185:W185)</f>
        <v>14</v>
      </c>
      <c r="X186" s="603">
        <f>AVERAGE(U185:X185)</f>
        <v>14.25</v>
      </c>
      <c r="Y186" s="603">
        <f>AVERAGE(W185:Y185)</f>
        <v>14</v>
      </c>
      <c r="Z186" s="603">
        <f>AVERAGE(Y185:Z185)</f>
        <v>14</v>
      </c>
      <c r="AA186" s="603">
        <f>AVERAGE(X185:AA185)</f>
        <v>14</v>
      </c>
      <c r="AB186" s="603">
        <f>AVERAGE(Z185:AB185)</f>
        <v>14</v>
      </c>
      <c r="AC186" s="603">
        <f>AVERAGE(AB185:AC185)</f>
        <v>14</v>
      </c>
      <c r="AD186" s="603">
        <f>AVERAGE(AA185:AD185)</f>
        <v>14</v>
      </c>
      <c r="AE186" s="603">
        <f>AVERAGE(AD185:AE185)</f>
        <v>14</v>
      </c>
      <c r="AF186" s="603">
        <f>AVERAGE(AE185:AF185)</f>
        <v>14</v>
      </c>
      <c r="AG186" s="1130">
        <f>(AG185+AD185)*0.5</f>
        <v>14</v>
      </c>
      <c r="AH186" s="1130">
        <f>AVERAGE(AG185:AH185)</f>
        <v>14</v>
      </c>
      <c r="AI186" s="678">
        <f>AVERAGE(AH185:AI185)</f>
        <v>14</v>
      </c>
      <c r="AJ186" s="1130">
        <f>(AJ185+AG185)*0.5</f>
        <v>14</v>
      </c>
      <c r="AK186" s="679">
        <f>AVERAGE(AJ185:AK185)</f>
        <v>15.5</v>
      </c>
      <c r="AL186" s="1130">
        <f t="shared" ref="AL186" si="951">AVERAGE(AK185:AL185)</f>
        <v>17</v>
      </c>
      <c r="AM186" s="1130">
        <f>(AM185+AJ185)*0.5</f>
        <v>16.5</v>
      </c>
      <c r="AN186" s="679">
        <f>AVERAGE(AM185:AN185)</f>
        <v>20</v>
      </c>
      <c r="AO186" s="603">
        <f>AVERAGE(AN185:AO185)</f>
        <v>22</v>
      </c>
      <c r="AP186" s="679">
        <f>(AP185+AM185)*0.5</f>
        <v>21</v>
      </c>
      <c r="AQ186" s="1606">
        <f>AVERAGE(AP185:AQ185)</f>
        <v>23.5</v>
      </c>
      <c r="AR186" s="603">
        <f t="shared" ref="AR186" si="952">AVERAGE(AQ185:AR185)</f>
        <v>24.5</v>
      </c>
      <c r="AS186" s="238">
        <f t="shared" ref="AS186" si="953">(AS185+AP185)*0.5</f>
        <v>24</v>
      </c>
      <c r="AT186" s="603">
        <f t="shared" ref="AT186:AU186" si="954">AVERAGE(AS185:AT185)</f>
        <v>25</v>
      </c>
      <c r="AU186" s="603">
        <f t="shared" si="954"/>
        <v>25.5</v>
      </c>
      <c r="AV186" s="238">
        <f t="shared" ref="AV186" si="955">(AV185+AS185)*0.5</f>
        <v>25.5</v>
      </c>
      <c r="AW186" s="603">
        <f>AVERAGE(AV185:AW185)</f>
        <v>26</v>
      </c>
      <c r="AX186" s="603">
        <f t="shared" ref="AX186" si="956">AVERAGE(AW185:AX185)</f>
        <v>26.5</v>
      </c>
      <c r="AY186" s="238">
        <f t="shared" ref="AY186" si="957">(AY185+AV185)*0.5</f>
        <v>26.5</v>
      </c>
      <c r="AZ186" s="603">
        <f t="shared" ref="AZ186" si="958">AVERAGE(AY185:AZ185)</f>
        <v>27</v>
      </c>
      <c r="BA186" s="603">
        <f t="shared" ref="BA186" si="959">AVERAGE(AZ185:BA185)</f>
        <v>27.5</v>
      </c>
      <c r="BB186" s="238">
        <f t="shared" ref="BB186" si="960">(BB185+AY185)*0.5</f>
        <v>27.5</v>
      </c>
      <c r="BC186" s="678"/>
      <c r="BD186" s="405"/>
      <c r="BE186" s="405"/>
      <c r="BF186" s="405"/>
      <c r="BG186" s="405"/>
      <c r="BH186" s="378"/>
      <c r="BI186" s="379"/>
      <c r="BJ186" s="379"/>
      <c r="BK186" s="405"/>
      <c r="BL186" s="405"/>
      <c r="BM186" s="405"/>
      <c r="BN186" s="405"/>
      <c r="BO186" s="405"/>
      <c r="BP186" s="405"/>
      <c r="BQ186" s="405"/>
      <c r="BR186" s="405"/>
      <c r="BS186" s="405"/>
      <c r="BT186" s="405">
        <f t="shared" ref="BT186:CN186" si="961">AVERAGE(BS185:BT185)</f>
        <v>13.5</v>
      </c>
      <c r="BU186" s="405">
        <f t="shared" si="961"/>
        <v>13</v>
      </c>
      <c r="BV186" s="405">
        <f t="shared" si="961"/>
        <v>14</v>
      </c>
      <c r="BW186" s="405">
        <f t="shared" si="961"/>
        <v>13.5</v>
      </c>
      <c r="BX186" s="405">
        <f t="shared" si="961"/>
        <v>11.5</v>
      </c>
      <c r="BY186" s="405">
        <f t="shared" si="961"/>
        <v>11.5</v>
      </c>
      <c r="BZ186" s="405">
        <f t="shared" si="961"/>
        <v>13</v>
      </c>
      <c r="CA186" s="405">
        <f t="shared" si="961"/>
        <v>13</v>
      </c>
      <c r="CB186" s="405">
        <f t="shared" si="961"/>
        <v>13</v>
      </c>
      <c r="CC186" s="405">
        <f t="shared" si="961"/>
        <v>13</v>
      </c>
      <c r="CD186" s="405">
        <f t="shared" si="961"/>
        <v>13</v>
      </c>
      <c r="CE186" s="405">
        <f t="shared" si="961"/>
        <v>13</v>
      </c>
      <c r="CF186" s="405">
        <f t="shared" si="961"/>
        <v>13</v>
      </c>
      <c r="CG186" s="405">
        <f t="shared" si="961"/>
        <v>13.5</v>
      </c>
      <c r="CH186" s="405">
        <f t="shared" si="961"/>
        <v>14</v>
      </c>
      <c r="CI186" s="405">
        <f t="shared" si="961"/>
        <v>14.5</v>
      </c>
      <c r="CJ186" s="405">
        <f t="shared" si="961"/>
        <v>15</v>
      </c>
      <c r="CK186" s="405">
        <f t="shared" si="961"/>
        <v>15.5</v>
      </c>
      <c r="CL186" s="405">
        <f t="shared" si="961"/>
        <v>16</v>
      </c>
      <c r="CM186" s="405">
        <f t="shared" si="961"/>
        <v>15.5</v>
      </c>
      <c r="CN186" s="405">
        <f t="shared" si="961"/>
        <v>15</v>
      </c>
    </row>
    <row r="187" spans="1:92" outlineLevel="1">
      <c r="A187" s="170"/>
      <c r="B187" s="863" t="s">
        <v>619</v>
      </c>
      <c r="C187" s="1021"/>
      <c r="D187" s="439"/>
      <c r="E187" s="439"/>
      <c r="F187" s="284"/>
      <c r="G187" s="284"/>
      <c r="H187" s="284"/>
      <c r="I187" s="284"/>
      <c r="J187" s="284"/>
      <c r="K187" s="284">
        <f t="shared" ref="K187:U187" si="962">K185/J185-1</f>
        <v>0</v>
      </c>
      <c r="L187" s="284">
        <f t="shared" si="962"/>
        <v>0.16666666666666674</v>
      </c>
      <c r="M187" s="284">
        <f t="shared" si="962"/>
        <v>-0.2857142857142857</v>
      </c>
      <c r="N187" s="284">
        <f t="shared" si="962"/>
        <v>0.30000000000000004</v>
      </c>
      <c r="O187" s="284">
        <f t="shared" si="962"/>
        <v>0</v>
      </c>
      <c r="P187" s="284">
        <f t="shared" si="962"/>
        <v>0</v>
      </c>
      <c r="Q187" s="284">
        <f t="shared" si="962"/>
        <v>0</v>
      </c>
      <c r="R187" s="284">
        <f t="shared" si="962"/>
        <v>7.6923076923076872E-2</v>
      </c>
      <c r="S187" s="284">
        <f t="shared" si="962"/>
        <v>7.1428571428571397E-2</v>
      </c>
      <c r="T187" s="284">
        <f t="shared" si="962"/>
        <v>6.6666666666666652E-2</v>
      </c>
      <c r="U187" s="284">
        <f t="shared" si="962"/>
        <v>-6.25E-2</v>
      </c>
      <c r="V187" s="263">
        <f>V185/CM185-1</f>
        <v>-6.6666666666666652E-2</v>
      </c>
      <c r="W187" s="263">
        <f>W185/CN185-1</f>
        <v>-6.6666666666666652E-2</v>
      </c>
      <c r="X187" s="284">
        <f t="shared" ref="X187:AV187" si="963">X185/U185-1</f>
        <v>-6.6666666666666652E-2</v>
      </c>
      <c r="Y187" s="263">
        <f t="shared" si="963"/>
        <v>0</v>
      </c>
      <c r="Z187" s="263">
        <f t="shared" si="963"/>
        <v>0</v>
      </c>
      <c r="AA187" s="284">
        <f t="shared" si="963"/>
        <v>0</v>
      </c>
      <c r="AB187" s="263">
        <f t="shared" si="963"/>
        <v>0</v>
      </c>
      <c r="AC187" s="263">
        <f t="shared" si="963"/>
        <v>0</v>
      </c>
      <c r="AD187" s="284">
        <f t="shared" si="963"/>
        <v>0</v>
      </c>
      <c r="AE187" s="263">
        <f t="shared" si="963"/>
        <v>0</v>
      </c>
      <c r="AF187" s="263">
        <f t="shared" si="963"/>
        <v>0</v>
      </c>
      <c r="AG187" s="284">
        <f t="shared" si="963"/>
        <v>0</v>
      </c>
      <c r="AH187" s="284">
        <f t="shared" si="963"/>
        <v>0</v>
      </c>
      <c r="AI187" s="564">
        <f t="shared" si="963"/>
        <v>0</v>
      </c>
      <c r="AJ187" s="284">
        <f t="shared" si="963"/>
        <v>0</v>
      </c>
      <c r="AK187" s="137">
        <f t="shared" si="963"/>
        <v>0.21428571428571419</v>
      </c>
      <c r="AL187" s="284">
        <f>AL185/AI185-1</f>
        <v>0.21428571428571419</v>
      </c>
      <c r="AM187" s="284">
        <f t="shared" si="963"/>
        <v>0.35714285714285721</v>
      </c>
      <c r="AN187" s="137">
        <f t="shared" si="963"/>
        <v>0.23529411764705888</v>
      </c>
      <c r="AO187" s="263">
        <f>AO185/AL185-1</f>
        <v>0.35294117647058831</v>
      </c>
      <c r="AP187" s="137">
        <f t="shared" si="963"/>
        <v>0.21052631578947367</v>
      </c>
      <c r="AQ187" s="1315">
        <f t="shared" si="963"/>
        <v>0.14285714285714279</v>
      </c>
      <c r="AR187" s="263">
        <f t="shared" si="963"/>
        <v>8.6956521739130377E-2</v>
      </c>
      <c r="AS187" s="234">
        <f t="shared" si="963"/>
        <v>8.6956521739130377E-2</v>
      </c>
      <c r="AT187" s="263">
        <f t="shared" si="963"/>
        <v>4.1666666666666741E-2</v>
      </c>
      <c r="AU187" s="263">
        <f t="shared" si="963"/>
        <v>4.0000000000000036E-2</v>
      </c>
      <c r="AV187" s="234">
        <f t="shared" si="963"/>
        <v>4.0000000000000036E-2</v>
      </c>
      <c r="AW187" s="263">
        <f>AW185/AT185-1</f>
        <v>4.0000000000000036E-2</v>
      </c>
      <c r="AX187" s="263">
        <f t="shared" ref="AX187" si="964">AX185/AU185-1</f>
        <v>3.8461538461538547E-2</v>
      </c>
      <c r="AY187" s="234">
        <f t="shared" ref="AY187" si="965">AY185/AV185-1</f>
        <v>3.8461538461538547E-2</v>
      </c>
      <c r="AZ187" s="263">
        <f t="shared" ref="AZ187" si="966">AZ185/AW185-1</f>
        <v>3.8461538461538547E-2</v>
      </c>
      <c r="BA187" s="263">
        <f t="shared" ref="BA187" si="967">BA185/AX185-1</f>
        <v>3.7037037037036979E-2</v>
      </c>
      <c r="BB187" s="234">
        <f t="shared" ref="BB187" si="968">BB185/AY185-1</f>
        <v>3.7037037037036979E-2</v>
      </c>
      <c r="BC187" s="137"/>
      <c r="BD187" s="359"/>
      <c r="BE187" s="359"/>
      <c r="BF187" s="359"/>
      <c r="BG187" s="359"/>
      <c r="BH187" s="378"/>
      <c r="BI187" s="379"/>
      <c r="BJ187" s="379"/>
      <c r="BK187" s="359"/>
      <c r="BL187" s="359"/>
      <c r="BM187" s="359"/>
      <c r="BN187" s="359"/>
      <c r="BO187" s="359"/>
      <c r="BP187" s="359"/>
      <c r="BQ187" s="359"/>
      <c r="BR187" s="359"/>
      <c r="BS187" s="331"/>
      <c r="BT187" s="331">
        <f t="shared" ref="BT187:CN187" si="969">BT185/BR185-1</f>
        <v>0</v>
      </c>
      <c r="BU187" s="331">
        <f t="shared" si="969"/>
        <v>-6.6666666666666652E-2</v>
      </c>
      <c r="BV187" s="331">
        <f t="shared" si="969"/>
        <v>0.16666666666666674</v>
      </c>
      <c r="BW187" s="331">
        <f t="shared" si="969"/>
        <v>-7.1428571428571397E-2</v>
      </c>
      <c r="BX187" s="331">
        <f t="shared" si="969"/>
        <v>-0.2857142857142857</v>
      </c>
      <c r="BY187" s="331">
        <f t="shared" si="969"/>
        <v>0</v>
      </c>
      <c r="BZ187" s="331">
        <f t="shared" si="969"/>
        <v>0.30000000000000004</v>
      </c>
      <c r="CA187" s="331">
        <f t="shared" si="969"/>
        <v>0</v>
      </c>
      <c r="CB187" s="331">
        <f t="shared" si="969"/>
        <v>0</v>
      </c>
      <c r="CC187" s="331">
        <f t="shared" si="969"/>
        <v>0</v>
      </c>
      <c r="CD187" s="331">
        <f t="shared" si="969"/>
        <v>0</v>
      </c>
      <c r="CE187" s="331">
        <f t="shared" si="969"/>
        <v>0</v>
      </c>
      <c r="CF187" s="331">
        <f t="shared" si="969"/>
        <v>0</v>
      </c>
      <c r="CG187" s="331">
        <f t="shared" si="969"/>
        <v>7.6923076923076872E-2</v>
      </c>
      <c r="CH187" s="331">
        <f t="shared" si="969"/>
        <v>7.6923076923076872E-2</v>
      </c>
      <c r="CI187" s="331">
        <f t="shared" si="969"/>
        <v>7.1428571428571397E-2</v>
      </c>
      <c r="CJ187" s="331">
        <f t="shared" si="969"/>
        <v>7.1428571428571397E-2</v>
      </c>
      <c r="CK187" s="331">
        <f t="shared" si="969"/>
        <v>6.6666666666666652E-2</v>
      </c>
      <c r="CL187" s="331">
        <f t="shared" si="969"/>
        <v>6.6666666666666652E-2</v>
      </c>
      <c r="CM187" s="331">
        <f t="shared" si="969"/>
        <v>-6.25E-2</v>
      </c>
      <c r="CN187" s="331">
        <f t="shared" si="969"/>
        <v>-6.25E-2</v>
      </c>
    </row>
    <row r="188" spans="1:92" outlineLevel="1">
      <c r="A188" s="170"/>
      <c r="B188" s="863" t="s">
        <v>3</v>
      </c>
      <c r="C188" s="1030"/>
      <c r="D188" s="1031"/>
      <c r="E188" s="1039"/>
      <c r="F188" s="1039"/>
      <c r="G188" s="1039"/>
      <c r="H188" s="1039"/>
      <c r="I188" s="1032">
        <v>700</v>
      </c>
      <c r="J188" s="1032">
        <v>700</v>
      </c>
      <c r="K188" s="1032">
        <v>700</v>
      </c>
      <c r="L188" s="1032">
        <v>760</v>
      </c>
      <c r="M188" s="1032">
        <v>870</v>
      </c>
      <c r="N188" s="1032">
        <v>920</v>
      </c>
      <c r="O188" s="1032">
        <v>950</v>
      </c>
      <c r="P188" s="1032">
        <v>950</v>
      </c>
      <c r="Q188" s="1032">
        <v>950</v>
      </c>
      <c r="R188" s="1032">
        <v>990</v>
      </c>
      <c r="S188" s="1032">
        <v>1000</v>
      </c>
      <c r="T188" s="1032">
        <v>1010</v>
      </c>
      <c r="U188" s="1032">
        <v>1000</v>
      </c>
      <c r="V188" s="262">
        <f>W188</f>
        <v>1000</v>
      </c>
      <c r="W188" s="262">
        <f>X188</f>
        <v>1000</v>
      </c>
      <c r="X188" s="1032">
        <v>1000</v>
      </c>
      <c r="Y188" s="262">
        <f>Z188</f>
        <v>1000</v>
      </c>
      <c r="Z188" s="262">
        <f>AA188</f>
        <v>1000</v>
      </c>
      <c r="AA188" s="1032">
        <v>1000</v>
      </c>
      <c r="AB188" s="262">
        <f>AD188</f>
        <v>1000</v>
      </c>
      <c r="AC188" s="262">
        <f>AD188</f>
        <v>1000</v>
      </c>
      <c r="AD188" s="1032">
        <v>1000</v>
      </c>
      <c r="AE188" s="262">
        <f>AG188</f>
        <v>1000</v>
      </c>
      <c r="AF188" s="262">
        <f>AG188</f>
        <v>1000</v>
      </c>
      <c r="AG188" s="1032">
        <v>1000</v>
      </c>
      <c r="AH188" s="262">
        <f>AJ188</f>
        <v>1000</v>
      </c>
      <c r="AI188" s="675">
        <f>AJ188</f>
        <v>1000</v>
      </c>
      <c r="AJ188" s="1032">
        <v>1000</v>
      </c>
      <c r="AK188" s="675">
        <f>AM188</f>
        <v>1000</v>
      </c>
      <c r="AL188" s="675">
        <f t="shared" ref="AL188" si="970">AM188</f>
        <v>1000</v>
      </c>
      <c r="AM188" s="1615">
        <v>1000</v>
      </c>
      <c r="AN188" s="675">
        <f>AP188</f>
        <v>1000</v>
      </c>
      <c r="AO188" s="675">
        <f t="shared" ref="AO188" si="971">AP188</f>
        <v>1000</v>
      </c>
      <c r="AP188" s="1615">
        <v>1000</v>
      </c>
      <c r="AQ188" s="1601">
        <f>AS188</f>
        <v>1000</v>
      </c>
      <c r="AR188" s="675">
        <f t="shared" ref="AR188" si="972">AS188</f>
        <v>1000</v>
      </c>
      <c r="AS188" s="681">
        <f>AP188</f>
        <v>1000</v>
      </c>
      <c r="AT188" s="675">
        <f t="shared" ref="AT188" si="973">AV188</f>
        <v>1000</v>
      </c>
      <c r="AU188" s="675">
        <f t="shared" ref="AU188" si="974">AV188</f>
        <v>1000</v>
      </c>
      <c r="AV188" s="681">
        <f>AS188</f>
        <v>1000</v>
      </c>
      <c r="AW188" s="675">
        <f>AY188</f>
        <v>1000</v>
      </c>
      <c r="AX188" s="675">
        <f t="shared" ref="AX188" si="975">AY188</f>
        <v>1000</v>
      </c>
      <c r="AY188" s="681">
        <f>AV188</f>
        <v>1000</v>
      </c>
      <c r="AZ188" s="675">
        <f t="shared" ref="AZ188" si="976">BB188</f>
        <v>1000</v>
      </c>
      <c r="BA188" s="675">
        <f t="shared" ref="BA188" si="977">BB188</f>
        <v>1000</v>
      </c>
      <c r="BB188" s="681">
        <f>AY188</f>
        <v>1000</v>
      </c>
      <c r="BC188" s="681"/>
      <c r="BD188" s="406"/>
      <c r="BE188" s="406"/>
      <c r="BF188" s="406"/>
      <c r="BG188" s="406"/>
      <c r="BH188" s="378"/>
      <c r="BI188" s="379"/>
      <c r="BJ188" s="379"/>
      <c r="BK188" s="405"/>
      <c r="BL188" s="405"/>
      <c r="BM188" s="405"/>
      <c r="BN188" s="405"/>
      <c r="BO188" s="405"/>
      <c r="BP188" s="405"/>
      <c r="BQ188" s="405"/>
      <c r="BR188" s="405"/>
      <c r="BS188" s="405"/>
      <c r="BT188" s="405"/>
      <c r="BU188" s="463">
        <v>760</v>
      </c>
      <c r="BV188" s="402">
        <f>BU188</f>
        <v>760</v>
      </c>
      <c r="BW188" s="463">
        <v>870</v>
      </c>
      <c r="BX188" s="402">
        <f>BW188</f>
        <v>870</v>
      </c>
      <c r="BY188" s="463">
        <v>920</v>
      </c>
      <c r="BZ188" s="402">
        <f>BY188</f>
        <v>920</v>
      </c>
      <c r="CA188" s="463">
        <v>950</v>
      </c>
      <c r="CB188" s="402">
        <f>CA188</f>
        <v>950</v>
      </c>
      <c r="CC188" s="463">
        <v>950</v>
      </c>
      <c r="CD188" s="402">
        <f>CC188</f>
        <v>950</v>
      </c>
      <c r="CE188" s="463">
        <v>950</v>
      </c>
      <c r="CF188" s="402">
        <f>CE188</f>
        <v>950</v>
      </c>
      <c r="CG188" s="463">
        <v>990</v>
      </c>
      <c r="CH188" s="402">
        <f>CG188</f>
        <v>990</v>
      </c>
      <c r="CI188" s="463">
        <f>CJ188</f>
        <v>1000</v>
      </c>
      <c r="CJ188" s="402">
        <f>S188</f>
        <v>1000</v>
      </c>
      <c r="CK188" s="399">
        <f>CL188</f>
        <v>1010</v>
      </c>
      <c r="CL188" s="399">
        <f>T188</f>
        <v>1010</v>
      </c>
      <c r="CM188" s="399">
        <f>CN188</f>
        <v>1000</v>
      </c>
      <c r="CN188" s="399">
        <f>U188</f>
        <v>1000</v>
      </c>
    </row>
    <row r="189" spans="1:92" outlineLevel="1">
      <c r="A189" s="170"/>
      <c r="B189" s="863" t="s">
        <v>21</v>
      </c>
      <c r="C189" s="1021"/>
      <c r="D189" s="439"/>
      <c r="E189" s="439"/>
      <c r="F189" s="284"/>
      <c r="G189" s="284"/>
      <c r="H189" s="284"/>
      <c r="I189" s="603">
        <f t="shared" ref="I189:AD189" si="978">I188*I186</f>
        <v>0</v>
      </c>
      <c r="J189" s="603">
        <f t="shared" si="978"/>
        <v>8400</v>
      </c>
      <c r="K189" s="603">
        <f t="shared" si="978"/>
        <v>8400</v>
      </c>
      <c r="L189" s="603">
        <f t="shared" si="978"/>
        <v>9880</v>
      </c>
      <c r="M189" s="603">
        <f t="shared" si="978"/>
        <v>10440</v>
      </c>
      <c r="N189" s="603">
        <f t="shared" si="978"/>
        <v>10580</v>
      </c>
      <c r="O189" s="603">
        <f t="shared" si="978"/>
        <v>12350</v>
      </c>
      <c r="P189" s="603">
        <f t="shared" si="978"/>
        <v>12350</v>
      </c>
      <c r="Q189" s="603">
        <f t="shared" si="978"/>
        <v>12350</v>
      </c>
      <c r="R189" s="603">
        <f t="shared" si="978"/>
        <v>13365</v>
      </c>
      <c r="S189" s="603">
        <f t="shared" si="978"/>
        <v>14500</v>
      </c>
      <c r="T189" s="603">
        <f t="shared" si="978"/>
        <v>15655</v>
      </c>
      <c r="U189" s="603">
        <f t="shared" si="978"/>
        <v>15500</v>
      </c>
      <c r="V189" s="262">
        <f>V188*V186</f>
        <v>15000</v>
      </c>
      <c r="W189" s="262">
        <f>W188*W186</f>
        <v>14000</v>
      </c>
      <c r="X189" s="603">
        <f>X188*X186</f>
        <v>14250</v>
      </c>
      <c r="Y189" s="262">
        <f>Y188*Y186</f>
        <v>14000</v>
      </c>
      <c r="Z189" s="262">
        <f>Z188*Z186</f>
        <v>14000</v>
      </c>
      <c r="AA189" s="603">
        <f t="shared" si="978"/>
        <v>14000</v>
      </c>
      <c r="AB189" s="262">
        <f t="shared" ref="AB189:AC189" si="979">AB188*AB186</f>
        <v>14000</v>
      </c>
      <c r="AC189" s="262">
        <f t="shared" si="979"/>
        <v>14000</v>
      </c>
      <c r="AD189" s="603">
        <f t="shared" si="978"/>
        <v>14000</v>
      </c>
      <c r="AE189" s="262">
        <f>AE188*AE186</f>
        <v>14000</v>
      </c>
      <c r="AF189" s="262">
        <f>AF188*AF186</f>
        <v>14000</v>
      </c>
      <c r="AG189" s="1130">
        <f t="shared" ref="AG189:AX189" si="980">AG188*AG186</f>
        <v>14000</v>
      </c>
      <c r="AH189" s="262">
        <f t="shared" ref="AH189:AQ189" si="981">AH188*AH186</f>
        <v>14000</v>
      </c>
      <c r="AI189" s="675">
        <f t="shared" si="981"/>
        <v>14000</v>
      </c>
      <c r="AJ189" s="1130">
        <f t="shared" si="981"/>
        <v>14000</v>
      </c>
      <c r="AK189" s="675">
        <f t="shared" ref="AK189" si="982">AK188*AK186</f>
        <v>15500</v>
      </c>
      <c r="AL189" s="262">
        <f>AL188*AL186</f>
        <v>17000</v>
      </c>
      <c r="AM189" s="1130">
        <f t="shared" ref="AM189:AN189" si="983">AM188*AM186</f>
        <v>16500</v>
      </c>
      <c r="AN189" s="675">
        <f t="shared" si="983"/>
        <v>20000</v>
      </c>
      <c r="AO189" s="262">
        <f t="shared" si="981"/>
        <v>22000</v>
      </c>
      <c r="AP189" s="679">
        <f t="shared" si="981"/>
        <v>21000</v>
      </c>
      <c r="AQ189" s="1601">
        <f t="shared" si="981"/>
        <v>23500</v>
      </c>
      <c r="AR189" s="262">
        <f>AR188*AR186</f>
        <v>24500</v>
      </c>
      <c r="AS189" s="238">
        <f t="shared" si="980"/>
        <v>24000</v>
      </c>
      <c r="AT189" s="262">
        <f t="shared" ref="AT189:AU189" si="984">AT188*AT186</f>
        <v>25000</v>
      </c>
      <c r="AU189" s="262">
        <f t="shared" si="984"/>
        <v>25500</v>
      </c>
      <c r="AV189" s="238">
        <f t="shared" si="980"/>
        <v>25500</v>
      </c>
      <c r="AW189" s="262">
        <f>AW188*AW186</f>
        <v>26000</v>
      </c>
      <c r="AX189" s="262">
        <f t="shared" si="980"/>
        <v>26500</v>
      </c>
      <c r="AY189" s="238">
        <f t="shared" ref="AY189:BA189" si="985">AY188*AY186</f>
        <v>26500</v>
      </c>
      <c r="AZ189" s="262">
        <f t="shared" si="985"/>
        <v>27000</v>
      </c>
      <c r="BA189" s="262">
        <f t="shared" si="985"/>
        <v>27500</v>
      </c>
      <c r="BB189" s="238">
        <f t="shared" ref="BB189" si="986">BB188*BB186</f>
        <v>27500</v>
      </c>
      <c r="BC189" s="678"/>
      <c r="BD189" s="405"/>
      <c r="BE189" s="405"/>
      <c r="BF189" s="405"/>
      <c r="BG189" s="405"/>
      <c r="BH189" s="378"/>
      <c r="BI189" s="379"/>
      <c r="BJ189" s="379"/>
      <c r="BK189" s="359"/>
      <c r="BL189" s="359"/>
      <c r="BM189" s="359"/>
      <c r="BN189" s="359"/>
      <c r="BO189" s="359"/>
      <c r="BP189" s="359"/>
      <c r="BQ189" s="359"/>
      <c r="BR189" s="359"/>
      <c r="BS189" s="331"/>
      <c r="BT189" s="331"/>
      <c r="BU189" s="399">
        <f t="shared" ref="BU189:CN189" si="987">BU188*BU186</f>
        <v>9880</v>
      </c>
      <c r="BV189" s="399">
        <f t="shared" si="987"/>
        <v>10640</v>
      </c>
      <c r="BW189" s="399">
        <f t="shared" si="987"/>
        <v>11745</v>
      </c>
      <c r="BX189" s="399">
        <f t="shared" si="987"/>
        <v>10005</v>
      </c>
      <c r="BY189" s="399">
        <f t="shared" si="987"/>
        <v>10580</v>
      </c>
      <c r="BZ189" s="399">
        <f t="shared" si="987"/>
        <v>11960</v>
      </c>
      <c r="CA189" s="399">
        <f t="shared" si="987"/>
        <v>12350</v>
      </c>
      <c r="CB189" s="399">
        <f t="shared" si="987"/>
        <v>12350</v>
      </c>
      <c r="CC189" s="399">
        <f t="shared" si="987"/>
        <v>12350</v>
      </c>
      <c r="CD189" s="399">
        <f t="shared" si="987"/>
        <v>12350</v>
      </c>
      <c r="CE189" s="399">
        <f t="shared" si="987"/>
        <v>12350</v>
      </c>
      <c r="CF189" s="399">
        <f t="shared" si="987"/>
        <v>12350</v>
      </c>
      <c r="CG189" s="399">
        <f t="shared" si="987"/>
        <v>13365</v>
      </c>
      <c r="CH189" s="399">
        <f t="shared" si="987"/>
        <v>13860</v>
      </c>
      <c r="CI189" s="399">
        <f t="shared" si="987"/>
        <v>14500</v>
      </c>
      <c r="CJ189" s="399">
        <f t="shared" si="987"/>
        <v>15000</v>
      </c>
      <c r="CK189" s="399">
        <f t="shared" si="987"/>
        <v>15655</v>
      </c>
      <c r="CL189" s="399">
        <f t="shared" si="987"/>
        <v>16160</v>
      </c>
      <c r="CM189" s="399">
        <f t="shared" si="987"/>
        <v>15500</v>
      </c>
      <c r="CN189" s="399">
        <f t="shared" si="987"/>
        <v>15000</v>
      </c>
    </row>
    <row r="190" spans="1:92" outlineLevel="1">
      <c r="A190" s="170"/>
      <c r="B190" s="863" t="s">
        <v>23</v>
      </c>
      <c r="C190" s="1021"/>
      <c r="D190" s="439"/>
      <c r="E190" s="439"/>
      <c r="F190" s="284"/>
      <c r="G190" s="284"/>
      <c r="H190" s="284"/>
      <c r="I190" s="603"/>
      <c r="J190" s="603"/>
      <c r="K190" s="263">
        <f t="shared" ref="K190:U190" si="988">K189/J189-1</f>
        <v>0</v>
      </c>
      <c r="L190" s="263">
        <f t="shared" si="988"/>
        <v>0.17619047619047623</v>
      </c>
      <c r="M190" s="263">
        <f t="shared" si="988"/>
        <v>5.6680161943319929E-2</v>
      </c>
      <c r="N190" s="263">
        <f t="shared" si="988"/>
        <v>1.3409961685823646E-2</v>
      </c>
      <c r="O190" s="263">
        <f t="shared" si="988"/>
        <v>0.16729678638941392</v>
      </c>
      <c r="P190" s="263">
        <f t="shared" si="988"/>
        <v>0</v>
      </c>
      <c r="Q190" s="263">
        <f t="shared" si="988"/>
        <v>0</v>
      </c>
      <c r="R190" s="263">
        <f t="shared" si="988"/>
        <v>8.218623481781373E-2</v>
      </c>
      <c r="S190" s="263">
        <f t="shared" si="988"/>
        <v>8.4923307145529314E-2</v>
      </c>
      <c r="T190" s="263">
        <f t="shared" si="988"/>
        <v>7.9655172413793052E-2</v>
      </c>
      <c r="U190" s="263">
        <f t="shared" si="988"/>
        <v>-9.9009900990099098E-3</v>
      </c>
      <c r="V190" s="263">
        <f>V189/CM189-1</f>
        <v>-3.2258064516129004E-2</v>
      </c>
      <c r="W190" s="263">
        <f>W189/CN189-1</f>
        <v>-6.6666666666666652E-2</v>
      </c>
      <c r="X190" s="263">
        <f t="shared" ref="X190:AV190" si="989">X189/U189-1</f>
        <v>-8.064516129032262E-2</v>
      </c>
      <c r="Y190" s="263">
        <f t="shared" si="989"/>
        <v>-6.6666666666666652E-2</v>
      </c>
      <c r="Z190" s="263">
        <f t="shared" si="989"/>
        <v>0</v>
      </c>
      <c r="AA190" s="263">
        <f t="shared" si="989"/>
        <v>-1.7543859649122862E-2</v>
      </c>
      <c r="AB190" s="263">
        <f t="shared" si="989"/>
        <v>0</v>
      </c>
      <c r="AC190" s="263">
        <f t="shared" si="989"/>
        <v>0</v>
      </c>
      <c r="AD190" s="263">
        <f t="shared" si="989"/>
        <v>0</v>
      </c>
      <c r="AE190" s="263">
        <f t="shared" si="989"/>
        <v>0</v>
      </c>
      <c r="AF190" s="263">
        <f t="shared" si="989"/>
        <v>0</v>
      </c>
      <c r="AG190" s="284">
        <f t="shared" si="989"/>
        <v>0</v>
      </c>
      <c r="AH190" s="284">
        <f t="shared" si="989"/>
        <v>0</v>
      </c>
      <c r="AI190" s="564">
        <f t="shared" si="989"/>
        <v>0</v>
      </c>
      <c r="AJ190" s="284">
        <f t="shared" si="989"/>
        <v>0</v>
      </c>
      <c r="AK190" s="137">
        <f t="shared" si="989"/>
        <v>0.10714285714285721</v>
      </c>
      <c r="AL190" s="284">
        <f>AL189/AI189-1</f>
        <v>0.21428571428571419</v>
      </c>
      <c r="AM190" s="284">
        <f t="shared" si="989"/>
        <v>0.1785714285714286</v>
      </c>
      <c r="AN190" s="137">
        <f t="shared" si="989"/>
        <v>0.29032258064516125</v>
      </c>
      <c r="AO190" s="263">
        <f>AO189/AL189-1</f>
        <v>0.29411764705882359</v>
      </c>
      <c r="AP190" s="137">
        <f t="shared" si="989"/>
        <v>0.27272727272727271</v>
      </c>
      <c r="AQ190" s="1315">
        <f t="shared" si="989"/>
        <v>0.17500000000000004</v>
      </c>
      <c r="AR190" s="263">
        <f t="shared" si="989"/>
        <v>0.11363636363636354</v>
      </c>
      <c r="AS190" s="235">
        <f t="shared" si="989"/>
        <v>0.14285714285714279</v>
      </c>
      <c r="AT190" s="263">
        <f t="shared" si="989"/>
        <v>6.3829787234042534E-2</v>
      </c>
      <c r="AU190" s="263">
        <f t="shared" si="989"/>
        <v>4.081632653061229E-2</v>
      </c>
      <c r="AV190" s="235">
        <f t="shared" si="989"/>
        <v>6.25E-2</v>
      </c>
      <c r="AW190" s="263">
        <f>AW189/AT189-1</f>
        <v>4.0000000000000036E-2</v>
      </c>
      <c r="AX190" s="263">
        <f t="shared" ref="AX190" si="990">AX189/AU189-1</f>
        <v>3.9215686274509887E-2</v>
      </c>
      <c r="AY190" s="235">
        <f t="shared" ref="AY190" si="991">AY189/AV189-1</f>
        <v>3.9215686274509887E-2</v>
      </c>
      <c r="AZ190" s="263">
        <f t="shared" ref="AZ190" si="992">AZ189/AW189-1</f>
        <v>3.8461538461538547E-2</v>
      </c>
      <c r="BA190" s="263">
        <f t="shared" ref="BA190" si="993">BA189/AX189-1</f>
        <v>3.7735849056603765E-2</v>
      </c>
      <c r="BB190" s="235">
        <f t="shared" ref="BB190" si="994">BB189/AY189-1</f>
        <v>3.7735849056603765E-2</v>
      </c>
      <c r="BC190" s="564"/>
      <c r="BD190" s="331"/>
      <c r="BE190" s="331"/>
      <c r="BF190" s="331"/>
      <c r="BG190" s="331"/>
      <c r="BH190" s="378"/>
      <c r="BI190" s="379"/>
      <c r="BJ190" s="379"/>
      <c r="BK190" s="359"/>
      <c r="BL190" s="359"/>
      <c r="BM190" s="359"/>
      <c r="BN190" s="359"/>
      <c r="BO190" s="359"/>
      <c r="BP190" s="359"/>
      <c r="BQ190" s="359"/>
      <c r="BR190" s="359"/>
      <c r="BS190" s="331"/>
      <c r="BT190" s="331"/>
      <c r="BU190" s="331"/>
      <c r="BV190" s="331"/>
      <c r="BW190" s="331">
        <f t="shared" ref="BW190:CN190" si="995">BW189/BU189-1</f>
        <v>0.18876518218623484</v>
      </c>
      <c r="BX190" s="331">
        <f t="shared" si="995"/>
        <v>-5.96804511278195E-2</v>
      </c>
      <c r="BY190" s="331">
        <f t="shared" si="995"/>
        <v>-9.9191145168156636E-2</v>
      </c>
      <c r="BZ190" s="331">
        <f t="shared" si="995"/>
        <v>0.19540229885057481</v>
      </c>
      <c r="CA190" s="331">
        <f t="shared" si="995"/>
        <v>0.16729678638941392</v>
      </c>
      <c r="CB190" s="331">
        <f t="shared" si="995"/>
        <v>3.2608695652173836E-2</v>
      </c>
      <c r="CC190" s="331">
        <f t="shared" si="995"/>
        <v>0</v>
      </c>
      <c r="CD190" s="331">
        <f t="shared" si="995"/>
        <v>0</v>
      </c>
      <c r="CE190" s="331">
        <f t="shared" si="995"/>
        <v>0</v>
      </c>
      <c r="CF190" s="331">
        <f t="shared" si="995"/>
        <v>0</v>
      </c>
      <c r="CG190" s="331">
        <f t="shared" si="995"/>
        <v>8.218623481781373E-2</v>
      </c>
      <c r="CH190" s="331">
        <f t="shared" si="995"/>
        <v>0.12226720647773281</v>
      </c>
      <c r="CI190" s="331">
        <f t="shared" si="995"/>
        <v>8.4923307145529314E-2</v>
      </c>
      <c r="CJ190" s="331">
        <f t="shared" si="995"/>
        <v>8.2251082251082241E-2</v>
      </c>
      <c r="CK190" s="331">
        <f t="shared" si="995"/>
        <v>7.9655172413793052E-2</v>
      </c>
      <c r="CL190" s="331">
        <f t="shared" si="995"/>
        <v>7.7333333333333254E-2</v>
      </c>
      <c r="CM190" s="331">
        <f t="shared" si="995"/>
        <v>-9.9009900990099098E-3</v>
      </c>
      <c r="CN190" s="331">
        <f t="shared" si="995"/>
        <v>-7.1782178217821735E-2</v>
      </c>
    </row>
    <row r="191" spans="1:92" outlineLevel="1">
      <c r="A191" s="170"/>
      <c r="B191" s="863"/>
      <c r="C191" s="1021"/>
      <c r="D191" s="439"/>
      <c r="E191" s="439"/>
      <c r="F191" s="284"/>
      <c r="G191" s="284"/>
      <c r="H191" s="284"/>
      <c r="I191" s="603"/>
      <c r="J191" s="60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84"/>
      <c r="AH191" s="284"/>
      <c r="AI191" s="564"/>
      <c r="AJ191" s="284"/>
      <c r="AK191" s="137"/>
      <c r="AL191" s="284"/>
      <c r="AM191" s="284"/>
      <c r="AN191" s="137"/>
      <c r="AO191" s="263"/>
      <c r="AP191" s="137"/>
      <c r="AQ191" s="1315"/>
      <c r="AR191" s="263"/>
      <c r="AS191" s="235"/>
      <c r="AT191" s="263"/>
      <c r="AU191" s="263"/>
      <c r="AV191" s="235"/>
      <c r="AW191" s="263"/>
      <c r="AX191" s="263"/>
      <c r="AY191" s="235"/>
      <c r="AZ191" s="263"/>
      <c r="BA191" s="263"/>
      <c r="BB191" s="235"/>
      <c r="BC191" s="564"/>
      <c r="BD191" s="331"/>
      <c r="BE191" s="331"/>
      <c r="BF191" s="331"/>
      <c r="BG191" s="331"/>
      <c r="BH191" s="378"/>
      <c r="BI191" s="379"/>
      <c r="BJ191" s="379"/>
      <c r="BK191" s="359"/>
      <c r="BL191" s="359"/>
      <c r="BM191" s="359"/>
      <c r="BN191" s="359"/>
      <c r="BO191" s="359"/>
      <c r="BP191" s="359"/>
      <c r="BQ191" s="359"/>
      <c r="BR191" s="359"/>
      <c r="BS191" s="331"/>
      <c r="BT191" s="331"/>
      <c r="BU191" s="331"/>
      <c r="BV191" s="331"/>
      <c r="BW191" s="331"/>
      <c r="BX191" s="331"/>
      <c r="BY191" s="331"/>
      <c r="BZ191" s="331"/>
      <c r="CA191" s="331"/>
      <c r="CB191" s="331"/>
      <c r="CC191" s="331"/>
      <c r="CD191" s="331"/>
      <c r="CE191" s="331"/>
      <c r="CF191" s="331"/>
      <c r="CG191" s="331"/>
      <c r="CH191" s="331"/>
      <c r="CI191" s="331"/>
      <c r="CJ191" s="331"/>
      <c r="CK191" s="331"/>
      <c r="CL191" s="331"/>
      <c r="CM191" s="331"/>
      <c r="CN191" s="331"/>
    </row>
    <row r="192" spans="1:92" outlineLevel="1">
      <c r="A192" s="170"/>
      <c r="B192" s="1040" t="s">
        <v>670</v>
      </c>
      <c r="C192" s="1021"/>
      <c r="D192" s="439"/>
      <c r="E192" s="439"/>
      <c r="F192" s="284"/>
      <c r="G192" s="284"/>
      <c r="H192" s="284"/>
      <c r="I192" s="603"/>
      <c r="J192" s="603"/>
      <c r="K192" s="263"/>
      <c r="L192" s="263"/>
      <c r="M192" s="263"/>
      <c r="N192" s="263"/>
      <c r="O192" s="273">
        <f t="shared" ref="O192:AD192" si="996">O183+O163</f>
        <v>0</v>
      </c>
      <c r="P192" s="273">
        <f t="shared" si="996"/>
        <v>8</v>
      </c>
      <c r="Q192" s="273">
        <f t="shared" si="996"/>
        <v>22</v>
      </c>
      <c r="R192" s="273">
        <f t="shared" si="996"/>
        <v>43</v>
      </c>
      <c r="S192" s="273">
        <f t="shared" si="996"/>
        <v>59</v>
      </c>
      <c r="T192" s="273">
        <f t="shared" si="996"/>
        <v>63</v>
      </c>
      <c r="U192" s="273">
        <f t="shared" si="996"/>
        <v>59</v>
      </c>
      <c r="V192" s="596">
        <f>V183+V163</f>
        <v>59</v>
      </c>
      <c r="W192" s="596">
        <f>W183+W163</f>
        <v>58</v>
      </c>
      <c r="X192" s="273">
        <f>X183+X163</f>
        <v>58</v>
      </c>
      <c r="Y192" s="596">
        <f>Y183+Y163</f>
        <v>58</v>
      </c>
      <c r="Z192" s="596">
        <f>Z183+Z163</f>
        <v>59</v>
      </c>
      <c r="AA192" s="273">
        <f t="shared" si="996"/>
        <v>59</v>
      </c>
      <c r="AB192" s="596">
        <f>AB183+AB163</f>
        <v>59</v>
      </c>
      <c r="AC192" s="596">
        <f>AC183+AC163</f>
        <v>60</v>
      </c>
      <c r="AD192" s="273">
        <f t="shared" si="996"/>
        <v>60</v>
      </c>
      <c r="AE192" s="596">
        <f t="shared" ref="AE192:AF192" si="997">AE183+AE163</f>
        <v>60</v>
      </c>
      <c r="AF192" s="596">
        <f t="shared" si="997"/>
        <v>60</v>
      </c>
      <c r="AG192" s="1133">
        <f t="shared" ref="AG192:AX192" si="998">AG183+AG163</f>
        <v>60</v>
      </c>
      <c r="AH192" s="262">
        <f t="shared" si="998"/>
        <v>61</v>
      </c>
      <c r="AI192" s="669">
        <f>AI183+AI163</f>
        <v>62</v>
      </c>
      <c r="AJ192" s="1133">
        <f t="shared" ref="AJ192:AK192" si="999">AJ183+AJ163</f>
        <v>62</v>
      </c>
      <c r="AK192" s="675">
        <f t="shared" si="999"/>
        <v>65</v>
      </c>
      <c r="AL192" s="262">
        <f>AL183+AL163</f>
        <v>65</v>
      </c>
      <c r="AM192" s="1133">
        <f t="shared" ref="AM192:AN192" si="1000">AM183+AM163</f>
        <v>64</v>
      </c>
      <c r="AN192" s="675">
        <f t="shared" si="1000"/>
        <v>64</v>
      </c>
      <c r="AO192" s="596">
        <f>AO183+AO163</f>
        <v>64</v>
      </c>
      <c r="AP192" s="1710">
        <f t="shared" ref="AP192:AQ192" si="1001">AP183+AP163</f>
        <v>64</v>
      </c>
      <c r="AQ192" s="1601">
        <f t="shared" si="1001"/>
        <v>64</v>
      </c>
      <c r="AR192" s="596">
        <f>AR183+AR163</f>
        <v>64</v>
      </c>
      <c r="AS192" s="273">
        <f t="shared" si="998"/>
        <v>64</v>
      </c>
      <c r="AT192" s="596">
        <f t="shared" ref="AT192" si="1002">AT183+AT163</f>
        <v>64</v>
      </c>
      <c r="AU192" s="596">
        <f t="shared" ref="AU192" si="1003">AU183+AU163</f>
        <v>64</v>
      </c>
      <c r="AV192" s="273">
        <f t="shared" si="998"/>
        <v>64</v>
      </c>
      <c r="AW192" s="596">
        <f>AW183+AW163</f>
        <v>64</v>
      </c>
      <c r="AX192" s="596">
        <f t="shared" si="998"/>
        <v>64</v>
      </c>
      <c r="AY192" s="273">
        <f t="shared" ref="AY192:BA192" si="1004">AY183+AY163</f>
        <v>64</v>
      </c>
      <c r="AZ192" s="596">
        <f t="shared" si="1004"/>
        <v>64</v>
      </c>
      <c r="BA192" s="596">
        <f t="shared" si="1004"/>
        <v>64</v>
      </c>
      <c r="BB192" s="273">
        <f t="shared" ref="BB192" si="1005">BB183+BB163</f>
        <v>64</v>
      </c>
      <c r="BC192" s="1349"/>
      <c r="BD192" s="413"/>
      <c r="BE192" s="413"/>
      <c r="BF192" s="413"/>
      <c r="BG192" s="413"/>
      <c r="BH192" s="378"/>
      <c r="BI192" s="379"/>
      <c r="BJ192" s="379"/>
      <c r="BK192" s="359"/>
      <c r="BL192" s="359"/>
      <c r="BM192" s="359"/>
      <c r="BN192" s="359"/>
      <c r="BO192" s="359"/>
      <c r="BP192" s="359"/>
      <c r="BQ192" s="359"/>
      <c r="BR192" s="359"/>
      <c r="BS192" s="331"/>
      <c r="BT192" s="331"/>
      <c r="BU192" s="331"/>
      <c r="BV192" s="331"/>
      <c r="BW192" s="331"/>
      <c r="BX192" s="331"/>
      <c r="BY192" s="331"/>
      <c r="BZ192" s="331"/>
      <c r="CA192" s="331"/>
      <c r="CB192" s="331"/>
      <c r="CC192" s="331"/>
      <c r="CD192" s="402">
        <f t="shared" ref="CD192:CJ192" si="1006">CD183+CD163</f>
        <v>8</v>
      </c>
      <c r="CE192" s="402">
        <f t="shared" si="1006"/>
        <v>16</v>
      </c>
      <c r="CF192" s="402">
        <f t="shared" si="1006"/>
        <v>22</v>
      </c>
      <c r="CG192" s="402">
        <f t="shared" si="1006"/>
        <v>39</v>
      </c>
      <c r="CH192" s="402">
        <f t="shared" si="1006"/>
        <v>43</v>
      </c>
      <c r="CI192" s="402">
        <f t="shared" si="1006"/>
        <v>56</v>
      </c>
      <c r="CJ192" s="402">
        <f t="shared" si="1006"/>
        <v>59</v>
      </c>
      <c r="CK192" s="402">
        <f t="shared" ref="CK192:CN192" si="1007">CK183+CK163</f>
        <v>63</v>
      </c>
      <c r="CL192" s="402">
        <f t="shared" si="1007"/>
        <v>63</v>
      </c>
      <c r="CM192" s="402">
        <f t="shared" si="1007"/>
        <v>59</v>
      </c>
      <c r="CN192" s="402">
        <f t="shared" si="1007"/>
        <v>59</v>
      </c>
    </row>
    <row r="193" spans="1:94" outlineLevel="1">
      <c r="A193" s="170"/>
      <c r="B193" s="904"/>
      <c r="C193" s="1015"/>
      <c r="D193" s="1015"/>
      <c r="E193" s="1015"/>
      <c r="F193" s="596"/>
      <c r="G193" s="596"/>
      <c r="H193" s="596"/>
      <c r="I193" s="605"/>
      <c r="J193" s="605"/>
      <c r="K193" s="596"/>
      <c r="L193" s="596"/>
      <c r="M193" s="596"/>
      <c r="N193" s="596"/>
      <c r="O193" s="596"/>
      <c r="P193" s="596"/>
      <c r="Q193" s="596"/>
      <c r="R193" s="596"/>
      <c r="S193" s="596"/>
      <c r="T193" s="596"/>
      <c r="U193" s="596"/>
      <c r="V193" s="596"/>
      <c r="W193" s="596"/>
      <c r="X193" s="596"/>
      <c r="Y193" s="596"/>
      <c r="Z193" s="596"/>
      <c r="AA193" s="596"/>
      <c r="AB193" s="596"/>
      <c r="AC193" s="596"/>
      <c r="AD193" s="596"/>
      <c r="AE193" s="596"/>
      <c r="AF193" s="596"/>
      <c r="AG193" s="262"/>
      <c r="AH193" s="262"/>
      <c r="AI193" s="669"/>
      <c r="AJ193" s="262"/>
      <c r="AK193" s="675"/>
      <c r="AL193" s="262"/>
      <c r="AM193" s="262"/>
      <c r="AN193" s="675"/>
      <c r="AO193" s="596"/>
      <c r="AP193" s="675"/>
      <c r="AQ193" s="1601"/>
      <c r="AR193" s="596"/>
      <c r="AS193" s="237"/>
      <c r="AT193" s="596"/>
      <c r="AU193" s="596"/>
      <c r="AV193" s="237"/>
      <c r="AW193" s="596"/>
      <c r="AX193" s="596"/>
      <c r="AY193" s="237"/>
      <c r="AZ193" s="596"/>
      <c r="BA193" s="596"/>
      <c r="BB193" s="237"/>
      <c r="BC193" s="676"/>
      <c r="BD193" s="403"/>
      <c r="BE193" s="403"/>
      <c r="BF193" s="403"/>
      <c r="BG193" s="403"/>
      <c r="BH193" s="378"/>
      <c r="BI193" s="379"/>
      <c r="BJ193" s="379"/>
      <c r="BK193" s="402"/>
      <c r="BL193" s="402"/>
      <c r="BM193" s="402"/>
      <c r="BN193" s="402"/>
      <c r="BO193" s="402"/>
      <c r="BP193" s="402"/>
      <c r="BQ193" s="402"/>
      <c r="BR193" s="402"/>
      <c r="BS193" s="402"/>
      <c r="BT193" s="402"/>
      <c r="BU193" s="402"/>
      <c r="BV193" s="402"/>
      <c r="BW193" s="402"/>
      <c r="BX193" s="402"/>
      <c r="BY193" s="402"/>
      <c r="BZ193" s="402"/>
      <c r="CA193" s="402"/>
      <c r="CB193" s="402"/>
      <c r="CC193" s="402"/>
      <c r="CD193" s="402"/>
      <c r="CE193" s="402"/>
      <c r="CF193" s="402"/>
      <c r="CG193" s="402"/>
      <c r="CH193" s="402"/>
      <c r="CI193" s="402"/>
      <c r="CJ193" s="402"/>
      <c r="CK193" s="402"/>
      <c r="CL193" s="402"/>
      <c r="CM193" s="402"/>
      <c r="CN193" s="402"/>
    </row>
    <row r="194" spans="1:94" outlineLevel="1">
      <c r="A194" s="170"/>
      <c r="B194" s="1025" t="s">
        <v>614</v>
      </c>
      <c r="C194" s="1015"/>
      <c r="D194" s="1015"/>
      <c r="E194" s="1015"/>
      <c r="F194" s="596"/>
      <c r="G194" s="596"/>
      <c r="H194" s="596"/>
      <c r="I194" s="605"/>
      <c r="J194" s="605"/>
      <c r="K194" s="596"/>
      <c r="L194" s="596"/>
      <c r="M194" s="596"/>
      <c r="N194" s="596"/>
      <c r="O194" s="596"/>
      <c r="P194" s="596"/>
      <c r="Q194" s="596"/>
      <c r="R194" s="596"/>
      <c r="S194" s="596"/>
      <c r="T194" s="596"/>
      <c r="U194" s="596"/>
      <c r="V194" s="596"/>
      <c r="W194" s="596"/>
      <c r="X194" s="596"/>
      <c r="Y194" s="596"/>
      <c r="Z194" s="596"/>
      <c r="AA194" s="596"/>
      <c r="AB194" s="596"/>
      <c r="AC194" s="596"/>
      <c r="AD194" s="596"/>
      <c r="AE194" s="596"/>
      <c r="AF194" s="596"/>
      <c r="AG194" s="262"/>
      <c r="AH194" s="262"/>
      <c r="AI194" s="669"/>
      <c r="AJ194" s="262"/>
      <c r="AK194" s="675"/>
      <c r="AL194" s="262"/>
      <c r="AM194" s="262"/>
      <c r="AN194" s="675"/>
      <c r="AO194" s="596"/>
      <c r="AP194" s="675"/>
      <c r="AQ194" s="1601"/>
      <c r="AR194" s="596"/>
      <c r="AS194" s="237"/>
      <c r="AT194" s="596"/>
      <c r="AU194" s="596"/>
      <c r="AV194" s="237"/>
      <c r="AW194" s="596"/>
      <c r="AX194" s="596"/>
      <c r="AY194" s="237"/>
      <c r="AZ194" s="596"/>
      <c r="BA194" s="596"/>
      <c r="BB194" s="237"/>
      <c r="BC194" s="676"/>
      <c r="BD194" s="403"/>
      <c r="BE194" s="403"/>
      <c r="BF194" s="403"/>
      <c r="BG194" s="403"/>
      <c r="BH194" s="378"/>
      <c r="BI194" s="379"/>
      <c r="BJ194" s="379"/>
      <c r="BK194" s="402"/>
      <c r="BL194" s="402"/>
      <c r="BM194" s="402"/>
      <c r="BN194" s="402"/>
      <c r="BO194" s="402"/>
      <c r="BP194" s="402"/>
      <c r="BQ194" s="402"/>
      <c r="BR194" s="402"/>
      <c r="BS194" s="402"/>
      <c r="BT194" s="402"/>
      <c r="BU194" s="402"/>
      <c r="BV194" s="402"/>
      <c r="BW194" s="402"/>
      <c r="BX194" s="402"/>
      <c r="BY194" s="402"/>
      <c r="BZ194" s="402"/>
      <c r="CA194" s="402"/>
      <c r="CB194" s="402"/>
      <c r="CC194" s="402"/>
      <c r="CD194" s="402"/>
      <c r="CE194" s="402"/>
      <c r="CF194" s="402"/>
      <c r="CG194" s="402"/>
      <c r="CH194" s="402"/>
      <c r="CI194" s="402"/>
      <c r="CJ194" s="402"/>
      <c r="CK194" s="402"/>
      <c r="CL194" s="402"/>
      <c r="CM194" s="402"/>
      <c r="CN194" s="402"/>
    </row>
    <row r="195" spans="1:94" outlineLevel="1">
      <c r="A195" s="170"/>
      <c r="B195" s="1041" t="s">
        <v>615</v>
      </c>
      <c r="C195" s="1042"/>
      <c r="D195" s="599">
        <f t="shared" ref="D195:U195" si="1008">C198</f>
        <v>10</v>
      </c>
      <c r="E195" s="599">
        <f t="shared" si="1008"/>
        <v>15</v>
      </c>
      <c r="F195" s="599">
        <f t="shared" si="1008"/>
        <v>21</v>
      </c>
      <c r="G195" s="599">
        <f t="shared" si="1008"/>
        <v>26</v>
      </c>
      <c r="H195" s="599">
        <f t="shared" si="1008"/>
        <v>32</v>
      </c>
      <c r="I195" s="599">
        <f t="shared" si="1008"/>
        <v>48</v>
      </c>
      <c r="J195" s="599">
        <f t="shared" si="1008"/>
        <v>66</v>
      </c>
      <c r="K195" s="599">
        <f t="shared" si="1008"/>
        <v>89</v>
      </c>
      <c r="L195" s="599">
        <f t="shared" si="1008"/>
        <v>105</v>
      </c>
      <c r="M195" s="599">
        <f t="shared" si="1008"/>
        <v>123</v>
      </c>
      <c r="N195" s="599">
        <f t="shared" si="1008"/>
        <v>141</v>
      </c>
      <c r="O195" s="599">
        <f t="shared" si="1008"/>
        <v>157</v>
      </c>
      <c r="P195" s="599">
        <f t="shared" si="1008"/>
        <v>168</v>
      </c>
      <c r="Q195" s="599">
        <f t="shared" si="1008"/>
        <v>177</v>
      </c>
      <c r="R195" s="599">
        <f t="shared" si="1008"/>
        <v>182</v>
      </c>
      <c r="S195" s="599">
        <f t="shared" si="1008"/>
        <v>187</v>
      </c>
      <c r="T195" s="599">
        <f t="shared" si="1008"/>
        <v>194</v>
      </c>
      <c r="U195" s="599">
        <f t="shared" si="1008"/>
        <v>201</v>
      </c>
      <c r="V195" s="599">
        <f>CN198</f>
        <v>208</v>
      </c>
      <c r="W195" s="599">
        <f>V198</f>
        <v>211</v>
      </c>
      <c r="X195" s="599">
        <f>U198</f>
        <v>208</v>
      </c>
      <c r="Y195" s="599">
        <f>W198</f>
        <v>210</v>
      </c>
      <c r="Z195" s="599">
        <f>Y198</f>
        <v>213</v>
      </c>
      <c r="AA195" s="599">
        <f>X198</f>
        <v>210</v>
      </c>
      <c r="AB195" s="599">
        <f>Z198</f>
        <v>211</v>
      </c>
      <c r="AC195" s="599">
        <f>AB198</f>
        <v>211</v>
      </c>
      <c r="AD195" s="599">
        <f>AA198</f>
        <v>209</v>
      </c>
      <c r="AE195" s="599">
        <f>AC198</f>
        <v>211</v>
      </c>
      <c r="AF195" s="599">
        <f>AE198</f>
        <v>212</v>
      </c>
      <c r="AG195" s="599">
        <f>AD198</f>
        <v>209</v>
      </c>
      <c r="AH195" s="599">
        <f>AF198</f>
        <v>213</v>
      </c>
      <c r="AI195" s="670">
        <f>AH198</f>
        <v>216</v>
      </c>
      <c r="AJ195" s="599">
        <f>AG198</f>
        <v>213</v>
      </c>
      <c r="AK195" s="670">
        <f>AI198</f>
        <v>216</v>
      </c>
      <c r="AL195" s="670">
        <f t="shared" ref="AL195" si="1009">AK198</f>
        <v>221</v>
      </c>
      <c r="AM195" s="599">
        <f>AJ198</f>
        <v>216</v>
      </c>
      <c r="AN195" s="670">
        <f>AM198</f>
        <v>224</v>
      </c>
      <c r="AO195" s="670">
        <f>AN198</f>
        <v>227</v>
      </c>
      <c r="AP195" s="1706">
        <f>AM198</f>
        <v>224</v>
      </c>
      <c r="AQ195" s="1602">
        <f>AP198</f>
        <v>229</v>
      </c>
      <c r="AR195" s="670">
        <f t="shared" ref="AR195" si="1010">AQ198</f>
        <v>232</v>
      </c>
      <c r="AS195" s="670">
        <f t="shared" ref="AS195" si="1011">AP198</f>
        <v>229</v>
      </c>
      <c r="AT195" s="670">
        <f t="shared" ref="AT195:AU195" si="1012">AS198</f>
        <v>234</v>
      </c>
      <c r="AU195" s="670">
        <f t="shared" si="1012"/>
        <v>235</v>
      </c>
      <c r="AV195" s="670">
        <f t="shared" ref="AV195" si="1013">AS198</f>
        <v>234</v>
      </c>
      <c r="AW195" s="670">
        <f>AV198</f>
        <v>236</v>
      </c>
      <c r="AX195" s="670">
        <f t="shared" ref="AX195" si="1014">AW198</f>
        <v>237</v>
      </c>
      <c r="AY195" s="670">
        <f t="shared" ref="AY195" si="1015">AV198</f>
        <v>236</v>
      </c>
      <c r="AZ195" s="670">
        <f t="shared" ref="AZ195" si="1016">AY198</f>
        <v>238</v>
      </c>
      <c r="BA195" s="670">
        <f t="shared" ref="BA195" si="1017">AZ198</f>
        <v>239</v>
      </c>
      <c r="BB195" s="670">
        <f t="shared" ref="BB195" si="1018">AY198</f>
        <v>238</v>
      </c>
      <c r="BC195" s="675"/>
      <c r="BD195" s="399"/>
      <c r="BE195" s="399"/>
      <c r="BF195" s="399"/>
      <c r="BG195" s="399"/>
      <c r="BH195" s="378"/>
      <c r="BI195" s="379"/>
      <c r="BJ195" s="379"/>
      <c r="BK195" s="459"/>
      <c r="BL195" s="459">
        <f t="shared" ref="BL195:CN195" si="1019">BK198</f>
        <v>30</v>
      </c>
      <c r="BM195" s="459">
        <f t="shared" si="1019"/>
        <v>32</v>
      </c>
      <c r="BN195" s="459">
        <f t="shared" si="1019"/>
        <v>44</v>
      </c>
      <c r="BO195" s="459">
        <f t="shared" si="1019"/>
        <v>48</v>
      </c>
      <c r="BP195" s="459">
        <f t="shared" si="1019"/>
        <v>60</v>
      </c>
      <c r="BQ195" s="459">
        <f t="shared" si="1019"/>
        <v>66</v>
      </c>
      <c r="BR195" s="459">
        <f t="shared" si="1019"/>
        <v>72</v>
      </c>
      <c r="BS195" s="459">
        <f t="shared" si="1019"/>
        <v>89</v>
      </c>
      <c r="BT195" s="459">
        <f t="shared" si="1019"/>
        <v>104</v>
      </c>
      <c r="BU195" s="459">
        <f t="shared" si="1019"/>
        <v>105</v>
      </c>
      <c r="BV195" s="459">
        <f t="shared" si="1019"/>
        <v>119</v>
      </c>
      <c r="BW195" s="459">
        <f t="shared" si="1019"/>
        <v>135</v>
      </c>
      <c r="BX195" s="459">
        <f t="shared" si="1019"/>
        <v>137</v>
      </c>
      <c r="BY195" s="459">
        <f t="shared" si="1019"/>
        <v>141</v>
      </c>
      <c r="BZ195" s="459">
        <f t="shared" si="1019"/>
        <v>147</v>
      </c>
      <c r="CA195" s="459">
        <f t="shared" si="1019"/>
        <v>157</v>
      </c>
      <c r="CB195" s="459">
        <f t="shared" si="1019"/>
        <v>165</v>
      </c>
      <c r="CC195" s="459">
        <f t="shared" si="1019"/>
        <v>168</v>
      </c>
      <c r="CD195" s="459">
        <f t="shared" si="1019"/>
        <v>176</v>
      </c>
      <c r="CE195" s="459">
        <f t="shared" si="1019"/>
        <v>177</v>
      </c>
      <c r="CF195" s="459">
        <f t="shared" si="1019"/>
        <v>182</v>
      </c>
      <c r="CG195" s="459">
        <f t="shared" si="1019"/>
        <v>182</v>
      </c>
      <c r="CH195" s="459">
        <f t="shared" si="1019"/>
        <v>185</v>
      </c>
      <c r="CI195" s="459">
        <f t="shared" si="1019"/>
        <v>187</v>
      </c>
      <c r="CJ195" s="459">
        <f t="shared" si="1019"/>
        <v>194</v>
      </c>
      <c r="CK195" s="459">
        <f t="shared" si="1019"/>
        <v>194</v>
      </c>
      <c r="CL195" s="459">
        <f t="shared" si="1019"/>
        <v>199</v>
      </c>
      <c r="CM195" s="459">
        <f t="shared" si="1019"/>
        <v>201</v>
      </c>
      <c r="CN195" s="459">
        <f t="shared" si="1019"/>
        <v>207</v>
      </c>
    </row>
    <row r="196" spans="1:94" outlineLevel="1">
      <c r="A196" s="170"/>
      <c r="B196" s="984" t="s">
        <v>450</v>
      </c>
      <c r="C196" s="1043"/>
      <c r="D196" s="275">
        <f t="shared" ref="D196:AA196" si="1020">D154+D160+D174+D180</f>
        <v>5</v>
      </c>
      <c r="E196" s="275">
        <f t="shared" si="1020"/>
        <v>6</v>
      </c>
      <c r="F196" s="275">
        <f t="shared" si="1020"/>
        <v>5</v>
      </c>
      <c r="G196" s="275">
        <f t="shared" si="1020"/>
        <v>6</v>
      </c>
      <c r="H196" s="275">
        <f t="shared" si="1020"/>
        <v>16</v>
      </c>
      <c r="I196" s="275">
        <f t="shared" si="1020"/>
        <v>18</v>
      </c>
      <c r="J196" s="275">
        <f t="shared" si="1020"/>
        <v>24</v>
      </c>
      <c r="K196" s="275">
        <f t="shared" si="1020"/>
        <v>20</v>
      </c>
      <c r="L196" s="275">
        <f t="shared" si="1020"/>
        <v>19</v>
      </c>
      <c r="M196" s="275">
        <f t="shared" si="1020"/>
        <v>24</v>
      </c>
      <c r="N196" s="275">
        <f t="shared" si="1020"/>
        <v>22</v>
      </c>
      <c r="O196" s="275">
        <f t="shared" si="1020"/>
        <v>15</v>
      </c>
      <c r="P196" s="275">
        <f t="shared" si="1020"/>
        <v>13</v>
      </c>
      <c r="Q196" s="275">
        <f t="shared" si="1020"/>
        <v>8</v>
      </c>
      <c r="R196" s="275">
        <f t="shared" si="1020"/>
        <v>5</v>
      </c>
      <c r="S196" s="275">
        <f t="shared" si="1020"/>
        <v>9</v>
      </c>
      <c r="T196" s="275">
        <f t="shared" si="1020"/>
        <v>7</v>
      </c>
      <c r="U196" s="275">
        <f>U154+U160+U174+U180</f>
        <v>8</v>
      </c>
      <c r="V196" s="610">
        <f>V154+V160+V174</f>
        <v>4</v>
      </c>
      <c r="W196" s="610">
        <f>W154+W160+W174</f>
        <v>1</v>
      </c>
      <c r="X196" s="275">
        <f>X154+X160+X174+X180</f>
        <v>5</v>
      </c>
      <c r="Y196" s="610">
        <f>Y154+Y160+Y174</f>
        <v>3</v>
      </c>
      <c r="Z196" s="610">
        <f>Z154+Z160+Z174</f>
        <v>0</v>
      </c>
      <c r="AA196" s="275">
        <f t="shared" si="1020"/>
        <v>3</v>
      </c>
      <c r="AB196" s="610">
        <f t="shared" ref="AB196:AC196" si="1021">AB154+AB160+AB174</f>
        <v>1</v>
      </c>
      <c r="AC196" s="610">
        <f t="shared" si="1021"/>
        <v>0</v>
      </c>
      <c r="AD196" s="275">
        <f t="shared" ref="AD196:AS196" si="1022">AD154+AD160+AD174+AD180</f>
        <v>1</v>
      </c>
      <c r="AE196" s="610">
        <f>AE154+AE160+AE174</f>
        <v>1</v>
      </c>
      <c r="AF196" s="610">
        <f>AF154+AF160+AF174</f>
        <v>1</v>
      </c>
      <c r="AG196" s="275">
        <f>AG154+AG160+AG174+AG180</f>
        <v>2</v>
      </c>
      <c r="AH196" s="610">
        <f>AH154+AH160+AH174</f>
        <v>4</v>
      </c>
      <c r="AI196" s="695">
        <f>AI154+AI160+AI174</f>
        <v>1</v>
      </c>
      <c r="AJ196" s="275">
        <f>AJ154+AJ160+AJ174+AJ180</f>
        <v>5</v>
      </c>
      <c r="AK196" s="695">
        <f>AK154+AK160+AK174</f>
        <v>7</v>
      </c>
      <c r="AL196" s="610">
        <f>AL154+AL160+AL174</f>
        <v>0</v>
      </c>
      <c r="AM196" s="275">
        <f>AM154+AM160+AM174+AM180</f>
        <v>11</v>
      </c>
      <c r="AN196" s="695">
        <f>AN154+AN160+AN174</f>
        <v>3</v>
      </c>
      <c r="AO196" s="610">
        <f>AO154+AO160+AO174</f>
        <v>3</v>
      </c>
      <c r="AP196" s="1350">
        <f>AP154+AP160+AP174+AP180</f>
        <v>6</v>
      </c>
      <c r="AQ196" s="1608">
        <f>AQ154+AQ160+AQ174</f>
        <v>4</v>
      </c>
      <c r="AR196" s="610">
        <f>AR154+AR160+AR174</f>
        <v>2</v>
      </c>
      <c r="AS196" s="275">
        <f t="shared" si="1022"/>
        <v>6</v>
      </c>
      <c r="AT196" s="610">
        <f>AT154+AT160+AT174</f>
        <v>1</v>
      </c>
      <c r="AU196" s="610">
        <f>AU154+AU160+AU174</f>
        <v>1</v>
      </c>
      <c r="AV196" s="275">
        <f>AV154+AV160+AV174+AV180</f>
        <v>2</v>
      </c>
      <c r="AW196" s="610">
        <f>AW154+AW160+AW174</f>
        <v>1</v>
      </c>
      <c r="AX196" s="610">
        <f>AX154+AX160+AX174</f>
        <v>1</v>
      </c>
      <c r="AY196" s="275">
        <f>AY154+AY160+AY174+AY180</f>
        <v>2</v>
      </c>
      <c r="AZ196" s="610">
        <f>AZ154+AZ160+AZ174</f>
        <v>1</v>
      </c>
      <c r="BA196" s="610">
        <f>BA154+BA160+BA174</f>
        <v>1</v>
      </c>
      <c r="BB196" s="275">
        <f>BB154+BB160+BB174+BB180</f>
        <v>2</v>
      </c>
      <c r="BC196" s="1350"/>
      <c r="BD196" s="414"/>
      <c r="BE196" s="414"/>
      <c r="BF196" s="414"/>
      <c r="BG196" s="414"/>
      <c r="BH196" s="378"/>
      <c r="BI196" s="379"/>
      <c r="BJ196" s="379"/>
      <c r="BK196" s="465"/>
      <c r="BL196" s="465">
        <f t="shared" ref="BL196:CF196" si="1023">BL154+BL160+BL174</f>
        <v>2</v>
      </c>
      <c r="BM196" s="465">
        <f t="shared" si="1023"/>
        <v>12</v>
      </c>
      <c r="BN196" s="465">
        <f t="shared" si="1023"/>
        <v>4</v>
      </c>
      <c r="BO196" s="465">
        <f t="shared" si="1023"/>
        <v>12</v>
      </c>
      <c r="BP196" s="465">
        <f t="shared" si="1023"/>
        <v>6</v>
      </c>
      <c r="BQ196" s="465">
        <f t="shared" si="1023"/>
        <v>7</v>
      </c>
      <c r="BR196" s="465">
        <f t="shared" si="1023"/>
        <v>5</v>
      </c>
      <c r="BS196" s="465">
        <f t="shared" si="1023"/>
        <v>15</v>
      </c>
      <c r="BT196" s="465">
        <f t="shared" si="1023"/>
        <v>5</v>
      </c>
      <c r="BU196" s="465">
        <f t="shared" si="1023"/>
        <v>14</v>
      </c>
      <c r="BV196" s="465">
        <f t="shared" si="1023"/>
        <v>17</v>
      </c>
      <c r="BW196" s="465">
        <f t="shared" si="1023"/>
        <v>4</v>
      </c>
      <c r="BX196" s="465">
        <f t="shared" si="1023"/>
        <v>8</v>
      </c>
      <c r="BY196" s="465">
        <f t="shared" si="1023"/>
        <v>9</v>
      </c>
      <c r="BZ196" s="465">
        <f t="shared" si="1023"/>
        <v>13</v>
      </c>
      <c r="CA196" s="465">
        <f t="shared" si="1023"/>
        <v>10</v>
      </c>
      <c r="CB196" s="465">
        <f t="shared" si="1023"/>
        <v>5</v>
      </c>
      <c r="CC196" s="465">
        <f t="shared" si="1023"/>
        <v>11</v>
      </c>
      <c r="CD196" s="465">
        <f t="shared" si="1023"/>
        <v>2</v>
      </c>
      <c r="CE196" s="465">
        <f t="shared" si="1023"/>
        <v>6</v>
      </c>
      <c r="CF196" s="465">
        <f t="shared" si="1023"/>
        <v>2</v>
      </c>
      <c r="CG196" s="465">
        <f>CG154+CG160+CG174+CG180</f>
        <v>3</v>
      </c>
      <c r="CH196" s="465">
        <f>CH154+CH160+CH174+CH180</f>
        <v>2</v>
      </c>
      <c r="CI196" s="465">
        <f t="shared" ref="CI196:CN196" si="1024">CI154+CI160+CI174</f>
        <v>7</v>
      </c>
      <c r="CJ196" s="465">
        <f t="shared" si="1024"/>
        <v>1</v>
      </c>
      <c r="CK196" s="465">
        <f t="shared" si="1024"/>
        <v>5</v>
      </c>
      <c r="CL196" s="465">
        <f t="shared" si="1024"/>
        <v>2</v>
      </c>
      <c r="CM196" s="465">
        <f t="shared" si="1024"/>
        <v>7</v>
      </c>
      <c r="CN196" s="465">
        <f t="shared" si="1024"/>
        <v>1</v>
      </c>
    </row>
    <row r="197" spans="1:94" outlineLevel="1">
      <c r="A197" s="170"/>
      <c r="B197" s="984" t="s">
        <v>609</v>
      </c>
      <c r="C197" s="1043"/>
      <c r="D197" s="275">
        <f t="shared" ref="D197:AD197" si="1025">D156+D162+D176+D182</f>
        <v>0</v>
      </c>
      <c r="E197" s="275">
        <f t="shared" si="1025"/>
        <v>0</v>
      </c>
      <c r="F197" s="275">
        <f t="shared" si="1025"/>
        <v>0</v>
      </c>
      <c r="G197" s="275">
        <f t="shared" si="1025"/>
        <v>0</v>
      </c>
      <c r="H197" s="275">
        <f t="shared" si="1025"/>
        <v>0</v>
      </c>
      <c r="I197" s="275">
        <f t="shared" si="1025"/>
        <v>0</v>
      </c>
      <c r="J197" s="275">
        <f t="shared" si="1025"/>
        <v>-1</v>
      </c>
      <c r="K197" s="275">
        <f t="shared" si="1025"/>
        <v>-4</v>
      </c>
      <c r="L197" s="275">
        <f t="shared" si="1025"/>
        <v>-1</v>
      </c>
      <c r="M197" s="275">
        <f t="shared" si="1025"/>
        <v>-6</v>
      </c>
      <c r="N197" s="275">
        <f t="shared" si="1025"/>
        <v>-6</v>
      </c>
      <c r="O197" s="275">
        <f t="shared" si="1025"/>
        <v>-4</v>
      </c>
      <c r="P197" s="275">
        <f t="shared" si="1025"/>
        <v>-4</v>
      </c>
      <c r="Q197" s="275">
        <f t="shared" si="1025"/>
        <v>-3</v>
      </c>
      <c r="R197" s="275">
        <f t="shared" si="1025"/>
        <v>0</v>
      </c>
      <c r="S197" s="275">
        <f t="shared" si="1025"/>
        <v>-2</v>
      </c>
      <c r="T197" s="275">
        <f t="shared" si="1025"/>
        <v>0</v>
      </c>
      <c r="U197" s="275">
        <f>U156+U162+U176+U182</f>
        <v>-1</v>
      </c>
      <c r="V197" s="610">
        <f>V156+V162+V176</f>
        <v>-1</v>
      </c>
      <c r="W197" s="610">
        <f>W156+W162+W176</f>
        <v>-2</v>
      </c>
      <c r="X197" s="275">
        <f>X156+X162+X176+X182</f>
        <v>-3</v>
      </c>
      <c r="Y197" s="610">
        <f>Y156+Y162+Y176</f>
        <v>0</v>
      </c>
      <c r="Z197" s="610">
        <f>Z156+Z162+Z176</f>
        <v>-4</v>
      </c>
      <c r="AA197" s="275">
        <f t="shared" si="1025"/>
        <v>-4</v>
      </c>
      <c r="AB197" s="610">
        <f t="shared" ref="AB197:AC197" si="1026">AB156+AB162+AB176</f>
        <v>-1</v>
      </c>
      <c r="AC197" s="610">
        <f t="shared" si="1026"/>
        <v>0</v>
      </c>
      <c r="AD197" s="275">
        <f t="shared" si="1025"/>
        <v>-1</v>
      </c>
      <c r="AE197" s="610">
        <f>AE156+AE162+AE176</f>
        <v>0</v>
      </c>
      <c r="AF197" s="610">
        <f>AF156+AF162+AF176</f>
        <v>0</v>
      </c>
      <c r="AG197" s="275">
        <f t="shared" ref="AG197:AV197" si="1027">AG156+AG162+AG176+AG182</f>
        <v>0</v>
      </c>
      <c r="AH197" s="610">
        <f>AH156+AH162+AH176</f>
        <v>-1</v>
      </c>
      <c r="AI197" s="695">
        <f>AI156+AI162+AI176</f>
        <v>-1</v>
      </c>
      <c r="AJ197" s="275">
        <f t="shared" ref="AJ197" si="1028">AJ156+AJ162+AJ176+AJ182</f>
        <v>-2</v>
      </c>
      <c r="AK197" s="695">
        <f>AK156+AK162+AK176</f>
        <v>-2</v>
      </c>
      <c r="AL197" s="610">
        <f>AL156+AL162+AL176</f>
        <v>0</v>
      </c>
      <c r="AM197" s="275">
        <f t="shared" ref="AM197" si="1029">AM156+AM162+AM176+AM182</f>
        <v>-3</v>
      </c>
      <c r="AN197" s="695">
        <f>AN156+AN162+AN176</f>
        <v>0</v>
      </c>
      <c r="AO197" s="610">
        <f>AO156+AO162+AO176</f>
        <v>0</v>
      </c>
      <c r="AP197" s="1350">
        <f t="shared" ref="AP197" si="1030">AP156+AP162+AP176+AP182</f>
        <v>-1</v>
      </c>
      <c r="AQ197" s="1608">
        <f>AQ156+AQ162+AQ176</f>
        <v>-1</v>
      </c>
      <c r="AR197" s="610">
        <f>AR156+AR162+AR176</f>
        <v>0</v>
      </c>
      <c r="AS197" s="275">
        <f t="shared" si="1027"/>
        <v>-1</v>
      </c>
      <c r="AT197" s="610">
        <f t="shared" ref="AT197:AU197" si="1031">AT156+AT162+AT176</f>
        <v>0</v>
      </c>
      <c r="AU197" s="610">
        <f t="shared" si="1031"/>
        <v>0</v>
      </c>
      <c r="AV197" s="275">
        <f t="shared" si="1027"/>
        <v>0</v>
      </c>
      <c r="AW197" s="610">
        <f t="shared" ref="AW197:AX197" si="1032">AW156+AW162+AW176</f>
        <v>0</v>
      </c>
      <c r="AX197" s="610">
        <f t="shared" si="1032"/>
        <v>0</v>
      </c>
      <c r="AY197" s="275">
        <f t="shared" ref="AY197" si="1033">AY156+AY162+AY176+AY182</f>
        <v>0</v>
      </c>
      <c r="AZ197" s="610">
        <f t="shared" ref="AZ197:BA197" si="1034">AZ156+AZ162+AZ176</f>
        <v>0</v>
      </c>
      <c r="BA197" s="610">
        <f t="shared" si="1034"/>
        <v>0</v>
      </c>
      <c r="BB197" s="275">
        <f t="shared" ref="BB197" si="1035">BB156+BB162+BB176+BB182</f>
        <v>0</v>
      </c>
      <c r="BC197" s="1350"/>
      <c r="BD197" s="414"/>
      <c r="BE197" s="414"/>
      <c r="BF197" s="414"/>
      <c r="BG197" s="414"/>
      <c r="BH197" s="378"/>
      <c r="BI197" s="379"/>
      <c r="BJ197" s="379"/>
      <c r="BK197" s="465"/>
      <c r="BL197" s="465">
        <f t="shared" ref="BL197:CG197" si="1036">BL156+BL162+BL175</f>
        <v>0</v>
      </c>
      <c r="BM197" s="465">
        <f t="shared" si="1036"/>
        <v>0</v>
      </c>
      <c r="BN197" s="465">
        <f t="shared" si="1036"/>
        <v>0</v>
      </c>
      <c r="BO197" s="465">
        <f t="shared" si="1036"/>
        <v>0</v>
      </c>
      <c r="BP197" s="465">
        <f t="shared" si="1036"/>
        <v>0</v>
      </c>
      <c r="BQ197" s="465">
        <f t="shared" si="1036"/>
        <v>-1</v>
      </c>
      <c r="BR197" s="465">
        <f t="shared" si="1036"/>
        <v>0</v>
      </c>
      <c r="BS197" s="465">
        <f t="shared" si="1036"/>
        <v>0</v>
      </c>
      <c r="BT197" s="465">
        <f t="shared" si="1036"/>
        <v>-4</v>
      </c>
      <c r="BU197" s="465">
        <f t="shared" si="1036"/>
        <v>0</v>
      </c>
      <c r="BV197" s="465">
        <f t="shared" si="1036"/>
        <v>-1</v>
      </c>
      <c r="BW197" s="465">
        <f t="shared" si="1036"/>
        <v>-2</v>
      </c>
      <c r="BX197" s="465">
        <f t="shared" si="1036"/>
        <v>-4</v>
      </c>
      <c r="BY197" s="465">
        <f t="shared" si="1036"/>
        <v>-3</v>
      </c>
      <c r="BZ197" s="465">
        <f t="shared" si="1036"/>
        <v>-3</v>
      </c>
      <c r="CA197" s="465">
        <f t="shared" si="1036"/>
        <v>-2</v>
      </c>
      <c r="CB197" s="465">
        <f t="shared" si="1036"/>
        <v>-2</v>
      </c>
      <c r="CC197" s="465">
        <f t="shared" si="1036"/>
        <v>-3</v>
      </c>
      <c r="CD197" s="465">
        <f t="shared" si="1036"/>
        <v>-1</v>
      </c>
      <c r="CE197" s="465">
        <f t="shared" si="1036"/>
        <v>-1</v>
      </c>
      <c r="CF197" s="465">
        <f t="shared" si="1036"/>
        <v>-2</v>
      </c>
      <c r="CG197" s="465">
        <f t="shared" si="1036"/>
        <v>0</v>
      </c>
      <c r="CH197" s="465">
        <f t="shared" ref="CH197:CN197" si="1037">CH156+CH162+CH176</f>
        <v>0</v>
      </c>
      <c r="CI197" s="465">
        <f t="shared" si="1037"/>
        <v>0</v>
      </c>
      <c r="CJ197" s="465">
        <f t="shared" si="1037"/>
        <v>-1</v>
      </c>
      <c r="CK197" s="465">
        <f t="shared" si="1037"/>
        <v>0</v>
      </c>
      <c r="CL197" s="465">
        <f t="shared" si="1037"/>
        <v>0</v>
      </c>
      <c r="CM197" s="465">
        <f t="shared" si="1037"/>
        <v>-1</v>
      </c>
      <c r="CN197" s="465">
        <f t="shared" si="1037"/>
        <v>0</v>
      </c>
    </row>
    <row r="198" spans="1:94" outlineLevel="1">
      <c r="A198" s="170" t="s">
        <v>666</v>
      </c>
      <c r="B198" s="1044" t="s">
        <v>612</v>
      </c>
      <c r="C198" s="1045">
        <v>10</v>
      </c>
      <c r="D198" s="1046">
        <f t="shared" ref="D198:P198" si="1038">SUM(D195:D197)</f>
        <v>15</v>
      </c>
      <c r="E198" s="1046">
        <f t="shared" si="1038"/>
        <v>21</v>
      </c>
      <c r="F198" s="611">
        <f t="shared" si="1038"/>
        <v>26</v>
      </c>
      <c r="G198" s="611">
        <f t="shared" si="1038"/>
        <v>32</v>
      </c>
      <c r="H198" s="611">
        <f t="shared" si="1038"/>
        <v>48</v>
      </c>
      <c r="I198" s="611">
        <f t="shared" si="1038"/>
        <v>66</v>
      </c>
      <c r="J198" s="611">
        <f t="shared" si="1038"/>
        <v>89</v>
      </c>
      <c r="K198" s="611">
        <f t="shared" si="1038"/>
        <v>105</v>
      </c>
      <c r="L198" s="611">
        <f t="shared" si="1038"/>
        <v>123</v>
      </c>
      <c r="M198" s="611">
        <f t="shared" si="1038"/>
        <v>141</v>
      </c>
      <c r="N198" s="611">
        <f t="shared" si="1038"/>
        <v>157</v>
      </c>
      <c r="O198" s="611">
        <f t="shared" si="1038"/>
        <v>168</v>
      </c>
      <c r="P198" s="611">
        <f t="shared" si="1038"/>
        <v>177</v>
      </c>
      <c r="Q198" s="611">
        <f>Q165+Q185</f>
        <v>182</v>
      </c>
      <c r="R198" s="611">
        <f t="shared" ref="R198:AA198" si="1039">SUM(R195:R197)</f>
        <v>187</v>
      </c>
      <c r="S198" s="611">
        <f t="shared" si="1039"/>
        <v>194</v>
      </c>
      <c r="T198" s="611">
        <f t="shared" si="1039"/>
        <v>201</v>
      </c>
      <c r="U198" s="611">
        <f>SUM(U195:U197)</f>
        <v>208</v>
      </c>
      <c r="V198" s="611">
        <f>V165+V185</f>
        <v>211</v>
      </c>
      <c r="W198" s="611">
        <f>W165+W185</f>
        <v>210</v>
      </c>
      <c r="X198" s="611">
        <f>SUM(X195:X197)</f>
        <v>210</v>
      </c>
      <c r="Y198" s="611">
        <f>Y165+Y185</f>
        <v>213</v>
      </c>
      <c r="Z198" s="611">
        <f>Z165+Z185</f>
        <v>211</v>
      </c>
      <c r="AA198" s="611">
        <f t="shared" si="1039"/>
        <v>209</v>
      </c>
      <c r="AB198" s="611">
        <f t="shared" ref="AB198:AC198" si="1040">AB165+AB185</f>
        <v>211</v>
      </c>
      <c r="AC198" s="611">
        <f t="shared" si="1040"/>
        <v>211</v>
      </c>
      <c r="AD198" s="611">
        <f t="shared" ref="AD198:AV198" si="1041">SUM(AD195:AD197)</f>
        <v>209</v>
      </c>
      <c r="AE198" s="611">
        <f>AE165+AE185</f>
        <v>212</v>
      </c>
      <c r="AF198" s="611">
        <f>AF165+AF185</f>
        <v>213</v>
      </c>
      <c r="AG198" s="1207">
        <f>SUM(AG195:AG197)+2</f>
        <v>213</v>
      </c>
      <c r="AH198" s="1203">
        <f>AH165+AH185</f>
        <v>216</v>
      </c>
      <c r="AI198" s="696">
        <f>AI165+AI185</f>
        <v>216</v>
      </c>
      <c r="AJ198" s="1203">
        <f t="shared" ref="AJ198" si="1042">SUM(AJ195:AJ197)</f>
        <v>216</v>
      </c>
      <c r="AK198" s="1267">
        <f>AK165+AK185</f>
        <v>221</v>
      </c>
      <c r="AL198" s="1203">
        <f>AL165+AL185</f>
        <v>221</v>
      </c>
      <c r="AM198" s="1590">
        <f t="shared" ref="AM198" si="1043">SUM(AM195:AM197)</f>
        <v>224</v>
      </c>
      <c r="AN198" s="1620">
        <f>AN165+AN185</f>
        <v>227</v>
      </c>
      <c r="AO198" s="611">
        <f>AO165+AO185</f>
        <v>230</v>
      </c>
      <c r="AP198" s="1620">
        <f t="shared" ref="AP198" si="1044">SUM(AP195:AP197)</f>
        <v>229</v>
      </c>
      <c r="AQ198" s="1644">
        <f>AQ165+AQ185</f>
        <v>232</v>
      </c>
      <c r="AR198" s="611">
        <f>AR165+AR185</f>
        <v>234</v>
      </c>
      <c r="AS198" s="276">
        <f t="shared" si="1041"/>
        <v>234</v>
      </c>
      <c r="AT198" s="611">
        <f t="shared" ref="AT198:AU198" si="1045">AT165+AT185</f>
        <v>235</v>
      </c>
      <c r="AU198" s="611">
        <f t="shared" si="1045"/>
        <v>236</v>
      </c>
      <c r="AV198" s="276">
        <f t="shared" si="1041"/>
        <v>236</v>
      </c>
      <c r="AW198" s="611">
        <f t="shared" ref="AW198:AX198" si="1046">AW165+AW185</f>
        <v>237</v>
      </c>
      <c r="AX198" s="611">
        <f t="shared" si="1046"/>
        <v>238</v>
      </c>
      <c r="AY198" s="276">
        <f t="shared" ref="AY198" si="1047">SUM(AY195:AY197)</f>
        <v>238</v>
      </c>
      <c r="AZ198" s="611">
        <f t="shared" ref="AZ198:BA198" si="1048">AZ165+AZ185</f>
        <v>239</v>
      </c>
      <c r="BA198" s="611">
        <f t="shared" si="1048"/>
        <v>240</v>
      </c>
      <c r="BB198" s="276">
        <f t="shared" ref="BB198" si="1049">SUM(BB195:BB197)</f>
        <v>240</v>
      </c>
      <c r="BC198" s="1261"/>
      <c r="BD198" s="412"/>
      <c r="BE198" s="412"/>
      <c r="BF198" s="412"/>
      <c r="BG198" s="412"/>
      <c r="BH198" s="378"/>
      <c r="BI198" s="379"/>
      <c r="BJ198" s="379"/>
      <c r="BK198" s="467">
        <v>30</v>
      </c>
      <c r="BL198" s="467">
        <f t="shared" ref="BL198:CN198" si="1050">BL165+BL185</f>
        <v>32</v>
      </c>
      <c r="BM198" s="467">
        <f t="shared" si="1050"/>
        <v>44</v>
      </c>
      <c r="BN198" s="467">
        <f t="shared" si="1050"/>
        <v>48</v>
      </c>
      <c r="BO198" s="467">
        <f t="shared" si="1050"/>
        <v>60</v>
      </c>
      <c r="BP198" s="467">
        <f t="shared" si="1050"/>
        <v>66</v>
      </c>
      <c r="BQ198" s="467">
        <f t="shared" si="1050"/>
        <v>72</v>
      </c>
      <c r="BR198" s="467">
        <f t="shared" si="1050"/>
        <v>89</v>
      </c>
      <c r="BS198" s="467">
        <f t="shared" si="1050"/>
        <v>104</v>
      </c>
      <c r="BT198" s="467">
        <f t="shared" si="1050"/>
        <v>105</v>
      </c>
      <c r="BU198" s="467">
        <f t="shared" si="1050"/>
        <v>119</v>
      </c>
      <c r="BV198" s="467">
        <f t="shared" si="1050"/>
        <v>135</v>
      </c>
      <c r="BW198" s="467">
        <f t="shared" si="1050"/>
        <v>137</v>
      </c>
      <c r="BX198" s="467">
        <f t="shared" si="1050"/>
        <v>141</v>
      </c>
      <c r="BY198" s="467">
        <f t="shared" si="1050"/>
        <v>147</v>
      </c>
      <c r="BZ198" s="467">
        <f t="shared" si="1050"/>
        <v>157</v>
      </c>
      <c r="CA198" s="467">
        <f t="shared" si="1050"/>
        <v>165</v>
      </c>
      <c r="CB198" s="467">
        <f t="shared" si="1050"/>
        <v>168</v>
      </c>
      <c r="CC198" s="467">
        <f t="shared" si="1050"/>
        <v>176</v>
      </c>
      <c r="CD198" s="467">
        <f t="shared" si="1050"/>
        <v>177</v>
      </c>
      <c r="CE198" s="467">
        <f t="shared" si="1050"/>
        <v>182</v>
      </c>
      <c r="CF198" s="467">
        <f t="shared" si="1050"/>
        <v>182</v>
      </c>
      <c r="CG198" s="467">
        <f t="shared" si="1050"/>
        <v>185</v>
      </c>
      <c r="CH198" s="467">
        <f t="shared" si="1050"/>
        <v>187</v>
      </c>
      <c r="CI198" s="467">
        <f t="shared" si="1050"/>
        <v>194</v>
      </c>
      <c r="CJ198" s="467">
        <f t="shared" si="1050"/>
        <v>194</v>
      </c>
      <c r="CK198" s="467">
        <f t="shared" si="1050"/>
        <v>199</v>
      </c>
      <c r="CL198" s="467">
        <f t="shared" si="1050"/>
        <v>201</v>
      </c>
      <c r="CM198" s="467">
        <f t="shared" si="1050"/>
        <v>207</v>
      </c>
      <c r="CN198" s="467">
        <f t="shared" si="1050"/>
        <v>208</v>
      </c>
    </row>
    <row r="199" spans="1:94" outlineLevel="1">
      <c r="A199" s="170"/>
      <c r="B199" s="863" t="s">
        <v>618</v>
      </c>
      <c r="C199" s="1031">
        <f t="shared" ref="C199:U199" si="1051">AVERAGE(B198:C198)</f>
        <v>10</v>
      </c>
      <c r="D199" s="1031">
        <f t="shared" si="1051"/>
        <v>12.5</v>
      </c>
      <c r="E199" s="1031">
        <f t="shared" si="1051"/>
        <v>18</v>
      </c>
      <c r="F199" s="603">
        <f t="shared" si="1051"/>
        <v>23.5</v>
      </c>
      <c r="G199" s="603">
        <f t="shared" si="1051"/>
        <v>29</v>
      </c>
      <c r="H199" s="603">
        <f t="shared" si="1051"/>
        <v>40</v>
      </c>
      <c r="I199" s="603">
        <f t="shared" si="1051"/>
        <v>57</v>
      </c>
      <c r="J199" s="603">
        <f t="shared" si="1051"/>
        <v>77.5</v>
      </c>
      <c r="K199" s="603">
        <f t="shared" si="1051"/>
        <v>97</v>
      </c>
      <c r="L199" s="603">
        <f t="shared" si="1051"/>
        <v>114</v>
      </c>
      <c r="M199" s="603">
        <f t="shared" si="1051"/>
        <v>132</v>
      </c>
      <c r="N199" s="603">
        <f t="shared" si="1051"/>
        <v>149</v>
      </c>
      <c r="O199" s="603">
        <f t="shared" si="1051"/>
        <v>162.5</v>
      </c>
      <c r="P199" s="603">
        <f t="shared" si="1051"/>
        <v>172.5</v>
      </c>
      <c r="Q199" s="603">
        <f t="shared" si="1051"/>
        <v>179.5</v>
      </c>
      <c r="R199" s="603">
        <f t="shared" si="1051"/>
        <v>184.5</v>
      </c>
      <c r="S199" s="603">
        <f t="shared" si="1051"/>
        <v>190.5</v>
      </c>
      <c r="T199" s="603">
        <f t="shared" si="1051"/>
        <v>197.5</v>
      </c>
      <c r="U199" s="603">
        <f t="shared" si="1051"/>
        <v>204.5</v>
      </c>
      <c r="V199" s="603">
        <f>AVERAGE(CN198:CO198)</f>
        <v>208</v>
      </c>
      <c r="W199" s="603">
        <f>AVERAGE(V198:W198)</f>
        <v>210.5</v>
      </c>
      <c r="X199" s="603">
        <f>AVERAGE(U198:X198)</f>
        <v>209.75</v>
      </c>
      <c r="Y199" s="603">
        <f>AVERAGE(W198:Y198)</f>
        <v>211</v>
      </c>
      <c r="Z199" s="603">
        <f>AVERAGE(Y198:Z198)</f>
        <v>212</v>
      </c>
      <c r="AA199" s="603">
        <f>AVERAGE(X198:AA198)</f>
        <v>210.75</v>
      </c>
      <c r="AB199" s="603">
        <f>AVERAGE(Z198:AB198)</f>
        <v>210.33333333333334</v>
      </c>
      <c r="AC199" s="603">
        <f>AVERAGE(AB198:AC198)</f>
        <v>211</v>
      </c>
      <c r="AD199" s="603">
        <f>AVERAGE(AA198:AD198)</f>
        <v>210</v>
      </c>
      <c r="AE199" s="603">
        <f>AVERAGE(AD198:AE198)</f>
        <v>210.5</v>
      </c>
      <c r="AF199" s="603">
        <f>AVERAGE(AE198:AF198)</f>
        <v>212.5</v>
      </c>
      <c r="AG199" s="1130">
        <f>(AG198+AD198)*0.5</f>
        <v>211</v>
      </c>
      <c r="AH199" s="1130">
        <f>AVERAGE(AG198:AH198)</f>
        <v>214.5</v>
      </c>
      <c r="AI199" s="678">
        <f>AVERAGE(AH198:AI198)</f>
        <v>216</v>
      </c>
      <c r="AJ199" s="1130">
        <f>(AJ198+AG198)*0.5</f>
        <v>214.5</v>
      </c>
      <c r="AK199" s="679">
        <f>AVERAGE(AJ198:AK198)</f>
        <v>218.5</v>
      </c>
      <c r="AL199" s="1130">
        <f t="shared" ref="AL199" si="1052">AVERAGE(AK198:AL198)</f>
        <v>221</v>
      </c>
      <c r="AM199" s="1130">
        <f>(AM198+AJ198)*0.5</f>
        <v>220</v>
      </c>
      <c r="AN199" s="679">
        <f>AVERAGE(AM198:AN198)</f>
        <v>225.5</v>
      </c>
      <c r="AO199" s="603">
        <f>AVERAGE(AN198:AO198)</f>
        <v>228.5</v>
      </c>
      <c r="AP199" s="679">
        <f>(AP198+AM198)*0.5</f>
        <v>226.5</v>
      </c>
      <c r="AQ199" s="1606">
        <f>AVERAGE(AP198:AQ198)</f>
        <v>230.5</v>
      </c>
      <c r="AR199" s="603">
        <f t="shared" ref="AR199" si="1053">AVERAGE(AQ198:AR198)</f>
        <v>233</v>
      </c>
      <c r="AS199" s="238">
        <f t="shared" ref="AS199" si="1054">(AS198+AP198)*0.5</f>
        <v>231.5</v>
      </c>
      <c r="AT199" s="603">
        <f t="shared" ref="AT199:AU199" si="1055">AVERAGE(AS198:AT198)</f>
        <v>234.5</v>
      </c>
      <c r="AU199" s="603">
        <f t="shared" si="1055"/>
        <v>235.5</v>
      </c>
      <c r="AV199" s="238">
        <f t="shared" ref="AV199" si="1056">(AV198+AS198)*0.5</f>
        <v>235</v>
      </c>
      <c r="AW199" s="603">
        <f t="shared" ref="AW199" si="1057">AVERAGE(AV198:AW198)</f>
        <v>236.5</v>
      </c>
      <c r="AX199" s="603">
        <f t="shared" ref="AX199" si="1058">AVERAGE(AW198:AX198)</f>
        <v>237.5</v>
      </c>
      <c r="AY199" s="238">
        <f t="shared" ref="AY199" si="1059">(AY198+AV198)*0.5</f>
        <v>237</v>
      </c>
      <c r="AZ199" s="603">
        <f t="shared" ref="AZ199" si="1060">AVERAGE(AY198:AZ198)</f>
        <v>238.5</v>
      </c>
      <c r="BA199" s="603">
        <f t="shared" ref="BA199" si="1061">AVERAGE(AZ198:BA198)</f>
        <v>239.5</v>
      </c>
      <c r="BB199" s="238">
        <f t="shared" ref="BB199" si="1062">(BB198+AY198)*0.5</f>
        <v>239</v>
      </c>
      <c r="BC199" s="678"/>
      <c r="BD199" s="405"/>
      <c r="BE199" s="405"/>
      <c r="BF199" s="405"/>
      <c r="BG199" s="405"/>
      <c r="BH199" s="378"/>
      <c r="BI199" s="379"/>
      <c r="BJ199" s="379"/>
      <c r="BK199" s="405"/>
      <c r="BL199" s="405">
        <f t="shared" ref="BL199:CN199" si="1063">AVERAGE(BK198:BL198)</f>
        <v>31</v>
      </c>
      <c r="BM199" s="405">
        <f t="shared" si="1063"/>
        <v>38</v>
      </c>
      <c r="BN199" s="405">
        <f t="shared" si="1063"/>
        <v>46</v>
      </c>
      <c r="BO199" s="405">
        <f t="shared" si="1063"/>
        <v>54</v>
      </c>
      <c r="BP199" s="405">
        <f t="shared" si="1063"/>
        <v>63</v>
      </c>
      <c r="BQ199" s="405">
        <f t="shared" si="1063"/>
        <v>69</v>
      </c>
      <c r="BR199" s="405">
        <f t="shared" si="1063"/>
        <v>80.5</v>
      </c>
      <c r="BS199" s="405">
        <f t="shared" si="1063"/>
        <v>96.5</v>
      </c>
      <c r="BT199" s="405">
        <f t="shared" si="1063"/>
        <v>104.5</v>
      </c>
      <c r="BU199" s="405">
        <f t="shared" si="1063"/>
        <v>112</v>
      </c>
      <c r="BV199" s="405">
        <f t="shared" si="1063"/>
        <v>127</v>
      </c>
      <c r="BW199" s="405">
        <f t="shared" si="1063"/>
        <v>136</v>
      </c>
      <c r="BX199" s="405">
        <f t="shared" si="1063"/>
        <v>139</v>
      </c>
      <c r="BY199" s="405">
        <f t="shared" si="1063"/>
        <v>144</v>
      </c>
      <c r="BZ199" s="405">
        <f t="shared" si="1063"/>
        <v>152</v>
      </c>
      <c r="CA199" s="405">
        <f t="shared" si="1063"/>
        <v>161</v>
      </c>
      <c r="CB199" s="405">
        <f t="shared" si="1063"/>
        <v>166.5</v>
      </c>
      <c r="CC199" s="405">
        <f t="shared" si="1063"/>
        <v>172</v>
      </c>
      <c r="CD199" s="405">
        <f t="shared" si="1063"/>
        <v>176.5</v>
      </c>
      <c r="CE199" s="405">
        <f t="shared" si="1063"/>
        <v>179.5</v>
      </c>
      <c r="CF199" s="405">
        <f t="shared" si="1063"/>
        <v>182</v>
      </c>
      <c r="CG199" s="405">
        <f t="shared" si="1063"/>
        <v>183.5</v>
      </c>
      <c r="CH199" s="405">
        <f t="shared" si="1063"/>
        <v>186</v>
      </c>
      <c r="CI199" s="405">
        <f t="shared" si="1063"/>
        <v>190.5</v>
      </c>
      <c r="CJ199" s="405">
        <f t="shared" si="1063"/>
        <v>194</v>
      </c>
      <c r="CK199" s="405">
        <f t="shared" si="1063"/>
        <v>196.5</v>
      </c>
      <c r="CL199" s="405">
        <f t="shared" si="1063"/>
        <v>200</v>
      </c>
      <c r="CM199" s="405">
        <f t="shared" si="1063"/>
        <v>204</v>
      </c>
      <c r="CN199" s="405">
        <f t="shared" si="1063"/>
        <v>207.5</v>
      </c>
    </row>
    <row r="200" spans="1:94" outlineLevel="1">
      <c r="A200" s="170"/>
      <c r="B200" s="863" t="s">
        <v>619</v>
      </c>
      <c r="C200" s="1021"/>
      <c r="D200" s="439">
        <f t="shared" ref="D200:U200" si="1064">D199/C199-1</f>
        <v>0.25</v>
      </c>
      <c r="E200" s="439">
        <f t="shared" si="1064"/>
        <v>0.43999999999999995</v>
      </c>
      <c r="F200" s="284">
        <f t="shared" si="1064"/>
        <v>0.30555555555555558</v>
      </c>
      <c r="G200" s="284">
        <f t="shared" si="1064"/>
        <v>0.23404255319148937</v>
      </c>
      <c r="H200" s="284">
        <f t="shared" si="1064"/>
        <v>0.3793103448275863</v>
      </c>
      <c r="I200" s="284">
        <f t="shared" si="1064"/>
        <v>0.42500000000000004</v>
      </c>
      <c r="J200" s="284">
        <f t="shared" si="1064"/>
        <v>0.35964912280701755</v>
      </c>
      <c r="K200" s="284">
        <f t="shared" si="1064"/>
        <v>0.25161290322580654</v>
      </c>
      <c r="L200" s="284">
        <f t="shared" si="1064"/>
        <v>0.17525773195876293</v>
      </c>
      <c r="M200" s="284">
        <f t="shared" si="1064"/>
        <v>0.15789473684210531</v>
      </c>
      <c r="N200" s="284">
        <f t="shared" si="1064"/>
        <v>0.1287878787878789</v>
      </c>
      <c r="O200" s="284">
        <f t="shared" si="1064"/>
        <v>9.060402684563762E-2</v>
      </c>
      <c r="P200" s="284">
        <f t="shared" si="1064"/>
        <v>6.1538461538461542E-2</v>
      </c>
      <c r="Q200" s="284">
        <f t="shared" si="1064"/>
        <v>4.057971014492745E-2</v>
      </c>
      <c r="R200" s="284">
        <f t="shared" si="1064"/>
        <v>2.7855153203342642E-2</v>
      </c>
      <c r="S200" s="284">
        <f t="shared" si="1064"/>
        <v>3.2520325203251987E-2</v>
      </c>
      <c r="T200" s="284">
        <f t="shared" si="1064"/>
        <v>3.6745406824147064E-2</v>
      </c>
      <c r="U200" s="284">
        <f t="shared" si="1064"/>
        <v>3.5443037974683511E-2</v>
      </c>
      <c r="V200" s="284">
        <f>V198/CM198-1</f>
        <v>1.9323671497584627E-2</v>
      </c>
      <c r="W200" s="284">
        <f>W198/CN198-1</f>
        <v>9.6153846153845812E-3</v>
      </c>
      <c r="X200" s="284">
        <f>X199/U199-1</f>
        <v>2.5672371638141733E-2</v>
      </c>
      <c r="Y200" s="284">
        <f>Y198/V198-1</f>
        <v>9.4786729857820884E-3</v>
      </c>
      <c r="Z200" s="284">
        <f>Z198/W198-1</f>
        <v>4.761904761904745E-3</v>
      </c>
      <c r="AA200" s="284">
        <f>AA199/X199-1</f>
        <v>4.7675804529201393E-3</v>
      </c>
      <c r="AB200" s="284">
        <f>AB198/Y198-1</f>
        <v>-9.3896713615023719E-3</v>
      </c>
      <c r="AC200" s="284">
        <f>AC198/Z198-1</f>
        <v>0</v>
      </c>
      <c r="AD200" s="284">
        <f>AD199/AA199-1</f>
        <v>-3.558718861209953E-3</v>
      </c>
      <c r="AE200" s="284">
        <f>AE199/AD199-1</f>
        <v>2.3809523809523725E-3</v>
      </c>
      <c r="AF200" s="284">
        <f>AF199/AE199-1</f>
        <v>9.5011876484560887E-3</v>
      </c>
      <c r="AG200" s="284">
        <f>AG199/AD199-1</f>
        <v>4.761904761904745E-3</v>
      </c>
      <c r="AH200" s="284">
        <f>AH199/AG199-1</f>
        <v>1.6587677725118377E-2</v>
      </c>
      <c r="AI200" s="137">
        <f t="shared" ref="AI200" si="1065">AI199/AH199-1</f>
        <v>6.9930069930070893E-3</v>
      </c>
      <c r="AJ200" s="284">
        <f>AJ199/AG199-1</f>
        <v>1.6587677725118377E-2</v>
      </c>
      <c r="AK200" s="137">
        <f>AK199/AJ199-1</f>
        <v>1.8648018648018683E-2</v>
      </c>
      <c r="AL200" s="284">
        <f t="shared" ref="AL200" si="1066">AL199/AK199-1</f>
        <v>1.1441647597254079E-2</v>
      </c>
      <c r="AM200" s="284">
        <f>AM199/AJ199-1</f>
        <v>2.564102564102555E-2</v>
      </c>
      <c r="AN200" s="137">
        <f>AN199/AM199-1</f>
        <v>2.4999999999999911E-2</v>
      </c>
      <c r="AO200" s="284">
        <f>AO199/AN199-1</f>
        <v>1.3303769401330268E-2</v>
      </c>
      <c r="AP200" s="137">
        <f>AP199/AM199-1</f>
        <v>2.9545454545454541E-2</v>
      </c>
      <c r="AQ200" s="1315">
        <f>AQ199/AP199-1</f>
        <v>1.7660044150110465E-2</v>
      </c>
      <c r="AR200" s="284">
        <f t="shared" ref="AR200" si="1067">AR199/AQ199-1</f>
        <v>1.0845986984815648E-2</v>
      </c>
      <c r="AS200" s="234">
        <f t="shared" ref="AS200" si="1068">AS199/AP199-1</f>
        <v>2.207505518763786E-2</v>
      </c>
      <c r="AT200" s="284">
        <f t="shared" ref="AT200:AU200" si="1069">AT199/AS199-1</f>
        <v>1.2958963282937441E-2</v>
      </c>
      <c r="AU200" s="284">
        <f t="shared" si="1069"/>
        <v>4.2643923240939241E-3</v>
      </c>
      <c r="AV200" s="234">
        <f t="shared" ref="AV200" si="1070">AV199/AS199-1</f>
        <v>1.5118790496760237E-2</v>
      </c>
      <c r="AW200" s="284">
        <f t="shared" ref="AW200" si="1071">AW199/AV199-1</f>
        <v>6.382978723404209E-3</v>
      </c>
      <c r="AX200" s="284">
        <f t="shared" ref="AX200" si="1072">AX199/AW199-1</f>
        <v>4.2283298097252064E-3</v>
      </c>
      <c r="AY200" s="234">
        <f t="shared" ref="AY200" si="1073">AY199/AV199-1</f>
        <v>8.5106382978723527E-3</v>
      </c>
      <c r="AZ200" s="284">
        <f t="shared" ref="AZ200" si="1074">AZ199/AY199-1</f>
        <v>6.3291139240506666E-3</v>
      </c>
      <c r="BA200" s="284">
        <f t="shared" ref="BA200" si="1075">BA199/AZ199-1</f>
        <v>4.1928721174004924E-3</v>
      </c>
      <c r="BB200" s="234">
        <f t="shared" ref="BB200" si="1076">BB199/AY199-1</f>
        <v>8.4388185654007408E-3</v>
      </c>
      <c r="BC200" s="137"/>
      <c r="BD200" s="359"/>
      <c r="BE200" s="359"/>
      <c r="BF200" s="359"/>
      <c r="BG200" s="359"/>
      <c r="BH200" s="378"/>
      <c r="BI200" s="379"/>
      <c r="BJ200" s="379"/>
      <c r="BK200" s="359"/>
      <c r="BL200" s="359"/>
      <c r="BM200" s="359">
        <f t="shared" ref="BM200:CN200" si="1077">BM198/BK198-1</f>
        <v>0.46666666666666656</v>
      </c>
      <c r="BN200" s="359">
        <f t="shared" si="1077"/>
        <v>0.5</v>
      </c>
      <c r="BO200" s="359">
        <f t="shared" si="1077"/>
        <v>0.36363636363636354</v>
      </c>
      <c r="BP200" s="359">
        <f t="shared" si="1077"/>
        <v>0.375</v>
      </c>
      <c r="BQ200" s="359">
        <f t="shared" si="1077"/>
        <v>0.19999999999999996</v>
      </c>
      <c r="BR200" s="359">
        <f t="shared" si="1077"/>
        <v>0.3484848484848484</v>
      </c>
      <c r="BS200" s="359">
        <f t="shared" si="1077"/>
        <v>0.44444444444444442</v>
      </c>
      <c r="BT200" s="359">
        <f t="shared" si="1077"/>
        <v>0.1797752808988764</v>
      </c>
      <c r="BU200" s="359">
        <f t="shared" si="1077"/>
        <v>0.14423076923076916</v>
      </c>
      <c r="BV200" s="359">
        <f t="shared" si="1077"/>
        <v>0.28571428571428581</v>
      </c>
      <c r="BW200" s="359">
        <f t="shared" si="1077"/>
        <v>0.15126050420168058</v>
      </c>
      <c r="BX200" s="359">
        <f t="shared" si="1077"/>
        <v>4.4444444444444509E-2</v>
      </c>
      <c r="BY200" s="359">
        <f t="shared" si="1077"/>
        <v>7.2992700729926918E-2</v>
      </c>
      <c r="BZ200" s="359">
        <f t="shared" si="1077"/>
        <v>0.11347517730496448</v>
      </c>
      <c r="CA200" s="359">
        <f t="shared" si="1077"/>
        <v>0.12244897959183665</v>
      </c>
      <c r="CB200" s="359">
        <f t="shared" si="1077"/>
        <v>7.0063694267515908E-2</v>
      </c>
      <c r="CC200" s="359">
        <f t="shared" si="1077"/>
        <v>6.6666666666666652E-2</v>
      </c>
      <c r="CD200" s="359">
        <f t="shared" si="1077"/>
        <v>5.3571428571428603E-2</v>
      </c>
      <c r="CE200" s="359">
        <f t="shared" si="1077"/>
        <v>3.4090909090909172E-2</v>
      </c>
      <c r="CF200" s="359">
        <f t="shared" si="1077"/>
        <v>2.8248587570621542E-2</v>
      </c>
      <c r="CG200" s="359">
        <f t="shared" si="1077"/>
        <v>1.6483516483516425E-2</v>
      </c>
      <c r="CH200" s="359">
        <f t="shared" si="1077"/>
        <v>2.7472527472527375E-2</v>
      </c>
      <c r="CI200" s="359">
        <f t="shared" si="1077"/>
        <v>4.8648648648648596E-2</v>
      </c>
      <c r="CJ200" s="359">
        <f t="shared" si="1077"/>
        <v>3.7433155080213831E-2</v>
      </c>
      <c r="CK200" s="359">
        <f t="shared" si="1077"/>
        <v>2.5773195876288568E-2</v>
      </c>
      <c r="CL200" s="359">
        <f t="shared" si="1077"/>
        <v>3.6082474226804218E-2</v>
      </c>
      <c r="CM200" s="359">
        <f t="shared" si="1077"/>
        <v>4.020100502512558E-2</v>
      </c>
      <c r="CN200" s="359">
        <f t="shared" si="1077"/>
        <v>3.4825870646766122E-2</v>
      </c>
    </row>
    <row r="201" spans="1:94" outlineLevel="1">
      <c r="A201" s="170" t="s">
        <v>667</v>
      </c>
      <c r="B201" s="1040" t="s">
        <v>20</v>
      </c>
      <c r="C201" s="1047"/>
      <c r="D201" s="1048"/>
      <c r="E201" s="1048"/>
      <c r="F201" s="262">
        <f t="shared" ref="F201:AD201" si="1078">F189+F170</f>
        <v>14100</v>
      </c>
      <c r="G201" s="262">
        <f t="shared" si="1078"/>
        <v>18200</v>
      </c>
      <c r="H201" s="262">
        <f t="shared" si="1078"/>
        <v>27200</v>
      </c>
      <c r="I201" s="262">
        <f t="shared" si="1078"/>
        <v>41550</v>
      </c>
      <c r="J201" s="262">
        <f t="shared" si="1078"/>
        <v>68570</v>
      </c>
      <c r="K201" s="262">
        <f t="shared" si="1078"/>
        <v>83345</v>
      </c>
      <c r="L201" s="262">
        <f t="shared" si="1078"/>
        <v>95385</v>
      </c>
      <c r="M201" s="262">
        <f t="shared" si="1078"/>
        <v>113405</v>
      </c>
      <c r="N201" s="262">
        <f t="shared" si="1078"/>
        <v>133805</v>
      </c>
      <c r="O201" s="262">
        <f t="shared" si="1078"/>
        <v>152215</v>
      </c>
      <c r="P201" s="262">
        <f t="shared" si="1078"/>
        <v>165357.48587570622</v>
      </c>
      <c r="Q201" s="262">
        <f t="shared" si="1078"/>
        <v>176162.84301856335</v>
      </c>
      <c r="R201" s="262">
        <f t="shared" si="1078"/>
        <v>190378.11115355231</v>
      </c>
      <c r="S201" s="262">
        <f t="shared" si="1078"/>
        <v>207908.65607255086</v>
      </c>
      <c r="T201" s="262">
        <f t="shared" si="1078"/>
        <v>225225.92693747758</v>
      </c>
      <c r="U201" s="262">
        <f t="shared" ref="U201:Z201" si="1079">U189+U170</f>
        <v>239163.53449100652</v>
      </c>
      <c r="V201" s="262">
        <f t="shared" si="1079"/>
        <v>242778.21110792193</v>
      </c>
      <c r="W201" s="262">
        <f t="shared" si="1079"/>
        <v>248005.04807692306</v>
      </c>
      <c r="X201" s="262">
        <f t="shared" si="1079"/>
        <v>245873.31730769231</v>
      </c>
      <c r="Y201" s="262">
        <f t="shared" si="1079"/>
        <v>249195.91346153844</v>
      </c>
      <c r="Z201" s="262">
        <f t="shared" si="1079"/>
        <v>249791.34615384613</v>
      </c>
      <c r="AA201" s="262">
        <f t="shared" si="1078"/>
        <v>248005.04807692306</v>
      </c>
      <c r="AB201" s="262">
        <f t="shared" ref="AB201:AC201" si="1080">AB189+AB170</f>
        <v>248600.48076923075</v>
      </c>
      <c r="AC201" s="262">
        <f t="shared" si="1080"/>
        <v>248600.48076923075</v>
      </c>
      <c r="AD201" s="262">
        <f t="shared" si="1078"/>
        <v>248600.48076923075</v>
      </c>
      <c r="AE201" s="262">
        <f>AE189+AE170</f>
        <v>249195.91346153844</v>
      </c>
      <c r="AF201" s="262">
        <f>AF189+AF170</f>
        <v>250386.77884615381</v>
      </c>
      <c r="AG201" s="262">
        <f t="shared" ref="AG201:AX201" si="1081">AG189+AG170</f>
        <v>249791.34615384613</v>
      </c>
      <c r="AH201" s="262">
        <f>AH189+AH170</f>
        <v>252768.50961538462</v>
      </c>
      <c r="AI201" s="675">
        <f t="shared" ref="AI201:AJ201" si="1082">AI189+AI170</f>
        <v>254554.80769230769</v>
      </c>
      <c r="AJ201" s="262">
        <f t="shared" si="1082"/>
        <v>252768.50961538462</v>
      </c>
      <c r="AK201" s="675">
        <f>AK189+AK170</f>
        <v>257245.67307692306</v>
      </c>
      <c r="AL201" s="262">
        <f t="shared" ref="AL201:AM201" si="1083">AL189+AL170</f>
        <v>259936.53846153844</v>
      </c>
      <c r="AM201" s="262">
        <f t="shared" si="1083"/>
        <v>258841.10576923075</v>
      </c>
      <c r="AN201" s="675">
        <f>AN189+AN170</f>
        <v>264722.8365384615</v>
      </c>
      <c r="AO201" s="262">
        <f t="shared" ref="AO201:AP201" si="1084">AO189+AO170</f>
        <v>267913.70192307688</v>
      </c>
      <c r="AP201" s="675">
        <f t="shared" si="1084"/>
        <v>265722.8365384615</v>
      </c>
      <c r="AQ201" s="1601">
        <f>AQ189+AQ170</f>
        <v>270009.13461538462</v>
      </c>
      <c r="AR201" s="262">
        <f t="shared" ref="AR201" si="1085">AR189+AR170</f>
        <v>272795.43269230769</v>
      </c>
      <c r="AS201" s="240">
        <f t="shared" si="1081"/>
        <v>271104.56730769231</v>
      </c>
      <c r="AT201" s="262">
        <f t="shared" ref="AT201:AU201" si="1086">AT189+AT170</f>
        <v>274486.29807692306</v>
      </c>
      <c r="AU201" s="262">
        <f t="shared" si="1086"/>
        <v>275581.73076923075</v>
      </c>
      <c r="AV201" s="240">
        <f t="shared" si="1081"/>
        <v>274986.29807692306</v>
      </c>
      <c r="AW201" s="262">
        <f>AW189+AW170</f>
        <v>276677.16346153797</v>
      </c>
      <c r="AX201" s="262">
        <f t="shared" si="1081"/>
        <v>277772.59615384566</v>
      </c>
      <c r="AY201" s="240">
        <f t="shared" ref="AY201:BA201" si="1087">AY189+AY170</f>
        <v>277177.16346153844</v>
      </c>
      <c r="AZ201" s="262">
        <f t="shared" si="1087"/>
        <v>278868.02884615381</v>
      </c>
      <c r="BA201" s="262">
        <f t="shared" si="1087"/>
        <v>279963.4615384615</v>
      </c>
      <c r="BB201" s="240">
        <f t="shared" ref="BB201" si="1088">BB189+BB170</f>
        <v>279368.02884615381</v>
      </c>
      <c r="BC201" s="675"/>
      <c r="BD201" s="399"/>
      <c r="BE201" s="399"/>
      <c r="BF201" s="399"/>
      <c r="BG201" s="399"/>
      <c r="BH201" s="415"/>
      <c r="BI201" s="416"/>
      <c r="BJ201" s="416"/>
      <c r="BK201" s="497"/>
      <c r="BL201" s="497"/>
      <c r="BM201" s="399"/>
      <c r="BN201" s="399"/>
      <c r="BO201" s="399"/>
      <c r="BP201" s="399"/>
      <c r="BQ201" s="399"/>
      <c r="BR201" s="399"/>
      <c r="BS201" s="399"/>
      <c r="BT201" s="399"/>
      <c r="BU201" s="399"/>
      <c r="BV201" s="399">
        <f t="shared" ref="BV201:CN201" si="1089">BV189+BV170</f>
        <v>96520</v>
      </c>
      <c r="BW201" s="399">
        <f t="shared" si="1089"/>
        <v>109185</v>
      </c>
      <c r="BX201" s="399">
        <f t="shared" si="1089"/>
        <v>118450</v>
      </c>
      <c r="BY201" s="399">
        <f t="shared" si="1089"/>
        <v>127865</v>
      </c>
      <c r="BZ201" s="399">
        <f t="shared" si="1089"/>
        <v>138500</v>
      </c>
      <c r="CA201" s="399">
        <f t="shared" si="1089"/>
        <v>149270</v>
      </c>
      <c r="CB201" s="399">
        <f t="shared" si="1089"/>
        <v>156655</v>
      </c>
      <c r="CC201" s="399">
        <f t="shared" si="1089"/>
        <v>164215</v>
      </c>
      <c r="CD201" s="399">
        <f t="shared" si="1089"/>
        <v>169972.48587570622</v>
      </c>
      <c r="CE201" s="399">
        <f t="shared" si="1089"/>
        <v>174542.48587570622</v>
      </c>
      <c r="CF201" s="399">
        <f t="shared" si="1089"/>
        <v>179590.35714285716</v>
      </c>
      <c r="CG201" s="399">
        <f t="shared" si="1089"/>
        <v>185860.35714285716</v>
      </c>
      <c r="CH201" s="399">
        <f t="shared" si="1089"/>
        <v>194507.75401069518</v>
      </c>
      <c r="CI201" s="399">
        <f t="shared" si="1089"/>
        <v>205532.75401069518</v>
      </c>
      <c r="CJ201" s="399">
        <f t="shared" si="1089"/>
        <v>214275.90206185568</v>
      </c>
      <c r="CK201" s="399">
        <f t="shared" si="1089"/>
        <v>224050.30504693033</v>
      </c>
      <c r="CL201" s="399">
        <f t="shared" si="1089"/>
        <v>232474.42786069651</v>
      </c>
      <c r="CM201" s="399">
        <f t="shared" si="1089"/>
        <v>237104.72636815923</v>
      </c>
      <c r="CN201" s="399">
        <f t="shared" si="1089"/>
        <v>242778.21110792193</v>
      </c>
    </row>
    <row r="202" spans="1:94" outlineLevel="1">
      <c r="A202" s="170" t="s">
        <v>950</v>
      </c>
      <c r="B202" s="904" t="s">
        <v>22</v>
      </c>
      <c r="C202" s="1049"/>
      <c r="D202" s="275"/>
      <c r="E202" s="275"/>
      <c r="F202" s="610"/>
      <c r="G202" s="284">
        <f t="shared" ref="G202:U202" si="1090">G201/F201-1</f>
        <v>0.29078014184397172</v>
      </c>
      <c r="H202" s="284">
        <f t="shared" si="1090"/>
        <v>0.49450549450549453</v>
      </c>
      <c r="I202" s="284">
        <f t="shared" si="1090"/>
        <v>0.52757352941176472</v>
      </c>
      <c r="J202" s="439">
        <f t="shared" si="1090"/>
        <v>0.65030084235860408</v>
      </c>
      <c r="K202" s="439">
        <f t="shared" si="1090"/>
        <v>0.21547323902581295</v>
      </c>
      <c r="L202" s="439">
        <f t="shared" si="1090"/>
        <v>0.14445977563141166</v>
      </c>
      <c r="M202" s="439">
        <f t="shared" si="1090"/>
        <v>0.18891859307018932</v>
      </c>
      <c r="N202" s="439">
        <f t="shared" si="1090"/>
        <v>0.17988624840174605</v>
      </c>
      <c r="O202" s="439">
        <f t="shared" si="1090"/>
        <v>0.1375882814543552</v>
      </c>
      <c r="P202" s="439">
        <f t="shared" si="1090"/>
        <v>8.6341594952574985E-2</v>
      </c>
      <c r="Q202" s="439">
        <f t="shared" si="1090"/>
        <v>6.5345436800963164E-2</v>
      </c>
      <c r="R202" s="439">
        <f t="shared" si="1090"/>
        <v>8.0693907360992245E-2</v>
      </c>
      <c r="S202" s="439">
        <f t="shared" si="1090"/>
        <v>9.208277576017676E-2</v>
      </c>
      <c r="T202" s="439">
        <f t="shared" si="1090"/>
        <v>8.3292688202860399E-2</v>
      </c>
      <c r="U202" s="439">
        <f t="shared" si="1090"/>
        <v>6.1882784735515894E-2</v>
      </c>
      <c r="V202" s="284">
        <f>V201/CM201-1</f>
        <v>2.39281807101277E-2</v>
      </c>
      <c r="W202" s="284">
        <f>W201/CN201-1</f>
        <v>2.1529267165897537E-2</v>
      </c>
      <c r="X202" s="439">
        <f t="shared" ref="X202:AV202" si="1091">X201/U201-1</f>
        <v>2.8055208462133274E-2</v>
      </c>
      <c r="Y202" s="284">
        <f t="shared" si="1091"/>
        <v>2.6434424754714358E-2</v>
      </c>
      <c r="Z202" s="284">
        <f t="shared" si="1091"/>
        <v>7.2026682149188836E-3</v>
      </c>
      <c r="AA202" s="439">
        <f t="shared" si="1091"/>
        <v>8.6700370441703534E-3</v>
      </c>
      <c r="AB202" s="284">
        <f t="shared" si="1091"/>
        <v>-2.389415958057417E-3</v>
      </c>
      <c r="AC202" s="284">
        <f t="shared" si="1091"/>
        <v>-4.7674405176627577E-3</v>
      </c>
      <c r="AD202" s="439">
        <f t="shared" si="1091"/>
        <v>2.4008894049729612E-3</v>
      </c>
      <c r="AE202" s="284">
        <f t="shared" si="1091"/>
        <v>2.3951389412653068E-3</v>
      </c>
      <c r="AF202" s="284">
        <f t="shared" si="1091"/>
        <v>7.1854168237961424E-3</v>
      </c>
      <c r="AG202" s="439">
        <f t="shared" si="1091"/>
        <v>4.7902778825308356E-3</v>
      </c>
      <c r="AH202" s="284">
        <f t="shared" si="1091"/>
        <v>1.4336495748344502E-2</v>
      </c>
      <c r="AI202" s="137">
        <f t="shared" si="1091"/>
        <v>1.664636154257515E-2</v>
      </c>
      <c r="AJ202" s="439">
        <f t="shared" si="1091"/>
        <v>1.1918601294157227E-2</v>
      </c>
      <c r="AK202" s="137">
        <f t="shared" si="1091"/>
        <v>1.771250488579823E-2</v>
      </c>
      <c r="AL202" s="284">
        <f t="shared" si="1091"/>
        <v>2.1141736893596219E-2</v>
      </c>
      <c r="AM202" s="439">
        <f t="shared" si="1091"/>
        <v>2.4024338170471671E-2</v>
      </c>
      <c r="AN202" s="137">
        <f t="shared" si="1091"/>
        <v>2.9066236069605678E-2</v>
      </c>
      <c r="AO202" s="284">
        <f>AO201/AL201-1</f>
        <v>3.0688888560077343E-2</v>
      </c>
      <c r="AP202" s="48">
        <f t="shared" si="1091"/>
        <v>2.6586699777763068E-2</v>
      </c>
      <c r="AQ202" s="1315">
        <f t="shared" si="1091"/>
        <v>1.9969180392773067E-2</v>
      </c>
      <c r="AR202" s="284">
        <f t="shared" si="1091"/>
        <v>1.822128071162421E-2</v>
      </c>
      <c r="AS202" s="223">
        <f t="shared" si="1091"/>
        <v>2.0253173717915907E-2</v>
      </c>
      <c r="AT202" s="284">
        <f t="shared" si="1091"/>
        <v>1.6581525909914019E-2</v>
      </c>
      <c r="AU202" s="284">
        <f t="shared" si="1091"/>
        <v>1.0213873632062498E-2</v>
      </c>
      <c r="AV202" s="223">
        <f t="shared" si="1091"/>
        <v>1.4318204992928685E-2</v>
      </c>
      <c r="AW202" s="284">
        <f>AW201/AT201-1</f>
        <v>7.9816930752620863E-3</v>
      </c>
      <c r="AX202" s="284">
        <f t="shared" ref="AX202" si="1092">AX201/AU201-1</f>
        <v>7.9499659810522427E-3</v>
      </c>
      <c r="AY202" s="223">
        <f t="shared" ref="AY202" si="1093">AY201/AV201-1</f>
        <v>7.9671801829286348E-3</v>
      </c>
      <c r="AZ202" s="284">
        <f t="shared" ref="AZ202" si="1094">AZ201/AW201-1</f>
        <v>7.9184901175279876E-3</v>
      </c>
      <c r="BA202" s="284">
        <f t="shared" ref="BA202" si="1095">BA201/AX201-1</f>
        <v>7.887262512398463E-3</v>
      </c>
      <c r="BB202" s="223">
        <f t="shared" ref="BB202" si="1096">BB201/AY201-1</f>
        <v>7.9042059499225825E-3</v>
      </c>
      <c r="BC202" s="48"/>
      <c r="BD202" s="417"/>
      <c r="BE202" s="417"/>
      <c r="BF202" s="417"/>
      <c r="BG202" s="417"/>
      <c r="BH202" s="378"/>
      <c r="BI202" s="379"/>
      <c r="BJ202" s="379"/>
      <c r="BK202" s="465"/>
      <c r="BL202" s="465"/>
      <c r="BM202" s="465"/>
      <c r="BN202" s="465"/>
      <c r="BO202" s="465"/>
      <c r="BP202" s="465"/>
      <c r="BQ202" s="465"/>
      <c r="BR202" s="465"/>
      <c r="BS202" s="465"/>
      <c r="BT202" s="465"/>
      <c r="BU202" s="465"/>
      <c r="BV202" s="465"/>
      <c r="BW202" s="465"/>
      <c r="BX202" s="359">
        <f t="shared" ref="BX202:CN202" si="1097">BX201/BV201-1</f>
        <v>0.22720679651885622</v>
      </c>
      <c r="BY202" s="359">
        <f t="shared" si="1097"/>
        <v>0.1710857718551082</v>
      </c>
      <c r="BZ202" s="359">
        <f t="shared" si="1097"/>
        <v>0.16926973406500623</v>
      </c>
      <c r="CA202" s="359">
        <f t="shared" si="1097"/>
        <v>0.16740312047862971</v>
      </c>
      <c r="CB202" s="359">
        <f t="shared" si="1097"/>
        <v>0.13108303249097464</v>
      </c>
      <c r="CC202" s="359">
        <f t="shared" si="1097"/>
        <v>0.10012058685603265</v>
      </c>
      <c r="CD202" s="359">
        <f t="shared" si="1097"/>
        <v>8.5011559641927859E-2</v>
      </c>
      <c r="CE202" s="359">
        <f t="shared" si="1097"/>
        <v>6.2890027559639572E-2</v>
      </c>
      <c r="CF202" s="359">
        <f t="shared" si="1097"/>
        <v>5.6584871472575182E-2</v>
      </c>
      <c r="CG202" s="359">
        <f t="shared" si="1097"/>
        <v>6.4843073652626426E-2</v>
      </c>
      <c r="CH202" s="359">
        <f t="shared" si="1097"/>
        <v>8.3063462343759387E-2</v>
      </c>
      <c r="CI202" s="359">
        <f t="shared" si="1097"/>
        <v>0.10584503963218639</v>
      </c>
      <c r="CJ202" s="359">
        <f t="shared" si="1097"/>
        <v>0.10163167094137293</v>
      </c>
      <c r="CK202" s="359">
        <f t="shared" si="1097"/>
        <v>9.0095377378495822E-2</v>
      </c>
      <c r="CL202" s="359">
        <f t="shared" si="1097"/>
        <v>8.4930342720421326E-2</v>
      </c>
      <c r="CM202" s="359">
        <f t="shared" si="1097"/>
        <v>5.8265581555421164E-2</v>
      </c>
      <c r="CN202" s="359">
        <f t="shared" si="1097"/>
        <v>4.4322222198992511E-2</v>
      </c>
    </row>
    <row r="203" spans="1:94" outlineLevel="1">
      <c r="A203" s="170"/>
      <c r="B203" s="904" t="s">
        <v>684</v>
      </c>
      <c r="C203" s="1049"/>
      <c r="D203" s="275"/>
      <c r="E203" s="275"/>
      <c r="F203" s="610"/>
      <c r="G203" s="285">
        <f t="shared" ref="G203:AD203" si="1098">G7/G201*1000</f>
        <v>24.854780219780221</v>
      </c>
      <c r="H203" s="285">
        <f t="shared" si="1098"/>
        <v>25.512610294117646</v>
      </c>
      <c r="I203" s="285">
        <f t="shared" si="1098"/>
        <v>22.763441636582431</v>
      </c>
      <c r="J203" s="285">
        <f t="shared" si="1098"/>
        <v>18.693845705118857</v>
      </c>
      <c r="K203" s="285">
        <f t="shared" si="1098"/>
        <v>21.93969644249805</v>
      </c>
      <c r="L203" s="285">
        <f t="shared" si="1098"/>
        <v>24.398658069927137</v>
      </c>
      <c r="M203" s="285">
        <f t="shared" si="1098"/>
        <v>24.084652352189057</v>
      </c>
      <c r="N203" s="285">
        <f t="shared" si="1098"/>
        <v>22.116161578416353</v>
      </c>
      <c r="O203" s="285">
        <f t="shared" si="1098"/>
        <v>20.548513615609497</v>
      </c>
      <c r="P203" s="285">
        <f t="shared" si="1098"/>
        <v>20.007561087901493</v>
      </c>
      <c r="Q203" s="285">
        <f t="shared" si="1098"/>
        <v>19.775878614952266</v>
      </c>
      <c r="R203" s="285">
        <f t="shared" si="1098"/>
        <v>19.183591946945597</v>
      </c>
      <c r="S203" s="285">
        <f t="shared" si="1098"/>
        <v>19.020213370144951</v>
      </c>
      <c r="T203" s="285">
        <f t="shared" si="1098"/>
        <v>24.988242146572787</v>
      </c>
      <c r="U203" s="285">
        <f t="shared" ref="U203:Z203" si="1099">U7/U201*1000</f>
        <v>28.659469406937319</v>
      </c>
      <c r="V203" s="285">
        <f t="shared" si="1099"/>
        <v>15.832145654501771</v>
      </c>
      <c r="W203" s="285">
        <f t="shared" si="1099"/>
        <v>13.111023445746392</v>
      </c>
      <c r="X203" s="285">
        <f t="shared" si="1099"/>
        <v>28.857543704593024</v>
      </c>
      <c r="Y203" s="285">
        <f t="shared" si="1099"/>
        <v>16.032365637555408</v>
      </c>
      <c r="Z203" s="285">
        <f t="shared" si="1099"/>
        <v>15.707910063399069</v>
      </c>
      <c r="AA203" s="285">
        <f t="shared" si="1098"/>
        <v>31.930398439082644</v>
      </c>
      <c r="AB203" s="285">
        <f t="shared" ref="AB203:AC203" si="1100">AB7/AB201*1000</f>
        <v>19.876067756227652</v>
      </c>
      <c r="AC203" s="285">
        <f t="shared" si="1100"/>
        <v>15.989108257959465</v>
      </c>
      <c r="AD203" s="285">
        <f t="shared" si="1098"/>
        <v>35.865176014187114</v>
      </c>
      <c r="AE203" s="285">
        <f>AE7/AE201*1000</f>
        <v>19.509950755072808</v>
      </c>
      <c r="AF203" s="285">
        <f>AF7/AF201*1000</f>
        <v>17.453796962199828</v>
      </c>
      <c r="AG203" s="285">
        <f t="shared" ref="AG203:AX203" si="1101">AG7/AG201*1000</f>
        <v>36.958846421821299</v>
      </c>
      <c r="AH203" s="285">
        <f>AH7/AH201*1000</f>
        <v>20.882743693159501</v>
      </c>
      <c r="AI203" s="697">
        <f>AI7/AI201*1000</f>
        <v>17.080408103136321</v>
      </c>
      <c r="AJ203" s="285">
        <f t="shared" ref="AJ203" si="1102">AJ7/AJ201*1000</f>
        <v>38.08385789292992</v>
      </c>
      <c r="AK203" s="697">
        <f>AK7/AK201*1000</f>
        <v>20.066809825238149</v>
      </c>
      <c r="AL203" s="285">
        <f>AL7/AL201*1000</f>
        <v>17.043775477742347</v>
      </c>
      <c r="AM203" s="285">
        <f t="shared" ref="AM203" si="1103">AM7/AM201*1000</f>
        <v>37.059028825785049</v>
      </c>
      <c r="AN203" s="697">
        <f>AN7/AN201*1000</f>
        <v>21.420139169505116</v>
      </c>
      <c r="AO203" s="285">
        <f>AO7/AO201*1000</f>
        <v>18.231243736098296</v>
      </c>
      <c r="AP203" s="697">
        <f t="shared" ref="AP203" si="1104">AP7/AP201*1000</f>
        <v>39.721087346108725</v>
      </c>
      <c r="AQ203" s="1574">
        <f>AQ7/AQ201*1000</f>
        <v>22.537385665371009</v>
      </c>
      <c r="AR203" s="285">
        <f>AR7/AR201*1000</f>
        <v>18.569596924684138</v>
      </c>
      <c r="AS203" s="285">
        <f t="shared" si="1101"/>
        <v>41.131735030251399</v>
      </c>
      <c r="AT203" s="285">
        <f t="shared" ref="AT203:AU203" si="1105">AT7/AT201*1000</f>
        <v>23.080143704924474</v>
      </c>
      <c r="AU203" s="285">
        <f t="shared" si="1105"/>
        <v>19.173857201559048</v>
      </c>
      <c r="AV203" s="285">
        <f t="shared" si="1101"/>
        <v>42.253552409820678</v>
      </c>
      <c r="AW203" s="285">
        <f>AW7/AW201*1000</f>
        <v>23.905888443975211</v>
      </c>
      <c r="AX203" s="285">
        <f t="shared" si="1101"/>
        <v>19.77582341091119</v>
      </c>
      <c r="AY203" s="285">
        <f t="shared" ref="AY203:BA203" si="1106">AY7/AY201*1000</f>
        <v>43.681070487308972</v>
      </c>
      <c r="AZ203" s="285">
        <f t="shared" si="1106"/>
        <v>24.715938839136037</v>
      </c>
      <c r="BA203" s="285">
        <f t="shared" si="1106"/>
        <v>20.446507770269783</v>
      </c>
      <c r="BB203" s="285">
        <f t="shared" ref="BB203" si="1107">BB7/BB201*1000</f>
        <v>45.161789947831537</v>
      </c>
      <c r="BC203" s="697"/>
      <c r="BD203" s="418"/>
      <c r="BE203" s="418"/>
      <c r="BF203" s="418"/>
      <c r="BG203" s="418"/>
      <c r="BH203" s="378"/>
      <c r="BI203" s="379"/>
      <c r="BJ203" s="379"/>
      <c r="BK203" s="465"/>
      <c r="BL203" s="465"/>
      <c r="BM203" s="465"/>
      <c r="BN203" s="465"/>
      <c r="BO203" s="465"/>
      <c r="BP203" s="465"/>
      <c r="BQ203" s="465"/>
      <c r="BR203" s="465"/>
      <c r="BS203" s="465"/>
      <c r="BT203" s="465"/>
      <c r="BU203" s="465"/>
      <c r="BV203" s="418">
        <f t="shared" ref="BV203:CH203" si="1108">BV7/BV201*1000</f>
        <v>11.041245337753834</v>
      </c>
      <c r="BW203" s="418">
        <f t="shared" si="1108"/>
        <v>14.230654393918577</v>
      </c>
      <c r="BX203" s="418">
        <f t="shared" si="1108"/>
        <v>9.9412916842549617</v>
      </c>
      <c r="BY203" s="418">
        <f t="shared" si="1108"/>
        <v>13.159457240057874</v>
      </c>
      <c r="BZ203" s="418">
        <f t="shared" si="1108"/>
        <v>9.2174657039711203</v>
      </c>
      <c r="CA203" s="418">
        <f t="shared" si="1108"/>
        <v>11.889388356669123</v>
      </c>
      <c r="CB203" s="418">
        <f t="shared" si="1108"/>
        <v>8.637215537327247</v>
      </c>
      <c r="CC203" s="418">
        <f t="shared" si="1108"/>
        <v>11.060183296288402</v>
      </c>
      <c r="CD203" s="418">
        <f t="shared" si="1108"/>
        <v>8.7787855329194198</v>
      </c>
      <c r="CE203" s="418">
        <f t="shared" si="1108"/>
        <v>11.114273927446153</v>
      </c>
      <c r="CF203" s="418">
        <f t="shared" si="1108"/>
        <v>8.5965751422383878</v>
      </c>
      <c r="CG203" s="418">
        <f t="shared" si="1108"/>
        <v>10.57324988614724</v>
      </c>
      <c r="CH203" s="418">
        <f t="shared" si="1108"/>
        <v>8.6731143885772273</v>
      </c>
      <c r="CI203" s="418">
        <f t="shared" ref="CI203:CN203" si="1109">CI7/CI201*1000</f>
        <v>10.299171098976508</v>
      </c>
      <c r="CJ203" s="418">
        <f t="shared" si="1109"/>
        <v>8.5760927025266707</v>
      </c>
      <c r="CK203" s="418">
        <f t="shared" si="1109"/>
        <v>11.676841946062076</v>
      </c>
      <c r="CL203" s="418">
        <f t="shared" si="1109"/>
        <v>12.955403429596711</v>
      </c>
      <c r="CM203" s="418">
        <f t="shared" si="1109"/>
        <v>15.561899825947558</v>
      </c>
      <c r="CN203" s="418">
        <f t="shared" si="1109"/>
        <v>13.034530510620199</v>
      </c>
    </row>
    <row r="204" spans="1:94" outlineLevel="1">
      <c r="A204" s="170"/>
      <c r="B204" s="1050" t="s">
        <v>452</v>
      </c>
      <c r="C204" s="1049"/>
      <c r="D204" s="275"/>
      <c r="E204" s="275"/>
      <c r="F204" s="610"/>
      <c r="G204" s="285"/>
      <c r="H204" s="284">
        <f t="shared" ref="H204:U204" si="1110">H203/G203-1</f>
        <v>2.6466943924690289E-2</v>
      </c>
      <c r="I204" s="284">
        <f t="shared" si="1110"/>
        <v>-0.10775724733149239</v>
      </c>
      <c r="J204" s="284">
        <f t="shared" si="1110"/>
        <v>-0.17877770841661533</v>
      </c>
      <c r="K204" s="284">
        <f t="shared" si="1110"/>
        <v>0.17363204920913611</v>
      </c>
      <c r="L204" s="284">
        <f t="shared" si="1110"/>
        <v>0.11207819733850011</v>
      </c>
      <c r="M204" s="284">
        <f t="shared" si="1110"/>
        <v>-1.2869794594363881E-2</v>
      </c>
      <c r="N204" s="284">
        <f t="shared" si="1110"/>
        <v>-8.1732164740745628E-2</v>
      </c>
      <c r="O204" s="284">
        <f t="shared" si="1110"/>
        <v>-7.0882461101964389E-2</v>
      </c>
      <c r="P204" s="284">
        <f t="shared" si="1110"/>
        <v>-2.6325628112442878E-2</v>
      </c>
      <c r="Q204" s="284">
        <f t="shared" si="1110"/>
        <v>-1.1579745873639968E-2</v>
      </c>
      <c r="R204" s="284">
        <f t="shared" si="1110"/>
        <v>-2.9949954666431244E-2</v>
      </c>
      <c r="S204" s="284">
        <f t="shared" si="1110"/>
        <v>-8.516579025058979E-3</v>
      </c>
      <c r="T204" s="284">
        <f t="shared" si="1110"/>
        <v>0.31377296670054933</v>
      </c>
      <c r="U204" s="284">
        <f t="shared" si="1110"/>
        <v>0.14691818811544732</v>
      </c>
      <c r="V204" s="284">
        <f>V203/CM203-1</f>
        <v>1.7365863524170244E-2</v>
      </c>
      <c r="W204" s="284">
        <f>W203/CN203-1</f>
        <v>5.868484105650662E-3</v>
      </c>
      <c r="X204" s="284">
        <f t="shared" ref="X204:AV204" si="1111">X203/U203-1</f>
        <v>6.9113037245469577E-3</v>
      </c>
      <c r="Y204" s="284">
        <f t="shared" si="1111"/>
        <v>1.2646421238343475E-2</v>
      </c>
      <c r="Z204" s="284">
        <f t="shared" si="1111"/>
        <v>0.19806894773688954</v>
      </c>
      <c r="AA204" s="284">
        <f t="shared" si="1111"/>
        <v>0.10648358591935669</v>
      </c>
      <c r="AB204" s="284">
        <f t="shared" si="1111"/>
        <v>0.23974641082713766</v>
      </c>
      <c r="AC204" s="284">
        <f t="shared" si="1111"/>
        <v>1.7901693696070753E-2</v>
      </c>
      <c r="AD204" s="284">
        <f t="shared" si="1111"/>
        <v>0.12322983011349842</v>
      </c>
      <c r="AE204" s="284">
        <f t="shared" si="1111"/>
        <v>-1.8419991602218744E-2</v>
      </c>
      <c r="AF204" s="284">
        <f t="shared" si="1111"/>
        <v>9.1605402916152823E-2</v>
      </c>
      <c r="AG204" s="284">
        <f t="shared" si="1111"/>
        <v>3.0493936714588221E-2</v>
      </c>
      <c r="AH204" s="284">
        <f t="shared" si="1111"/>
        <v>7.0363731580908917E-2</v>
      </c>
      <c r="AI204" s="137">
        <f t="shared" si="1111"/>
        <v>-2.1392987432600763E-2</v>
      </c>
      <c r="AJ204" s="284">
        <f t="shared" si="1111"/>
        <v>3.04395721194477E-2</v>
      </c>
      <c r="AK204" s="137">
        <f t="shared" si="1111"/>
        <v>-3.9072158328918527E-2</v>
      </c>
      <c r="AL204" s="284">
        <f t="shared" si="1111"/>
        <v>-2.1447160496854689E-3</v>
      </c>
      <c r="AM204" s="284">
        <f t="shared" si="1111"/>
        <v>-2.6909801785998333E-2</v>
      </c>
      <c r="AN204" s="137">
        <f t="shared" si="1111"/>
        <v>6.7441180539064893E-2</v>
      </c>
      <c r="AO204" s="284">
        <f>AO203/AL203-1</f>
        <v>6.9671667519129121E-2</v>
      </c>
      <c r="AP204" s="137">
        <f t="shared" si="1111"/>
        <v>7.1832927215606412E-2</v>
      </c>
      <c r="AQ204" s="1315">
        <f t="shared" si="1111"/>
        <v>5.215869453623645E-2</v>
      </c>
      <c r="AR204" s="284">
        <f t="shared" si="1111"/>
        <v>1.8558974553990248E-2</v>
      </c>
      <c r="AS204" s="284">
        <f t="shared" si="1111"/>
        <v>3.5513823472429928E-2</v>
      </c>
      <c r="AT204" s="284">
        <f t="shared" si="1111"/>
        <v>2.4082564305025755E-2</v>
      </c>
      <c r="AU204" s="284">
        <f t="shared" si="1111"/>
        <v>3.2540301188319409E-2</v>
      </c>
      <c r="AV204" s="284">
        <f t="shared" si="1111"/>
        <v>2.7273767536045046E-2</v>
      </c>
      <c r="AW204" s="284">
        <f>AW203/AT203-1</f>
        <v>3.5777278928924128E-2</v>
      </c>
      <c r="AX204" s="284">
        <f t="shared" ref="AX204" si="1112">AX203/AU203-1</f>
        <v>3.1395154507732226E-2</v>
      </c>
      <c r="AY204" s="284">
        <f t="shared" ref="AY204" si="1113">AY203/AV203-1</f>
        <v>3.3784569487617988E-2</v>
      </c>
      <c r="AZ204" s="284">
        <f t="shared" ref="AZ204" si="1114">AZ203/AW203-1</f>
        <v>3.388497344740915E-2</v>
      </c>
      <c r="BA204" s="284">
        <f t="shared" ref="BA204" si="1115">BA203/AX203-1</f>
        <v>3.3914358225334285E-2</v>
      </c>
      <c r="BB204" s="284">
        <f t="shared" ref="BB204" si="1116">BB203/AY203-1</f>
        <v>3.3898424283186346E-2</v>
      </c>
      <c r="BC204" s="137"/>
      <c r="BD204" s="359"/>
      <c r="BE204" s="359"/>
      <c r="BF204" s="359"/>
      <c r="BG204" s="359"/>
      <c r="BH204" s="378"/>
      <c r="BI204" s="379"/>
      <c r="BJ204" s="379"/>
      <c r="BK204" s="465"/>
      <c r="BL204" s="465"/>
      <c r="BM204" s="465"/>
      <c r="BN204" s="465"/>
      <c r="BO204" s="465"/>
      <c r="BP204" s="465"/>
      <c r="BQ204" s="465"/>
      <c r="BR204" s="465"/>
      <c r="BS204" s="465"/>
      <c r="BT204" s="465"/>
      <c r="BU204" s="465"/>
      <c r="BV204" s="465"/>
      <c r="BW204" s="465"/>
      <c r="BX204" s="359">
        <f t="shared" ref="BX204:CH204" si="1117">BX203/BV203-1</f>
        <v>-9.9622245485094907E-2</v>
      </c>
      <c r="BY204" s="359">
        <f t="shared" si="1117"/>
        <v>-7.527392094621288E-2</v>
      </c>
      <c r="BZ204" s="359">
        <f t="shared" si="1117"/>
        <v>-7.2810053589941304E-2</v>
      </c>
      <c r="CA204" s="359">
        <f t="shared" si="1117"/>
        <v>-9.6513774103282435E-2</v>
      </c>
      <c r="CB204" s="359">
        <f t="shared" si="1117"/>
        <v>-6.2951160902490422E-2</v>
      </c>
      <c r="CC204" s="359">
        <f t="shared" si="1117"/>
        <v>-6.9743290025142013E-2</v>
      </c>
      <c r="CD204" s="359">
        <f t="shared" si="1117"/>
        <v>1.63906984815132E-2</v>
      </c>
      <c r="CE204" s="359">
        <f t="shared" si="1117"/>
        <v>4.8905727607517768E-3</v>
      </c>
      <c r="CF204" s="359">
        <f t="shared" si="1117"/>
        <v>-2.0755762855552695E-2</v>
      </c>
      <c r="CG204" s="359">
        <f t="shared" si="1117"/>
        <v>-4.8678307267817189E-2</v>
      </c>
      <c r="CH204" s="359">
        <f t="shared" si="1117"/>
        <v>8.9034580716653711E-3</v>
      </c>
      <c r="CI204" s="359">
        <f t="shared" ref="CI204:CN204" si="1118">CI203/CG203-1</f>
        <v>-2.5921905764264674E-2</v>
      </c>
      <c r="CJ204" s="359">
        <f t="shared" si="1118"/>
        <v>-1.118648754112328E-2</v>
      </c>
      <c r="CK204" s="359">
        <f t="shared" si="1118"/>
        <v>0.13376521603981084</v>
      </c>
      <c r="CL204" s="359">
        <f t="shared" si="1118"/>
        <v>0.51064171983353401</v>
      </c>
      <c r="CM204" s="359">
        <f t="shared" si="1118"/>
        <v>0.33271477834772667</v>
      </c>
      <c r="CN204" s="359">
        <f t="shared" si="1118"/>
        <v>6.1076508696535914E-3</v>
      </c>
    </row>
    <row r="205" spans="1:94" outlineLevel="1">
      <c r="A205" s="170"/>
      <c r="B205" s="1050" t="s">
        <v>685</v>
      </c>
      <c r="C205" s="1049"/>
      <c r="D205" s="275"/>
      <c r="E205" s="275"/>
      <c r="F205" s="610"/>
      <c r="G205" s="285">
        <f t="shared" ref="G205:AD205" si="1119">G7/G198</f>
        <v>14.136156250000001</v>
      </c>
      <c r="H205" s="285">
        <f t="shared" si="1119"/>
        <v>14.457145833333334</v>
      </c>
      <c r="I205" s="285">
        <f t="shared" si="1119"/>
        <v>14.330621212121212</v>
      </c>
      <c r="J205" s="285">
        <f t="shared" si="1119"/>
        <v>14.402662921348314</v>
      </c>
      <c r="K205" s="285">
        <f t="shared" si="1119"/>
        <v>17.414895238095237</v>
      </c>
      <c r="L205" s="285">
        <f t="shared" si="1119"/>
        <v>18.920861788617888</v>
      </c>
      <c r="M205" s="285">
        <f t="shared" si="1119"/>
        <v>19.371063829787236</v>
      </c>
      <c r="N205" s="285">
        <f t="shared" si="1119"/>
        <v>18.848745222929939</v>
      </c>
      <c r="O205" s="285">
        <f t="shared" si="1119"/>
        <v>18.617809523809523</v>
      </c>
      <c r="P205" s="285">
        <f t="shared" si="1119"/>
        <v>18.691525423728812</v>
      </c>
      <c r="Q205" s="285">
        <f t="shared" si="1119"/>
        <v>19.141620879120879</v>
      </c>
      <c r="R205" s="285">
        <f t="shared" si="1119"/>
        <v>19.530139037433155</v>
      </c>
      <c r="S205" s="285">
        <f t="shared" si="1119"/>
        <v>20.383850515463919</v>
      </c>
      <c r="T205" s="285">
        <f t="shared" si="1119"/>
        <v>28</v>
      </c>
      <c r="U205" s="285">
        <f t="shared" ref="U205:Z205" si="1120">U7/U198</f>
        <v>32.953365384615388</v>
      </c>
      <c r="V205" s="285">
        <f t="shared" si="1120"/>
        <v>18.216587677725119</v>
      </c>
      <c r="W205" s="285">
        <f t="shared" si="1120"/>
        <v>15.483809523809521</v>
      </c>
      <c r="X205" s="285">
        <f t="shared" si="1120"/>
        <v>33.787142857142854</v>
      </c>
      <c r="Y205" s="285">
        <f t="shared" si="1120"/>
        <v>18.756807511737087</v>
      </c>
      <c r="Z205" s="285">
        <f t="shared" si="1120"/>
        <v>18.595734597156397</v>
      </c>
      <c r="AA205" s="285">
        <f t="shared" si="1119"/>
        <v>37.889473684210522</v>
      </c>
      <c r="AB205" s="285">
        <f t="shared" ref="AB205:AC205" si="1121">AB7/AB198</f>
        <v>23.418009478672985</v>
      </c>
      <c r="AC205" s="285">
        <f t="shared" si="1121"/>
        <v>18.838388625592419</v>
      </c>
      <c r="AD205" s="285">
        <f t="shared" si="1119"/>
        <v>42.660765550239233</v>
      </c>
      <c r="AE205" s="285">
        <f>AE7/AE198</f>
        <v>22.933018867924527</v>
      </c>
      <c r="AF205" s="285">
        <f>AF7/AF198</f>
        <v>20.517370892018779</v>
      </c>
      <c r="AG205" s="285">
        <f t="shared" ref="AG205:AX205" si="1122">AG7/AG198</f>
        <v>43.342723004694832</v>
      </c>
      <c r="AH205" s="285">
        <f>AH7/AH198</f>
        <v>24.4375</v>
      </c>
      <c r="AI205" s="697">
        <f>AI7/AI198</f>
        <v>20.129166666666666</v>
      </c>
      <c r="AJ205" s="285">
        <f t="shared" ref="AJ205" si="1123">AJ7/AJ198</f>
        <v>44.566666666666663</v>
      </c>
      <c r="AK205" s="697">
        <f>AK7/AK198</f>
        <v>23.3579185520362</v>
      </c>
      <c r="AL205" s="285">
        <f>AL7/AL198</f>
        <v>20.046606334841627</v>
      </c>
      <c r="AM205" s="285">
        <f t="shared" ref="AM205" si="1124">AM7/AM198</f>
        <v>42.823214285714286</v>
      </c>
      <c r="AN205" s="697">
        <f>AN7/AN198</f>
        <v>24.979735682819381</v>
      </c>
      <c r="AO205" s="285">
        <f>AO7/AO198</f>
        <v>21.236521739130438</v>
      </c>
      <c r="AP205" s="697">
        <f t="shared" ref="AP205" si="1125">AP7/AP198</f>
        <v>46.090829694323148</v>
      </c>
      <c r="AQ205" s="1574">
        <f>AQ7/AQ198</f>
        <v>26.229741379310347</v>
      </c>
      <c r="AR205" s="285">
        <f>AR7/AR198</f>
        <v>21.648295846115197</v>
      </c>
      <c r="AS205" s="285">
        <f t="shared" si="1122"/>
        <v>47.653851401670757</v>
      </c>
      <c r="AT205" s="285">
        <f t="shared" ref="AT205:AU205" si="1126">AT7/AT198</f>
        <v>26.958226402757951</v>
      </c>
      <c r="AU205" s="285">
        <f t="shared" si="1126"/>
        <v>22.389681157320858</v>
      </c>
      <c r="AV205" s="285">
        <f t="shared" si="1122"/>
        <v>49.233677787185762</v>
      </c>
      <c r="AW205" s="285">
        <f>AW7/AW198</f>
        <v>27.908073437582367</v>
      </c>
      <c r="AX205" s="285">
        <f t="shared" si="1122"/>
        <v>23.080595840036981</v>
      </c>
      <c r="AY205" s="285">
        <f t="shared" ref="AY205:BA205" si="1127">AY7/AY198</f>
        <v>50.871408464856394</v>
      </c>
      <c r="AZ205" s="285">
        <f t="shared" si="1127"/>
        <v>28.83884997971532</v>
      </c>
      <c r="BA205" s="285">
        <f t="shared" si="1127"/>
        <v>23.851146215574076</v>
      </c>
      <c r="BB205" s="285">
        <f t="shared" ref="BB205" si="1128">BB7/BB198</f>
        <v>52.569834320373921</v>
      </c>
      <c r="BC205" s="697"/>
      <c r="BD205" s="418"/>
      <c r="BE205" s="418"/>
      <c r="BF205" s="418"/>
      <c r="BG205" s="418"/>
      <c r="BH205" s="378"/>
      <c r="BI205" s="379"/>
      <c r="BJ205" s="379"/>
      <c r="BK205" s="465"/>
      <c r="BL205" s="465"/>
      <c r="BM205" s="465"/>
      <c r="BN205" s="465"/>
      <c r="BO205" s="465"/>
      <c r="BP205" s="465"/>
      <c r="BQ205" s="465"/>
      <c r="BR205" s="465"/>
      <c r="BS205" s="465"/>
      <c r="BT205" s="465"/>
      <c r="BU205" s="465"/>
      <c r="BV205" s="465"/>
      <c r="BW205" s="465"/>
      <c r="BX205" s="359"/>
      <c r="BY205" s="359"/>
      <c r="BZ205" s="359"/>
      <c r="CA205" s="418">
        <f t="shared" ref="CA205:CH205" si="1129">CA7/CA198</f>
        <v>10.755933333333333</v>
      </c>
      <c r="CB205" s="418">
        <f t="shared" si="1129"/>
        <v>8.0539464285714271</v>
      </c>
      <c r="CC205" s="418">
        <f t="shared" si="1129"/>
        <v>10.319590909090909</v>
      </c>
      <c r="CD205" s="418">
        <f t="shared" si="1129"/>
        <v>8.4302372881355936</v>
      </c>
      <c r="CE205" s="418">
        <f t="shared" si="1129"/>
        <v>10.658862637362638</v>
      </c>
      <c r="CF205" s="418">
        <f t="shared" si="1129"/>
        <v>8.4827582417582423</v>
      </c>
      <c r="CG205" s="418">
        <f t="shared" si="1129"/>
        <v>10.622421621621621</v>
      </c>
      <c r="CH205" s="418">
        <f t="shared" si="1129"/>
        <v>9.0213262032085559</v>
      </c>
      <c r="CI205" s="418">
        <f t="shared" ref="CI205:CN205" si="1130">CI7/CI198</f>
        <v>10.911427835051546</v>
      </c>
      <c r="CJ205" s="418">
        <f t="shared" si="1130"/>
        <v>9.4724226804123717</v>
      </c>
      <c r="CK205" s="418">
        <f t="shared" si="1130"/>
        <v>13.146733668341708</v>
      </c>
      <c r="CL205" s="418">
        <f t="shared" si="1130"/>
        <v>14.984079601990054</v>
      </c>
      <c r="CM205" s="418">
        <f t="shared" si="1130"/>
        <v>17.82512077294686</v>
      </c>
      <c r="CN205" s="418">
        <f t="shared" si="1130"/>
        <v>15.213942307692308</v>
      </c>
      <c r="CO205" s="1341"/>
      <c r="CP205" s="1341"/>
    </row>
    <row r="206" spans="1:94" ht="9.75" customHeight="1" outlineLevel="1">
      <c r="A206" s="170"/>
      <c r="B206" s="1050" t="s">
        <v>452</v>
      </c>
      <c r="C206" s="985"/>
      <c r="D206" s="985"/>
      <c r="E206" s="985"/>
      <c r="F206" s="263"/>
      <c r="G206" s="263"/>
      <c r="H206" s="284">
        <f t="shared" ref="H206:U206" si="1131">H205/G205-1</f>
        <v>2.2706991749142036E-2</v>
      </c>
      <c r="I206" s="284">
        <f t="shared" si="1131"/>
        <v>-8.7517012466179489E-3</v>
      </c>
      <c r="J206" s="284">
        <f t="shared" si="1131"/>
        <v>5.0271169798394855E-3</v>
      </c>
      <c r="K206" s="284">
        <f t="shared" si="1131"/>
        <v>0.20914412377741964</v>
      </c>
      <c r="L206" s="284">
        <f t="shared" si="1131"/>
        <v>8.6475774326125965E-2</v>
      </c>
      <c r="M206" s="284">
        <f t="shared" si="1131"/>
        <v>2.3793950095876371E-2</v>
      </c>
      <c r="N206" s="284">
        <f t="shared" si="1131"/>
        <v>-2.6963857609829223E-2</v>
      </c>
      <c r="O206" s="284">
        <f t="shared" si="1131"/>
        <v>-1.2252046297462682E-2</v>
      </c>
      <c r="P206" s="284">
        <f t="shared" si="1131"/>
        <v>3.9594292671765174E-3</v>
      </c>
      <c r="Q206" s="284">
        <f t="shared" si="1131"/>
        <v>2.4080188491233168E-2</v>
      </c>
      <c r="R206" s="284">
        <f t="shared" si="1131"/>
        <v>2.0297035489615256E-2</v>
      </c>
      <c r="S206" s="284">
        <f t="shared" si="1131"/>
        <v>4.3712514099078614E-2</v>
      </c>
      <c r="T206" s="284">
        <f t="shared" si="1131"/>
        <v>0.37363644708629495</v>
      </c>
      <c r="U206" s="284">
        <f t="shared" si="1131"/>
        <v>0.17690590659340666</v>
      </c>
      <c r="V206" s="263">
        <f>V205/CM205-1</f>
        <v>2.1961528887500581E-2</v>
      </c>
      <c r="W206" s="263">
        <f>W205/CN205-1</f>
        <v>1.7738151667682223E-2</v>
      </c>
      <c r="X206" s="284">
        <f t="shared" ref="X206:AV206" si="1132">X205/U205-1</f>
        <v>2.5301739679575386E-2</v>
      </c>
      <c r="Y206" s="263">
        <f t="shared" si="1132"/>
        <v>2.9655380226480954E-2</v>
      </c>
      <c r="Z206" s="263">
        <f t="shared" si="1132"/>
        <v>0.20097929185719154</v>
      </c>
      <c r="AA206" s="284">
        <f t="shared" si="1132"/>
        <v>0.12141692017028327</v>
      </c>
      <c r="AB206" s="263">
        <f t="shared" si="1132"/>
        <v>0.24850721339541115</v>
      </c>
      <c r="AC206" s="263">
        <f t="shared" si="1132"/>
        <v>1.3048907918546515E-2</v>
      </c>
      <c r="AD206" s="284">
        <f t="shared" si="1132"/>
        <v>0.12592658071196761</v>
      </c>
      <c r="AE206" s="263">
        <f t="shared" si="1132"/>
        <v>-2.071015519872188E-2</v>
      </c>
      <c r="AF206" s="263">
        <f t="shared" si="1132"/>
        <v>8.9125577553136326E-2</v>
      </c>
      <c r="AG206" s="284">
        <f t="shared" si="1132"/>
        <v>1.5985588764282577E-2</v>
      </c>
      <c r="AH206" s="284">
        <f t="shared" si="1132"/>
        <v>6.5603274507384235E-2</v>
      </c>
      <c r="AI206" s="564">
        <f t="shared" si="1132"/>
        <v>-1.892075877534205E-2</v>
      </c>
      <c r="AJ206" s="284">
        <f t="shared" si="1132"/>
        <v>2.8238734835355217E-2</v>
      </c>
      <c r="AK206" s="137">
        <f t="shared" si="1132"/>
        <v>-4.4177245952482846E-2</v>
      </c>
      <c r="AL206" s="284">
        <f t="shared" si="1132"/>
        <v>-4.1015275590994271E-3</v>
      </c>
      <c r="AM206" s="284">
        <f t="shared" si="1132"/>
        <v>-3.9120098301100414E-2</v>
      </c>
      <c r="AN206" s="137">
        <f t="shared" si="1132"/>
        <v>6.9433289921365882E-2</v>
      </c>
      <c r="AO206" s="263">
        <f>AO205/AL205-1</f>
        <v>5.9357448558297943E-2</v>
      </c>
      <c r="AP206" s="137">
        <f t="shared" si="1132"/>
        <v>7.6304767475124491E-2</v>
      </c>
      <c r="AQ206" s="1315">
        <f t="shared" si="1132"/>
        <v>5.0040789556900611E-2</v>
      </c>
      <c r="AR206" s="263">
        <f t="shared" si="1132"/>
        <v>1.938990348998737E-2</v>
      </c>
      <c r="AS206" s="284">
        <f t="shared" si="1132"/>
        <v>3.3911771988346828E-2</v>
      </c>
      <c r="AT206" s="263">
        <f t="shared" si="1132"/>
        <v>2.7773244612401049E-2</v>
      </c>
      <c r="AU206" s="263">
        <f t="shared" si="1132"/>
        <v>3.4246820926493449E-2</v>
      </c>
      <c r="AV206" s="284">
        <f t="shared" si="1132"/>
        <v>3.3152123890234364E-2</v>
      </c>
      <c r="AW206" s="263">
        <f>AW205/AT205-1</f>
        <v>3.5234032856376718E-2</v>
      </c>
      <c r="AX206" s="263">
        <f t="shared" ref="AX206" si="1133">AX205/AU205-1</f>
        <v>3.0858620891535571E-2</v>
      </c>
      <c r="AY206" s="284">
        <f t="shared" ref="AY206" si="1134">AY205/AV205-1</f>
        <v>3.326443912538446E-2</v>
      </c>
      <c r="AZ206" s="263">
        <f t="shared" ref="AZ206" si="1135">AZ205/AW205-1</f>
        <v>3.3351515439239421E-2</v>
      </c>
      <c r="BA206" s="263">
        <f t="shared" ref="BA206" si="1136">BA205/AX205-1</f>
        <v>3.3385202915795276E-2</v>
      </c>
      <c r="BB206" s="284">
        <f t="shared" ref="BB206" si="1137">BB205/AY205-1</f>
        <v>3.3386648940354258E-2</v>
      </c>
      <c r="BC206" s="137"/>
      <c r="BD206" s="359"/>
      <c r="BE206" s="359"/>
      <c r="BF206" s="359"/>
      <c r="BG206" s="359"/>
      <c r="BH206" s="378"/>
      <c r="BI206" s="379"/>
      <c r="BJ206" s="379"/>
      <c r="BK206" s="331"/>
      <c r="BL206" s="331"/>
      <c r="BM206" s="331"/>
      <c r="BN206" s="331"/>
      <c r="BO206" s="331"/>
      <c r="BP206" s="331"/>
      <c r="BQ206" s="331"/>
      <c r="BR206" s="331"/>
      <c r="BS206" s="331"/>
      <c r="BT206" s="331"/>
      <c r="BU206" s="331"/>
      <c r="BV206" s="331"/>
      <c r="BW206" s="331"/>
      <c r="BX206" s="331"/>
      <c r="BY206" s="331"/>
      <c r="BZ206" s="331"/>
      <c r="CA206" s="331"/>
      <c r="CB206" s="331"/>
      <c r="CC206" s="331">
        <f t="shared" ref="CC206:CH206" si="1138">CC205/CA205-1</f>
        <v>-4.0567602152215887E-2</v>
      </c>
      <c r="CD206" s="331">
        <f t="shared" si="1138"/>
        <v>4.672130152607834E-2</v>
      </c>
      <c r="CE206" s="331">
        <f t="shared" si="1138"/>
        <v>3.2876470710951455E-2</v>
      </c>
      <c r="CF206" s="331">
        <f t="shared" si="1138"/>
        <v>6.2300682445279865E-3</v>
      </c>
      <c r="CG206" s="331">
        <f t="shared" si="1138"/>
        <v>-3.4188465487190456E-3</v>
      </c>
      <c r="CH206" s="331">
        <f t="shared" si="1138"/>
        <v>6.3489721868895677E-2</v>
      </c>
      <c r="CI206" s="331">
        <f t="shared" ref="CI206:CN206" si="1139">CI205/CG205-1</f>
        <v>2.720718718617432E-2</v>
      </c>
      <c r="CJ206" s="331">
        <f t="shared" si="1139"/>
        <v>5.0003343969911684E-2</v>
      </c>
      <c r="CK206" s="331">
        <f t="shared" si="1139"/>
        <v>0.20485915015718947</v>
      </c>
      <c r="CL206" s="331">
        <f t="shared" si="1139"/>
        <v>0.58186349021090544</v>
      </c>
      <c r="CM206" s="331">
        <f t="shared" si="1139"/>
        <v>0.3558592744501281</v>
      </c>
      <c r="CN206" s="331">
        <f t="shared" si="1139"/>
        <v>1.5340462131002486E-2</v>
      </c>
      <c r="CO206" s="1341"/>
      <c r="CP206" s="1341"/>
    </row>
    <row r="207" spans="1:94" ht="9.75" customHeight="1" outlineLevel="1">
      <c r="A207" s="170"/>
      <c r="B207" s="1050" t="s">
        <v>697</v>
      </c>
      <c r="C207" s="985"/>
      <c r="D207" s="985"/>
      <c r="E207" s="985"/>
      <c r="F207" s="263"/>
      <c r="G207" s="262">
        <f t="shared" ref="G207:R207" si="1140">G201/G199</f>
        <v>627.58620689655174</v>
      </c>
      <c r="H207" s="262">
        <f t="shared" si="1140"/>
        <v>680</v>
      </c>
      <c r="I207" s="262">
        <f t="shared" si="1140"/>
        <v>728.9473684210526</v>
      </c>
      <c r="J207" s="262">
        <f t="shared" si="1140"/>
        <v>884.77419354838707</v>
      </c>
      <c r="K207" s="262">
        <f t="shared" si="1140"/>
        <v>859.2268041237113</v>
      </c>
      <c r="L207" s="262">
        <f t="shared" si="1140"/>
        <v>836.71052631578948</v>
      </c>
      <c r="M207" s="262">
        <f t="shared" si="1140"/>
        <v>859.12878787878788</v>
      </c>
      <c r="N207" s="262">
        <f t="shared" si="1140"/>
        <v>898.02013422818789</v>
      </c>
      <c r="O207" s="262">
        <f t="shared" si="1140"/>
        <v>936.70769230769235</v>
      </c>
      <c r="P207" s="262">
        <f t="shared" si="1140"/>
        <v>958.59412101858675</v>
      </c>
      <c r="Q207" s="262">
        <f t="shared" si="1140"/>
        <v>981.40859620369554</v>
      </c>
      <c r="R207" s="262">
        <f t="shared" si="1140"/>
        <v>1031.859681049064</v>
      </c>
      <c r="S207" s="262"/>
      <c r="T207" s="262"/>
      <c r="U207" s="262"/>
      <c r="V207" s="262">
        <f>V201/V199</f>
        <v>1167.2029380188555</v>
      </c>
      <c r="W207" s="262">
        <f>W201/W199</f>
        <v>1178.171249771606</v>
      </c>
      <c r="X207" s="262"/>
      <c r="Y207" s="262">
        <f>Y201/Y199</f>
        <v>1181.0232865475755</v>
      </c>
      <c r="Z207" s="262">
        <f>Z201/Z199</f>
        <v>1178.2610667634251</v>
      </c>
      <c r="AA207" s="262"/>
      <c r="AB207" s="262">
        <f t="shared" ref="AB207:AC207" si="1141">AB201/AB199</f>
        <v>1181.935724734853</v>
      </c>
      <c r="AC207" s="262">
        <f t="shared" si="1141"/>
        <v>1178.2013306598615</v>
      </c>
      <c r="AD207" s="262"/>
      <c r="AE207" s="262">
        <f>AE201/AE199</f>
        <v>1183.8285675132468</v>
      </c>
      <c r="AF207" s="262">
        <f>AF201/AF199</f>
        <v>1178.2907239819003</v>
      </c>
      <c r="AG207" s="262"/>
      <c r="AH207" s="262">
        <f>AH201/AH199</f>
        <v>1178.4079702348934</v>
      </c>
      <c r="AI207" s="675">
        <f>AI201/AI199</f>
        <v>1178.4944800569801</v>
      </c>
      <c r="AJ207" s="262"/>
      <c r="AK207" s="675">
        <f>AK201/AK199</f>
        <v>1177.3257349058263</v>
      </c>
      <c r="AL207" s="262">
        <f>AL201/AL199</f>
        <v>1176.1834319526627</v>
      </c>
      <c r="AM207" s="262"/>
      <c r="AN207" s="675">
        <f>AN201/AN199</f>
        <v>1173.9371908579224</v>
      </c>
      <c r="AO207" s="262">
        <f>AO201/AO199</f>
        <v>1172.4888486786733</v>
      </c>
      <c r="AP207" s="675"/>
      <c r="AQ207" s="1601">
        <f>AQ201/AQ199</f>
        <v>1171.406223927916</v>
      </c>
      <c r="AR207" s="262">
        <f>AR201/AR199</f>
        <v>1170.7958484648398</v>
      </c>
      <c r="AS207" s="284"/>
      <c r="AT207" s="262">
        <f t="shared" ref="AT207:AU207" si="1142">AT201/AT199</f>
        <v>1170.517262588158</v>
      </c>
      <c r="AU207" s="262">
        <f t="shared" si="1142"/>
        <v>1170.1984321411073</v>
      </c>
      <c r="AV207" s="284"/>
      <c r="AW207" s="262">
        <f>AW201/AW199</f>
        <v>1169.8822979346214</v>
      </c>
      <c r="AX207" s="262">
        <f t="shared" ref="AX207" si="1143">AX201/AX199</f>
        <v>1169.568825910929</v>
      </c>
      <c r="AY207" s="284"/>
      <c r="AZ207" s="262">
        <f t="shared" ref="AZ207:BA207" si="1144">AZ201/AZ199</f>
        <v>1169.2579825834541</v>
      </c>
      <c r="BA207" s="262">
        <f t="shared" si="1144"/>
        <v>1168.9497350248914</v>
      </c>
      <c r="BB207" s="284"/>
      <c r="BC207" s="137"/>
      <c r="BD207" s="359"/>
      <c r="BE207" s="359"/>
      <c r="BF207" s="359"/>
      <c r="BG207" s="359"/>
      <c r="BH207" s="378"/>
      <c r="BI207" s="379"/>
      <c r="BJ207" s="379"/>
      <c r="BK207" s="331"/>
      <c r="BL207" s="331"/>
      <c r="BM207" s="331"/>
      <c r="BN207" s="331"/>
      <c r="BO207" s="331"/>
      <c r="BP207" s="331"/>
      <c r="BQ207" s="331"/>
      <c r="BR207" s="331"/>
      <c r="BS207" s="331"/>
      <c r="BT207" s="331"/>
      <c r="BU207" s="331"/>
      <c r="BV207" s="399">
        <f t="shared" ref="BV207:CH207" si="1145">BV201/BV199</f>
        <v>760</v>
      </c>
      <c r="BW207" s="399">
        <f t="shared" si="1145"/>
        <v>802.83088235294122</v>
      </c>
      <c r="BX207" s="399">
        <f t="shared" si="1145"/>
        <v>852.15827338129498</v>
      </c>
      <c r="BY207" s="399">
        <f t="shared" si="1145"/>
        <v>887.95138888888891</v>
      </c>
      <c r="BZ207" s="399">
        <f t="shared" si="1145"/>
        <v>911.18421052631584</v>
      </c>
      <c r="CA207" s="399">
        <f t="shared" si="1145"/>
        <v>927.14285714285711</v>
      </c>
      <c r="CB207" s="399">
        <f t="shared" si="1145"/>
        <v>940.87087087087082</v>
      </c>
      <c r="CC207" s="399">
        <f t="shared" si="1145"/>
        <v>954.73837209302326</v>
      </c>
      <c r="CD207" s="399">
        <f t="shared" si="1145"/>
        <v>963.01691714281139</v>
      </c>
      <c r="CE207" s="399">
        <f t="shared" si="1145"/>
        <v>972.38153691201239</v>
      </c>
      <c r="CF207" s="399">
        <f t="shared" si="1145"/>
        <v>986.76020408163276</v>
      </c>
      <c r="CG207" s="399">
        <f t="shared" si="1145"/>
        <v>1012.8629817049436</v>
      </c>
      <c r="CH207" s="399">
        <f t="shared" si="1145"/>
        <v>1045.7406129607268</v>
      </c>
      <c r="CI207" s="399">
        <f t="shared" ref="CI207:CN207" si="1146">CI201/CI199</f>
        <v>1078.9120945443317</v>
      </c>
      <c r="CJ207" s="399">
        <f t="shared" si="1146"/>
        <v>1104.5149590817302</v>
      </c>
      <c r="CK207" s="399">
        <f t="shared" si="1146"/>
        <v>1140.205114742648</v>
      </c>
      <c r="CL207" s="399">
        <f t="shared" si="1146"/>
        <v>1162.3721393034825</v>
      </c>
      <c r="CM207" s="399">
        <f t="shared" si="1146"/>
        <v>1162.2780704321531</v>
      </c>
      <c r="CN207" s="399">
        <f t="shared" si="1146"/>
        <v>1170.015475218901</v>
      </c>
      <c r="CO207" s="1341"/>
      <c r="CP207" s="1341"/>
    </row>
    <row r="208" spans="1:94" ht="9.75" customHeight="1" outlineLevel="1">
      <c r="A208" s="170"/>
      <c r="B208" s="1050"/>
      <c r="C208" s="985"/>
      <c r="D208" s="985"/>
      <c r="E208" s="985"/>
      <c r="F208" s="263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675"/>
      <c r="AJ208" s="262"/>
      <c r="AK208" s="675"/>
      <c r="AL208" s="262"/>
      <c r="AM208" s="262"/>
      <c r="AN208" s="675"/>
      <c r="AO208" s="262"/>
      <c r="AP208" s="675"/>
      <c r="AQ208" s="1601"/>
      <c r="AR208" s="262"/>
      <c r="AS208" s="284"/>
      <c r="AT208" s="262"/>
      <c r="AU208" s="262"/>
      <c r="AV208" s="284"/>
      <c r="AW208" s="262"/>
      <c r="AX208" s="262"/>
      <c r="AY208" s="284"/>
      <c r="AZ208" s="262"/>
      <c r="BA208" s="262"/>
      <c r="BB208" s="284"/>
      <c r="BC208" s="137"/>
      <c r="BD208" s="359"/>
      <c r="BE208" s="359"/>
      <c r="BF208" s="359"/>
      <c r="BG208" s="359"/>
      <c r="BH208" s="378"/>
      <c r="BI208" s="379"/>
      <c r="BJ208" s="379"/>
      <c r="BK208" s="331"/>
      <c r="BL208" s="331"/>
      <c r="BM208" s="331"/>
      <c r="BN208" s="331"/>
      <c r="BO208" s="331"/>
      <c r="BP208" s="331"/>
      <c r="BQ208" s="331"/>
      <c r="BR208" s="331"/>
      <c r="BS208" s="331"/>
      <c r="BT208" s="331"/>
      <c r="BU208" s="331"/>
      <c r="BV208" s="399"/>
      <c r="BW208" s="399"/>
      <c r="BX208" s="399"/>
      <c r="BY208" s="399"/>
      <c r="BZ208" s="399"/>
      <c r="CA208" s="399"/>
      <c r="CB208" s="399"/>
      <c r="CC208" s="399"/>
      <c r="CD208" s="399"/>
      <c r="CE208" s="399"/>
      <c r="CF208" s="399"/>
      <c r="CG208" s="399"/>
      <c r="CH208" s="399"/>
      <c r="CI208" s="399"/>
      <c r="CJ208" s="399"/>
      <c r="CK208" s="399"/>
      <c r="CL208" s="399"/>
      <c r="CM208" s="399"/>
      <c r="CN208" s="399"/>
      <c r="CO208" s="1341"/>
      <c r="CP208" s="1341"/>
    </row>
    <row r="209" spans="1:94" outlineLevel="1">
      <c r="A209" s="204"/>
      <c r="B209" s="833" t="s">
        <v>789</v>
      </c>
      <c r="C209" s="957"/>
      <c r="D209" s="952"/>
      <c r="E209" s="95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82"/>
      <c r="AB209" s="282"/>
      <c r="AC209" s="282"/>
      <c r="AD209" s="282"/>
      <c r="AE209" s="282"/>
      <c r="AF209" s="282"/>
      <c r="AG209" s="282"/>
      <c r="AH209" s="282"/>
      <c r="AI209" s="190"/>
      <c r="AJ209" s="282"/>
      <c r="AK209" s="190"/>
      <c r="AL209" s="190"/>
      <c r="AM209" s="282"/>
      <c r="AN209" s="190"/>
      <c r="AO209" s="190"/>
      <c r="AP209" s="190"/>
      <c r="AQ209" s="1385"/>
      <c r="AR209" s="190"/>
      <c r="AS209" s="190"/>
      <c r="AT209" s="190"/>
      <c r="AU209" s="190"/>
      <c r="AV209" s="282"/>
      <c r="AW209" s="190"/>
      <c r="AX209" s="190"/>
      <c r="AY209" s="282"/>
      <c r="AZ209" s="190"/>
      <c r="BA209" s="190"/>
      <c r="BB209" s="282"/>
      <c r="BC209" s="190"/>
      <c r="BD209" s="316"/>
      <c r="BE209" s="316"/>
      <c r="BF209" s="316"/>
      <c r="BG209" s="316"/>
      <c r="BH209" s="315"/>
      <c r="BI209" s="317"/>
      <c r="BJ209" s="317"/>
      <c r="BK209" s="196"/>
      <c r="BL209" s="196"/>
      <c r="BM209" s="196"/>
      <c r="BN209" s="196"/>
      <c r="BO209" s="196"/>
      <c r="BP209" s="196"/>
      <c r="BQ209" s="196"/>
      <c r="BR209" s="196"/>
      <c r="BS209" s="196"/>
      <c r="BT209" s="196"/>
      <c r="BU209" s="196"/>
      <c r="BV209" s="196"/>
      <c r="BW209" s="196"/>
      <c r="BX209" s="196">
        <f t="shared" ref="BX209:CI209" si="1147">BX207/BV207-1</f>
        <v>0.12126088602801977</v>
      </c>
      <c r="BY209" s="196">
        <f t="shared" si="1147"/>
        <v>0.10602545119649109</v>
      </c>
      <c r="BZ209" s="196">
        <f t="shared" si="1147"/>
        <v>6.9266401546288714E-2</v>
      </c>
      <c r="CA209" s="196">
        <f t="shared" si="1147"/>
        <v>4.41369524777806E-2</v>
      </c>
      <c r="CB209" s="196">
        <f t="shared" si="1147"/>
        <v>3.2580305937706555E-2</v>
      </c>
      <c r="CC209" s="196">
        <f t="shared" si="1147"/>
        <v>2.976403769663527E-2</v>
      </c>
      <c r="CD209" s="196">
        <f t="shared" si="1147"/>
        <v>2.353781688601142E-2</v>
      </c>
      <c r="CE209" s="196">
        <f t="shared" si="1147"/>
        <v>1.8479580725671463E-2</v>
      </c>
      <c r="CF209" s="196">
        <f t="shared" si="1147"/>
        <v>2.4655108873129272E-2</v>
      </c>
      <c r="CG209" s="196">
        <f t="shared" si="1147"/>
        <v>4.1631235534858035E-2</v>
      </c>
      <c r="CH209" s="196">
        <f t="shared" si="1147"/>
        <v>5.9771774981528081E-2</v>
      </c>
      <c r="CI209" s="196">
        <f t="shared" si="1147"/>
        <v>6.5210313766436823E-2</v>
      </c>
      <c r="CJ209" s="196"/>
      <c r="CK209" s="196"/>
      <c r="CL209" s="196"/>
      <c r="CM209" s="196"/>
      <c r="CN209" s="196"/>
      <c r="CO209" s="1341"/>
      <c r="CP209" s="1341"/>
    </row>
    <row r="210" spans="1:94" outlineLevel="1">
      <c r="A210" s="178"/>
      <c r="B210" s="961" t="s">
        <v>459</v>
      </c>
      <c r="C210" s="838"/>
      <c r="D210" s="1051">
        <v>109.378</v>
      </c>
      <c r="E210" s="1051">
        <v>189.46899999999999</v>
      </c>
      <c r="F210" s="1051">
        <v>275.90100000000001</v>
      </c>
      <c r="G210" s="1051">
        <v>346.42099999999999</v>
      </c>
      <c r="H210" s="1051">
        <v>535.26199999999994</v>
      </c>
      <c r="I210" s="1051">
        <v>733.39499999999998</v>
      </c>
      <c r="J210" s="1051">
        <v>998.47799999999995</v>
      </c>
      <c r="K210" s="1051">
        <v>1428.873</v>
      </c>
      <c r="L210" s="1051">
        <v>1823.675</v>
      </c>
      <c r="M210" s="1051">
        <v>2137.1419999999998</v>
      </c>
      <c r="N210" s="1051">
        <v>2307.2240000000002</v>
      </c>
      <c r="O210" s="1051">
        <v>2467.962</v>
      </c>
      <c r="P210" s="1051">
        <v>2596.194</v>
      </c>
      <c r="Q210" s="1051">
        <v>2727.7939999999999</v>
      </c>
      <c r="R210" s="1051">
        <v>2853.8829999999998</v>
      </c>
      <c r="S210" s="1051">
        <v>3089.0590000000002</v>
      </c>
      <c r="T210" s="1051">
        <f>4397.5-(1-21.27%)*1258.4</f>
        <v>3406.7616800000001</v>
      </c>
      <c r="U210" s="1051">
        <f>(6854.3-1470.3)-(2101.3-426.1)</f>
        <v>3708.7999999999997</v>
      </c>
      <c r="V210" s="305">
        <f>V90-V229</f>
        <v>2118.1999999999998</v>
      </c>
      <c r="W210" s="305">
        <f>W90-W229</f>
        <v>1745.7000000000005</v>
      </c>
      <c r="X210" s="1051">
        <f>7095.3-1527.1-(2147-442.7)</f>
        <v>3863.9000000000005</v>
      </c>
      <c r="Y210" s="305">
        <f>Y90-Y229</f>
        <v>2225.1</v>
      </c>
      <c r="Z210" s="305">
        <f>Z90-Z229</f>
        <v>2101.1</v>
      </c>
      <c r="AA210" s="1051">
        <f>(5318.9-1169)+(222.8-36.8)</f>
        <v>4335.8999999999996</v>
      </c>
      <c r="AB210" s="305">
        <f>AB90-AB229</f>
        <v>2730.1</v>
      </c>
      <c r="AC210" s="305">
        <f>AC90-AC229</f>
        <v>2101.7000000000007</v>
      </c>
      <c r="AD210" s="1051">
        <f>8916.1-1977.2-(2715.7-608.6)</f>
        <v>4831.8000000000011</v>
      </c>
      <c r="AE210" s="305">
        <f>AE90-AE229</f>
        <v>2682.9</v>
      </c>
      <c r="AF210" s="305">
        <f>AF90-AF229</f>
        <v>2329.1999999999998</v>
      </c>
      <c r="AG210" s="1134">
        <f>9232-2080.4-(2789.4-649.9)</f>
        <v>5012.1000000000004</v>
      </c>
      <c r="AH210" s="1186">
        <f>AH90-AH229</f>
        <v>2891.1</v>
      </c>
      <c r="AI210" s="191">
        <f>AJ210-AH210</f>
        <v>2173.6000000000008</v>
      </c>
      <c r="AJ210" s="1243">
        <f>(6546.1-1481.4)+(CP210-CP211)</f>
        <v>5064.7000000000007</v>
      </c>
      <c r="AK210" s="1268">
        <f>AK90-AK229</f>
        <v>2949.4000000000005</v>
      </c>
      <c r="AL210" s="1186">
        <f>AM210-AK210</f>
        <v>2444.1433099999995</v>
      </c>
      <c r="AM210" s="1923">
        <f>((1-22.21%)*6609.9)+((1-16.93%)*303)</f>
        <v>5393.54331</v>
      </c>
      <c r="AN210" s="1627">
        <f>AN90-AN229</f>
        <v>3181.4999999999995</v>
      </c>
      <c r="AO210" s="305">
        <f>AP210-AN210</f>
        <v>2659.400000000001</v>
      </c>
      <c r="AP210" s="1923">
        <f>AP90-AP229</f>
        <v>5840.9000000000005</v>
      </c>
      <c r="AQ210" s="1745">
        <f>(1-0.2195/100)*4120.5+(1-0.1705/100)*239</f>
        <v>4350.0480074999996</v>
      </c>
      <c r="AR210" s="305">
        <f>AS210-AQ210</f>
        <v>1840.8334895172193</v>
      </c>
      <c r="AS210" s="191">
        <f>AS90-AS229</f>
        <v>6190.8814970172189</v>
      </c>
      <c r="AT210" s="305">
        <f t="shared" ref="AT210" si="1148">AT90-AT229</f>
        <v>3580.4592763963997</v>
      </c>
      <c r="AU210" s="305">
        <f>AV210-AT210</f>
        <v>2921.4502782181648</v>
      </c>
      <c r="AV210" s="191">
        <f>AV90-AV229</f>
        <v>6501.9095546145645</v>
      </c>
      <c r="AW210" s="305">
        <f>AW90-AW229</f>
        <v>3751.6987470875065</v>
      </c>
      <c r="AX210" s="305">
        <f>AY210-AW210</f>
        <v>3042.5112960008237</v>
      </c>
      <c r="AY210" s="191">
        <f>AY90-AY229</f>
        <v>6794.2100430883302</v>
      </c>
      <c r="AZ210" s="305">
        <f t="shared" ref="AZ210" si="1149">AZ90-AZ229</f>
        <v>3920.113943566022</v>
      </c>
      <c r="BA210" s="305">
        <f>BB210-AZ210</f>
        <v>3180.3446812406269</v>
      </c>
      <c r="BB210" s="191">
        <f>BB90-BB229</f>
        <v>7100.4586248066489</v>
      </c>
      <c r="BC210" s="1268"/>
      <c r="BD210" s="356"/>
      <c r="BE210" s="356"/>
      <c r="BF210" s="356"/>
      <c r="BG210" s="356"/>
      <c r="BH210" s="323"/>
      <c r="BI210" s="325"/>
      <c r="BJ210" s="325"/>
      <c r="BK210" s="444">
        <v>180.06800000000001</v>
      </c>
      <c r="BL210" s="489">
        <f>G210-BK210</f>
        <v>166.35299999999998</v>
      </c>
      <c r="BM210" s="444">
        <v>289.64100000000002</v>
      </c>
      <c r="BN210" s="489">
        <f>H210-BM210</f>
        <v>245.62099999999992</v>
      </c>
      <c r="BO210" s="444">
        <v>395.024</v>
      </c>
      <c r="BP210" s="489">
        <f>I210-BO210</f>
        <v>338.37099999999998</v>
      </c>
      <c r="BQ210" s="444">
        <v>513.01</v>
      </c>
      <c r="BR210" s="489">
        <f>J210-BQ210</f>
        <v>485.46799999999996</v>
      </c>
      <c r="BS210" s="444">
        <v>775.23199999999997</v>
      </c>
      <c r="BT210" s="489">
        <f>K210-BS210</f>
        <v>653.64100000000008</v>
      </c>
      <c r="BU210" s="444">
        <v>992.08299999999997</v>
      </c>
      <c r="BV210" s="489">
        <f>L210-BU210</f>
        <v>831.59199999999998</v>
      </c>
      <c r="BW210" s="444">
        <v>1225.9680000000001</v>
      </c>
      <c r="BX210" s="489">
        <f>M210-BW210</f>
        <v>911.17399999999975</v>
      </c>
      <c r="BY210" s="444">
        <v>1320.1690000000001</v>
      </c>
      <c r="BZ210" s="489">
        <f>BZ90-BZ229</f>
        <v>987.05500000000006</v>
      </c>
      <c r="CA210" s="360">
        <f>CA90-CA229</f>
        <v>1397.7629999999999</v>
      </c>
      <c r="CB210" s="360">
        <f>O210-CA210</f>
        <v>1070.1990000000001</v>
      </c>
      <c r="CC210" s="360">
        <f>CC90-CC229</f>
        <v>1425.348</v>
      </c>
      <c r="CD210" s="360">
        <f>CD90-CD229</f>
        <v>1170.846</v>
      </c>
      <c r="CE210" s="360">
        <f>CE90-CE229</f>
        <v>1520.3019999999999</v>
      </c>
      <c r="CF210" s="360">
        <f>CF90-CF229</f>
        <v>1207.492</v>
      </c>
      <c r="CG210" s="356">
        <f>CG90-CG229</f>
        <v>1537.8969999999999</v>
      </c>
      <c r="CH210" s="356">
        <f>R210-CG210</f>
        <v>1315.9859999999999</v>
      </c>
      <c r="CI210" s="356">
        <f t="shared" ref="CI210:CN210" si="1150">CI90-CI229</f>
        <v>1657.2449999999999</v>
      </c>
      <c r="CJ210" s="356">
        <f t="shared" si="1150"/>
        <v>1431.8140000000003</v>
      </c>
      <c r="CK210" s="356">
        <f t="shared" si="1150"/>
        <v>1833.6999999999998</v>
      </c>
      <c r="CL210" s="356">
        <f t="shared" si="1150"/>
        <v>1573.0616800000003</v>
      </c>
      <c r="CM210" s="356">
        <f>CM90-CM229</f>
        <v>2024.7</v>
      </c>
      <c r="CN210" s="356">
        <f t="shared" si="1150"/>
        <v>1684.0999999999997</v>
      </c>
      <c r="CO210" s="1341"/>
      <c r="CP210" s="1341"/>
    </row>
    <row r="211" spans="1:94" outlineLevel="1">
      <c r="A211" s="228"/>
      <c r="B211" s="834"/>
      <c r="C211" s="612"/>
      <c r="D211" s="612"/>
      <c r="E211" s="612"/>
      <c r="F211" s="612"/>
      <c r="G211" s="612"/>
      <c r="H211" s="612"/>
      <c r="I211" s="612"/>
      <c r="J211" s="612"/>
      <c r="K211" s="612"/>
      <c r="L211" s="612"/>
      <c r="M211" s="612"/>
      <c r="N211" s="612"/>
      <c r="O211" s="612"/>
      <c r="P211" s="612"/>
      <c r="Q211" s="612"/>
      <c r="R211" s="612"/>
      <c r="S211" s="612"/>
      <c r="T211" s="612"/>
      <c r="U211" s="612"/>
      <c r="V211" s="612"/>
      <c r="W211" s="612"/>
      <c r="X211" s="612"/>
      <c r="Y211" s="612"/>
      <c r="Z211" s="612"/>
      <c r="AA211" s="612"/>
      <c r="AB211" s="612"/>
      <c r="AC211" s="612"/>
      <c r="AD211" s="612"/>
      <c r="AE211" s="612"/>
      <c r="AF211" s="612"/>
      <c r="AG211" s="612"/>
      <c r="AH211" s="612"/>
      <c r="AI211" s="698"/>
      <c r="AJ211" s="241"/>
      <c r="AK211" s="698"/>
      <c r="AL211" s="612"/>
      <c r="AM211" s="241"/>
      <c r="AN211" s="698"/>
      <c r="AO211" s="612"/>
      <c r="AP211" s="241"/>
      <c r="AQ211" s="1746"/>
      <c r="AR211" s="612"/>
      <c r="AS211" s="241"/>
      <c r="AT211" s="612"/>
      <c r="AU211" s="612"/>
      <c r="AV211" s="241"/>
      <c r="AW211" s="612"/>
      <c r="AX211" s="612"/>
      <c r="AY211" s="241"/>
      <c r="AZ211" s="612"/>
      <c r="BA211" s="612"/>
      <c r="BB211" s="241"/>
      <c r="BC211" s="241"/>
      <c r="BD211" s="419"/>
      <c r="BE211" s="419"/>
      <c r="BF211" s="419"/>
      <c r="BG211" s="419"/>
      <c r="BH211" s="318"/>
      <c r="BI211" s="322"/>
      <c r="BJ211" s="322"/>
      <c r="BK211" s="469"/>
      <c r="BL211" s="469"/>
      <c r="BM211" s="469"/>
      <c r="BN211" s="469"/>
      <c r="BO211" s="469"/>
      <c r="BP211" s="469"/>
      <c r="BQ211" s="469"/>
      <c r="BR211" s="469"/>
      <c r="BS211" s="469"/>
      <c r="BT211" s="469"/>
      <c r="BU211" s="469"/>
      <c r="BV211" s="469"/>
      <c r="BW211" s="469"/>
      <c r="BX211" s="469"/>
      <c r="BY211" s="469"/>
      <c r="BZ211" s="469"/>
      <c r="CA211" s="469"/>
      <c r="CB211" s="469"/>
      <c r="CC211" s="469"/>
      <c r="CD211" s="469"/>
      <c r="CE211" s="469"/>
      <c r="CF211" s="469"/>
      <c r="CG211" s="469"/>
      <c r="CH211" s="469"/>
      <c r="CI211" s="469"/>
      <c r="CJ211" s="469"/>
      <c r="CK211" s="469"/>
      <c r="CL211" s="469"/>
      <c r="CM211" s="469"/>
      <c r="CN211" s="469"/>
      <c r="CO211" s="1341"/>
      <c r="CP211" s="1341"/>
    </row>
    <row r="212" spans="1:94" outlineLevel="1">
      <c r="A212" s="204"/>
      <c r="B212" s="834" t="s">
        <v>603</v>
      </c>
      <c r="C212" s="1008"/>
      <c r="D212" s="1008"/>
      <c r="E212" s="595"/>
      <c r="F212" s="595"/>
      <c r="G212" s="595"/>
      <c r="H212" s="595"/>
      <c r="I212" s="595"/>
      <c r="J212" s="595"/>
      <c r="K212" s="595"/>
      <c r="L212" s="595"/>
      <c r="M212" s="595"/>
      <c r="N212" s="595"/>
      <c r="O212" s="595"/>
      <c r="P212" s="292"/>
      <c r="Q212" s="595"/>
      <c r="R212" s="595"/>
      <c r="S212" s="595"/>
      <c r="T212" s="595"/>
      <c r="U212" s="595"/>
      <c r="V212" s="595"/>
      <c r="W212" s="595"/>
      <c r="X212" s="595"/>
      <c r="Y212" s="595"/>
      <c r="Z212" s="595"/>
      <c r="AA212" s="595"/>
      <c r="AB212" s="595"/>
      <c r="AC212" s="595"/>
      <c r="AD212" s="595"/>
      <c r="AE212" s="595"/>
      <c r="AF212" s="595"/>
      <c r="AG212" s="1126"/>
      <c r="AH212" s="1126"/>
      <c r="AI212" s="668"/>
      <c r="AJ212" s="1239"/>
      <c r="AK212" s="1239"/>
      <c r="AL212" s="1126"/>
      <c r="AM212" s="1239"/>
      <c r="AN212" s="1239"/>
      <c r="AO212" s="595"/>
      <c r="AP212" s="1239"/>
      <c r="AQ212" s="1373"/>
      <c r="AR212" s="595"/>
      <c r="AS212" s="194"/>
      <c r="AT212" s="595"/>
      <c r="AU212" s="595"/>
      <c r="AV212" s="194"/>
      <c r="AW212" s="595"/>
      <c r="AX212" s="595"/>
      <c r="AY212" s="194"/>
      <c r="AZ212" s="595"/>
      <c r="BA212" s="595"/>
      <c r="BB212" s="194"/>
      <c r="BC212" s="668"/>
      <c r="BD212" s="394"/>
      <c r="BE212" s="394"/>
      <c r="BF212" s="394"/>
      <c r="BG212" s="394"/>
      <c r="BH212" s="315"/>
      <c r="BI212" s="317"/>
      <c r="BJ212" s="317"/>
      <c r="BK212" s="394"/>
      <c r="BL212" s="394"/>
      <c r="BM212" s="394"/>
      <c r="BN212" s="394"/>
      <c r="BO212" s="394"/>
      <c r="BP212" s="394"/>
      <c r="BQ212" s="394"/>
      <c r="BR212" s="394"/>
      <c r="BS212" s="394"/>
      <c r="BT212" s="394"/>
      <c r="BU212" s="394"/>
      <c r="BV212" s="394"/>
      <c r="BW212" s="394"/>
      <c r="BX212" s="394"/>
      <c r="BY212" s="394"/>
      <c r="BZ212" s="394"/>
      <c r="CA212" s="394"/>
      <c r="CB212" s="394"/>
      <c r="CC212" s="394"/>
      <c r="CD212" s="394"/>
      <c r="CE212" s="394"/>
      <c r="CF212" s="394"/>
      <c r="CG212" s="394"/>
      <c r="CH212" s="394"/>
      <c r="CI212" s="394"/>
      <c r="CJ212" s="394"/>
      <c r="CK212" s="394"/>
      <c r="CL212" s="394"/>
      <c r="CM212" s="394"/>
      <c r="CN212" s="394"/>
      <c r="CO212" s="1341"/>
      <c r="CP212" s="1341"/>
    </row>
    <row r="213" spans="1:94" outlineLevel="1">
      <c r="A213" s="167"/>
      <c r="B213" s="833" t="str">
        <f t="shared" ref="B213:B218" si="1151">B130</f>
        <v>Hardware</v>
      </c>
      <c r="C213" s="1008"/>
      <c r="D213" s="1008"/>
      <c r="E213" s="595"/>
      <c r="F213" s="294">
        <f t="shared" ref="F213:T213" si="1152">F235*F102*F$90</f>
        <v>45.668672999999878</v>
      </c>
      <c r="G213" s="294">
        <f t="shared" si="1152"/>
        <v>62.383256600000067</v>
      </c>
      <c r="H213" s="294">
        <f t="shared" si="1152"/>
        <v>93.469357999999971</v>
      </c>
      <c r="I213" s="294">
        <f t="shared" si="1152"/>
        <v>119.99328829999999</v>
      </c>
      <c r="J213" s="294">
        <f t="shared" si="1152"/>
        <v>163.16368939999995</v>
      </c>
      <c r="K213" s="294">
        <f t="shared" si="1152"/>
        <v>238.7863679999999</v>
      </c>
      <c r="L213" s="294">
        <f t="shared" si="1152"/>
        <v>307.41147619999987</v>
      </c>
      <c r="M213" s="294">
        <f t="shared" si="1152"/>
        <v>362.82581748000007</v>
      </c>
      <c r="N213" s="294">
        <f t="shared" si="1152"/>
        <v>400.32774584000003</v>
      </c>
      <c r="O213" s="294">
        <f t="shared" si="1152"/>
        <v>411.10925807999979</v>
      </c>
      <c r="P213" s="294">
        <f t="shared" si="1152"/>
        <v>467.80776000000003</v>
      </c>
      <c r="Q213" s="294">
        <f t="shared" si="1152"/>
        <v>529.65911257499999</v>
      </c>
      <c r="R213" s="294">
        <f t="shared" si="1152"/>
        <v>585.56734045200005</v>
      </c>
      <c r="S213" s="294">
        <f t="shared" si="1152"/>
        <v>648.75334228252405</v>
      </c>
      <c r="T213" s="294">
        <f t="shared" si="1152"/>
        <v>782.34571140060893</v>
      </c>
      <c r="U213" s="294">
        <f>U235*U102*U$90</f>
        <v>862.26590046361025</v>
      </c>
      <c r="V213" s="294"/>
      <c r="W213" s="294"/>
      <c r="X213" s="294">
        <f t="shared" ref="U213:X224" si="1153">X235*X102*X$90</f>
        <v>0</v>
      </c>
      <c r="Y213" s="294"/>
      <c r="Z213" s="294"/>
      <c r="AA213" s="294"/>
      <c r="AB213" s="294"/>
      <c r="AC213" s="294"/>
      <c r="AD213" s="294"/>
      <c r="AE213" s="294"/>
      <c r="AF213" s="294"/>
      <c r="AG213" s="294"/>
      <c r="AH213" s="294"/>
      <c r="AI213" s="241"/>
      <c r="AJ213" s="1239"/>
      <c r="AK213" s="241"/>
      <c r="AL213" s="294"/>
      <c r="AM213" s="1239"/>
      <c r="AN213" s="241">
        <v>4</v>
      </c>
      <c r="AO213" s="294"/>
      <c r="AP213" s="1239"/>
      <c r="AQ213" s="1645"/>
      <c r="AR213" s="294"/>
      <c r="AS213" s="194"/>
      <c r="AT213" s="294"/>
      <c r="AU213" s="294"/>
      <c r="AV213" s="194"/>
      <c r="AW213" s="294"/>
      <c r="AX213" s="294"/>
      <c r="AY213" s="194"/>
      <c r="AZ213" s="294"/>
      <c r="BA213" s="294"/>
      <c r="BB213" s="194"/>
      <c r="BC213" s="668"/>
      <c r="BD213" s="394"/>
      <c r="BE213" s="394"/>
      <c r="BF213" s="394"/>
      <c r="BG213" s="394"/>
      <c r="BH213" s="335"/>
      <c r="BI213" s="398"/>
      <c r="BJ213" s="398"/>
      <c r="BK213" s="419"/>
      <c r="BL213" s="419"/>
      <c r="BM213" s="419"/>
      <c r="BN213" s="419"/>
      <c r="BO213" s="419"/>
      <c r="BP213" s="419"/>
      <c r="BQ213" s="419"/>
      <c r="BR213" s="419"/>
      <c r="BS213" s="419"/>
      <c r="BT213" s="419"/>
      <c r="BU213" s="419"/>
      <c r="BV213" s="419"/>
      <c r="BW213" s="419"/>
      <c r="BX213" s="419"/>
      <c r="BY213" s="419"/>
      <c r="BZ213" s="419"/>
      <c r="CA213" s="419"/>
      <c r="CB213" s="419"/>
      <c r="CC213" s="419"/>
      <c r="CD213" s="419"/>
      <c r="CE213" s="419"/>
      <c r="CF213" s="419"/>
      <c r="CG213" s="419"/>
      <c r="CH213" s="419"/>
      <c r="CI213" s="419"/>
      <c r="CJ213" s="419"/>
      <c r="CK213" s="419"/>
      <c r="CL213" s="419"/>
      <c r="CM213" s="419"/>
      <c r="CN213" s="419"/>
      <c r="CO213" s="1341"/>
      <c r="CP213" s="1341"/>
    </row>
    <row r="214" spans="1:94" outlineLevel="1">
      <c r="A214" s="165"/>
      <c r="B214" s="782" t="str">
        <f t="shared" si="1151"/>
        <v>Audio &amp; Visual Hardware incl Car Sound &amp; Cameras</v>
      </c>
      <c r="C214" s="1002"/>
      <c r="D214" s="1002"/>
      <c r="E214" s="293"/>
      <c r="F214" s="279">
        <f t="shared" ref="F214:S214" si="1154">F236*F103*F$90</f>
        <v>42.821992999999878</v>
      </c>
      <c r="G214" s="279">
        <f t="shared" si="1154"/>
        <v>58.764400600000059</v>
      </c>
      <c r="H214" s="279">
        <f t="shared" si="1154"/>
        <v>79.312920799999958</v>
      </c>
      <c r="I214" s="279">
        <f t="shared" si="1154"/>
        <v>100.13104730000001</v>
      </c>
      <c r="J214" s="279">
        <f t="shared" si="1154"/>
        <v>126.18269194999995</v>
      </c>
      <c r="K214" s="279">
        <f t="shared" si="1154"/>
        <v>163.63238759999984</v>
      </c>
      <c r="L214" s="279">
        <f t="shared" si="1154"/>
        <v>194.42271189999994</v>
      </c>
      <c r="M214" s="279">
        <f t="shared" si="1154"/>
        <v>213.61380588</v>
      </c>
      <c r="N214" s="279">
        <f t="shared" si="1154"/>
        <v>198.21076594000004</v>
      </c>
      <c r="O214" s="279">
        <f t="shared" si="1154"/>
        <v>190.75631167999975</v>
      </c>
      <c r="P214" s="279">
        <f t="shared" si="1154"/>
        <v>210.57965999999999</v>
      </c>
      <c r="Q214" s="279">
        <f t="shared" si="1154"/>
        <v>247.68418057500003</v>
      </c>
      <c r="R214" s="279">
        <f t="shared" si="1154"/>
        <v>266.45025884400007</v>
      </c>
      <c r="S214" s="279">
        <f t="shared" si="1154"/>
        <v>293.31991761446011</v>
      </c>
      <c r="T214" s="279">
        <f>T236*T103*T$90</f>
        <v>362.93932390737001</v>
      </c>
      <c r="U214" s="279">
        <f t="shared" si="1153"/>
        <v>398.38825043966546</v>
      </c>
      <c r="V214" s="279"/>
      <c r="W214" s="279"/>
      <c r="X214" s="279">
        <f t="shared" si="1153"/>
        <v>0</v>
      </c>
      <c r="Y214" s="279"/>
      <c r="Z214" s="279"/>
      <c r="AA214" s="279"/>
      <c r="AB214" s="279"/>
      <c r="AC214" s="279"/>
      <c r="AD214" s="279"/>
      <c r="AE214" s="279"/>
      <c r="AF214" s="279"/>
      <c r="AG214" s="279"/>
      <c r="AH214" s="279"/>
      <c r="AI214" s="179"/>
      <c r="AJ214" s="1239"/>
      <c r="AK214" s="179"/>
      <c r="AL214" s="279"/>
      <c r="AM214" s="1239"/>
      <c r="AN214" s="179"/>
      <c r="AO214" s="279"/>
      <c r="AP214" s="1239"/>
      <c r="AQ214" s="1371"/>
      <c r="AR214" s="279"/>
      <c r="AS214" s="194"/>
      <c r="AT214" s="279"/>
      <c r="AU214" s="279"/>
      <c r="AV214" s="194"/>
      <c r="AW214" s="279"/>
      <c r="AX214" s="279"/>
      <c r="AY214" s="194"/>
      <c r="AZ214" s="279"/>
      <c r="BA214" s="279"/>
      <c r="BB214" s="194"/>
      <c r="BC214" s="668"/>
      <c r="BD214" s="394"/>
      <c r="BE214" s="394"/>
      <c r="BF214" s="394"/>
      <c r="BG214" s="394"/>
      <c r="BH214" s="315"/>
      <c r="BI214" s="317"/>
      <c r="BJ214" s="317"/>
      <c r="BK214" s="320"/>
      <c r="BL214" s="320"/>
      <c r="BM214" s="320"/>
      <c r="BN214" s="320"/>
      <c r="BO214" s="320"/>
      <c r="BP214" s="320"/>
      <c r="BQ214" s="320"/>
      <c r="BR214" s="320"/>
      <c r="BS214" s="320"/>
      <c r="BT214" s="320"/>
      <c r="BU214" s="320"/>
      <c r="BV214" s="320"/>
      <c r="BW214" s="320"/>
      <c r="BX214" s="320"/>
      <c r="BY214" s="320"/>
      <c r="BZ214" s="320"/>
      <c r="CA214" s="320"/>
      <c r="CB214" s="320"/>
      <c r="CC214" s="320"/>
      <c r="CD214" s="320"/>
      <c r="CE214" s="320"/>
      <c r="CF214" s="320"/>
      <c r="CG214" s="320"/>
      <c r="CH214" s="320"/>
      <c r="CI214" s="320"/>
      <c r="CJ214" s="320"/>
      <c r="CK214" s="320"/>
      <c r="CL214" s="320"/>
      <c r="CM214" s="320"/>
      <c r="CN214" s="320"/>
      <c r="CO214" s="1341"/>
      <c r="CP214" s="1341"/>
    </row>
    <row r="215" spans="1:94" outlineLevel="1">
      <c r="A215" s="165"/>
      <c r="B215" s="782" t="str">
        <f t="shared" si="1151"/>
        <v>Computer Hardware</v>
      </c>
      <c r="C215" s="1002"/>
      <c r="D215" s="1002"/>
      <c r="E215" s="293"/>
      <c r="F215" s="279">
        <f t="shared" ref="F215:T215" si="1155">F237*F104*F$90</f>
        <v>0</v>
      </c>
      <c r="G215" s="279">
        <f t="shared" si="1155"/>
        <v>0</v>
      </c>
      <c r="H215" s="279">
        <f t="shared" si="1155"/>
        <v>0</v>
      </c>
      <c r="I215" s="279">
        <f t="shared" si="1155"/>
        <v>1.3241494000000003</v>
      </c>
      <c r="J215" s="279">
        <f t="shared" si="1155"/>
        <v>8.9728590000000015</v>
      </c>
      <c r="K215" s="279">
        <f t="shared" si="1155"/>
        <v>25.599896000000005</v>
      </c>
      <c r="L215" s="279">
        <f t="shared" si="1155"/>
        <v>34.792626700000007</v>
      </c>
      <c r="M215" s="279">
        <f t="shared" si="1155"/>
        <v>46.514379600000005</v>
      </c>
      <c r="N215" s="279">
        <f t="shared" si="1155"/>
        <v>75.460951500000007</v>
      </c>
      <c r="O215" s="279">
        <f t="shared" si="1155"/>
        <v>80.227864800000006</v>
      </c>
      <c r="P215" s="279">
        <f t="shared" si="1155"/>
        <v>91.80810000000001</v>
      </c>
      <c r="Q215" s="279">
        <f t="shared" si="1155"/>
        <v>84.463452000000018</v>
      </c>
      <c r="R215" s="279">
        <f t="shared" si="1155"/>
        <v>84.660533388000019</v>
      </c>
      <c r="S215" s="279">
        <f t="shared" si="1155"/>
        <v>86.075183591064004</v>
      </c>
      <c r="T215" s="279">
        <f t="shared" si="1155"/>
        <v>86.075183591064018</v>
      </c>
      <c r="U215" s="279">
        <f t="shared" si="1153"/>
        <v>98.98646112972358</v>
      </c>
      <c r="V215" s="279"/>
      <c r="W215" s="279"/>
      <c r="X215" s="279">
        <f t="shared" si="1153"/>
        <v>0</v>
      </c>
      <c r="Y215" s="279"/>
      <c r="Z215" s="279"/>
      <c r="AA215" s="279"/>
      <c r="AB215" s="279"/>
      <c r="AC215" s="279"/>
      <c r="AD215" s="279"/>
      <c r="AE215" s="279"/>
      <c r="AF215" s="279"/>
      <c r="AG215" s="279"/>
      <c r="AH215" s="279"/>
      <c r="AI215" s="179"/>
      <c r="AJ215" s="1239"/>
      <c r="AK215" s="179"/>
      <c r="AL215" s="279"/>
      <c r="AM215" s="1239"/>
      <c r="AN215" s="179"/>
      <c r="AO215" s="279"/>
      <c r="AP215" s="1239"/>
      <c r="AQ215" s="1371"/>
      <c r="AR215" s="279"/>
      <c r="AS215" s="194"/>
      <c r="AT215" s="279"/>
      <c r="AU215" s="279"/>
      <c r="AV215" s="194"/>
      <c r="AW215" s="279"/>
      <c r="AX215" s="279"/>
      <c r="AY215" s="194"/>
      <c r="AZ215" s="279"/>
      <c r="BA215" s="279"/>
      <c r="BB215" s="194"/>
      <c r="BC215" s="668"/>
      <c r="BD215" s="394"/>
      <c r="BE215" s="394"/>
      <c r="BF215" s="394"/>
      <c r="BG215" s="394"/>
      <c r="BH215" s="315"/>
      <c r="BI215" s="317"/>
      <c r="BJ215" s="317"/>
      <c r="BK215" s="320"/>
      <c r="BL215" s="320"/>
      <c r="BM215" s="320"/>
      <c r="BN215" s="320"/>
      <c r="BO215" s="320"/>
      <c r="BP215" s="320"/>
      <c r="BQ215" s="320"/>
      <c r="BR215" s="320"/>
      <c r="BS215" s="320"/>
      <c r="BT215" s="320"/>
      <c r="BU215" s="320"/>
      <c r="BV215" s="320"/>
      <c r="BW215" s="320"/>
      <c r="BX215" s="320"/>
      <c r="BY215" s="320"/>
      <c r="BZ215" s="320"/>
      <c r="CA215" s="320"/>
      <c r="CB215" s="320"/>
      <c r="CC215" s="320"/>
      <c r="CD215" s="320"/>
      <c r="CE215" s="320"/>
      <c r="CF215" s="320"/>
      <c r="CG215" s="320"/>
      <c r="CH215" s="320"/>
      <c r="CI215" s="320"/>
      <c r="CJ215" s="320"/>
      <c r="CK215" s="320"/>
      <c r="CL215" s="320"/>
      <c r="CM215" s="320"/>
      <c r="CN215" s="320"/>
      <c r="CO215" s="1341"/>
      <c r="CP215" s="1341"/>
    </row>
    <row r="216" spans="1:94" outlineLevel="1">
      <c r="A216" s="165"/>
      <c r="B216" s="782" t="str">
        <f t="shared" si="1151"/>
        <v>Domestic Appliances</v>
      </c>
      <c r="C216" s="1002"/>
      <c r="D216" s="1002"/>
      <c r="E216" s="293"/>
      <c r="F216" s="279">
        <f t="shared" ref="F216:T216" si="1156">F238*F105*F$90</f>
        <v>0</v>
      </c>
      <c r="G216" s="279">
        <f t="shared" si="1156"/>
        <v>0</v>
      </c>
      <c r="H216" s="279">
        <f t="shared" si="1156"/>
        <v>8.3273159999999997</v>
      </c>
      <c r="I216" s="279">
        <f t="shared" si="1156"/>
        <v>9.4582100000000029</v>
      </c>
      <c r="J216" s="279">
        <f t="shared" si="1156"/>
        <v>12.818370000000002</v>
      </c>
      <c r="K216" s="279">
        <f t="shared" si="1156"/>
        <v>18.285640000000004</v>
      </c>
      <c r="L216" s="279">
        <f t="shared" si="1156"/>
        <v>23.272660000000005</v>
      </c>
      <c r="M216" s="279">
        <f t="shared" si="1156"/>
        <v>27.313200000000005</v>
      </c>
      <c r="N216" s="279">
        <f t="shared" si="1156"/>
        <v>29.592530000000007</v>
      </c>
      <c r="O216" s="279">
        <f t="shared" si="1156"/>
        <v>25.022335999999999</v>
      </c>
      <c r="P216" s="279">
        <f t="shared" si="1156"/>
        <v>43.670880000000004</v>
      </c>
      <c r="Q216" s="279">
        <f t="shared" si="1156"/>
        <v>51.690441600000007</v>
      </c>
      <c r="R216" s="279">
        <f t="shared" si="1156"/>
        <v>68.126572800000005</v>
      </c>
      <c r="S216" s="279">
        <f t="shared" si="1156"/>
        <v>85.467882239999994</v>
      </c>
      <c r="T216" s="279">
        <f t="shared" si="1156"/>
        <v>106.83485279999998</v>
      </c>
      <c r="U216" s="279">
        <f t="shared" si="1153"/>
        <v>112.17659543999999</v>
      </c>
      <c r="V216" s="279"/>
      <c r="W216" s="279"/>
      <c r="X216" s="279">
        <f t="shared" si="1153"/>
        <v>0</v>
      </c>
      <c r="Y216" s="279"/>
      <c r="Z216" s="279"/>
      <c r="AA216" s="279"/>
      <c r="AB216" s="279"/>
      <c r="AC216" s="279"/>
      <c r="AD216" s="279"/>
      <c r="AE216" s="279"/>
      <c r="AF216" s="279"/>
      <c r="AG216" s="279"/>
      <c r="AH216" s="279"/>
      <c r="AI216" s="179"/>
      <c r="AJ216" s="1239"/>
      <c r="AK216" s="179"/>
      <c r="AL216" s="279"/>
      <c r="AM216" s="1239"/>
      <c r="AN216" s="179"/>
      <c r="AO216" s="279"/>
      <c r="AP216" s="1239"/>
      <c r="AQ216" s="1371"/>
      <c r="AR216" s="279"/>
      <c r="AS216" s="194"/>
      <c r="AT216" s="279"/>
      <c r="AU216" s="279"/>
      <c r="AV216" s="194"/>
      <c r="AW216" s="279"/>
      <c r="AX216" s="279"/>
      <c r="AY216" s="194"/>
      <c r="AZ216" s="279"/>
      <c r="BA216" s="279"/>
      <c r="BB216" s="194"/>
      <c r="BC216" s="668"/>
      <c r="BD216" s="394"/>
      <c r="BE216" s="394"/>
      <c r="BF216" s="394"/>
      <c r="BG216" s="394"/>
      <c r="BH216" s="315"/>
      <c r="BI216" s="317"/>
      <c r="BJ216" s="317"/>
      <c r="BK216" s="320"/>
      <c r="BL216" s="320"/>
      <c r="BM216" s="320"/>
      <c r="BN216" s="320"/>
      <c r="BO216" s="320"/>
      <c r="BP216" s="320"/>
      <c r="BQ216" s="320"/>
      <c r="BR216" s="320"/>
      <c r="BS216" s="320"/>
      <c r="BT216" s="320"/>
      <c r="BU216" s="320"/>
      <c r="BV216" s="320"/>
      <c r="BW216" s="320"/>
      <c r="BX216" s="320"/>
      <c r="BY216" s="320"/>
      <c r="BZ216" s="320"/>
      <c r="CA216" s="320"/>
      <c r="CB216" s="320"/>
      <c r="CC216" s="320"/>
      <c r="CD216" s="320"/>
      <c r="CE216" s="320"/>
      <c r="CF216" s="320"/>
      <c r="CG216" s="320"/>
      <c r="CH216" s="320"/>
      <c r="CI216" s="320"/>
      <c r="CJ216" s="320"/>
      <c r="CK216" s="320"/>
      <c r="CL216" s="320"/>
      <c r="CM216" s="320"/>
      <c r="CN216" s="320"/>
    </row>
    <row r="217" spans="1:94" outlineLevel="1">
      <c r="A217" s="165"/>
      <c r="B217" s="782" t="str">
        <f t="shared" si="1151"/>
        <v>Games Hardware</v>
      </c>
      <c r="C217" s="1002"/>
      <c r="D217" s="1002"/>
      <c r="E217" s="293"/>
      <c r="F217" s="279">
        <f t="shared" ref="F217:T217" si="1157">F239*F106*F$90</f>
        <v>0</v>
      </c>
      <c r="G217" s="279">
        <f t="shared" si="1157"/>
        <v>0</v>
      </c>
      <c r="H217" s="279">
        <f t="shared" si="1157"/>
        <v>0.27757720000000002</v>
      </c>
      <c r="I217" s="279">
        <f t="shared" si="1157"/>
        <v>1.5133136</v>
      </c>
      <c r="J217" s="279">
        <f t="shared" si="1157"/>
        <v>3.5891436000000003</v>
      </c>
      <c r="K217" s="279">
        <f t="shared" si="1157"/>
        <v>5.1199792000000013</v>
      </c>
      <c r="L217" s="279">
        <f t="shared" si="1157"/>
        <v>6.9817980000000004</v>
      </c>
      <c r="M217" s="279">
        <f t="shared" si="1157"/>
        <v>7.6476960000000016</v>
      </c>
      <c r="N217" s="279">
        <f t="shared" si="1157"/>
        <v>8.2859084000000021</v>
      </c>
      <c r="O217" s="279">
        <f t="shared" si="1157"/>
        <v>8.1322592</v>
      </c>
      <c r="P217" s="279">
        <f t="shared" si="1157"/>
        <v>8.601840000000001</v>
      </c>
      <c r="Q217" s="279">
        <f t="shared" si="1157"/>
        <v>12.902760000000001</v>
      </c>
      <c r="R217" s="279">
        <f t="shared" si="1157"/>
        <v>18.547717500000005</v>
      </c>
      <c r="S217" s="279">
        <f t="shared" si="1157"/>
        <v>21.329875125000001</v>
      </c>
      <c r="T217" s="279">
        <f t="shared" si="1157"/>
        <v>24.636005769374997</v>
      </c>
      <c r="U217" s="279">
        <f t="shared" si="1153"/>
        <v>28.331406634781246</v>
      </c>
      <c r="V217" s="279"/>
      <c r="W217" s="279"/>
      <c r="X217" s="279">
        <f t="shared" si="1153"/>
        <v>0</v>
      </c>
      <c r="Y217" s="279"/>
      <c r="Z217" s="279"/>
      <c r="AA217" s="279"/>
      <c r="AB217" s="279"/>
      <c r="AC217" s="279"/>
      <c r="AD217" s="279"/>
      <c r="AE217" s="279"/>
      <c r="AF217" s="279"/>
      <c r="AG217" s="279"/>
      <c r="AH217" s="279"/>
      <c r="AI217" s="179"/>
      <c r="AJ217" s="1239"/>
      <c r="AK217" s="179"/>
      <c r="AL217" s="279"/>
      <c r="AM217" s="1239"/>
      <c r="AN217" s="179"/>
      <c r="AO217" s="279"/>
      <c r="AP217" s="1239"/>
      <c r="AQ217" s="1371"/>
      <c r="AR217" s="279"/>
      <c r="AS217" s="194"/>
      <c r="AT217" s="279"/>
      <c r="AU217" s="279"/>
      <c r="AV217" s="194"/>
      <c r="AW217" s="279"/>
      <c r="AX217" s="279"/>
      <c r="AY217" s="194"/>
      <c r="AZ217" s="279"/>
      <c r="BA217" s="279"/>
      <c r="BB217" s="194"/>
      <c r="BC217" s="668"/>
      <c r="BD217" s="394"/>
      <c r="BE217" s="394"/>
      <c r="BF217" s="394"/>
      <c r="BG217" s="394"/>
      <c r="BH217" s="315"/>
      <c r="BI217" s="317"/>
      <c r="BJ217" s="317"/>
      <c r="BK217" s="320"/>
      <c r="BL217" s="320"/>
      <c r="BM217" s="320"/>
      <c r="BN217" s="320"/>
      <c r="BO217" s="320"/>
      <c r="BP217" s="320"/>
      <c r="BQ217" s="320"/>
      <c r="BR217" s="320"/>
      <c r="BS217" s="320"/>
      <c r="BT217" s="320"/>
      <c r="BU217" s="320"/>
      <c r="BV217" s="320"/>
      <c r="BW217" s="320"/>
      <c r="BX217" s="320"/>
      <c r="BY217" s="320"/>
      <c r="BZ217" s="320"/>
      <c r="CA217" s="320"/>
      <c r="CB217" s="320"/>
      <c r="CC217" s="320"/>
      <c r="CD217" s="320"/>
      <c r="CE217" s="320"/>
      <c r="CF217" s="320"/>
      <c r="CG217" s="320"/>
      <c r="CH217" s="320"/>
      <c r="CI217" s="320"/>
      <c r="CJ217" s="320"/>
      <c r="CK217" s="320"/>
      <c r="CL217" s="320"/>
      <c r="CM217" s="320"/>
      <c r="CN217" s="320"/>
    </row>
    <row r="218" spans="1:94" outlineLevel="1">
      <c r="A218" s="165"/>
      <c r="B218" s="782" t="str">
        <f t="shared" si="1151"/>
        <v>Accessories</v>
      </c>
      <c r="C218" s="1002"/>
      <c r="D218" s="1002"/>
      <c r="E218" s="293"/>
      <c r="F218" s="279">
        <f t="shared" ref="F218:T218" si="1158">F240*F107*F$90</f>
        <v>2.8466800000000001</v>
      </c>
      <c r="G218" s="279">
        <f t="shared" si="1158"/>
        <v>3.6188560000000005</v>
      </c>
      <c r="H218" s="279">
        <f t="shared" si="1158"/>
        <v>5.5515439999999998</v>
      </c>
      <c r="I218" s="279">
        <f t="shared" si="1158"/>
        <v>7.5665680000000002</v>
      </c>
      <c r="J218" s="279">
        <f t="shared" si="1158"/>
        <v>10.254696000000001</v>
      </c>
      <c r="K218" s="279">
        <f t="shared" si="1158"/>
        <v>14.628512000000001</v>
      </c>
      <c r="L218" s="279">
        <f t="shared" si="1158"/>
        <v>18.618128000000002</v>
      </c>
      <c r="M218" s="279">
        <f t="shared" si="1158"/>
        <v>21.850560000000002</v>
      </c>
      <c r="N218" s="279">
        <f t="shared" si="1158"/>
        <v>26.633277000000003</v>
      </c>
      <c r="O218" s="279">
        <f t="shared" si="1158"/>
        <v>28.150128000000002</v>
      </c>
      <c r="P218" s="279">
        <f t="shared" si="1158"/>
        <v>29.775600000000004</v>
      </c>
      <c r="Q218" s="279">
        <f t="shared" si="1158"/>
        <v>32.157648000000009</v>
      </c>
      <c r="R218" s="279">
        <f t="shared" si="1158"/>
        <v>36.945564480000016</v>
      </c>
      <c r="S218" s="279">
        <f t="shared" si="1158"/>
        <v>40.640120928000016</v>
      </c>
      <c r="T218" s="279">
        <f t="shared" si="1158"/>
        <v>46.7361390672</v>
      </c>
      <c r="U218" s="279">
        <f t="shared" si="1153"/>
        <v>53.746559927280003</v>
      </c>
      <c r="V218" s="279"/>
      <c r="W218" s="279"/>
      <c r="X218" s="279">
        <f t="shared" si="1153"/>
        <v>0</v>
      </c>
      <c r="Y218" s="279"/>
      <c r="Z218" s="279"/>
      <c r="AA218" s="279"/>
      <c r="AB218" s="279"/>
      <c r="AC218" s="279"/>
      <c r="AD218" s="279"/>
      <c r="AE218" s="279"/>
      <c r="AF218" s="279"/>
      <c r="AG218" s="279"/>
      <c r="AH218" s="279"/>
      <c r="AI218" s="179"/>
      <c r="AJ218" s="1239"/>
      <c r="AK218" s="179"/>
      <c r="AL218" s="279"/>
      <c r="AM218" s="1239"/>
      <c r="AN218" s="179"/>
      <c r="AO218" s="279"/>
      <c r="AP218" s="1239"/>
      <c r="AQ218" s="1371"/>
      <c r="AR218" s="279"/>
      <c r="AS218" s="194"/>
      <c r="AT218" s="279"/>
      <c r="AU218" s="279"/>
      <c r="AV218" s="194"/>
      <c r="AW218" s="279"/>
      <c r="AX218" s="279"/>
      <c r="AY218" s="194"/>
      <c r="AZ218" s="279"/>
      <c r="BA218" s="279"/>
      <c r="BB218" s="194"/>
      <c r="BC218" s="668"/>
      <c r="BD218" s="394"/>
      <c r="BE218" s="394"/>
      <c r="BF218" s="394"/>
      <c r="BG218" s="394"/>
      <c r="BH218" s="315"/>
      <c r="BI218" s="317"/>
      <c r="BJ218" s="317"/>
      <c r="BK218" s="320"/>
      <c r="BL218" s="320"/>
      <c r="BM218" s="320"/>
      <c r="BN218" s="320"/>
      <c r="BO218" s="320"/>
      <c r="BP218" s="320"/>
      <c r="BQ218" s="320"/>
      <c r="BR218" s="320"/>
      <c r="BS218" s="320"/>
      <c r="BT218" s="320"/>
      <c r="BU218" s="320"/>
      <c r="BV218" s="320"/>
      <c r="BW218" s="320"/>
      <c r="BX218" s="320"/>
      <c r="BY218" s="320"/>
      <c r="BZ218" s="320"/>
      <c r="CA218" s="320"/>
      <c r="CB218" s="320"/>
      <c r="CC218" s="320"/>
      <c r="CD218" s="320"/>
      <c r="CE218" s="320"/>
      <c r="CF218" s="320"/>
      <c r="CG218" s="320"/>
      <c r="CH218" s="320"/>
      <c r="CI218" s="320"/>
      <c r="CJ218" s="320"/>
      <c r="CK218" s="320"/>
      <c r="CL218" s="320"/>
      <c r="CM218" s="320"/>
      <c r="CN218" s="320"/>
    </row>
    <row r="219" spans="1:94" outlineLevel="1">
      <c r="A219" s="165"/>
      <c r="B219" s="782" t="s">
        <v>467</v>
      </c>
      <c r="C219" s="1002"/>
      <c r="D219" s="1002"/>
      <c r="E219" s="293"/>
      <c r="F219" s="279">
        <f t="shared" ref="F219:T219" si="1159">F241*F108*F$90</f>
        <v>0</v>
      </c>
      <c r="G219" s="279">
        <f t="shared" si="1159"/>
        <v>0</v>
      </c>
      <c r="H219" s="279">
        <f t="shared" si="1159"/>
        <v>0</v>
      </c>
      <c r="I219" s="279">
        <f t="shared" si="1159"/>
        <v>0</v>
      </c>
      <c r="J219" s="279">
        <f t="shared" si="1159"/>
        <v>1.34592885</v>
      </c>
      <c r="K219" s="279">
        <f t="shared" si="1159"/>
        <v>11.5199532</v>
      </c>
      <c r="L219" s="279">
        <f t="shared" si="1159"/>
        <v>29.323551599999998</v>
      </c>
      <c r="M219" s="279">
        <f t="shared" si="1159"/>
        <v>45.886175999999999</v>
      </c>
      <c r="N219" s="279">
        <f t="shared" si="1159"/>
        <v>62.144313000000004</v>
      </c>
      <c r="O219" s="279">
        <f t="shared" si="1159"/>
        <v>78.820358399999989</v>
      </c>
      <c r="P219" s="279">
        <f t="shared" si="1159"/>
        <v>83.371679999999998</v>
      </c>
      <c r="Q219" s="279">
        <f t="shared" si="1159"/>
        <v>100.76063040000001</v>
      </c>
      <c r="R219" s="279">
        <f t="shared" si="1159"/>
        <v>110.83669344</v>
      </c>
      <c r="S219" s="279">
        <f t="shared" si="1159"/>
        <v>121.92036278399999</v>
      </c>
      <c r="T219" s="279">
        <f t="shared" si="1159"/>
        <v>155.12420626560001</v>
      </c>
      <c r="U219" s="279">
        <f t="shared" si="1153"/>
        <v>170.63662689216002</v>
      </c>
      <c r="V219" s="279"/>
      <c r="W219" s="279"/>
      <c r="X219" s="279">
        <f t="shared" si="1153"/>
        <v>0</v>
      </c>
      <c r="Y219" s="279"/>
      <c r="Z219" s="279"/>
      <c r="AA219" s="279"/>
      <c r="AB219" s="279"/>
      <c r="AC219" s="279"/>
      <c r="AD219" s="279"/>
      <c r="AE219" s="279"/>
      <c r="AF219" s="279"/>
      <c r="AG219" s="279"/>
      <c r="AH219" s="279"/>
      <c r="AI219" s="179"/>
      <c r="AJ219" s="646"/>
      <c r="AK219" s="179"/>
      <c r="AL219" s="279"/>
      <c r="AM219" s="646"/>
      <c r="AN219" s="179"/>
      <c r="AO219" s="279"/>
      <c r="AP219" s="646"/>
      <c r="AQ219" s="1371"/>
      <c r="AR219" s="279"/>
      <c r="AS219" s="293"/>
      <c r="AT219" s="279"/>
      <c r="AU219" s="279"/>
      <c r="AV219" s="293"/>
      <c r="AW219" s="279"/>
      <c r="AX219" s="279"/>
      <c r="AY219" s="293"/>
      <c r="AZ219" s="279"/>
      <c r="BA219" s="279"/>
      <c r="BB219" s="293"/>
      <c r="BC219" s="566"/>
      <c r="BD219" s="321"/>
      <c r="BE219" s="321"/>
      <c r="BF219" s="321"/>
      <c r="BG219" s="321"/>
      <c r="BH219" s="315"/>
      <c r="BI219" s="317"/>
      <c r="BJ219" s="317"/>
      <c r="BK219" s="320"/>
      <c r="BL219" s="320"/>
      <c r="BM219" s="320"/>
      <c r="BN219" s="320"/>
      <c r="BO219" s="320"/>
      <c r="BP219" s="320"/>
      <c r="BQ219" s="320"/>
      <c r="BR219" s="320"/>
      <c r="BS219" s="320"/>
      <c r="BT219" s="320"/>
      <c r="BU219" s="320"/>
      <c r="BV219" s="320"/>
      <c r="BW219" s="320"/>
      <c r="BX219" s="320"/>
      <c r="BY219" s="320"/>
      <c r="BZ219" s="320"/>
      <c r="CA219" s="320"/>
      <c r="CB219" s="320"/>
      <c r="CC219" s="320"/>
      <c r="CD219" s="320"/>
      <c r="CE219" s="320"/>
      <c r="CF219" s="320"/>
      <c r="CG219" s="320"/>
      <c r="CH219" s="320"/>
      <c r="CI219" s="320"/>
      <c r="CJ219" s="320"/>
      <c r="CK219" s="320"/>
      <c r="CL219" s="320"/>
      <c r="CM219" s="320"/>
      <c r="CN219" s="320"/>
    </row>
    <row r="220" spans="1:94" outlineLevel="1">
      <c r="A220" s="167"/>
      <c r="B220" s="833" t="str">
        <f>B137</f>
        <v>Software</v>
      </c>
      <c r="C220" s="1008"/>
      <c r="D220" s="1008"/>
      <c r="E220" s="595"/>
      <c r="F220" s="294">
        <f t="shared" ref="F220:T220" si="1160">F242*F109*F$90</f>
        <v>34.298935649999997</v>
      </c>
      <c r="G220" s="294">
        <f t="shared" si="1160"/>
        <v>43.602691230000005</v>
      </c>
      <c r="H220" s="294">
        <f t="shared" si="1160"/>
        <v>65.317384874999988</v>
      </c>
      <c r="I220" s="294">
        <f t="shared" si="1160"/>
        <v>92.548584849999997</v>
      </c>
      <c r="J220" s="294">
        <f t="shared" si="1160"/>
        <v>120.165809565</v>
      </c>
      <c r="K220" s="294">
        <f t="shared" si="1160"/>
        <v>160.18220640000001</v>
      </c>
      <c r="L220" s="294">
        <f t="shared" si="1160"/>
        <v>194.7921642</v>
      </c>
      <c r="M220" s="294">
        <f t="shared" si="1160"/>
        <v>231.28817760000004</v>
      </c>
      <c r="N220" s="294">
        <f t="shared" si="1160"/>
        <v>252.12835560000002</v>
      </c>
      <c r="O220" s="294">
        <f t="shared" si="1160"/>
        <v>248.97224319999995</v>
      </c>
      <c r="P220" s="294">
        <f t="shared" si="1160"/>
        <v>244.15991999999997</v>
      </c>
      <c r="Q220" s="294">
        <f t="shared" si="1160"/>
        <v>227.52534524999999</v>
      </c>
      <c r="R220" s="294">
        <f t="shared" si="1160"/>
        <v>212.40822975999998</v>
      </c>
      <c r="S220" s="294">
        <f t="shared" si="1160"/>
        <v>198.05947969499999</v>
      </c>
      <c r="T220" s="294">
        <f t="shared" si="1160"/>
        <v>180.23412652245</v>
      </c>
      <c r="U220" s="294">
        <f t="shared" si="1153"/>
        <v>167.76239997767249</v>
      </c>
      <c r="V220" s="294"/>
      <c r="W220" s="294"/>
      <c r="X220" s="294">
        <f t="shared" si="1153"/>
        <v>0</v>
      </c>
      <c r="Y220" s="294"/>
      <c r="Z220" s="294"/>
      <c r="AA220" s="294"/>
      <c r="AB220" s="294"/>
      <c r="AC220" s="294"/>
      <c r="AD220" s="294"/>
      <c r="AE220" s="294"/>
      <c r="AF220" s="294"/>
      <c r="AG220" s="294"/>
      <c r="AH220" s="294"/>
      <c r="AI220" s="241"/>
      <c r="AJ220" s="241"/>
      <c r="AK220" s="241"/>
      <c r="AL220" s="294"/>
      <c r="AM220" s="241"/>
      <c r="AN220" s="241"/>
      <c r="AO220" s="294"/>
      <c r="AP220" s="241"/>
      <c r="AQ220" s="1645"/>
      <c r="AR220" s="294"/>
      <c r="AS220" s="294"/>
      <c r="AT220" s="294"/>
      <c r="AU220" s="294"/>
      <c r="AV220" s="294"/>
      <c r="AW220" s="294"/>
      <c r="AX220" s="294"/>
      <c r="AY220" s="294"/>
      <c r="AZ220" s="294"/>
      <c r="BA220" s="294"/>
      <c r="BB220" s="294"/>
      <c r="BC220" s="241"/>
      <c r="BD220" s="419"/>
      <c r="BE220" s="419"/>
      <c r="BF220" s="419"/>
      <c r="BG220" s="419"/>
      <c r="BH220" s="335"/>
      <c r="BI220" s="398"/>
      <c r="BJ220" s="398"/>
      <c r="BK220" s="419"/>
      <c r="BL220" s="419"/>
      <c r="BM220" s="419"/>
      <c r="BN220" s="419"/>
      <c r="BO220" s="419"/>
      <c r="BP220" s="419"/>
      <c r="BQ220" s="419"/>
      <c r="BR220" s="419"/>
      <c r="BS220" s="419"/>
      <c r="BT220" s="419"/>
      <c r="BU220" s="419"/>
      <c r="BV220" s="419"/>
      <c r="BW220" s="419"/>
      <c r="BX220" s="419"/>
      <c r="BY220" s="419"/>
      <c r="BZ220" s="419"/>
      <c r="CA220" s="419"/>
      <c r="CB220" s="419"/>
      <c r="CC220" s="419"/>
      <c r="CD220" s="419"/>
      <c r="CE220" s="419"/>
      <c r="CF220" s="419"/>
      <c r="CG220" s="419"/>
      <c r="CH220" s="419"/>
      <c r="CI220" s="419"/>
      <c r="CJ220" s="419"/>
      <c r="CK220" s="419"/>
      <c r="CL220" s="419"/>
      <c r="CM220" s="419"/>
      <c r="CN220" s="419"/>
    </row>
    <row r="221" spans="1:94" outlineLevel="1">
      <c r="A221" s="165"/>
      <c r="B221" s="782" t="str">
        <f>B138</f>
        <v>CD's and DVD's</v>
      </c>
      <c r="C221" s="1002"/>
      <c r="D221" s="1002"/>
      <c r="E221" s="293"/>
      <c r="F221" s="279">
        <f t="shared" ref="F221:T221" si="1161">F243*F110*F$90</f>
        <v>34.298935649999997</v>
      </c>
      <c r="G221" s="279">
        <f t="shared" si="1161"/>
        <v>43.602691230000005</v>
      </c>
      <c r="H221" s="279">
        <f t="shared" si="1161"/>
        <v>64.276470375000002</v>
      </c>
      <c r="I221" s="279">
        <f t="shared" si="1161"/>
        <v>80.914986549999995</v>
      </c>
      <c r="J221" s="279">
        <f t="shared" si="1161"/>
        <v>92.478130364999998</v>
      </c>
      <c r="K221" s="279">
        <f t="shared" si="1161"/>
        <v>115.199532</v>
      </c>
      <c r="L221" s="279">
        <f t="shared" si="1161"/>
        <v>122.87964480000002</v>
      </c>
      <c r="M221" s="279">
        <f t="shared" si="1161"/>
        <v>124.27506000000001</v>
      </c>
      <c r="N221" s="279">
        <f t="shared" si="1161"/>
        <v>117.1864188</v>
      </c>
      <c r="O221" s="279">
        <f t="shared" si="1161"/>
        <v>101.34046079999999</v>
      </c>
      <c r="P221" s="279">
        <f t="shared" si="1161"/>
        <v>95.28192</v>
      </c>
      <c r="Q221" s="279">
        <f t="shared" si="1161"/>
        <v>90.22977250000001</v>
      </c>
      <c r="R221" s="279">
        <f t="shared" si="1161"/>
        <v>81.077419199999994</v>
      </c>
      <c r="S221" s="279">
        <f t="shared" si="1161"/>
        <v>88.975507499999992</v>
      </c>
      <c r="T221" s="279">
        <f t="shared" si="1161"/>
        <v>80.967711824999995</v>
      </c>
      <c r="U221" s="279">
        <f t="shared" si="1153"/>
        <v>68.822555051249992</v>
      </c>
      <c r="V221" s="279"/>
      <c r="W221" s="279"/>
      <c r="X221" s="279">
        <f t="shared" si="1153"/>
        <v>0</v>
      </c>
      <c r="Y221" s="279"/>
      <c r="Z221" s="279"/>
      <c r="AA221" s="279"/>
      <c r="AB221" s="279"/>
      <c r="AC221" s="279"/>
      <c r="AD221" s="279"/>
      <c r="AE221" s="279"/>
      <c r="AF221" s="279"/>
      <c r="AG221" s="279"/>
      <c r="AH221" s="279"/>
      <c r="AI221" s="179"/>
      <c r="AJ221" s="179"/>
      <c r="AK221" s="179"/>
      <c r="AL221" s="279"/>
      <c r="AM221" s="179"/>
      <c r="AN221" s="179"/>
      <c r="AO221" s="279"/>
      <c r="AP221" s="179"/>
      <c r="AQ221" s="1371"/>
      <c r="AR221" s="279"/>
      <c r="AS221" s="279"/>
      <c r="AT221" s="279"/>
      <c r="AU221" s="279"/>
      <c r="AV221" s="279"/>
      <c r="AW221" s="279"/>
      <c r="AX221" s="279"/>
      <c r="AY221" s="279"/>
      <c r="AZ221" s="279"/>
      <c r="BA221" s="279"/>
      <c r="BB221" s="279"/>
      <c r="BC221" s="179"/>
      <c r="BD221" s="320"/>
      <c r="BE221" s="320"/>
      <c r="BF221" s="320"/>
      <c r="BG221" s="320"/>
      <c r="BH221" s="315"/>
      <c r="BI221" s="317"/>
      <c r="BJ221" s="317"/>
      <c r="BK221" s="320"/>
      <c r="BL221" s="320"/>
      <c r="BM221" s="320"/>
      <c r="BN221" s="320"/>
      <c r="BO221" s="320"/>
      <c r="BP221" s="320"/>
      <c r="BQ221" s="320"/>
      <c r="BR221" s="320"/>
      <c r="BS221" s="320"/>
      <c r="BT221" s="320"/>
      <c r="BU221" s="320"/>
      <c r="BV221" s="320"/>
      <c r="BW221" s="320"/>
      <c r="BX221" s="320"/>
      <c r="BY221" s="320"/>
      <c r="BZ221" s="320"/>
      <c r="CA221" s="320"/>
      <c r="CB221" s="320"/>
      <c r="CC221" s="320"/>
      <c r="CD221" s="320"/>
      <c r="CE221" s="320"/>
      <c r="CF221" s="320"/>
      <c r="CG221" s="320"/>
      <c r="CH221" s="320"/>
      <c r="CI221" s="320"/>
      <c r="CJ221" s="320"/>
      <c r="CK221" s="320"/>
      <c r="CL221" s="320"/>
      <c r="CM221" s="320"/>
      <c r="CN221" s="320"/>
    </row>
    <row r="222" spans="1:94" outlineLevel="1">
      <c r="A222" s="165"/>
      <c r="B222" s="782" t="str">
        <f>B139</f>
        <v>Computer Software</v>
      </c>
      <c r="C222" s="1002"/>
      <c r="D222" s="1002"/>
      <c r="E222" s="293"/>
      <c r="F222" s="279">
        <f t="shared" ref="F222:T222" si="1162">F244*F111*F$90</f>
        <v>0</v>
      </c>
      <c r="G222" s="279">
        <f t="shared" si="1162"/>
        <v>0</v>
      </c>
      <c r="H222" s="279">
        <f t="shared" si="1162"/>
        <v>0</v>
      </c>
      <c r="I222" s="279">
        <f t="shared" si="1162"/>
        <v>3.1212093000000003</v>
      </c>
      <c r="J222" s="279">
        <f t="shared" si="1162"/>
        <v>8.460124200000001</v>
      </c>
      <c r="K222" s="279">
        <f t="shared" si="1162"/>
        <v>12.068522400000003</v>
      </c>
      <c r="L222" s="279">
        <f t="shared" si="1162"/>
        <v>23.039933400000002</v>
      </c>
      <c r="M222" s="279">
        <f t="shared" si="1162"/>
        <v>32.502708000000005</v>
      </c>
      <c r="N222" s="279">
        <f t="shared" si="1162"/>
        <v>40.245840800000003</v>
      </c>
      <c r="O222" s="279">
        <f t="shared" si="1162"/>
        <v>42.537971200000001</v>
      </c>
      <c r="P222" s="279">
        <f t="shared" si="1162"/>
        <v>50.618520000000004</v>
      </c>
      <c r="Q222" s="279">
        <f t="shared" si="1162"/>
        <v>48.772849999999998</v>
      </c>
      <c r="R222" s="279">
        <f t="shared" si="1162"/>
        <v>38.347427999999994</v>
      </c>
      <c r="S222" s="279">
        <f t="shared" si="1162"/>
        <v>41.521903499999993</v>
      </c>
      <c r="T222" s="279">
        <f t="shared" si="1162"/>
        <v>37.784932184999995</v>
      </c>
      <c r="U222" s="279">
        <f t="shared" si="1153"/>
        <v>34.384288288350007</v>
      </c>
      <c r="V222" s="279"/>
      <c r="W222" s="279"/>
      <c r="X222" s="279">
        <f t="shared" si="1153"/>
        <v>0</v>
      </c>
      <c r="Y222" s="279"/>
      <c r="Z222" s="279"/>
      <c r="AA222" s="279"/>
      <c r="AB222" s="279"/>
      <c r="AC222" s="279"/>
      <c r="AD222" s="279"/>
      <c r="AE222" s="279"/>
      <c r="AF222" s="279"/>
      <c r="AG222" s="279"/>
      <c r="AH222" s="279"/>
      <c r="AI222" s="179"/>
      <c r="AJ222" s="179"/>
      <c r="AK222" s="179"/>
      <c r="AL222" s="279"/>
      <c r="AM222" s="179"/>
      <c r="AN222" s="179"/>
      <c r="AO222" s="279"/>
      <c r="AP222" s="179"/>
      <c r="AQ222" s="1371"/>
      <c r="AR222" s="279"/>
      <c r="AS222" s="279"/>
      <c r="AT222" s="279"/>
      <c r="AU222" s="279"/>
      <c r="AV222" s="279"/>
      <c r="AW222" s="279"/>
      <c r="AX222" s="279"/>
      <c r="AY222" s="279"/>
      <c r="AZ222" s="279"/>
      <c r="BA222" s="279"/>
      <c r="BB222" s="279"/>
      <c r="BC222" s="179"/>
      <c r="BD222" s="320"/>
      <c r="BE222" s="320"/>
      <c r="BF222" s="320"/>
      <c r="BG222" s="320"/>
      <c r="BH222" s="315"/>
      <c r="BI222" s="317"/>
      <c r="BJ222" s="317"/>
      <c r="BK222" s="320"/>
      <c r="BL222" s="320"/>
      <c r="BM222" s="320"/>
      <c r="BN222" s="320"/>
      <c r="BO222" s="320"/>
      <c r="BP222" s="320"/>
      <c r="BQ222" s="320"/>
      <c r="BR222" s="320"/>
      <c r="BS222" s="320"/>
      <c r="BT222" s="320"/>
      <c r="BU222" s="320"/>
      <c r="BV222" s="320"/>
      <c r="BW222" s="320"/>
      <c r="BX222" s="320"/>
      <c r="BY222" s="320"/>
      <c r="BZ222" s="320"/>
      <c r="CA222" s="320"/>
      <c r="CB222" s="320"/>
      <c r="CC222" s="320"/>
      <c r="CD222" s="320"/>
      <c r="CE222" s="320"/>
      <c r="CF222" s="320"/>
      <c r="CG222" s="320"/>
      <c r="CH222" s="320"/>
      <c r="CI222" s="320"/>
      <c r="CJ222" s="320"/>
      <c r="CK222" s="320"/>
      <c r="CL222" s="320"/>
      <c r="CM222" s="320"/>
      <c r="CN222" s="320"/>
    </row>
    <row r="223" spans="1:94" outlineLevel="1">
      <c r="A223" s="165"/>
      <c r="B223" s="782" t="str">
        <f>B140</f>
        <v>Games Software</v>
      </c>
      <c r="C223" s="1002"/>
      <c r="D223" s="1002"/>
      <c r="E223" s="293"/>
      <c r="F223" s="279">
        <f t="shared" ref="F223:T223" si="1163">F245*F112*F$90</f>
        <v>0</v>
      </c>
      <c r="G223" s="279">
        <f t="shared" si="1163"/>
        <v>0</v>
      </c>
      <c r="H223" s="279">
        <f t="shared" si="1163"/>
        <v>1.0409145</v>
      </c>
      <c r="I223" s="279">
        <f t="shared" si="1163"/>
        <v>8.5123889999999989</v>
      </c>
      <c r="J223" s="279">
        <f t="shared" si="1163"/>
        <v>19.227554999999999</v>
      </c>
      <c r="K223" s="279">
        <f t="shared" si="1163"/>
        <v>32.914152000000001</v>
      </c>
      <c r="L223" s="279">
        <f t="shared" si="1163"/>
        <v>48.872586000000005</v>
      </c>
      <c r="M223" s="279">
        <f t="shared" si="1163"/>
        <v>74.510409600000003</v>
      </c>
      <c r="N223" s="279">
        <f t="shared" si="1163"/>
        <v>94.696096000000011</v>
      </c>
      <c r="O223" s="279">
        <f t="shared" si="1163"/>
        <v>105.09381119999999</v>
      </c>
      <c r="P223" s="279">
        <f t="shared" si="1163"/>
        <v>98.259480000000011</v>
      </c>
      <c r="Q223" s="279">
        <f t="shared" si="1163"/>
        <v>88.522722749999986</v>
      </c>
      <c r="R223" s="279">
        <f t="shared" si="1163"/>
        <v>92.983382560000024</v>
      </c>
      <c r="S223" s="279">
        <f t="shared" si="1163"/>
        <v>67.562068694999979</v>
      </c>
      <c r="T223" s="279">
        <f t="shared" si="1163"/>
        <v>61.481482512449986</v>
      </c>
      <c r="U223" s="279">
        <f t="shared" si="1153"/>
        <v>64.555556638072488</v>
      </c>
      <c r="V223" s="279"/>
      <c r="W223" s="279"/>
      <c r="X223" s="279">
        <f t="shared" si="1153"/>
        <v>0</v>
      </c>
      <c r="Y223" s="279"/>
      <c r="Z223" s="279"/>
      <c r="AA223" s="279"/>
      <c r="AB223" s="279"/>
      <c r="AC223" s="279"/>
      <c r="AD223" s="279"/>
      <c r="AE223" s="279"/>
      <c r="AF223" s="279"/>
      <c r="AG223" s="279"/>
      <c r="AH223" s="279"/>
      <c r="AI223" s="179"/>
      <c r="AJ223" s="179"/>
      <c r="AK223" s="179"/>
      <c r="AL223" s="279"/>
      <c r="AM223" s="179"/>
      <c r="AN223" s="179"/>
      <c r="AO223" s="279"/>
      <c r="AP223" s="179"/>
      <c r="AQ223" s="1371"/>
      <c r="AR223" s="279"/>
      <c r="AS223" s="279"/>
      <c r="AT223" s="279"/>
      <c r="AU223" s="279"/>
      <c r="AV223" s="279"/>
      <c r="AW223" s="279"/>
      <c r="AX223" s="279"/>
      <c r="AY223" s="279"/>
      <c r="AZ223" s="279"/>
      <c r="BA223" s="279"/>
      <c r="BB223" s="279"/>
      <c r="BC223" s="179"/>
      <c r="BD223" s="320"/>
      <c r="BE223" s="320"/>
      <c r="BF223" s="320"/>
      <c r="BG223" s="320"/>
      <c r="BH223" s="315"/>
      <c r="BI223" s="317"/>
      <c r="BJ223" s="317"/>
      <c r="BK223" s="320"/>
      <c r="BL223" s="320"/>
      <c r="BM223" s="320"/>
      <c r="BN223" s="320"/>
      <c r="BO223" s="320"/>
      <c r="BP223" s="320"/>
      <c r="BQ223" s="320"/>
      <c r="BR223" s="320"/>
      <c r="BS223" s="320"/>
      <c r="BT223" s="320"/>
      <c r="BU223" s="320"/>
      <c r="BV223" s="320"/>
      <c r="BW223" s="320"/>
      <c r="BX223" s="320"/>
      <c r="BY223" s="320"/>
      <c r="BZ223" s="320"/>
      <c r="CA223" s="320"/>
      <c r="CB223" s="320"/>
      <c r="CC223" s="320"/>
      <c r="CD223" s="320"/>
      <c r="CE223" s="320"/>
      <c r="CF223" s="320"/>
      <c r="CG223" s="320"/>
      <c r="CH223" s="320"/>
      <c r="CI223" s="320"/>
      <c r="CJ223" s="320"/>
      <c r="CK223" s="320"/>
      <c r="CL223" s="320"/>
      <c r="CM223" s="320"/>
      <c r="CN223" s="320"/>
    </row>
    <row r="224" spans="1:94" outlineLevel="1">
      <c r="A224" s="167"/>
      <c r="B224" s="833" t="s">
        <v>480</v>
      </c>
      <c r="C224" s="1008"/>
      <c r="D224" s="1008"/>
      <c r="E224" s="595"/>
      <c r="F224" s="294">
        <f t="shared" ref="F224:T224" si="1164">F246*F113*F$90</f>
        <v>79.967608649999875</v>
      </c>
      <c r="G224" s="294">
        <f t="shared" si="1164"/>
        <v>105.98594783000007</v>
      </c>
      <c r="H224" s="294">
        <f t="shared" si="1164"/>
        <v>158.78674287499996</v>
      </c>
      <c r="I224" s="294">
        <f t="shared" si="1164"/>
        <v>212.54187314999999</v>
      </c>
      <c r="J224" s="294">
        <f t="shared" si="1164"/>
        <v>283.32949896500003</v>
      </c>
      <c r="K224" s="294">
        <f t="shared" si="1164"/>
        <v>398.96857439999991</v>
      </c>
      <c r="L224" s="294">
        <f t="shared" si="1164"/>
        <v>502.20364039999998</v>
      </c>
      <c r="M224" s="294">
        <f t="shared" si="1164"/>
        <v>594.11399508000011</v>
      </c>
      <c r="N224" s="294">
        <f t="shared" si="1164"/>
        <v>652.45610144000011</v>
      </c>
      <c r="O224" s="294">
        <f t="shared" si="1164"/>
        <v>660.08150127999977</v>
      </c>
      <c r="P224" s="294">
        <f t="shared" si="1164"/>
        <v>711.96767999999997</v>
      </c>
      <c r="Q224" s="294">
        <f t="shared" si="1164"/>
        <v>757.18445782500009</v>
      </c>
      <c r="R224" s="294">
        <f t="shared" si="1164"/>
        <v>797.97557021200021</v>
      </c>
      <c r="S224" s="294">
        <f t="shared" si="1164"/>
        <v>846.8128219775241</v>
      </c>
      <c r="T224" s="294">
        <f t="shared" si="1164"/>
        <v>962.5798379230589</v>
      </c>
      <c r="U224" s="294">
        <f t="shared" si="1153"/>
        <v>1030.0283004412829</v>
      </c>
      <c r="V224" s="294"/>
      <c r="W224" s="294"/>
      <c r="X224" s="294">
        <f t="shared" si="1153"/>
        <v>0</v>
      </c>
      <c r="Y224" s="294"/>
      <c r="Z224" s="294"/>
      <c r="AA224" s="294"/>
      <c r="AB224" s="294"/>
      <c r="AC224" s="294"/>
      <c r="AD224" s="294"/>
      <c r="AE224" s="294"/>
      <c r="AF224" s="294"/>
      <c r="AG224" s="294"/>
      <c r="AH224" s="294"/>
      <c r="AI224" s="241"/>
      <c r="AJ224" s="1244"/>
      <c r="AK224" s="241"/>
      <c r="AL224" s="294"/>
      <c r="AM224" s="1244"/>
      <c r="AN224" s="241"/>
      <c r="AO224" s="294"/>
      <c r="AP224" s="1244"/>
      <c r="AQ224" s="1645"/>
      <c r="AR224" s="294"/>
      <c r="AS224" s="200"/>
      <c r="AT224" s="294"/>
      <c r="AU224" s="294"/>
      <c r="AV224" s="200"/>
      <c r="AW224" s="294"/>
      <c r="AX224" s="294"/>
      <c r="AY224" s="200"/>
      <c r="AZ224" s="294"/>
      <c r="BA224" s="294"/>
      <c r="BB224" s="200"/>
      <c r="BC224" s="702"/>
      <c r="BD224" s="420"/>
      <c r="BE224" s="420"/>
      <c r="BF224" s="420"/>
      <c r="BG224" s="420"/>
      <c r="BH224" s="335"/>
      <c r="BI224" s="398"/>
      <c r="BJ224" s="398"/>
      <c r="BK224" s="419"/>
      <c r="BL224" s="419"/>
      <c r="BM224" s="419"/>
      <c r="BN224" s="419"/>
      <c r="BO224" s="419"/>
      <c r="BP224" s="419"/>
      <c r="BQ224" s="419"/>
      <c r="BR224" s="419"/>
      <c r="BS224" s="419"/>
      <c r="BT224" s="419"/>
      <c r="BU224" s="419"/>
      <c r="BV224" s="419"/>
      <c r="BW224" s="419"/>
      <c r="BX224" s="419"/>
      <c r="BY224" s="419"/>
      <c r="BZ224" s="419"/>
      <c r="CA224" s="419"/>
      <c r="CB224" s="419"/>
      <c r="CC224" s="419"/>
      <c r="CD224" s="419"/>
      <c r="CE224" s="419"/>
      <c r="CF224" s="419"/>
      <c r="CG224" s="419"/>
      <c r="CH224" s="419"/>
      <c r="CI224" s="419"/>
      <c r="CJ224" s="419"/>
      <c r="CK224" s="419"/>
      <c r="CL224" s="419"/>
      <c r="CM224" s="419"/>
      <c r="CN224" s="419"/>
    </row>
    <row r="225" spans="1:92" outlineLevel="1">
      <c r="A225" s="167"/>
      <c r="B225" s="833"/>
      <c r="C225" s="1008"/>
      <c r="D225" s="1008"/>
      <c r="E225" s="595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  <c r="AC225" s="294"/>
      <c r="AD225" s="294"/>
      <c r="AE225" s="294"/>
      <c r="AF225" s="294"/>
      <c r="AG225" s="294"/>
      <c r="AH225" s="294"/>
      <c r="AI225" s="241"/>
      <c r="AJ225" s="1244"/>
      <c r="AK225" s="241"/>
      <c r="AL225" s="294"/>
      <c r="AM225" s="1244"/>
      <c r="AN225" s="241"/>
      <c r="AO225" s="294"/>
      <c r="AP225" s="1244"/>
      <c r="AQ225" s="1645"/>
      <c r="AR225" s="294"/>
      <c r="AS225" s="200"/>
      <c r="AT225" s="294"/>
      <c r="AU225" s="294"/>
      <c r="AV225" s="200"/>
      <c r="AW225" s="294"/>
      <c r="AX225" s="294"/>
      <c r="AY225" s="200"/>
      <c r="AZ225" s="294"/>
      <c r="BA225" s="294"/>
      <c r="BB225" s="200"/>
      <c r="BC225" s="702"/>
      <c r="BD225" s="420"/>
      <c r="BE225" s="420"/>
      <c r="BF225" s="420"/>
      <c r="BG225" s="420"/>
      <c r="BH225" s="335"/>
      <c r="BI225" s="398"/>
      <c r="BJ225" s="398"/>
      <c r="BK225" s="419"/>
      <c r="BL225" s="419"/>
      <c r="BM225" s="419"/>
      <c r="BN225" s="419"/>
      <c r="BO225" s="419"/>
      <c r="BP225" s="419"/>
      <c r="BQ225" s="419"/>
      <c r="BR225" s="419"/>
      <c r="BS225" s="419"/>
      <c r="BT225" s="419"/>
      <c r="BU225" s="419"/>
      <c r="BV225" s="419"/>
      <c r="BW225" s="419"/>
      <c r="BX225" s="419"/>
      <c r="BY225" s="419"/>
      <c r="BZ225" s="419"/>
      <c r="CA225" s="419"/>
      <c r="CB225" s="419"/>
      <c r="CC225" s="419"/>
      <c r="CD225" s="419"/>
      <c r="CE225" s="419"/>
      <c r="CF225" s="419"/>
      <c r="CG225" s="419"/>
      <c r="CH225" s="419"/>
      <c r="CI225" s="419"/>
      <c r="CJ225" s="419"/>
      <c r="CK225" s="419"/>
      <c r="CL225" s="419"/>
      <c r="CM225" s="419"/>
      <c r="CN225" s="419"/>
    </row>
    <row r="226" spans="1:92" outlineLevel="1">
      <c r="A226" s="187"/>
      <c r="B226" s="953" t="s">
        <v>481</v>
      </c>
      <c r="C226" s="1052"/>
      <c r="D226" s="1052"/>
      <c r="E226" s="1053"/>
      <c r="F226" s="352">
        <f t="shared" ref="F226:T226" si="1165">F246*F90</f>
        <v>79.967608649999875</v>
      </c>
      <c r="G226" s="352">
        <f t="shared" si="1165"/>
        <v>105.98594783000007</v>
      </c>
      <c r="H226" s="352">
        <f t="shared" si="1165"/>
        <v>158.78674287499996</v>
      </c>
      <c r="I226" s="352">
        <f t="shared" si="1165"/>
        <v>212.54187314999999</v>
      </c>
      <c r="J226" s="352">
        <f t="shared" si="1165"/>
        <v>283.32949896499991</v>
      </c>
      <c r="K226" s="352">
        <f t="shared" si="1165"/>
        <v>398.96857439999985</v>
      </c>
      <c r="L226" s="352">
        <f t="shared" si="1165"/>
        <v>502.20364039999998</v>
      </c>
      <c r="M226" s="352">
        <f t="shared" si="1165"/>
        <v>594.11399508000011</v>
      </c>
      <c r="N226" s="352">
        <f t="shared" si="1165"/>
        <v>652.45610144000011</v>
      </c>
      <c r="O226" s="352">
        <f t="shared" si="1165"/>
        <v>660.08150127999977</v>
      </c>
      <c r="P226" s="352">
        <f t="shared" si="1165"/>
        <v>711.96767999999997</v>
      </c>
      <c r="Q226" s="352">
        <f t="shared" si="1165"/>
        <v>757.18445782500009</v>
      </c>
      <c r="R226" s="352">
        <f t="shared" si="1165"/>
        <v>797.97557021200021</v>
      </c>
      <c r="S226" s="352">
        <f t="shared" si="1165"/>
        <v>846.8128219775241</v>
      </c>
      <c r="T226" s="352">
        <f t="shared" si="1165"/>
        <v>962.5798379230589</v>
      </c>
      <c r="U226" s="352">
        <f>U246*U90</f>
        <v>1030.0283004412829</v>
      </c>
      <c r="V226" s="280">
        <f>V90-V210</f>
        <v>594.80000000000018</v>
      </c>
      <c r="W226" s="280">
        <f>W90-W210</f>
        <v>488.69999999999914</v>
      </c>
      <c r="X226" s="352">
        <f>X246*X90</f>
        <v>0</v>
      </c>
      <c r="Y226" s="280">
        <f>Y90-Y210</f>
        <v>622.59999999999991</v>
      </c>
      <c r="Z226" s="280">
        <f>Z90-Z210</f>
        <v>581.29999999999973</v>
      </c>
      <c r="AA226" s="352"/>
      <c r="AB226" s="280">
        <f>AB90-AB210</f>
        <v>760.59999999999991</v>
      </c>
      <c r="AC226" s="280">
        <f>AC90-AC210</f>
        <v>608</v>
      </c>
      <c r="AD226" s="352"/>
      <c r="AE226" s="280">
        <f>AE90-AE210</f>
        <v>739.5</v>
      </c>
      <c r="AF226" s="280">
        <f>AF90-AF210</f>
        <v>691</v>
      </c>
      <c r="AG226" s="1113">
        <f>AG90-AG210</f>
        <v>1430.5</v>
      </c>
      <c r="AH226" s="1188">
        <f>AH90-AH210</f>
        <v>843.40000000000009</v>
      </c>
      <c r="AI226" s="201">
        <f t="shared" ref="AI226:AV226" si="1166">AI90-AI210</f>
        <v>905.29999999999882</v>
      </c>
      <c r="AJ226" s="1188">
        <f>AJ90-AJ210</f>
        <v>1748.6999999999989</v>
      </c>
      <c r="AK226" s="1206">
        <f>AK90-AK210</f>
        <v>821.79999999999973</v>
      </c>
      <c r="AL226" s="1188">
        <f t="shared" si="1166"/>
        <v>697.95668999999953</v>
      </c>
      <c r="AM226" s="1579">
        <f>AM90-AM210</f>
        <v>1519.7566899999993</v>
      </c>
      <c r="AN226" s="1582">
        <f>AN90-AN210</f>
        <v>877.80000000000018</v>
      </c>
      <c r="AO226" s="280">
        <f t="shared" si="1166"/>
        <v>745.89999999999964</v>
      </c>
      <c r="AP226" s="1582">
        <f>AP90-AP210</f>
        <v>1623.6999999999998</v>
      </c>
      <c r="AQ226" s="1639">
        <f>AQ90-AQ210</f>
        <v>9.451992500000415</v>
      </c>
      <c r="AR226" s="280">
        <f t="shared" si="1166"/>
        <v>1713.2620342483842</v>
      </c>
      <c r="AS226" s="201">
        <f t="shared" si="1166"/>
        <v>1722.7140267483846</v>
      </c>
      <c r="AT226" s="280">
        <f t="shared" si="1166"/>
        <v>977.14992825171839</v>
      </c>
      <c r="AU226" s="280">
        <f t="shared" si="1166"/>
        <v>805.56059955744468</v>
      </c>
      <c r="AV226" s="201">
        <f t="shared" si="1166"/>
        <v>1782.7105278091631</v>
      </c>
      <c r="AW226" s="280">
        <f t="shared" ref="AW226:AY226" si="1167">AW90-AW210</f>
        <v>1023.4712876195154</v>
      </c>
      <c r="AX226" s="280">
        <f t="shared" si="1167"/>
        <v>839.8982634385402</v>
      </c>
      <c r="AY226" s="201">
        <f t="shared" si="1167"/>
        <v>1863.3695510580555</v>
      </c>
      <c r="AZ226" s="280">
        <f t="shared" ref="AZ226:BB226" si="1168">AZ90-AZ210</f>
        <v>1069.7294052359398</v>
      </c>
      <c r="BA226" s="280">
        <f t="shared" si="1168"/>
        <v>877.4763920555838</v>
      </c>
      <c r="BB226" s="201">
        <f t="shared" si="1168"/>
        <v>1947.2057972915236</v>
      </c>
      <c r="BC226" s="1206"/>
      <c r="BD226" s="326"/>
      <c r="BE226" s="326"/>
      <c r="BF226" s="326"/>
      <c r="BG226" s="326"/>
      <c r="BH226" s="357"/>
      <c r="BI226" s="358"/>
      <c r="BJ226" s="358"/>
      <c r="BK226" s="360">
        <f t="shared" ref="BK226:CN226" si="1169">BK90-BK210</f>
        <v>54.530999999999977</v>
      </c>
      <c r="BL226" s="360">
        <f t="shared" si="1169"/>
        <v>51.405000000000058</v>
      </c>
      <c r="BM226" s="360">
        <f t="shared" si="1169"/>
        <v>86.536000000000001</v>
      </c>
      <c r="BN226" s="360">
        <f t="shared" si="1169"/>
        <v>72.145000000000039</v>
      </c>
      <c r="BO226" s="360">
        <f t="shared" si="1169"/>
        <v>114.81200000000001</v>
      </c>
      <c r="BP226" s="360">
        <f t="shared" si="1169"/>
        <v>97.614000000000033</v>
      </c>
      <c r="BQ226" s="360">
        <f t="shared" si="1169"/>
        <v>145.88800000000003</v>
      </c>
      <c r="BR226" s="360">
        <f t="shared" si="1169"/>
        <v>137.471</v>
      </c>
      <c r="BS226" s="360">
        <f t="shared" si="1169"/>
        <v>213.31000000000006</v>
      </c>
      <c r="BT226" s="360">
        <f t="shared" si="1169"/>
        <v>186.38099999999997</v>
      </c>
      <c r="BU226" s="360">
        <f t="shared" si="1169"/>
        <v>269.48200000000008</v>
      </c>
      <c r="BV226" s="360">
        <f t="shared" si="1169"/>
        <v>234.10900000000004</v>
      </c>
      <c r="BW226" s="360">
        <f t="shared" si="1169"/>
        <v>327.80599999999981</v>
      </c>
      <c r="BX226" s="360">
        <f t="shared" si="1169"/>
        <v>266.37200000000053</v>
      </c>
      <c r="BY226" s="360">
        <f t="shared" si="1169"/>
        <v>362.46499999999992</v>
      </c>
      <c r="BZ226" s="360">
        <f t="shared" si="1169"/>
        <v>289.56400000000008</v>
      </c>
      <c r="CA226" s="360">
        <f t="shared" si="1169"/>
        <v>376.96600000000012</v>
      </c>
      <c r="CB226" s="360">
        <f t="shared" si="1169"/>
        <v>282.86399999999981</v>
      </c>
      <c r="CC226" s="360">
        <f t="shared" si="1169"/>
        <v>390.90000000000009</v>
      </c>
      <c r="CD226" s="360">
        <f t="shared" si="1169"/>
        <v>321.30600000000004</v>
      </c>
      <c r="CE226" s="360">
        <f t="shared" si="1169"/>
        <v>419.56500000000005</v>
      </c>
      <c r="CF226" s="360">
        <f t="shared" si="1169"/>
        <v>336.41600000000017</v>
      </c>
      <c r="CG226" s="360">
        <f t="shared" si="1169"/>
        <v>427.25099999999998</v>
      </c>
      <c r="CH226" s="360">
        <f t="shared" si="1169"/>
        <v>371.00200000000018</v>
      </c>
      <c r="CI226" s="360">
        <f t="shared" si="1169"/>
        <v>459.57200000000012</v>
      </c>
      <c r="CJ226" s="360">
        <f t="shared" si="1169"/>
        <v>405.83599999999979</v>
      </c>
      <c r="CK226" s="360">
        <f t="shared" si="1169"/>
        <v>519.40000000000009</v>
      </c>
      <c r="CL226" s="360">
        <f t="shared" si="1169"/>
        <v>443.4383200000002</v>
      </c>
      <c r="CM226" s="360">
        <f t="shared" si="1169"/>
        <v>565.29999999999995</v>
      </c>
      <c r="CN226" s="360">
        <f t="shared" si="1169"/>
        <v>478.90000000000032</v>
      </c>
    </row>
    <row r="227" spans="1:92" outlineLevel="1">
      <c r="A227" s="165"/>
      <c r="B227" s="833"/>
      <c r="C227" s="1008"/>
      <c r="D227" s="1008"/>
      <c r="E227" s="595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  <c r="AA227" s="279"/>
      <c r="AB227" s="279"/>
      <c r="AC227" s="279"/>
      <c r="AD227" s="279"/>
      <c r="AE227" s="279"/>
      <c r="AF227" s="279"/>
      <c r="AG227" s="279"/>
      <c r="AH227" s="279"/>
      <c r="AI227" s="179"/>
      <c r="AJ227" s="279"/>
      <c r="AK227" s="179"/>
      <c r="AL227" s="279"/>
      <c r="AM227" s="279"/>
      <c r="AN227" s="179"/>
      <c r="AO227" s="279"/>
      <c r="AP227" s="179"/>
      <c r="AQ227" s="1371"/>
      <c r="AR227" s="279"/>
      <c r="AS227" s="179"/>
      <c r="AT227" s="279"/>
      <c r="AU227" s="279"/>
      <c r="AV227" s="179"/>
      <c r="AW227" s="279"/>
      <c r="AX227" s="279"/>
      <c r="AY227" s="179"/>
      <c r="AZ227" s="279"/>
      <c r="BA227" s="279"/>
      <c r="BB227" s="179"/>
      <c r="BC227" s="179"/>
      <c r="BD227" s="320"/>
      <c r="BE227" s="320"/>
      <c r="BF227" s="320"/>
      <c r="BG227" s="320"/>
      <c r="BH227" s="315"/>
      <c r="BI227" s="317"/>
      <c r="BJ227" s="317"/>
      <c r="BK227" s="320"/>
      <c r="BL227" s="320"/>
      <c r="BM227" s="320"/>
      <c r="BN227" s="320"/>
      <c r="BO227" s="320"/>
      <c r="BP227" s="320"/>
      <c r="BQ227" s="320"/>
      <c r="BR227" s="320"/>
      <c r="BS227" s="320"/>
      <c r="BT227" s="320"/>
      <c r="BU227" s="320"/>
      <c r="BV227" s="320"/>
      <c r="BW227" s="320"/>
      <c r="BX227" s="320"/>
      <c r="BY227" s="320"/>
      <c r="BZ227" s="320"/>
      <c r="CA227" s="320"/>
      <c r="CB227" s="320"/>
      <c r="CC227" s="320"/>
      <c r="CD227" s="320"/>
      <c r="CE227" s="320"/>
      <c r="CF227" s="320"/>
      <c r="CG227" s="320"/>
      <c r="CH227" s="320"/>
      <c r="CI227" s="320"/>
      <c r="CJ227" s="320"/>
      <c r="CK227" s="320"/>
      <c r="CL227" s="320"/>
      <c r="CM227" s="320"/>
      <c r="CN227" s="320"/>
    </row>
    <row r="228" spans="1:92" outlineLevel="1">
      <c r="A228" s="171"/>
      <c r="B228" s="783"/>
      <c r="C228" s="279"/>
      <c r="D228" s="279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  <c r="AA228" s="279"/>
      <c r="AB228" s="279"/>
      <c r="AC228" s="279"/>
      <c r="AD228" s="279"/>
      <c r="AE228" s="279"/>
      <c r="AF228" s="279"/>
      <c r="AG228" s="279"/>
      <c r="AH228" s="279"/>
      <c r="AI228" s="179"/>
      <c r="AJ228" s="279"/>
      <c r="AK228" s="179"/>
      <c r="AL228" s="279"/>
      <c r="AM228" s="279"/>
      <c r="AN228" s="179"/>
      <c r="AO228" s="279"/>
      <c r="AP228" s="179"/>
      <c r="AQ228" s="1371"/>
      <c r="AR228" s="279"/>
      <c r="AS228" s="179"/>
      <c r="AT228" s="279"/>
      <c r="AU228" s="279"/>
      <c r="AV228" s="179"/>
      <c r="AW228" s="279"/>
      <c r="AX228" s="279"/>
      <c r="AY228" s="179"/>
      <c r="AZ228" s="279"/>
      <c r="BA228" s="279"/>
      <c r="BB228" s="179"/>
      <c r="BC228" s="179"/>
      <c r="BD228" s="320"/>
      <c r="BE228" s="320"/>
      <c r="BF228" s="320"/>
      <c r="BG228" s="320"/>
      <c r="BH228" s="318"/>
      <c r="BI228" s="322"/>
      <c r="BJ228" s="322"/>
      <c r="BK228" s="320"/>
      <c r="BL228" s="320"/>
      <c r="BM228" s="320"/>
      <c r="BN228" s="320"/>
      <c r="BO228" s="320"/>
      <c r="BP228" s="320"/>
      <c r="BQ228" s="320"/>
      <c r="BR228" s="320"/>
      <c r="BS228" s="320"/>
      <c r="BT228" s="320"/>
      <c r="BU228" s="320"/>
      <c r="BV228" s="320"/>
      <c r="BW228" s="320"/>
      <c r="BX228" s="320"/>
      <c r="BY228" s="320"/>
      <c r="BZ228" s="320"/>
      <c r="CA228" s="320"/>
      <c r="CB228" s="320"/>
      <c r="CC228" s="320"/>
      <c r="CD228" s="320"/>
      <c r="CE228" s="320"/>
      <c r="CF228" s="320"/>
      <c r="CG228" s="320"/>
      <c r="CH228" s="320"/>
      <c r="CI228" s="320"/>
      <c r="CJ228" s="320"/>
      <c r="CK228" s="320"/>
      <c r="CL228" s="320"/>
      <c r="CM228" s="320"/>
      <c r="CN228" s="320"/>
    </row>
    <row r="229" spans="1:92" outlineLevel="1">
      <c r="A229" s="188"/>
      <c r="B229" s="961" t="s">
        <v>483</v>
      </c>
      <c r="C229" s="280"/>
      <c r="D229" s="280">
        <f t="shared" ref="D229:T229" si="1170">D90-D210</f>
        <v>34.005999999999986</v>
      </c>
      <c r="E229" s="280">
        <f t="shared" si="1170"/>
        <v>59.332999999999998</v>
      </c>
      <c r="F229" s="280">
        <f t="shared" si="1170"/>
        <v>79.933999999999969</v>
      </c>
      <c r="G229" s="280">
        <f t="shared" si="1170"/>
        <v>105.93600000000004</v>
      </c>
      <c r="H229" s="280">
        <f t="shared" si="1170"/>
        <v>158.68100000000004</v>
      </c>
      <c r="I229" s="280">
        <f t="shared" si="1170"/>
        <v>212.42600000000004</v>
      </c>
      <c r="J229" s="280">
        <f t="shared" si="1170"/>
        <v>283.35900000000004</v>
      </c>
      <c r="K229" s="280">
        <f t="shared" si="1170"/>
        <v>399.69100000000003</v>
      </c>
      <c r="L229" s="280">
        <f t="shared" si="1170"/>
        <v>503.59100000000012</v>
      </c>
      <c r="M229" s="280">
        <f t="shared" si="1170"/>
        <v>594.17800000000034</v>
      </c>
      <c r="N229" s="280">
        <f t="shared" si="1170"/>
        <v>652.029</v>
      </c>
      <c r="O229" s="280">
        <f t="shared" si="1170"/>
        <v>659.82999999999993</v>
      </c>
      <c r="P229" s="280">
        <f t="shared" si="1170"/>
        <v>712.20600000000013</v>
      </c>
      <c r="Q229" s="280">
        <f t="shared" si="1170"/>
        <v>755.98100000000022</v>
      </c>
      <c r="R229" s="280">
        <f t="shared" si="1170"/>
        <v>798.25300000000016</v>
      </c>
      <c r="S229" s="280">
        <f t="shared" si="1170"/>
        <v>865.4079999999999</v>
      </c>
      <c r="T229" s="280">
        <f t="shared" si="1170"/>
        <v>962.83832000000029</v>
      </c>
      <c r="U229" s="280">
        <f>U90-U210</f>
        <v>1044.2000000000003</v>
      </c>
      <c r="V229" s="1054">
        <f>828-233.2</f>
        <v>594.79999999999995</v>
      </c>
      <c r="W229" s="613">
        <f>X229-V229</f>
        <v>488.69999999999914</v>
      </c>
      <c r="X229" s="280">
        <f>X90-X210</f>
        <v>1083.4999999999991</v>
      </c>
      <c r="Y229" s="1054">
        <f>860.2-237.6</f>
        <v>622.6</v>
      </c>
      <c r="Z229" s="613">
        <f>AA229-Y229</f>
        <v>581.29999999999984</v>
      </c>
      <c r="AA229" s="280">
        <f t="shared" ref="AA229" si="1171">AA252+AA280</f>
        <v>1203.8999999999999</v>
      </c>
      <c r="AB229" s="1054">
        <f>1085.2-324.6</f>
        <v>760.6</v>
      </c>
      <c r="AC229" s="613">
        <f>AC252+AC280</f>
        <v>608</v>
      </c>
      <c r="AD229" s="280">
        <f>AD252+AD280</f>
        <v>1368.6</v>
      </c>
      <c r="AE229" s="1054">
        <f>1064.4-324.9</f>
        <v>739.50000000000011</v>
      </c>
      <c r="AF229" s="613">
        <f>AF252+AF280</f>
        <v>690.99999999999989</v>
      </c>
      <c r="AG229" s="1113">
        <f>AG252+AG280</f>
        <v>1430.5</v>
      </c>
      <c r="AH229" s="1204">
        <f>1201.8-358.4</f>
        <v>843.4</v>
      </c>
      <c r="AI229" s="699">
        <f>AJ229-AH229</f>
        <v>680.69999999999993</v>
      </c>
      <c r="AJ229" s="1188">
        <f>AJ252+AJ280</f>
        <v>1524.1</v>
      </c>
      <c r="AK229" s="1204">
        <f>1146.8-325</f>
        <v>821.8</v>
      </c>
      <c r="AL229" s="1366">
        <f>AM229-AK229</f>
        <v>697.40000000000009</v>
      </c>
      <c r="AM229" s="1579">
        <f>AM252+AM280</f>
        <v>1519.2</v>
      </c>
      <c r="AN229" s="1915">
        <f>1254.2-25.3-351.1</f>
        <v>877.80000000000007</v>
      </c>
      <c r="AO229" s="613">
        <f>AP229-AN229</f>
        <v>745.9</v>
      </c>
      <c r="AP229" s="1582">
        <f>AP252+AP280</f>
        <v>1623.7</v>
      </c>
      <c r="AQ229" s="1639">
        <f>AQ252+AQ280</f>
        <v>945.2</v>
      </c>
      <c r="AR229" s="613">
        <f>AS229-AQ229</f>
        <v>777.51402674838414</v>
      </c>
      <c r="AS229" s="201">
        <f>AS252+AS280</f>
        <v>1722.7140267483842</v>
      </c>
      <c r="AT229" s="201">
        <f t="shared" ref="AT229" si="1172">AT252+AT280</f>
        <v>977.14992825171839</v>
      </c>
      <c r="AU229" s="613">
        <f>AV229-AT229</f>
        <v>805.56059955744445</v>
      </c>
      <c r="AV229" s="201">
        <f>AV252+AV280</f>
        <v>1782.7105278091628</v>
      </c>
      <c r="AW229" s="201">
        <f t="shared" ref="AW229" si="1173">AW252+AW280</f>
        <v>1023.4712876195154</v>
      </c>
      <c r="AX229" s="613">
        <f>AY229-AW229</f>
        <v>839.8982634385402</v>
      </c>
      <c r="AY229" s="201">
        <f>AY252+AY280</f>
        <v>1863.3695510580555</v>
      </c>
      <c r="AZ229" s="201">
        <f t="shared" ref="AZ229" si="1174">AZ252+AZ280</f>
        <v>1069.7294052359398</v>
      </c>
      <c r="BA229" s="613">
        <f>BB229-AZ229</f>
        <v>877.47639205558357</v>
      </c>
      <c r="BB229" s="201">
        <f>BB252+BB280</f>
        <v>1947.2057972915234</v>
      </c>
      <c r="BC229" s="1206"/>
      <c r="BD229" s="360"/>
      <c r="BE229" s="360"/>
      <c r="BF229" s="360"/>
      <c r="BG229" s="360"/>
      <c r="BH229" s="361"/>
      <c r="BI229" s="362"/>
      <c r="BJ229" s="362"/>
      <c r="BK229" s="360">
        <f t="shared" ref="BK229:BV229" si="1175">BK90-BK210</f>
        <v>54.530999999999977</v>
      </c>
      <c r="BL229" s="360">
        <f t="shared" si="1175"/>
        <v>51.405000000000058</v>
      </c>
      <c r="BM229" s="360">
        <f t="shared" si="1175"/>
        <v>86.536000000000001</v>
      </c>
      <c r="BN229" s="360">
        <f t="shared" si="1175"/>
        <v>72.145000000000039</v>
      </c>
      <c r="BO229" s="360">
        <f t="shared" si="1175"/>
        <v>114.81200000000001</v>
      </c>
      <c r="BP229" s="360">
        <f t="shared" si="1175"/>
        <v>97.614000000000033</v>
      </c>
      <c r="BQ229" s="360">
        <f t="shared" si="1175"/>
        <v>145.88800000000003</v>
      </c>
      <c r="BR229" s="360">
        <f t="shared" si="1175"/>
        <v>137.471</v>
      </c>
      <c r="BS229" s="360">
        <f t="shared" si="1175"/>
        <v>213.31000000000006</v>
      </c>
      <c r="BT229" s="360">
        <f t="shared" si="1175"/>
        <v>186.38099999999997</v>
      </c>
      <c r="BU229" s="360">
        <f t="shared" si="1175"/>
        <v>269.48200000000008</v>
      </c>
      <c r="BV229" s="360">
        <f t="shared" si="1175"/>
        <v>234.10900000000004</v>
      </c>
      <c r="BW229" s="360">
        <v>327.80599999999998</v>
      </c>
      <c r="BX229" s="360">
        <f>M229-BW229</f>
        <v>266.37200000000036</v>
      </c>
      <c r="BY229" s="360">
        <v>362.46499999999997</v>
      </c>
      <c r="BZ229" s="360">
        <f>N229-BY229</f>
        <v>289.56400000000002</v>
      </c>
      <c r="CA229" s="360">
        <v>376.96600000000001</v>
      </c>
      <c r="CB229" s="360">
        <f>O229-CA229</f>
        <v>282.86399999999992</v>
      </c>
      <c r="CC229" s="360">
        <v>390.9</v>
      </c>
      <c r="CD229" s="360">
        <f>P229-CC229</f>
        <v>321.30600000000015</v>
      </c>
      <c r="CE229" s="360">
        <v>419.565</v>
      </c>
      <c r="CF229" s="360">
        <f>Q229-CE229</f>
        <v>336.41600000000022</v>
      </c>
      <c r="CG229" s="490">
        <v>427.25099999999998</v>
      </c>
      <c r="CH229" s="360">
        <f>R229-CG229</f>
        <v>371.00200000000018</v>
      </c>
      <c r="CI229" s="490">
        <v>459.572</v>
      </c>
      <c r="CJ229" s="360">
        <f>S229-CI229</f>
        <v>405.8359999999999</v>
      </c>
      <c r="CK229" s="490">
        <f>571.1-51.7</f>
        <v>519.4</v>
      </c>
      <c r="CL229" s="491">
        <f>T229-CK229</f>
        <v>443.43832000000032</v>
      </c>
      <c r="CM229" s="490">
        <f>793.9-228.6</f>
        <v>565.29999999999995</v>
      </c>
      <c r="CN229" s="491">
        <f>U229-CM229</f>
        <v>478.90000000000032</v>
      </c>
    </row>
    <row r="230" spans="1:92" outlineLevel="1">
      <c r="A230" s="169"/>
      <c r="B230" s="963" t="s">
        <v>453</v>
      </c>
      <c r="C230" s="293"/>
      <c r="D230" s="304">
        <f t="shared" ref="D230:AA230" si="1176">D229/D90</f>
        <v>0.23716732689839862</v>
      </c>
      <c r="E230" s="304">
        <f t="shared" si="1176"/>
        <v>0.23847477110312618</v>
      </c>
      <c r="F230" s="304">
        <f t="shared" si="1176"/>
        <v>0.22463782371042751</v>
      </c>
      <c r="G230" s="304">
        <f t="shared" si="1176"/>
        <v>0.23418671535977123</v>
      </c>
      <c r="H230" s="304">
        <f t="shared" si="1176"/>
        <v>0.2286657549683476</v>
      </c>
      <c r="I230" s="304">
        <f t="shared" si="1176"/>
        <v>0.22459429426921165</v>
      </c>
      <c r="J230" s="304">
        <f t="shared" si="1176"/>
        <v>0.22105696746154155</v>
      </c>
      <c r="K230" s="304">
        <f t="shared" si="1176"/>
        <v>0.21858190361398344</v>
      </c>
      <c r="L230" s="304">
        <f t="shared" si="1176"/>
        <v>0.21638738330727991</v>
      </c>
      <c r="M230" s="304">
        <f t="shared" si="1176"/>
        <v>0.21754243369506329</v>
      </c>
      <c r="N230" s="304">
        <f t="shared" si="1176"/>
        <v>0.2203356725497955</v>
      </c>
      <c r="O230" s="304">
        <f t="shared" si="1176"/>
        <v>0.21095712246850173</v>
      </c>
      <c r="P230" s="304">
        <f t="shared" si="1176"/>
        <v>0.21527203482045706</v>
      </c>
      <c r="Q230" s="304">
        <f t="shared" si="1176"/>
        <v>0.21700052385702298</v>
      </c>
      <c r="R230" s="304">
        <f t="shared" si="1176"/>
        <v>0.21857154279030139</v>
      </c>
      <c r="S230" s="304">
        <f t="shared" si="1176"/>
        <v>0.21884314624448753</v>
      </c>
      <c r="T230" s="304">
        <f t="shared" si="1176"/>
        <v>0.22034930428414506</v>
      </c>
      <c r="U230" s="304">
        <f t="shared" ref="U230:Z230" si="1177">U229/U90</f>
        <v>0.21969282558384184</v>
      </c>
      <c r="V230" s="304">
        <f t="shared" si="1177"/>
        <v>0.21924069295982307</v>
      </c>
      <c r="W230" s="304">
        <f t="shared" si="1177"/>
        <v>0.2187164339419975</v>
      </c>
      <c r="X230" s="304">
        <f t="shared" si="1177"/>
        <v>0.21900392125156631</v>
      </c>
      <c r="Y230" s="304">
        <f t="shared" si="1177"/>
        <v>0.21863258067914459</v>
      </c>
      <c r="Z230" s="304">
        <f t="shared" si="1177"/>
        <v>0.21670891738741421</v>
      </c>
      <c r="AA230" s="304">
        <f t="shared" si="1176"/>
        <v>0.21769949910489864</v>
      </c>
      <c r="AB230" s="304">
        <f>AB229/AB90</f>
        <v>0.21789325923167274</v>
      </c>
      <c r="AC230" s="304">
        <f>AC229/AC90</f>
        <v>0.22437908255526437</v>
      </c>
      <c r="AD230" s="304">
        <f t="shared" ref="AD230:AX230" si="1178">AD229/AD90</f>
        <v>0.22072769498742012</v>
      </c>
      <c r="AE230" s="304">
        <f>AE229/AE90</f>
        <v>0.21607643758765782</v>
      </c>
      <c r="AF230" s="304">
        <f>AF229/AF90</f>
        <v>0.22879279517912718</v>
      </c>
      <c r="AG230" s="618">
        <f t="shared" si="1178"/>
        <v>0.22203768664824758</v>
      </c>
      <c r="AH230" s="618">
        <f>AH229/AH90</f>
        <v>0.22584013924220109</v>
      </c>
      <c r="AI230" s="563">
        <f>AI229/AI90</f>
        <v>0.22108545259670662</v>
      </c>
      <c r="AJ230" s="618">
        <f t="shared" ref="AJ230" si="1179">AJ229/AJ90</f>
        <v>0.22369154900636981</v>
      </c>
      <c r="AK230" s="618">
        <f>AK229/AK90</f>
        <v>0.21791472210436993</v>
      </c>
      <c r="AL230" s="618">
        <f>AL229/AL90</f>
        <v>0.22195347060882858</v>
      </c>
      <c r="AM230" s="618">
        <f t="shared" ref="AM230" si="1180">AM229/AM90</f>
        <v>0.2197503363082754</v>
      </c>
      <c r="AN230" s="618">
        <f>AN229/AN90</f>
        <v>0.21624418003103987</v>
      </c>
      <c r="AO230" s="304">
        <f>AO229/AO90</f>
        <v>0.21904090682171903</v>
      </c>
      <c r="AP230" s="567">
        <f t="shared" ref="AP230" si="1181">AP229/AP90</f>
        <v>0.21752002786485544</v>
      </c>
      <c r="AQ230" s="1379">
        <f>AQ229/AQ90</f>
        <v>0.21681385479986237</v>
      </c>
      <c r="AR230" s="304">
        <f>AR229/AR90</f>
        <v>0.21876565262505929</v>
      </c>
      <c r="AS230" s="202">
        <f t="shared" si="1178"/>
        <v>0.21769043181128472</v>
      </c>
      <c r="AT230" s="304">
        <f t="shared" ref="AT230:AU230" si="1182">AT229/AT90</f>
        <v>0.21439967412194169</v>
      </c>
      <c r="AU230" s="304">
        <f t="shared" si="1182"/>
        <v>0.21614119893264891</v>
      </c>
      <c r="AV230" s="202">
        <f t="shared" si="1178"/>
        <v>0.21518313574707912</v>
      </c>
      <c r="AW230" s="304">
        <f>AW229/AW90</f>
        <v>0.21433190445171443</v>
      </c>
      <c r="AX230" s="304">
        <f t="shared" si="1178"/>
        <v>0.21633427658256255</v>
      </c>
      <c r="AY230" s="202">
        <f t="shared" ref="AY230:BA230" si="1183">AY229/AY90</f>
        <v>0.21522984926617689</v>
      </c>
      <c r="AZ230" s="304">
        <f t="shared" si="1183"/>
        <v>0.21438136038735101</v>
      </c>
      <c r="BA230" s="304">
        <f t="shared" si="1183"/>
        <v>0.216243243900057</v>
      </c>
      <c r="BB230" s="202">
        <f t="shared" ref="BB230" si="1184">BB229/BB90</f>
        <v>0.21521640353234522</v>
      </c>
      <c r="BC230" s="563"/>
      <c r="BD230" s="328"/>
      <c r="BE230" s="328"/>
      <c r="BF230" s="328"/>
      <c r="BG230" s="328"/>
      <c r="BH230" s="363"/>
      <c r="BI230" s="364"/>
      <c r="BJ230" s="364"/>
      <c r="BK230" s="328">
        <f t="shared" ref="BK230:CL230" si="1185">BK229/BK90</f>
        <v>0.23244344605049458</v>
      </c>
      <c r="BL230" s="328">
        <f t="shared" si="1185"/>
        <v>0.23606480588543269</v>
      </c>
      <c r="BM230" s="328">
        <f t="shared" si="1185"/>
        <v>0.23004064575984176</v>
      </c>
      <c r="BN230" s="328">
        <f t="shared" si="1185"/>
        <v>0.22703813497982808</v>
      </c>
      <c r="BO230" s="328">
        <f t="shared" si="1185"/>
        <v>0.22519398394777931</v>
      </c>
      <c r="BP230" s="328">
        <f t="shared" si="1185"/>
        <v>0.22389302384256346</v>
      </c>
      <c r="BQ230" s="328">
        <f t="shared" si="1185"/>
        <v>0.22141211538052935</v>
      </c>
      <c r="BR230" s="328">
        <f t="shared" si="1185"/>
        <v>0.22068131871659988</v>
      </c>
      <c r="BS230" s="328">
        <f t="shared" si="1185"/>
        <v>0.21578243514185544</v>
      </c>
      <c r="BT230" s="328">
        <f t="shared" si="1185"/>
        <v>0.22187633181035729</v>
      </c>
      <c r="BU230" s="328">
        <f t="shared" si="1185"/>
        <v>0.21360928687780659</v>
      </c>
      <c r="BV230" s="328">
        <f t="shared" si="1185"/>
        <v>0.21967606298577183</v>
      </c>
      <c r="BW230" s="328">
        <f t="shared" si="1185"/>
        <v>0.21097405414172202</v>
      </c>
      <c r="BX230" s="328">
        <f t="shared" si="1185"/>
        <v>0.22620942196737986</v>
      </c>
      <c r="BY230" s="328">
        <f t="shared" si="1185"/>
        <v>0.2154152358742305</v>
      </c>
      <c r="BZ230" s="328">
        <f t="shared" si="1185"/>
        <v>0.22682100141075762</v>
      </c>
      <c r="CA230" s="328">
        <f t="shared" si="1185"/>
        <v>0.21240764082854341</v>
      </c>
      <c r="CB230" s="328">
        <f t="shared" si="1185"/>
        <v>0.20905456730396141</v>
      </c>
      <c r="CC230" s="328">
        <f t="shared" si="1185"/>
        <v>0.21522391215296588</v>
      </c>
      <c r="CD230" s="328">
        <f t="shared" si="1185"/>
        <v>0.2153306097502132</v>
      </c>
      <c r="CE230" s="328">
        <f t="shared" si="1185"/>
        <v>0.2162854463733854</v>
      </c>
      <c r="CF230" s="328">
        <f t="shared" si="1185"/>
        <v>0.21789899398150681</v>
      </c>
      <c r="CG230" s="328">
        <f t="shared" si="1185"/>
        <v>0.2174141591371235</v>
      </c>
      <c r="CH230" s="328">
        <f t="shared" si="1185"/>
        <v>0.21991976232196089</v>
      </c>
      <c r="CI230" s="328">
        <f t="shared" si="1185"/>
        <v>0.21710521032285737</v>
      </c>
      <c r="CJ230" s="328">
        <f t="shared" si="1185"/>
        <v>0.22084510108018388</v>
      </c>
      <c r="CK230" s="328">
        <f t="shared" si="1185"/>
        <v>0.22073010071820151</v>
      </c>
      <c r="CL230" s="328">
        <f t="shared" si="1185"/>
        <v>0.21990494421026541</v>
      </c>
      <c r="CM230" s="328">
        <f t="shared" ref="CM230:CN230" si="1186">CM229/CM90</f>
        <v>0.21826254826254823</v>
      </c>
      <c r="CN230" s="328">
        <f t="shared" si="1186"/>
        <v>0.22140545538603806</v>
      </c>
    </row>
    <row r="231" spans="1:92" outlineLevel="1">
      <c r="A231" s="168"/>
      <c r="B231" s="963" t="s">
        <v>485</v>
      </c>
      <c r="C231" s="293"/>
      <c r="D231" s="304"/>
      <c r="E231" s="614">
        <f t="shared" ref="E231:U231" si="1187">(E230-D230)*10000</f>
        <v>13.074442047275593</v>
      </c>
      <c r="F231" s="614">
        <f t="shared" si="1187"/>
        <v>-138.36947392698667</v>
      </c>
      <c r="G231" s="614">
        <f t="shared" si="1187"/>
        <v>95.488916493437216</v>
      </c>
      <c r="H231" s="614">
        <f t="shared" si="1187"/>
        <v>-55.209603914236347</v>
      </c>
      <c r="I231" s="614">
        <f t="shared" si="1187"/>
        <v>-40.714606991359425</v>
      </c>
      <c r="J231" s="614">
        <f t="shared" si="1187"/>
        <v>-35.373268076701045</v>
      </c>
      <c r="K231" s="614">
        <f t="shared" si="1187"/>
        <v>-24.750638475581066</v>
      </c>
      <c r="L231" s="614">
        <f t="shared" si="1187"/>
        <v>-21.94520306703529</v>
      </c>
      <c r="M231" s="614">
        <f t="shared" si="1187"/>
        <v>11.550503877833796</v>
      </c>
      <c r="N231" s="614">
        <f t="shared" si="1187"/>
        <v>27.932388547322052</v>
      </c>
      <c r="O231" s="614">
        <f t="shared" si="1187"/>
        <v>-93.785500812937627</v>
      </c>
      <c r="P231" s="614">
        <f t="shared" si="1187"/>
        <v>43.149123519553299</v>
      </c>
      <c r="Q231" s="614">
        <f t="shared" si="1187"/>
        <v>17.284890365659166</v>
      </c>
      <c r="R231" s="614">
        <f t="shared" si="1187"/>
        <v>15.710189332784063</v>
      </c>
      <c r="S231" s="614">
        <f t="shared" si="1187"/>
        <v>2.7160345418614229</v>
      </c>
      <c r="T231" s="614">
        <f t="shared" si="1187"/>
        <v>15.061580396575348</v>
      </c>
      <c r="U231" s="614">
        <f t="shared" si="1187"/>
        <v>-6.564787003032202</v>
      </c>
      <c r="V231" s="614">
        <f>(V230-CM230)*10000</f>
        <v>9.7814469727483537</v>
      </c>
      <c r="W231" s="614">
        <f>(W230-CN230)*10000</f>
        <v>-26.890214440405678</v>
      </c>
      <c r="X231" s="614">
        <f t="shared" ref="X231:AV231" si="1188">(X230-U230)*10000</f>
        <v>-6.8890433227553061</v>
      </c>
      <c r="Y231" s="614">
        <f t="shared" si="1188"/>
        <v>-6.0811228067847445</v>
      </c>
      <c r="Z231" s="614">
        <f t="shared" si="1188"/>
        <v>-20.075165545832828</v>
      </c>
      <c r="AA231" s="614">
        <f t="shared" si="1188"/>
        <v>-13.044221466676776</v>
      </c>
      <c r="AB231" s="614">
        <f t="shared" si="1188"/>
        <v>-7.3932144747185236</v>
      </c>
      <c r="AC231" s="614">
        <f t="shared" si="1188"/>
        <v>76.701651678501577</v>
      </c>
      <c r="AD231" s="614">
        <f t="shared" si="1188"/>
        <v>30.28195882521484</v>
      </c>
      <c r="AE231" s="614">
        <f t="shared" si="1188"/>
        <v>-18.168216440149209</v>
      </c>
      <c r="AF231" s="614">
        <f t="shared" si="1188"/>
        <v>44.137126238628085</v>
      </c>
      <c r="AG231" s="610">
        <f t="shared" si="1188"/>
        <v>13.099916608274587</v>
      </c>
      <c r="AH231" s="610">
        <f t="shared" si="1188"/>
        <v>97.637016545432658</v>
      </c>
      <c r="AI231" s="700">
        <f t="shared" si="1188"/>
        <v>-77.073425824205628</v>
      </c>
      <c r="AJ231" s="610">
        <f t="shared" si="1188"/>
        <v>16.538623581222321</v>
      </c>
      <c r="AK231" s="610">
        <f t="shared" si="1188"/>
        <v>-79.25417137831154</v>
      </c>
      <c r="AL231" s="610">
        <f t="shared" si="1188"/>
        <v>8.6801801212196832</v>
      </c>
      <c r="AM231" s="610">
        <f t="shared" si="1188"/>
        <v>-39.412126980944151</v>
      </c>
      <c r="AN231" s="610">
        <f t="shared" si="1188"/>
        <v>-16.705420733300613</v>
      </c>
      <c r="AO231" s="614">
        <f>(AO230-AL230)*10000</f>
        <v>-29.12563787109551</v>
      </c>
      <c r="AP231" s="695">
        <f t="shared" si="1188"/>
        <v>-22.303084434199537</v>
      </c>
      <c r="AQ231" s="1747">
        <f t="shared" si="1188"/>
        <v>5.6967476882249795</v>
      </c>
      <c r="AR231" s="614">
        <f t="shared" si="1188"/>
        <v>-2.752541966597466</v>
      </c>
      <c r="AS231" s="203">
        <f t="shared" si="1188"/>
        <v>1.7040394642928169</v>
      </c>
      <c r="AT231" s="614">
        <f t="shared" si="1188"/>
        <v>-24.141806779206799</v>
      </c>
      <c r="AU231" s="614">
        <f t="shared" si="1188"/>
        <v>-26.244536924103777</v>
      </c>
      <c r="AV231" s="203">
        <f t="shared" si="1188"/>
        <v>-25.072960642056053</v>
      </c>
      <c r="AW231" s="614">
        <f>(AW230-AT230)*10000</f>
        <v>-0.67769670227257883</v>
      </c>
      <c r="AX231" s="614">
        <f t="shared" ref="AX231" si="1189">(AX230-AU230)*10000</f>
        <v>1.9307764991363663</v>
      </c>
      <c r="AY231" s="203">
        <f t="shared" ref="AY231" si="1190">(AY230-AV230)*10000</f>
        <v>0.46713519097768552</v>
      </c>
      <c r="AZ231" s="614">
        <f t="shared" ref="AZ231" si="1191">(AZ230-AW230)*10000</f>
        <v>0.49455935636572024</v>
      </c>
      <c r="BA231" s="614">
        <f t="shared" ref="BA231" si="1192">(BA230-AX230)*10000</f>
        <v>-0.91032682505542972</v>
      </c>
      <c r="BB231" s="203">
        <f t="shared" ref="BB231" si="1193">(BB230-AY230)*10000</f>
        <v>-0.1344573383166292</v>
      </c>
      <c r="BC231" s="700"/>
      <c r="BD231" s="421"/>
      <c r="BE231" s="421"/>
      <c r="BF231" s="421"/>
      <c r="BG231" s="421"/>
      <c r="BH231" s="363"/>
      <c r="BI231" s="364"/>
      <c r="BJ231" s="364"/>
      <c r="BK231" s="421"/>
      <c r="BL231" s="421"/>
      <c r="BM231" s="421">
        <f t="shared" ref="BM231:CN231" si="1194">(BM230-BK230)*10000</f>
        <v>-24.028002906528179</v>
      </c>
      <c r="BN231" s="421">
        <f t="shared" si="1194"/>
        <v>-90.266709056046054</v>
      </c>
      <c r="BO231" s="421">
        <f t="shared" si="1194"/>
        <v>-48.466618120624474</v>
      </c>
      <c r="BP231" s="421">
        <f t="shared" si="1194"/>
        <v>-31.451111372646224</v>
      </c>
      <c r="BQ231" s="421">
        <f t="shared" si="1194"/>
        <v>-37.818685672499633</v>
      </c>
      <c r="BR231" s="421">
        <f t="shared" si="1194"/>
        <v>-32.117051259635822</v>
      </c>
      <c r="BS231" s="421">
        <f t="shared" si="1194"/>
        <v>-56.296802386739117</v>
      </c>
      <c r="BT231" s="421">
        <f t="shared" si="1194"/>
        <v>11.950130937574134</v>
      </c>
      <c r="BU231" s="421">
        <f t="shared" si="1194"/>
        <v>-21.731482640488519</v>
      </c>
      <c r="BV231" s="421">
        <f t="shared" si="1194"/>
        <v>-22.002688245854607</v>
      </c>
      <c r="BW231" s="421">
        <f t="shared" si="1194"/>
        <v>-26.352327360845695</v>
      </c>
      <c r="BX231" s="421">
        <f t="shared" si="1194"/>
        <v>65.333589816080334</v>
      </c>
      <c r="BY231" s="421">
        <f t="shared" si="1194"/>
        <v>44.411817325084868</v>
      </c>
      <c r="BZ231" s="421">
        <f t="shared" si="1194"/>
        <v>6.1157944337775216</v>
      </c>
      <c r="CA231" s="421">
        <f t="shared" si="1194"/>
        <v>-30.075950456870949</v>
      </c>
      <c r="CB231" s="421">
        <f t="shared" si="1194"/>
        <v>-177.66434106796208</v>
      </c>
      <c r="CC231" s="421">
        <f t="shared" si="1194"/>
        <v>28.162713244224701</v>
      </c>
      <c r="CD231" s="421">
        <f t="shared" si="1194"/>
        <v>62.760424462517946</v>
      </c>
      <c r="CE231" s="421">
        <f t="shared" si="1194"/>
        <v>10.615342204195189</v>
      </c>
      <c r="CF231" s="421">
        <f t="shared" si="1194"/>
        <v>25.683842312936022</v>
      </c>
      <c r="CG231" s="421">
        <f t="shared" si="1194"/>
        <v>11.287127637381044</v>
      </c>
      <c r="CH231" s="421">
        <f t="shared" si="1194"/>
        <v>20.207683404540877</v>
      </c>
      <c r="CI231" s="421">
        <f t="shared" si="1194"/>
        <v>-3.0894881426613008</v>
      </c>
      <c r="CJ231" s="421">
        <f t="shared" si="1194"/>
        <v>9.2533875822298217</v>
      </c>
      <c r="CK231" s="421">
        <f t="shared" si="1194"/>
        <v>36.248903953441378</v>
      </c>
      <c r="CL231" s="421">
        <f t="shared" si="1194"/>
        <v>-9.401568699184681</v>
      </c>
      <c r="CM231" s="421">
        <f t="shared" si="1194"/>
        <v>-24.675524556532768</v>
      </c>
      <c r="CN231" s="421">
        <f t="shared" si="1194"/>
        <v>15.005111757726564</v>
      </c>
    </row>
    <row r="232" spans="1:92" outlineLevel="1">
      <c r="A232" s="168"/>
      <c r="B232" s="963" t="s">
        <v>452</v>
      </c>
      <c r="C232" s="293"/>
      <c r="D232" s="293"/>
      <c r="E232" s="293"/>
      <c r="F232" s="263">
        <f t="shared" ref="F232:U232" si="1195">F229/E229-1</f>
        <v>0.34720981578548149</v>
      </c>
      <c r="G232" s="263">
        <f t="shared" si="1195"/>
        <v>0.32529336702779887</v>
      </c>
      <c r="H232" s="263">
        <f t="shared" si="1195"/>
        <v>0.49789495544479667</v>
      </c>
      <c r="I232" s="263">
        <f t="shared" si="1195"/>
        <v>0.33869839489289832</v>
      </c>
      <c r="J232" s="263">
        <f t="shared" si="1195"/>
        <v>0.33391863519531495</v>
      </c>
      <c r="K232" s="263">
        <f t="shared" si="1195"/>
        <v>0.41054633874343138</v>
      </c>
      <c r="L232" s="263">
        <f t="shared" si="1195"/>
        <v>0.25995081200227199</v>
      </c>
      <c r="M232" s="263">
        <f t="shared" si="1195"/>
        <v>0.17988208685222773</v>
      </c>
      <c r="N232" s="263">
        <f t="shared" si="1195"/>
        <v>9.7363079750511838E-2</v>
      </c>
      <c r="O232" s="263">
        <f t="shared" si="1195"/>
        <v>1.1964191776746125E-2</v>
      </c>
      <c r="P232" s="263">
        <f t="shared" si="1195"/>
        <v>7.9378021611627547E-2</v>
      </c>
      <c r="Q232" s="263">
        <f t="shared" si="1195"/>
        <v>6.1463958461456469E-2</v>
      </c>
      <c r="R232" s="263">
        <f t="shared" si="1195"/>
        <v>5.5916749230469964E-2</v>
      </c>
      <c r="S232" s="263">
        <f t="shared" si="1195"/>
        <v>8.4127463348085962E-2</v>
      </c>
      <c r="T232" s="263">
        <f t="shared" si="1195"/>
        <v>0.11258310530986582</v>
      </c>
      <c r="U232" s="263">
        <f t="shared" si="1195"/>
        <v>8.4501913052234867E-2</v>
      </c>
      <c r="V232" s="263">
        <f>V229/CM229-1</f>
        <v>5.2184680700513075E-2</v>
      </c>
      <c r="W232" s="263">
        <f>W229/CN229-1</f>
        <v>2.046356233033797E-2</v>
      </c>
      <c r="X232" s="263">
        <f t="shared" ref="X232:AQ232" si="1196">X229/U229-1</f>
        <v>3.7636468109556453E-2</v>
      </c>
      <c r="Y232" s="263">
        <f t="shared" si="1196"/>
        <v>4.6738399462004088E-2</v>
      </c>
      <c r="Z232" s="263">
        <f t="shared" si="1196"/>
        <v>0.18948229997953936</v>
      </c>
      <c r="AA232" s="263">
        <f t="shared" si="1196"/>
        <v>0.11112136594370181</v>
      </c>
      <c r="AB232" s="263">
        <f t="shared" si="1196"/>
        <v>0.22165114037905553</v>
      </c>
      <c r="AC232" s="263">
        <f t="shared" si="1196"/>
        <v>4.5931532771374739E-2</v>
      </c>
      <c r="AD232" s="263">
        <f t="shared" si="1196"/>
        <v>0.1368053825068527</v>
      </c>
      <c r="AE232" s="263">
        <f t="shared" si="1196"/>
        <v>-2.7741256902445333E-2</v>
      </c>
      <c r="AF232" s="263">
        <f t="shared" si="1196"/>
        <v>0.13651315789473673</v>
      </c>
      <c r="AG232" s="284">
        <f t="shared" si="1196"/>
        <v>4.5228700862194993E-2</v>
      </c>
      <c r="AH232" s="284">
        <f t="shared" si="1196"/>
        <v>0.14050033806626083</v>
      </c>
      <c r="AI232" s="564">
        <f t="shared" ref="AI232" si="1197">AI229/AF229-1</f>
        <v>-1.4905933429811835E-2</v>
      </c>
      <c r="AJ232" s="284">
        <f t="shared" si="1196"/>
        <v>6.5431667249213454E-2</v>
      </c>
      <c r="AK232" s="284">
        <f t="shared" si="1196"/>
        <v>-2.561062366611333E-2</v>
      </c>
      <c r="AL232" s="284">
        <f t="shared" ref="AL232" si="1198">AL229/AI229-1</f>
        <v>2.4533568385485705E-2</v>
      </c>
      <c r="AM232" s="284">
        <f t="shared" si="1196"/>
        <v>-3.2150121383109909E-3</v>
      </c>
      <c r="AN232" s="284">
        <f t="shared" si="1196"/>
        <v>6.8143100511073307E-2</v>
      </c>
      <c r="AO232" s="263">
        <f>AO229/AL229-1</f>
        <v>6.9544020648121485E-2</v>
      </c>
      <c r="AP232" s="137">
        <f t="shared" si="1196"/>
        <v>6.8786203264876278E-2</v>
      </c>
      <c r="AQ232" s="1376">
        <f t="shared" si="1196"/>
        <v>7.6782866256550397E-2</v>
      </c>
      <c r="AR232" s="263">
        <f t="shared" ref="AR232" si="1199">AR229/AO229-1</f>
        <v>4.2383733407137969E-2</v>
      </c>
      <c r="AS232" s="193">
        <f t="shared" ref="AS232" si="1200">AS229/AP229-1</f>
        <v>6.0980493162766658E-2</v>
      </c>
      <c r="AT232" s="263">
        <f t="shared" ref="AT232" si="1201">AT229/AQ229-1</f>
        <v>3.3802293960768504E-2</v>
      </c>
      <c r="AU232" s="263">
        <f t="shared" ref="AU232" si="1202">AU229/AR229-1</f>
        <v>3.6072111684406494E-2</v>
      </c>
      <c r="AV232" s="193">
        <f t="shared" ref="AV232" si="1203">AV229/AS229-1</f>
        <v>3.4826732777013314E-2</v>
      </c>
      <c r="AW232" s="263">
        <f>AW229/AT229-1</f>
        <v>4.7404556894020899E-2</v>
      </c>
      <c r="AX232" s="263">
        <f t="shared" ref="AX232" si="1204">AX229/AU229-1</f>
        <v>4.2625798605294252E-2</v>
      </c>
      <c r="AY232" s="193">
        <f t="shared" ref="AY232" si="1205">AY229/AV229-1</f>
        <v>4.524516010348445E-2</v>
      </c>
      <c r="AZ232" s="263">
        <f t="shared" ref="AZ232" si="1206">AZ229/AW229-1</f>
        <v>4.5197279274942659E-2</v>
      </c>
      <c r="BA232" s="263">
        <f t="shared" ref="BA232" si="1207">BA229/AX229-1</f>
        <v>4.4741286240072231E-2</v>
      </c>
      <c r="BB232" s="193">
        <f t="shared" ref="BB232" si="1208">BB229/AY229-1</f>
        <v>4.4991744222644403E-2</v>
      </c>
      <c r="BC232" s="564"/>
      <c r="BD232" s="331"/>
      <c r="BE232" s="331"/>
      <c r="BF232" s="331"/>
      <c r="BG232" s="331"/>
      <c r="BH232" s="363"/>
      <c r="BI232" s="364"/>
      <c r="BJ232" s="364"/>
      <c r="BK232" s="331"/>
      <c r="BL232" s="331"/>
      <c r="BM232" s="331">
        <f t="shared" ref="BM232:CN232" si="1209">BM229/BK229-1</f>
        <v>0.58691386550769353</v>
      </c>
      <c r="BN232" s="331">
        <f t="shared" si="1209"/>
        <v>0.40346269818111002</v>
      </c>
      <c r="BO232" s="331">
        <f t="shared" si="1209"/>
        <v>0.32675418323010086</v>
      </c>
      <c r="BP232" s="331">
        <f t="shared" si="1209"/>
        <v>0.35302515766858389</v>
      </c>
      <c r="BQ232" s="331">
        <f t="shared" si="1209"/>
        <v>0.27066857122948829</v>
      </c>
      <c r="BR232" s="331">
        <f t="shared" si="1209"/>
        <v>0.40831233224742314</v>
      </c>
      <c r="BS232" s="331">
        <f t="shared" si="1209"/>
        <v>0.46214904584338679</v>
      </c>
      <c r="BT232" s="331">
        <f t="shared" si="1209"/>
        <v>0.3557841290163013</v>
      </c>
      <c r="BU232" s="331">
        <f t="shared" si="1209"/>
        <v>0.26333505227134224</v>
      </c>
      <c r="BV232" s="331">
        <f t="shared" si="1209"/>
        <v>0.25607760447685157</v>
      </c>
      <c r="BW232" s="331">
        <f t="shared" si="1209"/>
        <v>0.21643003985423848</v>
      </c>
      <c r="BX232" s="331">
        <f t="shared" si="1209"/>
        <v>0.13781187395615002</v>
      </c>
      <c r="BY232" s="331">
        <f t="shared" si="1209"/>
        <v>0.10573021848288322</v>
      </c>
      <c r="BZ232" s="331">
        <f t="shared" si="1209"/>
        <v>8.7066208160015535E-2</v>
      </c>
      <c r="CA232" s="331">
        <f t="shared" si="1209"/>
        <v>4.0006621328956049E-2</v>
      </c>
      <c r="CB232" s="331">
        <f t="shared" si="1209"/>
        <v>-2.3138235416005126E-2</v>
      </c>
      <c r="CC232" s="331">
        <f t="shared" si="1209"/>
        <v>3.6963545783969876E-2</v>
      </c>
      <c r="CD232" s="331">
        <f t="shared" si="1209"/>
        <v>0.13590276599355255</v>
      </c>
      <c r="CE232" s="331">
        <f t="shared" si="1209"/>
        <v>7.3330775134305526E-2</v>
      </c>
      <c r="CF232" s="331">
        <f t="shared" si="1209"/>
        <v>4.7026821783595851E-2</v>
      </c>
      <c r="CG232" s="331">
        <f t="shared" si="1209"/>
        <v>1.8318973222265944E-2</v>
      </c>
      <c r="CH232" s="331">
        <f t="shared" si="1209"/>
        <v>0.10280723865690078</v>
      </c>
      <c r="CI232" s="331">
        <f t="shared" si="1209"/>
        <v>7.5648740435949824E-2</v>
      </c>
      <c r="CJ232" s="331">
        <f t="shared" si="1209"/>
        <v>9.3891677133815188E-2</v>
      </c>
      <c r="CK232" s="331">
        <f t="shared" si="1209"/>
        <v>0.13018199542182729</v>
      </c>
      <c r="CL232" s="331">
        <f t="shared" si="1209"/>
        <v>9.2653978454352082E-2</v>
      </c>
      <c r="CM232" s="331">
        <f t="shared" si="1209"/>
        <v>8.8371197535618062E-2</v>
      </c>
      <c r="CN232" s="331">
        <f t="shared" si="1209"/>
        <v>7.9969814065685485E-2</v>
      </c>
    </row>
    <row r="233" spans="1:92" outlineLevel="1">
      <c r="A233" s="165"/>
      <c r="B233" s="833"/>
      <c r="C233" s="1055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82"/>
      <c r="AB233" s="282"/>
      <c r="AC233" s="282"/>
      <c r="AD233" s="282"/>
      <c r="AE233" s="282"/>
      <c r="AF233" s="282"/>
      <c r="AG233" s="282"/>
      <c r="AH233" s="282"/>
      <c r="AI233" s="190"/>
      <c r="AJ233" s="282"/>
      <c r="AK233" s="282"/>
      <c r="AL233" s="282"/>
      <c r="AM233" s="282"/>
      <c r="AN233" s="282"/>
      <c r="AO233" s="282"/>
      <c r="AP233" s="190"/>
      <c r="AQ233" s="1375"/>
      <c r="AR233" s="282"/>
      <c r="AS233" s="190"/>
      <c r="AT233" s="282"/>
      <c r="AU233" s="282"/>
      <c r="AV233" s="190"/>
      <c r="AW233" s="282"/>
      <c r="AX233" s="282"/>
      <c r="AY233" s="190"/>
      <c r="AZ233" s="282"/>
      <c r="BA233" s="282"/>
      <c r="BB233" s="190"/>
      <c r="BC233" s="190"/>
      <c r="BD233" s="316"/>
      <c r="BE233" s="316"/>
      <c r="BF233" s="316"/>
      <c r="BG233" s="316"/>
      <c r="BH233" s="315"/>
      <c r="BI233" s="317"/>
      <c r="BJ233" s="317"/>
      <c r="BK233" s="316"/>
      <c r="BL233" s="316"/>
      <c r="BM233" s="316"/>
      <c r="BN233" s="316"/>
      <c r="BO233" s="316"/>
      <c r="BP233" s="316"/>
      <c r="BQ233" s="316"/>
      <c r="BR233" s="316"/>
      <c r="BS233" s="316"/>
      <c r="BT233" s="316"/>
      <c r="BU233" s="316"/>
      <c r="BV233" s="316"/>
      <c r="BW233" s="316"/>
      <c r="BX233" s="316"/>
      <c r="BY233" s="316"/>
      <c r="BZ233" s="316"/>
      <c r="CA233" s="316"/>
      <c r="CB233" s="316"/>
      <c r="CC233" s="316"/>
      <c r="CD233" s="316"/>
      <c r="CE233" s="316"/>
      <c r="CF233" s="316"/>
      <c r="CG233" s="316"/>
      <c r="CH233" s="316"/>
      <c r="CI233" s="316"/>
      <c r="CJ233" s="316"/>
      <c r="CK233" s="316"/>
      <c r="CL233" s="316"/>
      <c r="CM233" s="316"/>
      <c r="CN233" s="316"/>
    </row>
    <row r="234" spans="1:92" outlineLevel="1">
      <c r="A234" s="165"/>
      <c r="B234" s="834" t="s">
        <v>476</v>
      </c>
      <c r="C234" s="1008"/>
      <c r="D234" s="1008"/>
      <c r="E234" s="595"/>
      <c r="F234" s="595"/>
      <c r="G234" s="595"/>
      <c r="H234" s="595"/>
      <c r="I234" s="595"/>
      <c r="J234" s="595"/>
      <c r="K234" s="595"/>
      <c r="L234" s="595"/>
      <c r="M234" s="595"/>
      <c r="N234" s="595"/>
      <c r="O234" s="595"/>
      <c r="P234" s="595"/>
      <c r="Q234" s="595"/>
      <c r="R234" s="595"/>
      <c r="S234" s="595"/>
      <c r="T234" s="595"/>
      <c r="U234" s="595"/>
      <c r="V234" s="595"/>
      <c r="W234" s="595"/>
      <c r="X234" s="595"/>
      <c r="Y234" s="595"/>
      <c r="Z234" s="595"/>
      <c r="AA234" s="595"/>
      <c r="AB234" s="595"/>
      <c r="AC234" s="595"/>
      <c r="AD234" s="595"/>
      <c r="AE234" s="595"/>
      <c r="AF234" s="595"/>
      <c r="AG234" s="1126"/>
      <c r="AH234" s="1126"/>
      <c r="AI234" s="668"/>
      <c r="AJ234" s="1126"/>
      <c r="AK234" s="1126"/>
      <c r="AL234" s="1126"/>
      <c r="AM234" s="1126"/>
      <c r="AN234" s="1126"/>
      <c r="AO234" s="595"/>
      <c r="AP234" s="1239"/>
      <c r="AQ234" s="1748"/>
      <c r="AR234" s="595"/>
      <c r="AS234" s="194"/>
      <c r="AT234" s="595"/>
      <c r="AU234" s="595"/>
      <c r="AV234" s="194"/>
      <c r="AW234" s="595"/>
      <c r="AX234" s="595"/>
      <c r="AY234" s="194"/>
      <c r="AZ234" s="595"/>
      <c r="BA234" s="595"/>
      <c r="BB234" s="194"/>
      <c r="BC234" s="668"/>
      <c r="BD234" s="394"/>
      <c r="BE234" s="394"/>
      <c r="BF234" s="394"/>
      <c r="BG234" s="394"/>
      <c r="BH234" s="315"/>
      <c r="BI234" s="317"/>
      <c r="BJ234" s="317"/>
      <c r="BK234" s="394"/>
      <c r="BL234" s="394"/>
      <c r="BM234" s="394"/>
      <c r="BN234" s="394"/>
      <c r="BO234" s="394"/>
      <c r="BP234" s="394"/>
      <c r="BQ234" s="394"/>
      <c r="BR234" s="394"/>
      <c r="BS234" s="394"/>
      <c r="BT234" s="394"/>
      <c r="BU234" s="394"/>
      <c r="BV234" s="394"/>
      <c r="BW234" s="394"/>
      <c r="BX234" s="394"/>
      <c r="BY234" s="394"/>
      <c r="BZ234" s="394"/>
      <c r="CA234" s="394"/>
      <c r="CB234" s="394"/>
      <c r="CC234" s="394"/>
      <c r="CD234" s="394"/>
      <c r="CE234" s="394"/>
      <c r="CF234" s="394"/>
      <c r="CG234" s="394"/>
      <c r="CH234" s="394"/>
      <c r="CI234" s="394"/>
      <c r="CJ234" s="394"/>
      <c r="CK234" s="394"/>
      <c r="CL234" s="394"/>
      <c r="CM234" s="394"/>
      <c r="CN234" s="394"/>
    </row>
    <row r="235" spans="1:92" outlineLevel="1">
      <c r="A235" s="167"/>
      <c r="B235" s="833" t="str">
        <f t="shared" ref="B235:B240" si="1210">B102</f>
        <v>Hardware</v>
      </c>
      <c r="C235" s="1008"/>
      <c r="D235" s="1008"/>
      <c r="E235" s="595"/>
      <c r="F235" s="292">
        <f t="shared" ref="F235:U235" si="1211">F103/F102*F236+F104/F102*F237+F105/F102*F238+F106/F102*F239+F107/F102*F240+F108/F102*F241</f>
        <v>0.19445799061618141</v>
      </c>
      <c r="G235" s="292">
        <f t="shared" si="1211"/>
        <v>0.20895020030103623</v>
      </c>
      <c r="H235" s="292">
        <f t="shared" si="1211"/>
        <v>0.2010345294607942</v>
      </c>
      <c r="I235" s="292">
        <f t="shared" si="1211"/>
        <v>0.18935344018503891</v>
      </c>
      <c r="J235" s="292">
        <f t="shared" si="1211"/>
        <v>0.18314957238499596</v>
      </c>
      <c r="K235" s="292">
        <f t="shared" si="1211"/>
        <v>0.18137059098469241</v>
      </c>
      <c r="L235" s="292">
        <f t="shared" si="1211"/>
        <v>0.17850168987291681</v>
      </c>
      <c r="M235" s="292">
        <f t="shared" si="1211"/>
        <v>0.17782998661311916</v>
      </c>
      <c r="N235" s="292">
        <f t="shared" si="1211"/>
        <v>0.18037333333333333</v>
      </c>
      <c r="O235" s="292">
        <f t="shared" si="1211"/>
        <v>0.17181376606257445</v>
      </c>
      <c r="P235" s="292">
        <f t="shared" si="1211"/>
        <v>0.18012738853503182</v>
      </c>
      <c r="Q235" s="292">
        <f t="shared" si="1211"/>
        <v>0.18700611358066566</v>
      </c>
      <c r="R235" s="292">
        <f t="shared" si="1211"/>
        <v>0.19224889578367255</v>
      </c>
      <c r="S235" s="292">
        <f t="shared" si="1211"/>
        <v>0.19098466126835273</v>
      </c>
      <c r="T235" s="292">
        <f t="shared" si="1211"/>
        <v>0.20345780334600236</v>
      </c>
      <c r="U235" s="292">
        <f t="shared" si="1211"/>
        <v>0.20157231700764669</v>
      </c>
      <c r="V235" s="292"/>
      <c r="W235" s="292"/>
      <c r="X235" s="292">
        <f>X103/X102*X236+X104/X102*X237+X105/X102*X238+X106/X102*X239+X107/X102*X240+X108/X102*X241</f>
        <v>0</v>
      </c>
      <c r="Y235" s="292"/>
      <c r="Z235" s="292"/>
      <c r="AA235" s="292"/>
      <c r="AB235" s="292"/>
      <c r="AC235" s="292"/>
      <c r="AD235" s="292"/>
      <c r="AE235" s="292"/>
      <c r="AF235" s="292"/>
      <c r="AG235" s="1125"/>
      <c r="AH235" s="1125"/>
      <c r="AI235" s="666"/>
      <c r="AJ235" s="1125"/>
      <c r="AK235" s="1125"/>
      <c r="AL235" s="1125"/>
      <c r="AM235" s="1125"/>
      <c r="AN235" s="1125"/>
      <c r="AO235" s="292"/>
      <c r="AP235" s="1255"/>
      <c r="AQ235" s="1749"/>
      <c r="AR235" s="292"/>
      <c r="AS235" s="194"/>
      <c r="AT235" s="292"/>
      <c r="AU235" s="292"/>
      <c r="AV235" s="194"/>
      <c r="AW235" s="292"/>
      <c r="AX235" s="292"/>
      <c r="AY235" s="194"/>
      <c r="AZ235" s="292"/>
      <c r="BA235" s="292"/>
      <c r="BB235" s="194"/>
      <c r="BC235" s="668"/>
      <c r="BD235" s="394"/>
      <c r="BE235" s="394"/>
      <c r="BF235" s="394"/>
      <c r="BG235" s="394"/>
      <c r="BH235" s="335"/>
      <c r="BI235" s="398"/>
      <c r="BJ235" s="398"/>
      <c r="BK235" s="422"/>
      <c r="BL235" s="422"/>
      <c r="BM235" s="422"/>
      <c r="BN235" s="422"/>
      <c r="BO235" s="422"/>
      <c r="BP235" s="422"/>
      <c r="BQ235" s="422"/>
      <c r="BR235" s="422"/>
      <c r="BS235" s="422"/>
      <c r="BT235" s="422"/>
      <c r="BU235" s="422"/>
      <c r="BV235" s="422"/>
      <c r="BW235" s="422"/>
      <c r="BX235" s="422"/>
      <c r="BY235" s="422"/>
      <c r="BZ235" s="422"/>
      <c r="CA235" s="422"/>
      <c r="CB235" s="422"/>
      <c r="CC235" s="422"/>
      <c r="CD235" s="422"/>
      <c r="CE235" s="422"/>
      <c r="CF235" s="422"/>
      <c r="CG235" s="422"/>
      <c r="CH235" s="422"/>
      <c r="CI235" s="422"/>
      <c r="CJ235" s="422"/>
      <c r="CK235" s="422"/>
      <c r="CL235" s="422"/>
      <c r="CM235" s="422"/>
      <c r="CN235" s="422"/>
    </row>
    <row r="236" spans="1:92" outlineLevel="1">
      <c r="A236" s="165"/>
      <c r="B236" s="782" t="str">
        <f t="shared" si="1210"/>
        <v>Audio &amp; Visual Hardware incl Car Sound &amp; Cameras</v>
      </c>
      <c r="C236" s="1002"/>
      <c r="D236" s="1002"/>
      <c r="E236" s="293"/>
      <c r="F236" s="1056">
        <v>0.18803480282293708</v>
      </c>
      <c r="G236" s="1056">
        <v>0.20297989406044362</v>
      </c>
      <c r="H236" s="1056">
        <v>0.19705712885988291</v>
      </c>
      <c r="I236" s="1056">
        <v>0.1924850998617747</v>
      </c>
      <c r="J236" s="1056">
        <v>0.19687790561514443</v>
      </c>
      <c r="K236" s="1056">
        <v>0.19885961224217455</v>
      </c>
      <c r="L236" s="1056">
        <v>0.1989077392999011</v>
      </c>
      <c r="M236" s="1056">
        <v>0.19700000000000001</v>
      </c>
      <c r="N236" s="1056">
        <v>0.19700000000000001</v>
      </c>
      <c r="O236" s="1056">
        <v>0.18481070011475589</v>
      </c>
      <c r="P236" s="1056">
        <v>0.19</v>
      </c>
      <c r="Q236" s="1056">
        <v>0.20499999999999999</v>
      </c>
      <c r="R236" s="1056">
        <v>0.21</v>
      </c>
      <c r="S236" s="1056">
        <v>0.20499999999999999</v>
      </c>
      <c r="T236" s="1056">
        <v>0.21</v>
      </c>
      <c r="U236" s="1056">
        <f>T236</f>
        <v>0.21</v>
      </c>
      <c r="V236" s="615"/>
      <c r="W236" s="615"/>
      <c r="X236" s="616"/>
      <c r="Y236" s="616"/>
      <c r="Z236" s="616"/>
      <c r="AA236" s="616"/>
      <c r="AB236" s="616"/>
      <c r="AC236" s="616"/>
      <c r="AD236" s="616"/>
      <c r="AE236" s="616"/>
      <c r="AF236" s="616"/>
      <c r="AG236" s="990"/>
      <c r="AH236" s="990"/>
      <c r="AI236" s="668"/>
      <c r="AJ236" s="990"/>
      <c r="AK236" s="990"/>
      <c r="AL236" s="1367"/>
      <c r="AM236" s="990"/>
      <c r="AN236" s="990"/>
      <c r="AO236" s="194"/>
      <c r="AP236" s="1711"/>
      <c r="AQ236" s="1750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668"/>
      <c r="BD236" s="394"/>
      <c r="BE236" s="394"/>
      <c r="BF236" s="394"/>
      <c r="BG236" s="394"/>
      <c r="BH236" s="315"/>
      <c r="BI236" s="317"/>
      <c r="BJ236" s="317"/>
      <c r="BK236" s="492"/>
      <c r="BL236" s="492"/>
      <c r="BM236" s="492"/>
      <c r="BN236" s="492"/>
      <c r="BO236" s="492"/>
      <c r="BP236" s="492"/>
      <c r="BQ236" s="492"/>
      <c r="BR236" s="492"/>
      <c r="BS236" s="492"/>
      <c r="BT236" s="492"/>
      <c r="BU236" s="492"/>
      <c r="BV236" s="492"/>
      <c r="BW236" s="492"/>
      <c r="BX236" s="492"/>
      <c r="BY236" s="492"/>
      <c r="BZ236" s="492"/>
      <c r="CA236" s="492"/>
      <c r="CB236" s="492"/>
      <c r="CC236" s="492"/>
      <c r="CD236" s="492"/>
      <c r="CE236" s="492"/>
      <c r="CF236" s="492"/>
      <c r="CG236" s="492"/>
      <c r="CH236" s="492"/>
      <c r="CI236" s="492"/>
      <c r="CJ236" s="492"/>
      <c r="CK236" s="492"/>
      <c r="CL236" s="492"/>
      <c r="CM236" s="492"/>
      <c r="CN236" s="492"/>
    </row>
    <row r="237" spans="1:92" outlineLevel="1">
      <c r="A237" s="165"/>
      <c r="B237" s="782" t="str">
        <f t="shared" si="1210"/>
        <v>Computer Hardware</v>
      </c>
      <c r="C237" s="1002"/>
      <c r="D237" s="1002"/>
      <c r="E237" s="293"/>
      <c r="F237" s="1006">
        <v>0.15</v>
      </c>
      <c r="G237" s="1006">
        <v>0.15</v>
      </c>
      <c r="H237" s="1006">
        <v>0.15</v>
      </c>
      <c r="I237" s="1006">
        <v>0.14000000000000001</v>
      </c>
      <c r="J237" s="1006">
        <v>0.14000000000000001</v>
      </c>
      <c r="K237" s="1006">
        <v>0.14000000000000001</v>
      </c>
      <c r="L237" s="1006">
        <v>0.13</v>
      </c>
      <c r="M237" s="1006">
        <v>0.13100000000000001</v>
      </c>
      <c r="N237" s="1006">
        <v>0.15</v>
      </c>
      <c r="O237" s="1006">
        <v>0.13500000000000001</v>
      </c>
      <c r="P237" s="1006">
        <v>0.15</v>
      </c>
      <c r="Q237" s="1006">
        <v>0.15</v>
      </c>
      <c r="R237" s="1006">
        <v>0.155</v>
      </c>
      <c r="S237" s="1006">
        <v>0.153</v>
      </c>
      <c r="T237" s="1006">
        <v>0.153</v>
      </c>
      <c r="U237" s="1006">
        <f>T237</f>
        <v>0.153</v>
      </c>
      <c r="V237" s="616"/>
      <c r="W237" s="616"/>
      <c r="X237" s="1006"/>
      <c r="Y237" s="616"/>
      <c r="Z237" s="616"/>
      <c r="AA237" s="1006"/>
      <c r="AB237" s="616"/>
      <c r="AC237" s="616"/>
      <c r="AD237" s="1006"/>
      <c r="AE237" s="616"/>
      <c r="AF237" s="616"/>
      <c r="AG237" s="991"/>
      <c r="AH237" s="990"/>
      <c r="AI237" s="701"/>
      <c r="AJ237" s="991"/>
      <c r="AK237" s="990"/>
      <c r="AL237" s="990"/>
      <c r="AM237" s="991"/>
      <c r="AN237" s="990"/>
      <c r="AO237" s="616"/>
      <c r="AP237" s="1250"/>
      <c r="AQ237" s="1750"/>
      <c r="AR237" s="616"/>
      <c r="AS237" s="194"/>
      <c r="AT237" s="616"/>
      <c r="AU237" s="616"/>
      <c r="AV237" s="194"/>
      <c r="AW237" s="616"/>
      <c r="AX237" s="616"/>
      <c r="AY237" s="194"/>
      <c r="AZ237" s="616"/>
      <c r="BA237" s="616"/>
      <c r="BB237" s="194"/>
      <c r="BC237" s="668"/>
      <c r="BD237" s="394"/>
      <c r="BE237" s="394"/>
      <c r="BF237" s="394"/>
      <c r="BG237" s="394"/>
      <c r="BH237" s="315"/>
      <c r="BI237" s="317"/>
      <c r="BJ237" s="317"/>
      <c r="BK237" s="443"/>
      <c r="BL237" s="443"/>
      <c r="BM237" s="443"/>
      <c r="BN237" s="443"/>
      <c r="BO237" s="443"/>
      <c r="BP237" s="443"/>
      <c r="BQ237" s="443"/>
      <c r="BR237" s="443"/>
      <c r="BS237" s="443"/>
      <c r="BT237" s="443"/>
      <c r="BU237" s="443"/>
      <c r="BV237" s="443"/>
      <c r="BW237" s="443"/>
      <c r="BX237" s="443"/>
      <c r="BY237" s="443"/>
      <c r="BZ237" s="443"/>
      <c r="CA237" s="443"/>
      <c r="CB237" s="443"/>
      <c r="CC237" s="443"/>
      <c r="CD237" s="443"/>
      <c r="CE237" s="443"/>
      <c r="CF237" s="443"/>
      <c r="CG237" s="443"/>
      <c r="CH237" s="443"/>
      <c r="CI237" s="443"/>
      <c r="CJ237" s="443"/>
      <c r="CK237" s="443"/>
      <c r="CL237" s="443"/>
      <c r="CM237" s="443"/>
      <c r="CN237" s="443"/>
    </row>
    <row r="238" spans="1:92" outlineLevel="1">
      <c r="A238" s="165"/>
      <c r="B238" s="782" t="str">
        <f t="shared" si="1210"/>
        <v>Domestic Appliances</v>
      </c>
      <c r="C238" s="1002"/>
      <c r="D238" s="1002"/>
      <c r="E238" s="293"/>
      <c r="F238" s="1005">
        <v>0.2</v>
      </c>
      <c r="G238" s="1005">
        <f t="shared" ref="G238:N239" si="1212">F238</f>
        <v>0.2</v>
      </c>
      <c r="H238" s="1005">
        <f t="shared" si="1212"/>
        <v>0.2</v>
      </c>
      <c r="I238" s="1005">
        <f t="shared" si="1212"/>
        <v>0.2</v>
      </c>
      <c r="J238" s="1005">
        <f t="shared" si="1212"/>
        <v>0.2</v>
      </c>
      <c r="K238" s="1005">
        <f t="shared" si="1212"/>
        <v>0.2</v>
      </c>
      <c r="L238" s="1005">
        <f t="shared" si="1212"/>
        <v>0.2</v>
      </c>
      <c r="M238" s="1005">
        <f t="shared" si="1212"/>
        <v>0.2</v>
      </c>
      <c r="N238" s="1005">
        <f t="shared" si="1212"/>
        <v>0.2</v>
      </c>
      <c r="O238" s="1005">
        <v>0.2</v>
      </c>
      <c r="P238" s="1005">
        <v>0.22</v>
      </c>
      <c r="Q238" s="1005">
        <v>0.217</v>
      </c>
      <c r="R238" s="1005">
        <v>0.22</v>
      </c>
      <c r="S238" s="1005">
        <v>0.23</v>
      </c>
      <c r="T238" s="1005">
        <v>0.25</v>
      </c>
      <c r="U238" s="1005">
        <f t="shared" ref="U238:U245" si="1213">T238</f>
        <v>0.25</v>
      </c>
      <c r="V238" s="594"/>
      <c r="W238" s="594"/>
      <c r="X238" s="1005"/>
      <c r="Y238" s="594"/>
      <c r="Z238" s="594"/>
      <c r="AA238" s="1005"/>
      <c r="AB238" s="594"/>
      <c r="AC238" s="594"/>
      <c r="AD238" s="1005"/>
      <c r="AE238" s="594"/>
      <c r="AF238" s="594"/>
      <c r="AG238" s="1135"/>
      <c r="AH238" s="1197"/>
      <c r="AI238" s="667"/>
      <c r="AJ238" s="1135"/>
      <c r="AK238" s="1197"/>
      <c r="AL238" s="1197"/>
      <c r="AM238" s="1135"/>
      <c r="AN238" s="1197"/>
      <c r="AO238" s="594"/>
      <c r="AP238" s="1712"/>
      <c r="AQ238" s="1751"/>
      <c r="AR238" s="594"/>
      <c r="AS238" s="194"/>
      <c r="AT238" s="594"/>
      <c r="AU238" s="594"/>
      <c r="AV238" s="194"/>
      <c r="AW238" s="594"/>
      <c r="AX238" s="594"/>
      <c r="AY238" s="194"/>
      <c r="AZ238" s="594"/>
      <c r="BA238" s="594"/>
      <c r="BB238" s="194"/>
      <c r="BC238" s="668"/>
      <c r="BD238" s="394"/>
      <c r="BE238" s="394"/>
      <c r="BF238" s="394"/>
      <c r="BG238" s="394"/>
      <c r="BH238" s="315"/>
      <c r="BI238" s="317"/>
      <c r="BJ238" s="317"/>
      <c r="BK238" s="493"/>
      <c r="BL238" s="493"/>
      <c r="BM238" s="493"/>
      <c r="BN238" s="493"/>
      <c r="BO238" s="493"/>
      <c r="BP238" s="493"/>
      <c r="BQ238" s="493"/>
      <c r="BR238" s="493"/>
      <c r="BS238" s="493"/>
      <c r="BT238" s="493"/>
      <c r="BU238" s="493"/>
      <c r="BV238" s="493"/>
      <c r="BW238" s="493"/>
      <c r="BX238" s="493"/>
      <c r="BY238" s="493"/>
      <c r="BZ238" s="493"/>
      <c r="CA238" s="493"/>
      <c r="CB238" s="493"/>
      <c r="CC238" s="493"/>
      <c r="CD238" s="493"/>
      <c r="CE238" s="493"/>
      <c r="CF238" s="493"/>
      <c r="CG238" s="493"/>
      <c r="CH238" s="493"/>
      <c r="CI238" s="493"/>
      <c r="CJ238" s="493"/>
      <c r="CK238" s="493"/>
      <c r="CL238" s="493"/>
      <c r="CM238" s="493"/>
      <c r="CN238" s="493"/>
    </row>
    <row r="239" spans="1:92" outlineLevel="1">
      <c r="A239" s="165"/>
      <c r="B239" s="782" t="str">
        <f t="shared" si="1210"/>
        <v>Games Hardware</v>
      </c>
      <c r="C239" s="1002"/>
      <c r="D239" s="1002"/>
      <c r="E239" s="293"/>
      <c r="F239" s="1006">
        <v>0.04</v>
      </c>
      <c r="G239" s="1006">
        <f t="shared" si="1212"/>
        <v>0.04</v>
      </c>
      <c r="H239" s="1006">
        <f t="shared" si="1212"/>
        <v>0.04</v>
      </c>
      <c r="I239" s="1006">
        <f t="shared" si="1212"/>
        <v>0.04</v>
      </c>
      <c r="J239" s="1006">
        <f t="shared" si="1212"/>
        <v>0.04</v>
      </c>
      <c r="K239" s="1006">
        <f t="shared" si="1212"/>
        <v>0.04</v>
      </c>
      <c r="L239" s="1006">
        <f t="shared" si="1212"/>
        <v>0.04</v>
      </c>
      <c r="M239" s="1006">
        <f t="shared" si="1212"/>
        <v>0.04</v>
      </c>
      <c r="N239" s="1006">
        <f t="shared" si="1212"/>
        <v>0.04</v>
      </c>
      <c r="O239" s="1006">
        <f>N239</f>
        <v>0.04</v>
      </c>
      <c r="P239" s="1006">
        <f>O239</f>
        <v>0.04</v>
      </c>
      <c r="Q239" s="1006">
        <v>0.04</v>
      </c>
      <c r="R239" s="1006">
        <v>0.05</v>
      </c>
      <c r="S239" s="1006">
        <v>0.05</v>
      </c>
      <c r="T239" s="1006">
        <v>5.5E-2</v>
      </c>
      <c r="U239" s="1006">
        <f t="shared" si="1213"/>
        <v>5.5E-2</v>
      </c>
      <c r="V239" s="616"/>
      <c r="W239" s="616"/>
      <c r="X239" s="1006"/>
      <c r="Y239" s="616"/>
      <c r="Z239" s="616"/>
      <c r="AA239" s="1006"/>
      <c r="AB239" s="616"/>
      <c r="AC239" s="616"/>
      <c r="AD239" s="1006"/>
      <c r="AE239" s="616"/>
      <c r="AF239" s="616"/>
      <c r="AG239" s="991"/>
      <c r="AH239" s="990"/>
      <c r="AI239" s="701"/>
      <c r="AJ239" s="991"/>
      <c r="AK239" s="990"/>
      <c r="AL239" s="990"/>
      <c r="AM239" s="991"/>
      <c r="AN239" s="990"/>
      <c r="AO239" s="616"/>
      <c r="AP239" s="1250"/>
      <c r="AQ239" s="1750"/>
      <c r="AR239" s="616"/>
      <c r="AS239" s="194"/>
      <c r="AT239" s="616"/>
      <c r="AU239" s="616"/>
      <c r="AV239" s="194"/>
      <c r="AW239" s="616"/>
      <c r="AX239" s="616"/>
      <c r="AY239" s="194"/>
      <c r="AZ239" s="616"/>
      <c r="BA239" s="616"/>
      <c r="BB239" s="194"/>
      <c r="BC239" s="668"/>
      <c r="BD239" s="394"/>
      <c r="BE239" s="394"/>
      <c r="BF239" s="394"/>
      <c r="BG239" s="394"/>
      <c r="BH239" s="315"/>
      <c r="BI239" s="317"/>
      <c r="BJ239" s="317"/>
      <c r="BK239" s="443"/>
      <c r="BL239" s="443"/>
      <c r="BM239" s="443"/>
      <c r="BN239" s="443"/>
      <c r="BO239" s="443"/>
      <c r="BP239" s="443"/>
      <c r="BQ239" s="443"/>
      <c r="BR239" s="443"/>
      <c r="BS239" s="443"/>
      <c r="BT239" s="443"/>
      <c r="BU239" s="443"/>
      <c r="BV239" s="443"/>
      <c r="BW239" s="443"/>
      <c r="BX239" s="443"/>
      <c r="BY239" s="443"/>
      <c r="BZ239" s="443"/>
      <c r="CA239" s="443"/>
      <c r="CB239" s="443"/>
      <c r="CC239" s="443"/>
      <c r="CD239" s="443"/>
      <c r="CE239" s="443"/>
      <c r="CF239" s="443"/>
      <c r="CG239" s="443"/>
      <c r="CH239" s="443"/>
      <c r="CI239" s="443"/>
      <c r="CJ239" s="443"/>
      <c r="CK239" s="443"/>
      <c r="CL239" s="443"/>
      <c r="CM239" s="443"/>
      <c r="CN239" s="443"/>
    </row>
    <row r="240" spans="1:92" outlineLevel="1">
      <c r="A240" s="165"/>
      <c r="B240" s="782" t="str">
        <f t="shared" si="1210"/>
        <v>Accessories</v>
      </c>
      <c r="C240" s="1002"/>
      <c r="D240" s="1002"/>
      <c r="E240" s="293"/>
      <c r="F240" s="1005">
        <v>0.4</v>
      </c>
      <c r="G240" s="1005">
        <f t="shared" ref="G240:M241" si="1214">F240</f>
        <v>0.4</v>
      </c>
      <c r="H240" s="1005">
        <f t="shared" si="1214"/>
        <v>0.4</v>
      </c>
      <c r="I240" s="1005">
        <f t="shared" si="1214"/>
        <v>0.4</v>
      </c>
      <c r="J240" s="1005">
        <f t="shared" si="1214"/>
        <v>0.4</v>
      </c>
      <c r="K240" s="1005">
        <f t="shared" si="1214"/>
        <v>0.4</v>
      </c>
      <c r="L240" s="1005">
        <f t="shared" si="1214"/>
        <v>0.4</v>
      </c>
      <c r="M240" s="1005">
        <f t="shared" si="1214"/>
        <v>0.4</v>
      </c>
      <c r="N240" s="1005">
        <v>0.45</v>
      </c>
      <c r="O240" s="1005">
        <v>0.45</v>
      </c>
      <c r="P240" s="1005">
        <v>0.45</v>
      </c>
      <c r="Q240" s="1005">
        <v>0.45</v>
      </c>
      <c r="R240" s="1005">
        <v>0.47</v>
      </c>
      <c r="S240" s="1005">
        <v>0.47</v>
      </c>
      <c r="T240" s="1005">
        <v>0.47</v>
      </c>
      <c r="U240" s="1005">
        <f t="shared" si="1213"/>
        <v>0.47</v>
      </c>
      <c r="V240" s="594"/>
      <c r="W240" s="594"/>
      <c r="X240" s="1005"/>
      <c r="Y240" s="594"/>
      <c r="Z240" s="594"/>
      <c r="AA240" s="1005"/>
      <c r="AB240" s="594"/>
      <c r="AC240" s="594"/>
      <c r="AD240" s="1005"/>
      <c r="AE240" s="594"/>
      <c r="AF240" s="594"/>
      <c r="AG240" s="1135"/>
      <c r="AH240" s="1197"/>
      <c r="AI240" s="667"/>
      <c r="AJ240" s="1135"/>
      <c r="AK240" s="1197"/>
      <c r="AL240" s="1197"/>
      <c r="AM240" s="1135"/>
      <c r="AN240" s="1197"/>
      <c r="AO240" s="594"/>
      <c r="AP240" s="1712"/>
      <c r="AQ240" s="1751"/>
      <c r="AR240" s="594"/>
      <c r="AS240" s="194"/>
      <c r="AT240" s="594"/>
      <c r="AU240" s="594"/>
      <c r="AV240" s="194"/>
      <c r="AW240" s="594"/>
      <c r="AX240" s="594"/>
      <c r="AY240" s="194"/>
      <c r="AZ240" s="594"/>
      <c r="BA240" s="594"/>
      <c r="BB240" s="194"/>
      <c r="BC240" s="668"/>
      <c r="BD240" s="394"/>
      <c r="BE240" s="394"/>
      <c r="BF240" s="394"/>
      <c r="BG240" s="394"/>
      <c r="BH240" s="315"/>
      <c r="BI240" s="317"/>
      <c r="BJ240" s="317"/>
      <c r="BK240" s="493"/>
      <c r="BL240" s="493"/>
      <c r="BM240" s="493"/>
      <c r="BN240" s="493"/>
      <c r="BO240" s="493"/>
      <c r="BP240" s="493"/>
      <c r="BQ240" s="493"/>
      <c r="BR240" s="493"/>
      <c r="BS240" s="493"/>
      <c r="BT240" s="493"/>
      <c r="BU240" s="493"/>
      <c r="BV240" s="493"/>
      <c r="BW240" s="493"/>
      <c r="BX240" s="493"/>
      <c r="BY240" s="493"/>
      <c r="BZ240" s="493"/>
      <c r="CA240" s="493"/>
      <c r="CB240" s="493"/>
      <c r="CC240" s="493"/>
      <c r="CD240" s="493"/>
      <c r="CE240" s="493"/>
      <c r="CF240" s="493"/>
      <c r="CG240" s="493"/>
      <c r="CH240" s="493"/>
      <c r="CI240" s="493"/>
      <c r="CJ240" s="493"/>
      <c r="CK240" s="493"/>
      <c r="CL240" s="493"/>
      <c r="CM240" s="493"/>
      <c r="CN240" s="493"/>
    </row>
    <row r="241" spans="1:92" outlineLevel="1">
      <c r="A241" s="165"/>
      <c r="B241" s="782" t="s">
        <v>467</v>
      </c>
      <c r="C241" s="1002"/>
      <c r="D241" s="1002"/>
      <c r="E241" s="293"/>
      <c r="F241" s="1005">
        <v>0.21</v>
      </c>
      <c r="G241" s="1005">
        <f t="shared" si="1214"/>
        <v>0.21</v>
      </c>
      <c r="H241" s="1005">
        <f t="shared" si="1214"/>
        <v>0.21</v>
      </c>
      <c r="I241" s="1005">
        <f t="shared" si="1214"/>
        <v>0.21</v>
      </c>
      <c r="J241" s="1005">
        <f t="shared" si="1214"/>
        <v>0.21</v>
      </c>
      <c r="K241" s="1005">
        <f t="shared" si="1214"/>
        <v>0.21</v>
      </c>
      <c r="L241" s="1005">
        <f t="shared" si="1214"/>
        <v>0.21</v>
      </c>
      <c r="M241" s="1005">
        <f t="shared" si="1214"/>
        <v>0.21</v>
      </c>
      <c r="N241" s="1005">
        <f>M241</f>
        <v>0.21</v>
      </c>
      <c r="O241" s="1005">
        <v>0.21</v>
      </c>
      <c r="P241" s="1005">
        <v>0.21</v>
      </c>
      <c r="Q241" s="1005">
        <v>0.23499999999999999</v>
      </c>
      <c r="R241" s="1005">
        <v>0.23499999999999999</v>
      </c>
      <c r="S241" s="1005">
        <v>0.23499999999999999</v>
      </c>
      <c r="T241" s="1005">
        <v>0.26</v>
      </c>
      <c r="U241" s="1005">
        <f t="shared" si="1213"/>
        <v>0.26</v>
      </c>
      <c r="V241" s="594"/>
      <c r="W241" s="594"/>
      <c r="X241" s="1005"/>
      <c r="Y241" s="594"/>
      <c r="Z241" s="594"/>
      <c r="AA241" s="1005"/>
      <c r="AB241" s="594"/>
      <c r="AC241" s="594"/>
      <c r="AD241" s="1005"/>
      <c r="AE241" s="594"/>
      <c r="AF241" s="594"/>
      <c r="AG241" s="1135"/>
      <c r="AH241" s="1197"/>
      <c r="AI241" s="667"/>
      <c r="AJ241" s="1135"/>
      <c r="AK241" s="1197"/>
      <c r="AL241" s="1197"/>
      <c r="AM241" s="1135"/>
      <c r="AN241" s="1197"/>
      <c r="AO241" s="594"/>
      <c r="AP241" s="1712"/>
      <c r="AQ241" s="1751"/>
      <c r="AR241" s="594"/>
      <c r="AS241" s="194"/>
      <c r="AT241" s="594"/>
      <c r="AU241" s="594"/>
      <c r="AV241" s="194"/>
      <c r="AW241" s="594"/>
      <c r="AX241" s="594"/>
      <c r="AY241" s="194"/>
      <c r="AZ241" s="594"/>
      <c r="BA241" s="594"/>
      <c r="BB241" s="194"/>
      <c r="BC241" s="668"/>
      <c r="BD241" s="394"/>
      <c r="BE241" s="394"/>
      <c r="BF241" s="394"/>
      <c r="BG241" s="394"/>
      <c r="BH241" s="315"/>
      <c r="BI241" s="317"/>
      <c r="BJ241" s="317"/>
      <c r="BK241" s="493"/>
      <c r="BL241" s="493"/>
      <c r="BM241" s="493"/>
      <c r="BN241" s="493"/>
      <c r="BO241" s="493"/>
      <c r="BP241" s="493"/>
      <c r="BQ241" s="493"/>
      <c r="BR241" s="493"/>
      <c r="BS241" s="493"/>
      <c r="BT241" s="493"/>
      <c r="BU241" s="493"/>
      <c r="BV241" s="493"/>
      <c r="BW241" s="493"/>
      <c r="BX241" s="493"/>
      <c r="BY241" s="493"/>
      <c r="BZ241" s="493"/>
      <c r="CA241" s="493"/>
      <c r="CB241" s="493"/>
      <c r="CC241" s="493"/>
      <c r="CD241" s="493"/>
      <c r="CE241" s="493"/>
      <c r="CF241" s="493"/>
      <c r="CG241" s="493"/>
      <c r="CH241" s="493"/>
      <c r="CI241" s="493"/>
      <c r="CJ241" s="493"/>
      <c r="CK241" s="493"/>
      <c r="CL241" s="493"/>
      <c r="CM241" s="493"/>
      <c r="CN241" s="493"/>
    </row>
    <row r="242" spans="1:92" outlineLevel="1">
      <c r="A242" s="165"/>
      <c r="B242" s="833" t="str">
        <f>B109</f>
        <v>Software</v>
      </c>
      <c r="C242" s="1002"/>
      <c r="D242" s="1002"/>
      <c r="E242" s="293"/>
      <c r="F242" s="292">
        <f t="shared" ref="F242:S242" si="1215">F110/F109*F243+F111/F109*F244+F112/F109*F245</f>
        <v>0.28349999999999997</v>
      </c>
      <c r="G242" s="292">
        <f t="shared" si="1215"/>
        <v>0.28349999999999997</v>
      </c>
      <c r="H242" s="292">
        <f t="shared" si="1215"/>
        <v>0.28522727272727266</v>
      </c>
      <c r="I242" s="292">
        <f t="shared" si="1215"/>
        <v>0.29651515151515151</v>
      </c>
      <c r="J242" s="292">
        <f t="shared" si="1215"/>
        <v>0.30736065573770494</v>
      </c>
      <c r="K242" s="292">
        <f t="shared" si="1215"/>
        <v>0.31285714285714283</v>
      </c>
      <c r="L242" s="292">
        <f t="shared" si="1215"/>
        <v>0.32192307692307692</v>
      </c>
      <c r="M242" s="292">
        <f t="shared" si="1215"/>
        <v>0.33470355731225299</v>
      </c>
      <c r="N242" s="292">
        <f t="shared" si="1215"/>
        <v>0.34079999999999999</v>
      </c>
      <c r="O242" s="292">
        <f t="shared" si="1215"/>
        <v>0.3387234042553191</v>
      </c>
      <c r="P242" s="292">
        <f t="shared" si="1215"/>
        <v>0.34325581395348836</v>
      </c>
      <c r="Q242" s="292">
        <f t="shared" si="1215"/>
        <v>0.34925133689839571</v>
      </c>
      <c r="R242" s="292">
        <f t="shared" si="1215"/>
        <v>0.3503614457831325</v>
      </c>
      <c r="S242" s="292">
        <f t="shared" si="1215"/>
        <v>0.35521276595744683</v>
      </c>
      <c r="T242" s="292">
        <f>T110/T109*T243+T111/T109*T244+T112/T109*T245</f>
        <v>0.34372735590300024</v>
      </c>
      <c r="U242" s="292">
        <f>U110/U109*U243+U111/U109*U244+U112/U109*U245</f>
        <v>0.35296107716741526</v>
      </c>
      <c r="V242" s="292"/>
      <c r="W242" s="292"/>
      <c r="X242" s="292"/>
      <c r="Y242" s="292"/>
      <c r="Z242" s="292"/>
      <c r="AA242" s="292"/>
      <c r="AB242" s="292"/>
      <c r="AC242" s="292"/>
      <c r="AD242" s="292"/>
      <c r="AE242" s="292"/>
      <c r="AF242" s="292"/>
      <c r="AG242" s="1125"/>
      <c r="AH242" s="1125"/>
      <c r="AI242" s="666"/>
      <c r="AJ242" s="1125"/>
      <c r="AK242" s="1125"/>
      <c r="AL242" s="1125"/>
      <c r="AM242" s="1125"/>
      <c r="AN242" s="1125"/>
      <c r="AO242" s="292"/>
      <c r="AP242" s="1255"/>
      <c r="AQ242" s="1749"/>
      <c r="AR242" s="292"/>
      <c r="AS242" s="292"/>
      <c r="AT242" s="292"/>
      <c r="AU242" s="292"/>
      <c r="AV242" s="292"/>
      <c r="AW242" s="292"/>
      <c r="AX242" s="292"/>
      <c r="AY242" s="292"/>
      <c r="AZ242" s="292"/>
      <c r="BA242" s="292"/>
      <c r="BB242" s="292"/>
      <c r="BC242" s="666"/>
      <c r="BD242" s="422"/>
      <c r="BE242" s="422"/>
      <c r="BF242" s="422"/>
      <c r="BG242" s="422"/>
      <c r="BH242" s="315"/>
      <c r="BI242" s="317"/>
      <c r="BJ242" s="317"/>
      <c r="BK242" s="422"/>
      <c r="BL242" s="422"/>
      <c r="BM242" s="422"/>
      <c r="BN242" s="422"/>
      <c r="BO242" s="422"/>
      <c r="BP242" s="422"/>
      <c r="BQ242" s="422"/>
      <c r="BR242" s="422"/>
      <c r="BS242" s="422"/>
      <c r="BT242" s="422"/>
      <c r="BU242" s="422"/>
      <c r="BV242" s="422"/>
      <c r="BW242" s="422"/>
      <c r="BX242" s="422"/>
      <c r="BY242" s="422"/>
      <c r="BZ242" s="422"/>
      <c r="CA242" s="422"/>
      <c r="CB242" s="422"/>
      <c r="CC242" s="422"/>
      <c r="CD242" s="422"/>
      <c r="CE242" s="422"/>
      <c r="CF242" s="422"/>
      <c r="CG242" s="422"/>
      <c r="CH242" s="422"/>
      <c r="CI242" s="422"/>
      <c r="CJ242" s="422"/>
      <c r="CK242" s="422"/>
      <c r="CL242" s="422"/>
      <c r="CM242" s="422"/>
      <c r="CN242" s="422"/>
    </row>
    <row r="243" spans="1:92" outlineLevel="1">
      <c r="A243" s="165"/>
      <c r="B243" s="782" t="str">
        <f>B110</f>
        <v>CD's and DVD's</v>
      </c>
      <c r="C243" s="1002"/>
      <c r="D243" s="1002"/>
      <c r="E243" s="293"/>
      <c r="F243" s="1005">
        <v>0.28349999999999997</v>
      </c>
      <c r="G243" s="1005">
        <f>F243</f>
        <v>0.28349999999999997</v>
      </c>
      <c r="H243" s="1005">
        <v>0.28499999999999998</v>
      </c>
      <c r="I243" s="1005">
        <v>0.29499999999999998</v>
      </c>
      <c r="J243" s="1005">
        <v>0.307</v>
      </c>
      <c r="K243" s="1005">
        <v>0.315</v>
      </c>
      <c r="L243" s="1005">
        <v>0.33</v>
      </c>
      <c r="M243" s="1005">
        <v>0.35</v>
      </c>
      <c r="N243" s="1005">
        <v>0.36</v>
      </c>
      <c r="O243" s="1005">
        <v>0.36</v>
      </c>
      <c r="P243" s="1005">
        <v>0.36</v>
      </c>
      <c r="Q243" s="1005">
        <v>0.37</v>
      </c>
      <c r="R243" s="1005">
        <v>0.37</v>
      </c>
      <c r="S243" s="1005">
        <v>0.375</v>
      </c>
      <c r="T243" s="1005">
        <v>0.375</v>
      </c>
      <c r="U243" s="1005">
        <f t="shared" si="1213"/>
        <v>0.375</v>
      </c>
      <c r="V243" s="594"/>
      <c r="W243" s="594"/>
      <c r="X243" s="1005"/>
      <c r="Y243" s="594"/>
      <c r="Z243" s="594"/>
      <c r="AA243" s="1005"/>
      <c r="AB243" s="594"/>
      <c r="AC243" s="594"/>
      <c r="AD243" s="1005"/>
      <c r="AE243" s="594"/>
      <c r="AF243" s="594"/>
      <c r="AG243" s="1135"/>
      <c r="AH243" s="1197"/>
      <c r="AI243" s="667"/>
      <c r="AJ243" s="1135"/>
      <c r="AK243" s="1197"/>
      <c r="AL243" s="1197"/>
      <c r="AM243" s="1135"/>
      <c r="AN243" s="1197"/>
      <c r="AO243" s="594"/>
      <c r="AP243" s="1712"/>
      <c r="AQ243" s="1751"/>
      <c r="AR243" s="594"/>
      <c r="AS243" s="291"/>
      <c r="AT243" s="594"/>
      <c r="AU243" s="594"/>
      <c r="AV243" s="291"/>
      <c r="AW243" s="594"/>
      <c r="AX243" s="594"/>
      <c r="AY243" s="291"/>
      <c r="AZ243" s="594"/>
      <c r="BA243" s="594"/>
      <c r="BB243" s="291"/>
      <c r="BC243" s="1351"/>
      <c r="BD243" s="423"/>
      <c r="BE243" s="423"/>
      <c r="BF243" s="423"/>
      <c r="BG243" s="423"/>
      <c r="BH243" s="315"/>
      <c r="BI243" s="317"/>
      <c r="BJ243" s="317"/>
      <c r="BK243" s="493"/>
      <c r="BL243" s="493"/>
      <c r="BM243" s="493"/>
      <c r="BN243" s="493"/>
      <c r="BO243" s="493"/>
      <c r="BP243" s="493"/>
      <c r="BQ243" s="493"/>
      <c r="BR243" s="493"/>
      <c r="BS243" s="493"/>
      <c r="BT243" s="493"/>
      <c r="BU243" s="493"/>
      <c r="BV243" s="493"/>
      <c r="BW243" s="493"/>
      <c r="BX243" s="493"/>
      <c r="BY243" s="493"/>
      <c r="BZ243" s="493"/>
      <c r="CA243" s="493"/>
      <c r="CB243" s="493"/>
      <c r="CC243" s="493"/>
      <c r="CD243" s="493"/>
      <c r="CE243" s="493"/>
      <c r="CF243" s="493"/>
      <c r="CG243" s="493"/>
      <c r="CH243" s="493"/>
      <c r="CI243" s="493"/>
      <c r="CJ243" s="493"/>
      <c r="CK243" s="493"/>
      <c r="CL243" s="493"/>
      <c r="CM243" s="493"/>
      <c r="CN243" s="493"/>
    </row>
    <row r="244" spans="1:92" outlineLevel="1">
      <c r="A244" s="165"/>
      <c r="B244" s="782" t="str">
        <f>B111</f>
        <v>Computer Software</v>
      </c>
      <c r="C244" s="1002"/>
      <c r="D244" s="1002"/>
      <c r="E244" s="293"/>
      <c r="F244" s="1005">
        <v>0.33</v>
      </c>
      <c r="G244" s="1005">
        <f>F244</f>
        <v>0.33</v>
      </c>
      <c r="H244" s="1005">
        <f>G244</f>
        <v>0.33</v>
      </c>
      <c r="I244" s="1005">
        <f>H244</f>
        <v>0.33</v>
      </c>
      <c r="J244" s="1005">
        <f>I244</f>
        <v>0.33</v>
      </c>
      <c r="K244" s="1005">
        <f>J244</f>
        <v>0.33</v>
      </c>
      <c r="L244" s="1005">
        <f>K244</f>
        <v>0.33</v>
      </c>
      <c r="M244" s="1005">
        <v>0.34</v>
      </c>
      <c r="N244" s="1005">
        <v>0.34</v>
      </c>
      <c r="O244" s="1005">
        <v>0.34</v>
      </c>
      <c r="P244" s="1005">
        <v>0.34</v>
      </c>
      <c r="Q244" s="1005">
        <v>0.35</v>
      </c>
      <c r="R244" s="1005">
        <v>0.35</v>
      </c>
      <c r="S244" s="1005">
        <v>0.35</v>
      </c>
      <c r="T244" s="1005">
        <v>0.35</v>
      </c>
      <c r="U244" s="1005">
        <f t="shared" si="1213"/>
        <v>0.35</v>
      </c>
      <c r="V244" s="594"/>
      <c r="W244" s="594"/>
      <c r="X244" s="1005"/>
      <c r="Y244" s="594"/>
      <c r="Z244" s="594"/>
      <c r="AA244" s="1005"/>
      <c r="AB244" s="594"/>
      <c r="AC244" s="594"/>
      <c r="AD244" s="1005"/>
      <c r="AE244" s="594"/>
      <c r="AF244" s="594"/>
      <c r="AG244" s="1135"/>
      <c r="AH244" s="1197"/>
      <c r="AI244" s="667"/>
      <c r="AJ244" s="1135"/>
      <c r="AK244" s="1197"/>
      <c r="AL244" s="1197"/>
      <c r="AM244" s="1135"/>
      <c r="AN244" s="1197"/>
      <c r="AO244" s="594"/>
      <c r="AP244" s="1712"/>
      <c r="AQ244" s="1751"/>
      <c r="AR244" s="594"/>
      <c r="AS244" s="291"/>
      <c r="AT244" s="594"/>
      <c r="AU244" s="594"/>
      <c r="AV244" s="291"/>
      <c r="AW244" s="594"/>
      <c r="AX244" s="594"/>
      <c r="AY244" s="291"/>
      <c r="AZ244" s="594"/>
      <c r="BA244" s="594"/>
      <c r="BB244" s="291"/>
      <c r="BC244" s="1351"/>
      <c r="BD244" s="423"/>
      <c r="BE244" s="423"/>
      <c r="BF244" s="423"/>
      <c r="BG244" s="423"/>
      <c r="BH244" s="315"/>
      <c r="BI244" s="317"/>
      <c r="BJ244" s="317"/>
      <c r="BK244" s="493"/>
      <c r="BL244" s="493"/>
      <c r="BM244" s="493"/>
      <c r="BN244" s="493"/>
      <c r="BO244" s="493"/>
      <c r="BP244" s="493"/>
      <c r="BQ244" s="493"/>
      <c r="BR244" s="493"/>
      <c r="BS244" s="493"/>
      <c r="BT244" s="493"/>
      <c r="BU244" s="493"/>
      <c r="BV244" s="493"/>
      <c r="BW244" s="493"/>
      <c r="BX244" s="493"/>
      <c r="BY244" s="493"/>
      <c r="BZ244" s="493"/>
      <c r="CA244" s="493"/>
      <c r="CB244" s="493"/>
      <c r="CC244" s="493"/>
      <c r="CD244" s="493"/>
      <c r="CE244" s="493"/>
      <c r="CF244" s="493"/>
      <c r="CG244" s="493"/>
      <c r="CH244" s="493"/>
      <c r="CI244" s="493"/>
      <c r="CJ244" s="493"/>
      <c r="CK244" s="493"/>
      <c r="CL244" s="493"/>
      <c r="CM244" s="493"/>
      <c r="CN244" s="493"/>
    </row>
    <row r="245" spans="1:92" outlineLevel="1">
      <c r="A245" s="165"/>
      <c r="B245" s="782" t="str">
        <f>B112</f>
        <v>Games Software</v>
      </c>
      <c r="C245" s="1002"/>
      <c r="D245" s="1002"/>
      <c r="E245" s="293"/>
      <c r="F245" s="1005">
        <v>0.3</v>
      </c>
      <c r="G245" s="1005">
        <v>0.3</v>
      </c>
      <c r="H245" s="1005">
        <v>0.3</v>
      </c>
      <c r="I245" s="1005">
        <f>H245</f>
        <v>0.3</v>
      </c>
      <c r="J245" s="1005">
        <f>I245</f>
        <v>0.3</v>
      </c>
      <c r="K245" s="1005">
        <f>J245</f>
        <v>0.3</v>
      </c>
      <c r="L245" s="1005">
        <f>K245</f>
        <v>0.3</v>
      </c>
      <c r="M245" s="1005">
        <v>0.31</v>
      </c>
      <c r="N245" s="1005">
        <v>0.32</v>
      </c>
      <c r="O245" s="1005">
        <v>0.32</v>
      </c>
      <c r="P245" s="1005">
        <v>0.33</v>
      </c>
      <c r="Q245" s="1005">
        <v>0.33</v>
      </c>
      <c r="R245" s="1005">
        <v>0.33500000000000002</v>
      </c>
      <c r="S245" s="1005">
        <v>0.33500000000000002</v>
      </c>
      <c r="T245" s="1005">
        <v>0.33500000000000002</v>
      </c>
      <c r="U245" s="1005">
        <f t="shared" si="1213"/>
        <v>0.33500000000000002</v>
      </c>
      <c r="V245" s="594"/>
      <c r="W245" s="594"/>
      <c r="X245" s="1005"/>
      <c r="Y245" s="594"/>
      <c r="Z245" s="594"/>
      <c r="AA245" s="1005"/>
      <c r="AB245" s="594"/>
      <c r="AC245" s="594"/>
      <c r="AD245" s="1005"/>
      <c r="AE245" s="594"/>
      <c r="AF245" s="594"/>
      <c r="AG245" s="1135"/>
      <c r="AH245" s="1197"/>
      <c r="AI245" s="667"/>
      <c r="AJ245" s="1135"/>
      <c r="AK245" s="1197"/>
      <c r="AL245" s="1197"/>
      <c r="AM245" s="1135"/>
      <c r="AN245" s="1197"/>
      <c r="AO245" s="594"/>
      <c r="AP245" s="1712"/>
      <c r="AQ245" s="1751"/>
      <c r="AR245" s="594"/>
      <c r="AS245" s="291"/>
      <c r="AT245" s="594"/>
      <c r="AU245" s="594"/>
      <c r="AV245" s="291"/>
      <c r="AW245" s="594"/>
      <c r="AX245" s="594"/>
      <c r="AY245" s="291"/>
      <c r="AZ245" s="594"/>
      <c r="BA245" s="594"/>
      <c r="BB245" s="291"/>
      <c r="BC245" s="1351"/>
      <c r="BD245" s="423"/>
      <c r="BE245" s="423"/>
      <c r="BF245" s="423"/>
      <c r="BG245" s="423"/>
      <c r="BH245" s="315"/>
      <c r="BI245" s="317"/>
      <c r="BJ245" s="317"/>
      <c r="BK245" s="493"/>
      <c r="BL245" s="493"/>
      <c r="BM245" s="493"/>
      <c r="BN245" s="493"/>
      <c r="BO245" s="493"/>
      <c r="BP245" s="493"/>
      <c r="BQ245" s="493"/>
      <c r="BR245" s="493"/>
      <c r="BS245" s="493"/>
      <c r="BT245" s="493"/>
      <c r="BU245" s="493"/>
      <c r="BV245" s="493"/>
      <c r="BW245" s="493"/>
      <c r="BX245" s="493"/>
      <c r="BY245" s="493"/>
      <c r="BZ245" s="493"/>
      <c r="CA245" s="493"/>
      <c r="CB245" s="493"/>
      <c r="CC245" s="493"/>
      <c r="CD245" s="493"/>
      <c r="CE245" s="493"/>
      <c r="CF245" s="493"/>
      <c r="CG245" s="493"/>
      <c r="CH245" s="493"/>
      <c r="CI245" s="493"/>
      <c r="CJ245" s="493"/>
      <c r="CK245" s="493"/>
      <c r="CL245" s="493"/>
      <c r="CM245" s="493"/>
      <c r="CN245" s="493"/>
    </row>
    <row r="246" spans="1:92" outlineLevel="1">
      <c r="A246" s="165"/>
      <c r="B246" s="833" t="s">
        <v>477</v>
      </c>
      <c r="C246" s="1002"/>
      <c r="D246" s="1002"/>
      <c r="E246" s="293"/>
      <c r="F246" s="617">
        <f t="shared" ref="F246:L246" si="1216">F103*F236+F104*F237+F105*F238+F106*F239+F107*F240+F108*F241+F110*F243+F111*F244+F112*F245</f>
        <v>0.22473227380667973</v>
      </c>
      <c r="G246" s="617">
        <f t="shared" si="1216"/>
        <v>0.23429713219868392</v>
      </c>
      <c r="H246" s="617">
        <f t="shared" si="1216"/>
        <v>0.22881813473873208</v>
      </c>
      <c r="I246" s="617">
        <f t="shared" si="1216"/>
        <v>0.22471680492397608</v>
      </c>
      <c r="J246" s="617">
        <f t="shared" si="1216"/>
        <v>0.22103395280757221</v>
      </c>
      <c r="K246" s="617">
        <f t="shared" si="1216"/>
        <v>0.21818682550897853</v>
      </c>
      <c r="L246" s="617">
        <f t="shared" si="1216"/>
        <v>0.21579125050595849</v>
      </c>
      <c r="M246" s="617">
        <f>(M103*M236+M104*M237+M105*M238+M106*M239+M107*M240+M108*M241+M110*M243+M111*M244+M112*M245)+(M249/10000)</f>
        <v>0.21751900000000002</v>
      </c>
      <c r="N246" s="617">
        <f>(N103*N236+N104*N237+N105*N238+N106*N239+N107*N240+N108*N241+N110*N243+N111*N244+N112*N245)+(N249/10000)</f>
        <v>0.22048000000000001</v>
      </c>
      <c r="O246" s="617">
        <f t="shared" ref="O246:U246" si="1217">(O103*O236+O104*O237+O105*O238+O106*O239+O107*O240+O108*O241+O110*O243+O111*O244+O112*O245)+(O249/10000)+O248</f>
        <v>0.21103753103786946</v>
      </c>
      <c r="P246" s="617">
        <f t="shared" si="1217"/>
        <v>0.2152</v>
      </c>
      <c r="Q246" s="617">
        <f t="shared" si="1217"/>
        <v>0.21734597034108116</v>
      </c>
      <c r="R246" s="617">
        <f t="shared" si="1217"/>
        <v>0.21849557908358291</v>
      </c>
      <c r="S246" s="617">
        <f t="shared" si="1217"/>
        <v>0.21414082402951498</v>
      </c>
      <c r="T246" s="617">
        <f t="shared" si="1217"/>
        <v>0.2202901496528421</v>
      </c>
      <c r="U246" s="617">
        <f t="shared" si="1217"/>
        <v>0.2167111930236236</v>
      </c>
      <c r="V246" s="617"/>
      <c r="W246" s="617"/>
      <c r="X246" s="617"/>
      <c r="Y246" s="617"/>
      <c r="Z246" s="617"/>
      <c r="AA246" s="617"/>
      <c r="AB246" s="617"/>
      <c r="AC246" s="617"/>
      <c r="AD246" s="617"/>
      <c r="AE246" s="617"/>
      <c r="AF246" s="617"/>
      <c r="AG246" s="1136"/>
      <c r="AH246" s="1136"/>
      <c r="AI246" s="702"/>
      <c r="AJ246" s="1136"/>
      <c r="AK246" s="1136"/>
      <c r="AL246" s="1136"/>
      <c r="AM246" s="1136"/>
      <c r="AN246" s="1136"/>
      <c r="AO246" s="617"/>
      <c r="AP246" s="1244"/>
      <c r="AQ246" s="1752"/>
      <c r="AR246" s="617"/>
      <c r="AS246" s="200"/>
      <c r="AT246" s="617"/>
      <c r="AU246" s="617"/>
      <c r="AV246" s="200"/>
      <c r="AW246" s="617"/>
      <c r="AX246" s="617"/>
      <c r="AY246" s="200"/>
      <c r="AZ246" s="617"/>
      <c r="BA246" s="617"/>
      <c r="BB246" s="200"/>
      <c r="BC246" s="702"/>
      <c r="BD246" s="420"/>
      <c r="BE246" s="420"/>
      <c r="BF246" s="420"/>
      <c r="BG246" s="420"/>
      <c r="BH246" s="315"/>
      <c r="BI246" s="317"/>
      <c r="BJ246" s="317"/>
      <c r="BK246" s="420"/>
      <c r="BL246" s="420"/>
      <c r="BM246" s="420"/>
      <c r="BN246" s="420"/>
      <c r="BO246" s="420"/>
      <c r="BP246" s="420"/>
      <c r="BQ246" s="420"/>
      <c r="BR246" s="420"/>
      <c r="BS246" s="420"/>
      <c r="BT246" s="420"/>
      <c r="BU246" s="420"/>
      <c r="BV246" s="420"/>
      <c r="BW246" s="420"/>
      <c r="BX246" s="420"/>
      <c r="BY246" s="420"/>
      <c r="BZ246" s="420"/>
      <c r="CA246" s="420"/>
      <c r="CB246" s="420"/>
      <c r="CC246" s="420"/>
      <c r="CD246" s="420"/>
      <c r="CE246" s="420"/>
      <c r="CF246" s="420"/>
      <c r="CG246" s="420"/>
      <c r="CH246" s="420"/>
      <c r="CI246" s="420"/>
      <c r="CJ246" s="420"/>
      <c r="CK246" s="420"/>
      <c r="CL246" s="420"/>
      <c r="CM246" s="420"/>
      <c r="CN246" s="420"/>
    </row>
    <row r="247" spans="1:92" outlineLevel="1">
      <c r="A247" s="165"/>
      <c r="B247" s="782" t="s">
        <v>478</v>
      </c>
      <c r="C247" s="1002"/>
      <c r="D247" s="1002"/>
      <c r="E247" s="293"/>
      <c r="F247" s="304"/>
      <c r="G247" s="304"/>
      <c r="H247" s="304"/>
      <c r="I247" s="304"/>
      <c r="J247" s="304"/>
      <c r="K247" s="304"/>
      <c r="L247" s="304"/>
      <c r="M247" s="304"/>
      <c r="N247" s="304"/>
      <c r="O247" s="304"/>
      <c r="P247" s="1057"/>
      <c r="Q247" s="1057"/>
      <c r="R247" s="1057"/>
      <c r="S247" s="1057"/>
      <c r="T247" s="1057"/>
      <c r="U247" s="1057"/>
      <c r="V247" s="304"/>
      <c r="W247" s="304"/>
      <c r="X247" s="1057"/>
      <c r="Y247" s="304"/>
      <c r="Z247" s="304"/>
      <c r="AA247" s="1057"/>
      <c r="AB247" s="304"/>
      <c r="AC247" s="304"/>
      <c r="AD247" s="1057"/>
      <c r="AE247" s="304"/>
      <c r="AF247" s="304"/>
      <c r="AG247" s="1137"/>
      <c r="AH247" s="618"/>
      <c r="AI247" s="563"/>
      <c r="AJ247" s="1137"/>
      <c r="AK247" s="618"/>
      <c r="AL247" s="618"/>
      <c r="AM247" s="1137"/>
      <c r="AN247" s="618"/>
      <c r="AO247" s="304"/>
      <c r="AP247" s="1713"/>
      <c r="AQ247" s="1379"/>
      <c r="AR247" s="304"/>
      <c r="AS247" s="198"/>
      <c r="AT247" s="304"/>
      <c r="AU247" s="304"/>
      <c r="AV247" s="198"/>
      <c r="AW247" s="304"/>
      <c r="AX247" s="304"/>
      <c r="AY247" s="198"/>
      <c r="AZ247" s="304"/>
      <c r="BA247" s="304"/>
      <c r="BB247" s="198"/>
      <c r="BC247" s="1352"/>
      <c r="BD247" s="424"/>
      <c r="BE247" s="424"/>
      <c r="BF247" s="424"/>
      <c r="BG247" s="424"/>
      <c r="BH247" s="315"/>
      <c r="BI247" s="317"/>
      <c r="BJ247" s="317"/>
      <c r="BK247" s="328"/>
      <c r="BL247" s="328"/>
      <c r="BM247" s="328"/>
      <c r="BN247" s="328"/>
      <c r="BO247" s="328"/>
      <c r="BP247" s="328"/>
      <c r="BQ247" s="328"/>
      <c r="BR247" s="328"/>
      <c r="BS247" s="328"/>
      <c r="BT247" s="328"/>
      <c r="BU247" s="328"/>
      <c r="BV247" s="328"/>
      <c r="BW247" s="328"/>
      <c r="BX247" s="328"/>
      <c r="BY247" s="328"/>
      <c r="BZ247" s="328"/>
      <c r="CA247" s="328"/>
      <c r="CB247" s="328"/>
      <c r="CC247" s="328"/>
      <c r="CD247" s="328"/>
      <c r="CE247" s="328"/>
      <c r="CF247" s="328"/>
      <c r="CG247" s="328"/>
      <c r="CH247" s="328"/>
      <c r="CI247" s="328"/>
      <c r="CJ247" s="328"/>
      <c r="CK247" s="328"/>
      <c r="CL247" s="328"/>
      <c r="CM247" s="328"/>
      <c r="CN247" s="328"/>
    </row>
    <row r="248" spans="1:92" outlineLevel="1">
      <c r="A248" s="165"/>
      <c r="B248" s="1058" t="s">
        <v>479</v>
      </c>
      <c r="C248" s="1002"/>
      <c r="D248" s="1002"/>
      <c r="E248" s="293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1059"/>
      <c r="Q248" s="1059"/>
      <c r="R248" s="1059"/>
      <c r="S248" s="1059"/>
      <c r="T248" s="1059"/>
      <c r="U248" s="1059"/>
      <c r="V248" s="617"/>
      <c r="W248" s="617"/>
      <c r="X248" s="1059"/>
      <c r="Y248" s="617"/>
      <c r="Z248" s="617"/>
      <c r="AA248" s="1059"/>
      <c r="AB248" s="617"/>
      <c r="AC248" s="617"/>
      <c r="AD248" s="1059"/>
      <c r="AE248" s="617"/>
      <c r="AF248" s="617"/>
      <c r="AG248" s="1138"/>
      <c r="AH248" s="1136"/>
      <c r="AI248" s="702"/>
      <c r="AJ248" s="1138"/>
      <c r="AK248" s="1136"/>
      <c r="AL248" s="1136"/>
      <c r="AM248" s="1138"/>
      <c r="AN248" s="1136"/>
      <c r="AO248" s="617"/>
      <c r="AP248" s="1714"/>
      <c r="AQ248" s="1752"/>
      <c r="AR248" s="617"/>
      <c r="AS248" s="199"/>
      <c r="AT248" s="617"/>
      <c r="AU248" s="617"/>
      <c r="AV248" s="199"/>
      <c r="AW248" s="617"/>
      <c r="AX248" s="617"/>
      <c r="AY248" s="199"/>
      <c r="AZ248" s="617"/>
      <c r="BA248" s="617"/>
      <c r="BB248" s="199"/>
      <c r="BC248" s="1353"/>
      <c r="BD248" s="425"/>
      <c r="BE248" s="425"/>
      <c r="BF248" s="425"/>
      <c r="BG248" s="425"/>
      <c r="BH248" s="315"/>
      <c r="BI248" s="317"/>
      <c r="BJ248" s="317"/>
      <c r="BK248" s="420"/>
      <c r="BL248" s="420"/>
      <c r="BM248" s="420"/>
      <c r="BN248" s="420"/>
      <c r="BO248" s="420"/>
      <c r="BP248" s="420"/>
      <c r="BQ248" s="420"/>
      <c r="BR248" s="420"/>
      <c r="BS248" s="420"/>
      <c r="BT248" s="420"/>
      <c r="BU248" s="420"/>
      <c r="BV248" s="420"/>
      <c r="BW248" s="420"/>
      <c r="BX248" s="420"/>
      <c r="BY248" s="420"/>
      <c r="BZ248" s="420"/>
      <c r="CA248" s="420"/>
      <c r="CB248" s="420"/>
      <c r="CC248" s="420"/>
      <c r="CD248" s="420"/>
      <c r="CE248" s="420"/>
      <c r="CF248" s="420"/>
      <c r="CG248" s="420"/>
      <c r="CH248" s="420"/>
      <c r="CI248" s="420"/>
      <c r="CJ248" s="420"/>
      <c r="CK248" s="420"/>
      <c r="CL248" s="420"/>
      <c r="CM248" s="420"/>
      <c r="CN248" s="420"/>
    </row>
    <row r="249" spans="1:92" outlineLevel="1">
      <c r="A249" s="165"/>
      <c r="B249" s="833"/>
      <c r="C249" s="1002"/>
      <c r="D249" s="1002"/>
      <c r="E249" s="293"/>
      <c r="F249" s="617"/>
      <c r="G249" s="617"/>
      <c r="H249" s="617"/>
      <c r="I249" s="617"/>
      <c r="J249" s="617"/>
      <c r="K249" s="617"/>
      <c r="L249" s="282"/>
      <c r="M249" s="1060"/>
      <c r="N249" s="1060"/>
      <c r="O249" s="1060"/>
      <c r="P249" s="617"/>
      <c r="Q249" s="617"/>
      <c r="R249" s="617"/>
      <c r="S249" s="1060"/>
      <c r="T249" s="1060"/>
      <c r="U249" s="1060"/>
      <c r="V249" s="263"/>
      <c r="W249" s="263"/>
      <c r="X249" s="1060"/>
      <c r="Y249" s="263"/>
      <c r="Z249" s="263"/>
      <c r="AA249" s="1060"/>
      <c r="AB249" s="263"/>
      <c r="AC249" s="263"/>
      <c r="AD249" s="1060"/>
      <c r="AE249" s="263"/>
      <c r="AF249" s="263"/>
      <c r="AG249" s="1139"/>
      <c r="AH249" s="284"/>
      <c r="AI249" s="564"/>
      <c r="AJ249" s="1139"/>
      <c r="AK249" s="284"/>
      <c r="AL249" s="284"/>
      <c r="AM249" s="1139"/>
      <c r="AN249" s="284"/>
      <c r="AO249" s="263"/>
      <c r="AP249" s="1715"/>
      <c r="AQ249" s="1376"/>
      <c r="AR249" s="263"/>
      <c r="AS249" s="200"/>
      <c r="AT249" s="263"/>
      <c r="AU249" s="263"/>
      <c r="AV249" s="200"/>
      <c r="AW249" s="263"/>
      <c r="AX249" s="263"/>
      <c r="AY249" s="200"/>
      <c r="AZ249" s="263"/>
      <c r="BA249" s="263"/>
      <c r="BB249" s="200"/>
      <c r="BC249" s="702"/>
      <c r="BD249" s="420"/>
      <c r="BE249" s="420"/>
      <c r="BF249" s="420"/>
      <c r="BG249" s="420"/>
      <c r="BH249" s="315"/>
      <c r="BI249" s="317"/>
      <c r="BJ249" s="317"/>
      <c r="BK249" s="420"/>
      <c r="BL249" s="420"/>
      <c r="BM249" s="420"/>
      <c r="BN249" s="420"/>
      <c r="BO249" s="420"/>
      <c r="BP249" s="420"/>
      <c r="BQ249" s="420"/>
      <c r="BR249" s="420"/>
      <c r="BS249" s="420"/>
      <c r="BT249" s="420"/>
      <c r="BU249" s="420"/>
      <c r="BV249" s="420"/>
      <c r="BW249" s="420"/>
      <c r="BX249" s="420"/>
      <c r="BY249" s="420"/>
      <c r="BZ249" s="420"/>
      <c r="CA249" s="420"/>
      <c r="CB249" s="420"/>
      <c r="CC249" s="331" t="e">
        <f>'P&amp;L'!#REF!/'P&amp;L'!#REF!-1</f>
        <v>#REF!</v>
      </c>
      <c r="CD249" s="331" t="e">
        <f>'P&amp;L'!#REF!/'P&amp;L'!#REF!-1</f>
        <v>#REF!</v>
      </c>
      <c r="CE249" s="331" t="e">
        <f>'P&amp;L'!AH17/'P&amp;L'!#REF!-1</f>
        <v>#REF!</v>
      </c>
      <c r="CF249" s="331">
        <f>'P&amp;L'!AI17/'P&amp;L'!AH17-1</f>
        <v>-4.9602456544387774E-2</v>
      </c>
      <c r="CG249" s="331">
        <f>'P&amp;L'!AK17/'P&amp;L'!AI17-1</f>
        <v>8.0225473679351955E-2</v>
      </c>
      <c r="CH249" s="331">
        <f>'P&amp;L'!AL17/'P&amp;L'!AK17-1</f>
        <v>-1.9975537977557911E-3</v>
      </c>
      <c r="CI249" s="331"/>
      <c r="CJ249" s="331"/>
      <c r="CK249" s="331"/>
      <c r="CL249" s="331"/>
      <c r="CM249" s="331"/>
      <c r="CN249" s="331"/>
    </row>
    <row r="250" spans="1:92">
      <c r="A250" s="204"/>
      <c r="B250" s="300" t="s">
        <v>784</v>
      </c>
      <c r="C250" s="297"/>
      <c r="D250" s="298"/>
      <c r="E250" s="298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  <c r="AA250" s="299"/>
      <c r="AB250" s="299"/>
      <c r="AC250" s="299"/>
      <c r="AD250" s="299"/>
      <c r="AE250" s="299"/>
      <c r="AF250" s="299"/>
      <c r="AG250" s="299"/>
      <c r="AH250" s="299"/>
      <c r="AI250" s="299"/>
      <c r="AJ250" s="299"/>
      <c r="AK250" s="299"/>
      <c r="AL250" s="299"/>
      <c r="AM250" s="299"/>
      <c r="AN250" s="299"/>
      <c r="AO250" s="299"/>
      <c r="AP250" s="299"/>
      <c r="AQ250" s="1381"/>
      <c r="AR250" s="299"/>
      <c r="AS250" s="299"/>
      <c r="AT250" s="299"/>
      <c r="AU250" s="299"/>
      <c r="AV250" s="299"/>
      <c r="AW250" s="299"/>
      <c r="AX250" s="299"/>
      <c r="AY250" s="299"/>
      <c r="AZ250" s="299"/>
      <c r="BA250" s="299"/>
      <c r="BB250" s="299"/>
      <c r="BC250" s="190"/>
      <c r="BD250" s="316"/>
      <c r="BE250" s="316"/>
      <c r="BF250" s="316"/>
      <c r="BG250" s="316"/>
      <c r="BH250" s="315"/>
      <c r="BI250" s="317"/>
      <c r="BJ250" s="317"/>
      <c r="BK250" s="299"/>
      <c r="BL250" s="299"/>
      <c r="BM250" s="299"/>
      <c r="BN250" s="299"/>
      <c r="BO250" s="299"/>
      <c r="BP250" s="299"/>
      <c r="BQ250" s="299"/>
      <c r="BR250" s="299"/>
      <c r="BS250" s="299"/>
      <c r="BT250" s="299"/>
      <c r="BU250" s="299"/>
      <c r="BV250" s="299"/>
      <c r="BW250" s="299"/>
      <c r="BX250" s="299"/>
      <c r="BY250" s="299"/>
      <c r="BZ250" s="299"/>
      <c r="CA250" s="299"/>
      <c r="CB250" s="299"/>
      <c r="CC250" s="299"/>
      <c r="CD250" s="299"/>
      <c r="CE250" s="299"/>
      <c r="CF250" s="299"/>
      <c r="CG250" s="299"/>
      <c r="CH250" s="299"/>
      <c r="CI250" s="299"/>
      <c r="CJ250" s="299"/>
      <c r="CK250" s="299"/>
      <c r="CL250" s="299"/>
      <c r="CM250" s="299"/>
      <c r="CN250" s="299"/>
    </row>
    <row r="251" spans="1:92">
      <c r="A251" s="204"/>
      <c r="B251" s="184" t="s">
        <v>786</v>
      </c>
      <c r="C251" s="185"/>
      <c r="D251" s="186"/>
      <c r="E251" s="18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165">
        <f>+V252/X252</f>
        <v>0.54826992926782647</v>
      </c>
      <c r="W251" s="196"/>
      <c r="X251" s="196"/>
      <c r="Y251" s="196"/>
      <c r="Z251" s="196"/>
      <c r="AA251" s="196"/>
      <c r="AB251" s="196"/>
      <c r="AC251" s="196"/>
      <c r="AD251" s="196"/>
      <c r="AE251" s="196"/>
      <c r="AF251" s="196"/>
      <c r="AG251" s="196"/>
      <c r="AH251" s="1193"/>
      <c r="AI251" s="196"/>
      <c r="AJ251" s="196"/>
      <c r="AK251" s="196"/>
      <c r="AL251" s="196"/>
      <c r="AM251" s="196"/>
      <c r="AN251" s="196"/>
      <c r="AO251" s="196"/>
      <c r="AP251" s="196"/>
      <c r="AQ251" s="1369"/>
      <c r="AR251" s="196"/>
      <c r="AS251" s="196"/>
      <c r="AT251" s="196"/>
      <c r="AU251" s="196"/>
      <c r="AV251" s="196"/>
      <c r="AW251" s="196"/>
      <c r="AX251" s="196"/>
      <c r="AY251" s="196"/>
      <c r="AZ251" s="196"/>
      <c r="BA251" s="196"/>
      <c r="BB251" s="196"/>
      <c r="BC251" s="190"/>
      <c r="BD251" s="316"/>
      <c r="BE251" s="316"/>
      <c r="BF251" s="316"/>
      <c r="BG251" s="316"/>
      <c r="BH251" s="315"/>
      <c r="BI251" s="317"/>
      <c r="BJ251" s="317"/>
      <c r="BK251" s="196"/>
      <c r="BL251" s="196"/>
      <c r="BM251" s="196"/>
      <c r="BN251" s="196"/>
      <c r="BO251" s="196"/>
      <c r="BP251" s="196"/>
      <c r="BQ251" s="196"/>
      <c r="BR251" s="196"/>
      <c r="BS251" s="196"/>
      <c r="BT251" s="196"/>
      <c r="BU251" s="196"/>
      <c r="BV251" s="196"/>
      <c r="BW251" s="196"/>
      <c r="BX251" s="196"/>
      <c r="BY251" s="196"/>
      <c r="BZ251" s="196"/>
      <c r="CA251" s="196"/>
      <c r="CB251" s="196"/>
      <c r="CC251" s="196"/>
      <c r="CD251" s="196"/>
      <c r="CE251" s="196"/>
      <c r="CF251" s="196"/>
      <c r="CG251" s="196"/>
      <c r="CH251" s="196"/>
      <c r="CI251" s="196"/>
      <c r="CJ251" s="196"/>
      <c r="CK251" s="196"/>
      <c r="CL251" s="196"/>
      <c r="CM251" s="196"/>
      <c r="CN251" s="196"/>
    </row>
    <row r="252" spans="1:92">
      <c r="A252" s="165" t="s">
        <v>801</v>
      </c>
      <c r="B252" s="833" t="s">
        <v>598</v>
      </c>
      <c r="C252" s="1055"/>
      <c r="D252" s="282"/>
      <c r="E252" s="282"/>
      <c r="F252" s="282"/>
      <c r="G252" s="282"/>
      <c r="H252" s="282"/>
      <c r="I252" s="282"/>
      <c r="J252" s="1061">
        <v>279.10000000000002</v>
      </c>
      <c r="K252" s="1061">
        <v>384.59100000000001</v>
      </c>
      <c r="L252" s="1061">
        <v>482.9910000000001</v>
      </c>
      <c r="M252" s="1061">
        <v>573.47800000000029</v>
      </c>
      <c r="N252" s="1061">
        <v>627.029</v>
      </c>
      <c r="O252" s="1061">
        <v>629.2299999999999</v>
      </c>
      <c r="P252" s="1061">
        <v>682.50600000000009</v>
      </c>
      <c r="Q252" s="1061">
        <v>721.58100000000024</v>
      </c>
      <c r="R252" s="1061">
        <v>762.6</v>
      </c>
      <c r="S252" s="1061">
        <v>825.8</v>
      </c>
      <c r="T252" s="1061">
        <v>922.8</v>
      </c>
      <c r="U252" s="1061">
        <v>1006.5</v>
      </c>
      <c r="V252" s="1062">
        <v>573.6</v>
      </c>
      <c r="W252" s="526">
        <f>X252-V252</f>
        <v>472.6</v>
      </c>
      <c r="X252" s="1061">
        <v>1046.2</v>
      </c>
      <c r="Y252" s="1062">
        <v>600.79999999999995</v>
      </c>
      <c r="Z252" s="526">
        <f>AA252-Y252</f>
        <v>568.20000000000005</v>
      </c>
      <c r="AA252" s="1061">
        <v>1169</v>
      </c>
      <c r="AB252" s="1062">
        <v>737.4</v>
      </c>
      <c r="AC252" s="526">
        <f>AD252-AB252</f>
        <v>587.80000000000007</v>
      </c>
      <c r="AD252" s="1061">
        <v>1325.2</v>
      </c>
      <c r="AE252" s="1062">
        <v>716.3</v>
      </c>
      <c r="AF252" s="526">
        <f>AG252-AE252</f>
        <v>671.40000000000009</v>
      </c>
      <c r="AG252" s="1061">
        <v>1387.7</v>
      </c>
      <c r="AH252" s="1062">
        <v>820</v>
      </c>
      <c r="AI252" s="703">
        <f>AJ252-AH252</f>
        <v>661.40000000000009</v>
      </c>
      <c r="AJ252" s="1062">
        <v>1481.4</v>
      </c>
      <c r="AK252" s="1269">
        <v>795.6</v>
      </c>
      <c r="AL252" s="526">
        <f>AM252-AK252</f>
        <v>672.19999999999993</v>
      </c>
      <c r="AM252" s="1062">
        <v>1467.8</v>
      </c>
      <c r="AN252" s="1916">
        <v>846.4</v>
      </c>
      <c r="AO252" s="526">
        <f>AP252-AN252</f>
        <v>715.9</v>
      </c>
      <c r="AP252" s="1062">
        <v>1562.3</v>
      </c>
      <c r="AQ252" s="1753">
        <v>904.5</v>
      </c>
      <c r="AR252" s="526">
        <f>AS252-AQ252</f>
        <v>742.8746990776699</v>
      </c>
      <c r="AS252" s="241">
        <f>AS253*AS72</f>
        <v>1647.3746990776699</v>
      </c>
      <c r="AT252" s="241">
        <f>AT253*AT72</f>
        <v>934.09377115384609</v>
      </c>
      <c r="AU252" s="526">
        <f>AV252-AT252</f>
        <v>767.53886323658458</v>
      </c>
      <c r="AV252" s="241">
        <f>AV253*AV72</f>
        <v>1701.6326343904307</v>
      </c>
      <c r="AW252" s="241">
        <f>AW253*AW72</f>
        <v>975.90558757691963</v>
      </c>
      <c r="AX252" s="526">
        <f>AY252-AW252</f>
        <v>801.89536473384453</v>
      </c>
      <c r="AY252" s="241">
        <f>AY253*AY72</f>
        <v>1777.8009523107642</v>
      </c>
      <c r="AZ252" s="241">
        <f>AZ253*AZ72</f>
        <v>1019.5669560448197</v>
      </c>
      <c r="BA252" s="526">
        <f>BB252-AZ252</f>
        <v>837.77163128875816</v>
      </c>
      <c r="BB252" s="241">
        <f>BB253*BB72</f>
        <v>1857.3385873335778</v>
      </c>
      <c r="BC252" s="241"/>
      <c r="BD252" s="419"/>
      <c r="BE252" s="419"/>
      <c r="BF252" s="419"/>
      <c r="BG252" s="419"/>
      <c r="BH252" s="335"/>
      <c r="BI252" s="398"/>
      <c r="BJ252" s="398"/>
      <c r="BK252" s="523"/>
      <c r="BL252" s="523"/>
      <c r="BM252" s="523"/>
      <c r="BN252" s="523"/>
      <c r="BO252" s="523"/>
      <c r="BP252" s="523"/>
      <c r="BQ252" s="523"/>
      <c r="BR252" s="523"/>
      <c r="BS252" s="524">
        <v>205.2</v>
      </c>
      <c r="BT252" s="510">
        <f>K252-BS252</f>
        <v>179.39100000000002</v>
      </c>
      <c r="BU252" s="524">
        <f>BU226-BU280</f>
        <v>258.18200000000007</v>
      </c>
      <c r="BV252" s="510">
        <f>L252-BU252</f>
        <v>224.80900000000003</v>
      </c>
      <c r="BW252" s="524">
        <v>316.39999999999998</v>
      </c>
      <c r="BX252" s="510">
        <f>M252-BW252</f>
        <v>257.07800000000032</v>
      </c>
      <c r="BY252" s="524">
        <v>350</v>
      </c>
      <c r="BZ252" s="510">
        <f>N252-BY252</f>
        <v>277.029</v>
      </c>
      <c r="CA252" s="524">
        <v>360.7</v>
      </c>
      <c r="CB252" s="510">
        <f>O252-CA252</f>
        <v>268.52999999999992</v>
      </c>
      <c r="CC252" s="524">
        <v>375.1</v>
      </c>
      <c r="CD252" s="510">
        <f>P252-CC252</f>
        <v>307.40600000000006</v>
      </c>
      <c r="CE252" s="524">
        <v>401.3</v>
      </c>
      <c r="CF252" s="510">
        <f>Q252-CE252</f>
        <v>320.28100000000023</v>
      </c>
      <c r="CG252" s="524">
        <v>408.7</v>
      </c>
      <c r="CH252" s="510">
        <f>R252-CG252</f>
        <v>353.90000000000003</v>
      </c>
      <c r="CI252" s="524">
        <v>438.6</v>
      </c>
      <c r="CJ252" s="510">
        <f>S252-CI252</f>
        <v>387.19999999999993</v>
      </c>
      <c r="CK252" s="524">
        <v>496.5</v>
      </c>
      <c r="CL252" s="525">
        <f>T252-CK252</f>
        <v>426.29999999999995</v>
      </c>
      <c r="CM252" s="524">
        <v>545.29999999999995</v>
      </c>
      <c r="CN252" s="525">
        <f>U252-CM252</f>
        <v>461.20000000000005</v>
      </c>
    </row>
    <row r="253" spans="1:92">
      <c r="A253" s="165" t="s">
        <v>815</v>
      </c>
      <c r="B253" s="782" t="s">
        <v>596</v>
      </c>
      <c r="C253" s="1055"/>
      <c r="D253" s="282"/>
      <c r="E253" s="282"/>
      <c r="F253" s="282"/>
      <c r="G253" s="282"/>
      <c r="H253" s="282"/>
      <c r="I253" s="282"/>
      <c r="J253" s="618">
        <f t="shared" ref="J253:T253" si="1218">J252/J72</f>
        <v>0.22152411128431604</v>
      </c>
      <c r="K253" s="618">
        <f t="shared" si="1218"/>
        <v>0.22165861699307229</v>
      </c>
      <c r="L253" s="618">
        <f t="shared" si="1218"/>
        <v>0.2190471136943733</v>
      </c>
      <c r="M253" s="618">
        <f t="shared" si="1218"/>
        <v>0.22073418197046407</v>
      </c>
      <c r="N253" s="618">
        <f t="shared" si="1218"/>
        <v>0.22277516701147257</v>
      </c>
      <c r="O253" s="618">
        <f t="shared" si="1218"/>
        <v>0.21296391564160946</v>
      </c>
      <c r="P253" s="618">
        <f t="shared" si="1218"/>
        <v>0.21730205866817459</v>
      </c>
      <c r="Q253" s="618">
        <f t="shared" si="1218"/>
        <v>0.21913583621230018</v>
      </c>
      <c r="R253" s="618">
        <f t="shared" si="1218"/>
        <v>0.22065870065416365</v>
      </c>
      <c r="S253" s="618">
        <f t="shared" si="1218"/>
        <v>0.22084004794405881</v>
      </c>
      <c r="T253" s="618">
        <f t="shared" si="1218"/>
        <v>0.22243648459721349</v>
      </c>
      <c r="U253" s="618">
        <f t="shared" ref="U253:AG253" si="1219">U252/U72</f>
        <v>0.22171068572813182</v>
      </c>
      <c r="V253" s="618">
        <f t="shared" si="1219"/>
        <v>0.22135607610079883</v>
      </c>
      <c r="W253" s="618">
        <f t="shared" si="1219"/>
        <v>0.22138942240127421</v>
      </c>
      <c r="X253" s="618">
        <f t="shared" si="1219"/>
        <v>0.22137113838341094</v>
      </c>
      <c r="Y253" s="618">
        <f t="shared" si="1219"/>
        <v>0.22068762856303259</v>
      </c>
      <c r="Z253" s="618">
        <f t="shared" si="1219"/>
        <v>0.21883304448295787</v>
      </c>
      <c r="AA253" s="618">
        <f t="shared" si="1219"/>
        <v>0.21978228581097597</v>
      </c>
      <c r="AB253" s="618">
        <f t="shared" si="1219"/>
        <v>0.2197455076437107</v>
      </c>
      <c r="AC253" s="618">
        <f t="shared" si="1219"/>
        <v>0.22598131559724732</v>
      </c>
      <c r="AD253" s="618">
        <f t="shared" si="1219"/>
        <v>0.22246843943056674</v>
      </c>
      <c r="AE253" s="618">
        <f t="shared" si="1219"/>
        <v>0.21768728156815073</v>
      </c>
      <c r="AF253" s="618">
        <f t="shared" si="1219"/>
        <v>0.23103922918100486</v>
      </c>
      <c r="AG253" s="618">
        <f t="shared" si="1219"/>
        <v>0.22394900346970065</v>
      </c>
      <c r="AH253" s="618">
        <f t="shared" ref="AH253" si="1220">AH252/AH72</f>
        <v>0.22848863129736957</v>
      </c>
      <c r="AI253" s="567">
        <f>AI252/AI72</f>
        <v>0.22364995096878912</v>
      </c>
      <c r="AJ253" s="618">
        <f t="shared" ref="AJ253:AK253" si="1221">AJ252/AJ72</f>
        <v>0.2263026840408793</v>
      </c>
      <c r="AK253" s="567">
        <f t="shared" si="1221"/>
        <v>0.22007689967082517</v>
      </c>
      <c r="AL253" s="618">
        <f>AL252/AL72</f>
        <v>0.22445572325363963</v>
      </c>
      <c r="AM253" s="618">
        <f t="shared" ref="AM253:AN253" si="1222">AM252/AM72</f>
        <v>0.22206084812175678</v>
      </c>
      <c r="AN253" s="567">
        <f t="shared" si="1222"/>
        <v>0.21841453344343517</v>
      </c>
      <c r="AO253" s="618">
        <f>AO252/AO72</f>
        <v>0.22177819083023542</v>
      </c>
      <c r="AP253" s="618">
        <f t="shared" ref="AP253:AQ253" si="1223">AP252/AP72</f>
        <v>0.21994312422570109</v>
      </c>
      <c r="AQ253" s="1540">
        <f t="shared" si="1223"/>
        <v>0.21951219512195122</v>
      </c>
      <c r="AR253" s="618">
        <f>AR252/AR72</f>
        <v>0.22158730814756322</v>
      </c>
      <c r="AS253" s="202">
        <f>+AP253+AS254</f>
        <v>0.22044312422570109</v>
      </c>
      <c r="AT253" s="618">
        <f>AQ253+AT254</f>
        <v>0.21701219512195122</v>
      </c>
      <c r="AU253" s="618">
        <f t="shared" ref="AU253" si="1224">AU252/AU72</f>
        <v>0.21908689493273875</v>
      </c>
      <c r="AV253" s="202">
        <f>+AS253+AV254</f>
        <v>0.21794312422570108</v>
      </c>
      <c r="AW253" s="618">
        <f>AT253+AW254</f>
        <v>0.21701219512195122</v>
      </c>
      <c r="AX253" s="618">
        <f>AX252/AX72</f>
        <v>0.21908689493273867</v>
      </c>
      <c r="AY253" s="202">
        <f>+AV253+AY254</f>
        <v>0.21794312422570108</v>
      </c>
      <c r="AZ253" s="618">
        <f>AW253+AZ254</f>
        <v>0.21701219512195122</v>
      </c>
      <c r="BA253" s="618">
        <f t="shared" ref="BA253" si="1225">BA252/BA72</f>
        <v>0.21908689493273872</v>
      </c>
      <c r="BB253" s="202">
        <f>+AY253+BB254</f>
        <v>0.21794312422570108</v>
      </c>
      <c r="BC253" s="563"/>
      <c r="BD253" s="328"/>
      <c r="BE253" s="328"/>
      <c r="BF253" s="328"/>
      <c r="BG253" s="328"/>
      <c r="BH253" s="315"/>
      <c r="BI253" s="317"/>
      <c r="BJ253" s="317"/>
      <c r="BK253" s="359"/>
      <c r="BL253" s="359"/>
      <c r="BM253" s="359"/>
      <c r="BN253" s="359"/>
      <c r="BO253" s="359"/>
      <c r="BP253" s="359"/>
      <c r="BQ253" s="359"/>
      <c r="BR253" s="359"/>
      <c r="BS253" s="359">
        <f t="shared" ref="BS253:CL253" si="1226">BS252/BS72</f>
        <v>0.21813543106197511</v>
      </c>
      <c r="BT253" s="359">
        <f t="shared" si="1226"/>
        <v>0.22583085754569721</v>
      </c>
      <c r="BU253" s="359">
        <f t="shared" si="1226"/>
        <v>0.2161305579855429</v>
      </c>
      <c r="BV253" s="359">
        <f t="shared" si="1226"/>
        <v>0.22249527166990471</v>
      </c>
      <c r="BW253" s="359">
        <f t="shared" si="1226"/>
        <v>0.21418900622799888</v>
      </c>
      <c r="BX253" s="359">
        <f t="shared" si="1226"/>
        <v>0.22936027008122445</v>
      </c>
      <c r="BY253" s="359">
        <f t="shared" si="1226"/>
        <v>0.2178649237472767</v>
      </c>
      <c r="BZ253" s="359">
        <f t="shared" si="1226"/>
        <v>0.22930453503646556</v>
      </c>
      <c r="CA253" s="359">
        <f t="shared" si="1226"/>
        <v>0.2150479937995588</v>
      </c>
      <c r="CB253" s="359">
        <f t="shared" si="1226"/>
        <v>0.21022725493450403</v>
      </c>
      <c r="CC253" s="359">
        <f t="shared" si="1226"/>
        <v>0.2175754060324826</v>
      </c>
      <c r="CD253" s="359">
        <f t="shared" si="1226"/>
        <v>0.2169694463011102</v>
      </c>
      <c r="CE253" s="359">
        <f t="shared" si="1226"/>
        <v>0.21857298474945536</v>
      </c>
      <c r="CF253" s="359">
        <f t="shared" si="1226"/>
        <v>0.21984517259178737</v>
      </c>
      <c r="CG253" s="334">
        <f t="shared" si="1226"/>
        <v>0.21948243603485942</v>
      </c>
      <c r="CH253" s="334">
        <f t="shared" si="1226"/>
        <v>0.222032890229549</v>
      </c>
      <c r="CI253" s="334">
        <f t="shared" si="1226"/>
        <v>0.21920530330897053</v>
      </c>
      <c r="CJ253" s="334">
        <f t="shared" si="1226"/>
        <v>0.22272150493473081</v>
      </c>
      <c r="CK253" s="334">
        <f t="shared" si="1226"/>
        <v>0.22222719541670399</v>
      </c>
      <c r="CL253" s="334">
        <f t="shared" si="1226"/>
        <v>0.2226807354784788</v>
      </c>
      <c r="CM253" s="334">
        <f>CM252/CM72</f>
        <v>0.22023424878836831</v>
      </c>
      <c r="CN253" s="334">
        <f t="shared" ref="CN253" si="1227">CN252/CN72</f>
        <v>0.2234820952657848</v>
      </c>
    </row>
    <row r="254" spans="1:92">
      <c r="A254" s="165"/>
      <c r="B254" s="782" t="s">
        <v>779</v>
      </c>
      <c r="C254" s="1055"/>
      <c r="D254" s="282"/>
      <c r="E254" s="282"/>
      <c r="F254" s="282"/>
      <c r="G254" s="282"/>
      <c r="H254" s="282"/>
      <c r="I254" s="282"/>
      <c r="J254" s="284"/>
      <c r="K254" s="618">
        <f>K253-J253</f>
        <v>1.3450570875625512E-4</v>
      </c>
      <c r="L254" s="618">
        <f t="shared" ref="L254:U254" si="1228">L253-K253</f>
        <v>-2.6115032986989972E-3</v>
      </c>
      <c r="M254" s="618">
        <f t="shared" si="1228"/>
        <v>1.6870682760907751E-3</v>
      </c>
      <c r="N254" s="618">
        <f t="shared" si="1228"/>
        <v>2.0409850410084973E-3</v>
      </c>
      <c r="O254" s="618">
        <f t="shared" si="1228"/>
        <v>-9.8112513698631054E-3</v>
      </c>
      <c r="P254" s="618">
        <f t="shared" si="1228"/>
        <v>4.3381430265651277E-3</v>
      </c>
      <c r="Q254" s="618">
        <f t="shared" si="1228"/>
        <v>1.8337775441255866E-3</v>
      </c>
      <c r="R254" s="618">
        <f t="shared" si="1228"/>
        <v>1.5228644418634751E-3</v>
      </c>
      <c r="S254" s="618">
        <f t="shared" si="1228"/>
        <v>1.813472898951618E-4</v>
      </c>
      <c r="T254" s="618">
        <f t="shared" si="1228"/>
        <v>1.5964366531546759E-3</v>
      </c>
      <c r="U254" s="618">
        <f t="shared" si="1228"/>
        <v>-7.2579886908166746E-4</v>
      </c>
      <c r="V254" s="618">
        <f>V253-CM253</f>
        <v>1.1218273124305178E-3</v>
      </c>
      <c r="W254" s="618">
        <f>W253-CN253</f>
        <v>-2.0926728645105919E-3</v>
      </c>
      <c r="X254" s="618">
        <f t="shared" ref="X254:AQ254" si="1229">X253-U253</f>
        <v>-3.3954734472088632E-4</v>
      </c>
      <c r="Y254" s="618">
        <f t="shared" si="1229"/>
        <v>-6.6844753776623689E-4</v>
      </c>
      <c r="Z254" s="618">
        <f t="shared" si="1229"/>
        <v>-2.5563779183163382E-3</v>
      </c>
      <c r="AA254" s="618">
        <f t="shared" si="1229"/>
        <v>-1.5888525724349623E-3</v>
      </c>
      <c r="AB254" s="618">
        <f t="shared" si="1229"/>
        <v>-9.4212091932188713E-4</v>
      </c>
      <c r="AC254" s="618">
        <f t="shared" si="1229"/>
        <v>7.1482711142894506E-3</v>
      </c>
      <c r="AD254" s="618">
        <f t="shared" si="1229"/>
        <v>2.6861536195907643E-3</v>
      </c>
      <c r="AE254" s="618">
        <f t="shared" si="1229"/>
        <v>-2.0582260755599713E-3</v>
      </c>
      <c r="AF254" s="618">
        <f t="shared" si="1229"/>
        <v>5.0579135837575395E-3</v>
      </c>
      <c r="AG254" s="618">
        <f t="shared" si="1229"/>
        <v>1.4805640391339081E-3</v>
      </c>
      <c r="AH254" s="618">
        <f t="shared" si="1229"/>
        <v>1.080134972921884E-2</v>
      </c>
      <c r="AI254" s="567">
        <f>AI253-AF253</f>
        <v>-7.3892782122157441E-3</v>
      </c>
      <c r="AJ254" s="618">
        <f t="shared" si="1229"/>
        <v>2.3536805711786568E-3</v>
      </c>
      <c r="AK254" s="567">
        <f t="shared" si="1229"/>
        <v>-8.4117316265444053E-3</v>
      </c>
      <c r="AL254" s="618">
        <f>AL253-AI253</f>
        <v>8.0577228485051444E-4</v>
      </c>
      <c r="AM254" s="618">
        <f t="shared" si="1229"/>
        <v>-4.2418359191225274E-3</v>
      </c>
      <c r="AN254" s="567">
        <f t="shared" si="1229"/>
        <v>-1.6623662273899942E-3</v>
      </c>
      <c r="AO254" s="618">
        <f>AO253-AL253</f>
        <v>-2.6775324234042108E-3</v>
      </c>
      <c r="AP254" s="618">
        <f t="shared" si="1229"/>
        <v>-2.1177238960556899E-3</v>
      </c>
      <c r="AQ254" s="1540">
        <f t="shared" si="1229"/>
        <v>1.0976616785160487E-3</v>
      </c>
      <c r="AR254" s="618">
        <f>AR253-AO253</f>
        <v>-1.9088268267219988E-4</v>
      </c>
      <c r="AS254" s="198">
        <v>5.0000000000000001E-4</v>
      </c>
      <c r="AT254" s="1687">
        <v>-2.5000000000000001E-3</v>
      </c>
      <c r="AU254" s="1688">
        <f>AU253-AR253</f>
        <v>-2.5004132148244707E-3</v>
      </c>
      <c r="AV254" s="1689">
        <v>-2.5000000000000001E-3</v>
      </c>
      <c r="AW254" s="1687">
        <v>0</v>
      </c>
      <c r="AX254" s="1688">
        <f>AX253-AU253</f>
        <v>0</v>
      </c>
      <c r="AY254" s="1689">
        <v>0</v>
      </c>
      <c r="AZ254" s="625">
        <v>0</v>
      </c>
      <c r="BA254" s="618">
        <f>BA253-AX253</f>
        <v>0</v>
      </c>
      <c r="BB254" s="198">
        <v>0</v>
      </c>
      <c r="BC254" s="1352"/>
      <c r="BD254" s="424"/>
      <c r="BE254" s="424"/>
      <c r="BF254" s="424"/>
      <c r="BG254" s="424"/>
      <c r="BH254" s="315"/>
      <c r="BI254" s="317"/>
      <c r="BJ254" s="317"/>
      <c r="BK254" s="359"/>
      <c r="BL254" s="359"/>
      <c r="BM254" s="359"/>
      <c r="BN254" s="359"/>
      <c r="BO254" s="359"/>
      <c r="BP254" s="359"/>
      <c r="BQ254" s="359"/>
      <c r="BR254" s="359"/>
      <c r="BS254" s="359"/>
      <c r="BT254" s="359"/>
      <c r="BU254" s="334">
        <f t="shared" ref="BU254:CL254" si="1230">BU253-BS253</f>
        <v>-2.004873076432212E-3</v>
      </c>
      <c r="BV254" s="334">
        <f t="shared" si="1230"/>
        <v>-3.3355858757924961E-3</v>
      </c>
      <c r="BW254" s="334">
        <f t="shared" si="1230"/>
        <v>-1.9415517575440133E-3</v>
      </c>
      <c r="BX254" s="334">
        <f t="shared" si="1230"/>
        <v>6.8649984113197393E-3</v>
      </c>
      <c r="BY254" s="334">
        <f t="shared" si="1230"/>
        <v>3.675917519277816E-3</v>
      </c>
      <c r="BZ254" s="334">
        <f t="shared" si="1230"/>
        <v>-5.5735044758892238E-5</v>
      </c>
      <c r="CA254" s="334">
        <f t="shared" si="1230"/>
        <v>-2.8169299477179E-3</v>
      </c>
      <c r="CB254" s="334">
        <f t="shared" si="1230"/>
        <v>-1.9077280101961525E-2</v>
      </c>
      <c r="CC254" s="334">
        <f t="shared" si="1230"/>
        <v>2.527412232923798E-3</v>
      </c>
      <c r="CD254" s="334">
        <f t="shared" si="1230"/>
        <v>6.7421913666061706E-3</v>
      </c>
      <c r="CE254" s="334">
        <f t="shared" si="1230"/>
        <v>9.9757871697275791E-4</v>
      </c>
      <c r="CF254" s="334">
        <f t="shared" si="1230"/>
        <v>2.8757262906771719E-3</v>
      </c>
      <c r="CG254" s="334">
        <f t="shared" si="1230"/>
        <v>9.0945128540406706E-4</v>
      </c>
      <c r="CH254" s="334">
        <f t="shared" si="1230"/>
        <v>2.187717637761627E-3</v>
      </c>
      <c r="CI254" s="334">
        <f t="shared" si="1230"/>
        <v>-2.7713272588889004E-4</v>
      </c>
      <c r="CJ254" s="334">
        <f t="shared" si="1230"/>
        <v>6.886147051818059E-4</v>
      </c>
      <c r="CK254" s="334">
        <f t="shared" si="1230"/>
        <v>3.0218921077334593E-3</v>
      </c>
      <c r="CL254" s="334">
        <f t="shared" si="1230"/>
        <v>-4.0769456252004455E-5</v>
      </c>
      <c r="CM254" s="334">
        <f t="shared" ref="CM254:CN254" si="1231">CM253-CK253</f>
        <v>-1.9929466283356845E-3</v>
      </c>
      <c r="CN254" s="334">
        <f t="shared" si="1231"/>
        <v>8.0135978730599966E-4</v>
      </c>
    </row>
    <row r="255" spans="1:92" ht="10.5" customHeight="1">
      <c r="A255" s="165"/>
      <c r="B255" s="782"/>
      <c r="C255" s="1055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1063"/>
      <c r="X255" s="282"/>
      <c r="Y255" s="282"/>
      <c r="Z255" s="1063"/>
      <c r="AA255" s="282"/>
      <c r="AB255" s="282"/>
      <c r="AC255" s="1063"/>
      <c r="AD255" s="282"/>
      <c r="AE255" s="282"/>
      <c r="AF255" s="1063"/>
      <c r="AG255" s="282"/>
      <c r="AH255" s="282"/>
      <c r="AI255" s="704"/>
      <c r="AJ255" s="618"/>
      <c r="AK255" s="190"/>
      <c r="AL255" s="619"/>
      <c r="AM255" s="618"/>
      <c r="AN255" s="190"/>
      <c r="AO255" s="619"/>
      <c r="AP255" s="618"/>
      <c r="AQ255" s="1385"/>
      <c r="AR255" s="619"/>
      <c r="AS255" s="190"/>
      <c r="AT255" s="282"/>
      <c r="AU255" s="619"/>
      <c r="AV255" s="190"/>
      <c r="AW255" s="282"/>
      <c r="AX255" s="619"/>
      <c r="AY255" s="190"/>
      <c r="AZ255" s="282"/>
      <c r="BA255" s="619"/>
      <c r="BB255" s="190"/>
      <c r="BC255" s="190"/>
      <c r="BD255" s="316"/>
      <c r="BE255" s="316"/>
      <c r="BF255" s="316"/>
      <c r="BG255" s="316"/>
      <c r="BH255" s="315"/>
      <c r="BI255" s="317"/>
      <c r="BJ255" s="317"/>
      <c r="BK255" s="316"/>
      <c r="BL255" s="316"/>
      <c r="BM255" s="316"/>
      <c r="BN255" s="316"/>
      <c r="BO255" s="316"/>
      <c r="BP255" s="316"/>
      <c r="BQ255" s="316"/>
      <c r="BR255" s="316"/>
      <c r="BS255" s="316"/>
      <c r="BT255" s="316"/>
      <c r="BU255" s="316"/>
      <c r="BV255" s="316"/>
      <c r="BW255" s="316"/>
      <c r="BX255" s="316"/>
      <c r="BY255" s="316"/>
      <c r="BZ255" s="316"/>
      <c r="CA255" s="316"/>
      <c r="CB255" s="316"/>
      <c r="CC255" s="316"/>
      <c r="CD255" s="316"/>
      <c r="CE255" s="316"/>
      <c r="CF255" s="316"/>
      <c r="CG255" s="316"/>
      <c r="CH255" s="316"/>
      <c r="CI255" s="316"/>
      <c r="CJ255" s="316"/>
      <c r="CK255" s="316"/>
      <c r="CL255" s="487"/>
      <c r="CM255" s="316"/>
      <c r="CN255" s="487"/>
    </row>
    <row r="256" spans="1:92">
      <c r="A256" s="337" t="s">
        <v>802</v>
      </c>
      <c r="B256" s="1064" t="s">
        <v>775</v>
      </c>
      <c r="C256" s="1065"/>
      <c r="D256" s="619"/>
      <c r="E256" s="619"/>
      <c r="F256" s="279"/>
      <c r="G256" s="279"/>
      <c r="H256" s="279"/>
      <c r="I256" s="279"/>
      <c r="J256" s="279"/>
      <c r="K256" s="294">
        <f t="shared" ref="K256:T256" si="1232">K252-K262</f>
        <v>263.601</v>
      </c>
      <c r="L256" s="294">
        <f t="shared" si="1232"/>
        <v>320.77600000000007</v>
      </c>
      <c r="M256" s="294">
        <f t="shared" si="1232"/>
        <v>373.20700000000033</v>
      </c>
      <c r="N256" s="294">
        <f t="shared" si="1232"/>
        <v>404.32899999999995</v>
      </c>
      <c r="O256" s="294">
        <f t="shared" si="1232"/>
        <v>441.71699999999987</v>
      </c>
      <c r="P256" s="294">
        <f t="shared" si="1232"/>
        <v>475.42100000000005</v>
      </c>
      <c r="Q256" s="294">
        <f t="shared" si="1232"/>
        <v>499.93100000000027</v>
      </c>
      <c r="R256" s="294">
        <f t="shared" si="1232"/>
        <v>526.37699999999995</v>
      </c>
      <c r="S256" s="294">
        <f t="shared" si="1232"/>
        <v>567.58499999999992</v>
      </c>
      <c r="T256" s="294">
        <f t="shared" si="1232"/>
        <v>620.79999999999995</v>
      </c>
      <c r="U256" s="294">
        <f>U252-U262</f>
        <v>672.9</v>
      </c>
      <c r="V256" s="294">
        <f>V252-V262</f>
        <v>361.8</v>
      </c>
      <c r="W256" s="294">
        <f>X256-V256</f>
        <v>342.10000000000008</v>
      </c>
      <c r="X256" s="294">
        <f>X252-X262</f>
        <v>703.90000000000009</v>
      </c>
      <c r="Y256" s="294">
        <f>Y252-Y262</f>
        <v>323.29999999999995</v>
      </c>
      <c r="Z256" s="294">
        <f>AA256-Y256</f>
        <v>320.20000000000005</v>
      </c>
      <c r="AA256" s="294">
        <f>AA252-AA262</f>
        <v>643.5</v>
      </c>
      <c r="AB256" s="294">
        <f>AB252-AB262</f>
        <v>338.09999999999997</v>
      </c>
      <c r="AC256" s="294">
        <f>AD256-AB256</f>
        <v>328.60000000000008</v>
      </c>
      <c r="AD256" s="294">
        <f>AD252-AD262</f>
        <v>666.7</v>
      </c>
      <c r="AE256" s="294">
        <f>AE252-AE262</f>
        <v>354.9</v>
      </c>
      <c r="AF256" s="294">
        <f>AG256-AE256</f>
        <v>351.40000000000009</v>
      </c>
      <c r="AG256" s="294">
        <f>AG252-AG262</f>
        <v>706.30000000000007</v>
      </c>
      <c r="AH256" s="294">
        <f>AH252-AH262</f>
        <v>407.8</v>
      </c>
      <c r="AI256" s="241">
        <f>AJ256-AH256</f>
        <v>382.7000000000001</v>
      </c>
      <c r="AJ256" s="294">
        <f>AJ252-AJ262</f>
        <v>790.50000000000011</v>
      </c>
      <c r="AK256" s="241">
        <f>AK252-AK262</f>
        <v>429</v>
      </c>
      <c r="AL256" s="294">
        <f>AM256-AK256</f>
        <v>404.69999999999993</v>
      </c>
      <c r="AM256" s="294">
        <f>AM252-AM262</f>
        <v>833.69999999999993</v>
      </c>
      <c r="AN256" s="241">
        <f>AN252-AN262</f>
        <v>455.79999999999995</v>
      </c>
      <c r="AO256" s="294">
        <f>AP256-AN256</f>
        <v>426.29999999999995</v>
      </c>
      <c r="AP256" s="294">
        <f>AP252-AP262</f>
        <v>882.09999999999991</v>
      </c>
      <c r="AQ256" s="1645">
        <f>AQ252-AQ262</f>
        <v>486.7</v>
      </c>
      <c r="AR256" s="294">
        <f>AS256-AQ256</f>
        <v>442.59234999999995</v>
      </c>
      <c r="AS256" s="526">
        <f>AP256*(1+AS257)</f>
        <v>929.29234999999994</v>
      </c>
      <c r="AT256" s="294">
        <f>AQ256*(1+AT257)</f>
        <v>508.60149999999993</v>
      </c>
      <c r="AU256" s="294">
        <f>AV256-AT256</f>
        <v>462.50900574999997</v>
      </c>
      <c r="AV256" s="526">
        <f>AS256*(1+AV257)</f>
        <v>971.1105057499999</v>
      </c>
      <c r="AW256" s="294">
        <f>AT256*(1+AW257)</f>
        <v>531.48856749999993</v>
      </c>
      <c r="AX256" s="294">
        <f>AY256-AW256</f>
        <v>483.32191100874991</v>
      </c>
      <c r="AY256" s="526">
        <f>AV256*(1+AY257)</f>
        <v>1014.8104785087498</v>
      </c>
      <c r="AZ256" s="294">
        <f>AW256*(1+AZ257)</f>
        <v>555.40555303749989</v>
      </c>
      <c r="BA256" s="294">
        <f>BB256-AZ256</f>
        <v>505.07139700414359</v>
      </c>
      <c r="BB256" s="526">
        <f>AY256*(1+BB257)</f>
        <v>1060.4769500416435</v>
      </c>
      <c r="BC256" s="703"/>
      <c r="BD256" s="525"/>
      <c r="BE256" s="525"/>
      <c r="BF256" s="525"/>
      <c r="BG256" s="525"/>
      <c r="BH256" s="527"/>
      <c r="BI256" s="528"/>
      <c r="BJ256" s="528"/>
      <c r="BK256" s="419"/>
      <c r="BL256" s="419"/>
      <c r="BM256" s="419"/>
      <c r="BN256" s="419"/>
      <c r="BO256" s="419"/>
      <c r="BP256" s="419"/>
      <c r="BQ256" s="419"/>
      <c r="BR256" s="419"/>
      <c r="BS256" s="419">
        <f>BS252-BS262</f>
        <v>132.79999999999998</v>
      </c>
      <c r="BT256" s="419">
        <f t="shared" ref="BT256:CL256" si="1233">BT252-BT262</f>
        <v>130.80100000000004</v>
      </c>
      <c r="BU256" s="419">
        <f t="shared" si="1233"/>
        <v>159.88200000000006</v>
      </c>
      <c r="BV256" s="419">
        <f t="shared" si="1233"/>
        <v>160.89400000000001</v>
      </c>
      <c r="BW256" s="419">
        <f t="shared" si="1233"/>
        <v>192.7</v>
      </c>
      <c r="BX256" s="419">
        <f t="shared" si="1233"/>
        <v>180.50700000000035</v>
      </c>
      <c r="BY256" s="419">
        <f t="shared" si="1233"/>
        <v>209.6</v>
      </c>
      <c r="BZ256" s="419">
        <f t="shared" si="1233"/>
        <v>194.72899999999998</v>
      </c>
      <c r="CA256" s="419">
        <f t="shared" si="1233"/>
        <v>227.29999999999998</v>
      </c>
      <c r="CB256" s="419">
        <f t="shared" si="1233"/>
        <v>214.41699999999992</v>
      </c>
      <c r="CC256" s="419">
        <f t="shared" si="1233"/>
        <v>238.3</v>
      </c>
      <c r="CD256" s="419">
        <f t="shared" si="1233"/>
        <v>237.12100000000007</v>
      </c>
      <c r="CE256" s="419">
        <f t="shared" si="1233"/>
        <v>254.5</v>
      </c>
      <c r="CF256" s="419">
        <f t="shared" si="1233"/>
        <v>245.43100000000024</v>
      </c>
      <c r="CG256" s="419">
        <f t="shared" si="1233"/>
        <v>263.29999999999995</v>
      </c>
      <c r="CH256" s="419">
        <f t="shared" si="1233"/>
        <v>263.077</v>
      </c>
      <c r="CI256" s="419">
        <f t="shared" si="1233"/>
        <v>283.86300000000006</v>
      </c>
      <c r="CJ256" s="419">
        <f t="shared" si="1233"/>
        <v>283.72199999999987</v>
      </c>
      <c r="CK256" s="419">
        <f t="shared" si="1233"/>
        <v>311.2</v>
      </c>
      <c r="CL256" s="419">
        <f t="shared" si="1233"/>
        <v>309.59999999999997</v>
      </c>
      <c r="CM256" s="419">
        <f>CM252-CM262</f>
        <v>340.79999999999995</v>
      </c>
      <c r="CN256" s="419">
        <f>U256-CM256</f>
        <v>332.1</v>
      </c>
    </row>
    <row r="257" spans="1:93">
      <c r="A257" s="174"/>
      <c r="B257" s="1066" t="s">
        <v>777</v>
      </c>
      <c r="C257" s="1067"/>
      <c r="D257" s="336"/>
      <c r="E257" s="336"/>
      <c r="F257" s="279"/>
      <c r="G257" s="279"/>
      <c r="H257" s="279"/>
      <c r="I257" s="279"/>
      <c r="J257" s="279"/>
      <c r="K257" s="279"/>
      <c r="L257" s="263">
        <f>L256/K256-1</f>
        <v>0.21689978414345945</v>
      </c>
      <c r="M257" s="263">
        <f t="shared" ref="M257:U257" si="1234">M256/L256-1</f>
        <v>0.16345050751926649</v>
      </c>
      <c r="N257" s="263">
        <f t="shared" si="1234"/>
        <v>8.3390718823600718E-2</v>
      </c>
      <c r="O257" s="263">
        <f t="shared" si="1234"/>
        <v>9.2469251525366447E-2</v>
      </c>
      <c r="P257" s="263">
        <f t="shared" si="1234"/>
        <v>7.6302247819305613E-2</v>
      </c>
      <c r="Q257" s="263">
        <f t="shared" si="1234"/>
        <v>5.1554306604042033E-2</v>
      </c>
      <c r="R257" s="263">
        <f t="shared" si="1234"/>
        <v>5.2899300103413704E-2</v>
      </c>
      <c r="S257" s="263">
        <f t="shared" si="1234"/>
        <v>7.8286095327113392E-2</v>
      </c>
      <c r="T257" s="263">
        <f t="shared" si="1234"/>
        <v>9.3756882229093508E-2</v>
      </c>
      <c r="U257" s="263">
        <f t="shared" si="1234"/>
        <v>8.3923969072164928E-2</v>
      </c>
      <c r="V257" s="263">
        <f>V256/CM256-1</f>
        <v>6.1619718309859239E-2</v>
      </c>
      <c r="W257" s="263">
        <f>W256/CN256-1</f>
        <v>3.0111412225233503E-2</v>
      </c>
      <c r="X257" s="263">
        <f t="shared" ref="X257:AJ257" si="1235">X256/U256-1</f>
        <v>4.6069252489225887E-2</v>
      </c>
      <c r="Y257" s="263">
        <f t="shared" si="1235"/>
        <v>-0.10641238253178564</v>
      </c>
      <c r="Z257" s="263">
        <f t="shared" si="1235"/>
        <v>-6.4016369482607471E-2</v>
      </c>
      <c r="AA257" s="263">
        <f t="shared" si="1235"/>
        <v>-8.5807643131126654E-2</v>
      </c>
      <c r="AB257" s="263">
        <f t="shared" si="1235"/>
        <v>4.5777915248994772E-2</v>
      </c>
      <c r="AC257" s="263">
        <f t="shared" si="1235"/>
        <v>2.6233603997501742E-2</v>
      </c>
      <c r="AD257" s="263">
        <f t="shared" si="1235"/>
        <v>3.6052836052836046E-2</v>
      </c>
      <c r="AE257" s="263">
        <f t="shared" si="1235"/>
        <v>4.9689440993788914E-2</v>
      </c>
      <c r="AF257" s="263">
        <f t="shared" si="1235"/>
        <v>6.9385270846013425E-2</v>
      </c>
      <c r="AG257" s="284">
        <f t="shared" si="1235"/>
        <v>5.9397030148492513E-2</v>
      </c>
      <c r="AH257" s="284">
        <f>AH256/AE256-1</f>
        <v>0.14905607213299521</v>
      </c>
      <c r="AI257" s="564">
        <f>AI256/AF256-1</f>
        <v>8.9072282299373917E-2</v>
      </c>
      <c r="AJ257" s="284">
        <f t="shared" si="1235"/>
        <v>0.11921279909386961</v>
      </c>
      <c r="AK257" s="137">
        <f>AK256/AH256-1</f>
        <v>5.1986267778322715E-2</v>
      </c>
      <c r="AL257" s="137">
        <f>AL256/AI256-1</f>
        <v>5.7486281682779694E-2</v>
      </c>
      <c r="AM257" s="284">
        <f t="shared" ref="AM257" si="1236">AM256/AJ256-1</f>
        <v>5.4648956356736056E-2</v>
      </c>
      <c r="AN257" s="137">
        <f>AN256/AK256-1</f>
        <v>6.2470862470862309E-2</v>
      </c>
      <c r="AO257" s="263">
        <f>AO256/AL256-1</f>
        <v>5.337286879169767E-2</v>
      </c>
      <c r="AP257" s="284">
        <f t="shared" ref="AP257" si="1237">AP256/AM256-1</f>
        <v>5.8054456039342561E-2</v>
      </c>
      <c r="AQ257" s="1315">
        <f>AQ256/AN256-1</f>
        <v>6.7792891619131268E-2</v>
      </c>
      <c r="AR257" s="263">
        <f>AR256/AO256-1</f>
        <v>3.8218038939713761E-2</v>
      </c>
      <c r="AS257" s="287">
        <v>5.3499999999999999E-2</v>
      </c>
      <c r="AT257" s="625">
        <v>4.4999999999999998E-2</v>
      </c>
      <c r="AU257" s="263">
        <f>AU256/AR256-1</f>
        <v>4.5000000000000151E-2</v>
      </c>
      <c r="AV257" s="287">
        <v>4.4999999999999998E-2</v>
      </c>
      <c r="AW257" s="625">
        <v>4.4999999999999998E-2</v>
      </c>
      <c r="AX257" s="263">
        <f>AX256/AU256-1</f>
        <v>4.4999999999999929E-2</v>
      </c>
      <c r="AY257" s="287">
        <v>4.4999999999999998E-2</v>
      </c>
      <c r="AZ257" s="625">
        <v>4.4999999999999998E-2</v>
      </c>
      <c r="BA257" s="263">
        <f>BA256/AX256-1</f>
        <v>4.4999999999999929E-2</v>
      </c>
      <c r="BB257" s="287">
        <v>4.4999999999999998E-2</v>
      </c>
      <c r="BC257" s="1333"/>
      <c r="BD257" s="329"/>
      <c r="BE257" s="329"/>
      <c r="BF257" s="329"/>
      <c r="BG257" s="329"/>
      <c r="BH257" s="426"/>
      <c r="BI257" s="427"/>
      <c r="BJ257" s="427"/>
      <c r="BK257" s="320"/>
      <c r="BL257" s="320"/>
      <c r="BM257" s="320"/>
      <c r="BN257" s="320"/>
      <c r="BO257" s="320"/>
      <c r="BP257" s="320"/>
      <c r="BQ257" s="320"/>
      <c r="BR257" s="320"/>
      <c r="BS257" s="331"/>
      <c r="BT257" s="331"/>
      <c r="BU257" s="331">
        <f t="shared" ref="BU257:CK257" si="1238">BU256/BS256-1</f>
        <v>0.203930722891567</v>
      </c>
      <c r="BV257" s="331">
        <f t="shared" si="1238"/>
        <v>0.2300670484170606</v>
      </c>
      <c r="BW257" s="331">
        <f t="shared" si="1238"/>
        <v>0.2052638821130579</v>
      </c>
      <c r="BX257" s="331">
        <f t="shared" si="1238"/>
        <v>0.12190013300682656</v>
      </c>
      <c r="BY257" s="331">
        <f t="shared" si="1238"/>
        <v>8.7701089776855312E-2</v>
      </c>
      <c r="BZ257" s="331">
        <f t="shared" si="1238"/>
        <v>7.8789188230925289E-2</v>
      </c>
      <c r="CA257" s="331">
        <f t="shared" si="1238"/>
        <v>8.4446564885496178E-2</v>
      </c>
      <c r="CB257" s="331">
        <f t="shared" si="1238"/>
        <v>0.10110461205059296</v>
      </c>
      <c r="CC257" s="331">
        <f t="shared" si="1238"/>
        <v>4.8394192696876503E-2</v>
      </c>
      <c r="CD257" s="331">
        <f t="shared" si="1238"/>
        <v>0.10588712648717302</v>
      </c>
      <c r="CE257" s="331">
        <f t="shared" si="1238"/>
        <v>6.7981535879143795E-2</v>
      </c>
      <c r="CF257" s="331">
        <f t="shared" si="1238"/>
        <v>3.5045398762657776E-2</v>
      </c>
      <c r="CG257" s="331">
        <f t="shared" si="1238"/>
        <v>3.4577603143418179E-2</v>
      </c>
      <c r="CH257" s="331">
        <f t="shared" si="1238"/>
        <v>7.1898007994099178E-2</v>
      </c>
      <c r="CI257" s="331">
        <f t="shared" si="1238"/>
        <v>7.8097227497151867E-2</v>
      </c>
      <c r="CJ257" s="331">
        <f t="shared" si="1238"/>
        <v>7.8475123252887524E-2</v>
      </c>
      <c r="CK257" s="331">
        <f t="shared" si="1238"/>
        <v>9.6303498518651276E-2</v>
      </c>
      <c r="CL257" s="331">
        <f t="shared" ref="CL257:CN257" si="1239">CL256/CJ256-1</f>
        <v>9.1209000359507186E-2</v>
      </c>
      <c r="CM257" s="331">
        <f t="shared" si="1239"/>
        <v>9.5115681233933103E-2</v>
      </c>
      <c r="CN257" s="331">
        <f t="shared" si="1239"/>
        <v>7.2674418604651292E-2</v>
      </c>
    </row>
    <row r="258" spans="1:93">
      <c r="A258" s="517" t="s">
        <v>816</v>
      </c>
      <c r="B258" s="1066" t="s">
        <v>776</v>
      </c>
      <c r="C258" s="1067"/>
      <c r="D258" s="336"/>
      <c r="E258" s="336"/>
      <c r="F258" s="279"/>
      <c r="G258" s="279"/>
      <c r="H258" s="279"/>
      <c r="I258" s="279"/>
      <c r="J258" s="279"/>
      <c r="K258" s="279"/>
      <c r="L258" s="304">
        <f t="shared" ref="L258:T258" si="1240">L256/L72</f>
        <v>0.14547901915858946</v>
      </c>
      <c r="M258" s="304">
        <f t="shared" si="1240"/>
        <v>0.14364900109620773</v>
      </c>
      <c r="N258" s="304">
        <f t="shared" si="1240"/>
        <v>0.1436527824113106</v>
      </c>
      <c r="O258" s="304">
        <f t="shared" si="1240"/>
        <v>0.14949983618941373</v>
      </c>
      <c r="P258" s="304">
        <f t="shared" si="1240"/>
        <v>0.15136857702947992</v>
      </c>
      <c r="Q258" s="304">
        <f t="shared" si="1240"/>
        <v>0.15182328488894728</v>
      </c>
      <c r="R258" s="304">
        <f t="shared" si="1240"/>
        <v>0.1523074545951176</v>
      </c>
      <c r="S258" s="304">
        <f t="shared" si="1240"/>
        <v>0.15178675055985544</v>
      </c>
      <c r="T258" s="304">
        <f t="shared" si="1240"/>
        <v>0.14964084269392081</v>
      </c>
      <c r="U258" s="304">
        <f t="shared" ref="U258:AX258" si="1241">U256/U72</f>
        <v>0.14822565367755577</v>
      </c>
      <c r="V258" s="304">
        <f>V256/V72</f>
        <v>0.13962103963261682</v>
      </c>
      <c r="W258" s="304">
        <f>W256/W72</f>
        <v>0.16025671054480728</v>
      </c>
      <c r="X258" s="304">
        <f t="shared" si="1241"/>
        <v>0.1489420228523064</v>
      </c>
      <c r="Y258" s="304">
        <f>Y256/Y72</f>
        <v>0.11875550984425505</v>
      </c>
      <c r="Z258" s="304">
        <f>Z256/Z72</f>
        <v>0.12331985364914312</v>
      </c>
      <c r="AA258" s="304">
        <f t="shared" si="1241"/>
        <v>0.12098366203538326</v>
      </c>
      <c r="AB258" s="304">
        <f>AB256/AB72</f>
        <v>0.10075394105551748</v>
      </c>
      <c r="AC258" s="304">
        <f>AC256/AC72</f>
        <v>0.12633116758294569</v>
      </c>
      <c r="AD258" s="304">
        <f t="shared" si="1241"/>
        <v>0.11192250872951921</v>
      </c>
      <c r="AE258" s="304">
        <f t="shared" ref="AE258:AI258" si="1242">AE256/AE72</f>
        <v>0.10785594894392948</v>
      </c>
      <c r="AF258" s="304">
        <f t="shared" si="1242"/>
        <v>0.12092222986923609</v>
      </c>
      <c r="AG258" s="618">
        <f t="shared" si="1242"/>
        <v>0.11398370047607521</v>
      </c>
      <c r="AH258" s="618">
        <f t="shared" si="1242"/>
        <v>0.11363129736959429</v>
      </c>
      <c r="AI258" s="563">
        <f t="shared" si="1242"/>
        <v>0.12940858215263926</v>
      </c>
      <c r="AJ258" s="618">
        <f t="shared" ref="AJ258:AK258" si="1243">AJ256/AJ72</f>
        <v>0.12075892516154658</v>
      </c>
      <c r="AK258" s="567">
        <f t="shared" si="1243"/>
        <v>0.11866891648917043</v>
      </c>
      <c r="AL258" s="618">
        <f>AL256/AL72</f>
        <v>0.13513423266996125</v>
      </c>
      <c r="AM258" s="618">
        <f t="shared" ref="AM258:AN258" si="1244">AM256/AM72</f>
        <v>0.12612898833567829</v>
      </c>
      <c r="AN258" s="567">
        <f t="shared" si="1244"/>
        <v>0.1176197357555739</v>
      </c>
      <c r="AO258" s="304">
        <f>AO256/AO72</f>
        <v>0.13206319702602229</v>
      </c>
      <c r="AP258" s="618">
        <f t="shared" ref="AP258:AQ258" si="1245">AP256/AP72</f>
        <v>0.12418346660659983</v>
      </c>
      <c r="AQ258" s="1540">
        <f t="shared" si="1245"/>
        <v>0.11811673340614003</v>
      </c>
      <c r="AR258" s="304">
        <f>AR256/AR72</f>
        <v>0.13201802075769756</v>
      </c>
      <c r="AS258" s="304">
        <f>AS256/AS72</f>
        <v>0.12435307466342554</v>
      </c>
      <c r="AT258" s="304">
        <f t="shared" ref="AT258:AU258" si="1246">AT256/AT72</f>
        <v>0.11816022263051636</v>
      </c>
      <c r="AU258" s="304">
        <f t="shared" si="1246"/>
        <v>0.13201893324450734</v>
      </c>
      <c r="AV258" s="304">
        <f t="shared" si="1241"/>
        <v>0.12437870155644558</v>
      </c>
      <c r="AW258" s="304">
        <f t="shared" si="1241"/>
        <v>0.11818715066666777</v>
      </c>
      <c r="AX258" s="304">
        <f t="shared" si="1241"/>
        <v>0.13204901960121695</v>
      </c>
      <c r="AY258" s="304">
        <f t="shared" ref="AY258:BA258" si="1247">AY256/AY72</f>
        <v>0.12440704674823144</v>
      </c>
      <c r="AZ258" s="304">
        <f t="shared" si="1247"/>
        <v>0.11821663847870989</v>
      </c>
      <c r="BA258" s="304">
        <f t="shared" si="1247"/>
        <v>0.13208196596339347</v>
      </c>
      <c r="BB258" s="304">
        <f t="shared" ref="BB258" si="1248">BB256/BB72</f>
        <v>0.12443808643055383</v>
      </c>
      <c r="BC258" s="563"/>
      <c r="BD258" s="328"/>
      <c r="BE258" s="328"/>
      <c r="BF258" s="328"/>
      <c r="BG258" s="328"/>
      <c r="BH258" s="426"/>
      <c r="BI258" s="427"/>
      <c r="BJ258" s="427"/>
      <c r="BK258" s="320"/>
      <c r="BL258" s="320"/>
      <c r="BM258" s="320"/>
      <c r="BN258" s="320"/>
      <c r="BO258" s="320"/>
      <c r="BP258" s="320"/>
      <c r="BQ258" s="320"/>
      <c r="BR258" s="320"/>
      <c r="BS258" s="328">
        <f t="shared" ref="BS258:CK258" si="1249">BS256/BS72</f>
        <v>0.14117146805570319</v>
      </c>
      <c r="BT258" s="328">
        <f t="shared" si="1249"/>
        <v>0.16466211793141655</v>
      </c>
      <c r="BU258" s="328">
        <f t="shared" si="1249"/>
        <v>0.13384118905208175</v>
      </c>
      <c r="BV258" s="328">
        <f t="shared" si="1249"/>
        <v>0.15923808317308313</v>
      </c>
      <c r="BW258" s="328">
        <f t="shared" si="1249"/>
        <v>0.13044949905226103</v>
      </c>
      <c r="BX258" s="328">
        <f t="shared" si="1249"/>
        <v>0.16104503019142677</v>
      </c>
      <c r="BY258" s="328">
        <f t="shared" si="1249"/>
        <v>0.1304699657640834</v>
      </c>
      <c r="BZ258" s="328">
        <f t="shared" si="1249"/>
        <v>0.16118255779400675</v>
      </c>
      <c r="CA258" s="328">
        <f t="shared" si="1249"/>
        <v>0.13551541167352291</v>
      </c>
      <c r="CB258" s="328">
        <f t="shared" si="1249"/>
        <v>0.16786317104715132</v>
      </c>
      <c r="CC258" s="328">
        <f t="shared" si="1249"/>
        <v>0.13822505800464038</v>
      </c>
      <c r="CD258" s="328">
        <f t="shared" si="1249"/>
        <v>0.16736176937459113</v>
      </c>
      <c r="CE258" s="328">
        <f t="shared" si="1249"/>
        <v>0.13861655773420478</v>
      </c>
      <c r="CF258" s="328">
        <f t="shared" si="1249"/>
        <v>0.16846712903473818</v>
      </c>
      <c r="CG258" s="328">
        <f t="shared" si="1249"/>
        <v>0.14139888771220571</v>
      </c>
      <c r="CH258" s="328">
        <f t="shared" si="1249"/>
        <v>0.1650515588101697</v>
      </c>
      <c r="CI258" s="328">
        <f t="shared" si="1249"/>
        <v>0.14187021206838649</v>
      </c>
      <c r="CJ258" s="328">
        <f t="shared" si="1249"/>
        <v>0.1631998729935219</v>
      </c>
      <c r="CK258" s="328">
        <f t="shared" si="1249"/>
        <v>0.13928923104466923</v>
      </c>
      <c r="CL258" s="328">
        <f t="shared" ref="CL258:CN258" si="1250">CL256/CL72</f>
        <v>0.1617216882574174</v>
      </c>
      <c r="CM258" s="328">
        <f t="shared" si="1250"/>
        <v>0.13764135702746363</v>
      </c>
      <c r="CN258" s="328">
        <f t="shared" si="1250"/>
        <v>0.16092455298735284</v>
      </c>
    </row>
    <row r="259" spans="1:93">
      <c r="A259" s="174"/>
      <c r="B259" s="1066" t="s">
        <v>778</v>
      </c>
      <c r="C259" s="1067"/>
      <c r="D259" s="336"/>
      <c r="E259" s="336"/>
      <c r="F259" s="279"/>
      <c r="G259" s="279"/>
      <c r="H259" s="279"/>
      <c r="I259" s="279"/>
      <c r="J259" s="279"/>
      <c r="K259" s="279"/>
      <c r="L259" s="279"/>
      <c r="M259" s="304">
        <f>M258-L258</f>
        <v>-1.8300180623817275E-3</v>
      </c>
      <c r="N259" s="304">
        <f t="shared" ref="N259:U259" si="1251">N258-M258</f>
        <v>3.7813151028687209E-6</v>
      </c>
      <c r="O259" s="304">
        <f t="shared" si="1251"/>
        <v>5.8470537781031284E-3</v>
      </c>
      <c r="P259" s="304">
        <f t="shared" si="1251"/>
        <v>1.8687408400661909E-3</v>
      </c>
      <c r="Q259" s="304">
        <f t="shared" si="1251"/>
        <v>4.5470785946735703E-4</v>
      </c>
      <c r="R259" s="304">
        <f t="shared" si="1251"/>
        <v>4.8416970617032318E-4</v>
      </c>
      <c r="S259" s="304">
        <f t="shared" si="1251"/>
        <v>-5.2070403526216502E-4</v>
      </c>
      <c r="T259" s="304">
        <f t="shared" si="1251"/>
        <v>-2.145907865934632E-3</v>
      </c>
      <c r="U259" s="304">
        <f t="shared" si="1251"/>
        <v>-1.4151890163650316E-3</v>
      </c>
      <c r="V259" s="304">
        <f>V258-CM258</f>
        <v>1.9796826051531879E-3</v>
      </c>
      <c r="W259" s="304">
        <f>W258-CN258</f>
        <v>-6.6784244254555758E-4</v>
      </c>
      <c r="X259" s="304">
        <f t="shared" ref="X259:AV259" si="1252">X258-U258</f>
        <v>7.1636917475062512E-4</v>
      </c>
      <c r="Y259" s="304">
        <f t="shared" si="1252"/>
        <v>-2.0865529788361772E-2</v>
      </c>
      <c r="Z259" s="304">
        <f t="shared" si="1252"/>
        <v>-3.6936856895664158E-2</v>
      </c>
      <c r="AA259" s="304">
        <f t="shared" si="1252"/>
        <v>-2.7958360816923142E-2</v>
      </c>
      <c r="AB259" s="304">
        <f t="shared" si="1252"/>
        <v>-1.8001568788737571E-2</v>
      </c>
      <c r="AC259" s="304">
        <f t="shared" si="1252"/>
        <v>3.0113139338025646E-3</v>
      </c>
      <c r="AD259" s="304">
        <f t="shared" si="1252"/>
        <v>-9.0611533058640448E-3</v>
      </c>
      <c r="AE259" s="304">
        <f t="shared" si="1252"/>
        <v>7.1020078884120041E-3</v>
      </c>
      <c r="AF259" s="304">
        <f t="shared" si="1252"/>
        <v>-5.408937713709594E-3</v>
      </c>
      <c r="AG259" s="618">
        <f t="shared" si="1252"/>
        <v>2.0611917465560015E-3</v>
      </c>
      <c r="AH259" s="618">
        <f t="shared" si="1252"/>
        <v>5.7753484256648085E-3</v>
      </c>
      <c r="AI259" s="563">
        <f t="shared" si="1252"/>
        <v>8.4863522834031646E-3</v>
      </c>
      <c r="AJ259" s="618">
        <f t="shared" si="1252"/>
        <v>6.7752246854713705E-3</v>
      </c>
      <c r="AK259" s="567">
        <f t="shared" si="1252"/>
        <v>5.0376191195761338E-3</v>
      </c>
      <c r="AL259" s="618">
        <f t="shared" si="1252"/>
        <v>5.7256505173219896E-3</v>
      </c>
      <c r="AM259" s="618">
        <f t="shared" si="1252"/>
        <v>5.3700631741317034E-3</v>
      </c>
      <c r="AN259" s="567">
        <f t="shared" si="1252"/>
        <v>-1.0491807335965275E-3</v>
      </c>
      <c r="AO259" s="304">
        <f>AO258-AL258</f>
        <v>-3.0710356439389574E-3</v>
      </c>
      <c r="AP259" s="618">
        <f t="shared" si="1252"/>
        <v>-1.945521729078456E-3</v>
      </c>
      <c r="AQ259" s="1540">
        <f t="shared" si="1252"/>
        <v>4.9699765056612777E-4</v>
      </c>
      <c r="AR259" s="304">
        <f t="shared" si="1252"/>
        <v>-4.5176268324731428E-5</v>
      </c>
      <c r="AS259" s="304">
        <f t="shared" si="1252"/>
        <v>1.6960805682571245E-4</v>
      </c>
      <c r="AT259" s="304">
        <f t="shared" si="1252"/>
        <v>4.3489224376330737E-5</v>
      </c>
      <c r="AU259" s="304">
        <f t="shared" si="1252"/>
        <v>9.124868097787342E-7</v>
      </c>
      <c r="AV259" s="304">
        <f t="shared" si="1252"/>
        <v>2.5626893020033736E-5</v>
      </c>
      <c r="AW259" s="304">
        <f t="shared" ref="AW259" si="1253">AW258-AT258</f>
        <v>2.6928036151410706E-5</v>
      </c>
      <c r="AX259" s="304">
        <f t="shared" ref="AX259" si="1254">AX258-AU258</f>
        <v>3.0086356709618789E-5</v>
      </c>
      <c r="AY259" s="304">
        <f t="shared" ref="AY259" si="1255">AY258-AV258</f>
        <v>2.8345191785864032E-5</v>
      </c>
      <c r="AZ259" s="304">
        <f t="shared" ref="AZ259" si="1256">AZ258-AW258</f>
        <v>2.9487812042122696E-5</v>
      </c>
      <c r="BA259" s="304">
        <f t="shared" ref="BA259" si="1257">BA258-AX258</f>
        <v>3.2946362176516919E-5</v>
      </c>
      <c r="BB259" s="304">
        <f t="shared" ref="BB259" si="1258">BB258-AY258</f>
        <v>3.1039682322389628E-5</v>
      </c>
      <c r="BC259" s="563"/>
      <c r="BD259" s="328"/>
      <c r="BE259" s="328"/>
      <c r="BF259" s="328"/>
      <c r="BG259" s="328"/>
      <c r="BH259" s="426"/>
      <c r="BI259" s="427"/>
      <c r="BJ259" s="427"/>
      <c r="BK259" s="320"/>
      <c r="BL259" s="320"/>
      <c r="BM259" s="320"/>
      <c r="BN259" s="320"/>
      <c r="BO259" s="320"/>
      <c r="BP259" s="320"/>
      <c r="BQ259" s="320"/>
      <c r="BR259" s="320"/>
      <c r="BS259" s="320"/>
      <c r="BT259" s="320"/>
      <c r="BU259" s="328">
        <f t="shared" ref="BU259:CK259" si="1259">BU258-BS258</f>
        <v>-7.3302790036214316E-3</v>
      </c>
      <c r="BV259" s="328">
        <f t="shared" si="1259"/>
        <v>-5.4240347583334181E-3</v>
      </c>
      <c r="BW259" s="328">
        <f t="shared" si="1259"/>
        <v>-3.3916899998207295E-3</v>
      </c>
      <c r="BX259" s="328">
        <f t="shared" si="1259"/>
        <v>1.8069470183436354E-3</v>
      </c>
      <c r="BY259" s="328">
        <f t="shared" si="1259"/>
        <v>2.0466711822375583E-5</v>
      </c>
      <c r="BZ259" s="328">
        <f t="shared" si="1259"/>
        <v>1.3752760257998431E-4</v>
      </c>
      <c r="CA259" s="328">
        <f t="shared" si="1259"/>
        <v>5.0454459094395054E-3</v>
      </c>
      <c r="CB259" s="328">
        <f t="shared" si="1259"/>
        <v>6.6806132531445628E-3</v>
      </c>
      <c r="CC259" s="328">
        <f t="shared" si="1259"/>
        <v>2.7096463311174768E-3</v>
      </c>
      <c r="CD259" s="328">
        <f t="shared" si="1259"/>
        <v>-5.0140167256018664E-4</v>
      </c>
      <c r="CE259" s="328">
        <f t="shared" si="1259"/>
        <v>3.9149972956439849E-4</v>
      </c>
      <c r="CF259" s="328">
        <f t="shared" si="1259"/>
        <v>1.1053596601470483E-3</v>
      </c>
      <c r="CG259" s="328">
        <f t="shared" si="1259"/>
        <v>2.7823299780009303E-3</v>
      </c>
      <c r="CH259" s="328">
        <f t="shared" si="1259"/>
        <v>-3.4155702245684816E-3</v>
      </c>
      <c r="CI259" s="328">
        <f t="shared" si="1259"/>
        <v>4.7132435618077451E-4</v>
      </c>
      <c r="CJ259" s="328">
        <f t="shared" si="1259"/>
        <v>-1.8516858166477967E-3</v>
      </c>
      <c r="CK259" s="328">
        <f t="shared" si="1259"/>
        <v>-2.5809810237172603E-3</v>
      </c>
      <c r="CL259" s="328">
        <f t="shared" ref="CL259:CN259" si="1260">CL258-CJ258</f>
        <v>-1.4781847361045042E-3</v>
      </c>
      <c r="CM259" s="328">
        <f t="shared" si="1260"/>
        <v>-1.6478740172055917E-3</v>
      </c>
      <c r="CN259" s="328">
        <f t="shared" si="1260"/>
        <v>-7.9713527006455842E-4</v>
      </c>
    </row>
    <row r="260" spans="1:93">
      <c r="A260" s="174"/>
      <c r="B260" s="1068"/>
      <c r="C260" s="1067"/>
      <c r="D260" s="336"/>
      <c r="E260" s="336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  <c r="W260" s="279"/>
      <c r="X260" s="279"/>
      <c r="Y260" s="279"/>
      <c r="Z260" s="279"/>
      <c r="AA260" s="279"/>
      <c r="AB260" s="279"/>
      <c r="AC260" s="279"/>
      <c r="AD260" s="279"/>
      <c r="AE260" s="279"/>
      <c r="AF260" s="279"/>
      <c r="AG260" s="279"/>
      <c r="AH260" s="279"/>
      <c r="AI260" s="179"/>
      <c r="AJ260" s="279"/>
      <c r="AK260" s="179"/>
      <c r="AL260" s="279"/>
      <c r="AM260" s="279"/>
      <c r="AN260" s="179"/>
      <c r="AO260" s="279"/>
      <c r="AP260" s="279"/>
      <c r="AQ260" s="1371"/>
      <c r="AR260" s="279"/>
      <c r="AS260" s="336"/>
      <c r="AT260" s="279"/>
      <c r="AU260" s="279"/>
      <c r="AV260" s="336"/>
      <c r="AW260" s="279"/>
      <c r="AX260" s="279"/>
      <c r="AY260" s="336"/>
      <c r="AZ260" s="279"/>
      <c r="BA260" s="279"/>
      <c r="BB260" s="336"/>
      <c r="BC260" s="1354"/>
      <c r="BD260" s="428"/>
      <c r="BE260" s="428"/>
      <c r="BF260" s="428"/>
      <c r="BG260" s="428"/>
      <c r="BH260" s="426"/>
      <c r="BI260" s="427"/>
      <c r="BJ260" s="427"/>
      <c r="BK260" s="320"/>
      <c r="BL260" s="320"/>
      <c r="BM260" s="320"/>
      <c r="BN260" s="320"/>
      <c r="BO260" s="320"/>
      <c r="BP260" s="320"/>
      <c r="BQ260" s="320"/>
      <c r="BR260" s="320"/>
      <c r="BS260" s="320"/>
      <c r="BT260" s="320"/>
      <c r="BU260" s="320"/>
      <c r="BV260" s="320"/>
      <c r="BW260" s="320"/>
      <c r="BX260" s="320"/>
      <c r="BY260" s="320"/>
      <c r="BZ260" s="320"/>
      <c r="CA260" s="320"/>
      <c r="CB260" s="320"/>
      <c r="CC260" s="320"/>
      <c r="CD260" s="320"/>
      <c r="CE260" s="320"/>
      <c r="CF260" s="320"/>
      <c r="CG260" s="320"/>
      <c r="CH260" s="320"/>
      <c r="CI260" s="320"/>
      <c r="CJ260" s="320"/>
      <c r="CK260" s="320"/>
      <c r="CL260" s="320"/>
      <c r="CM260" s="320"/>
      <c r="CN260" s="320"/>
    </row>
    <row r="261" spans="1:93">
      <c r="A261" s="174"/>
      <c r="B261" s="1068"/>
      <c r="C261" s="1067"/>
      <c r="D261" s="336"/>
      <c r="E261" s="336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93"/>
      <c r="W261" s="293"/>
      <c r="X261" s="279"/>
      <c r="Y261" s="293"/>
      <c r="Z261" s="293"/>
      <c r="AA261" s="279"/>
      <c r="AB261" s="293"/>
      <c r="AC261" s="293"/>
      <c r="AD261" s="279"/>
      <c r="AE261" s="293"/>
      <c r="AF261" s="293"/>
      <c r="AG261" s="279"/>
      <c r="AH261" s="581"/>
      <c r="AI261" s="566"/>
      <c r="AJ261" s="279"/>
      <c r="AK261" s="646"/>
      <c r="AL261" s="581"/>
      <c r="AM261" s="279"/>
      <c r="AN261" s="646"/>
      <c r="AO261" s="293"/>
      <c r="AP261" s="279"/>
      <c r="AQ261" s="1374"/>
      <c r="AR261" s="293"/>
      <c r="AS261" s="336"/>
      <c r="AT261" s="293"/>
      <c r="AU261" s="293"/>
      <c r="AV261" s="336"/>
      <c r="AW261" s="293"/>
      <c r="AX261" s="293"/>
      <c r="AY261" s="336"/>
      <c r="AZ261" s="293"/>
      <c r="BA261" s="293"/>
      <c r="BB261" s="336"/>
      <c r="BC261" s="1354"/>
      <c r="BD261" s="428"/>
      <c r="BE261" s="428"/>
      <c r="BF261" s="428"/>
      <c r="BG261" s="428"/>
      <c r="BH261" s="426"/>
      <c r="BI261" s="427"/>
      <c r="BJ261" s="427"/>
      <c r="BK261" s="320"/>
      <c r="BL261" s="320"/>
      <c r="BM261" s="320"/>
      <c r="BN261" s="320"/>
      <c r="BO261" s="320"/>
      <c r="BP261" s="320"/>
      <c r="BQ261" s="320"/>
      <c r="BR261" s="320"/>
      <c r="BS261" s="320"/>
      <c r="BT261" s="320"/>
      <c r="BU261" s="320"/>
      <c r="BV261" s="320"/>
      <c r="BW261" s="320"/>
      <c r="BX261" s="320"/>
      <c r="BY261" s="321"/>
      <c r="BZ261" s="321"/>
      <c r="CA261" s="321"/>
      <c r="CB261" s="321"/>
      <c r="CC261" s="321"/>
      <c r="CD261" s="321"/>
      <c r="CE261" s="321"/>
      <c r="CF261" s="321"/>
      <c r="CG261" s="321"/>
      <c r="CH261" s="321"/>
      <c r="CI261" s="321"/>
      <c r="CJ261" s="321"/>
      <c r="CK261" s="321"/>
      <c r="CL261" s="321"/>
      <c r="CM261" s="321"/>
      <c r="CN261" s="321"/>
    </row>
    <row r="262" spans="1:93">
      <c r="A262" s="174" t="s">
        <v>759</v>
      </c>
      <c r="B262" s="1069" t="s">
        <v>621</v>
      </c>
      <c r="C262" s="1067"/>
      <c r="D262" s="336"/>
      <c r="E262" s="336"/>
      <c r="F262" s="279"/>
      <c r="G262" s="279"/>
      <c r="H262" s="279"/>
      <c r="I262" s="279"/>
      <c r="J262" s="279"/>
      <c r="K262" s="294">
        <f t="shared" ref="K262:S262" si="1261">K34-K293</f>
        <v>120.99</v>
      </c>
      <c r="L262" s="294">
        <f t="shared" si="1261"/>
        <v>162.215</v>
      </c>
      <c r="M262" s="294">
        <f t="shared" si="1261"/>
        <v>200.27099999999999</v>
      </c>
      <c r="N262" s="294">
        <f t="shared" si="1261"/>
        <v>222.70000000000002</v>
      </c>
      <c r="O262" s="294">
        <f t="shared" si="1261"/>
        <v>187.51300000000001</v>
      </c>
      <c r="P262" s="294">
        <f t="shared" si="1261"/>
        <v>207.08500000000001</v>
      </c>
      <c r="Q262" s="294">
        <f t="shared" si="1261"/>
        <v>221.65</v>
      </c>
      <c r="R262" s="294">
        <f t="shared" si="1261"/>
        <v>236.22300000000001</v>
      </c>
      <c r="S262" s="294">
        <f t="shared" si="1261"/>
        <v>258.21500000000003</v>
      </c>
      <c r="T262" s="840">
        <v>302</v>
      </c>
      <c r="U262" s="840">
        <v>333.6</v>
      </c>
      <c r="V262" s="1070">
        <v>211.8</v>
      </c>
      <c r="W262" s="1071">
        <f>X262-V262</f>
        <v>130.5</v>
      </c>
      <c r="X262" s="840">
        <v>342.3</v>
      </c>
      <c r="Y262" s="1070">
        <v>277.5</v>
      </c>
      <c r="Z262" s="1071">
        <f>AA262-Y262</f>
        <v>248</v>
      </c>
      <c r="AA262" s="840">
        <f>419.5+106</f>
        <v>525.5</v>
      </c>
      <c r="AB262" s="1070">
        <v>399.3</v>
      </c>
      <c r="AC262" s="1071">
        <f>AC252-AC256</f>
        <v>259.2</v>
      </c>
      <c r="AD262" s="840">
        <v>658.5</v>
      </c>
      <c r="AE262" s="1070">
        <v>361.4</v>
      </c>
      <c r="AF262" s="1071">
        <f>AF252-AF256</f>
        <v>320</v>
      </c>
      <c r="AG262" s="840">
        <v>681.4</v>
      </c>
      <c r="AH262" s="1070">
        <v>412.2</v>
      </c>
      <c r="AI262" s="705">
        <f t="shared" ref="AI262" si="1262">AI252-AI256</f>
        <v>278.7</v>
      </c>
      <c r="AJ262" s="1070">
        <v>690.9</v>
      </c>
      <c r="AK262" s="1270">
        <v>366.6</v>
      </c>
      <c r="AL262" s="703">
        <f t="shared" ref="AL262:AV262" si="1263">AL252-AL256</f>
        <v>267.5</v>
      </c>
      <c r="AM262" s="1070">
        <v>634.1</v>
      </c>
      <c r="AN262" s="1917">
        <v>390.6</v>
      </c>
      <c r="AO262" s="705">
        <f t="shared" si="1263"/>
        <v>289.60000000000002</v>
      </c>
      <c r="AP262" s="1070">
        <v>680.2</v>
      </c>
      <c r="AQ262" s="1754">
        <v>417.8</v>
      </c>
      <c r="AR262" s="705">
        <f t="shared" si="1263"/>
        <v>300.28234907766995</v>
      </c>
      <c r="AS262" s="703">
        <f t="shared" si="1263"/>
        <v>718.08234907766996</v>
      </c>
      <c r="AT262" s="705">
        <f t="shared" si="1263"/>
        <v>425.49227115384616</v>
      </c>
      <c r="AU262" s="705">
        <f t="shared" si="1263"/>
        <v>305.0298574865846</v>
      </c>
      <c r="AV262" s="703">
        <f t="shared" si="1263"/>
        <v>730.52212864043076</v>
      </c>
      <c r="AW262" s="705">
        <f t="shared" ref="AW262:AY262" si="1264">AW252-AW256</f>
        <v>444.4170200769197</v>
      </c>
      <c r="AX262" s="705">
        <f t="shared" si="1264"/>
        <v>318.57345372509462</v>
      </c>
      <c r="AY262" s="703">
        <f t="shared" si="1264"/>
        <v>762.99047380201432</v>
      </c>
      <c r="AZ262" s="705">
        <f t="shared" ref="AZ262:BB262" si="1265">AZ252-AZ256</f>
        <v>464.16140300731979</v>
      </c>
      <c r="BA262" s="705">
        <f t="shared" si="1265"/>
        <v>332.70023428461457</v>
      </c>
      <c r="BB262" s="703">
        <f t="shared" si="1265"/>
        <v>796.86163729193436</v>
      </c>
      <c r="BC262" s="703"/>
      <c r="BD262" s="530"/>
      <c r="BE262" s="530"/>
      <c r="BF262" s="530"/>
      <c r="BG262" s="530"/>
      <c r="BH262" s="472"/>
      <c r="BI262" s="531"/>
      <c r="BJ262" s="531"/>
      <c r="BK262" s="419"/>
      <c r="BL262" s="419"/>
      <c r="BM262" s="419"/>
      <c r="BN262" s="419"/>
      <c r="BO262" s="419"/>
      <c r="BP262" s="419"/>
      <c r="BQ262" s="419"/>
      <c r="BR262" s="419"/>
      <c r="BS262" s="525">
        <v>72.400000000000006</v>
      </c>
      <c r="BT262" s="510">
        <f>K262-BS262</f>
        <v>48.589999999999989</v>
      </c>
      <c r="BU262" s="525">
        <v>98.3</v>
      </c>
      <c r="BV262" s="510">
        <f>L262-BU262</f>
        <v>63.915000000000006</v>
      </c>
      <c r="BW262" s="532">
        <v>123.7</v>
      </c>
      <c r="BX262" s="510">
        <f>M262-BW262</f>
        <v>76.570999999999984</v>
      </c>
      <c r="BY262" s="532">
        <v>140.4</v>
      </c>
      <c r="BZ262" s="510">
        <f>N262-BY262</f>
        <v>82.300000000000011</v>
      </c>
      <c r="CA262" s="525">
        <v>133.4</v>
      </c>
      <c r="CB262" s="510">
        <f>O262-CA262</f>
        <v>54.113</v>
      </c>
      <c r="CC262" s="525">
        <v>136.80000000000001</v>
      </c>
      <c r="CD262" s="510">
        <f>P262-CC262</f>
        <v>70.284999999999997</v>
      </c>
      <c r="CE262" s="533">
        <v>146.80000000000001</v>
      </c>
      <c r="CF262" s="510">
        <f>Q262-CE262</f>
        <v>74.849999999999994</v>
      </c>
      <c r="CG262" s="533">
        <v>145.4</v>
      </c>
      <c r="CH262" s="510">
        <f>R262-CG262</f>
        <v>90.823000000000008</v>
      </c>
      <c r="CI262" s="533">
        <v>154.73699999999999</v>
      </c>
      <c r="CJ262" s="510">
        <f>S262-CI262</f>
        <v>103.47800000000004</v>
      </c>
      <c r="CK262" s="533">
        <v>185.3</v>
      </c>
      <c r="CL262" s="510">
        <f>T262-CK262</f>
        <v>116.69999999999999</v>
      </c>
      <c r="CM262" s="533">
        <v>204.5</v>
      </c>
      <c r="CN262" s="510">
        <f>U262-CM262</f>
        <v>129.10000000000002</v>
      </c>
    </row>
    <row r="263" spans="1:93">
      <c r="A263" s="174" t="s">
        <v>818</v>
      </c>
      <c r="B263" s="1068" t="s">
        <v>620</v>
      </c>
      <c r="C263" s="1067"/>
      <c r="D263" s="336"/>
      <c r="E263" s="336"/>
      <c r="F263" s="279"/>
      <c r="G263" s="279"/>
      <c r="H263" s="279"/>
      <c r="I263" s="279"/>
      <c r="J263" s="279"/>
      <c r="K263" s="263">
        <f t="shared" ref="K263:T263" si="1266">K262/K72</f>
        <v>6.9732458819867907E-2</v>
      </c>
      <c r="L263" s="263">
        <f t="shared" si="1266"/>
        <v>7.3568094535783807E-2</v>
      </c>
      <c r="M263" s="263">
        <f t="shared" si="1266"/>
        <v>7.7085180874256351E-2</v>
      </c>
      <c r="N263" s="263">
        <f t="shared" si="1266"/>
        <v>7.9122384600161952E-2</v>
      </c>
      <c r="O263" s="263">
        <f t="shared" si="1266"/>
        <v>6.3464079452195746E-2</v>
      </c>
      <c r="P263" s="263">
        <f t="shared" si="1266"/>
        <v>6.5933481638694641E-2</v>
      </c>
      <c r="Q263" s="263">
        <f t="shared" si="1266"/>
        <v>6.7312551323352912E-2</v>
      </c>
      <c r="R263" s="263">
        <f t="shared" si="1266"/>
        <v>6.8351246059046022E-2</v>
      </c>
      <c r="S263" s="263">
        <f t="shared" si="1266"/>
        <v>6.9053297384203391E-2</v>
      </c>
      <c r="T263" s="263">
        <f t="shared" si="1266"/>
        <v>7.2795641903292671E-2</v>
      </c>
      <c r="U263" s="263">
        <f t="shared" ref="U263:AN263" si="1267">U262/U72</f>
        <v>7.3485032050576035E-2</v>
      </c>
      <c r="V263" s="618">
        <f>V262/V72</f>
        <v>8.173503646818199E-2</v>
      </c>
      <c r="W263" s="618">
        <f>W262/W72</f>
        <v>6.1132711856466959E-2</v>
      </c>
      <c r="X263" s="263">
        <f t="shared" si="1267"/>
        <v>7.2429115531104524E-2</v>
      </c>
      <c r="Y263" s="618">
        <f>Y262/Y72</f>
        <v>0.10193211871877754</v>
      </c>
      <c r="Z263" s="618">
        <f>Z262/Z72</f>
        <v>9.5513190833814765E-2</v>
      </c>
      <c r="AA263" s="263">
        <f t="shared" si="1267"/>
        <v>9.8798623775592703E-2</v>
      </c>
      <c r="AB263" s="618">
        <f>AB262/AB72</f>
        <v>0.11899156658819324</v>
      </c>
      <c r="AC263" s="618">
        <f t="shared" ref="AC263" si="1268">AC262/AC72</f>
        <v>9.9650148014301623E-2</v>
      </c>
      <c r="AD263" s="263">
        <f t="shared" si="1267"/>
        <v>0.11054593070104754</v>
      </c>
      <c r="AE263" s="618">
        <f t="shared" ref="AE263:AJ263" si="1269">AE262/AE72</f>
        <v>0.10983133262422123</v>
      </c>
      <c r="AF263" s="618">
        <f t="shared" si="1269"/>
        <v>0.11011699931176876</v>
      </c>
      <c r="AG263" s="284">
        <f t="shared" si="1269"/>
        <v>0.10996530299362543</v>
      </c>
      <c r="AH263" s="618">
        <f t="shared" si="1269"/>
        <v>0.11485733392777529</v>
      </c>
      <c r="AI263" s="567">
        <f t="shared" si="1269"/>
        <v>9.4241368816149862E-2</v>
      </c>
      <c r="AJ263" s="284">
        <f t="shared" si="1269"/>
        <v>0.10554375887933272</v>
      </c>
      <c r="AK263" s="567">
        <f t="shared" ref="AK263" si="1270">AK262/AK72</f>
        <v>0.10140798318165474</v>
      </c>
      <c r="AL263" s="567">
        <f t="shared" si="1267"/>
        <v>8.9321490583678387E-2</v>
      </c>
      <c r="AM263" s="284">
        <f t="shared" si="1267"/>
        <v>9.5931859786078461E-2</v>
      </c>
      <c r="AN263" s="567">
        <f t="shared" si="1267"/>
        <v>0.10079479768786129</v>
      </c>
      <c r="AO263" s="567">
        <f t="shared" ref="AO263:AV263" si="1271">AO262/AO72</f>
        <v>8.9714993804213147E-2</v>
      </c>
      <c r="AP263" s="284">
        <f t="shared" si="1271"/>
        <v>9.5759657619101254E-2</v>
      </c>
      <c r="AQ263" s="1540">
        <f t="shared" si="1271"/>
        <v>0.10139546171581119</v>
      </c>
      <c r="AR263" s="567">
        <f t="shared" si="1271"/>
        <v>8.9569287389865679E-2</v>
      </c>
      <c r="AS263" s="137">
        <f t="shared" si="1271"/>
        <v>9.6090049562275542E-2</v>
      </c>
      <c r="AT263" s="567">
        <f t="shared" si="1271"/>
        <v>9.8851972491434847E-2</v>
      </c>
      <c r="AU263" s="567">
        <f t="shared" si="1271"/>
        <v>8.7067961688231416E-2</v>
      </c>
      <c r="AV263" s="137">
        <f t="shared" si="1271"/>
        <v>9.356442266925552E-2</v>
      </c>
      <c r="AW263" s="567">
        <f>AW262/AW72</f>
        <v>9.8825044455283464E-2</v>
      </c>
      <c r="AX263" s="567">
        <f t="shared" ref="AX263:AY263" si="1272">AX262/AX72</f>
        <v>8.7037875331521714E-2</v>
      </c>
      <c r="AY263" s="137">
        <f t="shared" si="1272"/>
        <v>9.3536077477469629E-2</v>
      </c>
      <c r="AZ263" s="567">
        <f t="shared" ref="AZ263:BB263" si="1273">AZ262/AZ72</f>
        <v>9.8795556643241328E-2</v>
      </c>
      <c r="BA263" s="567">
        <f t="shared" si="1273"/>
        <v>8.7004928969345266E-2</v>
      </c>
      <c r="BB263" s="137">
        <f t="shared" si="1273"/>
        <v>9.3505037795147267E-2</v>
      </c>
      <c r="BC263" s="137"/>
      <c r="BD263" s="331"/>
      <c r="BE263" s="331"/>
      <c r="BF263" s="331"/>
      <c r="BG263" s="331"/>
      <c r="BH263" s="426"/>
      <c r="BI263" s="427"/>
      <c r="BJ263" s="427"/>
      <c r="BK263" s="331"/>
      <c r="BL263" s="331"/>
      <c r="BM263" s="331"/>
      <c r="BN263" s="331"/>
      <c r="BO263" s="331"/>
      <c r="BP263" s="331"/>
      <c r="BQ263" s="331"/>
      <c r="BR263" s="331"/>
      <c r="BS263" s="334">
        <f t="shared" ref="BS263:CN263" si="1274">BS262/BS72</f>
        <v>7.6963963006271924E-2</v>
      </c>
      <c r="BT263" s="334">
        <f t="shared" si="1274"/>
        <v>6.1168739614280675E-2</v>
      </c>
      <c r="BU263" s="334">
        <f t="shared" si="1274"/>
        <v>8.2289368933461129E-2</v>
      </c>
      <c r="BV263" s="334">
        <f t="shared" si="1274"/>
        <v>6.3257188496821562E-2</v>
      </c>
      <c r="BW263" s="334">
        <f t="shared" si="1274"/>
        <v>8.3739507175737887E-2</v>
      </c>
      <c r="BX263" s="334">
        <f t="shared" si="1274"/>
        <v>6.8315239889797694E-2</v>
      </c>
      <c r="BY263" s="334">
        <f t="shared" si="1274"/>
        <v>8.7394957983193286E-2</v>
      </c>
      <c r="BZ263" s="334">
        <f t="shared" si="1274"/>
        <v>6.8121977242458789E-2</v>
      </c>
      <c r="CA263" s="334">
        <f t="shared" si="1274"/>
        <v>7.9532582126035894E-2</v>
      </c>
      <c r="CB263" s="334">
        <f t="shared" si="1274"/>
        <v>4.2364083887352695E-2</v>
      </c>
      <c r="CC263" s="334">
        <f t="shared" si="1274"/>
        <v>7.935034802784223E-2</v>
      </c>
      <c r="CD263" s="334">
        <f t="shared" si="1274"/>
        <v>4.9607676926519087E-2</v>
      </c>
      <c r="CE263" s="334">
        <f t="shared" si="1274"/>
        <v>7.9956427015250547E-2</v>
      </c>
      <c r="CF263" s="334">
        <f t="shared" si="1274"/>
        <v>5.137804355704919E-2</v>
      </c>
      <c r="CG263" s="334">
        <f t="shared" si="1274"/>
        <v>7.8083548322653684E-2</v>
      </c>
      <c r="CH263" s="334">
        <f t="shared" si="1274"/>
        <v>5.6981331419379284E-2</v>
      </c>
      <c r="CI263" s="334">
        <f t="shared" si="1274"/>
        <v>7.7335091240584061E-2</v>
      </c>
      <c r="CJ263" s="334">
        <f t="shared" si="1274"/>
        <v>5.9521631941208901E-2</v>
      </c>
      <c r="CK263" s="334">
        <f t="shared" si="1274"/>
        <v>8.2937964372034739E-2</v>
      </c>
      <c r="CL263" s="334">
        <f t="shared" si="1274"/>
        <v>6.0959047221061408E-2</v>
      </c>
      <c r="CM263" s="334">
        <f t="shared" si="1274"/>
        <v>8.2592891760904688E-2</v>
      </c>
      <c r="CN263" s="334">
        <f t="shared" si="1274"/>
        <v>6.2557542278431966E-2</v>
      </c>
    </row>
    <row r="264" spans="1:93">
      <c r="A264" s="174"/>
      <c r="B264" s="1068" t="s">
        <v>779</v>
      </c>
      <c r="C264" s="1067"/>
      <c r="D264" s="336"/>
      <c r="E264" s="336"/>
      <c r="F264" s="279"/>
      <c r="G264" s="279"/>
      <c r="H264" s="279"/>
      <c r="I264" s="279"/>
      <c r="J264" s="279"/>
      <c r="K264" s="263"/>
      <c r="L264" s="263">
        <f>L262/K262-1</f>
        <v>0.34073063889577671</v>
      </c>
      <c r="M264" s="263">
        <f t="shared" ref="M264:U264" si="1275">M262/L262-1</f>
        <v>0.23460222544154363</v>
      </c>
      <c r="N264" s="263">
        <f t="shared" si="1275"/>
        <v>0.11199324914740538</v>
      </c>
      <c r="O264" s="263">
        <f t="shared" si="1275"/>
        <v>-0.15800179613830267</v>
      </c>
      <c r="P264" s="263">
        <f t="shared" si="1275"/>
        <v>0.10437676321108413</v>
      </c>
      <c r="Q264" s="263">
        <f t="shared" si="1275"/>
        <v>7.0333437960257816E-2</v>
      </c>
      <c r="R264" s="263">
        <f t="shared" si="1275"/>
        <v>6.5747800586510197E-2</v>
      </c>
      <c r="S264" s="263">
        <f t="shared" si="1275"/>
        <v>9.3098470513032217E-2</v>
      </c>
      <c r="T264" s="263">
        <f t="shared" si="1275"/>
        <v>0.16956799566252911</v>
      </c>
      <c r="U264" s="263">
        <f t="shared" si="1275"/>
        <v>0.10463576158940402</v>
      </c>
      <c r="V264" s="618">
        <f>V263-CM263</f>
        <v>-8.5785529272269789E-4</v>
      </c>
      <c r="W264" s="618">
        <f>W263-CN263</f>
        <v>-1.4248304219650065E-3</v>
      </c>
      <c r="X264" s="263">
        <f>X262/U262-1</f>
        <v>2.6079136690647431E-2</v>
      </c>
      <c r="Y264" s="618">
        <f>Y263-V263</f>
        <v>2.0197082250595549E-2</v>
      </c>
      <c r="Z264" s="618">
        <f>Z263-W263</f>
        <v>3.4380478977347806E-2</v>
      </c>
      <c r="AA264" s="263">
        <f>AA262/X262-1</f>
        <v>0.53520303827052285</v>
      </c>
      <c r="AB264" s="618">
        <f>AB263-Y263</f>
        <v>1.7059447869415698E-2</v>
      </c>
      <c r="AC264" s="618">
        <f>AC263-Z263</f>
        <v>4.1369571804868582E-3</v>
      </c>
      <c r="AD264" s="263">
        <f>AD262/AA262-1</f>
        <v>0.25309229305423409</v>
      </c>
      <c r="AE264" s="618">
        <f>AE263-AB263</f>
        <v>-9.1602339639720032E-3</v>
      </c>
      <c r="AF264" s="618">
        <f>AF263-AC263</f>
        <v>1.0466851297467133E-2</v>
      </c>
      <c r="AG264" s="284">
        <f t="shared" ref="AG264:AJ264" si="1276">AG262/AD262-1</f>
        <v>3.4776006074411558E-2</v>
      </c>
      <c r="AH264" s="618">
        <f>AH263-AE263</f>
        <v>5.0260013035540591E-3</v>
      </c>
      <c r="AI264" s="567">
        <f t="shared" si="1276"/>
        <v>-0.12906250000000008</v>
      </c>
      <c r="AJ264" s="284">
        <f t="shared" si="1276"/>
        <v>1.3941884355738177E-2</v>
      </c>
      <c r="AK264" s="567">
        <f>AK263-AH263</f>
        <v>-1.3449350746120553E-2</v>
      </c>
      <c r="AL264" s="567">
        <f t="shared" ref="AL264:AM264" si="1277">AL262/AI262-1</f>
        <v>-4.018658055256541E-2</v>
      </c>
      <c r="AM264" s="284">
        <f t="shared" si="1277"/>
        <v>-8.2211608047474294E-2</v>
      </c>
      <c r="AN264" s="567">
        <f>AN263-AK263</f>
        <v>-6.1318549379345277E-4</v>
      </c>
      <c r="AO264" s="567">
        <f>AO262/AL262-1</f>
        <v>8.2616822429906644E-2</v>
      </c>
      <c r="AP264" s="284">
        <f t="shared" ref="AP264" si="1278">AP262/AM262-1</f>
        <v>7.270146664563959E-2</v>
      </c>
      <c r="AQ264" s="1540">
        <f>AQ263-AN263</f>
        <v>6.0066402794990703E-4</v>
      </c>
      <c r="AR264" s="567">
        <f t="shared" ref="AR264" si="1279">AR262/AO262-1</f>
        <v>3.6886564494716501E-2</v>
      </c>
      <c r="AS264" s="137">
        <f t="shared" ref="AS264" si="1280">AS262/AP262-1</f>
        <v>5.5692956597574117E-2</v>
      </c>
      <c r="AT264" s="567">
        <f t="shared" ref="AT264" si="1281">AT262/AQ262-1</f>
        <v>1.8411371837831814E-2</v>
      </c>
      <c r="AU264" s="567">
        <f t="shared" ref="AU264" si="1282">AU262/AR262-1</f>
        <v>1.5810148093941656E-2</v>
      </c>
      <c r="AV264" s="137">
        <f t="shared" ref="AV264" si="1283">AV262/AS262-1</f>
        <v>1.7323611391839577E-2</v>
      </c>
      <c r="AW264" s="567">
        <f>AW262/AT262-1</f>
        <v>4.4477303598849272E-2</v>
      </c>
      <c r="AX264" s="567">
        <f t="shared" ref="AX264" si="1284">AX262/AU262-1</f>
        <v>4.4400887015152879E-2</v>
      </c>
      <c r="AY264" s="137">
        <f t="shared" ref="AY264" si="1285">AY262/AV262-1</f>
        <v>4.4445395818481392E-2</v>
      </c>
      <c r="AZ264" s="567">
        <f t="shared" ref="AZ264" si="1286">AZ262/AW262-1</f>
        <v>4.4427602990953607E-2</v>
      </c>
      <c r="BA264" s="567">
        <f t="shared" ref="BA264" si="1287">BA262/AX262-1</f>
        <v>4.434387232939474E-2</v>
      </c>
      <c r="BB264" s="137">
        <f t="shared" ref="BB264" si="1288">BB262/AY262-1</f>
        <v>4.4392642703831697E-2</v>
      </c>
      <c r="BC264" s="137"/>
      <c r="BD264" s="331"/>
      <c r="BE264" s="331"/>
      <c r="BF264" s="331"/>
      <c r="BG264" s="331"/>
      <c r="BH264" s="426"/>
      <c r="BI264" s="427"/>
      <c r="BJ264" s="427"/>
      <c r="BK264" s="331"/>
      <c r="BL264" s="331"/>
      <c r="BM264" s="331"/>
      <c r="BN264" s="331"/>
      <c r="BO264" s="331"/>
      <c r="BP264" s="331"/>
      <c r="BQ264" s="331"/>
      <c r="BR264" s="331"/>
      <c r="BS264" s="359"/>
      <c r="BT264" s="359"/>
      <c r="BU264" s="334">
        <f t="shared" ref="BU264:CK264" si="1289">BU263-BS263</f>
        <v>5.3254059271892057E-3</v>
      </c>
      <c r="BV264" s="334">
        <f t="shared" si="1289"/>
        <v>2.0884488825408873E-3</v>
      </c>
      <c r="BW264" s="334">
        <f t="shared" si="1289"/>
        <v>1.4501382422767578E-3</v>
      </c>
      <c r="BX264" s="334">
        <f t="shared" si="1289"/>
        <v>5.0580513929761317E-3</v>
      </c>
      <c r="BY264" s="334">
        <f t="shared" si="1289"/>
        <v>3.6554508074553987E-3</v>
      </c>
      <c r="BZ264" s="334">
        <f t="shared" si="1289"/>
        <v>-1.932626473389043E-4</v>
      </c>
      <c r="CA264" s="334">
        <f t="shared" si="1289"/>
        <v>-7.8623758571573915E-3</v>
      </c>
      <c r="CB264" s="334">
        <f t="shared" si="1289"/>
        <v>-2.5757893355106094E-2</v>
      </c>
      <c r="CC264" s="334">
        <f t="shared" si="1289"/>
        <v>-1.8223409819366487E-4</v>
      </c>
      <c r="CD264" s="334">
        <f t="shared" si="1289"/>
        <v>7.2435930391663919E-3</v>
      </c>
      <c r="CE264" s="334">
        <f t="shared" si="1289"/>
        <v>6.0607898740831778E-4</v>
      </c>
      <c r="CF264" s="334">
        <f t="shared" si="1289"/>
        <v>1.7703666305301027E-3</v>
      </c>
      <c r="CG264" s="334">
        <f t="shared" si="1289"/>
        <v>-1.8728786925968632E-3</v>
      </c>
      <c r="CH264" s="334">
        <f t="shared" si="1289"/>
        <v>5.6032878623300947E-3</v>
      </c>
      <c r="CI264" s="334">
        <f t="shared" si="1289"/>
        <v>-7.4845708206962291E-4</v>
      </c>
      <c r="CJ264" s="334">
        <f t="shared" si="1289"/>
        <v>2.5403005218296165E-3</v>
      </c>
      <c r="CK264" s="334">
        <f t="shared" si="1289"/>
        <v>5.602873131450678E-3</v>
      </c>
      <c r="CL264" s="334">
        <f t="shared" ref="CL264:CN264" si="1290">CL263-CJ263</f>
        <v>1.4374152798525067E-3</v>
      </c>
      <c r="CM264" s="334">
        <f t="shared" si="1290"/>
        <v>-3.4507261113005117E-4</v>
      </c>
      <c r="CN264" s="334">
        <f t="shared" si="1290"/>
        <v>1.5984950573705581E-3</v>
      </c>
    </row>
    <row r="265" spans="1:93">
      <c r="A265" s="174"/>
      <c r="B265" s="1068"/>
      <c r="C265" s="1067"/>
      <c r="D265" s="336"/>
      <c r="E265" s="336"/>
      <c r="F265" s="279"/>
      <c r="G265" s="279"/>
      <c r="H265" s="279"/>
      <c r="I265" s="279"/>
      <c r="J265" s="279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84"/>
      <c r="W265" s="284"/>
      <c r="X265" s="263"/>
      <c r="Y265" s="284"/>
      <c r="Z265" s="284"/>
      <c r="AA265" s="263"/>
      <c r="AB265" s="284"/>
      <c r="AC265" s="284"/>
      <c r="AD265" s="263"/>
      <c r="AE265" s="284"/>
      <c r="AF265" s="284"/>
      <c r="AG265" s="284"/>
      <c r="AH265" s="284"/>
      <c r="AI265" s="137"/>
      <c r="AJ265" s="284"/>
      <c r="AK265" s="137"/>
      <c r="AL265" s="284"/>
      <c r="AM265" s="284"/>
      <c r="AN265" s="137"/>
      <c r="AO265" s="284"/>
      <c r="AP265" s="284"/>
      <c r="AQ265" s="1315"/>
      <c r="AR265" s="284"/>
      <c r="AS265" s="263"/>
      <c r="AT265" s="284"/>
      <c r="AU265" s="284"/>
      <c r="AV265" s="263"/>
      <c r="AW265" s="284"/>
      <c r="AX265" s="284"/>
      <c r="AY265" s="263"/>
      <c r="AZ265" s="284"/>
      <c r="BA265" s="284"/>
      <c r="BB265" s="263"/>
      <c r="BC265" s="564"/>
      <c r="BD265" s="331"/>
      <c r="BE265" s="331"/>
      <c r="BF265" s="331"/>
      <c r="BG265" s="331"/>
      <c r="BH265" s="426"/>
      <c r="BI265" s="427"/>
      <c r="BJ265" s="427"/>
      <c r="BK265" s="331"/>
      <c r="BL265" s="331"/>
      <c r="BM265" s="331"/>
      <c r="BN265" s="331"/>
      <c r="BO265" s="331"/>
      <c r="BP265" s="331"/>
      <c r="BQ265" s="331"/>
      <c r="BR265" s="331"/>
      <c r="BS265" s="359"/>
      <c r="BT265" s="359"/>
      <c r="BU265" s="359"/>
      <c r="BV265" s="359"/>
      <c r="BW265" s="359"/>
      <c r="BX265" s="359"/>
      <c r="BY265" s="359"/>
      <c r="BZ265" s="359"/>
      <c r="CA265" s="359"/>
      <c r="CB265" s="359"/>
      <c r="CC265" s="359"/>
      <c r="CD265" s="359"/>
      <c r="CE265" s="359"/>
      <c r="CF265" s="359"/>
      <c r="CG265" s="359"/>
      <c r="CH265" s="359"/>
      <c r="CI265" s="359"/>
      <c r="CJ265" s="359"/>
      <c r="CK265" s="359"/>
      <c r="CL265" s="359"/>
      <c r="CM265" s="359"/>
      <c r="CN265" s="359"/>
    </row>
    <row r="266" spans="1:93">
      <c r="A266" s="544" t="s">
        <v>763</v>
      </c>
      <c r="B266" s="1072" t="s">
        <v>624</v>
      </c>
      <c r="C266" s="1073"/>
      <c r="D266" s="294"/>
      <c r="E266" s="294"/>
      <c r="F266" s="294"/>
      <c r="G266" s="294"/>
      <c r="H266" s="294"/>
      <c r="I266" s="294"/>
      <c r="J266" s="294"/>
      <c r="K266" s="294">
        <f t="shared" ref="K266:S266" si="1291">K44-K296</f>
        <v>13.790999999999999</v>
      </c>
      <c r="L266" s="294">
        <f t="shared" si="1291"/>
        <v>17.349</v>
      </c>
      <c r="M266" s="294">
        <f t="shared" si="1291"/>
        <v>21.677</v>
      </c>
      <c r="N266" s="294">
        <f t="shared" si="1291"/>
        <v>24.986999999999998</v>
      </c>
      <c r="O266" s="294">
        <f t="shared" si="1291"/>
        <v>28.854000000000003</v>
      </c>
      <c r="P266" s="294">
        <f t="shared" si="1291"/>
        <v>31.231999999999999</v>
      </c>
      <c r="Q266" s="294">
        <f t="shared" si="1291"/>
        <v>33.33</v>
      </c>
      <c r="R266" s="294">
        <f t="shared" si="1291"/>
        <v>36.776000000000003</v>
      </c>
      <c r="S266" s="294">
        <f t="shared" si="1291"/>
        <v>37.9</v>
      </c>
      <c r="T266" s="840">
        <f>302-262.4</f>
        <v>39.600000000000023</v>
      </c>
      <c r="U266" s="840">
        <v>41.3</v>
      </c>
      <c r="V266" s="294">
        <f>V262-V270</f>
        <v>19.900000000000006</v>
      </c>
      <c r="W266" s="294">
        <f>X266-V266</f>
        <v>20.699999999999996</v>
      </c>
      <c r="X266" s="840">
        <v>40.6</v>
      </c>
      <c r="Y266" s="294">
        <f>Y262-Y270</f>
        <v>68.199999999999989</v>
      </c>
      <c r="Z266" s="294">
        <f>AA266-Y266</f>
        <v>65.700000000000017</v>
      </c>
      <c r="AA266" s="840">
        <f>38.7+(106-10.8)</f>
        <v>133.9</v>
      </c>
      <c r="AB266" s="294">
        <f>AB262-AB270</f>
        <v>69.5</v>
      </c>
      <c r="AC266" s="294">
        <f>AD266-AB266</f>
        <v>66</v>
      </c>
      <c r="AD266" s="840">
        <v>135.5</v>
      </c>
      <c r="AE266" s="294">
        <f>AE262-AE270</f>
        <v>69</v>
      </c>
      <c r="AF266" s="294">
        <f>AG266-AE266</f>
        <v>67.5</v>
      </c>
      <c r="AG266" s="840">
        <v>136.5</v>
      </c>
      <c r="AH266" s="294">
        <f>AH262-AH270</f>
        <v>70.899999999999977</v>
      </c>
      <c r="AI266" s="241">
        <f>AJ266-AH266</f>
        <v>68.100000000000023</v>
      </c>
      <c r="AJ266" s="294">
        <f>AJ262-AJ270</f>
        <v>139</v>
      </c>
      <c r="AK266" s="241">
        <f>AK262-AK270</f>
        <v>72</v>
      </c>
      <c r="AL266" s="294">
        <f>AM266-AK266</f>
        <v>70.900000000000034</v>
      </c>
      <c r="AM266" s="294">
        <f>AM262-AM270</f>
        <v>142.90000000000003</v>
      </c>
      <c r="AN266" s="241">
        <f>AN262-AN270</f>
        <v>74.100000000000023</v>
      </c>
      <c r="AO266" s="294">
        <f>AP266-AN266</f>
        <v>75.800000000000068</v>
      </c>
      <c r="AP266" s="294">
        <f>AP262-AP270</f>
        <v>149.90000000000009</v>
      </c>
      <c r="AQ266" s="1645">
        <f>AQ262-AQ270</f>
        <v>76.900000000000034</v>
      </c>
      <c r="AR266" s="294">
        <f>AS266-AQ266</f>
        <v>77.047300000000035</v>
      </c>
      <c r="AS266" s="294">
        <f>AP266*(1+AS267)</f>
        <v>153.94730000000007</v>
      </c>
      <c r="AT266" s="294">
        <f>AQ266*(1+AT267)</f>
        <v>78.822500000000034</v>
      </c>
      <c r="AU266" s="294">
        <f>AV266-AT266</f>
        <v>78.973482500000031</v>
      </c>
      <c r="AV266" s="294">
        <f>AS266*(1+AV267)</f>
        <v>157.79598250000006</v>
      </c>
      <c r="AW266" s="294">
        <f>AT266*(1+AW267)</f>
        <v>80.793062500000033</v>
      </c>
      <c r="AX266" s="294">
        <f>AY266-AW266</f>
        <v>80.947819562500015</v>
      </c>
      <c r="AY266" s="294">
        <f>AV266*(1+AY267)</f>
        <v>161.74088206250005</v>
      </c>
      <c r="AZ266" s="294">
        <f>AW266*(1+AZ267)</f>
        <v>82.812889062500034</v>
      </c>
      <c r="BA266" s="294">
        <f>BB266-AZ266</f>
        <v>82.971515051562506</v>
      </c>
      <c r="BB266" s="294">
        <f>AY266*(1+BB267)</f>
        <v>165.78440411406254</v>
      </c>
      <c r="BC266" s="241"/>
      <c r="BD266" s="419"/>
      <c r="BE266" s="419"/>
      <c r="BF266" s="419"/>
      <c r="BG266" s="419"/>
      <c r="BH266" s="319"/>
      <c r="BI266" s="368"/>
      <c r="BJ266" s="368"/>
      <c r="BK266" s="419"/>
      <c r="BL266" s="419"/>
      <c r="BM266" s="419"/>
      <c r="BN266" s="419"/>
      <c r="BO266" s="419"/>
      <c r="BP266" s="419"/>
      <c r="BQ266" s="419"/>
      <c r="BR266" s="419"/>
      <c r="BS266" s="419"/>
      <c r="BT266" s="419"/>
      <c r="BU266" s="419"/>
      <c r="BV266" s="419"/>
      <c r="BW266" s="419"/>
      <c r="BX266" s="419">
        <f t="shared" ref="BX266:CG266" si="1292">BX262-BX270</f>
        <v>11.276999999999987</v>
      </c>
      <c r="BY266" s="419">
        <f t="shared" si="1292"/>
        <v>12.5</v>
      </c>
      <c r="BZ266" s="419">
        <f t="shared" si="1292"/>
        <v>12.486999999999995</v>
      </c>
      <c r="CA266" s="419">
        <f t="shared" si="1292"/>
        <v>14.400000000000006</v>
      </c>
      <c r="CB266" s="419">
        <f t="shared" si="1292"/>
        <v>-2.7400000000000091</v>
      </c>
      <c r="CC266" s="419">
        <f t="shared" si="1292"/>
        <v>15.200000000000017</v>
      </c>
      <c r="CD266" s="419">
        <f t="shared" si="1292"/>
        <v>16.031999999999982</v>
      </c>
      <c r="CE266" s="419">
        <f t="shared" si="1292"/>
        <v>16.300000000000011</v>
      </c>
      <c r="CF266" s="419">
        <f t="shared" si="1292"/>
        <v>17.03</v>
      </c>
      <c r="CG266" s="419">
        <f t="shared" si="1292"/>
        <v>17.700000000000003</v>
      </c>
      <c r="CH266" s="419">
        <f>R266-CG266</f>
        <v>19.076000000000001</v>
      </c>
      <c r="CI266" s="419">
        <f>CI262-CI270</f>
        <v>18.336999999999989</v>
      </c>
      <c r="CJ266" s="419">
        <f>S266-CI266</f>
        <v>19.563000000000009</v>
      </c>
      <c r="CK266" s="419">
        <f>CK262-CK270</f>
        <v>19.700000000000017</v>
      </c>
      <c r="CL266" s="419">
        <f>T266-CK266</f>
        <v>19.900000000000006</v>
      </c>
      <c r="CM266" s="419">
        <f>CM262-CM270</f>
        <v>20.800000000000011</v>
      </c>
      <c r="CN266" s="419">
        <f>U266-CM266</f>
        <v>20.499999999999986</v>
      </c>
    </row>
    <row r="267" spans="1:93" ht="9.75" customHeight="1">
      <c r="A267" s="174" t="s">
        <v>819</v>
      </c>
      <c r="B267" s="1074" t="s">
        <v>800</v>
      </c>
      <c r="C267" s="1067"/>
      <c r="D267" s="336"/>
      <c r="E267" s="336"/>
      <c r="F267" s="279"/>
      <c r="G267" s="279"/>
      <c r="H267" s="279"/>
      <c r="I267" s="279"/>
      <c r="J267" s="279"/>
      <c r="K267" s="304">
        <f t="shared" ref="K267:S267" si="1293">K266/K72</f>
        <v>7.948428296427789E-3</v>
      </c>
      <c r="L267" s="304">
        <f t="shared" si="1293"/>
        <v>7.8681556705687723E-3</v>
      </c>
      <c r="M267" s="304">
        <f t="shared" si="1293"/>
        <v>8.3435717892817989E-3</v>
      </c>
      <c r="N267" s="304">
        <f t="shared" si="1293"/>
        <v>8.8775528693500055E-3</v>
      </c>
      <c r="O267" s="304">
        <f t="shared" si="1293"/>
        <v>9.7656831713729495E-3</v>
      </c>
      <c r="P267" s="304">
        <f t="shared" si="1293"/>
        <v>9.9439094987068648E-3</v>
      </c>
      <c r="Q267" s="304">
        <f t="shared" si="1293"/>
        <v>1.0121936998002944E-2</v>
      </c>
      <c r="R267" s="304">
        <f t="shared" si="1293"/>
        <v>1.0641154439099819E-2</v>
      </c>
      <c r="S267" s="304">
        <f t="shared" si="1293"/>
        <v>1.0135429664664361E-2</v>
      </c>
      <c r="T267" s="304">
        <f t="shared" ref="T267:AA267" si="1294">T266/T72</f>
        <v>9.5453888058622226E-3</v>
      </c>
      <c r="U267" s="304">
        <f t="shared" si="1294"/>
        <v>9.09751745710069E-3</v>
      </c>
      <c r="V267" s="304">
        <f>V266/V72</f>
        <v>7.6795430864816903E-3</v>
      </c>
      <c r="W267" s="304">
        <f>W266/W72</f>
        <v>9.6969129151637228E-3</v>
      </c>
      <c r="X267" s="304">
        <f t="shared" si="1294"/>
        <v>8.5907744392721124E-3</v>
      </c>
      <c r="Y267" s="304">
        <f>Y266/Y72</f>
        <v>2.5051425213047308E-2</v>
      </c>
      <c r="Z267" s="304">
        <f>Z266/Z72</f>
        <v>2.5303292894280772E-2</v>
      </c>
      <c r="AA267" s="304">
        <f t="shared" si="1294"/>
        <v>2.5174378160897931E-2</v>
      </c>
      <c r="AB267" s="304">
        <f t="shared" ref="AB267:AC267" si="1295">AB266/AB72</f>
        <v>2.0711028995440594E-2</v>
      </c>
      <c r="AC267" s="304">
        <f t="shared" si="1295"/>
        <v>2.5373880281419396E-2</v>
      </c>
      <c r="AD267" s="304">
        <f t="shared" ref="AD267:AJ267" si="1296">AD266/AD72</f>
        <v>2.2747112543647596E-2</v>
      </c>
      <c r="AE267" s="304">
        <f t="shared" si="1296"/>
        <v>2.0969457529250873E-2</v>
      </c>
      <c r="AF267" s="304">
        <f t="shared" si="1296"/>
        <v>2.3227804542326223E-2</v>
      </c>
      <c r="AG267" s="618">
        <f t="shared" si="1296"/>
        <v>2.2028564512224642E-2</v>
      </c>
      <c r="AH267" s="618">
        <f t="shared" si="1296"/>
        <v>1.9755907267053046E-2</v>
      </c>
      <c r="AI267" s="563">
        <f t="shared" si="1296"/>
        <v>2.3027761809758907E-2</v>
      </c>
      <c r="AJ267" s="618">
        <f t="shared" si="1296"/>
        <v>2.1234017201081559E-2</v>
      </c>
      <c r="AK267" s="567">
        <f t="shared" ref="AK267" si="1297">AK266/AK72</f>
        <v>1.9916461508671959E-2</v>
      </c>
      <c r="AL267" s="618">
        <f>AL266/AL72</f>
        <v>2.3674368906103926E-2</v>
      </c>
      <c r="AM267" s="618">
        <f t="shared" ref="AM267:AN267" si="1298">AM266/AM72</f>
        <v>2.1619086521732559E-2</v>
      </c>
      <c r="AN267" s="567">
        <f t="shared" si="1298"/>
        <v>1.9121593724194887E-2</v>
      </c>
      <c r="AO267" s="304">
        <f>AO266/AO72</f>
        <v>2.3482032218091718E-2</v>
      </c>
      <c r="AP267" s="618">
        <f>AP266/AP72</f>
        <v>2.1103164770807536E-2</v>
      </c>
      <c r="AQ267" s="1540">
        <f t="shared" ref="AQ267" si="1299">AQ266/AQ72</f>
        <v>1.8662783642761808E-2</v>
      </c>
      <c r="AR267" s="304">
        <f>AR266/AR72</f>
        <v>2.2981942753245863E-2</v>
      </c>
      <c r="AS267" s="310">
        <v>2.7E-2</v>
      </c>
      <c r="AT267" s="310">
        <v>2.5000000000000001E-2</v>
      </c>
      <c r="AU267" s="304">
        <f t="shared" ref="AU267" si="1300">AU266/AU72</f>
        <v>2.254225276618578E-2</v>
      </c>
      <c r="AV267" s="310">
        <v>2.5000000000000001E-2</v>
      </c>
      <c r="AW267" s="310">
        <v>2.5000000000000001E-2</v>
      </c>
      <c r="AX267" s="304">
        <f t="shared" ref="AX267" si="1301">AX266/AX72</f>
        <v>2.2115861020608325E-2</v>
      </c>
      <c r="AY267" s="310">
        <v>2.5000000000000001E-2</v>
      </c>
      <c r="AZ267" s="310">
        <v>2.5000000000000001E-2</v>
      </c>
      <c r="BA267" s="304">
        <f t="shared" ref="BA267" si="1302">BA266/BA72</f>
        <v>2.1698003276320477E-2</v>
      </c>
      <c r="BB267" s="310">
        <v>2.5000000000000001E-2</v>
      </c>
      <c r="BC267" s="1355"/>
      <c r="BD267" s="428"/>
      <c r="BE267" s="428"/>
      <c r="BF267" s="428"/>
      <c r="BG267" s="428"/>
      <c r="BH267" s="426"/>
      <c r="BI267" s="427"/>
      <c r="BJ267" s="427"/>
      <c r="BK267" s="320"/>
      <c r="BL267" s="320"/>
      <c r="BM267" s="320"/>
      <c r="BN267" s="320"/>
      <c r="BO267" s="320"/>
      <c r="BP267" s="320"/>
      <c r="BQ267" s="320"/>
      <c r="BR267" s="320"/>
      <c r="BS267" s="320"/>
      <c r="BT267" s="320"/>
      <c r="BU267" s="320"/>
      <c r="BV267" s="320"/>
      <c r="BW267" s="320"/>
      <c r="BX267" s="328">
        <f>BX266/BX72</f>
        <v>1.0061132285555208E-2</v>
      </c>
      <c r="BY267" s="328">
        <f t="shared" ref="BY267:CN267" si="1303">BY266/BY72</f>
        <v>7.7808901338313101E-3</v>
      </c>
      <c r="BZ267" s="328">
        <f t="shared" si="1303"/>
        <v>1.0335833898257381E-2</v>
      </c>
      <c r="CA267" s="328">
        <f t="shared" si="1303"/>
        <v>8.5852262564836378E-3</v>
      </c>
      <c r="CB267" s="328">
        <f t="shared" si="1303"/>
        <v>-2.1450961848603254E-3</v>
      </c>
      <c r="CC267" s="328">
        <f t="shared" si="1303"/>
        <v>8.8167053364269238E-3</v>
      </c>
      <c r="CD267" s="328">
        <f t="shared" si="1303"/>
        <v>1.1315505107575631E-2</v>
      </c>
      <c r="CE267" s="328">
        <f t="shared" si="1303"/>
        <v>8.8779956427015305E-3</v>
      </c>
      <c r="CF267" s="328">
        <f t="shared" si="1303"/>
        <v>1.1689620331016002E-2</v>
      </c>
      <c r="CG267" s="328">
        <f t="shared" si="1303"/>
        <v>9.5053562951235935E-3</v>
      </c>
      <c r="CH267" s="328">
        <f t="shared" si="1303"/>
        <v>1.1968068420511095E-2</v>
      </c>
      <c r="CI267" s="328">
        <f t="shared" si="1303"/>
        <v>9.1645409183232791E-3</v>
      </c>
      <c r="CJ267" s="328">
        <f t="shared" si="1303"/>
        <v>1.1252842977887763E-2</v>
      </c>
      <c r="CK267" s="328">
        <f t="shared" si="1303"/>
        <v>8.8174738161310613E-3</v>
      </c>
      <c r="CL267" s="328">
        <f t="shared" si="1303"/>
        <v>1.0394901796907647E-2</v>
      </c>
      <c r="CM267" s="328">
        <f t="shared" si="1303"/>
        <v>8.4006462035541244E-3</v>
      </c>
      <c r="CN267" s="328">
        <f t="shared" si="1303"/>
        <v>9.9336143819353535E-3</v>
      </c>
    </row>
    <row r="268" spans="1:93" ht="9.75" customHeight="1">
      <c r="A268" s="174"/>
      <c r="B268" s="1074"/>
      <c r="C268" s="1067"/>
      <c r="D268" s="336"/>
      <c r="E268" s="336"/>
      <c r="F268" s="279"/>
      <c r="G268" s="279"/>
      <c r="H268" s="279"/>
      <c r="I268" s="279"/>
      <c r="J268" s="279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79"/>
      <c r="W268" s="279"/>
      <c r="X268" s="263"/>
      <c r="Y268" s="279"/>
      <c r="Z268" s="279"/>
      <c r="AA268" s="263"/>
      <c r="AB268" s="279"/>
      <c r="AC268" s="279"/>
      <c r="AD268" s="263"/>
      <c r="AE268" s="279"/>
      <c r="AF268" s="279"/>
      <c r="AG268" s="284"/>
      <c r="AH268" s="279"/>
      <c r="AI268" s="179"/>
      <c r="AJ268" s="1241"/>
      <c r="AK268" s="179"/>
      <c r="AL268" s="279"/>
      <c r="AM268" s="1241"/>
      <c r="AN268" s="179"/>
      <c r="AO268" s="279"/>
      <c r="AP268" s="1241"/>
      <c r="AQ268" s="1371"/>
      <c r="AR268" s="279"/>
      <c r="AS268" s="287"/>
      <c r="AT268" s="287"/>
      <c r="AU268" s="287"/>
      <c r="AV268" s="287"/>
      <c r="AW268" s="287"/>
      <c r="AX268" s="287"/>
      <c r="AY268" s="287"/>
      <c r="AZ268" s="287"/>
      <c r="BA268" s="287"/>
      <c r="BB268" s="287"/>
      <c r="BC268" s="1333"/>
      <c r="BD268" s="428"/>
      <c r="BE268" s="428"/>
      <c r="BF268" s="428"/>
      <c r="BG268" s="428"/>
      <c r="BH268" s="426"/>
      <c r="BI268" s="427"/>
      <c r="BJ268" s="427"/>
      <c r="BK268" s="320"/>
      <c r="BL268" s="320"/>
      <c r="BM268" s="320"/>
      <c r="BN268" s="320"/>
      <c r="BO268" s="320"/>
      <c r="BP268" s="320"/>
      <c r="BQ268" s="320"/>
      <c r="BR268" s="320"/>
      <c r="BS268" s="320"/>
      <c r="BT268" s="320"/>
      <c r="BU268" s="320"/>
      <c r="BV268" s="320"/>
      <c r="BW268" s="320"/>
      <c r="BX268" s="320"/>
      <c r="BY268" s="320"/>
      <c r="BZ268" s="320"/>
      <c r="CA268" s="320"/>
      <c r="CB268" s="320"/>
      <c r="CC268" s="320"/>
      <c r="CD268" s="320"/>
      <c r="CE268" s="320"/>
      <c r="CF268" s="320"/>
      <c r="CG268" s="320"/>
      <c r="CH268" s="320"/>
      <c r="CI268" s="320"/>
      <c r="CJ268" s="320"/>
      <c r="CK268" s="320"/>
      <c r="CL268" s="320"/>
      <c r="CM268" s="320"/>
      <c r="CN268" s="320"/>
    </row>
    <row r="269" spans="1:93">
      <c r="A269" s="174"/>
      <c r="B269" s="1068"/>
      <c r="C269" s="1067"/>
      <c r="D269" s="336"/>
      <c r="E269" s="336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93">
        <f>V270/(V270+W270)</f>
        <v>0.6360623135565131</v>
      </c>
      <c r="W269" s="293">
        <f>1-V269</f>
        <v>0.3639376864434869</v>
      </c>
      <c r="X269" s="279"/>
      <c r="Y269" s="293">
        <f>Y270/(Y270+Z270)</f>
        <v>0.53447395301327882</v>
      </c>
      <c r="Z269" s="293">
        <f>1-Y269</f>
        <v>0.46552604698672118</v>
      </c>
      <c r="AA269" s="279"/>
      <c r="AB269" s="293">
        <f>AB270/(AB270+AC270)</f>
        <v>0.63059273422562145</v>
      </c>
      <c r="AC269" s="293"/>
      <c r="AD269" s="279"/>
      <c r="AE269" s="293">
        <f>AE270/(AE270+AF270)</f>
        <v>0.53661222242613327</v>
      </c>
      <c r="AF269" s="293"/>
      <c r="AG269" s="279"/>
      <c r="AH269" s="581">
        <f>AH270/(AH270+AI270)</f>
        <v>0.61840913208914661</v>
      </c>
      <c r="AI269" s="566"/>
      <c r="AJ269" s="704"/>
      <c r="AK269" s="646">
        <f>AK270/(AK270+AL270)</f>
        <v>0.599755700325733</v>
      </c>
      <c r="AL269" s="581"/>
      <c r="AM269" s="704"/>
      <c r="AN269" s="646">
        <f>AN270/(AN270+AO270)</f>
        <v>0.59683198189703945</v>
      </c>
      <c r="AO269" s="293"/>
      <c r="AP269" s="704"/>
      <c r="AQ269" s="1374">
        <f>AQ270/(AQ270+AR270)</f>
        <v>0.60428792814300925</v>
      </c>
      <c r="AR269" s="293"/>
      <c r="AS269" s="336"/>
      <c r="AT269" s="293"/>
      <c r="AU269" s="293"/>
      <c r="AV269" s="336"/>
      <c r="AW269" s="293"/>
      <c r="AX269" s="293"/>
      <c r="AY269" s="336"/>
      <c r="AZ269" s="293"/>
      <c r="BA269" s="293"/>
      <c r="BB269" s="336"/>
      <c r="BC269" s="1354"/>
      <c r="BD269" s="428"/>
      <c r="BE269" s="428"/>
      <c r="BF269" s="428"/>
      <c r="BG269" s="428"/>
      <c r="BH269" s="426"/>
      <c r="BI269" s="427"/>
      <c r="BJ269" s="427"/>
      <c r="BK269" s="320"/>
      <c r="BL269" s="320"/>
      <c r="BM269" s="320"/>
      <c r="BN269" s="320"/>
      <c r="BO269" s="320"/>
      <c r="BP269" s="320"/>
      <c r="BQ269" s="320"/>
      <c r="BR269" s="320"/>
      <c r="BS269" s="320"/>
      <c r="BT269" s="320"/>
      <c r="BU269" s="320"/>
      <c r="BV269" s="320"/>
      <c r="BW269" s="320"/>
      <c r="BX269" s="320"/>
      <c r="BY269" s="321">
        <f>BY270/(1+BY270+BZ270)</f>
        <v>0.64364183520957352</v>
      </c>
      <c r="BZ269" s="321">
        <f>1-BY269</f>
        <v>0.35635816479042648</v>
      </c>
      <c r="CA269" s="321">
        <f>CA270/(1+CA270+CB270)</f>
        <v>0.67287521274730988</v>
      </c>
      <c r="CB269" s="321">
        <f>1-CA269</f>
        <v>0.32712478725269012</v>
      </c>
      <c r="CC269" s="321">
        <f>CC270/(1+CC270+CD270)</f>
        <v>0.68757668798380567</v>
      </c>
      <c r="CD269" s="321">
        <f>1-CC269</f>
        <v>0.31242331201619433</v>
      </c>
      <c r="CE269" s="321">
        <f>CE270/(1+CE270+CF270)</f>
        <v>0.68930910627508979</v>
      </c>
      <c r="CF269" s="321">
        <f>1-CE269</f>
        <v>0.31069089372491021</v>
      </c>
      <c r="CG269" s="321">
        <f>CG270/(1+CG270+CH270)</f>
        <v>0.63707613483863568</v>
      </c>
      <c r="CH269" s="321">
        <f>1-CG269</f>
        <v>0.36292386516136432</v>
      </c>
      <c r="CI269" s="321">
        <f>CI270/(1+CI270+CJ270)</f>
        <v>0.61631611052120272</v>
      </c>
      <c r="CJ269" s="321">
        <f>1-CI269</f>
        <v>0.38368388947879728</v>
      </c>
      <c r="CK269" s="321">
        <f>CK270/(1+CK270+CL270)</f>
        <v>0.62870159453302965</v>
      </c>
      <c r="CL269" s="321">
        <f>1-CK269</f>
        <v>0.37129840546697035</v>
      </c>
      <c r="CM269" s="321">
        <f>CM270/(CM270+CN270)</f>
        <v>0.62846390694491949</v>
      </c>
      <c r="CN269" s="321">
        <f>1-CM269</f>
        <v>0.37153609305508051</v>
      </c>
    </row>
    <row r="270" spans="1:93">
      <c r="A270" s="544" t="s">
        <v>749</v>
      </c>
      <c r="B270" s="1069" t="s">
        <v>626</v>
      </c>
      <c r="C270" s="1073"/>
      <c r="D270" s="294"/>
      <c r="E270" s="294"/>
      <c r="F270" s="294"/>
      <c r="G270" s="294"/>
      <c r="H270" s="294"/>
      <c r="I270" s="294"/>
      <c r="J270" s="294"/>
      <c r="K270" s="294">
        <f>K59-K302</f>
        <v>107.199</v>
      </c>
      <c r="L270" s="294">
        <f t="shared" ref="L270:S270" si="1304">L262-L266</f>
        <v>144.86600000000001</v>
      </c>
      <c r="M270" s="294">
        <f t="shared" si="1304"/>
        <v>178.59399999999999</v>
      </c>
      <c r="N270" s="294">
        <f t="shared" si="1304"/>
        <v>197.71300000000002</v>
      </c>
      <c r="O270" s="294">
        <f t="shared" si="1304"/>
        <v>158.65899999999999</v>
      </c>
      <c r="P270" s="294">
        <f t="shared" si="1304"/>
        <v>175.85300000000001</v>
      </c>
      <c r="Q270" s="294">
        <f t="shared" si="1304"/>
        <v>188.32</v>
      </c>
      <c r="R270" s="294">
        <f t="shared" si="1304"/>
        <v>199.447</v>
      </c>
      <c r="S270" s="294">
        <f t="shared" si="1304"/>
        <v>220.31500000000003</v>
      </c>
      <c r="T270" s="294">
        <f>T262-T266</f>
        <v>262.39999999999998</v>
      </c>
      <c r="U270" s="294">
        <f>U262-U266</f>
        <v>292.3</v>
      </c>
      <c r="V270" s="1070">
        <v>191.9</v>
      </c>
      <c r="W270" s="620">
        <f>X270-V270</f>
        <v>109.79999999999998</v>
      </c>
      <c r="X270" s="294">
        <f t="shared" ref="X270:AV270" si="1305">X262-X266</f>
        <v>301.7</v>
      </c>
      <c r="Y270" s="1070">
        <v>209.3</v>
      </c>
      <c r="Z270" s="620">
        <f>AA270-Y270</f>
        <v>182.3</v>
      </c>
      <c r="AA270" s="294">
        <f t="shared" si="1305"/>
        <v>391.6</v>
      </c>
      <c r="AB270" s="1070">
        <v>329.8</v>
      </c>
      <c r="AC270" s="620">
        <f>AC262-AC266</f>
        <v>193.2</v>
      </c>
      <c r="AD270" s="294">
        <f t="shared" si="1305"/>
        <v>523</v>
      </c>
      <c r="AE270" s="1070">
        <v>292.39999999999998</v>
      </c>
      <c r="AF270" s="620">
        <f>AF262-AF266</f>
        <v>252.5</v>
      </c>
      <c r="AG270" s="294">
        <f t="shared" si="1305"/>
        <v>544.9</v>
      </c>
      <c r="AH270" s="1070">
        <v>341.3</v>
      </c>
      <c r="AI270" s="706">
        <f>AJ270-AH270</f>
        <v>210.59999999999997</v>
      </c>
      <c r="AJ270" s="1070">
        <v>551.9</v>
      </c>
      <c r="AK270" s="1270">
        <v>294.60000000000002</v>
      </c>
      <c r="AL270" s="620">
        <f>AM270-AK270</f>
        <v>196.59999999999997</v>
      </c>
      <c r="AM270" s="1070">
        <v>491.2</v>
      </c>
      <c r="AN270" s="1917">
        <v>316.5</v>
      </c>
      <c r="AO270" s="620">
        <f>AP270-AN270</f>
        <v>213.79999999999995</v>
      </c>
      <c r="AP270" s="1070">
        <v>530.29999999999995</v>
      </c>
      <c r="AQ270" s="1755">
        <v>340.9</v>
      </c>
      <c r="AR270" s="620">
        <f>AS270-AQ270</f>
        <v>223.23504907766994</v>
      </c>
      <c r="AS270" s="294">
        <f t="shared" si="1305"/>
        <v>564.13504907766992</v>
      </c>
      <c r="AT270" s="620">
        <f>AT262-AT266</f>
        <v>346.66977115384611</v>
      </c>
      <c r="AU270" s="620">
        <f>AV270-AT270</f>
        <v>226.05637498658461</v>
      </c>
      <c r="AV270" s="294">
        <f t="shared" si="1305"/>
        <v>572.72614614043073</v>
      </c>
      <c r="AW270" s="620">
        <f>AW262-AW266</f>
        <v>363.62395757691968</v>
      </c>
      <c r="AX270" s="620">
        <f>AY270-AW270</f>
        <v>237.62563416259457</v>
      </c>
      <c r="AY270" s="294">
        <f t="shared" ref="AY270" si="1306">AY262-AY266</f>
        <v>601.24959173951424</v>
      </c>
      <c r="AZ270" s="620">
        <f>AZ262-AZ266</f>
        <v>381.34851394481973</v>
      </c>
      <c r="BA270" s="620">
        <f>BB270-AZ270</f>
        <v>249.72871923305206</v>
      </c>
      <c r="BB270" s="294">
        <f t="shared" ref="BB270" si="1307">BB262-BB266</f>
        <v>631.07723317787179</v>
      </c>
      <c r="BC270" s="241"/>
      <c r="BD270" s="419"/>
      <c r="BE270" s="419"/>
      <c r="BF270" s="419"/>
      <c r="BG270" s="419"/>
      <c r="BH270" s="319"/>
      <c r="BI270" s="368"/>
      <c r="BJ270" s="368"/>
      <c r="BK270" s="419"/>
      <c r="BL270" s="419"/>
      <c r="BM270" s="419"/>
      <c r="BN270" s="419"/>
      <c r="BO270" s="419"/>
      <c r="BP270" s="419"/>
      <c r="BQ270" s="419"/>
      <c r="BR270" s="419"/>
      <c r="BS270" s="533">
        <v>65.900000000000006</v>
      </c>
      <c r="BT270" s="510">
        <f>K270-BS270</f>
        <v>41.298999999999992</v>
      </c>
      <c r="BU270" s="533">
        <v>98.3</v>
      </c>
      <c r="BV270" s="510">
        <f>L270-BU270</f>
        <v>46.566000000000017</v>
      </c>
      <c r="BW270" s="533">
        <v>113.3</v>
      </c>
      <c r="BX270" s="510">
        <f>M270-BW270</f>
        <v>65.293999999999997</v>
      </c>
      <c r="BY270" s="533">
        <v>127.9</v>
      </c>
      <c r="BZ270" s="510">
        <f>N270-BY270</f>
        <v>69.813000000000017</v>
      </c>
      <c r="CA270" s="533">
        <v>119</v>
      </c>
      <c r="CB270" s="510">
        <f>P270-CA270</f>
        <v>56.853000000000009</v>
      </c>
      <c r="CC270" s="533">
        <v>121.6</v>
      </c>
      <c r="CD270" s="510">
        <f>P270-CC270</f>
        <v>54.253000000000014</v>
      </c>
      <c r="CE270" s="533">
        <v>130.5</v>
      </c>
      <c r="CF270" s="510">
        <f>Q270-CE270</f>
        <v>57.819999999999993</v>
      </c>
      <c r="CG270" s="533">
        <v>127.7</v>
      </c>
      <c r="CH270" s="532">
        <f>R270-CG270</f>
        <v>71.747</v>
      </c>
      <c r="CI270" s="533">
        <v>136.4</v>
      </c>
      <c r="CJ270" s="532">
        <f>S270-CI270</f>
        <v>83.91500000000002</v>
      </c>
      <c r="CK270" s="533">
        <v>165.6</v>
      </c>
      <c r="CL270" s="532">
        <f>T270-CK270</f>
        <v>96.799999999999983</v>
      </c>
      <c r="CM270" s="533">
        <v>183.7</v>
      </c>
      <c r="CN270" s="532">
        <f>U270-CM270</f>
        <v>108.60000000000002</v>
      </c>
    </row>
    <row r="271" spans="1:93">
      <c r="A271" s="171" t="s">
        <v>817</v>
      </c>
      <c r="B271" s="1068" t="s">
        <v>620</v>
      </c>
      <c r="C271" s="965"/>
      <c r="D271" s="279"/>
      <c r="E271" s="279"/>
      <c r="F271" s="279"/>
      <c r="G271" s="279"/>
      <c r="H271" s="279"/>
      <c r="I271" s="279"/>
      <c r="J271" s="279"/>
      <c r="K271" s="313">
        <f t="shared" ref="K271:T271" si="1308">K270/K72</f>
        <v>6.1784030523440114E-2</v>
      </c>
      <c r="L271" s="313">
        <f t="shared" si="1308"/>
        <v>6.5699938865215038E-2</v>
      </c>
      <c r="M271" s="313">
        <f t="shared" si="1308"/>
        <v>6.874160908497455E-2</v>
      </c>
      <c r="N271" s="313">
        <f t="shared" si="1308"/>
        <v>7.0244831730811946E-2</v>
      </c>
      <c r="O271" s="313">
        <f t="shared" si="1308"/>
        <v>5.3698396280822784E-2</v>
      </c>
      <c r="P271" s="313">
        <f t="shared" si="1308"/>
        <v>5.598957213998778E-2</v>
      </c>
      <c r="Q271" s="313">
        <f t="shared" si="1308"/>
        <v>5.719061432534997E-2</v>
      </c>
      <c r="R271" s="313">
        <f t="shared" si="1308"/>
        <v>5.7710091619946204E-2</v>
      </c>
      <c r="S271" s="313">
        <f t="shared" si="1308"/>
        <v>5.8917867719539024E-2</v>
      </c>
      <c r="T271" s="313">
        <f t="shared" si="1308"/>
        <v>6.3250253097430445E-2</v>
      </c>
      <c r="U271" s="313">
        <f t="shared" ref="U271:AD271" si="1309">U270/U72</f>
        <v>6.4387514593475345E-2</v>
      </c>
      <c r="V271" s="304">
        <f>V270/V72</f>
        <v>7.4055493381700296E-2</v>
      </c>
      <c r="W271" s="304">
        <f>W270/W72</f>
        <v>5.1435798941303221E-2</v>
      </c>
      <c r="X271" s="313">
        <f t="shared" si="1309"/>
        <v>6.383834109183241E-2</v>
      </c>
      <c r="Y271" s="304">
        <f>Y270/Y72</f>
        <v>7.6880693505730235E-2</v>
      </c>
      <c r="Z271" s="304">
        <f>Z270/Z72</f>
        <v>7.0209897939533999E-2</v>
      </c>
      <c r="AA271" s="313">
        <f t="shared" si="1309"/>
        <v>7.3624245614694772E-2</v>
      </c>
      <c r="AB271" s="304">
        <f>AB270/AB72</f>
        <v>9.828053759275264E-2</v>
      </c>
      <c r="AC271" s="304">
        <f>AC270/AC72</f>
        <v>7.4276267732882234E-2</v>
      </c>
      <c r="AD271" s="313">
        <f t="shared" si="1309"/>
        <v>8.7798818157399941E-2</v>
      </c>
      <c r="AE271" s="304">
        <f t="shared" ref="AE271:AJ271" si="1310">AE270/AE72</f>
        <v>8.8861875094970358E-2</v>
      </c>
      <c r="AF271" s="304">
        <f t="shared" si="1310"/>
        <v>8.6889194769442527E-2</v>
      </c>
      <c r="AG271" s="1119">
        <f t="shared" si="1310"/>
        <v>8.7936738481400781E-2</v>
      </c>
      <c r="AH271" s="618">
        <f t="shared" si="1310"/>
        <v>9.5101426660722244E-2</v>
      </c>
      <c r="AI271" s="563">
        <f t="shared" si="1310"/>
        <v>7.1213607006390955E-2</v>
      </c>
      <c r="AJ271" s="618">
        <f t="shared" si="1310"/>
        <v>8.4309741678251171E-2</v>
      </c>
      <c r="AK271" s="567">
        <f t="shared" ref="AK271" si="1311">AK270/AK72</f>
        <v>8.1491521672982778E-2</v>
      </c>
      <c r="AL271" s="567">
        <f>AL270/AL72</f>
        <v>6.5647121677574458E-2</v>
      </c>
      <c r="AM271" s="618">
        <f t="shared" ref="AM271:AN271" si="1312">AM270/AM72</f>
        <v>7.4312773264345905E-2</v>
      </c>
      <c r="AN271" s="567">
        <f t="shared" si="1312"/>
        <v>8.1673203963666396E-2</v>
      </c>
      <c r="AO271" s="563">
        <f t="shared" ref="AO271:AV271" si="1313">AO270/AO72</f>
        <v>6.6232961586121422E-2</v>
      </c>
      <c r="AP271" s="618">
        <f t="shared" si="1313"/>
        <v>7.4656492848293718E-2</v>
      </c>
      <c r="AQ271" s="1540">
        <f t="shared" si="1313"/>
        <v>8.2732678073049376E-2</v>
      </c>
      <c r="AR271" s="563">
        <f t="shared" si="1313"/>
        <v>6.6587344636619819E-2</v>
      </c>
      <c r="AS271" s="654">
        <f t="shared" si="1313"/>
        <v>7.5489621622528938E-2</v>
      </c>
      <c r="AT271" s="563">
        <f t="shared" si="1313"/>
        <v>8.053963139866599E-2</v>
      </c>
      <c r="AU271" s="563">
        <f t="shared" si="1313"/>
        <v>6.4525708922045635E-2</v>
      </c>
      <c r="AV271" s="654">
        <f t="shared" si="1313"/>
        <v>7.3354097172863245E-2</v>
      </c>
      <c r="AW271" s="563">
        <f t="shared" ref="AW271:AX271" si="1314">AW270/AW72</f>
        <v>8.0859085384096085E-2</v>
      </c>
      <c r="AX271" s="563">
        <f t="shared" si="1314"/>
        <v>6.4922014310913365E-2</v>
      </c>
      <c r="AY271" s="654">
        <f>AY270/AY72</f>
        <v>7.3708034801542394E-2</v>
      </c>
      <c r="AZ271" s="563">
        <f t="shared" ref="AZ271:BB271" si="1315">AZ270/AZ72</f>
        <v>8.1169046943908002E-2</v>
      </c>
      <c r="BA271" s="563">
        <f t="shared" si="1315"/>
        <v>6.5306925693024792E-2</v>
      </c>
      <c r="BB271" s="654">
        <f t="shared" si="1315"/>
        <v>7.4051626754790864E-2</v>
      </c>
      <c r="BC271" s="654"/>
      <c r="BD271" s="373"/>
      <c r="BE271" s="373"/>
      <c r="BF271" s="373"/>
      <c r="BG271" s="373"/>
      <c r="BH271" s="318"/>
      <c r="BI271" s="322"/>
      <c r="BJ271" s="322"/>
      <c r="BK271" s="376"/>
      <c r="BL271" s="376"/>
      <c r="BM271" s="376"/>
      <c r="BN271" s="376"/>
      <c r="BO271" s="376"/>
      <c r="BP271" s="376"/>
      <c r="BQ271" s="376"/>
      <c r="BR271" s="376"/>
      <c r="BS271" s="328">
        <f t="shared" ref="BS271:CL271" si="1316">BS270/BS72</f>
        <v>7.005421494631657E-2</v>
      </c>
      <c r="BT271" s="328">
        <f t="shared" si="1316"/>
        <v>5.1990281484465481E-2</v>
      </c>
      <c r="BU271" s="328">
        <f t="shared" si="1316"/>
        <v>8.2289368933461129E-2</v>
      </c>
      <c r="BV271" s="328">
        <f t="shared" si="1316"/>
        <v>4.6086743949667427E-2</v>
      </c>
      <c r="BW271" s="328">
        <f t="shared" si="1316"/>
        <v>7.6699160574059025E-2</v>
      </c>
      <c r="BX271" s="328">
        <f t="shared" si="1316"/>
        <v>5.8254107604242489E-2</v>
      </c>
      <c r="BY271" s="328">
        <f t="shared" si="1316"/>
        <v>7.9614067849361966E-2</v>
      </c>
      <c r="BZ271" s="328">
        <f t="shared" si="1316"/>
        <v>5.7786143344201416E-2</v>
      </c>
      <c r="CA271" s="328">
        <f t="shared" si="1316"/>
        <v>7.0947355869552253E-2</v>
      </c>
      <c r="CB271" s="328">
        <f t="shared" si="1316"/>
        <v>4.4509180072213023E-2</v>
      </c>
      <c r="CC271" s="328">
        <f t="shared" si="1316"/>
        <v>7.0533642691415308E-2</v>
      </c>
      <c r="CD271" s="328">
        <f t="shared" si="1316"/>
        <v>3.8292171818943462E-2</v>
      </c>
      <c r="CE271" s="328">
        <f t="shared" si="1316"/>
        <v>7.1078431372549017E-2</v>
      </c>
      <c r="CF271" s="328">
        <f t="shared" si="1316"/>
        <v>3.9688423226033186E-2</v>
      </c>
      <c r="CG271" s="328">
        <f t="shared" si="1316"/>
        <v>6.8578192027530099E-2</v>
      </c>
      <c r="CH271" s="328">
        <f t="shared" si="1316"/>
        <v>4.5013262998868188E-2</v>
      </c>
      <c r="CI271" s="328">
        <f t="shared" si="1316"/>
        <v>6.8170550322260784E-2</v>
      </c>
      <c r="CJ271" s="328">
        <f t="shared" si="1316"/>
        <v>4.8268788963321138E-2</v>
      </c>
      <c r="CK271" s="328">
        <f t="shared" si="1316"/>
        <v>7.4120490555903681E-2</v>
      </c>
      <c r="CL271" s="328">
        <f t="shared" si="1316"/>
        <v>5.0564145424153759E-2</v>
      </c>
      <c r="CM271" s="328">
        <f t="shared" ref="CM271:CN271" si="1317">CM270/CM72</f>
        <v>7.4192245557350558E-2</v>
      </c>
      <c r="CN271" s="328">
        <f t="shared" si="1317"/>
        <v>5.26239278964966E-2</v>
      </c>
      <c r="CO271" s="540"/>
    </row>
    <row r="272" spans="1:93">
      <c r="A272" s="171"/>
      <c r="B272" s="1068" t="s">
        <v>779</v>
      </c>
      <c r="C272" s="1067"/>
      <c r="D272" s="336"/>
      <c r="E272" s="336"/>
      <c r="F272" s="279"/>
      <c r="G272" s="279"/>
      <c r="H272" s="279"/>
      <c r="I272" s="279"/>
      <c r="J272" s="279"/>
      <c r="K272" s="279"/>
      <c r="L272" s="304">
        <f t="shared" ref="L272:S272" si="1318">L271-K271</f>
        <v>3.9159083417749235E-3</v>
      </c>
      <c r="M272" s="304">
        <f t="shared" si="1318"/>
        <v>3.0416702197595125E-3</v>
      </c>
      <c r="N272" s="304">
        <f t="shared" si="1318"/>
        <v>1.503222645837396E-3</v>
      </c>
      <c r="O272" s="304">
        <f t="shared" si="1318"/>
        <v>-1.6546435449989162E-2</v>
      </c>
      <c r="P272" s="304">
        <f t="shared" si="1318"/>
        <v>2.2911758591649956E-3</v>
      </c>
      <c r="Q272" s="304">
        <f t="shared" si="1318"/>
        <v>1.2010421853621903E-3</v>
      </c>
      <c r="R272" s="304">
        <f t="shared" si="1318"/>
        <v>5.1947729459623365E-4</v>
      </c>
      <c r="S272" s="304">
        <f t="shared" si="1318"/>
        <v>1.2077760995928208E-3</v>
      </c>
      <c r="T272" s="304">
        <f t="shared" ref="T272:U272" si="1319">T271-S271</f>
        <v>4.3323853778914206E-3</v>
      </c>
      <c r="U272" s="304">
        <f t="shared" si="1319"/>
        <v>1.1372614960449001E-3</v>
      </c>
      <c r="V272" s="618">
        <f>V271-CM271</f>
        <v>-1.367521756502621E-4</v>
      </c>
      <c r="W272" s="618">
        <f>W271-CN271</f>
        <v>-1.1881289551933794E-3</v>
      </c>
      <c r="X272" s="304">
        <f t="shared" ref="X272:AQ272" si="1320">X271-U271</f>
        <v>-5.4917350164293555E-4</v>
      </c>
      <c r="Y272" s="618">
        <f t="shared" si="1320"/>
        <v>2.825200124029939E-3</v>
      </c>
      <c r="Z272" s="618">
        <f t="shared" si="1320"/>
        <v>1.8774098998230779E-2</v>
      </c>
      <c r="AA272" s="304">
        <f t="shared" si="1320"/>
        <v>9.7859045228623626E-3</v>
      </c>
      <c r="AB272" s="618">
        <f t="shared" si="1320"/>
        <v>2.1399844087022404E-2</v>
      </c>
      <c r="AC272" s="618">
        <f t="shared" si="1320"/>
        <v>4.0663697933482346E-3</v>
      </c>
      <c r="AD272" s="304">
        <f t="shared" si="1320"/>
        <v>1.4174572542705169E-2</v>
      </c>
      <c r="AE272" s="618">
        <f t="shared" si="1320"/>
        <v>-9.4186624977822819E-3</v>
      </c>
      <c r="AF272" s="618">
        <f t="shared" si="1320"/>
        <v>1.2612927036560292E-2</v>
      </c>
      <c r="AG272" s="618">
        <f t="shared" si="1320"/>
        <v>1.3792032400083976E-4</v>
      </c>
      <c r="AH272" s="618">
        <f t="shared" si="1320"/>
        <v>6.2395515657518857E-3</v>
      </c>
      <c r="AI272" s="563">
        <f t="shared" ref="AI272" si="1321">AI271-AF271</f>
        <v>-1.5675587763051571E-2</v>
      </c>
      <c r="AJ272" s="618">
        <f t="shared" si="1320"/>
        <v>-3.6269968031496097E-3</v>
      </c>
      <c r="AK272" s="567">
        <f t="shared" si="1320"/>
        <v>-1.3609904987739466E-2</v>
      </c>
      <c r="AL272" s="567">
        <f t="shared" ref="AL272" si="1322">AL271-AI271</f>
        <v>-5.5664853288164978E-3</v>
      </c>
      <c r="AM272" s="618">
        <f t="shared" si="1320"/>
        <v>-9.9969684139052661E-3</v>
      </c>
      <c r="AN272" s="567">
        <f t="shared" si="1320"/>
        <v>1.8168229068361852E-4</v>
      </c>
      <c r="AO272" s="563">
        <f>AO271-AL271</f>
        <v>5.8583990854696455E-4</v>
      </c>
      <c r="AP272" s="618">
        <f t="shared" si="1320"/>
        <v>3.4371958394781299E-4</v>
      </c>
      <c r="AQ272" s="1540">
        <f t="shared" si="1320"/>
        <v>1.0594741093829796E-3</v>
      </c>
      <c r="AR272" s="563">
        <f t="shared" ref="AR272" si="1323">AR271-AO271</f>
        <v>3.5438305049839691E-4</v>
      </c>
      <c r="AS272" s="567">
        <f t="shared" ref="AS272" si="1324">AS271-AP271</f>
        <v>8.3312877423522003E-4</v>
      </c>
      <c r="AT272" s="567">
        <f t="shared" ref="AT272" si="1325">AT271-AQ271</f>
        <v>-2.1930466743833865E-3</v>
      </c>
      <c r="AU272" s="563">
        <f t="shared" ref="AU272" si="1326">AU271-AR271</f>
        <v>-2.0616357145741837E-3</v>
      </c>
      <c r="AV272" s="567">
        <f t="shared" ref="AV272" si="1327">AV271-AS271</f>
        <v>-2.1355244496656933E-3</v>
      </c>
      <c r="AW272" s="567">
        <f t="shared" ref="AW272" si="1328">AW271-AT271</f>
        <v>3.1945398543009595E-4</v>
      </c>
      <c r="AX272" s="563">
        <f t="shared" ref="AX272" si="1329">AX271-AU271</f>
        <v>3.9630538886772926E-4</v>
      </c>
      <c r="AY272" s="567">
        <f t="shared" ref="AY272" si="1330">AY271-AV271</f>
        <v>3.5393762867914902E-4</v>
      </c>
      <c r="AZ272" s="567">
        <f t="shared" ref="AZ272" si="1331">AZ271-AW271</f>
        <v>3.0996155981191653E-4</v>
      </c>
      <c r="BA272" s="563">
        <f t="shared" ref="BA272" si="1332">BA271-AX271</f>
        <v>3.849113821114275E-4</v>
      </c>
      <c r="BB272" s="567">
        <f t="shared" ref="BB272" si="1333">BB271-AY271</f>
        <v>3.4359195324847047E-4</v>
      </c>
      <c r="BC272" s="567"/>
      <c r="BD272" s="428"/>
      <c r="BE272" s="428"/>
      <c r="BF272" s="428"/>
      <c r="BG272" s="428"/>
      <c r="BH272" s="426"/>
      <c r="BI272" s="427"/>
      <c r="BJ272" s="427"/>
      <c r="BK272" s="320"/>
      <c r="BL272" s="320"/>
      <c r="BM272" s="320"/>
      <c r="BN272" s="320"/>
      <c r="BO272" s="320"/>
      <c r="BP272" s="320"/>
      <c r="BQ272" s="320"/>
      <c r="BR272" s="320"/>
      <c r="BS272" s="320"/>
      <c r="BT272" s="320"/>
      <c r="BU272" s="334">
        <f>BU271-BS271</f>
        <v>1.2235153987144559E-2</v>
      </c>
      <c r="BV272" s="334">
        <f t="shared" ref="BV272:CL272" si="1334">BV271-BT271</f>
        <v>-5.9035375347980534E-3</v>
      </c>
      <c r="BW272" s="334">
        <f t="shared" si="1334"/>
        <v>-5.5902083594021046E-3</v>
      </c>
      <c r="BX272" s="334">
        <f t="shared" si="1334"/>
        <v>1.2167363654575061E-2</v>
      </c>
      <c r="BY272" s="334">
        <f t="shared" si="1334"/>
        <v>2.9149072753029415E-3</v>
      </c>
      <c r="BZ272" s="334">
        <f t="shared" si="1334"/>
        <v>-4.6796426004107328E-4</v>
      </c>
      <c r="CA272" s="334">
        <f t="shared" si="1334"/>
        <v>-8.6667119798097131E-3</v>
      </c>
      <c r="CB272" s="334">
        <f t="shared" si="1334"/>
        <v>-1.3276963271988393E-2</v>
      </c>
      <c r="CC272" s="334">
        <f t="shared" si="1334"/>
        <v>-4.1371317813694575E-4</v>
      </c>
      <c r="CD272" s="334">
        <f t="shared" si="1334"/>
        <v>-6.2170082532695611E-3</v>
      </c>
      <c r="CE272" s="334">
        <f t="shared" si="1334"/>
        <v>5.4478868113370937E-4</v>
      </c>
      <c r="CF272" s="334">
        <f t="shared" si="1334"/>
        <v>1.3962514070897242E-3</v>
      </c>
      <c r="CG272" s="334">
        <f t="shared" si="1334"/>
        <v>-2.5002393450189175E-3</v>
      </c>
      <c r="CH272" s="334">
        <f t="shared" si="1334"/>
        <v>5.3248397728350022E-3</v>
      </c>
      <c r="CI272" s="334">
        <f t="shared" si="1334"/>
        <v>-4.0764170526931542E-4</v>
      </c>
      <c r="CJ272" s="334">
        <f t="shared" si="1334"/>
        <v>3.2555259644529502E-3</v>
      </c>
      <c r="CK272" s="334">
        <f t="shared" si="1334"/>
        <v>5.9499402336428975E-3</v>
      </c>
      <c r="CL272" s="334">
        <f t="shared" si="1334"/>
        <v>2.2953564608326205E-3</v>
      </c>
      <c r="CM272" s="334">
        <f t="shared" ref="CM272:CN272" si="1335">CM271-CK271</f>
        <v>7.1755001446877076E-5</v>
      </c>
      <c r="CN272" s="334">
        <f t="shared" si="1335"/>
        <v>2.0597824723428415E-3</v>
      </c>
    </row>
    <row r="273" spans="1:92">
      <c r="A273" s="171" t="s">
        <v>855</v>
      </c>
      <c r="B273" s="1075" t="s">
        <v>706</v>
      </c>
      <c r="C273" s="1067"/>
      <c r="D273" s="336"/>
      <c r="E273" s="336"/>
      <c r="F273" s="279"/>
      <c r="G273" s="279"/>
      <c r="H273" s="279"/>
      <c r="I273" s="279"/>
      <c r="J273" s="279"/>
      <c r="K273" s="279"/>
      <c r="L273" s="304">
        <f t="shared" ref="L273:U273" si="1336">L270/K270-1</f>
        <v>0.35137454640435095</v>
      </c>
      <c r="M273" s="304">
        <f t="shared" si="1336"/>
        <v>0.23282205624508157</v>
      </c>
      <c r="N273" s="304">
        <f t="shared" si="1336"/>
        <v>0.10705286851741946</v>
      </c>
      <c r="O273" s="304">
        <f t="shared" si="1336"/>
        <v>-0.19752874115510877</v>
      </c>
      <c r="P273" s="304">
        <f t="shared" si="1336"/>
        <v>0.1083707826218494</v>
      </c>
      <c r="Q273" s="304">
        <f t="shared" si="1336"/>
        <v>7.0894440242702528E-2</v>
      </c>
      <c r="R273" s="304">
        <f t="shared" si="1336"/>
        <v>5.9085598980458842E-2</v>
      </c>
      <c r="S273" s="304">
        <f t="shared" si="1336"/>
        <v>0.10462930001454041</v>
      </c>
      <c r="T273" s="304">
        <f t="shared" si="1336"/>
        <v>0.19102194585025956</v>
      </c>
      <c r="U273" s="304">
        <f t="shared" si="1336"/>
        <v>0.11394817073170738</v>
      </c>
      <c r="V273" s="284">
        <f>V270/CM270-1</f>
        <v>4.4637996733805307E-2</v>
      </c>
      <c r="W273" s="284">
        <f>W270/CN270-1</f>
        <v>1.1049723756905605E-2</v>
      </c>
      <c r="X273" s="304">
        <f t="shared" ref="X273" si="1337">X270/U270-1</f>
        <v>3.2158741019500336E-2</v>
      </c>
      <c r="Y273" s="284">
        <f t="shared" ref="Y273:AQ273" si="1338">Y270/V270-1</f>
        <v>9.0672225117248484E-2</v>
      </c>
      <c r="Z273" s="284">
        <f t="shared" si="1338"/>
        <v>0.6602914389799639</v>
      </c>
      <c r="AA273" s="304">
        <f t="shared" si="1338"/>
        <v>0.29797812396420298</v>
      </c>
      <c r="AB273" s="284">
        <f t="shared" si="1338"/>
        <v>0.57572861920688001</v>
      </c>
      <c r="AC273" s="284">
        <f t="shared" si="1338"/>
        <v>5.9791552386176505E-2</v>
      </c>
      <c r="AD273" s="304">
        <f t="shared" si="1338"/>
        <v>0.33554647599591414</v>
      </c>
      <c r="AE273" s="284">
        <f t="shared" si="1338"/>
        <v>-0.11340206185567026</v>
      </c>
      <c r="AF273" s="284">
        <f t="shared" si="1338"/>
        <v>0.30693581780538315</v>
      </c>
      <c r="AG273" s="618">
        <f t="shared" si="1338"/>
        <v>4.1873804971319206E-2</v>
      </c>
      <c r="AH273" s="284">
        <f t="shared" si="1338"/>
        <v>0.16723666210670318</v>
      </c>
      <c r="AI273" s="137">
        <f t="shared" ref="AI273" si="1339">AI270/AF270-1</f>
        <v>-0.16594059405940609</v>
      </c>
      <c r="AJ273" s="284">
        <f t="shared" si="1338"/>
        <v>1.2846393833730874E-2</v>
      </c>
      <c r="AK273" s="137">
        <f t="shared" si="1338"/>
        <v>-0.13682976853208317</v>
      </c>
      <c r="AL273" s="137">
        <f t="shared" ref="AL273" si="1340">AL270/AI270-1</f>
        <v>-6.6476733143399858E-2</v>
      </c>
      <c r="AM273" s="284">
        <f t="shared" si="1338"/>
        <v>-0.1099836926979525</v>
      </c>
      <c r="AN273" s="137">
        <f t="shared" si="1338"/>
        <v>7.4338085539714882E-2</v>
      </c>
      <c r="AO273" s="137">
        <f>AO270/AL270-1</f>
        <v>8.7487283825025353E-2</v>
      </c>
      <c r="AP273" s="284">
        <f t="shared" si="1338"/>
        <v>7.9600977198696965E-2</v>
      </c>
      <c r="AQ273" s="1315">
        <f t="shared" si="1338"/>
        <v>7.7093206951026838E-2</v>
      </c>
      <c r="AR273" s="137">
        <f t="shared" ref="AR273" si="1341">AR270/AO270-1</f>
        <v>4.4130257613049562E-2</v>
      </c>
      <c r="AS273" s="137">
        <f t="shared" ref="AS273" si="1342">AS270/AP270-1</f>
        <v>6.3803599995606142E-2</v>
      </c>
      <c r="AT273" s="137">
        <f t="shared" ref="AT273" si="1343">AT270/AQ270-1</f>
        <v>1.6925113387638913E-2</v>
      </c>
      <c r="AU273" s="137">
        <f t="shared" ref="AU273" si="1344">AU270/AR270-1</f>
        <v>1.2638364452945083E-2</v>
      </c>
      <c r="AV273" s="137">
        <f t="shared" ref="AV273" si="1345">AV270/AS270-1</f>
        <v>1.5228795085160618E-2</v>
      </c>
      <c r="AW273" s="137">
        <f t="shared" ref="AW273" si="1346">AW270/AT270-1</f>
        <v>4.8905869025279269E-2</v>
      </c>
      <c r="AX273" s="137">
        <f t="shared" ref="AX273" si="1347">AX270/AU270-1</f>
        <v>5.1178645931558187E-2</v>
      </c>
      <c r="AY273" s="137">
        <f t="shared" ref="AY273" si="1348">AY270/AV270-1</f>
        <v>4.9802939487399778E-2</v>
      </c>
      <c r="AZ273" s="137">
        <f t="shared" ref="AZ273" si="1349">AZ270/AW270-1</f>
        <v>4.8744193000954006E-2</v>
      </c>
      <c r="BA273" s="137">
        <f t="shared" ref="BA273" si="1350">BA270/AX270-1</f>
        <v>5.0933415130524073E-2</v>
      </c>
      <c r="BB273" s="137">
        <f t="shared" ref="BB273" si="1351">BB270/AY270-1</f>
        <v>4.960941653542128E-2</v>
      </c>
      <c r="BC273" s="137"/>
      <c r="BD273" s="428"/>
      <c r="BE273" s="428"/>
      <c r="BF273" s="428"/>
      <c r="BG273" s="428"/>
      <c r="BH273" s="426"/>
      <c r="BI273" s="427"/>
      <c r="BJ273" s="427"/>
      <c r="BK273" s="320"/>
      <c r="BL273" s="320"/>
      <c r="BM273" s="320"/>
      <c r="BN273" s="320"/>
      <c r="BO273" s="320"/>
      <c r="BP273" s="320"/>
      <c r="BQ273" s="320"/>
      <c r="BR273" s="320"/>
      <c r="BS273" s="320"/>
      <c r="BT273" s="320"/>
      <c r="BU273" s="359">
        <f t="shared" ref="BU273:CN273" si="1352">BU270/BS270-1</f>
        <v>0.49165402124430946</v>
      </c>
      <c r="BV273" s="359">
        <f t="shared" si="1352"/>
        <v>0.1275333543185071</v>
      </c>
      <c r="BW273" s="359">
        <f t="shared" si="1352"/>
        <v>0.15259409969481186</v>
      </c>
      <c r="BX273" s="359">
        <f t="shared" si="1352"/>
        <v>0.40218184941802981</v>
      </c>
      <c r="BY273" s="359">
        <f t="shared" si="1352"/>
        <v>0.12886142983230364</v>
      </c>
      <c r="BZ273" s="359">
        <f t="shared" si="1352"/>
        <v>6.9210034612675386E-2</v>
      </c>
      <c r="CA273" s="359">
        <f t="shared" si="1352"/>
        <v>-6.9585613760750675E-2</v>
      </c>
      <c r="CB273" s="359">
        <f t="shared" si="1352"/>
        <v>-0.18563877787804572</v>
      </c>
      <c r="CC273" s="359">
        <f t="shared" si="1352"/>
        <v>2.1848739495798242E-2</v>
      </c>
      <c r="CD273" s="359">
        <f t="shared" si="1352"/>
        <v>-4.5731975445446937E-2</v>
      </c>
      <c r="CE273" s="359">
        <f t="shared" si="1352"/>
        <v>7.3190789473684292E-2</v>
      </c>
      <c r="CF273" s="359">
        <f t="shared" si="1352"/>
        <v>6.5747516266381201E-2</v>
      </c>
      <c r="CG273" s="359">
        <f t="shared" si="1352"/>
        <v>-2.1455938697317989E-2</v>
      </c>
      <c r="CH273" s="359">
        <f t="shared" si="1352"/>
        <v>0.24086821169145645</v>
      </c>
      <c r="CI273" s="359">
        <f t="shared" si="1352"/>
        <v>6.8128425998433828E-2</v>
      </c>
      <c r="CJ273" s="359">
        <f t="shared" si="1352"/>
        <v>0.16959594129371292</v>
      </c>
      <c r="CK273" s="359">
        <f t="shared" si="1352"/>
        <v>0.21407624633431066</v>
      </c>
      <c r="CL273" s="359">
        <f t="shared" si="1352"/>
        <v>0.15354823333134671</v>
      </c>
      <c r="CM273" s="359">
        <f t="shared" si="1352"/>
        <v>0.10929951690821249</v>
      </c>
      <c r="CN273" s="359">
        <f t="shared" si="1352"/>
        <v>0.12190082644628153</v>
      </c>
    </row>
    <row r="274" spans="1:92" ht="6.75" customHeight="1">
      <c r="A274" s="174"/>
      <c r="B274" s="1068"/>
      <c r="C274" s="1067"/>
      <c r="D274" s="336"/>
      <c r="E274" s="336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79"/>
      <c r="W274" s="279"/>
      <c r="X274" s="279"/>
      <c r="Y274" s="279"/>
      <c r="Z274" s="279"/>
      <c r="AA274" s="279"/>
      <c r="AB274" s="279"/>
      <c r="AC274" s="279"/>
      <c r="AD274" s="279"/>
      <c r="AE274" s="279"/>
      <c r="AF274" s="279"/>
      <c r="AG274" s="279"/>
      <c r="AH274" s="279"/>
      <c r="AI274" s="279"/>
      <c r="AJ274" s="279"/>
      <c r="AK274" s="179"/>
      <c r="AL274" s="279"/>
      <c r="AM274" s="279"/>
      <c r="AN274" s="179"/>
      <c r="AO274" s="279"/>
      <c r="AP274" s="279"/>
      <c r="AQ274" s="1371"/>
      <c r="AR274" s="279"/>
      <c r="AS274" s="336"/>
      <c r="AT274" s="279"/>
      <c r="AU274" s="279"/>
      <c r="AV274" s="336"/>
      <c r="AW274" s="279"/>
      <c r="AX274" s="279"/>
      <c r="AY274" s="336"/>
      <c r="AZ274" s="279"/>
      <c r="BA274" s="279"/>
      <c r="BB274" s="336"/>
      <c r="BC274" s="1354"/>
      <c r="BD274" s="428"/>
      <c r="BE274" s="428"/>
      <c r="BF274" s="428"/>
      <c r="BG274" s="428"/>
      <c r="BH274" s="426"/>
      <c r="BI274" s="427"/>
      <c r="BJ274" s="427"/>
      <c r="BK274" s="320"/>
      <c r="BL274" s="320"/>
      <c r="BM274" s="320"/>
      <c r="BN274" s="320"/>
      <c r="BO274" s="320"/>
      <c r="BP274" s="320"/>
      <c r="BQ274" s="320"/>
      <c r="BR274" s="320"/>
      <c r="BS274" s="320"/>
      <c r="BT274" s="320"/>
      <c r="BU274" s="320"/>
      <c r="BV274" s="320"/>
      <c r="BW274" s="320"/>
      <c r="BX274" s="320"/>
      <c r="BY274" s="320"/>
      <c r="BZ274" s="320"/>
      <c r="CA274" s="320"/>
      <c r="CB274" s="320"/>
      <c r="CC274" s="320"/>
      <c r="CD274" s="320"/>
      <c r="CE274" s="320"/>
      <c r="CF274" s="320"/>
      <c r="CG274" s="320"/>
      <c r="CH274" s="320"/>
      <c r="CI274" s="320"/>
      <c r="CJ274" s="320"/>
      <c r="CK274" s="320"/>
      <c r="CL274" s="320"/>
      <c r="CM274" s="320"/>
      <c r="CN274" s="320"/>
    </row>
    <row r="275" spans="1:92">
      <c r="A275" s="204"/>
      <c r="B275" s="300" t="s">
        <v>785</v>
      </c>
      <c r="C275" s="297"/>
      <c r="D275" s="298"/>
      <c r="E275" s="298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  <c r="AA275" s="299"/>
      <c r="AB275" s="299"/>
      <c r="AC275" s="299"/>
      <c r="AD275" s="299"/>
      <c r="AE275" s="299"/>
      <c r="AF275" s="299"/>
      <c r="AG275" s="299"/>
      <c r="AH275" s="299"/>
      <c r="AI275" s="299"/>
      <c r="AJ275" s="299"/>
      <c r="AK275" s="299"/>
      <c r="AL275" s="299"/>
      <c r="AM275" s="299"/>
      <c r="AN275" s="299"/>
      <c r="AO275" s="299"/>
      <c r="AP275" s="299"/>
      <c r="AQ275" s="1381"/>
      <c r="AR275" s="299"/>
      <c r="AS275" s="299"/>
      <c r="AT275" s="299"/>
      <c r="AU275" s="299"/>
      <c r="AV275" s="299"/>
      <c r="AW275" s="299"/>
      <c r="AX275" s="299"/>
      <c r="AY275" s="299"/>
      <c r="AZ275" s="299"/>
      <c r="BA275" s="299"/>
      <c r="BB275" s="299"/>
      <c r="BC275" s="190"/>
      <c r="BD275" s="316"/>
      <c r="BE275" s="316"/>
      <c r="BF275" s="316"/>
      <c r="BG275" s="316"/>
      <c r="BH275" s="315"/>
      <c r="BI275" s="317"/>
      <c r="BJ275" s="317"/>
      <c r="BK275" s="299"/>
      <c r="BL275" s="299"/>
      <c r="BM275" s="299"/>
      <c r="BN275" s="299"/>
      <c r="BO275" s="299"/>
      <c r="BP275" s="299"/>
      <c r="BQ275" s="299"/>
      <c r="BR275" s="299"/>
      <c r="BS275" s="299"/>
      <c r="BT275" s="299"/>
      <c r="BU275" s="299"/>
      <c r="BV275" s="299"/>
      <c r="BW275" s="299"/>
      <c r="BX275" s="299"/>
      <c r="BY275" s="299"/>
      <c r="BZ275" s="299"/>
      <c r="CA275" s="299"/>
      <c r="CB275" s="299"/>
      <c r="CC275" s="299"/>
      <c r="CD275" s="299"/>
      <c r="CE275" s="299"/>
      <c r="CF275" s="299"/>
      <c r="CG275" s="299"/>
      <c r="CH275" s="299"/>
      <c r="CI275" s="299"/>
      <c r="CJ275" s="299"/>
      <c r="CK275" s="299"/>
      <c r="CL275" s="299"/>
      <c r="CM275" s="299"/>
      <c r="CN275" s="299"/>
    </row>
    <row r="276" spans="1:92">
      <c r="A276" s="204"/>
      <c r="B276" s="184" t="s">
        <v>786</v>
      </c>
      <c r="C276" s="185"/>
      <c r="D276" s="186"/>
      <c r="E276" s="18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  <c r="AA276" s="196"/>
      <c r="AB276" s="196"/>
      <c r="AC276" s="196"/>
      <c r="AD276" s="196"/>
      <c r="AE276" s="196"/>
      <c r="AF276" s="196"/>
      <c r="AG276" s="196"/>
      <c r="AH276" s="196"/>
      <c r="AI276" s="196"/>
      <c r="AJ276" s="196"/>
      <c r="AK276" s="196"/>
      <c r="AL276" s="196"/>
      <c r="AM276" s="196"/>
      <c r="AN276" s="196"/>
      <c r="AO276" s="196"/>
      <c r="AP276" s="196"/>
      <c r="AQ276" s="1369"/>
      <c r="AR276" s="196"/>
      <c r="AS276" s="196"/>
      <c r="AT276" s="196"/>
      <c r="AU276" s="196"/>
      <c r="AV276" s="196"/>
      <c r="AW276" s="196"/>
      <c r="AX276" s="196"/>
      <c r="AY276" s="196"/>
      <c r="AZ276" s="196"/>
      <c r="BA276" s="196"/>
      <c r="BB276" s="196"/>
      <c r="BC276" s="190"/>
      <c r="BD276" s="316"/>
      <c r="BE276" s="316"/>
      <c r="BF276" s="316"/>
      <c r="BG276" s="316"/>
      <c r="BH276" s="315"/>
      <c r="BI276" s="317"/>
      <c r="BJ276" s="317"/>
      <c r="BK276" s="196"/>
      <c r="BL276" s="196"/>
      <c r="BM276" s="196"/>
      <c r="BN276" s="196"/>
      <c r="BO276" s="196"/>
      <c r="BP276" s="196"/>
      <c r="BQ276" s="196"/>
      <c r="BR276" s="196"/>
      <c r="BS276" s="196"/>
      <c r="BT276" s="196"/>
      <c r="BU276" s="196"/>
      <c r="BV276" s="196"/>
      <c r="BW276" s="196"/>
      <c r="BX276" s="196"/>
      <c r="BY276" s="196"/>
      <c r="BZ276" s="196"/>
      <c r="CA276" s="196"/>
      <c r="CB276" s="196"/>
      <c r="CC276" s="196"/>
      <c r="CD276" s="196"/>
      <c r="CE276" s="196"/>
      <c r="CF276" s="196"/>
      <c r="CG276" s="196"/>
      <c r="CH276" s="196"/>
      <c r="CI276" s="196"/>
      <c r="CJ276" s="196"/>
      <c r="CK276" s="196"/>
      <c r="CL276" s="196"/>
      <c r="CM276" s="196"/>
      <c r="CN276" s="196"/>
    </row>
    <row r="277" spans="1:92">
      <c r="A277" s="165"/>
      <c r="B277" s="782" t="s">
        <v>599</v>
      </c>
      <c r="C277" s="1055"/>
      <c r="D277" s="282"/>
      <c r="E277" s="282"/>
      <c r="F277" s="282"/>
      <c r="G277" s="282"/>
      <c r="H277" s="282"/>
      <c r="I277" s="282"/>
      <c r="J277" s="1076"/>
      <c r="K277" s="1076"/>
      <c r="L277" s="1076"/>
      <c r="M277" s="1076"/>
      <c r="N277" s="1077">
        <v>32.6</v>
      </c>
      <c r="O277" s="1077">
        <v>39.200000000000003</v>
      </c>
      <c r="P277" s="1077">
        <v>37.1</v>
      </c>
      <c r="Q277" s="1077">
        <v>38.1</v>
      </c>
      <c r="R277" s="1077">
        <v>38.299999999999997</v>
      </c>
      <c r="S277" s="1077">
        <v>43.2</v>
      </c>
      <c r="T277" s="1077">
        <v>42.5</v>
      </c>
      <c r="U277" s="1077">
        <v>40.9</v>
      </c>
      <c r="V277" s="1062">
        <v>23.1</v>
      </c>
      <c r="W277" s="1071">
        <f>X277-V277</f>
        <v>17.699999999999996</v>
      </c>
      <c r="X277" s="1077">
        <v>40.799999999999997</v>
      </c>
      <c r="Y277" s="1062">
        <v>23</v>
      </c>
      <c r="Z277" s="1071">
        <f>AA277-Y277</f>
        <v>13.799999999999997</v>
      </c>
      <c r="AA277" s="1077">
        <v>36.799999999999997</v>
      </c>
      <c r="AB277" s="1062">
        <v>24.8</v>
      </c>
      <c r="AC277" s="1071">
        <f>AD277-AB277</f>
        <v>21.8</v>
      </c>
      <c r="AD277" s="1077">
        <v>46.6</v>
      </c>
      <c r="AE277" s="1062">
        <v>24.2</v>
      </c>
      <c r="AF277" s="1071">
        <f>AG277-AE277</f>
        <v>21.500000000000004</v>
      </c>
      <c r="AG277" s="1077">
        <v>45.7</v>
      </c>
      <c r="AH277" s="1062">
        <v>25.9</v>
      </c>
      <c r="AI277" s="526">
        <f>AJ277-AH277</f>
        <v>20.800000000000004</v>
      </c>
      <c r="AJ277" s="1062">
        <v>46.7</v>
      </c>
      <c r="AK277" s="1269">
        <v>28.2</v>
      </c>
      <c r="AL277" s="294">
        <f>+AM277-AK277</f>
        <v>27.3</v>
      </c>
      <c r="AM277" s="1062">
        <v>55.5</v>
      </c>
      <c r="AN277" s="1916">
        <v>34.5</v>
      </c>
      <c r="AO277" s="294">
        <f>AP277-AN277</f>
        <v>32.799999999999997</v>
      </c>
      <c r="AP277" s="1062">
        <v>67.3</v>
      </c>
      <c r="AQ277" s="1697">
        <v>45.8</v>
      </c>
      <c r="AR277" s="294"/>
      <c r="AS277" s="282"/>
      <c r="AT277" s="526"/>
      <c r="AU277" s="294"/>
      <c r="AV277" s="282"/>
      <c r="AW277" s="526"/>
      <c r="AX277" s="294"/>
      <c r="AY277" s="282"/>
      <c r="AZ277" s="526"/>
      <c r="BA277" s="294"/>
      <c r="BB277" s="282"/>
      <c r="BC277" s="190"/>
      <c r="BD277" s="316"/>
      <c r="BE277" s="316"/>
      <c r="BF277" s="316"/>
      <c r="BG277" s="316"/>
      <c r="BH277" s="315"/>
      <c r="BI277" s="317"/>
      <c r="BJ277" s="317"/>
      <c r="BK277" s="470"/>
      <c r="BL277" s="470"/>
      <c r="BM277" s="470"/>
      <c r="BN277" s="470"/>
      <c r="BO277" s="470"/>
      <c r="BP277" s="470"/>
      <c r="BQ277" s="470"/>
      <c r="BR277" s="470"/>
      <c r="BS277" s="487"/>
      <c r="BT277" s="488"/>
      <c r="BU277" s="487"/>
      <c r="BV277" s="488"/>
      <c r="BW277" s="487"/>
      <c r="BX277" s="488"/>
      <c r="BY277" s="487">
        <v>15.9</v>
      </c>
      <c r="BZ277" s="488">
        <f>N277-BY277</f>
        <v>16.700000000000003</v>
      </c>
      <c r="CA277" s="487">
        <v>20.8</v>
      </c>
      <c r="CB277" s="488">
        <f>O277-CA277</f>
        <v>18.400000000000002</v>
      </c>
      <c r="CC277" s="487">
        <v>20.100000000000001</v>
      </c>
      <c r="CD277" s="488">
        <f>P277-CC277</f>
        <v>17</v>
      </c>
      <c r="CE277" s="487">
        <v>20.7</v>
      </c>
      <c r="CF277" s="488">
        <f>Q277-CE277</f>
        <v>17.400000000000002</v>
      </c>
      <c r="CG277" s="487">
        <v>20.399999999999999</v>
      </c>
      <c r="CH277" s="488">
        <f>R277-CG277</f>
        <v>17.899999999999999</v>
      </c>
      <c r="CI277" s="487">
        <v>23</v>
      </c>
      <c r="CJ277" s="488">
        <f>S277-CI277</f>
        <v>20.200000000000003</v>
      </c>
      <c r="CK277" s="487">
        <v>24</v>
      </c>
      <c r="CL277" s="488">
        <f>T277-CK277</f>
        <v>18.5</v>
      </c>
      <c r="CM277" s="524">
        <v>21.8</v>
      </c>
      <c r="CN277" s="510">
        <f>U277-CM277</f>
        <v>19.099999999999998</v>
      </c>
    </row>
    <row r="278" spans="1:92">
      <c r="A278" s="165"/>
      <c r="B278" s="782" t="s">
        <v>597</v>
      </c>
      <c r="C278" s="1055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  <c r="O278" s="282"/>
      <c r="P278" s="284">
        <f t="shared" ref="P278:X278" si="1353">P277/P78</f>
        <v>0.17717287488061126</v>
      </c>
      <c r="Q278" s="284">
        <f t="shared" si="1353"/>
        <v>0.18022705771050143</v>
      </c>
      <c r="R278" s="284">
        <f t="shared" si="1353"/>
        <v>0.18143060161061109</v>
      </c>
      <c r="S278" s="284">
        <f t="shared" si="1353"/>
        <v>0.18414322250639387</v>
      </c>
      <c r="T278" s="284">
        <f t="shared" si="1353"/>
        <v>0.18162393162393162</v>
      </c>
      <c r="U278" s="618">
        <f t="shared" si="1353"/>
        <v>0.17667386609071273</v>
      </c>
      <c r="V278" s="284">
        <f>V277/V78</f>
        <v>0.17526555386949924</v>
      </c>
      <c r="W278" s="284">
        <f>W277/W78</f>
        <v>0.16954022988505746</v>
      </c>
      <c r="X278" s="618">
        <f t="shared" si="1353"/>
        <v>0.17273497036409821</v>
      </c>
      <c r="Y278" s="284">
        <f t="shared" ref="Y278:AJ278" si="1354">Y277/Y78</f>
        <v>0.17319277108433734</v>
      </c>
      <c r="Z278" s="284">
        <f t="shared" si="1354"/>
        <v>0.15333333333333329</v>
      </c>
      <c r="AA278" s="618">
        <f t="shared" si="1354"/>
        <v>0.16517055655296228</v>
      </c>
      <c r="AB278" s="284">
        <f t="shared" si="1354"/>
        <v>0.17115251897860592</v>
      </c>
      <c r="AC278" s="284">
        <f t="shared" si="1354"/>
        <v>0.18680377035132817</v>
      </c>
      <c r="AD278" s="618">
        <f t="shared" si="1354"/>
        <v>0.17813455657492352</v>
      </c>
      <c r="AE278" s="284">
        <f t="shared" si="1354"/>
        <v>0.17485549132947975</v>
      </c>
      <c r="AF278" s="284">
        <f t="shared" si="1354"/>
        <v>0.17338709677419362</v>
      </c>
      <c r="AG278" s="618">
        <f t="shared" si="1354"/>
        <v>0.17416158536585369</v>
      </c>
      <c r="AH278" s="284">
        <f t="shared" si="1354"/>
        <v>0.16127023661270237</v>
      </c>
      <c r="AI278" s="284">
        <f t="shared" si="1354"/>
        <v>0.15817490494296577</v>
      </c>
      <c r="AJ278" s="284">
        <f t="shared" si="1354"/>
        <v>0.15987675453611777</v>
      </c>
      <c r="AK278" s="137">
        <f t="shared" ref="AK278:AL278" si="1355">AK277/AK78</f>
        <v>0.16716064018968585</v>
      </c>
      <c r="AL278" s="137">
        <f t="shared" si="1355"/>
        <v>0.17148241206030151</v>
      </c>
      <c r="AM278" s="284">
        <f t="shared" ref="AM278:AN278" si="1356">AM277/AM78</f>
        <v>0.16925892040256177</v>
      </c>
      <c r="AN278" s="137">
        <f t="shared" si="1356"/>
        <v>0.17037037037037037</v>
      </c>
      <c r="AO278" s="284"/>
      <c r="AP278" s="284">
        <f t="shared" ref="AP278:AQ278" si="1357">AP277/AP78</f>
        <v>0.16982084279586171</v>
      </c>
      <c r="AQ278" s="1315">
        <f t="shared" si="1357"/>
        <v>0.17051377513030527</v>
      </c>
      <c r="AR278" s="284"/>
      <c r="AS278" s="282"/>
      <c r="AT278" s="284"/>
      <c r="AU278" s="284"/>
      <c r="AV278" s="282"/>
      <c r="AW278" s="284"/>
      <c r="AX278" s="284"/>
      <c r="AY278" s="282"/>
      <c r="AZ278" s="284"/>
      <c r="BA278" s="284"/>
      <c r="BB278" s="282"/>
      <c r="BC278" s="190"/>
      <c r="BD278" s="316"/>
      <c r="BE278" s="316"/>
      <c r="BF278" s="316"/>
      <c r="BG278" s="316"/>
      <c r="BH278" s="315"/>
      <c r="BI278" s="317"/>
      <c r="BJ278" s="317"/>
      <c r="BK278" s="316"/>
      <c r="BL278" s="316"/>
      <c r="BM278" s="316"/>
      <c r="BN278" s="316"/>
      <c r="BO278" s="316"/>
      <c r="BP278" s="316"/>
      <c r="BQ278" s="316"/>
      <c r="BR278" s="316"/>
      <c r="BS278" s="316"/>
      <c r="BT278" s="316"/>
      <c r="BU278" s="316"/>
      <c r="BV278" s="316"/>
      <c r="BW278" s="316"/>
      <c r="BX278" s="316"/>
      <c r="BY278" s="359">
        <f t="shared" ref="BY278:CN278" si="1358">BY277/BY78</f>
        <v>0.16307692307692309</v>
      </c>
      <c r="BZ278" s="359">
        <f t="shared" si="1358"/>
        <v>0.18311403508771934</v>
      </c>
      <c r="CA278" s="359">
        <f t="shared" si="1358"/>
        <v>0.16653322658126501</v>
      </c>
      <c r="CB278" s="359">
        <f t="shared" si="1358"/>
        <v>0.18910585817060643</v>
      </c>
      <c r="CC278" s="359">
        <f t="shared" si="1358"/>
        <v>0.17106382978723406</v>
      </c>
      <c r="CD278" s="359">
        <f t="shared" si="1358"/>
        <v>0.18498367791077255</v>
      </c>
      <c r="CE278" s="359">
        <f t="shared" si="1358"/>
        <v>0.1754237288135593</v>
      </c>
      <c r="CF278" s="359">
        <f t="shared" si="1358"/>
        <v>0.18629550321199145</v>
      </c>
      <c r="CG278" s="359">
        <f t="shared" si="1358"/>
        <v>0.18053097345132743</v>
      </c>
      <c r="CH278" s="359">
        <f t="shared" si="1358"/>
        <v>0.18246687054026503</v>
      </c>
      <c r="CI278" s="359">
        <f t="shared" si="1358"/>
        <v>0.18067556952081698</v>
      </c>
      <c r="CJ278" s="359">
        <f t="shared" si="1358"/>
        <v>0.18825722273998138</v>
      </c>
      <c r="CK278" s="359">
        <f t="shared" si="1358"/>
        <v>0.19184652278177458</v>
      </c>
      <c r="CL278" s="359">
        <f t="shared" si="1358"/>
        <v>0.16988062442607896</v>
      </c>
      <c r="CM278" s="359">
        <f t="shared" si="1358"/>
        <v>0.17495987158908508</v>
      </c>
      <c r="CN278" s="359">
        <f t="shared" si="1358"/>
        <v>0.1786716557530402</v>
      </c>
    </row>
    <row r="279" spans="1:92" ht="12.75" customHeight="1">
      <c r="A279" s="165"/>
      <c r="B279" s="782"/>
      <c r="C279" s="1055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  <c r="O279" s="282"/>
      <c r="P279" s="282"/>
      <c r="Q279" s="282"/>
      <c r="R279" s="282"/>
      <c r="S279" s="282"/>
      <c r="T279" s="282"/>
      <c r="U279" s="282"/>
      <c r="V279" s="282"/>
      <c r="W279" s="282"/>
      <c r="X279" s="282"/>
      <c r="Y279" s="282"/>
      <c r="Z279" s="282"/>
      <c r="AA279" s="282"/>
      <c r="AB279" s="282"/>
      <c r="AC279" s="282"/>
      <c r="AD279" s="282"/>
      <c r="AE279" s="282"/>
      <c r="AF279" s="282"/>
      <c r="AG279" s="282"/>
      <c r="AH279" s="282"/>
      <c r="AI279" s="282"/>
      <c r="AJ279" s="190"/>
      <c r="AK279" s="190"/>
      <c r="AL279" s="282"/>
      <c r="AM279" s="190"/>
      <c r="AN279" s="190"/>
      <c r="AO279" s="282"/>
      <c r="AP279" s="190"/>
      <c r="AQ279" s="1385"/>
      <c r="AR279" s="282"/>
      <c r="AS279" s="282"/>
      <c r="AT279" s="282"/>
      <c r="AU279" s="282"/>
      <c r="AV279" s="282"/>
      <c r="AW279" s="282"/>
      <c r="AX279" s="282"/>
      <c r="AY279" s="282"/>
      <c r="AZ279" s="282"/>
      <c r="BA279" s="282"/>
      <c r="BB279" s="282"/>
      <c r="BC279" s="190"/>
      <c r="BD279" s="316"/>
      <c r="BE279" s="316"/>
      <c r="BF279" s="316"/>
      <c r="BG279" s="316"/>
      <c r="BH279" s="315"/>
      <c r="BI279" s="317"/>
      <c r="BJ279" s="317"/>
      <c r="BK279" s="316"/>
      <c r="BL279" s="316"/>
      <c r="BM279" s="316"/>
      <c r="BN279" s="316"/>
      <c r="BO279" s="316"/>
      <c r="BP279" s="316"/>
      <c r="BQ279" s="316"/>
      <c r="BR279" s="316"/>
      <c r="BS279" s="316"/>
      <c r="BT279" s="316"/>
      <c r="BU279" s="316"/>
      <c r="BV279" s="316"/>
      <c r="BW279" s="316"/>
      <c r="BX279" s="316"/>
      <c r="BY279" s="316"/>
      <c r="BZ279" s="316"/>
      <c r="CA279" s="316"/>
      <c r="CB279" s="316"/>
      <c r="CC279" s="316"/>
      <c r="CD279" s="316"/>
      <c r="CE279" s="316"/>
      <c r="CF279" s="316"/>
      <c r="CG279" s="316"/>
      <c r="CH279" s="316"/>
      <c r="CI279" s="316"/>
      <c r="CJ279" s="316"/>
      <c r="CK279" s="316"/>
      <c r="CL279" s="316">
        <f>T279-CK279</f>
        <v>0</v>
      </c>
      <c r="CM279" s="316"/>
      <c r="CN279" s="316"/>
    </row>
    <row r="280" spans="1:92">
      <c r="A280" s="165" t="s">
        <v>803</v>
      </c>
      <c r="B280" s="955" t="s">
        <v>600</v>
      </c>
      <c r="C280" s="1055"/>
      <c r="D280" s="282"/>
      <c r="E280" s="282"/>
      <c r="F280" s="282"/>
      <c r="G280" s="282"/>
      <c r="H280" s="282"/>
      <c r="I280" s="279"/>
      <c r="J280" s="279">
        <f t="shared" ref="J280:T280" si="1359">J229-J252</f>
        <v>4.2590000000000146</v>
      </c>
      <c r="K280" s="279">
        <f t="shared" si="1359"/>
        <v>15.100000000000023</v>
      </c>
      <c r="L280" s="279">
        <f t="shared" si="1359"/>
        <v>20.600000000000023</v>
      </c>
      <c r="M280" s="279">
        <f t="shared" si="1359"/>
        <v>20.700000000000045</v>
      </c>
      <c r="N280" s="279">
        <f t="shared" si="1359"/>
        <v>25</v>
      </c>
      <c r="O280" s="279">
        <f t="shared" si="1359"/>
        <v>30.600000000000023</v>
      </c>
      <c r="P280" s="279">
        <f t="shared" si="1359"/>
        <v>29.700000000000045</v>
      </c>
      <c r="Q280" s="279">
        <f t="shared" si="1359"/>
        <v>34.399999999999977</v>
      </c>
      <c r="R280" s="279">
        <f t="shared" si="1359"/>
        <v>35.653000000000134</v>
      </c>
      <c r="S280" s="279">
        <f t="shared" si="1359"/>
        <v>39.607999999999947</v>
      </c>
      <c r="T280" s="279">
        <f t="shared" si="1359"/>
        <v>40.03832000000034</v>
      </c>
      <c r="U280" s="1077">
        <f>1470.3-426.1-1006.2</f>
        <v>37.999999999999773</v>
      </c>
      <c r="V280" s="1062">
        <f>828-233.2-573.6</f>
        <v>21.199999999999932</v>
      </c>
      <c r="W280" s="1071">
        <f>X280-V280</f>
        <v>16.999999999999886</v>
      </c>
      <c r="X280" s="1077">
        <f>1527.1-442.7-1046.2</f>
        <v>38.199999999999818</v>
      </c>
      <c r="Y280" s="1062">
        <f>860.2-237.6-600.8</f>
        <v>21.800000000000068</v>
      </c>
      <c r="Z280" s="1071">
        <f>AA280-Y280</f>
        <v>13.099999999999852</v>
      </c>
      <c r="AA280" s="1077">
        <f>1694.1-1169-490.2</f>
        <v>34.89999999999992</v>
      </c>
      <c r="AB280" s="1062">
        <f>1085.2-324.6-737.4</f>
        <v>23.200000000000045</v>
      </c>
      <c r="AC280" s="1071">
        <f>AD280-AB280</f>
        <v>20.199999999999932</v>
      </c>
      <c r="AD280" s="1077">
        <f>1977.2-1325.2-608.6</f>
        <v>43.399999999999977</v>
      </c>
      <c r="AE280" s="1062">
        <f>1064.4-324.9-716.3</f>
        <v>23.200000000000159</v>
      </c>
      <c r="AF280" s="1071">
        <f>AG280-AE280</f>
        <v>19.599999999999795</v>
      </c>
      <c r="AG280" s="1077">
        <f>2080.4-649.9-1387.7</f>
        <v>42.799999999999955</v>
      </c>
      <c r="AH280" s="1062">
        <f>(1201.8-358.4-820)</f>
        <v>23.399999999999977</v>
      </c>
      <c r="AI280" s="241">
        <f>AJ280-AH280</f>
        <v>19.299999999999841</v>
      </c>
      <c r="AJ280" s="1269">
        <f>2182.5-658.4-1481.4</f>
        <v>42.699999999999818</v>
      </c>
      <c r="AK280" s="1269">
        <f>1146.8-325-795.6</f>
        <v>26.199999999999932</v>
      </c>
      <c r="AL280" s="294">
        <f>AM280-AK280</f>
        <v>25.200000000000159</v>
      </c>
      <c r="AM280" s="1269">
        <f>2140.4-1467.8-621.2</f>
        <v>51.400000000000091</v>
      </c>
      <c r="AN280" s="1918">
        <f>1254.2-25.3-351.1-846.4</f>
        <v>31.400000000000091</v>
      </c>
      <c r="AO280" s="294">
        <f>AP280-AN280</f>
        <v>30.000000000000071</v>
      </c>
      <c r="AP280" s="1269">
        <f>2360.4-1562.3-672.4-64.3</f>
        <v>61.400000000000162</v>
      </c>
      <c r="AQ280" s="1646">
        <f>1357.4-43.4-368.8-904.5</f>
        <v>40.700000000000045</v>
      </c>
      <c r="AR280" s="294">
        <f>AS280-AQ280</f>
        <v>34.639327670714238</v>
      </c>
      <c r="AS280" s="294">
        <f>AS281*AS84</f>
        <v>75.339327670714283</v>
      </c>
      <c r="AT280" s="294">
        <f>AT281*AT84</f>
        <v>43.056157097872344</v>
      </c>
      <c r="AU280" s="294">
        <f>AV280-AT280</f>
        <v>38.021736320859802</v>
      </c>
      <c r="AV280" s="294">
        <f>AV281*AV84</f>
        <v>81.077893418732145</v>
      </c>
      <c r="AW280" s="294">
        <f>AW281*AW84</f>
        <v>47.565700042595751</v>
      </c>
      <c r="AX280" s="294">
        <f>AY280-AW280</f>
        <v>38.002898704695738</v>
      </c>
      <c r="AY280" s="294">
        <f>AY281*AY84</f>
        <v>85.568598747291489</v>
      </c>
      <c r="AZ280" s="294">
        <f>AZ281*AZ84</f>
        <v>50.162449191120004</v>
      </c>
      <c r="BA280" s="294">
        <f>BB280-AZ280</f>
        <v>39.704760766825487</v>
      </c>
      <c r="BB280" s="294">
        <f>BB281*BB84</f>
        <v>89.867209957945491</v>
      </c>
      <c r="BC280" s="241"/>
      <c r="BD280" s="320"/>
      <c r="BE280" s="320"/>
      <c r="BF280" s="320"/>
      <c r="BG280" s="320"/>
      <c r="BH280" s="315"/>
      <c r="BI280" s="317"/>
      <c r="BJ280" s="317"/>
      <c r="BK280" s="320"/>
      <c r="BL280" s="320"/>
      <c r="BM280" s="320"/>
      <c r="BN280" s="320"/>
      <c r="BO280" s="320"/>
      <c r="BP280" s="320"/>
      <c r="BQ280" s="320"/>
      <c r="BR280" s="320"/>
      <c r="BS280" s="487">
        <v>8.1100000000000705</v>
      </c>
      <c r="BT280" s="488">
        <f>K280-BS280</f>
        <v>6.9899999999999523</v>
      </c>
      <c r="BU280" s="487">
        <v>11.3</v>
      </c>
      <c r="BV280" s="488">
        <f>L280-BU280</f>
        <v>9.300000000000022</v>
      </c>
      <c r="BW280" s="487">
        <v>11.4</v>
      </c>
      <c r="BX280" s="488">
        <f>M280-BW280</f>
        <v>9.3000000000000451</v>
      </c>
      <c r="BY280" s="487">
        <v>12.4</v>
      </c>
      <c r="BZ280" s="488">
        <f>N280-BY280</f>
        <v>12.6</v>
      </c>
      <c r="CA280" s="487">
        <v>16.2</v>
      </c>
      <c r="CB280" s="488">
        <f>O280-CA280</f>
        <v>14.400000000000023</v>
      </c>
      <c r="CC280" s="487">
        <v>15.8</v>
      </c>
      <c r="CD280" s="488">
        <f>P280-CC280</f>
        <v>13.900000000000045</v>
      </c>
      <c r="CE280" s="487">
        <v>18.3</v>
      </c>
      <c r="CF280" s="488">
        <f>Q280-CE280</f>
        <v>16.099999999999977</v>
      </c>
      <c r="CG280" s="487">
        <f>427.3-CG252</f>
        <v>18.600000000000023</v>
      </c>
      <c r="CH280" s="488">
        <f>R280-CG280</f>
        <v>17.053000000000111</v>
      </c>
      <c r="CI280" s="487">
        <f>CI229-CI252</f>
        <v>20.97199999999998</v>
      </c>
      <c r="CJ280" s="488">
        <f>S280-CI280</f>
        <v>18.635999999999967</v>
      </c>
      <c r="CK280" s="487">
        <f>CK229-CK252</f>
        <v>22.899999999999977</v>
      </c>
      <c r="CL280" s="488">
        <f>T280-CK280</f>
        <v>17.138320000000363</v>
      </c>
      <c r="CM280" s="524">
        <f>793.9-228.6-545.3</f>
        <v>20</v>
      </c>
      <c r="CN280" s="510">
        <f>U280-CM280</f>
        <v>17.999999999999773</v>
      </c>
    </row>
    <row r="281" spans="1:92">
      <c r="A281" s="165" t="s">
        <v>913</v>
      </c>
      <c r="B281" s="782" t="s">
        <v>597</v>
      </c>
      <c r="C281" s="1055"/>
      <c r="D281" s="282"/>
      <c r="E281" s="282"/>
      <c r="F281" s="282"/>
      <c r="G281" s="282"/>
      <c r="H281" s="282"/>
      <c r="I281" s="279"/>
      <c r="J281" s="284"/>
      <c r="K281" s="618">
        <f t="shared" ref="K281:X281" si="1360">K280/K84</f>
        <v>0.16149041752224505</v>
      </c>
      <c r="L281" s="618">
        <f t="shared" si="1360"/>
        <v>0.16843551209301566</v>
      </c>
      <c r="M281" s="618">
        <f t="shared" si="1360"/>
        <v>0.15532144786601879</v>
      </c>
      <c r="N281" s="618">
        <f t="shared" si="1360"/>
        <v>0.17285965179151719</v>
      </c>
      <c r="O281" s="618">
        <f t="shared" si="1360"/>
        <v>0.176715176715177</v>
      </c>
      <c r="P281" s="618">
        <f t="shared" si="1360"/>
        <v>0.17722561357655628</v>
      </c>
      <c r="Q281" s="618">
        <f t="shared" si="1360"/>
        <v>0.18017357419327781</v>
      </c>
      <c r="R281" s="618">
        <f t="shared" si="1360"/>
        <v>0.18179176014684964</v>
      </c>
      <c r="S281" s="618">
        <f t="shared" si="1360"/>
        <v>0.18412990623358372</v>
      </c>
      <c r="T281" s="618">
        <f t="shared" si="1360"/>
        <v>0.18116886877828209</v>
      </c>
      <c r="U281" s="618">
        <f t="shared" si="1360"/>
        <v>0.17815283638068327</v>
      </c>
      <c r="V281" s="618">
        <f>V280/V84</f>
        <v>0.17419884963023799</v>
      </c>
      <c r="W281" s="618">
        <f>W280/W84</f>
        <v>0.17051153460381061</v>
      </c>
      <c r="X281" s="618">
        <f t="shared" si="1360"/>
        <v>0.17253839205058663</v>
      </c>
      <c r="Y281" s="618">
        <f t="shared" ref="Y281:AD281" si="1361">Y280/Y84</f>
        <v>0.17398244213886765</v>
      </c>
      <c r="Z281" s="618">
        <f t="shared" si="1361"/>
        <v>0.15250291036088287</v>
      </c>
      <c r="AA281" s="618">
        <f t="shared" si="1361"/>
        <v>0.16524621212121188</v>
      </c>
      <c r="AB281" s="618">
        <f t="shared" si="1361"/>
        <v>0.1718518518518522</v>
      </c>
      <c r="AC281" s="618">
        <f t="shared" si="1361"/>
        <v>0.18600368324125105</v>
      </c>
      <c r="AD281" s="618">
        <f t="shared" si="1361"/>
        <v>0.17816091954022953</v>
      </c>
      <c r="AE281" s="618">
        <f t="shared" ref="AE281:AF281" si="1362">AE280/AE84</f>
        <v>0.17589082638362505</v>
      </c>
      <c r="AF281" s="618">
        <f t="shared" si="1362"/>
        <v>0.17162872154115436</v>
      </c>
      <c r="AG281" s="618">
        <f>AG280/AG84</f>
        <v>0.17391304347826075</v>
      </c>
      <c r="AH281" s="618">
        <f t="shared" ref="AH281" si="1363">AH280/AH84</f>
        <v>0.16060398078242968</v>
      </c>
      <c r="AI281" s="567">
        <f>AI280/AI84</f>
        <v>0.1587171052631573</v>
      </c>
      <c r="AJ281" s="618">
        <f>AJ280/AJ84</f>
        <v>0.15974560419004838</v>
      </c>
      <c r="AK281" s="567">
        <f t="shared" ref="AK281" si="1364">AK280/AK84</f>
        <v>0.16784112748238225</v>
      </c>
      <c r="AL281" s="618">
        <f t="shared" ref="AL281" si="1365">AL280/AL84</f>
        <v>0.17107942973523574</v>
      </c>
      <c r="AM281" s="618">
        <f>AM280/AM84</f>
        <v>0.16941331575477947</v>
      </c>
      <c r="AN281" s="567">
        <f t="shared" ref="AN281" si="1366">AN280/AN84</f>
        <v>0.17055947854427</v>
      </c>
      <c r="AO281" s="618">
        <f t="shared" ref="AO281" si="1367">AO280/AO84</f>
        <v>0.16920473773265632</v>
      </c>
      <c r="AP281" s="618">
        <f>AP280/AP84</f>
        <v>0.16989485334809096</v>
      </c>
      <c r="AQ281" s="1540">
        <f t="shared" ref="AQ281" si="1368">AQ280/AQ84</f>
        <v>0.17029288702928888</v>
      </c>
      <c r="AR281" s="618">
        <f t="shared" ref="AR281" si="1369">AR280/AR84</f>
        <v>0.17183837323149512</v>
      </c>
      <c r="AS281" s="310">
        <v>0.17100000000000001</v>
      </c>
      <c r="AT281" s="310">
        <f>+AV281</f>
        <v>0.17</v>
      </c>
      <c r="AU281" s="618">
        <f t="shared" ref="AU281" si="1370">AU280/AU84</f>
        <v>0.17</v>
      </c>
      <c r="AV281" s="310">
        <v>0.17</v>
      </c>
      <c r="AW281" s="310">
        <f>+AY281</f>
        <v>0.17100000000000001</v>
      </c>
      <c r="AX281" s="618">
        <f t="shared" ref="AX281" si="1371">AX280/AX84</f>
        <v>0.17100000000000001</v>
      </c>
      <c r="AY281" s="310">
        <v>0.17100000000000001</v>
      </c>
      <c r="AZ281" s="310">
        <v>0.17199999999999999</v>
      </c>
      <c r="BA281" s="618">
        <f t="shared" ref="BA281" si="1372">BA280/BA84</f>
        <v>0.1697531176952892</v>
      </c>
      <c r="BB281" s="310">
        <f>+AY281</f>
        <v>0.17100000000000001</v>
      </c>
      <c r="BC281" s="1355"/>
      <c r="BD281" s="330"/>
      <c r="BE281" s="330"/>
      <c r="BF281" s="330"/>
      <c r="BG281" s="330"/>
      <c r="BH281" s="315"/>
      <c r="BI281" s="317"/>
      <c r="BJ281" s="317"/>
      <c r="BK281" s="320"/>
      <c r="BL281" s="320"/>
      <c r="BM281" s="320"/>
      <c r="BN281" s="320"/>
      <c r="BO281" s="320"/>
      <c r="BP281" s="320"/>
      <c r="BQ281" s="320"/>
      <c r="BR281" s="320"/>
      <c r="BS281" s="334">
        <f t="shared" ref="BS281:CN281" si="1373">BS280/BS84</f>
        <v>0.16951632456837243</v>
      </c>
      <c r="BT281" s="334">
        <f t="shared" si="1373"/>
        <v>0.15308133677893937</v>
      </c>
      <c r="BU281" s="334">
        <f t="shared" si="1373"/>
        <v>0.16865671641791047</v>
      </c>
      <c r="BV281" s="334">
        <f t="shared" si="1373"/>
        <v>0.16816751654551371</v>
      </c>
      <c r="BW281" s="334">
        <f t="shared" si="1373"/>
        <v>0.14882506527415146</v>
      </c>
      <c r="BX281" s="334">
        <f t="shared" si="1373"/>
        <v>0.16410220214568139</v>
      </c>
      <c r="BY281" s="334">
        <f t="shared" si="1373"/>
        <v>0.16294349540078845</v>
      </c>
      <c r="BZ281" s="334">
        <f t="shared" si="1373"/>
        <v>0.18387181507748826</v>
      </c>
      <c r="CA281" s="334">
        <f t="shared" si="1373"/>
        <v>0.16632443531827515</v>
      </c>
      <c r="CB281" s="334">
        <f t="shared" si="1373"/>
        <v>0.19007391763463638</v>
      </c>
      <c r="CC281" s="334">
        <f t="shared" si="1373"/>
        <v>0.17128113956160704</v>
      </c>
      <c r="CD281" s="334">
        <f t="shared" si="1373"/>
        <v>0.1845042940387861</v>
      </c>
      <c r="CE281" s="334">
        <f t="shared" si="1373"/>
        <v>0.17610886029659428</v>
      </c>
      <c r="CF281" s="334">
        <f t="shared" si="1373"/>
        <v>0.1850276966924857</v>
      </c>
      <c r="CG281" s="334">
        <f t="shared" si="1373"/>
        <v>0.18051242236024867</v>
      </c>
      <c r="CH281" s="334">
        <f t="shared" si="1373"/>
        <v>0.18320799312419567</v>
      </c>
      <c r="CI281" s="334">
        <f t="shared" si="1373"/>
        <v>0.18086638551827017</v>
      </c>
      <c r="CJ281" s="334">
        <f t="shared" si="1373"/>
        <v>0.1879462664891684</v>
      </c>
      <c r="CK281" s="334">
        <f t="shared" si="1373"/>
        <v>0.1925988225399492</v>
      </c>
      <c r="CL281" s="334">
        <f t="shared" si="1373"/>
        <v>0.16785817825661487</v>
      </c>
      <c r="CM281" s="334">
        <f t="shared" si="1373"/>
        <v>0.17543859649122806</v>
      </c>
      <c r="CN281" s="334">
        <f t="shared" si="1373"/>
        <v>0.18126888217522397</v>
      </c>
    </row>
    <row r="282" spans="1:92">
      <c r="A282" s="165"/>
      <c r="B282" s="1068" t="s">
        <v>779</v>
      </c>
      <c r="C282" s="1055"/>
      <c r="D282" s="282"/>
      <c r="E282" s="282"/>
      <c r="F282" s="282"/>
      <c r="G282" s="282"/>
      <c r="H282" s="282"/>
      <c r="I282" s="279"/>
      <c r="J282" s="284"/>
      <c r="K282" s="618"/>
      <c r="L282" s="618"/>
      <c r="M282" s="618"/>
      <c r="N282" s="618"/>
      <c r="O282" s="618"/>
      <c r="P282" s="618"/>
      <c r="Q282" s="618"/>
      <c r="R282" s="618"/>
      <c r="S282" s="618"/>
      <c r="T282" s="618"/>
      <c r="U282" s="618">
        <f t="shared" ref="U282" si="1374">U281-T281</f>
        <v>-3.0160323975988168E-3</v>
      </c>
      <c r="V282" s="618">
        <f>V281-CM281</f>
        <v>-1.2397468609900708E-3</v>
      </c>
      <c r="W282" s="618">
        <f>W281-CN281</f>
        <v>-1.0757347571413362E-2</v>
      </c>
      <c r="X282" s="618">
        <f t="shared" ref="X282:AV282" si="1375">X281-U281</f>
        <v>-5.6144443300966407E-3</v>
      </c>
      <c r="Y282" s="618">
        <f t="shared" si="1375"/>
        <v>-2.164074913703351E-4</v>
      </c>
      <c r="Z282" s="618">
        <f t="shared" si="1375"/>
        <v>-1.8008624242927734E-2</v>
      </c>
      <c r="AA282" s="618">
        <f t="shared" si="1375"/>
        <v>-7.2921799293747536E-3</v>
      </c>
      <c r="AB282" s="618">
        <f t="shared" si="1375"/>
        <v>-2.1305902870154547E-3</v>
      </c>
      <c r="AC282" s="618">
        <f t="shared" si="1375"/>
        <v>3.3500772880368179E-2</v>
      </c>
      <c r="AD282" s="618">
        <f t="shared" si="1375"/>
        <v>1.2914707419017651E-2</v>
      </c>
      <c r="AE282" s="618">
        <f t="shared" si="1375"/>
        <v>4.0389745317728487E-3</v>
      </c>
      <c r="AF282" s="618">
        <f t="shared" si="1375"/>
        <v>-1.4374961700096694E-2</v>
      </c>
      <c r="AG282" s="618">
        <f t="shared" si="1375"/>
        <v>-4.247876061968775E-3</v>
      </c>
      <c r="AH282" s="618">
        <f t="shared" si="1375"/>
        <v>-1.5286845601195365E-2</v>
      </c>
      <c r="AI282" s="567">
        <f t="shared" si="1375"/>
        <v>-1.2911616277997057E-2</v>
      </c>
      <c r="AJ282" s="618">
        <f t="shared" si="1375"/>
        <v>-1.4167439288212375E-2</v>
      </c>
      <c r="AK282" s="567">
        <f t="shared" si="1375"/>
        <v>7.237146699952568E-3</v>
      </c>
      <c r="AL282" s="618">
        <f t="shared" si="1375"/>
        <v>1.236232447207844E-2</v>
      </c>
      <c r="AM282" s="618">
        <f t="shared" si="1375"/>
        <v>9.6677115647310907E-3</v>
      </c>
      <c r="AN282" s="567">
        <f t="shared" si="1375"/>
        <v>2.7183510618877527E-3</v>
      </c>
      <c r="AO282" s="618">
        <f>AO281-AL281</f>
        <v>-1.87469200257942E-3</v>
      </c>
      <c r="AP282" s="618">
        <f>AP281-AM281</f>
        <v>4.8153759331148738E-4</v>
      </c>
      <c r="AQ282" s="1540">
        <f t="shared" si="1375"/>
        <v>-2.6659151498112377E-4</v>
      </c>
      <c r="AR282" s="618">
        <f t="shared" si="1375"/>
        <v>2.6336354988387989E-3</v>
      </c>
      <c r="AS282" s="304">
        <f t="shared" si="1375"/>
        <v>1.1051466519090558E-3</v>
      </c>
      <c r="AT282" s="618">
        <f t="shared" si="1375"/>
        <v>-2.9288702928886856E-4</v>
      </c>
      <c r="AU282" s="618">
        <f t="shared" si="1375"/>
        <v>-1.8383732314951051E-3</v>
      </c>
      <c r="AV282" s="304">
        <f t="shared" si="1375"/>
        <v>-1.0000000000000009E-3</v>
      </c>
      <c r="AW282" s="618">
        <f t="shared" ref="AW282" si="1376">AW281-AT281</f>
        <v>1.0000000000000009E-3</v>
      </c>
      <c r="AX282" s="618">
        <f t="shared" ref="AX282" si="1377">AX281-AU281</f>
        <v>1.0000000000000009E-3</v>
      </c>
      <c r="AY282" s="304">
        <f t="shared" ref="AY282" si="1378">AY281-AV281</f>
        <v>1.0000000000000009E-3</v>
      </c>
      <c r="AZ282" s="618">
        <f t="shared" ref="AZ282" si="1379">AZ281-AW281</f>
        <v>9.9999999999997313E-4</v>
      </c>
      <c r="BA282" s="618">
        <f t="shared" ref="BA282" si="1380">BA281-AX281</f>
        <v>-1.2468823047108168E-3</v>
      </c>
      <c r="BB282" s="304">
        <f t="shared" ref="BB282" si="1381">BB281-AY281</f>
        <v>0</v>
      </c>
      <c r="BC282" s="563"/>
      <c r="BD282" s="330"/>
      <c r="BE282" s="330"/>
      <c r="BF282" s="330"/>
      <c r="BG282" s="330"/>
      <c r="BH282" s="315"/>
      <c r="BI282" s="317"/>
      <c r="BJ282" s="317"/>
      <c r="BK282" s="320"/>
      <c r="BL282" s="320"/>
      <c r="BM282" s="320"/>
      <c r="BN282" s="320"/>
      <c r="BO282" s="320"/>
      <c r="BP282" s="320"/>
      <c r="BQ282" s="320"/>
      <c r="BR282" s="320"/>
      <c r="BS282" s="359"/>
      <c r="BT282" s="359"/>
      <c r="BU282" s="334">
        <f t="shared" ref="BU282:CL282" si="1382">BU281-BS281</f>
        <v>-8.5960815046196015E-4</v>
      </c>
      <c r="BV282" s="334">
        <f t="shared" si="1382"/>
        <v>1.5086179766574337E-2</v>
      </c>
      <c r="BW282" s="334">
        <f t="shared" si="1382"/>
        <v>-1.983165114375901E-2</v>
      </c>
      <c r="BX282" s="334">
        <f t="shared" si="1382"/>
        <v>-4.0653143998323205E-3</v>
      </c>
      <c r="BY282" s="334">
        <f t="shared" si="1382"/>
        <v>1.4118430126636994E-2</v>
      </c>
      <c r="BZ282" s="334">
        <f t="shared" si="1382"/>
        <v>1.9769612931806874E-2</v>
      </c>
      <c r="CA282" s="334">
        <f t="shared" si="1382"/>
        <v>3.3809399174866972E-3</v>
      </c>
      <c r="CB282" s="334">
        <f t="shared" si="1382"/>
        <v>6.2021025571481203E-3</v>
      </c>
      <c r="CC282" s="334">
        <f t="shared" si="1382"/>
        <v>4.9567042433318886E-3</v>
      </c>
      <c r="CD282" s="334">
        <f t="shared" si="1382"/>
        <v>-5.5696235958502815E-3</v>
      </c>
      <c r="CE282" s="334">
        <f t="shared" si="1382"/>
        <v>4.8277207349872453E-3</v>
      </c>
      <c r="CF282" s="334">
        <f t="shared" si="1382"/>
        <v>5.234026536996006E-4</v>
      </c>
      <c r="CG282" s="334">
        <f t="shared" si="1382"/>
        <v>4.4035620636543871E-3</v>
      </c>
      <c r="CH282" s="334">
        <f t="shared" si="1382"/>
        <v>-1.819703568290032E-3</v>
      </c>
      <c r="CI282" s="334">
        <f t="shared" si="1382"/>
        <v>3.5396315802149747E-4</v>
      </c>
      <c r="CJ282" s="334">
        <f t="shared" si="1382"/>
        <v>4.7382733649727338E-3</v>
      </c>
      <c r="CK282" s="334">
        <f t="shared" si="1382"/>
        <v>1.1732437021679032E-2</v>
      </c>
      <c r="CL282" s="334">
        <f t="shared" si="1382"/>
        <v>-2.0088088232553536E-2</v>
      </c>
      <c r="CM282" s="334">
        <f t="shared" ref="CM282:CN282" si="1383">CM281-CK281</f>
        <v>-1.7160226048721139E-2</v>
      </c>
      <c r="CN282" s="334">
        <f t="shared" si="1383"/>
        <v>1.3410703918609101E-2</v>
      </c>
    </row>
    <row r="283" spans="1:92">
      <c r="A283" s="165"/>
      <c r="B283" s="955" t="s">
        <v>601</v>
      </c>
      <c r="C283" s="1055"/>
      <c r="D283" s="282"/>
      <c r="E283" s="282"/>
      <c r="F283" s="282"/>
      <c r="G283" s="282"/>
      <c r="H283" s="282"/>
      <c r="I283" s="978"/>
      <c r="J283" s="520"/>
      <c r="K283" s="520"/>
      <c r="L283" s="520"/>
      <c r="M283" s="520"/>
      <c r="N283" s="520">
        <f t="shared" ref="N283:T283" si="1384">N280/N277</f>
        <v>0.76687116564417179</v>
      </c>
      <c r="O283" s="520">
        <f t="shared" si="1384"/>
        <v>0.78061224489795966</v>
      </c>
      <c r="P283" s="520">
        <f t="shared" si="1384"/>
        <v>0.80053908355795267</v>
      </c>
      <c r="Q283" s="520">
        <f t="shared" si="1384"/>
        <v>0.90288713910761087</v>
      </c>
      <c r="R283" s="520">
        <f t="shared" si="1384"/>
        <v>0.9308877284595336</v>
      </c>
      <c r="S283" s="520">
        <f t="shared" si="1384"/>
        <v>0.91685185185185059</v>
      </c>
      <c r="T283" s="520">
        <f t="shared" si="1384"/>
        <v>0.94207811764706684</v>
      </c>
      <c r="U283" s="520">
        <f>U280/U277</f>
        <v>0.92909535452322189</v>
      </c>
      <c r="V283" s="520">
        <f>V280/V277</f>
        <v>0.91774891774891476</v>
      </c>
      <c r="W283" s="520"/>
      <c r="X283" s="520">
        <f>X280/X277</f>
        <v>0.93627450980391713</v>
      </c>
      <c r="Y283" s="520">
        <f>Y280/Y277</f>
        <v>0.9478260869565247</v>
      </c>
      <c r="Z283" s="520"/>
      <c r="AA283" s="520">
        <f>AA280/AA277</f>
        <v>0.94836956521738924</v>
      </c>
      <c r="AB283" s="520">
        <f>AB280/AB277</f>
        <v>0.93548387096774377</v>
      </c>
      <c r="AC283" s="520">
        <f t="shared" ref="AC283:AG283" si="1385">AC280/AC277</f>
        <v>0.92660550458715285</v>
      </c>
      <c r="AD283" s="520">
        <f t="shared" si="1385"/>
        <v>0.93133047210300379</v>
      </c>
      <c r="AE283" s="520">
        <f t="shared" si="1385"/>
        <v>0.9586776859504198</v>
      </c>
      <c r="AF283" s="520">
        <f t="shared" si="1385"/>
        <v>0.91162790697673457</v>
      </c>
      <c r="AG283" s="520">
        <f t="shared" si="1385"/>
        <v>0.93654266958424404</v>
      </c>
      <c r="AH283" s="520">
        <f t="shared" ref="AH283:AJ283" si="1386">AH280/AH277</f>
        <v>0.90347490347490267</v>
      </c>
      <c r="AI283" s="707"/>
      <c r="AJ283" s="520">
        <f t="shared" si="1386"/>
        <v>0.91434689507494249</v>
      </c>
      <c r="AK283" s="707">
        <f t="shared" ref="AK283" si="1387">AK280/AK277</f>
        <v>0.92907801418439473</v>
      </c>
      <c r="AL283" s="520"/>
      <c r="AM283" s="520">
        <f t="shared" ref="AM283:AN283" si="1388">AM280/AM277</f>
        <v>0.92612612612612777</v>
      </c>
      <c r="AN283" s="707">
        <f t="shared" si="1388"/>
        <v>0.91014492753623455</v>
      </c>
      <c r="AO283" s="520"/>
      <c r="AP283" s="520">
        <f t="shared" ref="AP283:AQ283" si="1389">AP280/AP277</f>
        <v>0.91233283803863541</v>
      </c>
      <c r="AQ283" s="1756">
        <f t="shared" si="1389"/>
        <v>0.888646288209608</v>
      </c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707"/>
      <c r="BD283" s="316"/>
      <c r="BE283" s="316"/>
      <c r="BF283" s="316"/>
      <c r="BG283" s="316"/>
      <c r="BH283" s="315"/>
      <c r="BI283" s="317"/>
      <c r="BJ283" s="317"/>
      <c r="BK283" s="471"/>
      <c r="BL283" s="471"/>
      <c r="BM283" s="471"/>
      <c r="BN283" s="471"/>
      <c r="BO283" s="471"/>
      <c r="BP283" s="471"/>
      <c r="BQ283" s="471"/>
      <c r="BR283" s="471"/>
      <c r="BS283" s="471"/>
      <c r="BT283" s="471"/>
      <c r="BU283" s="471"/>
      <c r="BV283" s="471"/>
      <c r="BW283" s="471"/>
      <c r="BX283" s="471"/>
      <c r="BY283" s="471">
        <f t="shared" ref="BY283:CF283" si="1390">BY280/BY277</f>
        <v>0.77987421383647804</v>
      </c>
      <c r="BZ283" s="471">
        <f t="shared" si="1390"/>
        <v>0.7544910179640717</v>
      </c>
      <c r="CA283" s="471">
        <f t="shared" si="1390"/>
        <v>0.77884615384615374</v>
      </c>
      <c r="CB283" s="471">
        <f t="shared" si="1390"/>
        <v>0.78260869565217506</v>
      </c>
      <c r="CC283" s="471">
        <f t="shared" si="1390"/>
        <v>0.78606965174129351</v>
      </c>
      <c r="CD283" s="471">
        <f t="shared" si="1390"/>
        <v>0.81764705882353206</v>
      </c>
      <c r="CE283" s="471">
        <f t="shared" si="1390"/>
        <v>0.88405797101449279</v>
      </c>
      <c r="CF283" s="471">
        <f t="shared" si="1390"/>
        <v>0.92528735632183767</v>
      </c>
      <c r="CG283" s="471"/>
      <c r="CH283" s="471"/>
      <c r="CI283" s="471">
        <f>CI280/CI277</f>
        <v>0.9118260869565209</v>
      </c>
      <c r="CJ283" s="471">
        <f>CJ280/CJ277</f>
        <v>0.92257425742574084</v>
      </c>
      <c r="CK283" s="471">
        <f>CK280/CK277</f>
        <v>0.95416666666666572</v>
      </c>
      <c r="CL283" s="471">
        <f>CL280/CL277</f>
        <v>0.92639567567569525</v>
      </c>
      <c r="CM283" s="471">
        <f>CM280/CM277</f>
        <v>0.9174311926605504</v>
      </c>
      <c r="CN283" s="471"/>
    </row>
    <row r="284" spans="1:92">
      <c r="A284" s="165"/>
      <c r="B284" s="955"/>
      <c r="C284" s="1055"/>
      <c r="D284" s="282"/>
      <c r="E284" s="282"/>
      <c r="F284" s="282"/>
      <c r="G284" s="282"/>
      <c r="H284" s="282"/>
      <c r="I284" s="978"/>
      <c r="J284" s="520"/>
      <c r="K284" s="520"/>
      <c r="L284" s="520"/>
      <c r="M284" s="520"/>
      <c r="N284" s="520"/>
      <c r="O284" s="520"/>
      <c r="P284" s="520"/>
      <c r="Q284" s="520"/>
      <c r="R284" s="520"/>
      <c r="S284" s="520"/>
      <c r="T284" s="520"/>
      <c r="U284" s="520"/>
      <c r="V284" s="520"/>
      <c r="W284" s="520"/>
      <c r="X284" s="520"/>
      <c r="Y284" s="520"/>
      <c r="Z284" s="520"/>
      <c r="AA284" s="520"/>
      <c r="AB284" s="520"/>
      <c r="AC284" s="520"/>
      <c r="AD284" s="520"/>
      <c r="AE284" s="520"/>
      <c r="AF284" s="520"/>
      <c r="AG284" s="520"/>
      <c r="AH284" s="520"/>
      <c r="AI284" s="707"/>
      <c r="AJ284" s="520"/>
      <c r="AK284" s="707"/>
      <c r="AL284" s="520"/>
      <c r="AM284" s="520"/>
      <c r="AN284" s="707"/>
      <c r="AO284" s="520"/>
      <c r="AP284" s="520"/>
      <c r="AQ284" s="1756"/>
      <c r="AR284" s="520"/>
      <c r="AS284" s="282"/>
      <c r="AT284" s="520"/>
      <c r="AU284" s="520"/>
      <c r="AV284" s="282"/>
      <c r="AW284" s="520"/>
      <c r="AX284" s="520"/>
      <c r="AY284" s="282"/>
      <c r="AZ284" s="520"/>
      <c r="BA284" s="520"/>
      <c r="BB284" s="282"/>
      <c r="BC284" s="190"/>
      <c r="BD284" s="316"/>
      <c r="BE284" s="316"/>
      <c r="BF284" s="316"/>
      <c r="BG284" s="316"/>
      <c r="BH284" s="315"/>
      <c r="BI284" s="317"/>
      <c r="BJ284" s="317"/>
      <c r="BK284" s="471"/>
      <c r="BL284" s="471"/>
      <c r="BM284" s="471"/>
      <c r="BN284" s="471"/>
      <c r="BO284" s="471"/>
      <c r="BP284" s="471"/>
      <c r="BQ284" s="471"/>
      <c r="BR284" s="471"/>
      <c r="BS284" s="471"/>
      <c r="BT284" s="471"/>
      <c r="BU284" s="471"/>
      <c r="BV284" s="471"/>
      <c r="BW284" s="471"/>
      <c r="BX284" s="471"/>
      <c r="BY284" s="471"/>
      <c r="BZ284" s="471"/>
      <c r="CA284" s="471"/>
      <c r="CB284" s="471"/>
      <c r="CC284" s="471"/>
      <c r="CD284" s="471"/>
      <c r="CE284" s="471"/>
      <c r="CF284" s="471"/>
      <c r="CG284" s="471"/>
      <c r="CH284" s="471"/>
      <c r="CI284" s="471"/>
      <c r="CJ284" s="471"/>
      <c r="CK284" s="471"/>
      <c r="CL284" s="471"/>
      <c r="CM284" s="471"/>
      <c r="CN284" s="471"/>
    </row>
    <row r="285" spans="1:92" ht="9.75" customHeight="1">
      <c r="A285" s="545" t="s">
        <v>804</v>
      </c>
      <c r="B285" s="1069" t="s">
        <v>841</v>
      </c>
      <c r="C285" s="1078"/>
      <c r="D285" s="529"/>
      <c r="E285" s="529"/>
      <c r="F285" s="294"/>
      <c r="G285" s="294"/>
      <c r="H285" s="294"/>
      <c r="I285" s="294"/>
      <c r="J285" s="294"/>
      <c r="K285" s="294"/>
      <c r="L285" s="294"/>
      <c r="M285" s="294"/>
      <c r="N285" s="294">
        <f t="shared" ref="N285:S285" si="1391">N280-N293</f>
        <v>24.4</v>
      </c>
      <c r="O285" s="294">
        <f t="shared" si="1391"/>
        <v>25.900000000000023</v>
      </c>
      <c r="P285" s="294">
        <f t="shared" si="1391"/>
        <v>25.800000000000047</v>
      </c>
      <c r="Q285" s="294">
        <f t="shared" si="1391"/>
        <v>29.399999999999977</v>
      </c>
      <c r="R285" s="294">
        <f t="shared" si="1391"/>
        <v>31.845000000000134</v>
      </c>
      <c r="S285" s="294">
        <f t="shared" si="1391"/>
        <v>35.74699999999995</v>
      </c>
      <c r="T285" s="294">
        <f t="shared" ref="T285:AG285" si="1392">T280-T293</f>
        <v>39.438320000000338</v>
      </c>
      <c r="U285" s="294">
        <f t="shared" si="1392"/>
        <v>37.199999999999775</v>
      </c>
      <c r="V285" s="294">
        <f>V280-V293</f>
        <v>18.999999999999943</v>
      </c>
      <c r="W285" s="294">
        <f>W280-W293</f>
        <v>17.899999999999874</v>
      </c>
      <c r="X285" s="294">
        <f t="shared" si="1392"/>
        <v>36.899999999999821</v>
      </c>
      <c r="Y285" s="294">
        <f>Y280-Y293</f>
        <v>16.400000000000048</v>
      </c>
      <c r="Z285" s="294">
        <f>Z280-Z293</f>
        <v>13.499999999999901</v>
      </c>
      <c r="AA285" s="294">
        <f t="shared" si="1392"/>
        <v>29.899999999999949</v>
      </c>
      <c r="AB285" s="294">
        <f>AB280-AB293</f>
        <v>16.000000000000085</v>
      </c>
      <c r="AC285" s="294">
        <f>AD285-AB285</f>
        <v>15.999999999999858</v>
      </c>
      <c r="AD285" s="294">
        <f t="shared" si="1392"/>
        <v>31.999999999999943</v>
      </c>
      <c r="AE285" s="294">
        <f>AE280-AE293</f>
        <v>16.100000000000136</v>
      </c>
      <c r="AF285" s="294">
        <f>AG285-AE285</f>
        <v>15.299999999999841</v>
      </c>
      <c r="AG285" s="294">
        <f t="shared" si="1392"/>
        <v>31.399999999999977</v>
      </c>
      <c r="AH285" s="294">
        <f>AH280-AH293</f>
        <v>18.199999999999932</v>
      </c>
      <c r="AI285" s="241">
        <f>AJ285-AH285</f>
        <v>19.599999999999795</v>
      </c>
      <c r="AJ285" s="294">
        <f>AJ280-AJ293</f>
        <v>37.799999999999727</v>
      </c>
      <c r="AK285" s="241">
        <f>AK280-AK293</f>
        <v>23.799999999999955</v>
      </c>
      <c r="AL285" s="294">
        <f>AM285-AK285</f>
        <v>23.500000000000199</v>
      </c>
      <c r="AM285" s="294">
        <f>AM280-AM293</f>
        <v>47.300000000000153</v>
      </c>
      <c r="AN285" s="241">
        <f>AN280-AN293</f>
        <v>25.500000000000171</v>
      </c>
      <c r="AO285" s="294">
        <f>AP285-AN285</f>
        <v>27.699999999999989</v>
      </c>
      <c r="AP285" s="294">
        <f>AP280-AP293</f>
        <v>53.200000000000159</v>
      </c>
      <c r="AQ285" s="1645">
        <f>AQ280-AQ293</f>
        <v>30.400000000000045</v>
      </c>
      <c r="AR285" s="294">
        <f>AS285-AQ285</f>
        <v>31.578000000000142</v>
      </c>
      <c r="AS285" s="529">
        <f>AP285*(1+AS286)</f>
        <v>61.978000000000186</v>
      </c>
      <c r="AT285" s="294">
        <f>AQ285*(1+AT286)</f>
        <v>31.920000000000048</v>
      </c>
      <c r="AU285" s="294">
        <f>AV285-AT285</f>
        <v>33.156900000000149</v>
      </c>
      <c r="AV285" s="529">
        <f>AS285*(1+AV286)</f>
        <v>65.076900000000194</v>
      </c>
      <c r="AW285" s="294">
        <f>AT285*(1+AW286)</f>
        <v>32.877600000000051</v>
      </c>
      <c r="AX285" s="294">
        <f>AY285-AW285</f>
        <v>34.151607000000148</v>
      </c>
      <c r="AY285" s="529">
        <f>AV285*(1+AY286)</f>
        <v>67.029207000000198</v>
      </c>
      <c r="AZ285" s="294">
        <f>AW285*(1+AZ286)</f>
        <v>33.863928000000051</v>
      </c>
      <c r="BA285" s="294">
        <f>BB285-AZ285</f>
        <v>35.176155210000154</v>
      </c>
      <c r="BB285" s="529">
        <f>AY285*(1+BB286)</f>
        <v>69.040083210000205</v>
      </c>
      <c r="BC285" s="705"/>
      <c r="BD285" s="530"/>
      <c r="BE285" s="530"/>
      <c r="BF285" s="530"/>
      <c r="BG285" s="530"/>
      <c r="BH285" s="472"/>
      <c r="BI285" s="531"/>
      <c r="BJ285" s="531"/>
      <c r="BK285" s="419"/>
      <c r="BL285" s="419"/>
      <c r="BM285" s="419"/>
      <c r="BN285" s="419"/>
      <c r="BO285" s="419"/>
      <c r="BP285" s="419"/>
      <c r="BQ285" s="419"/>
      <c r="BR285" s="419"/>
      <c r="BS285" s="419">
        <f t="shared" ref="BS285:CK285" si="1393">BS280-BS293</f>
        <v>8.9100000000000819</v>
      </c>
      <c r="BT285" s="419">
        <f t="shared" si="1393"/>
        <v>10.189999999999941</v>
      </c>
      <c r="BU285" s="419">
        <f t="shared" si="1393"/>
        <v>11.700000000000001</v>
      </c>
      <c r="BV285" s="419">
        <f t="shared" si="1393"/>
        <v>10.400000000000022</v>
      </c>
      <c r="BW285" s="419">
        <f t="shared" si="1393"/>
        <v>12.5</v>
      </c>
      <c r="BX285" s="419">
        <f t="shared" si="1393"/>
        <v>10.084000000000046</v>
      </c>
      <c r="BY285" s="419">
        <f t="shared" si="1393"/>
        <v>12.5</v>
      </c>
      <c r="BZ285" s="419">
        <f t="shared" si="1393"/>
        <v>11.9</v>
      </c>
      <c r="CA285" s="419">
        <f t="shared" si="1393"/>
        <v>13.5</v>
      </c>
      <c r="CB285" s="419">
        <f t="shared" si="1393"/>
        <v>12.400000000000023</v>
      </c>
      <c r="CC285" s="419">
        <f t="shared" si="1393"/>
        <v>12.833</v>
      </c>
      <c r="CD285" s="419">
        <f t="shared" si="1393"/>
        <v>12.967000000000045</v>
      </c>
      <c r="CE285" s="419">
        <f t="shared" si="1393"/>
        <v>14.8</v>
      </c>
      <c r="CF285" s="419">
        <f t="shared" si="1393"/>
        <v>14.599999999999977</v>
      </c>
      <c r="CG285" s="419">
        <f t="shared" si="1393"/>
        <v>15.300000000000022</v>
      </c>
      <c r="CH285" s="419">
        <f t="shared" si="1393"/>
        <v>16.545000000000112</v>
      </c>
      <c r="CI285" s="419">
        <f>CI280-CI293</f>
        <v>17.77399999999998</v>
      </c>
      <c r="CJ285" s="419">
        <f t="shared" si="1393"/>
        <v>17.972999999999967</v>
      </c>
      <c r="CK285" s="419">
        <f t="shared" si="1393"/>
        <v>20.399999999999977</v>
      </c>
      <c r="CL285" s="419">
        <f t="shared" ref="CL285:CN285" si="1394">CL280-CL293</f>
        <v>19.038320000000361</v>
      </c>
      <c r="CM285" s="419">
        <f t="shared" si="1394"/>
        <v>18.599999999999994</v>
      </c>
      <c r="CN285" s="419">
        <f t="shared" si="1394"/>
        <v>18.599999999999778</v>
      </c>
    </row>
    <row r="286" spans="1:92" ht="11.25" customHeight="1">
      <c r="A286" s="174"/>
      <c r="B286" s="1066" t="s">
        <v>777</v>
      </c>
      <c r="C286" s="1067"/>
      <c r="D286" s="336"/>
      <c r="E286" s="336"/>
      <c r="F286" s="279"/>
      <c r="G286" s="279"/>
      <c r="H286" s="279"/>
      <c r="I286" s="279"/>
      <c r="J286" s="279"/>
      <c r="K286" s="279"/>
      <c r="L286" s="263"/>
      <c r="M286" s="263"/>
      <c r="N286" s="263"/>
      <c r="O286" s="263">
        <f t="shared" ref="O286:U286" si="1395">O285/N285-1</f>
        <v>6.1475409836066586E-2</v>
      </c>
      <c r="P286" s="263">
        <f t="shared" si="1395"/>
        <v>-3.8610038610029651E-3</v>
      </c>
      <c r="Q286" s="263">
        <f t="shared" si="1395"/>
        <v>0.13953488372092737</v>
      </c>
      <c r="R286" s="263">
        <f t="shared" si="1395"/>
        <v>8.3163265306127832E-2</v>
      </c>
      <c r="S286" s="263">
        <f t="shared" si="1395"/>
        <v>0.12253100957763552</v>
      </c>
      <c r="T286" s="263">
        <f t="shared" si="1395"/>
        <v>0.10326237166756358</v>
      </c>
      <c r="U286" s="263">
        <f t="shared" si="1395"/>
        <v>-5.6754953050752288E-2</v>
      </c>
      <c r="V286" s="284">
        <f>V285/CM285-1</f>
        <v>2.1505376344083338E-2</v>
      </c>
      <c r="W286" s="284">
        <f>W285/CN285-1</f>
        <v>-3.7634408602145841E-2</v>
      </c>
      <c r="X286" s="263">
        <f t="shared" ref="X286:AP286" si="1396">X285/U285-1</f>
        <v>-8.0645161290310297E-3</v>
      </c>
      <c r="Y286" s="284">
        <f t="shared" si="1396"/>
        <v>-0.13684210526315277</v>
      </c>
      <c r="Z286" s="284">
        <f t="shared" si="1396"/>
        <v>-0.24581005586592208</v>
      </c>
      <c r="AA286" s="263">
        <f t="shared" si="1396"/>
        <v>-0.18970189701896767</v>
      </c>
      <c r="AB286" s="284">
        <f t="shared" si="1396"/>
        <v>-2.4390243902436715E-2</v>
      </c>
      <c r="AC286" s="284">
        <f t="shared" si="1396"/>
        <v>0.18518518518518334</v>
      </c>
      <c r="AD286" s="263">
        <f t="shared" si="1396"/>
        <v>7.0234113712374535E-2</v>
      </c>
      <c r="AE286" s="284">
        <f t="shared" si="1396"/>
        <v>6.2500000000031974E-3</v>
      </c>
      <c r="AF286" s="284">
        <f t="shared" si="1396"/>
        <v>-4.375000000000151E-2</v>
      </c>
      <c r="AG286" s="284">
        <f t="shared" si="1396"/>
        <v>-1.8749999999998934E-2</v>
      </c>
      <c r="AH286" s="284">
        <f t="shared" si="1396"/>
        <v>0.1304347826086818</v>
      </c>
      <c r="AI286" s="137">
        <f>AI285/AF285-1</f>
        <v>0.28104575163398682</v>
      </c>
      <c r="AJ286" s="284">
        <f t="shared" si="1396"/>
        <v>0.2038216560509476</v>
      </c>
      <c r="AK286" s="137">
        <f t="shared" si="1396"/>
        <v>0.30769230769231015</v>
      </c>
      <c r="AL286" s="284">
        <f>AL285/AI285-1</f>
        <v>0.1989795918367574</v>
      </c>
      <c r="AM286" s="284">
        <f t="shared" si="1396"/>
        <v>0.25132275132276449</v>
      </c>
      <c r="AN286" s="137">
        <f t="shared" si="1396"/>
        <v>7.1428571428580723E-2</v>
      </c>
      <c r="AO286" s="284">
        <f>AO285/AL285-1</f>
        <v>0.17872340425530875</v>
      </c>
      <c r="AP286" s="284">
        <f t="shared" si="1396"/>
        <v>0.12473572938689181</v>
      </c>
      <c r="AQ286" s="1315">
        <f>AQ285/AN285-1</f>
        <v>0.19215686274509181</v>
      </c>
      <c r="AR286" s="137">
        <f>AR285/AO285-1</f>
        <v>0.14000000000000568</v>
      </c>
      <c r="AS286" s="1333">
        <v>0.16500000000000001</v>
      </c>
      <c r="AT286" s="287">
        <v>0.05</v>
      </c>
      <c r="AU286" s="284">
        <f>AU285/AR285-1</f>
        <v>5.0000000000000044E-2</v>
      </c>
      <c r="AV286" s="287">
        <f>+AT286</f>
        <v>0.05</v>
      </c>
      <c r="AW286" s="287">
        <v>0.03</v>
      </c>
      <c r="AX286" s="284">
        <f>AX285/AU285-1</f>
        <v>2.9999999999999805E-2</v>
      </c>
      <c r="AY286" s="287">
        <f>+AW286</f>
        <v>0.03</v>
      </c>
      <c r="AZ286" s="287">
        <f>+AY286</f>
        <v>0.03</v>
      </c>
      <c r="BA286" s="284">
        <f>BA285/AX285-1</f>
        <v>3.0000000000000027E-2</v>
      </c>
      <c r="BB286" s="287">
        <f>+AZ286</f>
        <v>0.03</v>
      </c>
      <c r="BC286" s="1333"/>
      <c r="BD286" s="329"/>
      <c r="BE286" s="329"/>
      <c r="BF286" s="329"/>
      <c r="BG286" s="329"/>
      <c r="BH286" s="426"/>
      <c r="BI286" s="427"/>
      <c r="BJ286" s="427"/>
      <c r="BK286" s="320"/>
      <c r="BL286" s="320"/>
      <c r="BM286" s="320"/>
      <c r="BN286" s="320"/>
      <c r="BO286" s="320"/>
      <c r="BP286" s="320"/>
      <c r="BQ286" s="320"/>
      <c r="BR286" s="320"/>
      <c r="BS286" s="320"/>
      <c r="BT286" s="320"/>
      <c r="BU286" s="359">
        <f t="shared" ref="BU286:CK286" si="1397">BU285/BS285-1</f>
        <v>0.31313131313130116</v>
      </c>
      <c r="BV286" s="359">
        <f t="shared" si="1397"/>
        <v>2.0608439646720544E-2</v>
      </c>
      <c r="BW286" s="359">
        <f t="shared" si="1397"/>
        <v>6.8376068376068355E-2</v>
      </c>
      <c r="BX286" s="359">
        <f t="shared" si="1397"/>
        <v>-3.0384615384613012E-2</v>
      </c>
      <c r="BY286" s="359">
        <f t="shared" si="1397"/>
        <v>0</v>
      </c>
      <c r="BZ286" s="359">
        <f t="shared" si="1397"/>
        <v>0.18008726695755128</v>
      </c>
      <c r="CA286" s="359">
        <f t="shared" si="1397"/>
        <v>8.0000000000000071E-2</v>
      </c>
      <c r="CB286" s="359">
        <f t="shared" si="1397"/>
        <v>4.2016806722690925E-2</v>
      </c>
      <c r="CC286" s="359">
        <f t="shared" si="1397"/>
        <v>-4.9407407407407344E-2</v>
      </c>
      <c r="CD286" s="359">
        <f t="shared" si="1397"/>
        <v>4.5725806451614615E-2</v>
      </c>
      <c r="CE286" s="359">
        <f t="shared" si="1397"/>
        <v>0.15327670848593478</v>
      </c>
      <c r="CF286" s="359">
        <f t="shared" si="1397"/>
        <v>0.12593506593660253</v>
      </c>
      <c r="CG286" s="359">
        <f t="shared" si="1397"/>
        <v>3.3783783783785326E-2</v>
      </c>
      <c r="CH286" s="359">
        <f t="shared" si="1397"/>
        <v>0.13321917808220118</v>
      </c>
      <c r="CI286" s="359">
        <f t="shared" si="1397"/>
        <v>0.16169934640522565</v>
      </c>
      <c r="CJ286" s="359">
        <f t="shared" si="1397"/>
        <v>8.6310063463272524E-2</v>
      </c>
      <c r="CK286" s="359">
        <f t="shared" si="1397"/>
        <v>0.14774389557781031</v>
      </c>
      <c r="CL286" s="359">
        <f t="shared" ref="CL286:CN286" si="1398">CL285/CJ285-1</f>
        <v>5.9273354476180762E-2</v>
      </c>
      <c r="CM286" s="359">
        <f t="shared" si="1398"/>
        <v>-8.8235294117646301E-2</v>
      </c>
      <c r="CN286" s="359">
        <f t="shared" si="1398"/>
        <v>-2.302303984808407E-2</v>
      </c>
    </row>
    <row r="287" spans="1:92" ht="11.25" customHeight="1">
      <c r="A287" s="174" t="s">
        <v>914</v>
      </c>
      <c r="B287" s="1066" t="s">
        <v>776</v>
      </c>
      <c r="C287" s="1067"/>
      <c r="D287" s="336"/>
      <c r="E287" s="336"/>
      <c r="F287" s="279"/>
      <c r="G287" s="279"/>
      <c r="H287" s="279"/>
      <c r="I287" s="279"/>
      <c r="J287" s="279"/>
      <c r="K287" s="279"/>
      <c r="L287" s="304"/>
      <c r="M287" s="304"/>
      <c r="N287" s="304">
        <f t="shared" ref="N287:X287" si="1399">N285/N84</f>
        <v>0.16871102014852077</v>
      </c>
      <c r="O287" s="304">
        <f t="shared" si="1399"/>
        <v>0.14957264957264985</v>
      </c>
      <c r="P287" s="304">
        <f t="shared" si="1399"/>
        <v>0.15395356330892773</v>
      </c>
      <c r="Q287" s="304">
        <f t="shared" si="1399"/>
        <v>0.15398555468844091</v>
      </c>
      <c r="R287" s="304">
        <f t="shared" si="1399"/>
        <v>0.16237507648378621</v>
      </c>
      <c r="S287" s="304">
        <f t="shared" si="1399"/>
        <v>0.16618086644445357</v>
      </c>
      <c r="T287" s="304">
        <f t="shared" si="1399"/>
        <v>0.17845393665158524</v>
      </c>
      <c r="U287" s="304">
        <f t="shared" si="1399"/>
        <v>0.17440225035161624</v>
      </c>
      <c r="V287" s="284">
        <f>V285/V84</f>
        <v>0.15612161051766615</v>
      </c>
      <c r="W287" s="284">
        <f>W285/W84</f>
        <v>0.17953861584754169</v>
      </c>
      <c r="X287" s="304">
        <f t="shared" si="1399"/>
        <v>0.16666666666666613</v>
      </c>
      <c r="Y287" s="284">
        <f>Y285/Y84</f>
        <v>0.13088587390263434</v>
      </c>
      <c r="Z287" s="284">
        <f>Z285/Z84</f>
        <v>0.15715948777648295</v>
      </c>
      <c r="AA287" s="304">
        <f t="shared" ref="AA287" si="1400">AA285/AA84</f>
        <v>0.14157196969696959</v>
      </c>
      <c r="AB287" s="284">
        <f t="shared" ref="AB287:AI287" si="1401">AB285/AB84</f>
        <v>0.11851851851851915</v>
      </c>
      <c r="AC287" s="284">
        <f t="shared" si="1401"/>
        <v>0.14732965009207924</v>
      </c>
      <c r="AD287" s="304">
        <f t="shared" si="1401"/>
        <v>0.1313628899835792</v>
      </c>
      <c r="AE287" s="284">
        <f t="shared" si="1401"/>
        <v>0.1220621683093262</v>
      </c>
      <c r="AF287" s="284">
        <f t="shared" si="1401"/>
        <v>0.13397548161120723</v>
      </c>
      <c r="AG287" s="618">
        <f t="shared" si="1401"/>
        <v>0.12759041040227545</v>
      </c>
      <c r="AH287" s="284">
        <f t="shared" ref="AH287:AJ287" si="1402">AH285/AH84</f>
        <v>0.12491420727522275</v>
      </c>
      <c r="AI287" s="137">
        <f t="shared" si="1401"/>
        <v>0.16118421052631482</v>
      </c>
      <c r="AJ287" s="284">
        <f t="shared" si="1402"/>
        <v>0.14141414141414077</v>
      </c>
      <c r="AK287" s="137">
        <f t="shared" ref="AK287" si="1403">AK285/AK84</f>
        <v>0.15246636771300384</v>
      </c>
      <c r="AL287" s="284">
        <f>AL285/AL84</f>
        <v>0.15953835709436701</v>
      </c>
      <c r="AM287" s="284">
        <f t="shared" ref="AM287:AN287" si="1404">AM285/AM84</f>
        <v>0.15589980224126618</v>
      </c>
      <c r="AN287" s="137">
        <f t="shared" si="1404"/>
        <v>0.13851167843563381</v>
      </c>
      <c r="AO287" s="284">
        <f>AO285/AO84</f>
        <v>0.15623237450648556</v>
      </c>
      <c r="AP287" s="284">
        <f t="shared" ref="AP287:AQ287" si="1405">AP285/AP84</f>
        <v>0.14720531267293879</v>
      </c>
      <c r="AQ287" s="1315">
        <f t="shared" si="1405"/>
        <v>0.12719665271966546</v>
      </c>
      <c r="AR287" s="284">
        <f>AR285/AR84</f>
        <v>0.15665177458082835</v>
      </c>
      <c r="AS287" s="304">
        <f>AS285/AS84</f>
        <v>0.1406733817206568</v>
      </c>
      <c r="AT287" s="284">
        <f t="shared" ref="AT287:AU287" si="1406">AT285/AT84</f>
        <v>0.12603075531485736</v>
      </c>
      <c r="AU287" s="284">
        <f t="shared" si="1406"/>
        <v>0.14824870049155509</v>
      </c>
      <c r="AV287" s="304">
        <f>AV285/AV84</f>
        <v>0.13644993146114517</v>
      </c>
      <c r="AW287" s="284">
        <f t="shared" ref="AW287:AX287" si="1407">AW285/AW84</f>
        <v>0.11819587633453027</v>
      </c>
      <c r="AX287" s="284">
        <f t="shared" si="1407"/>
        <v>0.15367050925192791</v>
      </c>
      <c r="AY287" s="304">
        <f>AY285/AY84</f>
        <v>0.13395094187355547</v>
      </c>
      <c r="AZ287" s="284">
        <f t="shared" ref="AZ287:BA287" si="1408">AZ285/AZ84</f>
        <v>0.11611465767566839</v>
      </c>
      <c r="BA287" s="284">
        <f t="shared" si="1408"/>
        <v>0.15039158781231304</v>
      </c>
      <c r="BB287" s="304">
        <f>BB285/BB84</f>
        <v>0.13136998727828242</v>
      </c>
      <c r="BC287" s="563"/>
      <c r="BD287" s="328"/>
      <c r="BE287" s="328"/>
      <c r="BF287" s="328"/>
      <c r="BG287" s="328"/>
      <c r="BH287" s="426"/>
      <c r="BI287" s="427"/>
      <c r="BJ287" s="427"/>
      <c r="BK287" s="320"/>
      <c r="BL287" s="320"/>
      <c r="BM287" s="320"/>
      <c r="BN287" s="320"/>
      <c r="BO287" s="320"/>
      <c r="BP287" s="320"/>
      <c r="BQ287" s="320"/>
      <c r="BR287" s="320"/>
      <c r="BS287" s="359">
        <f t="shared" ref="BS287:CN287" si="1409">BS285/BS84</f>
        <v>0.18623803352702822</v>
      </c>
      <c r="BT287" s="359">
        <f t="shared" si="1409"/>
        <v>0.22316149095527807</v>
      </c>
      <c r="BU287" s="359">
        <f t="shared" si="1409"/>
        <v>0.17462686567164182</v>
      </c>
      <c r="BV287" s="359">
        <f t="shared" si="1409"/>
        <v>0.18805829807240237</v>
      </c>
      <c r="BW287" s="359">
        <f t="shared" si="1409"/>
        <v>0.16318537859007834</v>
      </c>
      <c r="BX287" s="359">
        <f t="shared" si="1409"/>
        <v>0.17793619424054305</v>
      </c>
      <c r="BY287" s="359">
        <f t="shared" si="1409"/>
        <v>0.16425755584756899</v>
      </c>
      <c r="BZ287" s="359">
        <f t="shared" si="1409"/>
        <v>0.17365671423985005</v>
      </c>
      <c r="CA287" s="359">
        <f t="shared" si="1409"/>
        <v>0.13860369609856263</v>
      </c>
      <c r="CB287" s="359">
        <f t="shared" si="1409"/>
        <v>0.16367476240760359</v>
      </c>
      <c r="CC287" s="359">
        <f t="shared" si="1409"/>
        <v>0.13911714329076599</v>
      </c>
      <c r="CD287" s="359">
        <f t="shared" si="1409"/>
        <v>0.17211994106481582</v>
      </c>
      <c r="CE287" s="359">
        <f t="shared" si="1409"/>
        <v>0.14242683783549701</v>
      </c>
      <c r="CF287" s="359">
        <f t="shared" si="1409"/>
        <v>0.16778909141057707</v>
      </c>
      <c r="CG287" s="359">
        <f t="shared" si="1409"/>
        <v>0.1484860248447207</v>
      </c>
      <c r="CH287" s="359">
        <f t="shared" si="1409"/>
        <v>0.17775032230339635</v>
      </c>
      <c r="CI287" s="359">
        <f t="shared" si="1409"/>
        <v>0.15328624528903934</v>
      </c>
      <c r="CJ287" s="359">
        <f t="shared" si="1409"/>
        <v>0.18125983299043913</v>
      </c>
      <c r="CK287" s="359">
        <f t="shared" si="1409"/>
        <v>0.17157275021026039</v>
      </c>
      <c r="CL287" s="359">
        <f t="shared" si="1409"/>
        <v>0.18646738491675199</v>
      </c>
      <c r="CM287" s="359">
        <f t="shared" si="1409"/>
        <v>0.16315789473684206</v>
      </c>
      <c r="CN287" s="359">
        <f t="shared" si="1409"/>
        <v>0.18731117824773155</v>
      </c>
    </row>
    <row r="288" spans="1:92">
      <c r="A288" s="174"/>
      <c r="B288" s="1066" t="s">
        <v>778</v>
      </c>
      <c r="C288" s="1067"/>
      <c r="D288" s="336"/>
      <c r="E288" s="336"/>
      <c r="F288" s="279"/>
      <c r="G288" s="279"/>
      <c r="H288" s="279"/>
      <c r="I288" s="279"/>
      <c r="J288" s="279"/>
      <c r="K288" s="279"/>
      <c r="L288" s="279"/>
      <c r="M288" s="304"/>
      <c r="N288" s="304"/>
      <c r="O288" s="304">
        <f t="shared" ref="O288:U288" si="1410">O287-N287</f>
        <v>-1.9138370575870922E-2</v>
      </c>
      <c r="P288" s="304">
        <f t="shared" si="1410"/>
        <v>4.3809137362778861E-3</v>
      </c>
      <c r="Q288" s="304">
        <f t="shared" si="1410"/>
        <v>3.1991379513179874E-5</v>
      </c>
      <c r="R288" s="304">
        <f t="shared" si="1410"/>
        <v>8.3895217953453005E-3</v>
      </c>
      <c r="S288" s="304">
        <f t="shared" si="1410"/>
        <v>3.8057899606673551E-3</v>
      </c>
      <c r="T288" s="304">
        <f t="shared" si="1410"/>
        <v>1.227307020713167E-2</v>
      </c>
      <c r="U288" s="304">
        <f t="shared" si="1410"/>
        <v>-4.0516862999689929E-3</v>
      </c>
      <c r="V288" s="618">
        <f>V287-CM287</f>
        <v>-7.0362842191759034E-3</v>
      </c>
      <c r="W288" s="618">
        <f>W287-CN287</f>
        <v>-7.7725624001898641E-3</v>
      </c>
      <c r="X288" s="304">
        <f t="shared" ref="X288:AV288" si="1411">X287-U287</f>
        <v>-7.7355836849501147E-3</v>
      </c>
      <c r="Y288" s="618">
        <f t="shared" si="1411"/>
        <v>-2.5235736615031812E-2</v>
      </c>
      <c r="Z288" s="618">
        <f t="shared" si="1411"/>
        <v>-2.237912807105874E-2</v>
      </c>
      <c r="AA288" s="304">
        <f t="shared" si="1411"/>
        <v>-2.5094696969696545E-2</v>
      </c>
      <c r="AB288" s="618">
        <f t="shared" si="1411"/>
        <v>-1.2367355384115195E-2</v>
      </c>
      <c r="AC288" s="618">
        <f t="shared" si="1411"/>
        <v>-9.8298376844037083E-3</v>
      </c>
      <c r="AD288" s="304">
        <f t="shared" si="1411"/>
        <v>-1.0209079713390384E-2</v>
      </c>
      <c r="AE288" s="618">
        <f t="shared" si="1411"/>
        <v>3.5436497908070547E-3</v>
      </c>
      <c r="AF288" s="618">
        <f t="shared" si="1411"/>
        <v>-1.3354168480872008E-2</v>
      </c>
      <c r="AG288" s="618">
        <f t="shared" si="1411"/>
        <v>-3.7724795813037504E-3</v>
      </c>
      <c r="AH288" s="618">
        <f t="shared" si="1411"/>
        <v>2.8520389658965445E-3</v>
      </c>
      <c r="AI288" s="567">
        <f t="shared" si="1411"/>
        <v>2.7208728915107588E-2</v>
      </c>
      <c r="AJ288" s="618">
        <f t="shared" si="1411"/>
        <v>1.382373101186532E-2</v>
      </c>
      <c r="AK288" s="567">
        <f t="shared" si="1411"/>
        <v>2.7552160437781095E-2</v>
      </c>
      <c r="AL288" s="618">
        <f t="shared" si="1411"/>
        <v>-1.6458534319478135E-3</v>
      </c>
      <c r="AM288" s="618">
        <f t="shared" si="1411"/>
        <v>1.4485660827125407E-2</v>
      </c>
      <c r="AN288" s="567">
        <f t="shared" si="1411"/>
        <v>-1.3954689277370036E-2</v>
      </c>
      <c r="AO288" s="618">
        <f>AO287-AL287</f>
        <v>-3.3059825878814508E-3</v>
      </c>
      <c r="AP288" s="618">
        <f t="shared" si="1411"/>
        <v>-8.6944895683273848E-3</v>
      </c>
      <c r="AQ288" s="1540">
        <f t="shared" si="1411"/>
        <v>-1.1315025715968346E-2</v>
      </c>
      <c r="AR288" s="618">
        <f t="shared" si="1411"/>
        <v>4.1940007434279614E-4</v>
      </c>
      <c r="AS288" s="304">
        <f t="shared" si="1411"/>
        <v>-6.5319309522819946E-3</v>
      </c>
      <c r="AT288" s="618">
        <f t="shared" si="1411"/>
        <v>-1.1658974048081028E-3</v>
      </c>
      <c r="AU288" s="618">
        <f t="shared" si="1411"/>
        <v>-8.4030740892732658E-3</v>
      </c>
      <c r="AV288" s="304">
        <f t="shared" si="1411"/>
        <v>-4.2234502595116241E-3</v>
      </c>
      <c r="AW288" s="618">
        <f t="shared" ref="AW288" si="1412">AW287-AT287</f>
        <v>-7.8348789803270869E-3</v>
      </c>
      <c r="AX288" s="618">
        <f t="shared" ref="AX288" si="1413">AX287-AU287</f>
        <v>5.4218087603728204E-3</v>
      </c>
      <c r="AY288" s="304">
        <f t="shared" ref="AY288" si="1414">AY287-AV287</f>
        <v>-2.4989895875897061E-3</v>
      </c>
      <c r="AZ288" s="618">
        <f t="shared" ref="AZ288" si="1415">AZ287-AW287</f>
        <v>-2.0812186588618775E-3</v>
      </c>
      <c r="BA288" s="618">
        <f t="shared" ref="BA288" si="1416">BA287-AX287</f>
        <v>-3.2789214396148625E-3</v>
      </c>
      <c r="BB288" s="304">
        <f t="shared" ref="BB288" si="1417">BB287-AY287</f>
        <v>-2.5809545952730495E-3</v>
      </c>
      <c r="BC288" s="563"/>
      <c r="BD288" s="328"/>
      <c r="BE288" s="328"/>
      <c r="BF288" s="328"/>
      <c r="BG288" s="328"/>
      <c r="BH288" s="426"/>
      <c r="BI288" s="427"/>
      <c r="BJ288" s="427"/>
      <c r="BK288" s="320"/>
      <c r="BL288" s="320"/>
      <c r="BM288" s="320"/>
      <c r="BN288" s="320"/>
      <c r="BO288" s="320"/>
      <c r="BP288" s="320"/>
      <c r="BQ288" s="320"/>
      <c r="BR288" s="320"/>
      <c r="BS288" s="320"/>
      <c r="BT288" s="320"/>
      <c r="BU288" s="320"/>
      <c r="BV288" s="320"/>
      <c r="BW288" s="320"/>
      <c r="BX288" s="320"/>
      <c r="BY288" s="320"/>
      <c r="BZ288" s="320"/>
      <c r="CA288" s="320"/>
      <c r="CB288" s="320"/>
      <c r="CC288" s="320"/>
      <c r="CD288" s="320"/>
      <c r="CE288" s="320"/>
      <c r="CF288" s="320"/>
      <c r="CG288" s="320"/>
      <c r="CH288" s="320"/>
      <c r="CI288" s="320"/>
      <c r="CJ288" s="320"/>
      <c r="CK288" s="334">
        <f t="shared" ref="CK288:CN288" si="1418">CK287-CI287</f>
        <v>1.8286504921221053E-2</v>
      </c>
      <c r="CL288" s="334">
        <f t="shared" si="1418"/>
        <v>5.2075519263128645E-3</v>
      </c>
      <c r="CM288" s="334">
        <f t="shared" si="1418"/>
        <v>-8.4148554734183312E-3</v>
      </c>
      <c r="CN288" s="334">
        <f t="shared" si="1418"/>
        <v>8.4379333097955866E-4</v>
      </c>
    </row>
    <row r="289" spans="1:95" ht="6.75" customHeight="1">
      <c r="A289" s="174"/>
      <c r="B289" s="1068"/>
      <c r="C289" s="1067"/>
      <c r="D289" s="336"/>
      <c r="E289" s="336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79"/>
      <c r="W289" s="279"/>
      <c r="X289" s="279"/>
      <c r="Y289" s="279"/>
      <c r="Z289" s="279"/>
      <c r="AA289" s="279"/>
      <c r="AB289" s="279"/>
      <c r="AC289" s="279"/>
      <c r="AD289" s="279"/>
      <c r="AE289" s="279"/>
      <c r="AF289" s="279"/>
      <c r="AG289" s="279"/>
      <c r="AH289" s="279"/>
      <c r="AI289" s="279"/>
      <c r="AJ289" s="279"/>
      <c r="AK289" s="179"/>
      <c r="AL289" s="279"/>
      <c r="AM289" s="279"/>
      <c r="AN289" s="179"/>
      <c r="AO289" s="279"/>
      <c r="AP289" s="279"/>
      <c r="AQ289" s="1371"/>
      <c r="AR289" s="279"/>
      <c r="AS289" s="336"/>
      <c r="AT289" s="279"/>
      <c r="AU289" s="279"/>
      <c r="AV289" s="336"/>
      <c r="AW289" s="279"/>
      <c r="AX289" s="279"/>
      <c r="AY289" s="336"/>
      <c r="AZ289" s="279"/>
      <c r="BA289" s="279"/>
      <c r="BB289" s="336"/>
      <c r="BC289" s="1354"/>
      <c r="BD289" s="428"/>
      <c r="BE289" s="428"/>
      <c r="BF289" s="428"/>
      <c r="BG289" s="428"/>
      <c r="BH289" s="426"/>
      <c r="BI289" s="427"/>
      <c r="BJ289" s="427"/>
      <c r="BK289" s="320"/>
      <c r="BL289" s="320"/>
      <c r="BM289" s="320"/>
      <c r="BN289" s="320"/>
      <c r="BO289" s="320"/>
      <c r="BP289" s="320"/>
      <c r="BQ289" s="320"/>
      <c r="BR289" s="320"/>
      <c r="BS289" s="320"/>
      <c r="BT289" s="320"/>
      <c r="BU289" s="320"/>
      <c r="BV289" s="320"/>
      <c r="BW289" s="320"/>
      <c r="BX289" s="320"/>
      <c r="BY289" s="320"/>
      <c r="BZ289" s="320"/>
      <c r="CA289" s="320"/>
      <c r="CB289" s="320"/>
      <c r="CC289" s="320"/>
      <c r="CD289" s="320"/>
      <c r="CE289" s="320"/>
      <c r="CF289" s="320"/>
      <c r="CG289" s="320"/>
      <c r="CH289" s="320"/>
      <c r="CI289" s="320"/>
      <c r="CJ289" s="320"/>
      <c r="CK289" s="320"/>
      <c r="CL289" s="320"/>
      <c r="CM289" s="320"/>
      <c r="CN289" s="320"/>
    </row>
    <row r="290" spans="1:95">
      <c r="A290" s="545"/>
      <c r="B290" s="1069" t="s">
        <v>622</v>
      </c>
      <c r="C290" s="1078"/>
      <c r="D290" s="529"/>
      <c r="E290" s="529"/>
      <c r="F290" s="294"/>
      <c r="G290" s="294"/>
      <c r="H290" s="294"/>
      <c r="I290" s="294"/>
      <c r="J290" s="294"/>
      <c r="K290" s="612"/>
      <c r="L290" s="612"/>
      <c r="M290" s="612"/>
      <c r="N290" s="840">
        <v>0.8</v>
      </c>
      <c r="O290" s="840">
        <v>6</v>
      </c>
      <c r="P290" s="840">
        <v>4.8</v>
      </c>
      <c r="Q290" s="840">
        <v>5.6</v>
      </c>
      <c r="R290" s="840">
        <v>4.0999999999999996</v>
      </c>
      <c r="S290" s="840">
        <v>4.2</v>
      </c>
      <c r="T290" s="840">
        <v>0.6</v>
      </c>
      <c r="U290" s="840">
        <v>0.9</v>
      </c>
      <c r="V290" s="612">
        <v>2.4</v>
      </c>
      <c r="W290" s="612"/>
      <c r="X290" s="840">
        <v>1.4</v>
      </c>
      <c r="Y290" s="612">
        <v>5.8</v>
      </c>
      <c r="Z290" s="612"/>
      <c r="AA290" s="840">
        <f>15.4+5.2</f>
        <v>20.6</v>
      </c>
      <c r="AB290" s="612">
        <v>7.6</v>
      </c>
      <c r="AC290" s="612"/>
      <c r="AD290" s="840">
        <v>12.3</v>
      </c>
      <c r="AE290" s="612">
        <v>7.4</v>
      </c>
      <c r="AF290" s="612"/>
      <c r="AG290" s="840">
        <v>12.2</v>
      </c>
      <c r="AH290" s="612">
        <v>5.7</v>
      </c>
      <c r="AI290" s="294">
        <f>+AJ290-AH290</f>
        <v>-0.40000000000000036</v>
      </c>
      <c r="AJ290" s="612">
        <v>5.3</v>
      </c>
      <c r="AK290" s="698">
        <v>2.5</v>
      </c>
      <c r="AL290" s="294">
        <f>+AM290-AK290</f>
        <v>1.9000000000000004</v>
      </c>
      <c r="AM290" s="612">
        <v>4.4000000000000004</v>
      </c>
      <c r="AN290" s="1917">
        <v>6.5</v>
      </c>
      <c r="AO290" s="294">
        <f>+AP290-AN290</f>
        <v>2.5</v>
      </c>
      <c r="AP290" s="612">
        <v>9</v>
      </c>
      <c r="AQ290" s="1928">
        <v>11.6</v>
      </c>
      <c r="AR290" s="294"/>
      <c r="AS290" s="529"/>
      <c r="AT290" s="294"/>
      <c r="AU290" s="294"/>
      <c r="AV290" s="529"/>
      <c r="AW290" s="294"/>
      <c r="AX290" s="294"/>
      <c r="AY290" s="529"/>
      <c r="AZ290" s="294"/>
      <c r="BA290" s="294"/>
      <c r="BB290" s="529"/>
      <c r="BC290" s="705"/>
      <c r="BD290" s="530"/>
      <c r="BE290" s="530"/>
      <c r="BF290" s="530"/>
      <c r="BG290" s="530"/>
      <c r="BH290" s="472"/>
      <c r="BI290" s="531"/>
      <c r="BJ290" s="531"/>
      <c r="BK290" s="469"/>
      <c r="BL290" s="469"/>
      <c r="BM290" s="469"/>
      <c r="BN290" s="469"/>
      <c r="BO290" s="469"/>
      <c r="BP290" s="469"/>
      <c r="BQ290" s="469"/>
      <c r="BR290" s="469"/>
      <c r="BS290" s="469"/>
      <c r="BT290" s="469"/>
      <c r="BU290" s="469"/>
      <c r="BV290" s="469"/>
      <c r="BW290" s="469"/>
      <c r="BX290" s="469"/>
      <c r="BY290" s="469">
        <v>-0.1</v>
      </c>
      <c r="BZ290" s="510">
        <f>N290-BY290</f>
        <v>0.9</v>
      </c>
      <c r="CA290" s="469">
        <v>3.4</v>
      </c>
      <c r="CB290" s="510">
        <f>O290-CA290</f>
        <v>2.6</v>
      </c>
      <c r="CC290" s="469"/>
      <c r="CD290" s="469"/>
      <c r="CE290" s="469">
        <v>3.9</v>
      </c>
      <c r="CF290" s="469"/>
      <c r="CG290" s="469">
        <v>3.7</v>
      </c>
      <c r="CH290" s="469">
        <f>R290-CG290</f>
        <v>0.39999999999999947</v>
      </c>
      <c r="CI290" s="469"/>
      <c r="CJ290" s="469"/>
      <c r="CK290" s="469">
        <v>2.6</v>
      </c>
      <c r="CL290" s="469"/>
      <c r="CM290" s="469">
        <v>1.4</v>
      </c>
      <c r="CN290" s="469"/>
    </row>
    <row r="291" spans="1:95">
      <c r="A291" s="174"/>
      <c r="B291" s="1068" t="s">
        <v>620</v>
      </c>
      <c r="C291" s="1067"/>
      <c r="D291" s="336"/>
      <c r="E291" s="336"/>
      <c r="F291" s="279"/>
      <c r="G291" s="279"/>
      <c r="H291" s="279"/>
      <c r="I291" s="279"/>
      <c r="J291" s="279"/>
      <c r="K291" s="279"/>
      <c r="L291" s="279"/>
      <c r="M291" s="279"/>
      <c r="N291" s="263">
        <f t="shared" ref="N291:AG291" si="1419">N290/N78</f>
        <v>4.2395336512983575E-3</v>
      </c>
      <c r="O291" s="263">
        <f t="shared" si="1419"/>
        <v>2.7002700270027005E-2</v>
      </c>
      <c r="P291" s="263">
        <f t="shared" si="1419"/>
        <v>2.2922636103151862E-2</v>
      </c>
      <c r="Q291" s="263">
        <f t="shared" si="1419"/>
        <v>2.6490066225165559E-2</v>
      </c>
      <c r="R291" s="263">
        <f t="shared" si="1419"/>
        <v>1.9422074846044527E-2</v>
      </c>
      <c r="S291" s="263">
        <f t="shared" si="1419"/>
        <v>1.7902813299232739E-2</v>
      </c>
      <c r="T291" s="263">
        <f t="shared" si="1419"/>
        <v>2.5641025641025641E-3</v>
      </c>
      <c r="U291" s="263">
        <f t="shared" si="1419"/>
        <v>3.8876889848812094E-3</v>
      </c>
      <c r="V291" s="279"/>
      <c r="W291" s="279"/>
      <c r="X291" s="263">
        <f t="shared" si="1419"/>
        <v>5.9271803556308214E-3</v>
      </c>
      <c r="Y291" s="279"/>
      <c r="Z291" s="279"/>
      <c r="AA291" s="263">
        <f t="shared" si="1419"/>
        <v>9.2459605026929986E-2</v>
      </c>
      <c r="AB291" s="279"/>
      <c r="AC291" s="279"/>
      <c r="AD291" s="263">
        <f t="shared" si="1419"/>
        <v>4.7018348623853207E-2</v>
      </c>
      <c r="AE291" s="279"/>
      <c r="AF291" s="279"/>
      <c r="AG291" s="284">
        <f t="shared" si="1419"/>
        <v>4.649390243902439E-2</v>
      </c>
      <c r="AH291" s="279"/>
      <c r="AI291" s="279"/>
      <c r="AJ291" s="284">
        <f t="shared" ref="AJ291" si="1420">AJ290/AJ78</f>
        <v>1.8144471071550837E-2</v>
      </c>
      <c r="AK291" s="179"/>
      <c r="AL291" s="279"/>
      <c r="AM291" s="284">
        <f t="shared" ref="AM291" si="1421">AM290/AM78</f>
        <v>1.3418725221103997E-2</v>
      </c>
      <c r="AN291" s="179"/>
      <c r="AO291" s="279"/>
      <c r="AP291" s="284">
        <f t="shared" ref="AP291" si="1422">AP290/AP78</f>
        <v>2.2710068130204389E-2</v>
      </c>
      <c r="AQ291" s="1371"/>
      <c r="AR291" s="279"/>
      <c r="AS291" s="336"/>
      <c r="AT291" s="279"/>
      <c r="AU291" s="279"/>
      <c r="AV291" s="336"/>
      <c r="AW291" s="279"/>
      <c r="AX291" s="279"/>
      <c r="AY291" s="336"/>
      <c r="AZ291" s="279"/>
      <c r="BA291" s="279"/>
      <c r="BB291" s="336"/>
      <c r="BC291" s="1354"/>
      <c r="BD291" s="428"/>
      <c r="BE291" s="428"/>
      <c r="BF291" s="428"/>
      <c r="BG291" s="428"/>
      <c r="BH291" s="426"/>
      <c r="BI291" s="427"/>
      <c r="BJ291" s="427"/>
      <c r="BK291" s="320"/>
      <c r="BL291" s="320"/>
      <c r="BM291" s="320"/>
      <c r="BN291" s="320"/>
      <c r="BO291" s="320"/>
      <c r="BP291" s="320"/>
      <c r="BQ291" s="320"/>
      <c r="BR291" s="320"/>
      <c r="BS291" s="320"/>
      <c r="BT291" s="320"/>
      <c r="BU291" s="320"/>
      <c r="BV291" s="320"/>
      <c r="BW291" s="320"/>
      <c r="BX291" s="320"/>
      <c r="BY291" s="320"/>
      <c r="BZ291" s="320"/>
      <c r="CA291" s="320"/>
      <c r="CB291" s="320"/>
      <c r="CC291" s="320"/>
      <c r="CD291" s="320"/>
      <c r="CE291" s="320"/>
      <c r="CF291" s="320"/>
      <c r="CG291" s="320"/>
      <c r="CH291" s="320"/>
      <c r="CI291" s="320"/>
      <c r="CJ291" s="320"/>
      <c r="CK291" s="320"/>
      <c r="CL291" s="320"/>
      <c r="CM291" s="320"/>
      <c r="CN291" s="320"/>
    </row>
    <row r="292" spans="1:95" ht="6" customHeight="1">
      <c r="A292" s="174"/>
      <c r="B292" s="1068"/>
      <c r="C292" s="1067"/>
      <c r="D292" s="336"/>
      <c r="E292" s="336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  <c r="AA292" s="279"/>
      <c r="AB292" s="279"/>
      <c r="AC292" s="279"/>
      <c r="AD292" s="279"/>
      <c r="AE292" s="279"/>
      <c r="AF292" s="279"/>
      <c r="AG292" s="279"/>
      <c r="AH292" s="279"/>
      <c r="AI292" s="279"/>
      <c r="AJ292" s="179"/>
      <c r="AK292" s="179"/>
      <c r="AL292" s="279"/>
      <c r="AM292" s="179"/>
      <c r="AN292" s="179"/>
      <c r="AO292" s="279"/>
      <c r="AP292" s="179"/>
      <c r="AQ292" s="1371"/>
      <c r="AR292" s="279"/>
      <c r="AS292" s="336"/>
      <c r="AT292" s="279"/>
      <c r="AU292" s="279"/>
      <c r="AV292" s="336"/>
      <c r="AW292" s="279"/>
      <c r="AX292" s="279"/>
      <c r="AY292" s="336"/>
      <c r="AZ292" s="279"/>
      <c r="BA292" s="279"/>
      <c r="BB292" s="336"/>
      <c r="BC292" s="1354"/>
      <c r="BD292" s="428"/>
      <c r="BE292" s="428"/>
      <c r="BF292" s="428"/>
      <c r="BG292" s="428"/>
      <c r="BH292" s="426"/>
      <c r="BI292" s="427"/>
      <c r="BJ292" s="427"/>
      <c r="BK292" s="320"/>
      <c r="BL292" s="320"/>
      <c r="BM292" s="320"/>
      <c r="BN292" s="320"/>
      <c r="BO292" s="320"/>
      <c r="BP292" s="320"/>
      <c r="BQ292" s="320"/>
      <c r="BR292" s="320"/>
      <c r="BS292" s="320"/>
      <c r="BT292" s="320"/>
      <c r="BU292" s="320"/>
      <c r="BV292" s="320"/>
      <c r="BW292" s="320"/>
      <c r="BX292" s="320"/>
      <c r="BY292" s="320"/>
      <c r="BZ292" s="320"/>
      <c r="CA292" s="320"/>
      <c r="CB292" s="320"/>
      <c r="CC292" s="320"/>
      <c r="CD292" s="320"/>
      <c r="CE292" s="320"/>
      <c r="CF292" s="320"/>
      <c r="CG292" s="320"/>
      <c r="CH292" s="320"/>
      <c r="CI292" s="320"/>
      <c r="CJ292" s="320"/>
      <c r="CK292" s="320"/>
      <c r="CL292" s="320"/>
      <c r="CM292" s="320"/>
      <c r="CN292" s="320"/>
    </row>
    <row r="293" spans="1:95">
      <c r="A293" s="545" t="s">
        <v>760</v>
      </c>
      <c r="B293" s="1069" t="s">
        <v>627</v>
      </c>
      <c r="C293" s="1078"/>
      <c r="D293" s="529"/>
      <c r="E293" s="529"/>
      <c r="F293" s="294"/>
      <c r="G293" s="294"/>
      <c r="H293" s="294"/>
      <c r="I293" s="294"/>
      <c r="J293" s="294"/>
      <c r="K293" s="840">
        <v>-4</v>
      </c>
      <c r="L293" s="840">
        <v>-1.5</v>
      </c>
      <c r="M293" s="840">
        <v>-1.8839999999999999</v>
      </c>
      <c r="N293" s="840">
        <v>0.6</v>
      </c>
      <c r="O293" s="840">
        <v>4.7</v>
      </c>
      <c r="P293" s="840">
        <v>3.9</v>
      </c>
      <c r="Q293" s="840">
        <v>5</v>
      </c>
      <c r="R293" s="840">
        <v>3.8079999999999998</v>
      </c>
      <c r="S293" s="840">
        <v>3.8610000000000002</v>
      </c>
      <c r="T293" s="840">
        <v>0.6</v>
      </c>
      <c r="U293" s="840">
        <v>0.8</v>
      </c>
      <c r="V293" s="612">
        <f>264.3-50.3-211.8</f>
        <v>2.1999999999999886</v>
      </c>
      <c r="W293" s="294">
        <f>X293-V293</f>
        <v>-0.89999999999998859</v>
      </c>
      <c r="X293" s="840">
        <v>1.3</v>
      </c>
      <c r="Y293" s="612">
        <f>372.1-277.5-89.2</f>
        <v>5.4000000000000199</v>
      </c>
      <c r="Z293" s="294">
        <f>AA293-Y293</f>
        <v>-0.40000000000004832</v>
      </c>
      <c r="AA293" s="840">
        <f>717.9-525.5-187.4</f>
        <v>4.9999999999999716</v>
      </c>
      <c r="AB293" s="612">
        <f>571.9-399.3-165.4</f>
        <v>7.1999999999999602</v>
      </c>
      <c r="AC293" s="294">
        <f>AC280-AC285</f>
        <v>4.2000000000000739</v>
      </c>
      <c r="AD293" s="840">
        <f>961.6-658.5-291.7</f>
        <v>11.400000000000034</v>
      </c>
      <c r="AE293" s="612">
        <f>529-160.5-361.4</f>
        <v>7.1000000000000227</v>
      </c>
      <c r="AF293" s="294">
        <f>AF280-AF285</f>
        <v>4.2999999999999545</v>
      </c>
      <c r="AG293" s="840">
        <f>1013.9-321.1-681.4</f>
        <v>11.399999999999977</v>
      </c>
      <c r="AH293" s="612">
        <f>(592.6-412.2-175.2)</f>
        <v>5.2000000000000455</v>
      </c>
      <c r="AI293" s="241">
        <f>AJ293-AH293</f>
        <v>-0.29999999999995453</v>
      </c>
      <c r="AJ293" s="612">
        <f>993.2-297.4-690.9</f>
        <v>4.9000000000000909</v>
      </c>
      <c r="AK293" s="698">
        <f>505.2-136.2-366.6</f>
        <v>2.3999999999999773</v>
      </c>
      <c r="AL293" s="294">
        <f>AM293-AK293</f>
        <v>1.6999999999999602</v>
      </c>
      <c r="AM293" s="612">
        <f>884.3-634.1-246.1</f>
        <v>4.0999999999999375</v>
      </c>
      <c r="AN293" s="1919">
        <f>545.9-4.6-144.8-390.6</f>
        <v>5.8999999999999204</v>
      </c>
      <c r="AO293" s="294">
        <f>AP293-AN293</f>
        <v>2.3000000000000789</v>
      </c>
      <c r="AP293" s="698">
        <v>8.1999999999999993</v>
      </c>
      <c r="AQ293" s="1649">
        <v>10.3</v>
      </c>
      <c r="AR293" s="294">
        <f>AS293-AQ293</f>
        <v>3.0613276707140962</v>
      </c>
      <c r="AS293" s="529">
        <f>AS280-AS285</f>
        <v>13.361327670714097</v>
      </c>
      <c r="AT293" s="621">
        <f>AT280-AT285</f>
        <v>11.136157097872296</v>
      </c>
      <c r="AU293" s="294">
        <f>AV293-AT293</f>
        <v>4.8648363208596557</v>
      </c>
      <c r="AV293" s="529">
        <f>AV280-AV285</f>
        <v>16.000993418731952</v>
      </c>
      <c r="AW293" s="621">
        <f>AW280-AW285</f>
        <v>14.6881000425957</v>
      </c>
      <c r="AX293" s="294">
        <f>AY293-AW293</f>
        <v>3.8512917046955906</v>
      </c>
      <c r="AY293" s="529">
        <f>AY280-AY285</f>
        <v>18.53939174729129</v>
      </c>
      <c r="AZ293" s="621">
        <f>AZ280-AZ285</f>
        <v>16.298521191119953</v>
      </c>
      <c r="BA293" s="294">
        <f>BB293-AZ293</f>
        <v>4.5286055568253332</v>
      </c>
      <c r="BB293" s="529">
        <f>BB280-BB285</f>
        <v>20.827126747945286</v>
      </c>
      <c r="BC293" s="705"/>
      <c r="BD293" s="530"/>
      <c r="BE293" s="530"/>
      <c r="BF293" s="530"/>
      <c r="BG293" s="530"/>
      <c r="BH293" s="472"/>
      <c r="BI293" s="531"/>
      <c r="BJ293" s="531"/>
      <c r="BK293" s="469"/>
      <c r="BL293" s="469"/>
      <c r="BM293" s="469"/>
      <c r="BN293" s="469"/>
      <c r="BO293" s="469"/>
      <c r="BP293" s="469"/>
      <c r="BQ293" s="469"/>
      <c r="BR293" s="469"/>
      <c r="BS293" s="419">
        <f>BS34-BS262</f>
        <v>-0.80000000000001137</v>
      </c>
      <c r="BT293" s="510">
        <f>K293-BS293</f>
        <v>-3.1999999999999886</v>
      </c>
      <c r="BU293" s="469">
        <v>-0.4</v>
      </c>
      <c r="BV293" s="510">
        <f>L293-BU293</f>
        <v>-1.1000000000000001</v>
      </c>
      <c r="BW293" s="469">
        <v>-1.1000000000000001</v>
      </c>
      <c r="BX293" s="510">
        <f>M293-BW293</f>
        <v>-0.78399999999999981</v>
      </c>
      <c r="BY293" s="469">
        <v>-0.1</v>
      </c>
      <c r="BZ293" s="510">
        <f>N293-BY293</f>
        <v>0.7</v>
      </c>
      <c r="CA293" s="469">
        <v>2.7</v>
      </c>
      <c r="CB293" s="510">
        <f>O293-CA293</f>
        <v>2</v>
      </c>
      <c r="CC293" s="469">
        <v>2.9670000000000001</v>
      </c>
      <c r="CD293" s="510">
        <f>P293-CC293</f>
        <v>0.93299999999999983</v>
      </c>
      <c r="CE293" s="469">
        <v>3.5</v>
      </c>
      <c r="CF293" s="510">
        <f>Q293-CE293</f>
        <v>1.5</v>
      </c>
      <c r="CG293" s="469">
        <v>3.3</v>
      </c>
      <c r="CH293" s="469">
        <f>R293-CG293</f>
        <v>0.50800000000000001</v>
      </c>
      <c r="CI293" s="469">
        <v>3.198</v>
      </c>
      <c r="CJ293" s="469">
        <f>S293-CI293</f>
        <v>0.66300000000000026</v>
      </c>
      <c r="CK293" s="469">
        <v>2.5</v>
      </c>
      <c r="CL293" s="419">
        <f>T293-CK293</f>
        <v>-1.9</v>
      </c>
      <c r="CM293" s="469">
        <f>256.3-50.4-204.5</f>
        <v>1.4000000000000057</v>
      </c>
      <c r="CN293" s="419">
        <f>U293-CM293</f>
        <v>-0.60000000000000564</v>
      </c>
      <c r="CQ293" s="1105">
        <f>589-6.8-154.1-417.8</f>
        <v>10.300000000000011</v>
      </c>
    </row>
    <row r="294" spans="1:95">
      <c r="A294" s="174"/>
      <c r="B294" s="1068" t="s">
        <v>620</v>
      </c>
      <c r="C294" s="1067"/>
      <c r="D294" s="336"/>
      <c r="E294" s="336"/>
      <c r="F294" s="279"/>
      <c r="G294" s="279"/>
      <c r="H294" s="279"/>
      <c r="I294" s="279"/>
      <c r="J294" s="279"/>
      <c r="K294" s="304">
        <f t="shared" ref="K294:AG294" si="1423">K293/K84</f>
        <v>-4.2778918548939025E-2</v>
      </c>
      <c r="L294" s="304">
        <f t="shared" si="1423"/>
        <v>-1.2264721754345786E-2</v>
      </c>
      <c r="M294" s="304">
        <f t="shared" si="1423"/>
        <v>-1.4136502791283997E-2</v>
      </c>
      <c r="N294" s="304">
        <f t="shared" si="1423"/>
        <v>4.148631642996412E-3</v>
      </c>
      <c r="O294" s="304">
        <f t="shared" si="1423"/>
        <v>2.7142527142527167E-2</v>
      </c>
      <c r="P294" s="304">
        <f t="shared" si="1423"/>
        <v>2.3272050267628568E-2</v>
      </c>
      <c r="Q294" s="304">
        <f t="shared" si="1423"/>
        <v>2.6188019504836908E-2</v>
      </c>
      <c r="R294" s="304">
        <f t="shared" si="1423"/>
        <v>1.9416683663063442E-2</v>
      </c>
      <c r="S294" s="304">
        <f t="shared" si="1423"/>
        <v>1.7949039789130171E-2</v>
      </c>
      <c r="T294" s="304">
        <f t="shared" si="1423"/>
        <v>2.7149321266968325E-3</v>
      </c>
      <c r="U294" s="304">
        <f t="shared" si="1423"/>
        <v>3.7505860290670389E-3</v>
      </c>
      <c r="V294" s="618">
        <f>V293/V84</f>
        <v>1.8077239112571832E-2</v>
      </c>
      <c r="W294" s="618">
        <f>W293/W84</f>
        <v>-9.0270812437310954E-3</v>
      </c>
      <c r="X294" s="304">
        <f t="shared" si="1423"/>
        <v>5.8717253839205156E-3</v>
      </c>
      <c r="Y294" s="618">
        <f>Y293/Y84</f>
        <v>4.3096568236233292E-2</v>
      </c>
      <c r="Z294" s="618">
        <f>Z293/Z84</f>
        <v>-4.656577415600092E-3</v>
      </c>
      <c r="AA294" s="304">
        <f t="shared" si="1423"/>
        <v>2.367424242424231E-2</v>
      </c>
      <c r="AB294" s="618">
        <f>AB293/AB84</f>
        <v>5.3333333333333038E-2</v>
      </c>
      <c r="AC294" s="618">
        <f>AC293/AC84</f>
        <v>3.8674033149171824E-2</v>
      </c>
      <c r="AD294" s="304">
        <f t="shared" si="1423"/>
        <v>4.6798029556650314E-2</v>
      </c>
      <c r="AE294" s="618">
        <f>AE293/AE84</f>
        <v>5.3828658074298846E-2</v>
      </c>
      <c r="AF294" s="618">
        <f>AF293/AF84</f>
        <v>3.7653239929947124E-2</v>
      </c>
      <c r="AG294" s="618">
        <f t="shared" si="1423"/>
        <v>4.6322633075985296E-2</v>
      </c>
      <c r="AH294" s="618">
        <f t="shared" ref="AH294:AL294" si="1424">AH293/AH84</f>
        <v>3.5689773507206944E-2</v>
      </c>
      <c r="AI294" s="567">
        <f t="shared" si="1424"/>
        <v>-2.467105263157532E-3</v>
      </c>
      <c r="AJ294" s="618">
        <f t="shared" si="1424"/>
        <v>1.8331462775907612E-2</v>
      </c>
      <c r="AK294" s="567">
        <f t="shared" ref="AK294" si="1425">AK293/AK84</f>
        <v>1.5374759769378422E-2</v>
      </c>
      <c r="AL294" s="618">
        <f t="shared" si="1424"/>
        <v>1.1541072640868734E-2</v>
      </c>
      <c r="AM294" s="618">
        <f t="shared" ref="AM294:AO294" si="1426">AM293/AM84</f>
        <v>1.3513513513513308E-2</v>
      </c>
      <c r="AN294" s="567">
        <f t="shared" si="1426"/>
        <v>3.2047800108636192E-2</v>
      </c>
      <c r="AO294" s="618">
        <f t="shared" si="1426"/>
        <v>1.297236322617073E-2</v>
      </c>
      <c r="AP294" s="567">
        <f t="shared" ref="AP294:AQ294" si="1427">AP293/AP84</f>
        <v>2.2689540675152151E-2</v>
      </c>
      <c r="AQ294" s="1540">
        <f t="shared" si="1427"/>
        <v>4.3096234309623435E-2</v>
      </c>
      <c r="AR294" s="618">
        <f>AR293/AR84</f>
        <v>1.5186598650666756E-2</v>
      </c>
      <c r="AS294" s="304">
        <f>AS293/AS84</f>
        <v>3.0326618279343198E-2</v>
      </c>
      <c r="AT294" s="304">
        <f>AT293/AT84</f>
        <v>4.3969244685142649E-2</v>
      </c>
      <c r="AU294" s="618">
        <f t="shared" ref="AU294" si="1428">AU293/AU84</f>
        <v>2.1751299508444958E-2</v>
      </c>
      <c r="AV294" s="304">
        <f>AV293/AV84</f>
        <v>3.3550068538854852E-2</v>
      </c>
      <c r="AW294" s="304">
        <f>AW293/AW84</f>
        <v>5.2804123665469729E-2</v>
      </c>
      <c r="AX294" s="618">
        <f t="shared" ref="AX294" si="1429">AX293/AX84</f>
        <v>1.73294907480721E-2</v>
      </c>
      <c r="AY294" s="304">
        <f>AY293/AY84</f>
        <v>3.7049058126444531E-2</v>
      </c>
      <c r="AZ294" s="304">
        <f>AZ293/AZ84</f>
        <v>5.5885342324331587E-2</v>
      </c>
      <c r="BA294" s="618">
        <f t="shared" ref="BA294" si="1430">BA293/BA84</f>
        <v>1.936152988297617E-2</v>
      </c>
      <c r="BB294" s="304">
        <f>BB293/BB84</f>
        <v>3.9630012721717574E-2</v>
      </c>
      <c r="BC294" s="563"/>
      <c r="BD294" s="331"/>
      <c r="BE294" s="331"/>
      <c r="BF294" s="331"/>
      <c r="BG294" s="331"/>
      <c r="BH294" s="426"/>
      <c r="BI294" s="427"/>
      <c r="BJ294" s="427"/>
      <c r="BK294" s="331"/>
      <c r="BL294" s="331"/>
      <c r="BM294" s="331"/>
      <c r="BN294" s="331"/>
      <c r="BO294" s="331"/>
      <c r="BP294" s="331"/>
      <c r="BQ294" s="331"/>
      <c r="BR294" s="331"/>
      <c r="BS294" s="334">
        <f t="shared" ref="BS294:CN294" si="1431">BS293/BS84</f>
        <v>-1.6721708958655816E-2</v>
      </c>
      <c r="BT294" s="334">
        <f t="shared" si="1431"/>
        <v>-7.0080154176338713E-2</v>
      </c>
      <c r="BU294" s="334">
        <f t="shared" si="1431"/>
        <v>-5.9701492537313433E-3</v>
      </c>
      <c r="BV294" s="334">
        <f t="shared" si="1431"/>
        <v>-1.9890781526888675E-2</v>
      </c>
      <c r="BW294" s="334">
        <f t="shared" si="1431"/>
        <v>-1.4360313315926895E-2</v>
      </c>
      <c r="BX294" s="334">
        <f t="shared" si="1431"/>
        <v>-1.3833992094861672E-2</v>
      </c>
      <c r="BY294" s="334">
        <f t="shared" si="1431"/>
        <v>-1.3140604467805521E-3</v>
      </c>
      <c r="BZ294" s="334">
        <f t="shared" si="1431"/>
        <v>1.0215100837638236E-2</v>
      </c>
      <c r="CA294" s="334">
        <f t="shared" si="1431"/>
        <v>2.7720739219712527E-2</v>
      </c>
      <c r="CB294" s="334">
        <f t="shared" si="1431"/>
        <v>2.6399155227032789E-2</v>
      </c>
      <c r="CC294" s="334">
        <f t="shared" si="1431"/>
        <v>3.2163996270841017E-2</v>
      </c>
      <c r="CD294" s="334">
        <f t="shared" si="1431"/>
        <v>1.2384352973970277E-2</v>
      </c>
      <c r="CE294" s="334">
        <f t="shared" si="1431"/>
        <v>3.3682022461097263E-2</v>
      </c>
      <c r="CF294" s="334">
        <f t="shared" si="1431"/>
        <v>1.7238605281908632E-2</v>
      </c>
      <c r="CG294" s="334">
        <f t="shared" si="1431"/>
        <v>3.2026397515527945E-2</v>
      </c>
      <c r="CH294" s="334">
        <f t="shared" si="1431"/>
        <v>5.4576708207993195E-3</v>
      </c>
      <c r="CI294" s="334">
        <f t="shared" si="1431"/>
        <v>2.7580140229230807E-2</v>
      </c>
      <c r="CJ294" s="334">
        <f t="shared" si="1431"/>
        <v>6.686433498729283E-3</v>
      </c>
      <c r="CK294" s="334">
        <f t="shared" si="1431"/>
        <v>2.1026072329688797E-2</v>
      </c>
      <c r="CL294" s="334">
        <f t="shared" si="1431"/>
        <v>-1.8609206660137136E-2</v>
      </c>
      <c r="CM294" s="334">
        <f t="shared" si="1431"/>
        <v>1.2280701754386015E-2</v>
      </c>
      <c r="CN294" s="334">
        <f t="shared" si="1431"/>
        <v>-6.0422960725075988E-3</v>
      </c>
    </row>
    <row r="295" spans="1:95">
      <c r="A295" s="174"/>
      <c r="B295" s="1068"/>
      <c r="C295" s="1067"/>
      <c r="D295" s="336"/>
      <c r="E295" s="336"/>
      <c r="F295" s="279"/>
      <c r="G295" s="279"/>
      <c r="H295" s="279"/>
      <c r="I295" s="279"/>
      <c r="J295" s="279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84"/>
      <c r="W295" s="284"/>
      <c r="X295" s="263"/>
      <c r="Y295" s="284"/>
      <c r="Z295" s="284"/>
      <c r="AA295" s="263"/>
      <c r="AB295" s="284"/>
      <c r="AC295" s="284"/>
      <c r="AD295" s="263"/>
      <c r="AE295" s="284"/>
      <c r="AF295" s="284"/>
      <c r="AG295" s="284"/>
      <c r="AH295" s="633"/>
      <c r="AI295" s="137"/>
      <c r="AJ295" s="284"/>
      <c r="AK295" s="647"/>
      <c r="AL295" s="284"/>
      <c r="AM295" s="284"/>
      <c r="AN295" s="647"/>
      <c r="AO295" s="284"/>
      <c r="AP295" s="137"/>
      <c r="AQ295" s="1730"/>
      <c r="AR295" s="284"/>
      <c r="AS295" s="336"/>
      <c r="AT295" s="284"/>
      <c r="AU295" s="284"/>
      <c r="AV295" s="336"/>
      <c r="AW295" s="284"/>
      <c r="AX295" s="284"/>
      <c r="AY295" s="336"/>
      <c r="AZ295" s="284"/>
      <c r="BA295" s="284"/>
      <c r="BB295" s="336"/>
      <c r="BC295" s="1354"/>
      <c r="BD295" s="428"/>
      <c r="BE295" s="428"/>
      <c r="BF295" s="428"/>
      <c r="BG295" s="428"/>
      <c r="BH295" s="426"/>
      <c r="BI295" s="427"/>
      <c r="BJ295" s="427"/>
      <c r="BK295" s="331"/>
      <c r="BL295" s="331"/>
      <c r="BM295" s="331"/>
      <c r="BN295" s="331"/>
      <c r="BO295" s="331"/>
      <c r="BP295" s="331"/>
      <c r="BQ295" s="331"/>
      <c r="BR295" s="331"/>
      <c r="BS295" s="359"/>
      <c r="BT295" s="359"/>
      <c r="BU295" s="359"/>
      <c r="BV295" s="359"/>
      <c r="BW295" s="359"/>
      <c r="BX295" s="359"/>
      <c r="BY295" s="359"/>
      <c r="BZ295" s="359"/>
      <c r="CA295" s="359"/>
      <c r="CB295" s="359"/>
      <c r="CC295" s="359"/>
      <c r="CD295" s="359"/>
      <c r="CE295" s="359"/>
      <c r="CF295" s="359"/>
      <c r="CG295" s="359"/>
      <c r="CH295" s="359"/>
      <c r="CI295" s="359"/>
      <c r="CJ295" s="359"/>
      <c r="CK295" s="359"/>
      <c r="CL295" s="359"/>
      <c r="CM295" s="359"/>
      <c r="CN295" s="359"/>
    </row>
    <row r="296" spans="1:95">
      <c r="A296" s="544" t="s">
        <v>764</v>
      </c>
      <c r="B296" s="1072" t="s">
        <v>623</v>
      </c>
      <c r="C296" s="1073"/>
      <c r="D296" s="294"/>
      <c r="E296" s="294"/>
      <c r="F296" s="294"/>
      <c r="G296" s="294"/>
      <c r="H296" s="294"/>
      <c r="I296" s="294"/>
      <c r="J296" s="294"/>
      <c r="K296" s="840">
        <v>0.9</v>
      </c>
      <c r="L296" s="840">
        <v>1.4</v>
      </c>
      <c r="M296" s="840">
        <v>1.6</v>
      </c>
      <c r="N296" s="840">
        <v>2.2999999999999998</v>
      </c>
      <c r="O296" s="840">
        <v>1.9</v>
      </c>
      <c r="P296" s="840">
        <v>2</v>
      </c>
      <c r="Q296" s="840">
        <v>2.2000000000000002</v>
      </c>
      <c r="R296" s="840">
        <v>2.3479999999999999</v>
      </c>
      <c r="S296" s="840">
        <f>40.901-37.9</f>
        <v>3.0010000000000048</v>
      </c>
      <c r="T296" s="840">
        <f>53.9-11.2-39.5</f>
        <v>3.2000000000000028</v>
      </c>
      <c r="U296" s="840">
        <v>3.4</v>
      </c>
      <c r="V296" s="621">
        <f>V293-V302</f>
        <v>1.2000000000000171</v>
      </c>
      <c r="W296" s="621">
        <f>X296-V296</f>
        <v>1.7999999999999829</v>
      </c>
      <c r="X296" s="840">
        <v>3</v>
      </c>
      <c r="Y296" s="621">
        <f>Y293-Y302</f>
        <v>4.0000000000000284</v>
      </c>
      <c r="Z296" s="621">
        <f>AA296-Y296</f>
        <v>2.3999999999999524</v>
      </c>
      <c r="AA296" s="840">
        <f>AA293-AA302</f>
        <v>6.3999999999999808</v>
      </c>
      <c r="AB296" s="621">
        <f>AB293-AB302</f>
        <v>0.7999999999999261</v>
      </c>
      <c r="AC296" s="621">
        <f>AD296-AB296</f>
        <v>5.2000000000000171</v>
      </c>
      <c r="AD296" s="840">
        <f>AD293-AD302</f>
        <v>5.9999999999999432</v>
      </c>
      <c r="AE296" s="621">
        <f>AE293-AE302</f>
        <v>0.10000000000002274</v>
      </c>
      <c r="AF296" s="621">
        <f>AG296-AE296</f>
        <v>2.9999999999998863</v>
      </c>
      <c r="AG296" s="840">
        <f>AG293-AG302</f>
        <v>3.0999999999999091</v>
      </c>
      <c r="AH296" s="621">
        <f>AH293-AH302</f>
        <v>0.30000000000006821</v>
      </c>
      <c r="AI296" s="241">
        <f>AJ296-AH296</f>
        <v>0.5</v>
      </c>
      <c r="AJ296" s="621">
        <f>AJ293-AJ302</f>
        <v>0.80000000000006821</v>
      </c>
      <c r="AK296" s="1271">
        <f>AK293-AK302</f>
        <v>2.8000000000000114</v>
      </c>
      <c r="AL296" s="294">
        <f>AM296-AK296</f>
        <v>3.3999999999998636</v>
      </c>
      <c r="AM296" s="621">
        <f>AM293-AM302</f>
        <v>6.1999999999998749</v>
      </c>
      <c r="AN296" s="1271">
        <f>AN293-AN302</f>
        <v>3.8999999999999204</v>
      </c>
      <c r="AO296" s="294">
        <f>AP296-AN296</f>
        <v>4.5000000000000213</v>
      </c>
      <c r="AP296" s="621">
        <f>AP293-AP302</f>
        <v>8.3999999999999417</v>
      </c>
      <c r="AQ296" s="1757">
        <f>AQ293-AQ302</f>
        <v>6.2999999999999439</v>
      </c>
      <c r="AR296" s="241">
        <f>AS296-AQ296</f>
        <v>3.0000000000000568</v>
      </c>
      <c r="AS296" s="1356">
        <v>9.3000000000000007</v>
      </c>
      <c r="AT296" s="1356">
        <f>1.03*AQ296</f>
        <v>6.4889999999999421</v>
      </c>
      <c r="AU296" s="241">
        <f>AV296-AT296</f>
        <v>3.0900000000000585</v>
      </c>
      <c r="AV296" s="1356">
        <f>1.03*AS296</f>
        <v>9.5790000000000006</v>
      </c>
      <c r="AW296" s="1356">
        <f>0.5*AY296</f>
        <v>4.9331850000000008</v>
      </c>
      <c r="AX296" s="241">
        <f t="shared" ref="AX296" si="1432">AY296-AW296</f>
        <v>4.9331850000000008</v>
      </c>
      <c r="AY296" s="1356">
        <f t="shared" ref="AY296" si="1433">1.03*AV296</f>
        <v>9.8663700000000016</v>
      </c>
      <c r="AZ296" s="1356">
        <f>0.5*BB296</f>
        <v>5.0811805500000009</v>
      </c>
      <c r="BA296" s="241">
        <f t="shared" ref="BA296" si="1434">BB296-AZ296</f>
        <v>5.0811805500000009</v>
      </c>
      <c r="BB296" s="1356">
        <f t="shared" ref="BB296" si="1435">1.03*AY296</f>
        <v>10.162361100000002</v>
      </c>
      <c r="BC296" s="1356"/>
      <c r="BD296" s="419"/>
      <c r="BE296" s="419"/>
      <c r="BF296" s="419"/>
      <c r="BG296" s="419"/>
      <c r="BH296" s="319"/>
      <c r="BI296" s="368"/>
      <c r="BJ296" s="368"/>
      <c r="BK296" s="469"/>
      <c r="BL296" s="469"/>
      <c r="BM296" s="469"/>
      <c r="BN296" s="469"/>
      <c r="BO296" s="469"/>
      <c r="BP296" s="469"/>
      <c r="BQ296" s="469"/>
      <c r="BR296" s="469"/>
      <c r="BS296" s="469"/>
      <c r="BT296" s="469"/>
      <c r="BU296" s="469"/>
      <c r="BV296" s="469"/>
      <c r="BW296" s="469"/>
      <c r="BX296" s="546">
        <f t="shared" ref="BX296:CG296" si="1436">BX44-BX266</f>
        <v>0.79700000000002547</v>
      </c>
      <c r="BY296" s="546">
        <f t="shared" si="1436"/>
        <v>0.78999999999999204</v>
      </c>
      <c r="BZ296" s="546">
        <f t="shared" si="1436"/>
        <v>1.5100000000000122</v>
      </c>
      <c r="CA296" s="546">
        <f t="shared" si="1436"/>
        <v>0.96299999999999386</v>
      </c>
      <c r="CB296" s="546">
        <f t="shared" si="1436"/>
        <v>20.609000000000009</v>
      </c>
      <c r="CC296" s="546">
        <f t="shared" si="1436"/>
        <v>0.89999999999999147</v>
      </c>
      <c r="CD296" s="546">
        <f t="shared" si="1436"/>
        <v>1.1000000000000085</v>
      </c>
      <c r="CE296" s="546">
        <f t="shared" si="1436"/>
        <v>1.0999999999999943</v>
      </c>
      <c r="CF296" s="546">
        <f t="shared" si="1436"/>
        <v>1.0999999999999943</v>
      </c>
      <c r="CG296" s="546">
        <f t="shared" si="1436"/>
        <v>1.0739999999999981</v>
      </c>
      <c r="CH296" s="546"/>
      <c r="CI296" s="546">
        <f>CI44-CI266</f>
        <v>1.4390000000000214</v>
      </c>
      <c r="CJ296" s="546"/>
      <c r="CK296" s="546">
        <f>CK293-CK299</f>
        <v>1.5</v>
      </c>
      <c r="CL296" s="546">
        <f>T296-CK296</f>
        <v>1.7000000000000028</v>
      </c>
      <c r="CM296" s="546">
        <f>CM293-CM302</f>
        <v>1.2999999999999829</v>
      </c>
      <c r="CN296" s="546">
        <f>U296-CM296</f>
        <v>2.100000000000017</v>
      </c>
    </row>
    <row r="297" spans="1:95">
      <c r="A297" s="171"/>
      <c r="B297" s="1074" t="s">
        <v>800</v>
      </c>
      <c r="C297" s="965"/>
      <c r="D297" s="279"/>
      <c r="E297" s="279"/>
      <c r="F297" s="279"/>
      <c r="G297" s="279"/>
      <c r="H297" s="279"/>
      <c r="I297" s="279"/>
      <c r="J297" s="279"/>
      <c r="K297" s="304">
        <f t="shared" ref="K297:AG297" si="1437">K296/K5</f>
        <v>9.6252566735112802E-3</v>
      </c>
      <c r="L297" s="304">
        <f t="shared" si="1437"/>
        <v>1.14470736373894E-2</v>
      </c>
      <c r="M297" s="304">
        <f t="shared" si="1437"/>
        <v>1.2005522540368576E-2</v>
      </c>
      <c r="N297" s="304">
        <f t="shared" si="1437"/>
        <v>1.5903087964819582E-2</v>
      </c>
      <c r="O297" s="304">
        <f t="shared" si="1437"/>
        <v>1.0972510972510981E-2</v>
      </c>
      <c r="P297" s="304">
        <f t="shared" si="1437"/>
        <v>1.1934384752630034E-2</v>
      </c>
      <c r="Q297" s="304">
        <f t="shared" si="1437"/>
        <v>1.1522728582128241E-2</v>
      </c>
      <c r="R297" s="304">
        <f t="shared" si="1437"/>
        <v>1.1972261880481344E-2</v>
      </c>
      <c r="S297" s="304">
        <f t="shared" si="1437"/>
        <v>1.3951066668526217E-2</v>
      </c>
      <c r="T297" s="304">
        <f t="shared" si="1437"/>
        <v>1.4479638009049786E-2</v>
      </c>
      <c r="U297" s="304">
        <f t="shared" si="1437"/>
        <v>1.5939990623534912E-2</v>
      </c>
      <c r="V297" s="304">
        <f>V296/V5</f>
        <v>9.860312243221191E-3</v>
      </c>
      <c r="W297" s="304">
        <f>W296/W5</f>
        <v>1.805416248746225E-2</v>
      </c>
      <c r="X297" s="304">
        <f t="shared" si="1437"/>
        <v>1.3550135501355035E-2</v>
      </c>
      <c r="Y297" s="304">
        <f>Y296/Y5</f>
        <v>3.1923383878691439E-2</v>
      </c>
      <c r="Z297" s="304">
        <f>Z296/Z5</f>
        <v>2.7939464493596623E-2</v>
      </c>
      <c r="AA297" s="304">
        <f t="shared" si="1437"/>
        <v>3.0303030303030238E-2</v>
      </c>
      <c r="AB297" s="304">
        <f>AB296/AB5</f>
        <v>5.9259259259253783E-3</v>
      </c>
      <c r="AC297" s="304">
        <f>AC296/AC5</f>
        <v>4.7882136279926331E-2</v>
      </c>
      <c r="AD297" s="304">
        <f t="shared" si="1437"/>
        <v>2.4630541871920913E-2</v>
      </c>
      <c r="AE297" s="304">
        <f>AE296/AE5</f>
        <v>7.581501137226889E-4</v>
      </c>
      <c r="AF297" s="304">
        <f>AF296/AF5</f>
        <v>2.6269702276706577E-2</v>
      </c>
      <c r="AG297" s="618">
        <f t="shared" si="1437"/>
        <v>1.2596505485574604E-2</v>
      </c>
      <c r="AH297" s="618">
        <f t="shared" ref="AH297:AQ297" si="1438">AH296/AH5</f>
        <v>2.0590253946470047E-3</v>
      </c>
      <c r="AI297" s="563">
        <f t="shared" si="1438"/>
        <v>4.1118421052631767E-3</v>
      </c>
      <c r="AJ297" s="618">
        <f t="shared" si="1438"/>
        <v>2.9928918817810342E-3</v>
      </c>
      <c r="AK297" s="567">
        <f t="shared" si="1438"/>
        <v>1.7937219730941735E-2</v>
      </c>
      <c r="AL297" s="618">
        <f t="shared" si="1438"/>
        <v>2.3082145281737083E-2</v>
      </c>
      <c r="AM297" s="618">
        <f t="shared" ref="AM297:AN297" si="1439">AM296/AM5</f>
        <v>2.0435069215556611E-2</v>
      </c>
      <c r="AN297" s="567">
        <f t="shared" si="1439"/>
        <v>2.1184139054861068E-2</v>
      </c>
      <c r="AO297" s="304">
        <f t="shared" si="1438"/>
        <v>2.5380710659898505E-2</v>
      </c>
      <c r="AP297" s="567">
        <f t="shared" si="1438"/>
        <v>2.3242944106253261E-2</v>
      </c>
      <c r="AQ297" s="1540">
        <f t="shared" si="1438"/>
        <v>2.635983263598303E-2</v>
      </c>
      <c r="AR297" s="304">
        <f>AR296/AR5</f>
        <v>1.4882365056130593E-2</v>
      </c>
      <c r="AS297" s="304">
        <f>AS296/AS5</f>
        <v>2.1108497370068483E-2</v>
      </c>
      <c r="AT297" s="304">
        <f t="shared" ref="AT297:AU297" si="1440">AT296/AT5</f>
        <v>2.5620725915980604E-2</v>
      </c>
      <c r="AU297" s="304">
        <f t="shared" si="1440"/>
        <v>1.3815781466871504E-2</v>
      </c>
      <c r="AV297" s="304">
        <f>AV296/AV5</f>
        <v>2.0084759622328439E-2</v>
      </c>
      <c r="AW297" s="304">
        <f t="shared" ref="AW297:AX297" si="1441">AW296/AW5</f>
        <v>1.773493576767644E-2</v>
      </c>
      <c r="AX297" s="304">
        <f t="shared" si="1441"/>
        <v>2.2197639226287914E-2</v>
      </c>
      <c r="AY297" s="304">
        <f>AY296/AY5</f>
        <v>1.9716920630927171E-2</v>
      </c>
      <c r="AZ297" s="304">
        <f t="shared" ref="AZ297:BA297" si="1442">AZ296/AZ5</f>
        <v>1.7422655167218453E-2</v>
      </c>
      <c r="BA297" s="304">
        <f t="shared" si="1442"/>
        <v>2.1724000429083245E-2</v>
      </c>
      <c r="BB297" s="304">
        <f>BB296/BB5</f>
        <v>1.933701679303507E-2</v>
      </c>
      <c r="BC297" s="563"/>
      <c r="BD297" s="320"/>
      <c r="BE297" s="320"/>
      <c r="BF297" s="320"/>
      <c r="BG297" s="320"/>
      <c r="BH297" s="318"/>
      <c r="BI297" s="322"/>
      <c r="BJ297" s="322"/>
      <c r="BK297" s="333"/>
      <c r="BL297" s="333"/>
      <c r="BM297" s="333"/>
      <c r="BN297" s="333"/>
      <c r="BO297" s="333"/>
      <c r="BP297" s="333"/>
      <c r="BQ297" s="333"/>
      <c r="BR297" s="333"/>
      <c r="BS297" s="333"/>
      <c r="BT297" s="333"/>
      <c r="BU297" s="333"/>
      <c r="BV297" s="333"/>
      <c r="BW297" s="333"/>
      <c r="BX297" s="328">
        <f t="shared" ref="BX297:CN297" si="1443">BX296/BX5</f>
        <v>1.4063382269904473E-2</v>
      </c>
      <c r="BY297" s="328">
        <f t="shared" si="1443"/>
        <v>1.0381077529566256E-2</v>
      </c>
      <c r="BZ297" s="328">
        <f t="shared" si="1443"/>
        <v>2.2035431806905519E-2</v>
      </c>
      <c r="CA297" s="328">
        <f t="shared" si="1443"/>
        <v>9.8870636550307377E-3</v>
      </c>
      <c r="CB297" s="328">
        <f t="shared" si="1443"/>
        <v>0.27203009503695946</v>
      </c>
      <c r="CC297" s="328">
        <f t="shared" si="1443"/>
        <v>9.7565206079395471E-3</v>
      </c>
      <c r="CD297" s="328">
        <f t="shared" si="1443"/>
        <v>1.4601059240479542E-2</v>
      </c>
      <c r="CE297" s="328">
        <f t="shared" si="1443"/>
        <v>1.0585778487773371E-2</v>
      </c>
      <c r="CF297" s="328">
        <f t="shared" si="1443"/>
        <v>1.2641643873399597E-2</v>
      </c>
      <c r="CG297" s="328">
        <f t="shared" si="1443"/>
        <v>1.0423136645962713E-2</v>
      </c>
      <c r="CH297" s="328">
        <f t="shared" si="1443"/>
        <v>0</v>
      </c>
      <c r="CI297" s="328">
        <f t="shared" si="1443"/>
        <v>1.2410200684760389E-2</v>
      </c>
      <c r="CJ297" s="328">
        <f t="shared" si="1443"/>
        <v>0</v>
      </c>
      <c r="CK297" s="328">
        <f t="shared" si="1443"/>
        <v>1.2615643397813278E-2</v>
      </c>
      <c r="CL297" s="328">
        <f t="shared" si="1443"/>
        <v>1.6650342801175361E-2</v>
      </c>
      <c r="CM297" s="328">
        <f t="shared" si="1443"/>
        <v>1.1403508771929674E-2</v>
      </c>
      <c r="CN297" s="328">
        <f t="shared" si="1443"/>
        <v>2.1148036253776568E-2</v>
      </c>
    </row>
    <row r="298" spans="1:95">
      <c r="A298" s="174"/>
      <c r="B298" s="1068"/>
      <c r="C298" s="1067"/>
      <c r="D298" s="336"/>
      <c r="E298" s="336"/>
      <c r="F298" s="279"/>
      <c r="G298" s="279"/>
      <c r="H298" s="279"/>
      <c r="I298" s="279"/>
      <c r="J298" s="279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84"/>
      <c r="W298" s="284"/>
      <c r="X298" s="263"/>
      <c r="Y298" s="284"/>
      <c r="Z298" s="284"/>
      <c r="AA298" s="263"/>
      <c r="AB298" s="284"/>
      <c r="AC298" s="284"/>
      <c r="AD298" s="263"/>
      <c r="AE298" s="284"/>
      <c r="AF298" s="284"/>
      <c r="AG298" s="284"/>
      <c r="AH298" s="284"/>
      <c r="AI298" s="137"/>
      <c r="AJ298" s="704"/>
      <c r="AK298" s="137"/>
      <c r="AL298" s="284"/>
      <c r="AM298" s="704"/>
      <c r="AN298" s="137"/>
      <c r="AO298" s="284"/>
      <c r="AP298" s="704"/>
      <c r="AQ298" s="1315"/>
      <c r="AR298" s="284"/>
      <c r="AS298" s="336"/>
      <c r="AT298" s="284"/>
      <c r="AU298" s="284"/>
      <c r="AV298" s="336"/>
      <c r="AW298" s="284"/>
      <c r="AX298" s="284"/>
      <c r="AY298" s="336"/>
      <c r="AZ298" s="284"/>
      <c r="BA298" s="284"/>
      <c r="BB298" s="336"/>
      <c r="BC298" s="1354"/>
      <c r="BD298" s="428"/>
      <c r="BE298" s="428"/>
      <c r="BF298" s="428"/>
      <c r="BG298" s="428"/>
      <c r="BH298" s="426"/>
      <c r="BI298" s="427"/>
      <c r="BJ298" s="427"/>
      <c r="BK298" s="331"/>
      <c r="BL298" s="331"/>
      <c r="BM298" s="331"/>
      <c r="BN298" s="331"/>
      <c r="BO298" s="331"/>
      <c r="BP298" s="331"/>
      <c r="BQ298" s="331"/>
      <c r="BR298" s="331"/>
      <c r="BS298" s="359"/>
      <c r="BT298" s="359"/>
      <c r="BU298" s="359"/>
      <c r="BV298" s="359"/>
      <c r="BW298" s="359"/>
      <c r="BX298" s="359"/>
      <c r="BY298" s="359"/>
      <c r="BZ298" s="359"/>
      <c r="CA298" s="359"/>
      <c r="CB298" s="359"/>
      <c r="CC298" s="359"/>
      <c r="CD298" s="359"/>
      <c r="CE298" s="359"/>
      <c r="CF298" s="359"/>
      <c r="CG298" s="359"/>
      <c r="CH298" s="359"/>
      <c r="CI298" s="359"/>
      <c r="CJ298" s="359"/>
      <c r="CK298" s="359"/>
      <c r="CL298" s="359"/>
      <c r="CM298" s="359"/>
      <c r="CN298" s="359"/>
    </row>
    <row r="299" spans="1:95">
      <c r="A299" s="171"/>
      <c r="B299" s="1069" t="s">
        <v>556</v>
      </c>
      <c r="C299" s="1073"/>
      <c r="D299" s="294"/>
      <c r="E299" s="294"/>
      <c r="F299" s="294"/>
      <c r="G299" s="294"/>
      <c r="H299" s="294"/>
      <c r="I299" s="294"/>
      <c r="J299" s="294"/>
      <c r="K299" s="294"/>
      <c r="L299" s="612"/>
      <c r="M299" s="612"/>
      <c r="N299" s="840">
        <v>-1.6</v>
      </c>
      <c r="O299" s="840">
        <v>3.6</v>
      </c>
      <c r="P299" s="840">
        <v>2.2999999999999998</v>
      </c>
      <c r="Q299" s="840">
        <v>3.1</v>
      </c>
      <c r="R299" s="840">
        <v>1.6</v>
      </c>
      <c r="S299" s="840">
        <v>1</v>
      </c>
      <c r="T299" s="840">
        <v>-2.7</v>
      </c>
      <c r="U299" s="840">
        <v>-2.9</v>
      </c>
      <c r="V299" s="1070">
        <v>1.1000000000000001</v>
      </c>
      <c r="W299" s="620">
        <f>W302/W85</f>
        <v>-2.9240755957271722</v>
      </c>
      <c r="X299" s="840">
        <v>-1.9</v>
      </c>
      <c r="Y299" s="1070">
        <v>1.5</v>
      </c>
      <c r="Z299" s="620">
        <f>Z302/Z85</f>
        <v>-2.9336437718277044</v>
      </c>
      <c r="AA299" s="840">
        <f>-22.3+21.1</f>
        <v>-1.1999999999999993</v>
      </c>
      <c r="AB299" s="1070">
        <v>6.9</v>
      </c>
      <c r="AC299" s="620">
        <f>AC302/AC85</f>
        <v>-1.0745856353590515</v>
      </c>
      <c r="AD299" s="840">
        <v>5.8</v>
      </c>
      <c r="AE299" s="1070">
        <v>7.3</v>
      </c>
      <c r="AF299" s="620">
        <f>AF302/AF85</f>
        <v>1.4115586690018274</v>
      </c>
      <c r="AG299" s="840">
        <v>8.8000000000000007</v>
      </c>
      <c r="AH299" s="1070">
        <v>5.4</v>
      </c>
      <c r="AI299" s="706">
        <f>AJ299-AH299</f>
        <v>-1</v>
      </c>
      <c r="AJ299" s="1070">
        <v>4.4000000000000004</v>
      </c>
      <c r="AK299" s="1270">
        <v>-0.4</v>
      </c>
      <c r="AL299" s="620">
        <f>AM299-AK299</f>
        <v>-1.9</v>
      </c>
      <c r="AM299" s="1070">
        <v>-2.2999999999999998</v>
      </c>
      <c r="AN299" s="1917">
        <v>2.2000000000000002</v>
      </c>
      <c r="AO299" s="620">
        <f>AP299-AN299</f>
        <v>-2.4000000000000004</v>
      </c>
      <c r="AP299" s="1070">
        <v>-0.2</v>
      </c>
      <c r="AQ299" s="1753">
        <v>4.5</v>
      </c>
      <c r="AR299" s="620">
        <f>AS299-AQ299</f>
        <v>0.16819272495873161</v>
      </c>
      <c r="AS299" s="294">
        <f>AS302/AS85</f>
        <v>4.6681927249587316</v>
      </c>
      <c r="AT299" s="294">
        <f>AT302/AT85</f>
        <v>5.3415598826119011</v>
      </c>
      <c r="AU299" s="620">
        <f>AV299-AT299</f>
        <v>2.0400417481144792</v>
      </c>
      <c r="AV299" s="294">
        <f>AV302/AV85</f>
        <v>7.3816016307263803</v>
      </c>
      <c r="AW299" s="294">
        <f>AW302/AW85</f>
        <v>10.719686859995273</v>
      </c>
      <c r="AX299" s="620">
        <f>AY299-AW299</f>
        <v>-0.7506963458673539</v>
      </c>
      <c r="AY299" s="294">
        <f>AY302/AY85</f>
        <v>9.9689905141279187</v>
      </c>
      <c r="AZ299" s="294">
        <f>AZ302/AZ85</f>
        <v>12.326747957274671</v>
      </c>
      <c r="BA299" s="620">
        <f>BB299-AZ299</f>
        <v>-6.8396637797333071E-2</v>
      </c>
      <c r="BB299" s="294">
        <f>BB302/BB85</f>
        <v>12.258351319477338</v>
      </c>
      <c r="BC299" s="241"/>
      <c r="BD299" s="419"/>
      <c r="BE299" s="419"/>
      <c r="BF299" s="419"/>
      <c r="BG299" s="419"/>
      <c r="BH299" s="319"/>
      <c r="BI299" s="368"/>
      <c r="BJ299" s="368"/>
      <c r="BK299" s="419"/>
      <c r="BL299" s="419"/>
      <c r="BM299" s="419"/>
      <c r="BN299" s="419"/>
      <c r="BO299" s="419"/>
      <c r="BP299" s="419"/>
      <c r="BQ299" s="419"/>
      <c r="BR299" s="419"/>
      <c r="BS299" s="533"/>
      <c r="BT299" s="510"/>
      <c r="BU299" s="533"/>
      <c r="BV299" s="510"/>
      <c r="BW299" s="533"/>
      <c r="BX299" s="510"/>
      <c r="BY299" s="533">
        <v>1.1000000000000001</v>
      </c>
      <c r="BZ299" s="510">
        <f>N299-BY299</f>
        <v>-2.7</v>
      </c>
      <c r="CA299" s="533">
        <v>2.2000000000000002</v>
      </c>
      <c r="CB299" s="510">
        <f>P299-CA299</f>
        <v>9.9999999999999645E-2</v>
      </c>
      <c r="CC299" s="533">
        <v>2.6</v>
      </c>
      <c r="CD299" s="510">
        <f>P299-CC299</f>
        <v>-0.30000000000000027</v>
      </c>
      <c r="CE299" s="533">
        <v>2.7</v>
      </c>
      <c r="CF299" s="510">
        <f>Q299-CE299</f>
        <v>0.39999999999999991</v>
      </c>
      <c r="CG299" s="533">
        <v>2.5</v>
      </c>
      <c r="CH299" s="532">
        <f>R299-CG299</f>
        <v>-0.89999999999999991</v>
      </c>
      <c r="CI299" s="533">
        <v>2</v>
      </c>
      <c r="CJ299" s="532">
        <f>R299-CI299</f>
        <v>-0.39999999999999991</v>
      </c>
      <c r="CK299" s="533">
        <v>1</v>
      </c>
      <c r="CL299" s="532">
        <f>T299-CK299</f>
        <v>-3.7</v>
      </c>
      <c r="CM299" s="533">
        <v>0</v>
      </c>
      <c r="CN299" s="532">
        <f>U299-CM299</f>
        <v>-2.9</v>
      </c>
    </row>
    <row r="300" spans="1:95">
      <c r="A300" s="171"/>
      <c r="B300" s="1068" t="s">
        <v>620</v>
      </c>
      <c r="C300" s="965"/>
      <c r="D300" s="279"/>
      <c r="E300" s="279"/>
      <c r="F300" s="279"/>
      <c r="G300" s="279"/>
      <c r="H300" s="279"/>
      <c r="I300" s="279"/>
      <c r="J300" s="279"/>
      <c r="K300" s="279"/>
      <c r="L300" s="279"/>
      <c r="M300" s="279"/>
      <c r="N300" s="266">
        <f t="shared" ref="N300:AV300" si="1444">N299/N78</f>
        <v>-8.4790673025967149E-3</v>
      </c>
      <c r="O300" s="266">
        <f t="shared" si="1444"/>
        <v>1.6201620162016202E-2</v>
      </c>
      <c r="P300" s="266">
        <f t="shared" si="1444"/>
        <v>1.0983763132760267E-2</v>
      </c>
      <c r="Q300" s="266">
        <f t="shared" si="1444"/>
        <v>1.466414380321665E-2</v>
      </c>
      <c r="R300" s="266">
        <f t="shared" si="1444"/>
        <v>7.5793462813832316E-3</v>
      </c>
      <c r="S300" s="266">
        <f t="shared" si="1444"/>
        <v>4.2625745950554137E-3</v>
      </c>
      <c r="T300" s="266">
        <f t="shared" si="1444"/>
        <v>-1.1538461538461539E-2</v>
      </c>
      <c r="U300" s="266">
        <f t="shared" si="1444"/>
        <v>-1.2526997840172785E-2</v>
      </c>
      <c r="V300" s="279"/>
      <c r="W300" s="279"/>
      <c r="X300" s="266">
        <f t="shared" si="1444"/>
        <v>-8.0440304826418282E-3</v>
      </c>
      <c r="Y300" s="263">
        <f>Y299/Y78</f>
        <v>1.1295180722891564E-2</v>
      </c>
      <c r="Z300" s="263">
        <f t="shared" ref="Z300:AF300" si="1445">Z299/Z78</f>
        <v>-3.2596041909196717E-2</v>
      </c>
      <c r="AA300" s="263">
        <f t="shared" si="1445"/>
        <v>-5.3859964093357238E-3</v>
      </c>
      <c r="AB300" s="263">
        <f t="shared" si="1445"/>
        <v>4.7619047619047616E-2</v>
      </c>
      <c r="AC300" s="263">
        <f t="shared" si="1445"/>
        <v>-9.2081031307545101E-3</v>
      </c>
      <c r="AD300" s="263">
        <f t="shared" si="1445"/>
        <v>2.2171253822629966E-2</v>
      </c>
      <c r="AE300" s="263">
        <f t="shared" si="1445"/>
        <v>5.2745664739884388E-2</v>
      </c>
      <c r="AF300" s="263">
        <f t="shared" si="1445"/>
        <v>1.1383537653240546E-2</v>
      </c>
      <c r="AG300" s="1116">
        <f t="shared" si="1444"/>
        <v>3.3536585365853668E-2</v>
      </c>
      <c r="AH300" s="284">
        <f t="shared" si="1444"/>
        <v>3.3623910336239106E-2</v>
      </c>
      <c r="AI300" s="564">
        <f t="shared" si="1444"/>
        <v>-7.6045627376425838E-3</v>
      </c>
      <c r="AJ300" s="284">
        <f t="shared" ref="AJ300:AK300" si="1446">AJ299/AJ78</f>
        <v>1.5063334474495036E-2</v>
      </c>
      <c r="AK300" s="137">
        <f t="shared" si="1446"/>
        <v>-2.3710729104919979E-3</v>
      </c>
      <c r="AL300" s="284">
        <f t="shared" si="1444"/>
        <v>-1.193467336683417E-2</v>
      </c>
      <c r="AM300" s="284">
        <f t="shared" si="1444"/>
        <v>-7.014333638304361E-3</v>
      </c>
      <c r="AN300" s="137">
        <f t="shared" si="1444"/>
        <v>1.0864197530864199E-2</v>
      </c>
      <c r="AO300" s="263">
        <f t="shared" si="1444"/>
        <v>-1.238390092879257E-2</v>
      </c>
      <c r="AP300" s="284">
        <f t="shared" ref="AP300" si="1447">AP299/AP78</f>
        <v>-5.0466818067120868E-4</v>
      </c>
      <c r="AQ300" s="1315">
        <f t="shared" si="1444"/>
        <v>1.6753536857781085E-2</v>
      </c>
      <c r="AR300" s="263">
        <f t="shared" si="1444"/>
        <v>7.0724250577422433E-4</v>
      </c>
      <c r="AS300" s="266">
        <f t="shared" si="1444"/>
        <v>9.2181209092747161E-3</v>
      </c>
      <c r="AT300" s="263">
        <f t="shared" si="1444"/>
        <v>1.8348518769162041E-2</v>
      </c>
      <c r="AU300" s="263">
        <f t="shared" si="1444"/>
        <v>7.9355180415734503E-3</v>
      </c>
      <c r="AV300" s="266">
        <f t="shared" si="1444"/>
        <v>1.3465308916526407E-2</v>
      </c>
      <c r="AW300" s="263">
        <f t="shared" ref="AW300:AY300" si="1448">AW299/AW78</f>
        <v>3.5069187897793286E-2</v>
      </c>
      <c r="AX300" s="263">
        <f t="shared" si="1448"/>
        <v>-2.785502434984649E-3</v>
      </c>
      <c r="AY300" s="266">
        <f t="shared" si="1448"/>
        <v>1.7332137495517361E-2</v>
      </c>
      <c r="AZ300" s="263">
        <f t="shared" ref="AZ300:BB300" si="1449">AZ299/AZ78</f>
        <v>3.846268715711313E-2</v>
      </c>
      <c r="BA300" s="263">
        <f t="shared" si="1449"/>
        <v>-2.4118803612113975E-4</v>
      </c>
      <c r="BB300" s="266">
        <f t="shared" si="1449"/>
        <v>2.02929959286825E-2</v>
      </c>
      <c r="BC300" s="653"/>
      <c r="BD300" s="320"/>
      <c r="BE300" s="320"/>
      <c r="BF300" s="320"/>
      <c r="BG300" s="320"/>
      <c r="BH300" s="318"/>
      <c r="BI300" s="322"/>
      <c r="BJ300" s="322"/>
      <c r="BK300" s="320"/>
      <c r="BL300" s="320"/>
      <c r="BM300" s="320"/>
      <c r="BN300" s="320"/>
      <c r="BO300" s="320"/>
      <c r="BP300" s="320"/>
      <c r="BQ300" s="320"/>
      <c r="BR300" s="320"/>
      <c r="BS300" s="320"/>
      <c r="BT300" s="320"/>
      <c r="BU300" s="320"/>
      <c r="BV300" s="320"/>
      <c r="BW300" s="320"/>
      <c r="BX300" s="320"/>
      <c r="BY300" s="320"/>
      <c r="BZ300" s="320"/>
      <c r="CA300" s="320"/>
      <c r="CB300" s="320"/>
      <c r="CC300" s="320"/>
      <c r="CD300" s="320"/>
      <c r="CE300" s="320"/>
      <c r="CF300" s="320"/>
      <c r="CG300" s="320"/>
      <c r="CH300" s="320"/>
      <c r="CI300" s="320"/>
      <c r="CJ300" s="320"/>
      <c r="CK300" s="320"/>
      <c r="CL300" s="320"/>
      <c r="CM300" s="320"/>
      <c r="CN300" s="320"/>
    </row>
    <row r="301" spans="1:95">
      <c r="A301" s="171"/>
      <c r="B301" s="1068"/>
      <c r="C301" s="965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  <c r="AA301" s="279"/>
      <c r="AB301" s="279"/>
      <c r="AC301" s="279"/>
      <c r="AD301" s="279"/>
      <c r="AE301" s="279"/>
      <c r="AF301" s="279"/>
      <c r="AG301" s="279"/>
      <c r="AH301" s="279"/>
      <c r="AI301" s="179"/>
      <c r="AJ301" s="279"/>
      <c r="AK301" s="179"/>
      <c r="AL301" s="279"/>
      <c r="AM301" s="279"/>
      <c r="AN301" s="179"/>
      <c r="AO301" s="279"/>
      <c r="AP301" s="279"/>
      <c r="AQ301" s="1371"/>
      <c r="AR301" s="279"/>
      <c r="AS301" s="279"/>
      <c r="AT301" s="279"/>
      <c r="AU301" s="279"/>
      <c r="AV301" s="279"/>
      <c r="AW301" s="279"/>
      <c r="AX301" s="279"/>
      <c r="AY301" s="279"/>
      <c r="AZ301" s="279"/>
      <c r="BA301" s="279"/>
      <c r="BB301" s="279"/>
      <c r="BC301" s="179"/>
      <c r="BD301" s="320"/>
      <c r="BE301" s="320"/>
      <c r="BF301" s="320"/>
      <c r="BG301" s="320"/>
      <c r="BH301" s="318"/>
      <c r="BI301" s="322"/>
      <c r="BJ301" s="322"/>
      <c r="BK301" s="320"/>
      <c r="BL301" s="320"/>
      <c r="BM301" s="320"/>
      <c r="BN301" s="320"/>
      <c r="BO301" s="320"/>
      <c r="BP301" s="320"/>
      <c r="BQ301" s="320"/>
      <c r="BR301" s="320"/>
      <c r="BS301" s="320"/>
      <c r="BT301" s="320"/>
      <c r="BU301" s="320"/>
      <c r="BV301" s="320"/>
      <c r="BW301" s="320"/>
      <c r="BX301" s="320"/>
      <c r="BY301" s="320"/>
      <c r="BZ301" s="320"/>
      <c r="CA301" s="320"/>
      <c r="CB301" s="320"/>
      <c r="CC301" s="320"/>
      <c r="CD301" s="320"/>
      <c r="CE301" s="320"/>
      <c r="CF301" s="320"/>
      <c r="CG301" s="320"/>
      <c r="CH301" s="320"/>
      <c r="CI301" s="320"/>
      <c r="CJ301" s="320"/>
      <c r="CK301" s="320"/>
      <c r="CL301" s="320"/>
      <c r="CM301" s="320"/>
      <c r="CN301" s="320"/>
    </row>
    <row r="302" spans="1:95">
      <c r="A302" s="171" t="s">
        <v>750</v>
      </c>
      <c r="B302" s="1069" t="s">
        <v>555</v>
      </c>
      <c r="C302" s="1073"/>
      <c r="D302" s="294"/>
      <c r="E302" s="294"/>
      <c r="F302" s="294"/>
      <c r="G302" s="294"/>
      <c r="H302" s="294"/>
      <c r="I302" s="294"/>
      <c r="J302" s="294"/>
      <c r="K302" s="840">
        <v>-4.9000000000000004</v>
      </c>
      <c r="L302" s="840">
        <v>-2.9</v>
      </c>
      <c r="M302" s="840">
        <f>M59-M270</f>
        <v>-3.4839999999999804</v>
      </c>
      <c r="N302" s="840">
        <v>-1.2</v>
      </c>
      <c r="O302" s="840">
        <v>2.8000000000000003</v>
      </c>
      <c r="P302" s="840">
        <v>1.9</v>
      </c>
      <c r="Q302" s="840">
        <v>2.8</v>
      </c>
      <c r="R302" s="840">
        <v>1.46</v>
      </c>
      <c r="S302" s="840">
        <f>221.2-220.3</f>
        <v>0.89999999999997726</v>
      </c>
      <c r="T302" s="840">
        <f>306.3-262.4-46.4</f>
        <v>-2.4999999999999645</v>
      </c>
      <c r="U302" s="294">
        <f t="shared" ref="U302:X302" si="1450">U293-U296</f>
        <v>-2.5999999999999996</v>
      </c>
      <c r="V302" s="1070">
        <f>236.6-43.7-191.9</f>
        <v>0.99999999999997158</v>
      </c>
      <c r="W302" s="294">
        <f>X302-V302</f>
        <v>-2.6999999999999718</v>
      </c>
      <c r="X302" s="294">
        <f t="shared" si="1450"/>
        <v>-1.7</v>
      </c>
      <c r="Y302" s="1070">
        <f>263-209.3-52.3</f>
        <v>1.3999999999999915</v>
      </c>
      <c r="Z302" s="294">
        <f>AA302-Y302</f>
        <v>-2.8000000000000007</v>
      </c>
      <c r="AA302" s="840">
        <f>(486.5-380.8-107.8)+(16.5-10.8-5)</f>
        <v>-1.4000000000000092</v>
      </c>
      <c r="AB302" s="1070">
        <f>462.8-126.6-329.8</f>
        <v>6.4000000000000341</v>
      </c>
      <c r="AC302" s="294">
        <f>AC293-AC296</f>
        <v>-0.99999999999994316</v>
      </c>
      <c r="AD302" s="840">
        <f>743.1-214.7-523</f>
        <v>5.4000000000000909</v>
      </c>
      <c r="AE302" s="1070">
        <f>420.5-121.1-292.4</f>
        <v>7</v>
      </c>
      <c r="AF302" s="294">
        <f>AF293-AF296</f>
        <v>1.3000000000000682</v>
      </c>
      <c r="AG302" s="840">
        <f>794.6-241.4-544.9</f>
        <v>8.3000000000000682</v>
      </c>
      <c r="AH302" s="1070">
        <f>(479.2-341.3-133)</f>
        <v>4.8999999999999773</v>
      </c>
      <c r="AI302" s="241">
        <f>AJ302-AH302</f>
        <v>-0.79999999999995453</v>
      </c>
      <c r="AJ302" s="1070">
        <f>769-213-551.9</f>
        <v>4.1000000000000227</v>
      </c>
      <c r="AK302" s="1070">
        <f>386.7-92.5-294.6</f>
        <v>-0.40000000000003411</v>
      </c>
      <c r="AL302" s="294">
        <f>AM302-AK302</f>
        <v>-1.6999999999999034</v>
      </c>
      <c r="AM302" s="1070">
        <f>647.2-491.2-158.1</f>
        <v>-2.0999999999999375</v>
      </c>
      <c r="AN302" s="1919">
        <f>419.9-1.9-99.5-316.5</f>
        <v>2</v>
      </c>
      <c r="AO302" s="294">
        <f>AP302-AN302</f>
        <v>-2.1999999999999424</v>
      </c>
      <c r="AP302" s="1070">
        <f>694.1+13.7-4.2-530.3-159.8-13.7</f>
        <v>-0.19999999999994245</v>
      </c>
      <c r="AQ302" s="1758">
        <f>454-107.4-1.7-340.9</f>
        <v>4.0000000000000568</v>
      </c>
      <c r="AR302" s="294">
        <f>AS302-AQ302</f>
        <v>6.1327670714039328E-2</v>
      </c>
      <c r="AS302" s="294">
        <f>AS293-AS296</f>
        <v>4.0613276707140962</v>
      </c>
      <c r="AT302" s="620">
        <f>AT293-AT296</f>
        <v>4.6471570978723538</v>
      </c>
      <c r="AU302" s="294">
        <f>AV302-AT302</f>
        <v>1.7748363208595972</v>
      </c>
      <c r="AV302" s="294">
        <f>AV293-AV296</f>
        <v>6.421993418731951</v>
      </c>
      <c r="AW302" s="620">
        <f>AW293-AW296</f>
        <v>9.7549150425956981</v>
      </c>
      <c r="AX302" s="294">
        <f>AY302-AW302</f>
        <v>-1.0818932953044094</v>
      </c>
      <c r="AY302" s="294">
        <f>AY293-AY296</f>
        <v>8.6730217472912887</v>
      </c>
      <c r="AZ302" s="620">
        <f>AZ293-AZ296</f>
        <v>11.217340641119952</v>
      </c>
      <c r="BA302" s="294">
        <f>BB302-AZ302</f>
        <v>-0.55257499317466774</v>
      </c>
      <c r="BB302" s="294">
        <f>BB293-BB296</f>
        <v>10.664765647945284</v>
      </c>
      <c r="BC302" s="241"/>
      <c r="BD302" s="419"/>
      <c r="BE302" s="419"/>
      <c r="BF302" s="419"/>
      <c r="BG302" s="419"/>
      <c r="BH302" s="319"/>
      <c r="BI302" s="368"/>
      <c r="BJ302" s="368"/>
      <c r="BK302" s="469"/>
      <c r="BL302" s="469"/>
      <c r="BM302" s="469"/>
      <c r="BN302" s="469"/>
      <c r="BO302" s="469"/>
      <c r="BP302" s="469"/>
      <c r="BQ302" s="469"/>
      <c r="BR302" s="469"/>
      <c r="BS302" s="469">
        <f>BS59-BS270</f>
        <v>-1.1000000000000085</v>
      </c>
      <c r="BT302" s="510">
        <f>K302-BS302</f>
        <v>-3.7999999999999918</v>
      </c>
      <c r="BU302" s="469">
        <f>BU59-BU270</f>
        <v>-9.0999999999999943</v>
      </c>
      <c r="BV302" s="510">
        <f>L302-BU302</f>
        <v>6.199999999999994</v>
      </c>
      <c r="BW302" s="469">
        <f>BW59-BW270</f>
        <v>-1.8999999999999915</v>
      </c>
      <c r="BX302" s="510">
        <f>M302-BW302</f>
        <v>-1.583999999999989</v>
      </c>
      <c r="BY302" s="469">
        <f>BY59-BY270</f>
        <v>-0.90000000000000568</v>
      </c>
      <c r="BZ302" s="510">
        <f>N302-BY302</f>
        <v>-0.29999999999999427</v>
      </c>
      <c r="CA302" s="469">
        <f>CA59-CA270</f>
        <v>1.7369999999999948</v>
      </c>
      <c r="CB302" s="510">
        <f>P302-CA302</f>
        <v>0.16300000000000514</v>
      </c>
      <c r="CC302" s="469">
        <f>CC59-CC270</f>
        <v>2.1000000000000085</v>
      </c>
      <c r="CD302" s="510">
        <f>P302-CC302</f>
        <v>-0.20000000000000862</v>
      </c>
      <c r="CE302" s="469">
        <f>CE59-CE270</f>
        <v>2.4000000000000057</v>
      </c>
      <c r="CF302" s="510">
        <f>Q302-CE302</f>
        <v>0.39999999999999414</v>
      </c>
      <c r="CG302" s="469">
        <v>2.2999999999999998</v>
      </c>
      <c r="CH302" s="419">
        <f>R302-CG302</f>
        <v>-0.83999999999999986</v>
      </c>
      <c r="CI302" s="419">
        <f>CI59-CI270</f>
        <v>1.7589999999999861</v>
      </c>
      <c r="CJ302" s="419">
        <f>S302-CI302</f>
        <v>-0.85900000000000887</v>
      </c>
      <c r="CK302" s="533">
        <v>1</v>
      </c>
      <c r="CL302" s="419">
        <f>T302-CK302</f>
        <v>-3.4999999999999645</v>
      </c>
      <c r="CM302" s="533">
        <f>225.8-42-183.7</f>
        <v>0.10000000000002274</v>
      </c>
      <c r="CN302" s="419">
        <f>U302-CM302</f>
        <v>-2.7000000000000224</v>
      </c>
    </row>
    <row r="303" spans="1:95">
      <c r="A303" s="171" t="s">
        <v>915</v>
      </c>
      <c r="B303" s="1068" t="s">
        <v>620</v>
      </c>
      <c r="C303" s="965"/>
      <c r="D303" s="279"/>
      <c r="E303" s="279"/>
      <c r="F303" s="279"/>
      <c r="G303" s="279"/>
      <c r="H303" s="279"/>
      <c r="I303" s="279"/>
      <c r="J303" s="279"/>
      <c r="K303" s="266">
        <f t="shared" ref="K303:AV303" si="1451">K302/K84</f>
        <v>-5.2404175222450305E-2</v>
      </c>
      <c r="L303" s="266">
        <f t="shared" si="1451"/>
        <v>-2.3711795391735187E-2</v>
      </c>
      <c r="M303" s="266">
        <f t="shared" si="1451"/>
        <v>-2.6142025331652427E-2</v>
      </c>
      <c r="N303" s="266">
        <f t="shared" si="1451"/>
        <v>-8.2972632859928241E-3</v>
      </c>
      <c r="O303" s="266">
        <f t="shared" si="1451"/>
        <v>1.6170016170016184E-2</v>
      </c>
      <c r="P303" s="266">
        <f t="shared" si="1451"/>
        <v>1.1337665514998532E-2</v>
      </c>
      <c r="Q303" s="266">
        <f t="shared" si="1451"/>
        <v>1.4665290922708667E-2</v>
      </c>
      <c r="R303" s="266">
        <f t="shared" si="1451"/>
        <v>7.4444217825820969E-3</v>
      </c>
      <c r="S303" s="266">
        <f t="shared" si="1451"/>
        <v>4.1839253587714949E-3</v>
      </c>
      <c r="T303" s="266">
        <f t="shared" si="1451"/>
        <v>-1.1312217194569974E-2</v>
      </c>
      <c r="U303" s="266">
        <f t="shared" si="1451"/>
        <v>-1.2189404594467873E-2</v>
      </c>
      <c r="V303" s="266">
        <f>V302/V84</f>
        <v>8.2169268693506412E-3</v>
      </c>
      <c r="W303" s="266">
        <f>W302/W84</f>
        <v>-2.7081243731193347E-2</v>
      </c>
      <c r="X303" s="266">
        <f t="shared" si="1451"/>
        <v>-7.6784101174345197E-3</v>
      </c>
      <c r="Y303" s="266">
        <f>Y302/Y84</f>
        <v>1.1173184357541856E-2</v>
      </c>
      <c r="Z303" s="266">
        <f>Z302/Z84</f>
        <v>-3.2596041909196717E-2</v>
      </c>
      <c r="AA303" s="266">
        <f t="shared" si="1451"/>
        <v>-6.6287878787879284E-3</v>
      </c>
      <c r="AB303" s="266">
        <f>AB302/AB84</f>
        <v>4.7407407407407662E-2</v>
      </c>
      <c r="AC303" s="266">
        <f>AC302/AC84</f>
        <v>-9.2081031307545101E-3</v>
      </c>
      <c r="AD303" s="266">
        <f t="shared" si="1451"/>
        <v>2.2167487684729405E-2</v>
      </c>
      <c r="AE303" s="266">
        <f>AE302/AE84</f>
        <v>5.3070507960576156E-2</v>
      </c>
      <c r="AF303" s="266">
        <f>AF302/AF84</f>
        <v>1.1383537653240546E-2</v>
      </c>
      <c r="AG303" s="1116">
        <f t="shared" si="1451"/>
        <v>3.3726127590410694E-2</v>
      </c>
      <c r="AH303" s="1116">
        <f>AH302/AH84</f>
        <v>3.3630748112559943E-2</v>
      </c>
      <c r="AI303" s="653">
        <f t="shared" si="1451"/>
        <v>-6.5789473684207079E-3</v>
      </c>
      <c r="AJ303" s="1116">
        <f t="shared" ref="AJ303" si="1452">AJ302/AJ84</f>
        <v>1.5338570894126576E-2</v>
      </c>
      <c r="AK303" s="1116">
        <f>AK302/AK84</f>
        <v>-2.5624599615633129E-3</v>
      </c>
      <c r="AL303" s="1116">
        <f t="shared" si="1451"/>
        <v>-1.1541072640868349E-2</v>
      </c>
      <c r="AM303" s="1116">
        <f t="shared" si="1451"/>
        <v>-6.9215557020433013E-3</v>
      </c>
      <c r="AN303" s="1116">
        <f>AN302/AN84</f>
        <v>1.0863661053775127E-2</v>
      </c>
      <c r="AO303" s="266">
        <f t="shared" si="1451"/>
        <v>-1.2408347433727776E-2</v>
      </c>
      <c r="AP303" s="1116">
        <f t="shared" si="1451"/>
        <v>-5.5340343110111276E-4</v>
      </c>
      <c r="AQ303" s="1380">
        <f>AQ302/AQ84</f>
        <v>1.6736401673640405E-2</v>
      </c>
      <c r="AR303" s="266">
        <f t="shared" si="1451"/>
        <v>3.0423359453616173E-4</v>
      </c>
      <c r="AS303" s="266">
        <f t="shared" si="1451"/>
        <v>9.2181209092747143E-3</v>
      </c>
      <c r="AT303" s="266">
        <f t="shared" si="1451"/>
        <v>1.8348518769162041E-2</v>
      </c>
      <c r="AU303" s="266">
        <f t="shared" si="1451"/>
        <v>7.9355180415734521E-3</v>
      </c>
      <c r="AV303" s="266">
        <f t="shared" si="1451"/>
        <v>1.3465308916526407E-2</v>
      </c>
      <c r="AW303" s="266">
        <f t="shared" ref="AW303:AY303" si="1453">AW302/AW84</f>
        <v>3.5069187897793286E-2</v>
      </c>
      <c r="AX303" s="266">
        <f t="shared" si="1453"/>
        <v>-4.8681484782158073E-3</v>
      </c>
      <c r="AY303" s="266">
        <f t="shared" si="1453"/>
        <v>1.7332137495517357E-2</v>
      </c>
      <c r="AZ303" s="266">
        <f t="shared" ref="AZ303:BB303" si="1454">AZ302/AZ84</f>
        <v>3.8462687157113137E-2</v>
      </c>
      <c r="BA303" s="266">
        <f t="shared" si="1454"/>
        <v>-2.3624705461070756E-3</v>
      </c>
      <c r="BB303" s="266">
        <f t="shared" si="1454"/>
        <v>2.0292995928682504E-2</v>
      </c>
      <c r="BC303" s="653"/>
      <c r="BD303" s="376"/>
      <c r="BE303" s="376"/>
      <c r="BF303" s="376"/>
      <c r="BG303" s="376"/>
      <c r="BH303" s="318"/>
      <c r="BI303" s="322"/>
      <c r="BJ303" s="322"/>
      <c r="BK303" s="376"/>
      <c r="BL303" s="376"/>
      <c r="BM303" s="376"/>
      <c r="BN303" s="376"/>
      <c r="BO303" s="376"/>
      <c r="BP303" s="376"/>
      <c r="BQ303" s="376"/>
      <c r="BR303" s="376"/>
      <c r="BS303" s="376">
        <f t="shared" ref="BS303:CN303" si="1455">BS302/BS84</f>
        <v>-2.2992349818151601E-2</v>
      </c>
      <c r="BT303" s="376">
        <f t="shared" si="1455"/>
        <v>-8.3220183084402335E-2</v>
      </c>
      <c r="BU303" s="376">
        <f t="shared" si="1455"/>
        <v>-0.13582089552238796</v>
      </c>
      <c r="BV303" s="376">
        <f t="shared" si="1455"/>
        <v>0.11211167769700876</v>
      </c>
      <c r="BW303" s="376">
        <f t="shared" si="1455"/>
        <v>-2.4804177545691797E-2</v>
      </c>
      <c r="BX303" s="376">
        <f t="shared" si="1455"/>
        <v>-2.7950310559006045E-2</v>
      </c>
      <c r="BY303" s="376">
        <f t="shared" si="1455"/>
        <v>-1.1826544021025042E-2</v>
      </c>
      <c r="BZ303" s="376">
        <f t="shared" si="1455"/>
        <v>-4.3779003589877324E-3</v>
      </c>
      <c r="CA303" s="376">
        <f t="shared" si="1455"/>
        <v>1.783367556468167E-2</v>
      </c>
      <c r="CB303" s="376">
        <f t="shared" si="1455"/>
        <v>2.1515311510032402E-3</v>
      </c>
      <c r="CC303" s="376">
        <f t="shared" si="1455"/>
        <v>2.2765214751859254E-2</v>
      </c>
      <c r="CD303" s="376">
        <f t="shared" si="1455"/>
        <v>-2.6547380437236469E-3</v>
      </c>
      <c r="CE303" s="376">
        <f t="shared" si="1455"/>
        <v>2.3096243973323893E-2</v>
      </c>
      <c r="CF303" s="376">
        <f t="shared" si="1455"/>
        <v>4.5969614085089013E-3</v>
      </c>
      <c r="CG303" s="376">
        <f t="shared" si="1455"/>
        <v>2.2321428571428568E-2</v>
      </c>
      <c r="CH303" s="376">
        <f t="shared" si="1455"/>
        <v>-9.0244950580146213E-3</v>
      </c>
      <c r="CI303" s="376">
        <f t="shared" si="1455"/>
        <v>1.5169939544470485E-2</v>
      </c>
      <c r="CJ303" s="376">
        <f t="shared" si="1455"/>
        <v>-8.6631167049902123E-3</v>
      </c>
      <c r="CK303" s="376">
        <f t="shared" si="1455"/>
        <v>8.4104289318755188E-3</v>
      </c>
      <c r="CL303" s="376">
        <f t="shared" si="1455"/>
        <v>-3.4280117531831224E-2</v>
      </c>
      <c r="CM303" s="376">
        <f t="shared" si="1455"/>
        <v>8.7719298245633975E-4</v>
      </c>
      <c r="CN303" s="376">
        <f t="shared" si="1455"/>
        <v>-2.7190332326284164E-2</v>
      </c>
    </row>
    <row r="304" spans="1:95">
      <c r="A304" s="171"/>
      <c r="B304" s="1068"/>
      <c r="C304" s="965"/>
      <c r="D304" s="279"/>
      <c r="E304" s="279"/>
      <c r="F304" s="279"/>
      <c r="G304" s="279"/>
      <c r="H304" s="279"/>
      <c r="I304" s="279"/>
      <c r="J304" s="279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  <c r="W304" s="266"/>
      <c r="X304" s="266"/>
      <c r="Y304" s="266"/>
      <c r="Z304" s="266"/>
      <c r="AA304" s="266"/>
      <c r="AB304" s="266"/>
      <c r="AC304" s="266"/>
      <c r="AD304" s="592"/>
      <c r="AE304" s="592"/>
      <c r="AF304" s="592"/>
      <c r="AG304" s="1122"/>
      <c r="AH304" s="1122"/>
      <c r="AI304" s="653"/>
      <c r="AJ304" s="1122"/>
      <c r="AK304" s="1122"/>
      <c r="AL304" s="1116"/>
      <c r="AM304" s="1122"/>
      <c r="AN304" s="1122"/>
      <c r="AO304" s="266"/>
      <c r="AP304" s="1122"/>
      <c r="AQ304" s="1386"/>
      <c r="AR304" s="266"/>
      <c r="AS304" s="265"/>
      <c r="AT304" s="266"/>
      <c r="AU304" s="266"/>
      <c r="AV304" s="265"/>
      <c r="AW304" s="266"/>
      <c r="AX304" s="266"/>
      <c r="AY304" s="265"/>
      <c r="AZ304" s="266"/>
      <c r="BA304" s="266"/>
      <c r="BB304" s="265"/>
      <c r="BC304" s="1333"/>
      <c r="BD304" s="329"/>
      <c r="BE304" s="329"/>
      <c r="BF304" s="329"/>
      <c r="BG304" s="329"/>
      <c r="BH304" s="318"/>
      <c r="BI304" s="322"/>
      <c r="BJ304" s="322"/>
      <c r="BK304" s="376"/>
      <c r="BL304" s="376"/>
      <c r="BM304" s="376"/>
      <c r="BN304" s="376"/>
      <c r="BO304" s="376"/>
      <c r="BP304" s="376"/>
      <c r="BQ304" s="376"/>
      <c r="BR304" s="376"/>
      <c r="BS304" s="376"/>
      <c r="BT304" s="376"/>
      <c r="BU304" s="376"/>
      <c r="BV304" s="376"/>
      <c r="BW304" s="376"/>
      <c r="BX304" s="376"/>
      <c r="BY304" s="376"/>
      <c r="BZ304" s="376"/>
      <c r="CA304" s="376"/>
      <c r="CB304" s="376"/>
      <c r="CC304" s="376"/>
      <c r="CD304" s="376"/>
      <c r="CE304" s="376"/>
      <c r="CF304" s="376"/>
      <c r="CG304" s="376"/>
      <c r="CH304" s="376"/>
      <c r="CI304" s="376"/>
      <c r="CJ304" s="376"/>
      <c r="CK304" s="376"/>
      <c r="CL304" s="376"/>
      <c r="CM304" s="376"/>
      <c r="CN304" s="376"/>
    </row>
    <row r="305" spans="1:94">
      <c r="A305" s="204"/>
      <c r="B305" s="300" t="s">
        <v>703</v>
      </c>
      <c r="C305" s="297"/>
      <c r="D305" s="298"/>
      <c r="E305" s="298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  <c r="AA305" s="299"/>
      <c r="AB305" s="299"/>
      <c r="AC305" s="299"/>
      <c r="AD305" s="299"/>
      <c r="AE305" s="299"/>
      <c r="AF305" s="299"/>
      <c r="AG305" s="299"/>
      <c r="AH305" s="299"/>
      <c r="AI305" s="299"/>
      <c r="AJ305" s="299"/>
      <c r="AK305" s="299"/>
      <c r="AL305" s="299"/>
      <c r="AM305" s="299"/>
      <c r="AN305" s="299"/>
      <c r="AO305" s="299"/>
      <c r="AP305" s="299"/>
      <c r="AQ305" s="1381"/>
      <c r="AR305" s="299"/>
      <c r="AS305" s="299"/>
      <c r="AT305" s="299"/>
      <c r="AU305" s="299"/>
      <c r="AV305" s="299"/>
      <c r="AW305" s="299"/>
      <c r="AX305" s="299"/>
      <c r="AY305" s="299"/>
      <c r="AZ305" s="299"/>
      <c r="BA305" s="299"/>
      <c r="BB305" s="299"/>
      <c r="BC305" s="190"/>
      <c r="BD305" s="316"/>
      <c r="BE305" s="316"/>
      <c r="BF305" s="316"/>
      <c r="BG305" s="316"/>
      <c r="BH305" s="315"/>
      <c r="BI305" s="317"/>
      <c r="BJ305" s="317"/>
      <c r="BK305" s="299"/>
      <c r="BL305" s="299"/>
      <c r="BM305" s="299"/>
      <c r="BN305" s="299"/>
      <c r="BO305" s="299"/>
      <c r="BP305" s="299"/>
      <c r="BQ305" s="299"/>
      <c r="BR305" s="299"/>
      <c r="BS305" s="299"/>
      <c r="BT305" s="299"/>
      <c r="BU305" s="299"/>
      <c r="BV305" s="299"/>
      <c r="BW305" s="299"/>
      <c r="BX305" s="299"/>
      <c r="BY305" s="299"/>
      <c r="BZ305" s="299"/>
      <c r="CA305" s="299"/>
      <c r="CB305" s="299"/>
      <c r="CC305" s="299"/>
      <c r="CD305" s="299"/>
      <c r="CE305" s="299"/>
      <c r="CF305" s="299"/>
      <c r="CG305" s="299"/>
      <c r="CH305" s="299"/>
      <c r="CI305" s="299"/>
      <c r="CJ305" s="299"/>
      <c r="CK305" s="299"/>
      <c r="CL305" s="299"/>
      <c r="CM305" s="299"/>
      <c r="CN305" s="299"/>
    </row>
    <row r="306" spans="1:94">
      <c r="A306" s="204"/>
      <c r="B306" s="184" t="s">
        <v>590</v>
      </c>
      <c r="C306" s="185"/>
      <c r="D306" s="186"/>
      <c r="E306" s="18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 t="s">
        <v>719</v>
      </c>
      <c r="R306" s="196"/>
      <c r="S306" s="196"/>
      <c r="T306" s="196"/>
      <c r="U306" s="196"/>
      <c r="V306" s="196"/>
      <c r="W306" s="196"/>
      <c r="X306" s="196"/>
      <c r="Y306" s="196"/>
      <c r="Z306" s="196"/>
      <c r="AA306" s="196"/>
      <c r="AB306" s="196"/>
      <c r="AC306" s="196"/>
      <c r="AD306" s="196"/>
      <c r="AE306" s="196"/>
      <c r="AF306" s="196"/>
      <c r="AG306" s="196"/>
      <c r="AH306" s="196"/>
      <c r="AI306" s="196"/>
      <c r="AJ306" s="196"/>
      <c r="AK306" s="196"/>
      <c r="AL306" s="196"/>
      <c r="AM306" s="196"/>
      <c r="AN306" s="196"/>
      <c r="AO306" s="196"/>
      <c r="AP306" s="196"/>
      <c r="AQ306" s="1369"/>
      <c r="AR306" s="196"/>
      <c r="AS306" s="196"/>
      <c r="AT306" s="196"/>
      <c r="AU306" s="196"/>
      <c r="AV306" s="196"/>
      <c r="AW306" s="196"/>
      <c r="AX306" s="196"/>
      <c r="AY306" s="196"/>
      <c r="AZ306" s="196"/>
      <c r="BA306" s="196"/>
      <c r="BB306" s="196"/>
      <c r="BC306" s="190"/>
      <c r="BD306" s="316"/>
      <c r="BE306" s="316"/>
      <c r="BF306" s="316"/>
      <c r="BG306" s="316"/>
      <c r="BH306" s="315"/>
      <c r="BI306" s="317"/>
      <c r="BJ306" s="317"/>
      <c r="BK306" s="196"/>
      <c r="BL306" s="196"/>
      <c r="BM306" s="196"/>
      <c r="BN306" s="196"/>
      <c r="BO306" s="196"/>
      <c r="BP306" s="196"/>
      <c r="BQ306" s="196"/>
      <c r="BR306" s="196"/>
      <c r="BS306" s="196"/>
      <c r="BT306" s="196"/>
      <c r="BU306" s="196"/>
      <c r="BV306" s="196"/>
      <c r="BW306" s="196"/>
      <c r="BX306" s="196"/>
      <c r="BY306" s="196"/>
      <c r="BZ306" s="196"/>
      <c r="CA306" s="196"/>
      <c r="CB306" s="196"/>
      <c r="CC306" s="196"/>
      <c r="CD306" s="196"/>
      <c r="CE306" s="196"/>
      <c r="CF306" s="196"/>
      <c r="CG306" s="196"/>
      <c r="CH306" s="196"/>
      <c r="CI306" s="196"/>
      <c r="CJ306" s="196"/>
      <c r="CK306" s="196"/>
      <c r="CL306" s="196"/>
      <c r="CM306" s="196"/>
      <c r="CN306" s="196"/>
    </row>
    <row r="307" spans="1:94">
      <c r="A307" s="204" t="s">
        <v>758</v>
      </c>
      <c r="B307" s="877" t="s">
        <v>781</v>
      </c>
      <c r="C307" s="608"/>
      <c r="D307" s="608"/>
      <c r="E307" s="608"/>
      <c r="F307" s="608"/>
      <c r="G307" s="608"/>
      <c r="H307" s="608"/>
      <c r="I307" s="608"/>
      <c r="J307" s="987"/>
      <c r="K307" s="987"/>
      <c r="L307" s="987"/>
      <c r="M307" s="987"/>
      <c r="N307" s="987"/>
      <c r="O307" s="987"/>
      <c r="P307" s="988"/>
      <c r="Q307" s="1079"/>
      <c r="R307" s="1079"/>
      <c r="S307" s="1079"/>
      <c r="T307" s="1079">
        <f t="shared" ref="T307:AV307" si="1456">T308</f>
        <v>1258.4000000000001</v>
      </c>
      <c r="U307" s="1079">
        <f t="shared" si="1456"/>
        <v>2101.3000000000002</v>
      </c>
      <c r="V307" s="1109">
        <f>V308</f>
        <v>1130.7</v>
      </c>
      <c r="W307" s="1109">
        <f>W308</f>
        <v>1017.2</v>
      </c>
      <c r="X307" s="1110">
        <f t="shared" si="1456"/>
        <v>2147.9</v>
      </c>
      <c r="Y307" s="1109">
        <f>Y308</f>
        <v>1147.5</v>
      </c>
      <c r="Z307" s="1109">
        <f>Z308</f>
        <v>1241.3000000000002</v>
      </c>
      <c r="AA307" s="1110">
        <f t="shared" si="1456"/>
        <v>2388.8000000000002</v>
      </c>
      <c r="AB307" s="1109">
        <f>AB308</f>
        <v>1450.5</v>
      </c>
      <c r="AC307" s="1109">
        <f>AC308</f>
        <v>1265.1999999999998</v>
      </c>
      <c r="AD307" s="1110">
        <f t="shared" si="1456"/>
        <v>2715.7</v>
      </c>
      <c r="AE307" s="1109">
        <f>AE308</f>
        <v>1439.4</v>
      </c>
      <c r="AF307" s="1109">
        <f>AF308</f>
        <v>1350</v>
      </c>
      <c r="AG307" s="1110">
        <f t="shared" si="1456"/>
        <v>2789.4</v>
      </c>
      <c r="AH307" s="1109">
        <f>AH308</f>
        <v>1544</v>
      </c>
      <c r="AI307" s="656">
        <f>AI308</f>
        <v>1269</v>
      </c>
      <c r="AJ307" s="1110">
        <f t="shared" si="1456"/>
        <v>2813</v>
      </c>
      <c r="AK307" s="1272">
        <f>AK308</f>
        <v>1390.9</v>
      </c>
      <c r="AL307" s="585">
        <f>AL308</f>
        <v>1288.1999999999998</v>
      </c>
      <c r="AM307" s="1110">
        <f t="shared" si="1456"/>
        <v>2679.1</v>
      </c>
      <c r="AN307" s="1272">
        <f>AN308</f>
        <v>1518.8</v>
      </c>
      <c r="AO307" s="585">
        <f>AO308</f>
        <v>1346.2</v>
      </c>
      <c r="AP307" s="1716">
        <f t="shared" si="1456"/>
        <v>2865</v>
      </c>
      <c r="AQ307" s="1759">
        <f>AQ308</f>
        <v>1581</v>
      </c>
      <c r="AR307" s="585">
        <f>AR308</f>
        <v>1380.5357042253522</v>
      </c>
      <c r="AS307" s="232">
        <f t="shared" si="1456"/>
        <v>2961.5357042253522</v>
      </c>
      <c r="AT307" s="585">
        <f>AT308</f>
        <v>1628.43</v>
      </c>
      <c r="AU307" s="585">
        <f>AU308</f>
        <v>1421.9517753521129</v>
      </c>
      <c r="AV307" s="232">
        <f t="shared" si="1456"/>
        <v>3050.381775352113</v>
      </c>
      <c r="AW307" s="585">
        <f>AW308</f>
        <v>1685.4250499999998</v>
      </c>
      <c r="AX307" s="585">
        <f>AX308</f>
        <v>1471.720087489437</v>
      </c>
      <c r="AY307" s="232">
        <f t="shared" ref="AY307" si="1457">AY308</f>
        <v>3157.1451374894368</v>
      </c>
      <c r="AZ307" s="585">
        <f>AZ308</f>
        <v>1744.4149267499997</v>
      </c>
      <c r="BA307" s="585">
        <f>BA308</f>
        <v>1523.2302905515671</v>
      </c>
      <c r="BB307" s="232">
        <f t="shared" ref="BB307" si="1458">BB308</f>
        <v>3267.6452173015668</v>
      </c>
      <c r="BC307" s="662"/>
      <c r="BD307" s="380"/>
      <c r="BE307" s="380"/>
      <c r="BF307" s="380"/>
      <c r="BG307" s="380"/>
      <c r="BH307" s="315"/>
      <c r="BI307" s="317"/>
      <c r="BJ307" s="317"/>
      <c r="BK307" s="482"/>
      <c r="BL307" s="482"/>
      <c r="BM307" s="482"/>
      <c r="BN307" s="482"/>
      <c r="BO307" s="483"/>
      <c r="BP307" s="483"/>
      <c r="BQ307" s="483"/>
      <c r="BR307" s="483"/>
      <c r="BS307" s="447"/>
      <c r="BT307" s="480"/>
      <c r="BU307" s="447"/>
      <c r="BV307" s="480"/>
      <c r="BW307" s="447"/>
      <c r="BX307" s="480"/>
      <c r="BY307" s="447"/>
      <c r="BZ307" s="480"/>
      <c r="CA307" s="447"/>
      <c r="CB307" s="480"/>
      <c r="CC307" s="447"/>
      <c r="CD307" s="480"/>
      <c r="CE307" s="447"/>
      <c r="CF307" s="480"/>
      <c r="CG307" s="447"/>
      <c r="CH307" s="480"/>
      <c r="CI307" s="447"/>
      <c r="CJ307" s="480"/>
      <c r="CK307" s="447"/>
      <c r="CL307" s="447"/>
      <c r="CM307" s="447">
        <f t="shared" ref="CM307:CN307" si="1459">CM308</f>
        <v>1099.8</v>
      </c>
      <c r="CN307" s="447">
        <f t="shared" si="1459"/>
        <v>1001.5000000000002</v>
      </c>
    </row>
    <row r="308" spans="1:94">
      <c r="A308" s="204" t="s">
        <v>745</v>
      </c>
      <c r="B308" s="877" t="s">
        <v>718</v>
      </c>
      <c r="C308" s="608"/>
      <c r="D308" s="608"/>
      <c r="E308" s="608"/>
      <c r="F308" s="608"/>
      <c r="G308" s="608"/>
      <c r="H308" s="608"/>
      <c r="I308" s="608"/>
      <c r="J308" s="987"/>
      <c r="K308" s="987"/>
      <c r="L308" s="987"/>
      <c r="M308" s="987"/>
      <c r="N308" s="987"/>
      <c r="O308" s="987"/>
      <c r="P308" s="988"/>
      <c r="Q308" s="1079">
        <v>1915</v>
      </c>
      <c r="R308" s="1079">
        <v>1960</v>
      </c>
      <c r="S308" s="1079">
        <v>2090</v>
      </c>
      <c r="T308" s="1079">
        <v>1258.4000000000001</v>
      </c>
      <c r="U308" s="1079">
        <v>2101.3000000000002</v>
      </c>
      <c r="V308" s="987">
        <v>1130.7</v>
      </c>
      <c r="W308" s="585">
        <f>X308-V308</f>
        <v>1017.2</v>
      </c>
      <c r="X308" s="1079">
        <v>2147.9</v>
      </c>
      <c r="Y308" s="987">
        <v>1147.5</v>
      </c>
      <c r="Z308" s="585">
        <f>AA308-Y308</f>
        <v>1241.3000000000002</v>
      </c>
      <c r="AA308" s="1079">
        <v>2388.8000000000002</v>
      </c>
      <c r="AB308" s="987">
        <v>1450.5</v>
      </c>
      <c r="AC308" s="585">
        <f>AD308-AB308</f>
        <v>1265.1999999999998</v>
      </c>
      <c r="AD308" s="1079">
        <v>2715.7</v>
      </c>
      <c r="AE308" s="987">
        <v>1439.4</v>
      </c>
      <c r="AF308" s="585">
        <f>AG308-AE308</f>
        <v>1350</v>
      </c>
      <c r="AG308" s="1079">
        <v>2789.4</v>
      </c>
      <c r="AH308" s="987">
        <v>1544</v>
      </c>
      <c r="AI308" s="656">
        <f>AJ308-AH308</f>
        <v>1269</v>
      </c>
      <c r="AJ308" s="987">
        <v>2813</v>
      </c>
      <c r="AK308" s="1249">
        <v>1390.9</v>
      </c>
      <c r="AL308" s="585">
        <f>AM308-AK308</f>
        <v>1288.1999999999998</v>
      </c>
      <c r="AM308" s="987">
        <v>2679.1</v>
      </c>
      <c r="AN308" s="1911">
        <v>1518.8</v>
      </c>
      <c r="AO308" s="585">
        <f>AP308-AN308</f>
        <v>1346.2</v>
      </c>
      <c r="AP308" s="1717">
        <v>2865</v>
      </c>
      <c r="AQ308" s="1760">
        <v>1581</v>
      </c>
      <c r="AR308" s="585">
        <f>AS308-AQ308</f>
        <v>1380.5357042253522</v>
      </c>
      <c r="AS308" s="232">
        <f>AP308*(1+AS312)</f>
        <v>2961.5357042253522</v>
      </c>
      <c r="AT308" s="585">
        <f>AQ308*(1+AT312)</f>
        <v>1628.43</v>
      </c>
      <c r="AU308" s="585">
        <f>AV308-AT308</f>
        <v>1421.9517753521129</v>
      </c>
      <c r="AV308" s="232">
        <f>AS308*(1+AV312)</f>
        <v>3050.381775352113</v>
      </c>
      <c r="AW308" s="585">
        <f>AT308*(1+AW312)</f>
        <v>1685.4250499999998</v>
      </c>
      <c r="AX308" s="585">
        <f>AY308-AW308</f>
        <v>1471.720087489437</v>
      </c>
      <c r="AY308" s="232">
        <f>AV308*(1+AY312)</f>
        <v>3157.1451374894368</v>
      </c>
      <c r="AZ308" s="585">
        <f>AW308*(1+AZ312)</f>
        <v>1744.4149267499997</v>
      </c>
      <c r="BA308" s="585">
        <f>BB308-AZ308</f>
        <v>1523.2302905515671</v>
      </c>
      <c r="BB308" s="232">
        <f>AY308*(1+BB312)</f>
        <v>3267.6452173015668</v>
      </c>
      <c r="BC308" s="662"/>
      <c r="BD308" s="380"/>
      <c r="BE308" s="380"/>
      <c r="BF308" s="380"/>
      <c r="BG308" s="380"/>
      <c r="BH308" s="315"/>
      <c r="BI308" s="317"/>
      <c r="BJ308" s="317"/>
      <c r="BK308" s="482"/>
      <c r="BL308" s="482"/>
      <c r="BM308" s="482"/>
      <c r="BN308" s="482"/>
      <c r="BO308" s="483"/>
      <c r="BP308" s="483"/>
      <c r="BQ308" s="483"/>
      <c r="BR308" s="483"/>
      <c r="BS308" s="447"/>
      <c r="BT308" s="480"/>
      <c r="BU308" s="447"/>
      <c r="BV308" s="480"/>
      <c r="BW308" s="447"/>
      <c r="BX308" s="480"/>
      <c r="BY308" s="447"/>
      <c r="BZ308" s="480"/>
      <c r="CA308" s="447"/>
      <c r="CB308" s="480"/>
      <c r="CC308" s="447"/>
      <c r="CD308" s="480"/>
      <c r="CE308" s="447"/>
      <c r="CF308" s="480"/>
      <c r="CG308" s="447"/>
      <c r="CH308" s="480"/>
      <c r="CI308" s="447">
        <f>S308*CI313</f>
        <v>1097.25</v>
      </c>
      <c r="CJ308" s="480">
        <f>S308-CI308</f>
        <v>992.75</v>
      </c>
      <c r="CK308" s="447">
        <v>263.10000000000002</v>
      </c>
      <c r="CL308" s="480">
        <f>T308-CK308</f>
        <v>995.30000000000007</v>
      </c>
      <c r="CM308" s="447">
        <v>1099.8</v>
      </c>
      <c r="CN308" s="480">
        <f>U308-CM308</f>
        <v>1001.5000000000002</v>
      </c>
    </row>
    <row r="309" spans="1:94">
      <c r="A309" s="165" t="s">
        <v>770</v>
      </c>
      <c r="B309" s="989" t="s">
        <v>592</v>
      </c>
      <c r="C309" s="990"/>
      <c r="D309" s="990"/>
      <c r="E309" s="990"/>
      <c r="F309" s="990"/>
      <c r="G309" s="990"/>
      <c r="H309" s="990"/>
      <c r="I309" s="990"/>
      <c r="J309" s="990"/>
      <c r="K309" s="991"/>
      <c r="L309" s="991"/>
      <c r="M309" s="991"/>
      <c r="N309" s="991"/>
      <c r="O309" s="991"/>
      <c r="P309" s="991"/>
      <c r="Q309" s="991">
        <v>0</v>
      </c>
      <c r="R309" s="991">
        <v>0</v>
      </c>
      <c r="S309" s="991">
        <v>0</v>
      </c>
      <c r="T309" s="991">
        <v>-1.2999999999999999E-2</v>
      </c>
      <c r="U309" s="991">
        <v>8.9999999999999993E-3</v>
      </c>
      <c r="V309" s="991">
        <v>1.4999999999999999E-2</v>
      </c>
      <c r="W309" s="586">
        <f>(X308*X309-V308*V309)/W308</f>
        <v>2.3305151395988984E-3</v>
      </c>
      <c r="X309" s="991">
        <v>8.9999999999999993E-3</v>
      </c>
      <c r="Y309" s="991">
        <v>6.0000000000000001E-3</v>
      </c>
      <c r="Z309" s="586">
        <f>AA309*2-Y309</f>
        <v>0.21</v>
      </c>
      <c r="AA309" s="991">
        <v>0.108</v>
      </c>
      <c r="AB309" s="991">
        <v>0.26400000000000001</v>
      </c>
      <c r="AC309" s="586">
        <f>(AD309*2)-AB309</f>
        <v>1.0000000000000009E-2</v>
      </c>
      <c r="AD309" s="991">
        <v>0.13700000000000001</v>
      </c>
      <c r="AE309" s="991">
        <v>-1.2999999999999999E-2</v>
      </c>
      <c r="AF309" s="586">
        <f>(AG309*2)-AE309</f>
        <v>6.7000000000000004E-2</v>
      </c>
      <c r="AG309" s="991">
        <v>2.7E-2</v>
      </c>
      <c r="AH309" s="1250">
        <v>7.2999999999999995E-2</v>
      </c>
      <c r="AI309" s="657">
        <f>2*AJ309-AH309</f>
        <v>-5.6999999999999995E-2</v>
      </c>
      <c r="AJ309" s="991">
        <v>8.0000000000000002E-3</v>
      </c>
      <c r="AK309" s="1250">
        <v>-9.9000000000000005E-2</v>
      </c>
      <c r="AL309" s="657">
        <f>2*AM309-AK309</f>
        <v>3.0000000000000027E-3</v>
      </c>
      <c r="AM309" s="991">
        <v>-4.8000000000000001E-2</v>
      </c>
      <c r="AN309" s="1912">
        <v>8.7999999999999995E-2</v>
      </c>
      <c r="AO309" s="657">
        <f>2*AP309-AN309</f>
        <v>4.200000000000001E-2</v>
      </c>
      <c r="AP309" s="991">
        <v>6.5000000000000002E-2</v>
      </c>
      <c r="AQ309" s="1926">
        <v>0.04</v>
      </c>
      <c r="AR309" s="657">
        <f>2*AS309-AQ309</f>
        <v>2.5000000000000001E-2</v>
      </c>
      <c r="AS309" s="230">
        <v>3.2500000000000001E-2</v>
      </c>
      <c r="AT309" s="626">
        <v>0.03</v>
      </c>
      <c r="AU309" s="657">
        <f>2*AV309-AT309</f>
        <v>0.03</v>
      </c>
      <c r="AV309" s="230">
        <f>+AT309</f>
        <v>0.03</v>
      </c>
      <c r="AW309" s="626">
        <v>3.5000000000000003E-2</v>
      </c>
      <c r="AX309" s="657">
        <f>2*AY309-AW309</f>
        <v>3.5000000000000003E-2</v>
      </c>
      <c r="AY309" s="230">
        <v>3.5000000000000003E-2</v>
      </c>
      <c r="AZ309" s="626">
        <f>+AY309</f>
        <v>3.5000000000000003E-2</v>
      </c>
      <c r="BA309" s="657">
        <f>2*BB309-AZ309</f>
        <v>3.5000000000000003E-2</v>
      </c>
      <c r="BB309" s="230">
        <f>+AZ309</f>
        <v>3.5000000000000003E-2</v>
      </c>
      <c r="BC309" s="1336"/>
      <c r="BD309" s="381"/>
      <c r="BE309" s="381"/>
      <c r="BF309" s="381"/>
      <c r="BG309" s="381"/>
      <c r="BH309" s="378"/>
      <c r="BI309" s="429"/>
      <c r="BJ309" s="379"/>
      <c r="BK309" s="448"/>
      <c r="BL309" s="448"/>
      <c r="BM309" s="448"/>
      <c r="BN309" s="448"/>
      <c r="BO309" s="448"/>
      <c r="BP309" s="448"/>
      <c r="BQ309" s="448"/>
      <c r="BR309" s="448"/>
      <c r="BS309" s="484"/>
      <c r="BT309" s="485"/>
      <c r="BU309" s="484"/>
      <c r="BV309" s="485"/>
      <c r="BW309" s="484"/>
      <c r="BX309" s="485"/>
      <c r="BY309" s="484"/>
      <c r="BZ309" s="485"/>
      <c r="CA309" s="484"/>
      <c r="CB309" s="485"/>
      <c r="CC309" s="484"/>
      <c r="CD309" s="485"/>
      <c r="CE309" s="484"/>
      <c r="CF309" s="485"/>
      <c r="CG309" s="484"/>
      <c r="CH309" s="485"/>
      <c r="CI309" s="449"/>
      <c r="CJ309" s="485"/>
      <c r="CK309" s="449"/>
      <c r="CL309" s="449"/>
      <c r="CM309" s="449">
        <v>1.7999999999999999E-2</v>
      </c>
      <c r="CN309" s="449">
        <f>U309*2-CM309</f>
        <v>0</v>
      </c>
      <c r="CP309" s="1107"/>
    </row>
    <row r="310" spans="1:94">
      <c r="A310" s="165" t="s">
        <v>821</v>
      </c>
      <c r="B310" s="589" t="s">
        <v>593</v>
      </c>
      <c r="C310" s="589"/>
      <c r="D310" s="589"/>
      <c r="E310" s="589"/>
      <c r="F310" s="589"/>
      <c r="G310" s="589"/>
      <c r="H310" s="589"/>
      <c r="I310" s="589"/>
      <c r="J310" s="589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>
        <f>T325</f>
        <v>4.9504950495049549E-3</v>
      </c>
      <c r="U310" s="263">
        <f>U325</f>
        <v>9.8522167487684609E-3</v>
      </c>
      <c r="V310" s="263">
        <f>V325</f>
        <v>9.7087378640776656E-3</v>
      </c>
      <c r="W310" s="263">
        <f>W325</f>
        <v>2.4390243902439046E-2</v>
      </c>
      <c r="X310" s="263">
        <f t="shared" ref="X310:AV310" si="1460">X325</f>
        <v>1.9512195121951237E-2</v>
      </c>
      <c r="Y310" s="263">
        <f>Y325</f>
        <v>9.6153846153845812E-3</v>
      </c>
      <c r="Z310" s="263">
        <f>Z325</f>
        <v>0</v>
      </c>
      <c r="AA310" s="263">
        <f t="shared" si="1460"/>
        <v>4.7846889952152249E-3</v>
      </c>
      <c r="AB310" s="263">
        <f>AB325</f>
        <v>0</v>
      </c>
      <c r="AC310" s="263">
        <f>AC325</f>
        <v>0</v>
      </c>
      <c r="AD310" s="263">
        <f t="shared" si="1460"/>
        <v>0</v>
      </c>
      <c r="AE310" s="263">
        <f>AE325</f>
        <v>4.761904761904745E-3</v>
      </c>
      <c r="AF310" s="263">
        <f>AF325</f>
        <v>4.7393364928909332E-3</v>
      </c>
      <c r="AG310" s="284">
        <f t="shared" si="1460"/>
        <v>4.761904761904745E-3</v>
      </c>
      <c r="AH310" s="284">
        <f>AH325</f>
        <v>4.7393364928909332E-3</v>
      </c>
      <c r="AI310" s="657">
        <f t="shared" si="1460"/>
        <v>0</v>
      </c>
      <c r="AJ310" s="284">
        <f t="shared" ref="AJ310" si="1461">AJ325</f>
        <v>4.7393364928909332E-3</v>
      </c>
      <c r="AK310" s="137">
        <f>AK325</f>
        <v>0</v>
      </c>
      <c r="AL310" s="657">
        <f t="shared" ref="AL310:AM310" si="1462">AL325</f>
        <v>0</v>
      </c>
      <c r="AM310" s="284">
        <f t="shared" si="1462"/>
        <v>0</v>
      </c>
      <c r="AN310" s="137">
        <f t="shared" si="1460"/>
        <v>4.7169811320755262E-3</v>
      </c>
      <c r="AO310" s="657">
        <f t="shared" ref="AO310:AP310" si="1463">AO325</f>
        <v>9.4339622641510523E-3</v>
      </c>
      <c r="AP310" s="284">
        <f t="shared" si="1463"/>
        <v>4.7169811320755262E-3</v>
      </c>
      <c r="AQ310" s="1376">
        <f t="shared" ref="AQ310" si="1464">AQ325</f>
        <v>4.6948356807512415E-3</v>
      </c>
      <c r="AR310" s="657">
        <f t="shared" ref="AR310" si="1465">AR325</f>
        <v>0</v>
      </c>
      <c r="AS310" s="193">
        <f t="shared" si="1460"/>
        <v>4.6948356807512415E-3</v>
      </c>
      <c r="AT310" s="263">
        <f t="shared" si="1460"/>
        <v>0</v>
      </c>
      <c r="AU310" s="657">
        <f t="shared" si="1460"/>
        <v>0</v>
      </c>
      <c r="AV310" s="193">
        <f t="shared" si="1460"/>
        <v>0</v>
      </c>
      <c r="AW310" s="263">
        <f t="shared" ref="AW310:AY310" si="1466">AW325</f>
        <v>0</v>
      </c>
      <c r="AX310" s="657">
        <f t="shared" si="1466"/>
        <v>0</v>
      </c>
      <c r="AY310" s="193">
        <f t="shared" si="1466"/>
        <v>0</v>
      </c>
      <c r="AZ310" s="263">
        <f t="shared" ref="AZ310:BB310" si="1467">AZ325</f>
        <v>0</v>
      </c>
      <c r="BA310" s="657">
        <f t="shared" si="1467"/>
        <v>0</v>
      </c>
      <c r="BB310" s="193">
        <f t="shared" si="1467"/>
        <v>0</v>
      </c>
      <c r="BC310" s="564"/>
      <c r="BD310" s="331"/>
      <c r="BE310" s="331"/>
      <c r="BF310" s="331"/>
      <c r="BG310" s="331"/>
      <c r="BH310" s="315"/>
      <c r="BI310" s="317"/>
      <c r="BJ310" s="317"/>
      <c r="BK310" s="450"/>
      <c r="BL310" s="450"/>
      <c r="BM310" s="450"/>
      <c r="BN310" s="450"/>
      <c r="BO310" s="450"/>
      <c r="BP310" s="450"/>
      <c r="BQ310" s="450"/>
      <c r="BR310" s="450"/>
      <c r="BS310" s="331"/>
      <c r="BT310" s="331"/>
      <c r="BU310" s="331"/>
      <c r="BV310" s="331"/>
      <c r="BW310" s="331"/>
      <c r="BX310" s="331"/>
      <c r="BY310" s="331"/>
      <c r="BZ310" s="331"/>
      <c r="CA310" s="331"/>
      <c r="CB310" s="331"/>
      <c r="CC310" s="331"/>
      <c r="CD310" s="331"/>
      <c r="CE310" s="331"/>
      <c r="CF310" s="331"/>
      <c r="CG310" s="331"/>
      <c r="CH310" s="331"/>
      <c r="CI310" s="331"/>
      <c r="CJ310" s="331"/>
      <c r="CK310" s="331"/>
      <c r="CL310" s="331"/>
      <c r="CM310" s="331">
        <f t="shared" ref="CM310:CN310" si="1468">CM325</f>
        <v>9.8039215686274161E-3</v>
      </c>
      <c r="CN310" s="331">
        <f t="shared" si="1468"/>
        <v>9.8522167487684609E-3</v>
      </c>
      <c r="CP310" s="540"/>
    </row>
    <row r="311" spans="1:94">
      <c r="A311" s="165"/>
      <c r="B311" s="589" t="s">
        <v>672</v>
      </c>
      <c r="C311" s="587"/>
      <c r="D311" s="587"/>
      <c r="E311" s="587"/>
      <c r="F311" s="587"/>
      <c r="G311" s="587"/>
      <c r="H311" s="587"/>
      <c r="I311" s="587"/>
      <c r="J311" s="587"/>
      <c r="K311" s="992"/>
      <c r="L311" s="992"/>
      <c r="M311" s="992"/>
      <c r="N311" s="992"/>
      <c r="O311" s="992"/>
      <c r="P311" s="992"/>
      <c r="Q311" s="992"/>
      <c r="R311" s="992"/>
      <c r="S311" s="992"/>
      <c r="T311" s="992">
        <v>0</v>
      </c>
      <c r="U311" s="992">
        <v>-5.0000000000000001E-3</v>
      </c>
      <c r="V311" s="587">
        <f>V312-V310-V309</f>
        <v>3.3872795936419481E-3</v>
      </c>
      <c r="W311" s="587">
        <f>W312-W310-W309</f>
        <v>-1.10442737699463E-2</v>
      </c>
      <c r="X311" s="992">
        <v>0</v>
      </c>
      <c r="Y311" s="587">
        <f>Y312-Y310-Y309</f>
        <v>-7.5733208155592292E-4</v>
      </c>
      <c r="Z311" s="587">
        <f>Z312-Z310-Z309</f>
        <v>1.0310656704679538E-2</v>
      </c>
      <c r="AA311" s="992">
        <f>AA312-AA309-AA310</f>
        <v>-6.2862958835276095E-4</v>
      </c>
      <c r="AB311" s="587">
        <f>AB312-AB310-AB309</f>
        <v>5.2287581699284047E-5</v>
      </c>
      <c r="AC311" s="587">
        <f>AC312-SUM(AC309:AC310)</f>
        <v>9.2540078949485682E-3</v>
      </c>
      <c r="AD311" s="992">
        <f>AD312-AD309-AD310</f>
        <v>-1.5304755525802349E-4</v>
      </c>
      <c r="AE311" s="587">
        <f>AE312-AE310-AE309</f>
        <v>5.855616289950228E-4</v>
      </c>
      <c r="AF311" s="587">
        <f>AF312-SUM(AF309:AF310)</f>
        <v>-4.714360204557011E-3</v>
      </c>
      <c r="AG311" s="992">
        <f>AG312-AG309-AG310</f>
        <v>-4.6234137651083064E-3</v>
      </c>
      <c r="AH311" s="587">
        <f>AH312-AH310-AH309</f>
        <v>-5.070168784123516E-3</v>
      </c>
      <c r="AI311" s="657">
        <f>AI312-AI309-AI310</f>
        <v>-3.0000000000000582E-3</v>
      </c>
      <c r="AJ311" s="992">
        <f>AJ312-AJ309-AJ310</f>
        <v>-4.2787356468307822E-3</v>
      </c>
      <c r="AK311" s="660">
        <f>AK312-AK310-AK309</f>
        <v>-1.5803108808284949E-4</v>
      </c>
      <c r="AL311" s="657">
        <f>AL312-AL309-AL310</f>
        <v>1.2130023640661736E-2</v>
      </c>
      <c r="AM311" s="992">
        <f>AM312-AM309-AM310</f>
        <v>3.9957340917169681E-4</v>
      </c>
      <c r="AN311" s="1635">
        <v>-2.5000000000000001E-3</v>
      </c>
      <c r="AO311" s="657">
        <f>AO312-AO309-AO310</f>
        <v>-6.4098976779065342E-3</v>
      </c>
      <c r="AP311" s="992">
        <f>AP312-AP309-AP310</f>
        <v>-3.2800722292686268E-4</v>
      </c>
      <c r="AQ311" s="1642">
        <f>AQ312-AQ309-AQ310</f>
        <v>-3.741451430026875E-3</v>
      </c>
      <c r="AR311" s="657">
        <f>AR312-AR309-AR310</f>
        <v>5.0564865945048471E-4</v>
      </c>
      <c r="AS311" s="230">
        <v>-3.5000000000000001E-3</v>
      </c>
      <c r="AT311" s="627">
        <v>0</v>
      </c>
      <c r="AU311" s="657">
        <f>AU312-AU309-AU310</f>
        <v>2.7755575615628914E-17</v>
      </c>
      <c r="AV311" s="230">
        <v>0</v>
      </c>
      <c r="AW311" s="627">
        <f>AT311</f>
        <v>0</v>
      </c>
      <c r="AX311" s="657">
        <f>AX312-AX309-AX310</f>
        <v>1.3877787807814457E-16</v>
      </c>
      <c r="AY311" s="230">
        <v>0</v>
      </c>
      <c r="AZ311" s="627">
        <f>AW311</f>
        <v>0</v>
      </c>
      <c r="BA311" s="657">
        <f>BA312-BA309-BA310</f>
        <v>-8.3266726846886741E-17</v>
      </c>
      <c r="BB311" s="230">
        <v>0</v>
      </c>
      <c r="BC311" s="1336"/>
      <c r="BD311" s="381"/>
      <c r="BE311" s="381"/>
      <c r="BF311" s="381"/>
      <c r="BG311" s="381"/>
      <c r="BH311" s="315"/>
      <c r="BI311" s="317"/>
      <c r="BJ311" s="317"/>
      <c r="BK311" s="390"/>
      <c r="BL311" s="390"/>
      <c r="BM311" s="390"/>
      <c r="BN311" s="390"/>
      <c r="BO311" s="390"/>
      <c r="BP311" s="390"/>
      <c r="BQ311" s="390"/>
      <c r="BR311" s="390"/>
      <c r="BS311" s="390"/>
      <c r="BT311" s="390"/>
      <c r="BU311" s="390"/>
      <c r="BV311" s="390"/>
      <c r="BW311" s="390"/>
      <c r="BX311" s="390"/>
      <c r="BY311" s="390"/>
      <c r="BZ311" s="390"/>
      <c r="CA311" s="390"/>
      <c r="CB311" s="390"/>
      <c r="CC311" s="390"/>
      <c r="CD311" s="390"/>
      <c r="CE311" s="390"/>
      <c r="CF311" s="390"/>
      <c r="CG311" s="390"/>
      <c r="CH311" s="390"/>
      <c r="CI311" s="390"/>
      <c r="CJ311" s="390"/>
      <c r="CK311" s="390"/>
      <c r="CL311" s="390"/>
      <c r="CM311" s="390">
        <f t="shared" ref="CM311:CN311" si="1469">CM312-CM310-CM309</f>
        <v>-3.8039215686274143E-3</v>
      </c>
      <c r="CN311" s="390">
        <f t="shared" si="1469"/>
        <v>-3.6229391440261161E-3</v>
      </c>
    </row>
    <row r="312" spans="1:94">
      <c r="A312" s="165" t="s">
        <v>822</v>
      </c>
      <c r="B312" s="993" t="s">
        <v>591</v>
      </c>
      <c r="C312" s="994"/>
      <c r="D312" s="994"/>
      <c r="E312" s="994"/>
      <c r="F312" s="994"/>
      <c r="G312" s="994"/>
      <c r="H312" s="994"/>
      <c r="I312" s="994"/>
      <c r="J312" s="994"/>
      <c r="K312" s="588"/>
      <c r="L312" s="588"/>
      <c r="M312" s="588"/>
      <c r="N312" s="588"/>
      <c r="O312" s="588"/>
      <c r="P312" s="588"/>
      <c r="Q312" s="588"/>
      <c r="R312" s="588">
        <f>R308/Q308-1</f>
        <v>2.3498694516971286E-2</v>
      </c>
      <c r="S312" s="588">
        <f>S308/R308-1</f>
        <v>6.6326530612244916E-2</v>
      </c>
      <c r="T312" s="588">
        <f>SUM(T309:T311)</f>
        <v>-8.0495049504950445E-3</v>
      </c>
      <c r="U312" s="588">
        <f>SUM(U309:U311)</f>
        <v>1.3852216748768461E-2</v>
      </c>
      <c r="V312" s="588">
        <f>V308/CM308-1</f>
        <v>2.8096017457719613E-2</v>
      </c>
      <c r="W312" s="588">
        <f>W308/CN308-1</f>
        <v>1.5676485272091645E-2</v>
      </c>
      <c r="X312" s="588">
        <f t="shared" ref="X312:AM312" si="1470">X308/U308-1</f>
        <v>2.2176747727597146E-2</v>
      </c>
      <c r="Y312" s="588">
        <f t="shared" si="1470"/>
        <v>1.4858052533828658E-2</v>
      </c>
      <c r="Z312" s="588">
        <f t="shared" si="1470"/>
        <v>0.22031065670467953</v>
      </c>
      <c r="AA312" s="588">
        <f t="shared" si="1470"/>
        <v>0.11215605940686246</v>
      </c>
      <c r="AB312" s="588">
        <f t="shared" si="1470"/>
        <v>0.2640522875816993</v>
      </c>
      <c r="AC312" s="588">
        <f t="shared" si="1470"/>
        <v>1.9254007894948577E-2</v>
      </c>
      <c r="AD312" s="588">
        <f t="shared" si="1470"/>
        <v>0.13684695244474199</v>
      </c>
      <c r="AE312" s="588">
        <f t="shared" si="1470"/>
        <v>-7.6525336091002316E-3</v>
      </c>
      <c r="AF312" s="588">
        <f t="shared" si="1470"/>
        <v>6.7024976288333926E-2</v>
      </c>
      <c r="AG312" s="1121">
        <f t="shared" si="1470"/>
        <v>2.7138490996796438E-2</v>
      </c>
      <c r="AH312" s="1194">
        <f t="shared" si="1470"/>
        <v>7.2669167708767413E-2</v>
      </c>
      <c r="AI312" s="658">
        <f>AI308/AF308-1</f>
        <v>-6.0000000000000053E-2</v>
      </c>
      <c r="AJ312" s="1194">
        <f t="shared" si="1470"/>
        <v>8.4606008460601512E-3</v>
      </c>
      <c r="AK312" s="1251">
        <f t="shared" si="1470"/>
        <v>-9.9158031088082854E-2</v>
      </c>
      <c r="AL312" s="1251">
        <f>AL308/AI308-1</f>
        <v>1.5130023640661738E-2</v>
      </c>
      <c r="AM312" s="1584">
        <f t="shared" si="1470"/>
        <v>-4.7600426590828304E-2</v>
      </c>
      <c r="AN312" s="1631">
        <f>SUM(AN309:AN311)</f>
        <v>9.0216981132075519E-2</v>
      </c>
      <c r="AO312" s="658">
        <f>AO308/AL308-1</f>
        <v>4.5024064586244528E-2</v>
      </c>
      <c r="AP312" s="1584">
        <f t="shared" ref="AP312:AQ312" si="1471">AP308/AM308-1</f>
        <v>6.9388973909148666E-2</v>
      </c>
      <c r="AQ312" s="1597">
        <f t="shared" si="1471"/>
        <v>4.0953384250724367E-2</v>
      </c>
      <c r="AR312" s="658">
        <f>AR308/AO308-1</f>
        <v>2.5505648659450486E-2</v>
      </c>
      <c r="AS312" s="192">
        <f>SUM(AS309:AS311)</f>
        <v>3.3694835680751239E-2</v>
      </c>
      <c r="AT312" s="588">
        <f t="shared" ref="AT312" si="1472">SUM(AT309:AT311)</f>
        <v>0.03</v>
      </c>
      <c r="AU312" s="658">
        <f>AU308/AR308-1</f>
        <v>3.0000000000000027E-2</v>
      </c>
      <c r="AV312" s="192">
        <f>SUM(AV309:AV311)</f>
        <v>0.03</v>
      </c>
      <c r="AW312" s="588">
        <f t="shared" ref="AW312" si="1473">SUM(AW309:AW311)</f>
        <v>3.5000000000000003E-2</v>
      </c>
      <c r="AX312" s="658">
        <f>AX308/AU308-1</f>
        <v>3.5000000000000142E-2</v>
      </c>
      <c r="AY312" s="192">
        <f>SUM(AY309:AY311)</f>
        <v>3.5000000000000003E-2</v>
      </c>
      <c r="AZ312" s="588">
        <f t="shared" ref="AZ312" si="1474">SUM(AZ309:AZ311)</f>
        <v>3.5000000000000003E-2</v>
      </c>
      <c r="BA312" s="658">
        <f>BA308/AX308-1</f>
        <v>3.499999999999992E-2</v>
      </c>
      <c r="BB312" s="192">
        <f>SUM(BB309:BB311)</f>
        <v>3.5000000000000003E-2</v>
      </c>
      <c r="BC312" s="137"/>
      <c r="BD312" s="359"/>
      <c r="BE312" s="359"/>
      <c r="BF312" s="359"/>
      <c r="BG312" s="359"/>
      <c r="BH312" s="315"/>
      <c r="BI312" s="317"/>
      <c r="BJ312" s="317"/>
      <c r="BK312" s="385"/>
      <c r="BL312" s="385"/>
      <c r="BM312" s="385"/>
      <c r="BN312" s="385"/>
      <c r="BO312" s="385"/>
      <c r="BP312" s="385"/>
      <c r="BQ312" s="385"/>
      <c r="BR312" s="385"/>
      <c r="BS312" s="385"/>
      <c r="BT312" s="385"/>
      <c r="BU312" s="385"/>
      <c r="BV312" s="385"/>
      <c r="BW312" s="385"/>
      <c r="BX312" s="385"/>
      <c r="BY312" s="385"/>
      <c r="BZ312" s="385"/>
      <c r="CA312" s="385"/>
      <c r="CB312" s="385"/>
      <c r="CC312" s="385"/>
      <c r="CD312" s="385"/>
      <c r="CE312" s="385"/>
      <c r="CF312" s="385"/>
      <c r="CG312" s="385"/>
      <c r="CH312" s="385"/>
      <c r="CI312" s="385"/>
      <c r="CJ312" s="385"/>
      <c r="CK312" s="385">
        <v>0</v>
      </c>
      <c r="CL312" s="385">
        <v>0</v>
      </c>
      <c r="CM312" s="385">
        <v>2.4E-2</v>
      </c>
      <c r="CN312" s="385">
        <f t="shared" ref="CN312" si="1475">CN308/CL308-1</f>
        <v>6.2292776047423448E-3</v>
      </c>
    </row>
    <row r="313" spans="1:94">
      <c r="A313" s="165"/>
      <c r="B313" s="589" t="s">
        <v>732</v>
      </c>
      <c r="C313" s="581"/>
      <c r="D313" s="581"/>
      <c r="E313" s="581"/>
      <c r="F313" s="581"/>
      <c r="G313" s="581"/>
      <c r="H313" s="581"/>
      <c r="I313" s="581"/>
      <c r="J313" s="581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>
        <f>V308/X308</f>
        <v>0.52642115554727875</v>
      </c>
      <c r="W313" s="284">
        <f>1-V313</f>
        <v>0.47357884445272125</v>
      </c>
      <c r="X313" s="284"/>
      <c r="Y313" s="284">
        <f>Y308/AA308</f>
        <v>0.48036671131949094</v>
      </c>
      <c r="Z313" s="284">
        <f>1-Y313</f>
        <v>0.51963328868050906</v>
      </c>
      <c r="AA313" s="284"/>
      <c r="AB313" s="284">
        <f>AB308/AD308</f>
        <v>0.53411643406856435</v>
      </c>
      <c r="AC313" s="284">
        <f>1-AB313</f>
        <v>0.46588356593143565</v>
      </c>
      <c r="AD313" s="284"/>
      <c r="AE313" s="284">
        <f>AE308/AG308</f>
        <v>0.51602495160249517</v>
      </c>
      <c r="AF313" s="284">
        <f>1-AE313</f>
        <v>0.48397504839750483</v>
      </c>
      <c r="AG313" s="284"/>
      <c r="AH313" s="284">
        <f>AH308/AJ308</f>
        <v>0.54888019907571983</v>
      </c>
      <c r="AI313" s="137">
        <f>1-AH313</f>
        <v>0.45111980092428017</v>
      </c>
      <c r="AJ313" s="284"/>
      <c r="AK313" s="137">
        <f>AK308/AM308</f>
        <v>0.51916688440147818</v>
      </c>
      <c r="AL313" s="137">
        <f>1-AK313</f>
        <v>0.48083311559852182</v>
      </c>
      <c r="AM313" s="284"/>
      <c r="AN313" s="137">
        <f>AN308/AP308</f>
        <v>0.53012216404886559</v>
      </c>
      <c r="AO313" s="137">
        <f>1-AN313</f>
        <v>0.46987783595113441</v>
      </c>
      <c r="AP313" s="284"/>
      <c r="AQ313" s="1315">
        <f>AQ308/AS308</f>
        <v>0.53384465287530325</v>
      </c>
      <c r="AR313" s="137">
        <f>1-AQ313</f>
        <v>0.46615534712469675</v>
      </c>
      <c r="AS313" s="229"/>
      <c r="AT313" s="284">
        <f>AT308/AV308</f>
        <v>0.53384465287530325</v>
      </c>
      <c r="AU313" s="137">
        <f>1-AT313</f>
        <v>0.46615534712469675</v>
      </c>
      <c r="AV313" s="229"/>
      <c r="AW313" s="284">
        <f>AW308/AY308</f>
        <v>0.53384465287530325</v>
      </c>
      <c r="AX313" s="137">
        <f>1-AW313</f>
        <v>0.46615534712469675</v>
      </c>
      <c r="AY313" s="229"/>
      <c r="AZ313" s="284">
        <f>AZ308/BB308</f>
        <v>0.53384465287530325</v>
      </c>
      <c r="BA313" s="137">
        <f>1-AZ313</f>
        <v>0.46615534712469675</v>
      </c>
      <c r="BB313" s="229"/>
      <c r="BC313" s="137"/>
      <c r="BD313" s="359"/>
      <c r="BE313" s="359"/>
      <c r="BF313" s="359"/>
      <c r="BG313" s="359"/>
      <c r="BH313" s="315"/>
      <c r="BI313" s="317"/>
      <c r="BJ313" s="317"/>
      <c r="BK313" s="359"/>
      <c r="BL313" s="359"/>
      <c r="BM313" s="359"/>
      <c r="BN313" s="359"/>
      <c r="BO313" s="359"/>
      <c r="BP313" s="359"/>
      <c r="BQ313" s="359"/>
      <c r="BR313" s="359"/>
      <c r="BS313" s="359"/>
      <c r="BT313" s="359"/>
      <c r="BU313" s="359"/>
      <c r="BV313" s="359"/>
      <c r="BW313" s="359"/>
      <c r="BX313" s="359"/>
      <c r="BY313" s="359"/>
      <c r="BZ313" s="359"/>
      <c r="CA313" s="359"/>
      <c r="CB313" s="359"/>
      <c r="CC313" s="359"/>
      <c r="CD313" s="359"/>
      <c r="CE313" s="359"/>
      <c r="CF313" s="359"/>
      <c r="CG313" s="359"/>
      <c r="CH313" s="359"/>
      <c r="CI313" s="486">
        <v>0.52500000000000002</v>
      </c>
      <c r="CJ313" s="359"/>
      <c r="CK313" s="486"/>
      <c r="CL313" s="486"/>
      <c r="CM313" s="359">
        <f>CM308/U308</f>
        <v>0.52339028220625317</v>
      </c>
      <c r="CN313" s="359">
        <f>1-CM313</f>
        <v>0.47660971779374683</v>
      </c>
    </row>
    <row r="314" spans="1:94">
      <c r="A314" s="171"/>
      <c r="B314" s="834"/>
      <c r="C314" s="965"/>
      <c r="D314" s="279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  <c r="AA314" s="279"/>
      <c r="AB314" s="279"/>
      <c r="AC314" s="279"/>
      <c r="AD314" s="279"/>
      <c r="AE314" s="279"/>
      <c r="AF314" s="279"/>
      <c r="AG314" s="279"/>
      <c r="AH314" s="279"/>
      <c r="AI314" s="179"/>
      <c r="AJ314" s="279"/>
      <c r="AK314" s="179"/>
      <c r="AL314" s="279"/>
      <c r="AM314" s="279"/>
      <c r="AN314" s="179"/>
      <c r="AO314" s="279"/>
      <c r="AP314" s="279"/>
      <c r="AQ314" s="1371"/>
      <c r="AR314" s="279"/>
      <c r="AS314" s="179"/>
      <c r="AT314" s="868"/>
      <c r="AU314" s="279"/>
      <c r="AV314" s="179"/>
      <c r="AW314" s="279"/>
      <c r="AX314" s="279"/>
      <c r="AY314" s="179"/>
      <c r="AZ314" s="279"/>
      <c r="BA314" s="279"/>
      <c r="BB314" s="179"/>
      <c r="BC314" s="179"/>
      <c r="BD314" s="320"/>
      <c r="BE314" s="320"/>
      <c r="BF314" s="320"/>
      <c r="BG314" s="320"/>
      <c r="BH314" s="318"/>
      <c r="BI314" s="322"/>
      <c r="BJ314" s="322"/>
      <c r="BK314" s="320"/>
      <c r="BL314" s="320"/>
      <c r="BM314" s="320"/>
      <c r="BN314" s="320"/>
      <c r="BO314" s="320"/>
      <c r="BP314" s="320"/>
      <c r="BQ314" s="320"/>
      <c r="BR314" s="320"/>
      <c r="BS314" s="320"/>
      <c r="BT314" s="320"/>
      <c r="BU314" s="320"/>
      <c r="BV314" s="320"/>
      <c r="BW314" s="320"/>
      <c r="BX314" s="320"/>
      <c r="BY314" s="320"/>
      <c r="BZ314" s="320"/>
      <c r="CA314" s="320"/>
      <c r="CB314" s="320"/>
      <c r="CC314" s="320"/>
      <c r="CD314" s="320"/>
      <c r="CE314" s="320"/>
      <c r="CF314" s="320"/>
      <c r="CG314" s="320"/>
      <c r="CH314" s="320"/>
      <c r="CI314" s="320"/>
      <c r="CJ314" s="320"/>
      <c r="CK314" s="320"/>
      <c r="CL314" s="320"/>
      <c r="CM314" s="320"/>
      <c r="CN314" s="320"/>
    </row>
    <row r="315" spans="1:94">
      <c r="A315" s="204"/>
      <c r="B315" s="184" t="s">
        <v>604</v>
      </c>
      <c r="C315" s="185"/>
      <c r="D315" s="186"/>
      <c r="E315" s="18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  <c r="AA315" s="196"/>
      <c r="AB315" s="196"/>
      <c r="AC315" s="196"/>
      <c r="AD315" s="196"/>
      <c r="AE315" s="196"/>
      <c r="AF315" s="196"/>
      <c r="AG315" s="196"/>
      <c r="AH315" s="196"/>
      <c r="AI315" s="196"/>
      <c r="AJ315" s="196"/>
      <c r="AK315" s="196"/>
      <c r="AL315" s="196"/>
      <c r="AM315" s="196"/>
      <c r="AN315" s="196"/>
      <c r="AO315" s="196"/>
      <c r="AP315" s="196"/>
      <c r="AQ315" s="1369"/>
      <c r="AR315" s="196"/>
      <c r="AS315" s="196"/>
      <c r="AT315" s="196"/>
      <c r="AU315" s="196"/>
      <c r="AV315" s="196"/>
      <c r="AW315" s="196"/>
      <c r="AX315" s="196"/>
      <c r="AY315" s="196"/>
      <c r="AZ315" s="196"/>
      <c r="BA315" s="196"/>
      <c r="BB315" s="196"/>
      <c r="BC315" s="190"/>
      <c r="BD315" s="316"/>
      <c r="BE315" s="316"/>
      <c r="BF315" s="316"/>
      <c r="BG315" s="316"/>
      <c r="BH315" s="315"/>
      <c r="BI315" s="317"/>
      <c r="BJ315" s="317"/>
      <c r="BK315" s="196"/>
      <c r="BL315" s="196"/>
      <c r="BM315" s="196"/>
      <c r="BN315" s="196"/>
      <c r="BO315" s="196"/>
      <c r="BP315" s="196"/>
      <c r="BQ315" s="196"/>
      <c r="BR315" s="196"/>
      <c r="BS315" s="196"/>
      <c r="BT315" s="196"/>
      <c r="BU315" s="196"/>
      <c r="BV315" s="196"/>
      <c r="BW315" s="196"/>
      <c r="BX315" s="196"/>
      <c r="BY315" s="196"/>
      <c r="BZ315" s="196"/>
      <c r="CA315" s="196"/>
      <c r="CB315" s="196"/>
      <c r="CC315" s="196"/>
      <c r="CD315" s="196"/>
      <c r="CE315" s="196"/>
      <c r="CF315" s="196"/>
      <c r="CG315" s="196"/>
      <c r="CH315" s="196"/>
      <c r="CI315" s="196"/>
      <c r="CJ315" s="196"/>
      <c r="CK315" s="196"/>
      <c r="CL315" s="196"/>
      <c r="CM315" s="196"/>
      <c r="CN315" s="196"/>
    </row>
    <row r="316" spans="1:94">
      <c r="A316" s="171"/>
      <c r="B316" s="1011" t="s">
        <v>720</v>
      </c>
      <c r="C316" s="965"/>
      <c r="D316" s="279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79"/>
      <c r="W316" s="279"/>
      <c r="X316" s="279"/>
      <c r="Y316" s="279"/>
      <c r="Z316" s="279"/>
      <c r="AA316" s="279"/>
      <c r="AB316" s="279"/>
      <c r="AC316" s="279"/>
      <c r="AD316" s="279"/>
      <c r="AE316" s="279"/>
      <c r="AF316" s="279"/>
      <c r="AG316" s="279"/>
      <c r="AH316" s="279"/>
      <c r="AI316" s="179"/>
      <c r="AJ316" s="279"/>
      <c r="AK316" s="179"/>
      <c r="AL316" s="279"/>
      <c r="AM316" s="279"/>
      <c r="AN316" s="179"/>
      <c r="AO316" s="279"/>
      <c r="AP316" s="279"/>
      <c r="AQ316" s="1371"/>
      <c r="AR316" s="279"/>
      <c r="AS316" s="179"/>
      <c r="AT316" s="279"/>
      <c r="AU316" s="279"/>
      <c r="AV316" s="179"/>
      <c r="AW316" s="279"/>
      <c r="AX316" s="279"/>
      <c r="AY316" s="179"/>
      <c r="AZ316" s="279"/>
      <c r="BA316" s="279"/>
      <c r="BB316" s="179"/>
      <c r="BC316" s="179"/>
      <c r="BD316" s="320"/>
      <c r="BE316" s="320"/>
      <c r="BF316" s="320"/>
      <c r="BG316" s="320"/>
      <c r="BH316" s="318"/>
      <c r="BI316" s="322"/>
      <c r="BJ316" s="322"/>
      <c r="BK316" s="320"/>
      <c r="BL316" s="320"/>
      <c r="BM316" s="320"/>
      <c r="BN316" s="320"/>
      <c r="BO316" s="320"/>
      <c r="BP316" s="320"/>
      <c r="BQ316" s="320"/>
      <c r="BR316" s="320"/>
      <c r="BS316" s="320"/>
      <c r="BT316" s="320"/>
      <c r="BU316" s="320"/>
      <c r="BV316" s="320"/>
      <c r="BW316" s="320"/>
      <c r="BX316" s="320"/>
      <c r="BY316" s="320"/>
      <c r="BZ316" s="320"/>
      <c r="CA316" s="320"/>
      <c r="CB316" s="320"/>
      <c r="CC316" s="320"/>
      <c r="CD316" s="320"/>
      <c r="CE316" s="320"/>
      <c r="CF316" s="320"/>
      <c r="CG316" s="320"/>
      <c r="CH316" s="320"/>
      <c r="CI316" s="320"/>
      <c r="CJ316" s="320"/>
      <c r="CK316" s="320"/>
      <c r="CL316" s="320"/>
      <c r="CM316" s="320"/>
      <c r="CN316" s="320"/>
    </row>
    <row r="317" spans="1:94">
      <c r="A317" s="170"/>
      <c r="B317" s="1016" t="s">
        <v>721</v>
      </c>
      <c r="C317" s="934"/>
      <c r="D317" s="934"/>
      <c r="E317" s="934"/>
      <c r="F317" s="599"/>
      <c r="G317" s="599"/>
      <c r="H317" s="599"/>
      <c r="I317" s="599"/>
      <c r="J317" s="599"/>
      <c r="K317" s="599"/>
      <c r="L317" s="599"/>
      <c r="M317" s="599"/>
      <c r="N317" s="599"/>
      <c r="O317" s="599"/>
      <c r="P317" s="599"/>
      <c r="Q317" s="599"/>
      <c r="R317" s="599"/>
      <c r="S317" s="599"/>
      <c r="T317" s="622">
        <f t="shared" ref="T317:U317" si="1476">S321</f>
        <v>101</v>
      </c>
      <c r="U317" s="622">
        <f t="shared" si="1476"/>
        <v>102</v>
      </c>
      <c r="V317" s="622">
        <f>CN321</f>
        <v>103</v>
      </c>
      <c r="W317" s="622">
        <f>V321</f>
        <v>105</v>
      </c>
      <c r="X317" s="622">
        <f>U321</f>
        <v>103</v>
      </c>
      <c r="Y317" s="622">
        <f>W321</f>
        <v>105</v>
      </c>
      <c r="Z317" s="622">
        <f>Y321</f>
        <v>105</v>
      </c>
      <c r="AA317" s="622">
        <f>X321</f>
        <v>105</v>
      </c>
      <c r="AB317" s="622">
        <f>Z321</f>
        <v>105</v>
      </c>
      <c r="AC317" s="622">
        <f>AB321</f>
        <v>105</v>
      </c>
      <c r="AD317" s="622">
        <f>AA321</f>
        <v>105</v>
      </c>
      <c r="AE317" s="622">
        <f>AC321</f>
        <v>105</v>
      </c>
      <c r="AF317" s="622">
        <f>AE321</f>
        <v>106</v>
      </c>
      <c r="AG317" s="622">
        <f>AD321</f>
        <v>105</v>
      </c>
      <c r="AH317" s="622">
        <f>AF321</f>
        <v>106</v>
      </c>
      <c r="AI317" s="708">
        <f>AH321</f>
        <v>106</v>
      </c>
      <c r="AJ317" s="622">
        <f>AG321</f>
        <v>106</v>
      </c>
      <c r="AK317" s="708">
        <f>AI321</f>
        <v>106</v>
      </c>
      <c r="AL317" s="622">
        <f>AK321</f>
        <v>106</v>
      </c>
      <c r="AM317" s="622">
        <f>AJ321</f>
        <v>106</v>
      </c>
      <c r="AN317" s="708">
        <f>AL321</f>
        <v>106</v>
      </c>
      <c r="AO317" s="622">
        <f>AN321</f>
        <v>107</v>
      </c>
      <c r="AP317" s="1718">
        <f>AM321</f>
        <v>106</v>
      </c>
      <c r="AQ317" s="1609">
        <f>AO321</f>
        <v>107</v>
      </c>
      <c r="AR317" s="622">
        <f>AQ321</f>
        <v>107</v>
      </c>
      <c r="AS317" s="534">
        <f>AP321</f>
        <v>107</v>
      </c>
      <c r="AT317" s="622">
        <f>AR321</f>
        <v>107</v>
      </c>
      <c r="AU317" s="622">
        <f t="shared" ref="AU317" si="1477">AT321</f>
        <v>107</v>
      </c>
      <c r="AV317" s="534">
        <f>AS321</f>
        <v>107</v>
      </c>
      <c r="AW317" s="622">
        <f>AU321</f>
        <v>107</v>
      </c>
      <c r="AX317" s="622">
        <f t="shared" ref="AX317" si="1478">AW321</f>
        <v>107</v>
      </c>
      <c r="AY317" s="534">
        <f>AV321</f>
        <v>107</v>
      </c>
      <c r="AZ317" s="622">
        <f>AX321</f>
        <v>107</v>
      </c>
      <c r="BA317" s="622">
        <f t="shared" ref="BA317" si="1479">AZ321</f>
        <v>107</v>
      </c>
      <c r="BB317" s="534">
        <f>AY321</f>
        <v>107</v>
      </c>
      <c r="BC317" s="1261"/>
      <c r="BD317" s="399"/>
      <c r="BE317" s="399"/>
      <c r="BF317" s="399"/>
      <c r="BG317" s="399"/>
      <c r="BH317" s="378"/>
      <c r="BI317" s="379"/>
      <c r="BJ317" s="379"/>
      <c r="BK317" s="459"/>
      <c r="BL317" s="459"/>
      <c r="BM317" s="459"/>
      <c r="BN317" s="459"/>
      <c r="BO317" s="459"/>
      <c r="BP317" s="459"/>
      <c r="BQ317" s="459"/>
      <c r="BR317" s="459"/>
      <c r="BS317" s="459"/>
      <c r="BT317" s="459"/>
      <c r="BU317" s="459"/>
      <c r="BV317" s="459"/>
      <c r="BW317" s="459"/>
      <c r="BX317" s="459"/>
      <c r="BY317" s="459"/>
      <c r="BZ317" s="459"/>
      <c r="CA317" s="459"/>
      <c r="CB317" s="459"/>
      <c r="CC317" s="459"/>
      <c r="CD317" s="459"/>
      <c r="CE317" s="459"/>
      <c r="CF317" s="459"/>
      <c r="CG317" s="459"/>
      <c r="CH317" s="459"/>
      <c r="CI317" s="459"/>
      <c r="CJ317" s="459"/>
      <c r="CK317" s="459">
        <f t="shared" ref="CK317:CN317" si="1480">CJ321</f>
        <v>101</v>
      </c>
      <c r="CL317" s="459">
        <f t="shared" si="1480"/>
        <v>103</v>
      </c>
      <c r="CM317" s="454">
        <f t="shared" si="1480"/>
        <v>102</v>
      </c>
      <c r="CN317" s="454">
        <f t="shared" si="1480"/>
        <v>104</v>
      </c>
    </row>
    <row r="318" spans="1:94">
      <c r="A318" s="170"/>
      <c r="B318" s="904" t="s">
        <v>450</v>
      </c>
      <c r="C318" s="1009"/>
      <c r="D318" s="1017"/>
      <c r="E318" s="600"/>
      <c r="F318" s="600"/>
      <c r="G318" s="1017"/>
      <c r="H318" s="600"/>
      <c r="I318" s="1017"/>
      <c r="J318" s="600"/>
      <c r="K318" s="600"/>
      <c r="L318" s="600"/>
      <c r="M318" s="600"/>
      <c r="N318" s="600"/>
      <c r="O318" s="600"/>
      <c r="P318" s="600"/>
      <c r="Q318" s="600"/>
      <c r="R318" s="600"/>
      <c r="S318" s="600"/>
      <c r="T318" s="600">
        <v>3</v>
      </c>
      <c r="U318" s="600">
        <v>2</v>
      </c>
      <c r="V318" s="600">
        <v>2</v>
      </c>
      <c r="W318" s="600">
        <f>X318-V318</f>
        <v>0</v>
      </c>
      <c r="X318" s="600">
        <v>2</v>
      </c>
      <c r="Y318" s="600">
        <v>0</v>
      </c>
      <c r="Z318" s="600">
        <f>AA318-Y318</f>
        <v>0</v>
      </c>
      <c r="AA318" s="600">
        <v>0</v>
      </c>
      <c r="AB318" s="600">
        <f>ROUND(AD318/2,0)</f>
        <v>0</v>
      </c>
      <c r="AC318" s="600">
        <f>AD318-AB318</f>
        <v>0</v>
      </c>
      <c r="AD318" s="600">
        <v>0</v>
      </c>
      <c r="AE318" s="600">
        <f>ROUND(AG318/2,0)</f>
        <v>1</v>
      </c>
      <c r="AF318" s="600">
        <f>AG318-AE318</f>
        <v>0</v>
      </c>
      <c r="AG318" s="601">
        <v>1</v>
      </c>
      <c r="AH318" s="601">
        <v>0</v>
      </c>
      <c r="AI318" s="669">
        <f>AJ318-AH318</f>
        <v>0</v>
      </c>
      <c r="AJ318" s="601">
        <v>0</v>
      </c>
      <c r="AK318" s="1259">
        <v>0</v>
      </c>
      <c r="AL318" s="262">
        <f t="shared" ref="AL318" si="1481">AM318-AK318</f>
        <v>0</v>
      </c>
      <c r="AM318" s="601">
        <v>0</v>
      </c>
      <c r="AN318" s="1920">
        <v>1</v>
      </c>
      <c r="AO318" s="596">
        <v>0</v>
      </c>
      <c r="AP318" s="683">
        <f>+AN318+AO318</f>
        <v>1</v>
      </c>
      <c r="AQ318" s="1648">
        <v>0</v>
      </c>
      <c r="AR318" s="252">
        <f t="shared" ref="AR318" si="1482">AS318-AQ318</f>
        <v>0</v>
      </c>
      <c r="AS318" s="1432">
        <v>0</v>
      </c>
      <c r="AT318" s="252">
        <v>0</v>
      </c>
      <c r="AU318" s="252">
        <f t="shared" ref="AU318" si="1483">AV318-AT318</f>
        <v>0</v>
      </c>
      <c r="AV318" s="1432">
        <v>0</v>
      </c>
      <c r="AW318" s="252">
        <v>0</v>
      </c>
      <c r="AX318" s="252">
        <f t="shared" ref="AX318" si="1484">AY318-AW318</f>
        <v>0</v>
      </c>
      <c r="AY318" s="1432">
        <v>0</v>
      </c>
      <c r="AZ318" s="252">
        <v>0</v>
      </c>
      <c r="BA318" s="252">
        <f t="shared" ref="BA318" si="1485">BB318-AZ318</f>
        <v>0</v>
      </c>
      <c r="BB318" s="1432">
        <v>0</v>
      </c>
      <c r="BC318" s="671"/>
      <c r="BD318" s="400"/>
      <c r="BE318" s="400"/>
      <c r="BF318" s="400"/>
      <c r="BG318" s="400"/>
      <c r="BH318" s="378"/>
      <c r="BI318" s="379"/>
      <c r="BJ318" s="379"/>
      <c r="BK318" s="460"/>
      <c r="BL318" s="460"/>
      <c r="BM318" s="460"/>
      <c r="BN318" s="460"/>
      <c r="BO318" s="460"/>
      <c r="BP318" s="460"/>
      <c r="BQ318" s="460"/>
      <c r="BR318" s="460"/>
      <c r="BS318" s="460"/>
      <c r="BT318" s="460"/>
      <c r="BU318" s="460"/>
      <c r="BV318" s="460"/>
      <c r="BW318" s="460"/>
      <c r="BX318" s="460"/>
      <c r="BY318" s="460"/>
      <c r="BZ318" s="460"/>
      <c r="CA318" s="460"/>
      <c r="CB318" s="460"/>
      <c r="CC318" s="460"/>
      <c r="CD318" s="402"/>
      <c r="CE318" s="460"/>
      <c r="CF318" s="402"/>
      <c r="CG318" s="460"/>
      <c r="CH318" s="402"/>
      <c r="CI318" s="460"/>
      <c r="CJ318" s="402"/>
      <c r="CK318" s="460">
        <v>2</v>
      </c>
      <c r="CL318" s="460">
        <f>T318-CK318</f>
        <v>1</v>
      </c>
      <c r="CM318" s="460">
        <v>2</v>
      </c>
      <c r="CN318" s="460">
        <f>U318-CM318</f>
        <v>0</v>
      </c>
    </row>
    <row r="319" spans="1:94">
      <c r="A319" s="170"/>
      <c r="B319" s="904" t="s">
        <v>617</v>
      </c>
      <c r="C319" s="1009"/>
      <c r="D319" s="1006"/>
      <c r="E319" s="600"/>
      <c r="F319" s="600"/>
      <c r="G319" s="1006"/>
      <c r="H319" s="600"/>
      <c r="I319" s="1006"/>
      <c r="J319" s="600"/>
      <c r="K319" s="600"/>
      <c r="L319" s="600"/>
      <c r="M319" s="600"/>
      <c r="N319" s="1006"/>
      <c r="O319" s="1006"/>
      <c r="P319" s="600"/>
      <c r="Q319" s="600"/>
      <c r="R319" s="600"/>
      <c r="S319" s="600"/>
      <c r="T319" s="600">
        <v>0</v>
      </c>
      <c r="U319" s="600">
        <v>0</v>
      </c>
      <c r="V319" s="600">
        <v>0</v>
      </c>
      <c r="W319" s="600">
        <f>X319-V319</f>
        <v>0</v>
      </c>
      <c r="X319" s="600">
        <v>0</v>
      </c>
      <c r="Y319" s="600">
        <v>0</v>
      </c>
      <c r="Z319" s="600">
        <f>AA319-Y319</f>
        <v>0</v>
      </c>
      <c r="AA319" s="600">
        <v>0</v>
      </c>
      <c r="AB319" s="600"/>
      <c r="AC319" s="600"/>
      <c r="AD319" s="600">
        <v>0</v>
      </c>
      <c r="AE319" s="600"/>
      <c r="AF319" s="600"/>
      <c r="AG319" s="601">
        <v>0</v>
      </c>
      <c r="AH319" s="601">
        <v>0</v>
      </c>
      <c r="AI319" s="669">
        <f>+AJ319-AH319</f>
        <v>0</v>
      </c>
      <c r="AJ319" s="601">
        <v>0</v>
      </c>
      <c r="AK319" s="1259">
        <v>0</v>
      </c>
      <c r="AL319" s="262">
        <f t="shared" ref="AL319" si="1486">+AM319-AK319</f>
        <v>0</v>
      </c>
      <c r="AM319" s="601">
        <v>0</v>
      </c>
      <c r="AN319" s="1259">
        <v>0</v>
      </c>
      <c r="AO319" s="596">
        <f>+AP319-AN319</f>
        <v>0</v>
      </c>
      <c r="AP319" s="1357">
        <v>0</v>
      </c>
      <c r="AQ319" s="1648">
        <v>0</v>
      </c>
      <c r="AR319" s="596">
        <f t="shared" ref="AR319" si="1487">+AS319-AQ319</f>
        <v>0</v>
      </c>
      <c r="AS319" s="440">
        <v>0</v>
      </c>
      <c r="AT319" s="440">
        <v>0</v>
      </c>
      <c r="AU319" s="596">
        <f t="shared" ref="AU319" si="1488">+AV319-AT319</f>
        <v>0</v>
      </c>
      <c r="AV319" s="440">
        <v>0</v>
      </c>
      <c r="AW319" s="440">
        <v>0</v>
      </c>
      <c r="AX319" s="596">
        <f t="shared" ref="AX319" si="1489">+AY319-AW319</f>
        <v>0</v>
      </c>
      <c r="AY319" s="440">
        <v>0</v>
      </c>
      <c r="AZ319" s="440">
        <v>0</v>
      </c>
      <c r="BA319" s="596">
        <f t="shared" ref="BA319" si="1490">+BB319-AZ319</f>
        <v>0</v>
      </c>
      <c r="BB319" s="440">
        <v>0</v>
      </c>
      <c r="BC319" s="1357"/>
      <c r="BD319" s="400"/>
      <c r="BE319" s="400"/>
      <c r="BF319" s="400"/>
      <c r="BG319" s="400"/>
      <c r="BH319" s="378"/>
      <c r="BI319" s="379"/>
      <c r="BJ319" s="379"/>
      <c r="BK319" s="460"/>
      <c r="BL319" s="460"/>
      <c r="BM319" s="460"/>
      <c r="BN319" s="460"/>
      <c r="BO319" s="460"/>
      <c r="BP319" s="460"/>
      <c r="BQ319" s="460"/>
      <c r="BR319" s="460"/>
      <c r="BS319" s="460"/>
      <c r="BT319" s="460"/>
      <c r="BU319" s="460"/>
      <c r="BV319" s="460"/>
      <c r="BW319" s="460"/>
      <c r="BX319" s="460"/>
      <c r="BY319" s="460"/>
      <c r="BZ319" s="460"/>
      <c r="CA319" s="460"/>
      <c r="CB319" s="460"/>
      <c r="CC319" s="460"/>
      <c r="CD319" s="402"/>
      <c r="CE319" s="460"/>
      <c r="CF319" s="402"/>
      <c r="CG319" s="460"/>
      <c r="CH319" s="402"/>
      <c r="CI319" s="460"/>
      <c r="CJ319" s="402"/>
      <c r="CK319" s="460">
        <v>0</v>
      </c>
      <c r="CL319" s="460">
        <f>T319-CK319</f>
        <v>0</v>
      </c>
      <c r="CM319" s="460">
        <v>0</v>
      </c>
      <c r="CN319" s="460">
        <f>U319-CM319</f>
        <v>0</v>
      </c>
    </row>
    <row r="320" spans="1:94">
      <c r="A320" s="170"/>
      <c r="B320" s="904" t="s">
        <v>451</v>
      </c>
      <c r="C320" s="1009"/>
      <c r="D320" s="600"/>
      <c r="E320" s="600"/>
      <c r="F320" s="600"/>
      <c r="G320" s="600"/>
      <c r="H320" s="600"/>
      <c r="I320" s="600"/>
      <c r="J320" s="600"/>
      <c r="K320" s="600"/>
      <c r="L320" s="600"/>
      <c r="M320" s="600"/>
      <c r="N320" s="600"/>
      <c r="O320" s="600"/>
      <c r="P320" s="600"/>
      <c r="Q320" s="600"/>
      <c r="R320" s="600"/>
      <c r="S320" s="600"/>
      <c r="T320" s="600">
        <v>-2</v>
      </c>
      <c r="U320" s="600">
        <v>-1</v>
      </c>
      <c r="V320" s="600">
        <v>0</v>
      </c>
      <c r="W320" s="600">
        <f>X320-V320</f>
        <v>0</v>
      </c>
      <c r="X320" s="600">
        <v>0</v>
      </c>
      <c r="Y320" s="600">
        <v>0</v>
      </c>
      <c r="Z320" s="600">
        <f>AA320-Y320</f>
        <v>0</v>
      </c>
      <c r="AA320" s="600">
        <v>0</v>
      </c>
      <c r="AB320" s="600">
        <f>ROUND(AD320/2,0)</f>
        <v>0</v>
      </c>
      <c r="AC320" s="600">
        <f>AD320-AB320</f>
        <v>0</v>
      </c>
      <c r="AD320" s="600">
        <v>0</v>
      </c>
      <c r="AE320" s="600">
        <f>ROUND(AG320/2,0)</f>
        <v>0</v>
      </c>
      <c r="AF320" s="600">
        <f>AG320-AE320</f>
        <v>0</v>
      </c>
      <c r="AG320" s="601">
        <v>0</v>
      </c>
      <c r="AH320" s="601">
        <v>0</v>
      </c>
      <c r="AI320" s="669">
        <f>+AJ320-AH320</f>
        <v>0</v>
      </c>
      <c r="AJ320" s="601">
        <v>0</v>
      </c>
      <c r="AK320" s="1259">
        <v>0</v>
      </c>
      <c r="AL320" s="262">
        <f>AM320-AK320</f>
        <v>0</v>
      </c>
      <c r="AM320" s="601">
        <v>0</v>
      </c>
      <c r="AN320" s="1259">
        <v>0</v>
      </c>
      <c r="AO320" s="596">
        <f>AP320-AN320</f>
        <v>0</v>
      </c>
      <c r="AP320" s="1719">
        <v>0</v>
      </c>
      <c r="AQ320" s="1739">
        <f>BD320-AO320</f>
        <v>0</v>
      </c>
      <c r="AR320" s="596">
        <f>AS320-AQ320</f>
        <v>0</v>
      </c>
      <c r="AS320" s="253">
        <v>0</v>
      </c>
      <c r="AT320" s="635">
        <f>BF320-AR320</f>
        <v>0</v>
      </c>
      <c r="AU320" s="596">
        <f>AV320-AT320</f>
        <v>0</v>
      </c>
      <c r="AV320" s="253">
        <v>0</v>
      </c>
      <c r="AW320" s="635">
        <f>BI320-AU320</f>
        <v>0</v>
      </c>
      <c r="AX320" s="596">
        <f>AY320-AW320</f>
        <v>0</v>
      </c>
      <c r="AY320" s="253">
        <v>0</v>
      </c>
      <c r="AZ320" s="635">
        <f>BL320-AX320</f>
        <v>0</v>
      </c>
      <c r="BA320" s="596">
        <f>BB320-AZ320</f>
        <v>0</v>
      </c>
      <c r="BB320" s="253">
        <v>0</v>
      </c>
      <c r="BC320" s="1357"/>
      <c r="BD320" s="401"/>
      <c r="BE320" s="401"/>
      <c r="BF320" s="401"/>
      <c r="BG320" s="401"/>
      <c r="BH320" s="378"/>
      <c r="BI320" s="379"/>
      <c r="BJ320" s="379"/>
      <c r="BK320" s="460"/>
      <c r="BL320" s="460"/>
      <c r="BM320" s="460"/>
      <c r="BN320" s="460"/>
      <c r="BO320" s="460"/>
      <c r="BP320" s="460"/>
      <c r="BQ320" s="460"/>
      <c r="BR320" s="460"/>
      <c r="BS320" s="460"/>
      <c r="BT320" s="460"/>
      <c r="BU320" s="460"/>
      <c r="BV320" s="460"/>
      <c r="BW320" s="460"/>
      <c r="BX320" s="460"/>
      <c r="BY320" s="460"/>
      <c r="BZ320" s="460"/>
      <c r="CA320" s="460"/>
      <c r="CB320" s="460"/>
      <c r="CC320" s="460"/>
      <c r="CD320" s="402"/>
      <c r="CE320" s="460"/>
      <c r="CF320" s="402"/>
      <c r="CG320" s="460"/>
      <c r="CH320" s="458"/>
      <c r="CI320" s="460"/>
      <c r="CJ320" s="458"/>
      <c r="CK320" s="460">
        <v>0</v>
      </c>
      <c r="CL320" s="460">
        <f>T320-CK320</f>
        <v>-2</v>
      </c>
      <c r="CM320" s="460">
        <v>0</v>
      </c>
      <c r="CN320" s="460">
        <f>U320-CM320</f>
        <v>-1</v>
      </c>
    </row>
    <row r="321" spans="1:92">
      <c r="A321" s="171" t="s">
        <v>771</v>
      </c>
      <c r="B321" s="1019" t="s">
        <v>722</v>
      </c>
      <c r="C321" s="1020"/>
      <c r="D321" s="1020"/>
      <c r="E321" s="1020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70">
        <v>101</v>
      </c>
      <c r="T321" s="270">
        <f t="shared" ref="T321:AX321" si="1491">SUM(T317:T320)</f>
        <v>102</v>
      </c>
      <c r="U321" s="270">
        <f t="shared" si="1491"/>
        <v>103</v>
      </c>
      <c r="V321" s="270">
        <f>SUM(V317:V320)</f>
        <v>105</v>
      </c>
      <c r="W321" s="270">
        <f>SUM(W317:W320)</f>
        <v>105</v>
      </c>
      <c r="X321" s="270">
        <f t="shared" si="1491"/>
        <v>105</v>
      </c>
      <c r="Y321" s="270">
        <f>SUM(Y317:Y320)</f>
        <v>105</v>
      </c>
      <c r="Z321" s="270">
        <f>AA321</f>
        <v>105</v>
      </c>
      <c r="AA321" s="270">
        <f t="shared" si="1491"/>
        <v>105</v>
      </c>
      <c r="AB321" s="270">
        <f>SUM(AB317:AB320)</f>
        <v>105</v>
      </c>
      <c r="AC321" s="270">
        <f>SUM(AC317:AC320)</f>
        <v>105</v>
      </c>
      <c r="AD321" s="270">
        <f t="shared" si="1491"/>
        <v>105</v>
      </c>
      <c r="AE321" s="270">
        <f>SUM(AE317:AE320)</f>
        <v>106</v>
      </c>
      <c r="AF321" s="270">
        <f>SUM(AF317:AF320)</f>
        <v>106</v>
      </c>
      <c r="AG321" s="1132">
        <f t="shared" si="1491"/>
        <v>106</v>
      </c>
      <c r="AH321" s="1205">
        <f>SUM(AH317:AH320)</f>
        <v>106</v>
      </c>
      <c r="AI321" s="694">
        <f>SUM(AI317:AI320)</f>
        <v>106</v>
      </c>
      <c r="AJ321" s="1205">
        <f t="shared" ref="AJ321" si="1492">SUM(AJ317:AJ320)</f>
        <v>106</v>
      </c>
      <c r="AK321" s="1273">
        <f>SUM(AK317:AK320)</f>
        <v>106</v>
      </c>
      <c r="AL321" s="1205">
        <f>SUM(AL317:AL320)</f>
        <v>106</v>
      </c>
      <c r="AM321" s="1589">
        <f t="shared" ref="AM321" si="1493">SUM(AM317:AM320)</f>
        <v>106</v>
      </c>
      <c r="AN321" s="1619">
        <f>SUM(AN317:AN320)</f>
        <v>107</v>
      </c>
      <c r="AO321" s="270">
        <f>SUM(AO317:AO320)</f>
        <v>107</v>
      </c>
      <c r="AP321" s="1261">
        <f t="shared" si="1491"/>
        <v>107</v>
      </c>
      <c r="AQ321" s="1610">
        <f>SUM(AQ317:AQ320)</f>
        <v>107</v>
      </c>
      <c r="AR321" s="270">
        <f>SUM(AR317:AR320)</f>
        <v>107</v>
      </c>
      <c r="AS321" s="302">
        <f t="shared" si="1491"/>
        <v>107</v>
      </c>
      <c r="AT321" s="270">
        <f t="shared" ref="AT321:AU321" si="1494">SUM(AT317:AT320)</f>
        <v>107</v>
      </c>
      <c r="AU321" s="270">
        <f t="shared" si="1494"/>
        <v>107</v>
      </c>
      <c r="AV321" s="302">
        <f t="shared" si="1491"/>
        <v>107</v>
      </c>
      <c r="AW321" s="270">
        <f t="shared" si="1491"/>
        <v>107</v>
      </c>
      <c r="AX321" s="270">
        <f t="shared" si="1491"/>
        <v>107</v>
      </c>
      <c r="AY321" s="302">
        <f t="shared" ref="AY321:BA321" si="1495">SUM(AY317:AY320)</f>
        <v>107</v>
      </c>
      <c r="AZ321" s="270">
        <f t="shared" si="1495"/>
        <v>107</v>
      </c>
      <c r="BA321" s="270">
        <f t="shared" si="1495"/>
        <v>107</v>
      </c>
      <c r="BB321" s="302">
        <f t="shared" ref="BB321" si="1496">SUM(BB317:BB320)</f>
        <v>107</v>
      </c>
      <c r="BC321" s="677"/>
      <c r="BD321" s="404"/>
      <c r="BE321" s="404"/>
      <c r="BF321" s="404"/>
      <c r="BG321" s="404"/>
      <c r="BH321" s="378"/>
      <c r="BI321" s="379"/>
      <c r="BJ321" s="379"/>
      <c r="BK321" s="461"/>
      <c r="BL321" s="461"/>
      <c r="BM321" s="461"/>
      <c r="BN321" s="461"/>
      <c r="BO321" s="461"/>
      <c r="BP321" s="461"/>
      <c r="BQ321" s="461"/>
      <c r="BR321" s="461"/>
      <c r="BS321" s="461"/>
      <c r="BT321" s="461"/>
      <c r="BU321" s="461"/>
      <c r="BV321" s="461"/>
      <c r="BW321" s="461"/>
      <c r="BX321" s="461"/>
      <c r="BY321" s="461"/>
      <c r="BZ321" s="461"/>
      <c r="CA321" s="461"/>
      <c r="CB321" s="461"/>
      <c r="CC321" s="461"/>
      <c r="CD321" s="461"/>
      <c r="CE321" s="461"/>
      <c r="CF321" s="461"/>
      <c r="CG321" s="461"/>
      <c r="CH321" s="461"/>
      <c r="CI321" s="461"/>
      <c r="CJ321" s="461">
        <f>S321</f>
        <v>101</v>
      </c>
      <c r="CK321" s="461">
        <f>SUM(CK317:CK320)</f>
        <v>103</v>
      </c>
      <c r="CL321" s="461">
        <f>T321</f>
        <v>102</v>
      </c>
      <c r="CM321" s="466">
        <f>SUM(CM317:CM320)</f>
        <v>104</v>
      </c>
      <c r="CN321" s="466">
        <f>U321</f>
        <v>103</v>
      </c>
    </row>
    <row r="322" spans="1:92">
      <c r="A322" s="171"/>
      <c r="B322" s="863" t="s">
        <v>618</v>
      </c>
      <c r="C322" s="965"/>
      <c r="D322" s="279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82">
        <f t="shared" ref="S322:U322" si="1497">AVERAGE(R321:S321)</f>
        <v>101</v>
      </c>
      <c r="T322" s="282">
        <f t="shared" si="1497"/>
        <v>101.5</v>
      </c>
      <c r="U322" s="282">
        <f t="shared" si="1497"/>
        <v>102.5</v>
      </c>
      <c r="V322" s="262">
        <f>AVERAGE(V317,V321)</f>
        <v>104</v>
      </c>
      <c r="W322" s="262">
        <f>AVERAGE(W317,W321)</f>
        <v>105</v>
      </c>
      <c r="X322" s="282">
        <f>AVERAGE(U321:X321)</f>
        <v>104.5</v>
      </c>
      <c r="Y322" s="262">
        <f>AVERAGE(Y317,Y321)</f>
        <v>105</v>
      </c>
      <c r="Z322" s="262">
        <f>AVERAGE(Z317,Z321)</f>
        <v>105</v>
      </c>
      <c r="AA322" s="282">
        <f>AVERAGE(X321:AA321)</f>
        <v>105</v>
      </c>
      <c r="AB322" s="262">
        <f>AVERAGE(AB317,AB321)</f>
        <v>105</v>
      </c>
      <c r="AC322" s="262">
        <f>AVERAGE(AC317,AC321)</f>
        <v>105</v>
      </c>
      <c r="AD322" s="282">
        <f>AVERAGE(AA321:AD321)</f>
        <v>105</v>
      </c>
      <c r="AE322" s="262">
        <f>AVERAGE(AD321:AE321)</f>
        <v>105.5</v>
      </c>
      <c r="AF322" s="262">
        <f>AVERAGE(AE321:AF321)</f>
        <v>106</v>
      </c>
      <c r="AG322" s="282">
        <f>(AG321+AD321)*0.5</f>
        <v>105.5</v>
      </c>
      <c r="AH322" s="262">
        <f>AVERAGE(AG321:AH321)</f>
        <v>106</v>
      </c>
      <c r="AI322" s="675">
        <f>AVERAGE(AH321:AI321)</f>
        <v>106</v>
      </c>
      <c r="AJ322" s="282">
        <f>(AJ321+AG321)*0.5</f>
        <v>106</v>
      </c>
      <c r="AK322" s="675">
        <f>AVERAGE(AJ321:AK321)</f>
        <v>106</v>
      </c>
      <c r="AL322" s="262">
        <f t="shared" ref="AL322" si="1498">AVERAGE(AK321:AL321)</f>
        <v>106</v>
      </c>
      <c r="AM322" s="282">
        <f>(AM321+AJ321)*0.5</f>
        <v>106</v>
      </c>
      <c r="AN322" s="675">
        <f>AVERAGE(AM321:AN321)</f>
        <v>106.5</v>
      </c>
      <c r="AO322" s="262">
        <f>AVERAGE(AN321:AO321)</f>
        <v>107</v>
      </c>
      <c r="AP322" s="190">
        <f>(AP321+AM321)*0.5</f>
        <v>106.5</v>
      </c>
      <c r="AQ322" s="1601">
        <f>AVERAGE(AP321:AQ321)</f>
        <v>107</v>
      </c>
      <c r="AR322" s="262">
        <f t="shared" ref="AR322" si="1499">AVERAGE(AQ321:AR321)</f>
        <v>107</v>
      </c>
      <c r="AS322" s="282">
        <f t="shared" ref="AS322" si="1500">(AS321+AP321)*0.5</f>
        <v>107</v>
      </c>
      <c r="AT322" s="262">
        <f t="shared" ref="AT322:AU322" si="1501">AVERAGE(AS321:AT321)</f>
        <v>107</v>
      </c>
      <c r="AU322" s="262">
        <f t="shared" si="1501"/>
        <v>107</v>
      </c>
      <c r="AV322" s="282">
        <f t="shared" ref="AV322" si="1502">(AV321+AS321)*0.5</f>
        <v>107</v>
      </c>
      <c r="AW322" s="262">
        <f t="shared" ref="AW322" si="1503">AVERAGE(AV321:AW321)</f>
        <v>107</v>
      </c>
      <c r="AX322" s="262">
        <f t="shared" ref="AX322" si="1504">AVERAGE(AW321:AX321)</f>
        <v>107</v>
      </c>
      <c r="AY322" s="282">
        <f t="shared" ref="AY322" si="1505">(AY321+AV321)*0.5</f>
        <v>107</v>
      </c>
      <c r="AZ322" s="262">
        <f t="shared" ref="AZ322" si="1506">AVERAGE(AY321:AZ321)</f>
        <v>107</v>
      </c>
      <c r="BA322" s="262">
        <f t="shared" ref="BA322" si="1507">AVERAGE(AZ321:BA321)</f>
        <v>107</v>
      </c>
      <c r="BB322" s="282">
        <f t="shared" ref="BB322" si="1508">(BB321+AY321)*0.5</f>
        <v>107</v>
      </c>
      <c r="BC322" s="190"/>
      <c r="BD322" s="316"/>
      <c r="BE322" s="316"/>
      <c r="BF322" s="316"/>
      <c r="BG322" s="316"/>
      <c r="BH322" s="318"/>
      <c r="BI322" s="322"/>
      <c r="BJ322" s="322"/>
      <c r="BK322" s="320"/>
      <c r="BL322" s="320"/>
      <c r="BM322" s="320"/>
      <c r="BN322" s="320"/>
      <c r="BO322" s="320"/>
      <c r="BP322" s="320"/>
      <c r="BQ322" s="320"/>
      <c r="BR322" s="320"/>
      <c r="BS322" s="320"/>
      <c r="BT322" s="320"/>
      <c r="BU322" s="320"/>
      <c r="BV322" s="320"/>
      <c r="BW322" s="320"/>
      <c r="BX322" s="320"/>
      <c r="BY322" s="320"/>
      <c r="BZ322" s="320"/>
      <c r="CA322" s="320"/>
      <c r="CB322" s="320"/>
      <c r="CC322" s="320"/>
      <c r="CD322" s="320"/>
      <c r="CE322" s="320"/>
      <c r="CF322" s="320"/>
      <c r="CG322" s="320"/>
      <c r="CH322" s="320"/>
      <c r="CI322" s="320"/>
      <c r="CJ322" s="320"/>
      <c r="CK322" s="399">
        <f t="shared" ref="CK322:CN322" si="1509">AVERAGE(CK317,CK321)</f>
        <v>102</v>
      </c>
      <c r="CL322" s="399">
        <f t="shared" si="1509"/>
        <v>102.5</v>
      </c>
      <c r="CM322" s="399">
        <f t="shared" si="1509"/>
        <v>103</v>
      </c>
      <c r="CN322" s="399">
        <f t="shared" si="1509"/>
        <v>103.5</v>
      </c>
    </row>
    <row r="323" spans="1:92">
      <c r="A323" s="171"/>
      <c r="B323" s="863" t="s">
        <v>3</v>
      </c>
      <c r="C323" s="965"/>
      <c r="D323" s="279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79"/>
      <c r="S323" s="301">
        <v>2400</v>
      </c>
      <c r="T323" s="301">
        <f t="shared" ref="T323:U323" si="1510">S323</f>
        <v>2400</v>
      </c>
      <c r="U323" s="301">
        <f t="shared" si="1510"/>
        <v>2400</v>
      </c>
      <c r="V323" s="282">
        <f>AD323</f>
        <v>2400</v>
      </c>
      <c r="W323" s="282">
        <f>AG323</f>
        <v>2400</v>
      </c>
      <c r="X323" s="301">
        <f>U323</f>
        <v>2400</v>
      </c>
      <c r="Y323" s="282">
        <f>W323</f>
        <v>2400</v>
      </c>
      <c r="Z323" s="282">
        <f>Y323</f>
        <v>2400</v>
      </c>
      <c r="AA323" s="301">
        <f>X323</f>
        <v>2400</v>
      </c>
      <c r="AB323" s="282">
        <f>AD323</f>
        <v>2400</v>
      </c>
      <c r="AC323" s="282">
        <f>AD323</f>
        <v>2400</v>
      </c>
      <c r="AD323" s="301">
        <f>AA323</f>
        <v>2400</v>
      </c>
      <c r="AE323" s="282">
        <f>AG323</f>
        <v>2400</v>
      </c>
      <c r="AF323" s="282">
        <f>AG323</f>
        <v>2400</v>
      </c>
      <c r="AG323" s="301">
        <f>AD323</f>
        <v>2400</v>
      </c>
      <c r="AH323" s="282">
        <f>AJ323</f>
        <v>2400</v>
      </c>
      <c r="AI323" s="286">
        <v>2400</v>
      </c>
      <c r="AJ323" s="301">
        <f>AG323</f>
        <v>2400</v>
      </c>
      <c r="AK323" s="190">
        <f>AM323</f>
        <v>2400</v>
      </c>
      <c r="AL323" s="1617">
        <v>2400</v>
      </c>
      <c r="AM323" s="301">
        <f>AJ323</f>
        <v>2400</v>
      </c>
      <c r="AN323" s="190">
        <f>AP323</f>
        <v>2400</v>
      </c>
      <c r="AO323" s="301">
        <v>2400</v>
      </c>
      <c r="AP323" s="286">
        <f>AM323</f>
        <v>2400</v>
      </c>
      <c r="AQ323" s="1385">
        <f>AS323</f>
        <v>2400</v>
      </c>
      <c r="AR323" s="301">
        <v>2400</v>
      </c>
      <c r="AS323" s="301">
        <f>AP323</f>
        <v>2400</v>
      </c>
      <c r="AT323" s="301">
        <v>2400</v>
      </c>
      <c r="AU323" s="301">
        <v>2400</v>
      </c>
      <c r="AV323" s="301">
        <f>AS323</f>
        <v>2400</v>
      </c>
      <c r="AW323" s="301">
        <v>2400</v>
      </c>
      <c r="AX323" s="301">
        <v>2400</v>
      </c>
      <c r="AY323" s="301">
        <f>AV323</f>
        <v>2400</v>
      </c>
      <c r="AZ323" s="301">
        <v>2400</v>
      </c>
      <c r="BA323" s="301">
        <v>2400</v>
      </c>
      <c r="BB323" s="301">
        <f>AY323</f>
        <v>2400</v>
      </c>
      <c r="BC323" s="286"/>
      <c r="BD323" s="430"/>
      <c r="BE323" s="430"/>
      <c r="BF323" s="430"/>
      <c r="BG323" s="430"/>
      <c r="BH323" s="318"/>
      <c r="BI323" s="322"/>
      <c r="BJ323" s="322"/>
      <c r="BK323" s="320"/>
      <c r="BL323" s="320"/>
      <c r="BM323" s="320"/>
      <c r="BN323" s="320"/>
      <c r="BO323" s="320"/>
      <c r="BP323" s="320"/>
      <c r="BQ323" s="320"/>
      <c r="BR323" s="320"/>
      <c r="BS323" s="320"/>
      <c r="BT323" s="320"/>
      <c r="BU323" s="320"/>
      <c r="BV323" s="320"/>
      <c r="BW323" s="320"/>
      <c r="BX323" s="320"/>
      <c r="BY323" s="320"/>
      <c r="BZ323" s="320"/>
      <c r="CA323" s="320"/>
      <c r="CB323" s="320"/>
      <c r="CC323" s="320"/>
      <c r="CD323" s="320"/>
      <c r="CE323" s="320"/>
      <c r="CF323" s="320"/>
      <c r="CG323" s="320"/>
      <c r="CH323" s="320"/>
      <c r="CI323" s="320"/>
      <c r="CJ323" s="320"/>
      <c r="CK323" s="316">
        <f>T323</f>
        <v>2400</v>
      </c>
      <c r="CL323" s="316">
        <f>U323</f>
        <v>2400</v>
      </c>
      <c r="CM323" s="316">
        <f>X323</f>
        <v>2400</v>
      </c>
      <c r="CN323" s="316">
        <f>AA323</f>
        <v>2400</v>
      </c>
    </row>
    <row r="324" spans="1:92">
      <c r="A324" s="171"/>
      <c r="B324" s="863" t="s">
        <v>4</v>
      </c>
      <c r="C324" s="965"/>
      <c r="D324" s="279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82">
        <f t="shared" ref="S324:AX324" si="1511">S323*S322</f>
        <v>242400</v>
      </c>
      <c r="T324" s="282">
        <f t="shared" si="1511"/>
        <v>243600</v>
      </c>
      <c r="U324" s="282">
        <f t="shared" si="1511"/>
        <v>246000</v>
      </c>
      <c r="V324" s="282">
        <f>V323*V322</f>
        <v>249600</v>
      </c>
      <c r="W324" s="282">
        <f>W323*W322</f>
        <v>252000</v>
      </c>
      <c r="X324" s="282">
        <f t="shared" si="1511"/>
        <v>250800</v>
      </c>
      <c r="Y324" s="282">
        <f>Y323*Y322</f>
        <v>252000</v>
      </c>
      <c r="Z324" s="282">
        <f>Z323*Z322</f>
        <v>252000</v>
      </c>
      <c r="AA324" s="282">
        <f t="shared" si="1511"/>
        <v>252000</v>
      </c>
      <c r="AB324" s="282">
        <f t="shared" ref="AB324:AC324" si="1512">AB323*AB322</f>
        <v>252000</v>
      </c>
      <c r="AC324" s="282">
        <f t="shared" si="1512"/>
        <v>252000</v>
      </c>
      <c r="AD324" s="282">
        <f t="shared" si="1511"/>
        <v>252000</v>
      </c>
      <c r="AE324" s="282">
        <f>AE323*AE322</f>
        <v>253200</v>
      </c>
      <c r="AF324" s="282">
        <f>AF323*AF322</f>
        <v>254400</v>
      </c>
      <c r="AG324" s="282">
        <f t="shared" si="1511"/>
        <v>253200</v>
      </c>
      <c r="AH324" s="282">
        <f>AH323*AH322</f>
        <v>254400</v>
      </c>
      <c r="AI324" s="190">
        <f>AI323*AI322</f>
        <v>254400</v>
      </c>
      <c r="AJ324" s="282">
        <f t="shared" ref="AJ324" si="1513">AJ323*AJ322</f>
        <v>254400</v>
      </c>
      <c r="AK324" s="190">
        <f>AK323*AK322</f>
        <v>254400</v>
      </c>
      <c r="AL324" s="282">
        <f>AL323*AL322</f>
        <v>254400</v>
      </c>
      <c r="AM324" s="282">
        <f t="shared" ref="AM324" si="1514">AM323*AM322</f>
        <v>254400</v>
      </c>
      <c r="AN324" s="190">
        <f>AN323*AN322</f>
        <v>255600</v>
      </c>
      <c r="AO324" s="282">
        <f>AO323*AO322</f>
        <v>256800</v>
      </c>
      <c r="AP324" s="190">
        <f t="shared" si="1511"/>
        <v>255600</v>
      </c>
      <c r="AQ324" s="1385">
        <f>AQ323*AQ322</f>
        <v>256800</v>
      </c>
      <c r="AR324" s="282">
        <f>AR323*AR322</f>
        <v>256800</v>
      </c>
      <c r="AS324" s="282">
        <f t="shared" si="1511"/>
        <v>256800</v>
      </c>
      <c r="AT324" s="282">
        <f t="shared" ref="AT324:AU324" si="1515">AT323*AT322</f>
        <v>256800</v>
      </c>
      <c r="AU324" s="282">
        <f t="shared" si="1515"/>
        <v>256800</v>
      </c>
      <c r="AV324" s="282">
        <f t="shared" si="1511"/>
        <v>256800</v>
      </c>
      <c r="AW324" s="282">
        <f t="shared" si="1511"/>
        <v>256800</v>
      </c>
      <c r="AX324" s="282">
        <f t="shared" si="1511"/>
        <v>256800</v>
      </c>
      <c r="AY324" s="282">
        <f t="shared" ref="AY324:BA324" si="1516">AY323*AY322</f>
        <v>256800</v>
      </c>
      <c r="AZ324" s="282">
        <f t="shared" si="1516"/>
        <v>256800</v>
      </c>
      <c r="BA324" s="282">
        <f t="shared" si="1516"/>
        <v>256800</v>
      </c>
      <c r="BB324" s="282">
        <f t="shared" ref="BB324" si="1517">BB323*BB322</f>
        <v>256800</v>
      </c>
      <c r="BC324" s="190"/>
      <c r="BD324" s="316"/>
      <c r="BE324" s="316"/>
      <c r="BF324" s="316"/>
      <c r="BG324" s="316"/>
      <c r="BH324" s="318"/>
      <c r="BI324" s="322"/>
      <c r="BJ324" s="322"/>
      <c r="BK324" s="320"/>
      <c r="BL324" s="320"/>
      <c r="BM324" s="320"/>
      <c r="BN324" s="320"/>
      <c r="BO324" s="320"/>
      <c r="BP324" s="320"/>
      <c r="BQ324" s="320"/>
      <c r="BR324" s="320"/>
      <c r="BS324" s="320"/>
      <c r="BT324" s="320"/>
      <c r="BU324" s="320"/>
      <c r="BV324" s="320"/>
      <c r="BW324" s="320"/>
      <c r="BX324" s="320"/>
      <c r="BY324" s="320"/>
      <c r="BZ324" s="320"/>
      <c r="CA324" s="320"/>
      <c r="CB324" s="320"/>
      <c r="CC324" s="320"/>
      <c r="CD324" s="320"/>
      <c r="CE324" s="320"/>
      <c r="CF324" s="320"/>
      <c r="CG324" s="320"/>
      <c r="CH324" s="320"/>
      <c r="CI324" s="320"/>
      <c r="CJ324" s="320"/>
      <c r="CK324" s="316">
        <f>CK323*CK322</f>
        <v>244800</v>
      </c>
      <c r="CL324" s="316">
        <f>T324</f>
        <v>243600</v>
      </c>
      <c r="CM324" s="316">
        <f>CM323*CM322</f>
        <v>247200</v>
      </c>
      <c r="CN324" s="316">
        <f>U324</f>
        <v>246000</v>
      </c>
    </row>
    <row r="325" spans="1:92">
      <c r="A325" s="171"/>
      <c r="B325" s="863" t="s">
        <v>5</v>
      </c>
      <c r="C325" s="965"/>
      <c r="D325" s="279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  <c r="S325" s="279"/>
      <c r="T325" s="279">
        <f>T324/S324-1</f>
        <v>4.9504950495049549E-3</v>
      </c>
      <c r="U325" s="279">
        <f>U324/T324-1</f>
        <v>9.8522167487684609E-3</v>
      </c>
      <c r="V325" s="263">
        <f>V324/CM324-1</f>
        <v>9.7087378640776656E-3</v>
      </c>
      <c r="W325" s="279">
        <f>W324/CN324-1</f>
        <v>2.4390243902439046E-2</v>
      </c>
      <c r="X325" s="279">
        <f>X324/U324-1</f>
        <v>1.9512195121951237E-2</v>
      </c>
      <c r="Y325" s="263">
        <f>Y324/V324-1</f>
        <v>9.6153846153845812E-3</v>
      </c>
      <c r="Z325" s="279">
        <f>Z324/W324-1</f>
        <v>0</v>
      </c>
      <c r="AA325" s="279">
        <f t="shared" ref="AA325" si="1518">AA324/X324-1</f>
        <v>4.7846889952152249E-3</v>
      </c>
      <c r="AB325" s="263">
        <f t="shared" ref="AB325:AD325" si="1519">AB324/Y324-1</f>
        <v>0</v>
      </c>
      <c r="AC325" s="279">
        <f t="shared" si="1519"/>
        <v>0</v>
      </c>
      <c r="AD325" s="279">
        <f t="shared" si="1519"/>
        <v>0</v>
      </c>
      <c r="AE325" s="293">
        <f>AE324/AD324-1</f>
        <v>4.761904761904745E-3</v>
      </c>
      <c r="AF325" s="293">
        <f>AF324/AE324-1</f>
        <v>4.7393364928909332E-3</v>
      </c>
      <c r="AG325" s="581">
        <f>AG324/AD324-1</f>
        <v>4.761904761904745E-3</v>
      </c>
      <c r="AH325" s="581">
        <f>AH324/AG324-1</f>
        <v>4.7393364928909332E-3</v>
      </c>
      <c r="AI325" s="564">
        <f t="shared" ref="AI325:AV325" si="1520">AI324/AF324-1</f>
        <v>0</v>
      </c>
      <c r="AJ325" s="581">
        <f>AJ324/AG324-1</f>
        <v>4.7393364928909332E-3</v>
      </c>
      <c r="AK325" s="646">
        <f>AK324/AJ324-1</f>
        <v>0</v>
      </c>
      <c r="AL325" s="137">
        <f t="shared" si="1520"/>
        <v>0</v>
      </c>
      <c r="AM325" s="581">
        <f>AM324/AJ324-1</f>
        <v>0</v>
      </c>
      <c r="AN325" s="646">
        <f>AN324/AM324-1</f>
        <v>4.7169811320755262E-3</v>
      </c>
      <c r="AO325" s="564">
        <f>AO324/AL324-1</f>
        <v>9.4339622641510523E-3</v>
      </c>
      <c r="AP325" s="137">
        <f>AP324/AM324-1</f>
        <v>4.7169811320755262E-3</v>
      </c>
      <c r="AQ325" s="1374">
        <f>AQ324/AP324-1</f>
        <v>4.6948356807512415E-3</v>
      </c>
      <c r="AR325" s="564">
        <f t="shared" si="1520"/>
        <v>0</v>
      </c>
      <c r="AS325" s="564">
        <f t="shared" si="1520"/>
        <v>4.6948356807512415E-3</v>
      </c>
      <c r="AT325" s="564">
        <f t="shared" si="1520"/>
        <v>0</v>
      </c>
      <c r="AU325" s="564">
        <f t="shared" si="1520"/>
        <v>0</v>
      </c>
      <c r="AV325" s="564">
        <f t="shared" si="1520"/>
        <v>0</v>
      </c>
      <c r="AW325" s="564">
        <f t="shared" ref="AW325" si="1521">AW324/AT324-1</f>
        <v>0</v>
      </c>
      <c r="AX325" s="564">
        <f t="shared" ref="AX325" si="1522">AX324/AU324-1</f>
        <v>0</v>
      </c>
      <c r="AY325" s="564">
        <f t="shared" ref="AY325" si="1523">AY324/AV324-1</f>
        <v>0</v>
      </c>
      <c r="AZ325" s="564">
        <f t="shared" ref="AZ325" si="1524">AZ324/AW324-1</f>
        <v>0</v>
      </c>
      <c r="BA325" s="564">
        <f t="shared" ref="BA325" si="1525">BA324/AX324-1</f>
        <v>0</v>
      </c>
      <c r="BB325" s="564">
        <f t="shared" ref="BB325" si="1526">BB324/AY324-1</f>
        <v>0</v>
      </c>
      <c r="BC325" s="564"/>
      <c r="BD325" s="331"/>
      <c r="BE325" s="331"/>
      <c r="BF325" s="331"/>
      <c r="BG325" s="331"/>
      <c r="BH325" s="318"/>
      <c r="BI325" s="322"/>
      <c r="BJ325" s="322"/>
      <c r="BK325" s="320"/>
      <c r="BL325" s="320"/>
      <c r="BM325" s="320"/>
      <c r="BN325" s="320"/>
      <c r="BO325" s="320"/>
      <c r="BP325" s="320"/>
      <c r="BQ325" s="320"/>
      <c r="BR325" s="320"/>
      <c r="BS325" s="320"/>
      <c r="BT325" s="320"/>
      <c r="BU325" s="320"/>
      <c r="BV325" s="320"/>
      <c r="BW325" s="320"/>
      <c r="BX325" s="320"/>
      <c r="BY325" s="320"/>
      <c r="BZ325" s="320"/>
      <c r="CA325" s="320"/>
      <c r="CB325" s="320"/>
      <c r="CC325" s="320"/>
      <c r="CD325" s="320"/>
      <c r="CE325" s="320"/>
      <c r="CF325" s="320"/>
      <c r="CG325" s="320"/>
      <c r="CH325" s="320"/>
      <c r="CI325" s="320"/>
      <c r="CJ325" s="320"/>
      <c r="CK325" s="320"/>
      <c r="CL325" s="320"/>
      <c r="CM325" s="331">
        <f t="shared" ref="CM325:CN325" si="1527">CM324/CK324-1</f>
        <v>9.8039215686274161E-3</v>
      </c>
      <c r="CN325" s="320">
        <f t="shared" si="1527"/>
        <v>9.8522167487684609E-3</v>
      </c>
    </row>
    <row r="326" spans="1:92">
      <c r="A326" s="171"/>
      <c r="B326" s="863"/>
      <c r="C326" s="965"/>
      <c r="D326" s="279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79"/>
      <c r="W326" s="279"/>
      <c r="X326" s="279"/>
      <c r="Y326" s="279"/>
      <c r="Z326" s="279"/>
      <c r="AA326" s="279"/>
      <c r="AB326" s="279"/>
      <c r="AC326" s="279"/>
      <c r="AD326" s="279"/>
      <c r="AE326" s="279"/>
      <c r="AF326" s="279"/>
      <c r="AG326" s="279"/>
      <c r="AH326" s="279"/>
      <c r="AI326" s="179"/>
      <c r="AJ326" s="279"/>
      <c r="AK326" s="179"/>
      <c r="AL326" s="279"/>
      <c r="AM326" s="279"/>
      <c r="AN326" s="179"/>
      <c r="AO326" s="279"/>
      <c r="AP326" s="137"/>
      <c r="AQ326" s="1371"/>
      <c r="AR326" s="279"/>
      <c r="AS326" s="193"/>
      <c r="AT326" s="279"/>
      <c r="AU326" s="279"/>
      <c r="AV326" s="193"/>
      <c r="AW326" s="279"/>
      <c r="AX326" s="279"/>
      <c r="AY326" s="193"/>
      <c r="AZ326" s="279"/>
      <c r="BA326" s="279"/>
      <c r="BB326" s="193"/>
      <c r="BC326" s="564"/>
      <c r="BD326" s="331"/>
      <c r="BE326" s="331"/>
      <c r="BF326" s="331"/>
      <c r="BG326" s="331"/>
      <c r="BH326" s="318"/>
      <c r="BI326" s="322"/>
      <c r="BJ326" s="322"/>
      <c r="BK326" s="320"/>
      <c r="BL326" s="320"/>
      <c r="BM326" s="320"/>
      <c r="BN326" s="320"/>
      <c r="BO326" s="320"/>
      <c r="BP326" s="320"/>
      <c r="BQ326" s="320"/>
      <c r="BR326" s="320"/>
      <c r="BS326" s="320"/>
      <c r="BT326" s="320"/>
      <c r="BU326" s="320"/>
      <c r="BV326" s="320"/>
      <c r="BW326" s="320"/>
      <c r="BX326" s="320"/>
      <c r="BY326" s="320"/>
      <c r="BZ326" s="320"/>
      <c r="CA326" s="320"/>
      <c r="CB326" s="320"/>
      <c r="CC326" s="320"/>
      <c r="CD326" s="320"/>
      <c r="CE326" s="320"/>
      <c r="CF326" s="320"/>
      <c r="CG326" s="320"/>
      <c r="CH326" s="320"/>
      <c r="CI326" s="320"/>
      <c r="CJ326" s="320"/>
      <c r="CK326" s="320"/>
      <c r="CL326" s="320"/>
      <c r="CM326" s="320"/>
      <c r="CN326" s="320"/>
    </row>
    <row r="327" spans="1:92">
      <c r="A327" s="171"/>
      <c r="B327" s="863" t="s">
        <v>740</v>
      </c>
      <c r="C327" s="965"/>
      <c r="D327" s="279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279"/>
      <c r="S327" s="279">
        <f t="shared" ref="S327:AX327" si="1528">S308/S321</f>
        <v>20.693069306930692</v>
      </c>
      <c r="T327" s="279">
        <f t="shared" si="1528"/>
        <v>12.337254901960785</v>
      </c>
      <c r="U327" s="279">
        <f t="shared" si="1528"/>
        <v>20.400970873786409</v>
      </c>
      <c r="V327" s="279">
        <f>V308/V321</f>
        <v>10.768571428571429</v>
      </c>
      <c r="W327" s="279">
        <f>W308/W321</f>
        <v>9.687619047619048</v>
      </c>
      <c r="X327" s="279">
        <f t="shared" si="1528"/>
        <v>20.456190476190478</v>
      </c>
      <c r="Y327" s="279">
        <f>Y308/Y321</f>
        <v>10.928571428571429</v>
      </c>
      <c r="Z327" s="279">
        <f>Z308/Z321</f>
        <v>11.821904761904763</v>
      </c>
      <c r="AA327" s="279">
        <f t="shared" si="1528"/>
        <v>22.750476190476192</v>
      </c>
      <c r="AB327" s="279">
        <f>AB308/AB321</f>
        <v>13.814285714285715</v>
      </c>
      <c r="AC327" s="279">
        <f>AC308/AC321</f>
        <v>12.049523809523809</v>
      </c>
      <c r="AD327" s="279">
        <f t="shared" si="1528"/>
        <v>25.863809523809522</v>
      </c>
      <c r="AE327" s="279">
        <f>AE308/AE321</f>
        <v>13.579245283018869</v>
      </c>
      <c r="AF327" s="279">
        <f>AF308/AF321</f>
        <v>12.735849056603774</v>
      </c>
      <c r="AG327" s="279">
        <f t="shared" si="1528"/>
        <v>26.315094339622643</v>
      </c>
      <c r="AH327" s="279">
        <f>AH308/AH321</f>
        <v>14.566037735849056</v>
      </c>
      <c r="AI327" s="179">
        <f>AI308/AI321</f>
        <v>11.971698113207546</v>
      </c>
      <c r="AJ327" s="279">
        <f t="shared" ref="AJ327" si="1529">AJ308/AJ321</f>
        <v>26.537735849056602</v>
      </c>
      <c r="AK327" s="179">
        <f>AK308/AK321</f>
        <v>13.121698113207549</v>
      </c>
      <c r="AL327" s="279">
        <f>AL308/AL321</f>
        <v>12.152830188679243</v>
      </c>
      <c r="AM327" s="279">
        <f t="shared" ref="AM327" si="1530">AM308/AM321</f>
        <v>25.274528301886793</v>
      </c>
      <c r="AN327" s="179">
        <f>AN308/AN321</f>
        <v>14.194392523364485</v>
      </c>
      <c r="AO327" s="279">
        <f>AO308/AO321</f>
        <v>12.581308411214954</v>
      </c>
      <c r="AP327" s="179">
        <f t="shared" si="1528"/>
        <v>26.77570093457944</v>
      </c>
      <c r="AQ327" s="1371">
        <f>AQ308/AQ321</f>
        <v>14.77570093457944</v>
      </c>
      <c r="AR327" s="279">
        <f>AR308/AR321</f>
        <v>12.902202843227592</v>
      </c>
      <c r="AS327" s="279">
        <f t="shared" si="1528"/>
        <v>27.677903777807032</v>
      </c>
      <c r="AT327" s="279">
        <f t="shared" ref="AT327:AU327" si="1531">AT308/AT321</f>
        <v>15.218971962616823</v>
      </c>
      <c r="AU327" s="279">
        <f t="shared" si="1531"/>
        <v>13.28926892852442</v>
      </c>
      <c r="AV327" s="279">
        <f t="shared" si="1528"/>
        <v>28.508240891141241</v>
      </c>
      <c r="AW327" s="279">
        <f t="shared" si="1528"/>
        <v>15.751635981308409</v>
      </c>
      <c r="AX327" s="279">
        <f t="shared" si="1528"/>
        <v>13.754393341022775</v>
      </c>
      <c r="AY327" s="279">
        <f t="shared" ref="AY327:BA327" si="1532">AY308/AY321</f>
        <v>29.506029322331184</v>
      </c>
      <c r="AZ327" s="279">
        <f t="shared" si="1532"/>
        <v>16.302943240654201</v>
      </c>
      <c r="BA327" s="279">
        <f t="shared" si="1532"/>
        <v>14.235797107958572</v>
      </c>
      <c r="BB327" s="279">
        <f t="shared" ref="BB327" si="1533">BB308/BB321</f>
        <v>30.538740348612773</v>
      </c>
      <c r="BC327" s="179"/>
      <c r="BD327" s="320"/>
      <c r="BE327" s="320"/>
      <c r="BF327" s="320"/>
      <c r="BG327" s="320"/>
      <c r="BH327" s="318"/>
      <c r="BI327" s="322"/>
      <c r="BJ327" s="322"/>
      <c r="BK327" s="320"/>
      <c r="BL327" s="320"/>
      <c r="BM327" s="320"/>
      <c r="BN327" s="320"/>
      <c r="BO327" s="320"/>
      <c r="BP327" s="320"/>
      <c r="BQ327" s="320"/>
      <c r="BR327" s="320"/>
      <c r="BS327" s="320"/>
      <c r="BT327" s="320"/>
      <c r="BU327" s="320"/>
      <c r="BV327" s="320"/>
      <c r="BW327" s="320"/>
      <c r="BX327" s="320"/>
      <c r="BY327" s="320"/>
      <c r="BZ327" s="320"/>
      <c r="CA327" s="320"/>
      <c r="CB327" s="320"/>
      <c r="CC327" s="320"/>
      <c r="CD327" s="320"/>
      <c r="CE327" s="320"/>
      <c r="CF327" s="320"/>
      <c r="CG327" s="320"/>
      <c r="CH327" s="320"/>
      <c r="CI327" s="320"/>
      <c r="CJ327" s="320"/>
      <c r="CK327" s="320"/>
      <c r="CL327" s="320"/>
      <c r="CM327" s="320">
        <f t="shared" ref="CM327:CN327" si="1534">CM308/CM321</f>
        <v>10.574999999999999</v>
      </c>
      <c r="CN327" s="320">
        <f t="shared" si="1534"/>
        <v>9.7233009708737885</v>
      </c>
    </row>
    <row r="328" spans="1:92">
      <c r="A328" s="171"/>
      <c r="B328" s="863" t="s">
        <v>741</v>
      </c>
      <c r="C328" s="965"/>
      <c r="D328" s="279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>
        <f t="shared" ref="S328:AX328" si="1535">S308/S324*1000</f>
        <v>8.6221122112211219</v>
      </c>
      <c r="T328" s="279">
        <f t="shared" si="1535"/>
        <v>5.1658456486042699</v>
      </c>
      <c r="U328" s="279">
        <f t="shared" si="1535"/>
        <v>8.541869918699188</v>
      </c>
      <c r="V328" s="279">
        <f>V308/V324*1000</f>
        <v>4.5300480769230775</v>
      </c>
      <c r="W328" s="279">
        <f>W308/W324*1000</f>
        <v>4.0365079365079373</v>
      </c>
      <c r="X328" s="279">
        <f t="shared" si="1535"/>
        <v>8.5641945773524721</v>
      </c>
      <c r="Y328" s="279">
        <f>Y308/Y324*1000</f>
        <v>4.5535714285714288</v>
      </c>
      <c r="Z328" s="279">
        <f>Z308/Z324*1000</f>
        <v>4.9257936507936515</v>
      </c>
      <c r="AA328" s="279">
        <f t="shared" si="1535"/>
        <v>9.4793650793650812</v>
      </c>
      <c r="AB328" s="279">
        <f>AB308/AB324*1000</f>
        <v>5.7559523809523805</v>
      </c>
      <c r="AC328" s="279">
        <f>AC308/AC324*1000</f>
        <v>5.0206349206349206</v>
      </c>
      <c r="AD328" s="279">
        <f t="shared" si="1535"/>
        <v>10.7765873015873</v>
      </c>
      <c r="AE328" s="279">
        <f>AE308/AE324*1000</f>
        <v>5.6848341232227497</v>
      </c>
      <c r="AF328" s="279">
        <f>AF308/AF324*1000</f>
        <v>5.3066037735849054</v>
      </c>
      <c r="AG328" s="279">
        <f t="shared" si="1535"/>
        <v>11.016587677725118</v>
      </c>
      <c r="AH328" s="279">
        <f>AH308/AH324*1000</f>
        <v>6.0691823899371071</v>
      </c>
      <c r="AI328" s="179">
        <f>AI308/AI324*1000</f>
        <v>4.9882075471698109</v>
      </c>
      <c r="AJ328" s="279">
        <f t="shared" ref="AJ328" si="1536">AJ308/AJ324*1000</f>
        <v>11.057389937106919</v>
      </c>
      <c r="AK328" s="179">
        <f>AK308/AK324*1000</f>
        <v>5.4673742138364787</v>
      </c>
      <c r="AL328" s="279">
        <f>AL308/AL324*1000</f>
        <v>5.0636792452830184</v>
      </c>
      <c r="AM328" s="279">
        <f t="shared" ref="AM328" si="1537">AM308/AM324*1000</f>
        <v>10.531053459119496</v>
      </c>
      <c r="AN328" s="179">
        <f>AN308/AN324*1000</f>
        <v>5.9420970266040687</v>
      </c>
      <c r="AO328" s="279">
        <f>AO308/AO324*1000</f>
        <v>5.2422118380062308</v>
      </c>
      <c r="AP328" s="179">
        <f t="shared" si="1535"/>
        <v>11.208920187793428</v>
      </c>
      <c r="AQ328" s="1371">
        <f>AQ308/AQ324*1000</f>
        <v>6.1565420560747661</v>
      </c>
      <c r="AR328" s="279">
        <f>AR308/AR324*1000</f>
        <v>5.3759178513448296</v>
      </c>
      <c r="AS328" s="279">
        <f t="shared" si="1535"/>
        <v>11.532459907419597</v>
      </c>
      <c r="AT328" s="279">
        <f t="shared" ref="AT328:AU328" si="1538">AT308/AT324*1000</f>
        <v>6.3412383177570097</v>
      </c>
      <c r="AU328" s="279">
        <f t="shared" si="1538"/>
        <v>5.5371953868851751</v>
      </c>
      <c r="AV328" s="279">
        <f t="shared" si="1535"/>
        <v>11.878433704642184</v>
      </c>
      <c r="AW328" s="279">
        <f t="shared" si="1535"/>
        <v>6.5631816588785039</v>
      </c>
      <c r="AX328" s="279">
        <f t="shared" si="1535"/>
        <v>5.7309972254261563</v>
      </c>
      <c r="AY328" s="279">
        <f t="shared" ref="AY328:BA328" si="1539">AY308/AY324*1000</f>
        <v>12.29417888430466</v>
      </c>
      <c r="AZ328" s="279">
        <f t="shared" si="1539"/>
        <v>6.7928930169392512</v>
      </c>
      <c r="BA328" s="279">
        <f t="shared" si="1539"/>
        <v>5.9315821283160712</v>
      </c>
      <c r="BB328" s="279">
        <f t="shared" ref="BB328" si="1540">BB308/BB324*1000</f>
        <v>12.724475145255322</v>
      </c>
      <c r="BC328" s="179"/>
      <c r="BD328" s="320"/>
      <c r="BE328" s="320"/>
      <c r="BF328" s="320"/>
      <c r="BG328" s="320"/>
      <c r="BH328" s="318"/>
      <c r="BI328" s="322"/>
      <c r="BJ328" s="322"/>
      <c r="BK328" s="320"/>
      <c r="BL328" s="320"/>
      <c r="BM328" s="320"/>
      <c r="BN328" s="320"/>
      <c r="BO328" s="320"/>
      <c r="BP328" s="320"/>
      <c r="BQ328" s="320"/>
      <c r="BR328" s="320"/>
      <c r="BS328" s="320"/>
      <c r="BT328" s="320"/>
      <c r="BU328" s="320"/>
      <c r="BV328" s="320"/>
      <c r="BW328" s="320"/>
      <c r="BX328" s="320"/>
      <c r="BY328" s="320"/>
      <c r="BZ328" s="320"/>
      <c r="CA328" s="320"/>
      <c r="CB328" s="320"/>
      <c r="CC328" s="320"/>
      <c r="CD328" s="320"/>
      <c r="CE328" s="320"/>
      <c r="CF328" s="320"/>
      <c r="CG328" s="320"/>
      <c r="CH328" s="320"/>
      <c r="CI328" s="320"/>
      <c r="CJ328" s="320"/>
      <c r="CK328" s="320"/>
      <c r="CL328" s="320"/>
      <c r="CM328" s="320">
        <f t="shared" ref="CM328:CN328" si="1541">CM308/CM324*1000</f>
        <v>4.4490291262135919</v>
      </c>
      <c r="CN328" s="320">
        <f t="shared" si="1541"/>
        <v>4.0711382113821148</v>
      </c>
    </row>
    <row r="329" spans="1:92">
      <c r="A329" s="171"/>
      <c r="B329" s="863"/>
      <c r="C329" s="965"/>
      <c r="D329" s="279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  <c r="AA329" s="279"/>
      <c r="AB329" s="279"/>
      <c r="AC329" s="279"/>
      <c r="AD329" s="279"/>
      <c r="AE329" s="279"/>
      <c r="AF329" s="279"/>
      <c r="AG329" s="279"/>
      <c r="AH329" s="279"/>
      <c r="AI329" s="179"/>
      <c r="AJ329" s="279"/>
      <c r="AK329" s="179"/>
      <c r="AL329" s="279"/>
      <c r="AM329" s="279"/>
      <c r="AN329" s="179"/>
      <c r="AO329" s="279"/>
      <c r="AP329" s="179"/>
      <c r="AQ329" s="1371"/>
      <c r="AR329" s="279"/>
      <c r="AS329" s="179"/>
      <c r="AT329" s="279"/>
      <c r="AU329" s="279"/>
      <c r="AV329" s="179"/>
      <c r="AW329" s="279"/>
      <c r="AX329" s="279"/>
      <c r="AY329" s="179"/>
      <c r="AZ329" s="279"/>
      <c r="BA329" s="279"/>
      <c r="BB329" s="179"/>
      <c r="BC329" s="179"/>
      <c r="BD329" s="320"/>
      <c r="BE329" s="320"/>
      <c r="BF329" s="320"/>
      <c r="BG329" s="320"/>
      <c r="BH329" s="318"/>
      <c r="BI329" s="322"/>
      <c r="BJ329" s="322"/>
      <c r="BK329" s="320"/>
      <c r="BL329" s="320"/>
      <c r="BM329" s="320"/>
      <c r="BN329" s="320"/>
      <c r="BO329" s="320"/>
      <c r="BP329" s="320"/>
      <c r="BQ329" s="320"/>
      <c r="BR329" s="320"/>
      <c r="BS329" s="320"/>
      <c r="BT329" s="320"/>
      <c r="BU329" s="320"/>
      <c r="BV329" s="320"/>
      <c r="BW329" s="320"/>
      <c r="BX329" s="320"/>
      <c r="BY329" s="320"/>
      <c r="BZ329" s="320"/>
      <c r="CA329" s="320"/>
      <c r="CB329" s="320"/>
      <c r="CC329" s="320"/>
      <c r="CD329" s="320"/>
      <c r="CE329" s="320"/>
      <c r="CF329" s="320"/>
      <c r="CG329" s="320"/>
      <c r="CH329" s="320"/>
      <c r="CI329" s="320"/>
      <c r="CJ329" s="320"/>
      <c r="CK329" s="320"/>
      <c r="CL329" s="320"/>
      <c r="CM329" s="320"/>
      <c r="CN329" s="320"/>
    </row>
    <row r="330" spans="1:92">
      <c r="A330" s="171"/>
      <c r="B330" s="834" t="s">
        <v>273</v>
      </c>
      <c r="C330" s="965"/>
      <c r="D330" s="279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303">
        <f>Q333-Q308</f>
        <v>-1451.57</v>
      </c>
      <c r="R330" s="303">
        <f>R333-R308</f>
        <v>-1477.8400000000001</v>
      </c>
      <c r="S330" s="303">
        <f>S333-S308</f>
        <v>-1575.8600000000001</v>
      </c>
      <c r="T330" s="303">
        <f t="shared" ref="T330:AX330" si="1542">T333-T308</f>
        <v>-990.80000000000007</v>
      </c>
      <c r="U330" s="303">
        <f t="shared" si="1542"/>
        <v>-1675.2000000000003</v>
      </c>
      <c r="V330" s="294">
        <f>V333-V308</f>
        <v>-897.5</v>
      </c>
      <c r="W330" s="294">
        <f>W333-W308</f>
        <v>-807.7</v>
      </c>
      <c r="X330" s="303">
        <f t="shared" si="1542"/>
        <v>-1705.2</v>
      </c>
      <c r="Y330" s="294">
        <f>Y333-Y308</f>
        <v>-909.9</v>
      </c>
      <c r="Z330" s="294">
        <f>Z333-Z308</f>
        <v>-988.70000000000016</v>
      </c>
      <c r="AA330" s="303">
        <f t="shared" si="1542"/>
        <v>-1898.6000000000001</v>
      </c>
      <c r="AB330" s="294">
        <f>AB333-AB308</f>
        <v>-1125.9000000000001</v>
      </c>
      <c r="AC330" s="294">
        <f>AC333-AC308</f>
        <v>-981.19999999999982</v>
      </c>
      <c r="AD330" s="303">
        <f t="shared" si="1542"/>
        <v>-2107.1</v>
      </c>
      <c r="AE330" s="294">
        <f t="shared" ref="AE330:AF330" si="1543">AE333-AE308</f>
        <v>-1114.5</v>
      </c>
      <c r="AF330" s="294">
        <f t="shared" si="1543"/>
        <v>-1025</v>
      </c>
      <c r="AG330" s="303">
        <f>AG333-AG308</f>
        <v>-2139.5</v>
      </c>
      <c r="AH330" s="294">
        <f t="shared" ref="AH330" si="1544">AH333-AH308</f>
        <v>-1185.5999999999999</v>
      </c>
      <c r="AI330" s="241">
        <f t="shared" ref="AI330" si="1545">AI333-AI308</f>
        <v>-969</v>
      </c>
      <c r="AJ330" s="303">
        <f>AJ333-AJ308</f>
        <v>-2154.6</v>
      </c>
      <c r="AK330" s="241">
        <f t="shared" ref="AK330" si="1546">AK333-AK308</f>
        <v>-1065.9000000000001</v>
      </c>
      <c r="AL330" s="294">
        <f t="shared" ref="AL330" si="1547">AL333-AL308</f>
        <v>-991.99999999999977</v>
      </c>
      <c r="AM330" s="303">
        <f>AM333-AM308</f>
        <v>-2057.8999999999996</v>
      </c>
      <c r="AN330" s="241">
        <f t="shared" ref="AN330" si="1548">AN333-AN308</f>
        <v>-1167.6999999999998</v>
      </c>
      <c r="AO330" s="294">
        <f t="shared" ref="AO330" si="1549">AO333-AO308</f>
        <v>-1024.9000000000001</v>
      </c>
      <c r="AP330" s="303">
        <f>AP333-AP308</f>
        <v>-2192.6</v>
      </c>
      <c r="AQ330" s="1645">
        <f t="shared" ref="AQ330" si="1550">AQ333-AQ308</f>
        <v>-1212.2</v>
      </c>
      <c r="AR330" s="294">
        <f t="shared" ref="AR330" si="1551">AR333-AR308</f>
        <v>-1051.3177610093899</v>
      </c>
      <c r="AS330" s="303">
        <f t="shared" si="1542"/>
        <v>-2263.5177610093897</v>
      </c>
      <c r="AT330" s="294">
        <f t="shared" ref="AT330:AU330" si="1552">AT333-AT308</f>
        <v>-1250.19443</v>
      </c>
      <c r="AU330" s="294">
        <f t="shared" si="1552"/>
        <v>-1084.2792456150237</v>
      </c>
      <c r="AV330" s="303">
        <f t="shared" si="1542"/>
        <v>-2334.4736756150237</v>
      </c>
      <c r="AW330" s="294">
        <f t="shared" si="1542"/>
        <v>-1293.9512350499999</v>
      </c>
      <c r="AX330" s="294">
        <f t="shared" si="1542"/>
        <v>-1122.2290192115495</v>
      </c>
      <c r="AY330" s="303">
        <f t="shared" ref="AY330:BA330" si="1553">AY333-AY308</f>
        <v>-2416.1802542615496</v>
      </c>
      <c r="AZ330" s="294">
        <f t="shared" si="1553"/>
        <v>-1339.2395282767498</v>
      </c>
      <c r="BA330" s="294">
        <f t="shared" si="1553"/>
        <v>-1161.5070348839536</v>
      </c>
      <c r="BB330" s="303">
        <f t="shared" ref="BB330" si="1554">BB333-BB308</f>
        <v>-2500.7465631607033</v>
      </c>
      <c r="BC330" s="662"/>
      <c r="BD330" s="380"/>
      <c r="BE330" s="380"/>
      <c r="BF330" s="380"/>
      <c r="BG330" s="380"/>
      <c r="BH330" s="318"/>
      <c r="BI330" s="322"/>
      <c r="BJ330" s="322"/>
      <c r="BK330" s="320"/>
      <c r="BL330" s="320"/>
      <c r="BM330" s="320"/>
      <c r="BN330" s="320"/>
      <c r="BO330" s="320"/>
      <c r="BP330" s="320"/>
      <c r="BQ330" s="320"/>
      <c r="BR330" s="320"/>
      <c r="BS330" s="320"/>
      <c r="BT330" s="320"/>
      <c r="BU330" s="320"/>
      <c r="BV330" s="320"/>
      <c r="BW330" s="320"/>
      <c r="BX330" s="320"/>
      <c r="BY330" s="320"/>
      <c r="BZ330" s="320"/>
      <c r="CA330" s="320"/>
      <c r="CB330" s="320"/>
      <c r="CC330" s="320"/>
      <c r="CD330" s="320"/>
      <c r="CE330" s="320"/>
      <c r="CF330" s="320"/>
      <c r="CG330" s="320"/>
      <c r="CH330" s="320"/>
      <c r="CI330" s="320"/>
      <c r="CJ330" s="320"/>
      <c r="CK330" s="320">
        <f t="shared" ref="CK330:CN330" si="1555">CK333-CK308</f>
        <v>-211.40000000000003</v>
      </c>
      <c r="CL330" s="320">
        <f t="shared" si="1555"/>
        <v>-779.40000000000009</v>
      </c>
      <c r="CM330" s="419">
        <f t="shared" si="1555"/>
        <v>-871.19999999999993</v>
      </c>
      <c r="CN330" s="419">
        <f t="shared" si="1555"/>
        <v>-804.00000000000023</v>
      </c>
    </row>
    <row r="331" spans="1:92">
      <c r="A331" s="171"/>
      <c r="B331" s="1080" t="s">
        <v>416</v>
      </c>
      <c r="C331" s="965"/>
      <c r="D331" s="279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63">
        <f>-Q330/Q308</f>
        <v>0.75800000000000001</v>
      </c>
      <c r="R331" s="263">
        <f>-R330/R308</f>
        <v>0.75400000000000011</v>
      </c>
      <c r="S331" s="263">
        <f>-S330/S308</f>
        <v>0.75400000000000011</v>
      </c>
      <c r="T331" s="263">
        <f>-T330/T308</f>
        <v>0.78734901462174189</v>
      </c>
      <c r="U331" s="263">
        <f t="shared" ref="U331:AX331" si="1556">-U330/U308</f>
        <v>0.79722076809594067</v>
      </c>
      <c r="V331" s="263">
        <f>-V330/V308</f>
        <v>0.79375608030423628</v>
      </c>
      <c r="W331" s="263">
        <f>-W330/W308</f>
        <v>0.794042469524184</v>
      </c>
      <c r="X331" s="263">
        <f t="shared" si="1556"/>
        <v>0.79389170818008281</v>
      </c>
      <c r="Y331" s="263">
        <f>-Y330/Y308</f>
        <v>0.79294117647058826</v>
      </c>
      <c r="Z331" s="263">
        <f>-Z330/Z308</f>
        <v>0.79650366551196328</v>
      </c>
      <c r="AA331" s="263">
        <f t="shared" si="1556"/>
        <v>0.79479236436704626</v>
      </c>
      <c r="AB331" s="263">
        <f>-AB330/AB308</f>
        <v>0.77621509824198553</v>
      </c>
      <c r="AC331" s="263">
        <f>-AC330/AC308</f>
        <v>0.77552956054378752</v>
      </c>
      <c r="AD331" s="263">
        <f t="shared" si="1556"/>
        <v>0.77589571749456865</v>
      </c>
      <c r="AE331" s="263">
        <f t="shared" ref="AE331:AF331" si="1557">-AE330/AE308</f>
        <v>0.77428095039599831</v>
      </c>
      <c r="AF331" s="263">
        <f t="shared" si="1557"/>
        <v>0.7592592592592593</v>
      </c>
      <c r="AG331" s="284">
        <f>-AG330/AG308</f>
        <v>0.76701082670108267</v>
      </c>
      <c r="AH331" s="284">
        <f t="shared" ref="AH331" si="1558">-AH330/AH308</f>
        <v>0.76787564766839367</v>
      </c>
      <c r="AI331" s="564">
        <f t="shared" ref="AI331" si="1559">-AI330/AI308</f>
        <v>0.7635933806146572</v>
      </c>
      <c r="AJ331" s="284">
        <f>-AJ330/AJ308</f>
        <v>0.76594383220760753</v>
      </c>
      <c r="AK331" s="137">
        <f t="shared" ref="AK331" si="1560">-AK330/AK308</f>
        <v>0.7663383420806672</v>
      </c>
      <c r="AL331" s="284">
        <f t="shared" ref="AL331" si="1561">-AL330/AL308</f>
        <v>0.77006675981990369</v>
      </c>
      <c r="AM331" s="284">
        <f>-AM330/AM308</f>
        <v>0.76813108879847702</v>
      </c>
      <c r="AN331" s="137">
        <f t="shared" ref="AN331" si="1562">-AN330/AN308</f>
        <v>0.7688306557808795</v>
      </c>
      <c r="AO331" s="263">
        <f t="shared" ref="AO331" si="1563">-AO330/AO308</f>
        <v>0.76132818303372463</v>
      </c>
      <c r="AP331" s="284">
        <f>-AP330/AP308</f>
        <v>0.76530541012216402</v>
      </c>
      <c r="AQ331" s="1315">
        <f t="shared" ref="AQ331" si="1564">-AQ330/AQ308</f>
        <v>0.76672991777356103</v>
      </c>
      <c r="AR331" s="263">
        <f t="shared" ref="AR331" si="1565">-AR330/AR308</f>
        <v>0.76152884549936828</v>
      </c>
      <c r="AS331" s="263">
        <f t="shared" si="1556"/>
        <v>0.76430541012216402</v>
      </c>
      <c r="AT331" s="263">
        <f t="shared" ref="AT331:AU331" si="1566">-AT330/AT308</f>
        <v>0.76772991777356103</v>
      </c>
      <c r="AU331" s="263">
        <f t="shared" si="1566"/>
        <v>0.76252884549936828</v>
      </c>
      <c r="AV331" s="263">
        <f t="shared" si="1556"/>
        <v>0.76530541012216402</v>
      </c>
      <c r="AW331" s="263">
        <f t="shared" si="1556"/>
        <v>0.76772991777356103</v>
      </c>
      <c r="AX331" s="263">
        <f t="shared" si="1556"/>
        <v>0.76252884549936817</v>
      </c>
      <c r="AY331" s="263">
        <f t="shared" ref="AY331:BA331" si="1567">-AY330/AY308</f>
        <v>0.76530541012216413</v>
      </c>
      <c r="AZ331" s="263">
        <f t="shared" si="1567"/>
        <v>0.76772991777356103</v>
      </c>
      <c r="BA331" s="263">
        <f t="shared" si="1567"/>
        <v>0.76252884549936817</v>
      </c>
      <c r="BB331" s="263">
        <f t="shared" ref="BB331" si="1568">-BB330/BB308</f>
        <v>0.76530541012216402</v>
      </c>
      <c r="BC331" s="564"/>
      <c r="BD331" s="331"/>
      <c r="BE331" s="331"/>
      <c r="BF331" s="331"/>
      <c r="BG331" s="331"/>
      <c r="BH331" s="318"/>
      <c r="BI331" s="322"/>
      <c r="BJ331" s="322"/>
      <c r="BK331" s="320"/>
      <c r="BL331" s="320"/>
      <c r="BM331" s="320"/>
      <c r="BN331" s="320"/>
      <c r="BO331" s="320"/>
      <c r="BP331" s="320"/>
      <c r="BQ331" s="320"/>
      <c r="BR331" s="320"/>
      <c r="BS331" s="320"/>
      <c r="BT331" s="320"/>
      <c r="BU331" s="320"/>
      <c r="BV331" s="320"/>
      <c r="BW331" s="320"/>
      <c r="BX331" s="320"/>
      <c r="BY331" s="320"/>
      <c r="BZ331" s="320"/>
      <c r="CA331" s="320"/>
      <c r="CB331" s="320"/>
      <c r="CC331" s="320"/>
      <c r="CD331" s="320"/>
      <c r="CE331" s="320"/>
      <c r="CF331" s="320"/>
      <c r="CG331" s="320"/>
      <c r="CH331" s="320"/>
      <c r="CI331" s="320"/>
      <c r="CJ331" s="320"/>
      <c r="CK331" s="331">
        <f t="shared" ref="CK331:CN331" si="1569">-CK330/CK308</f>
        <v>0.80349676928924374</v>
      </c>
      <c r="CL331" s="331">
        <f t="shared" si="1569"/>
        <v>0.7830804782477645</v>
      </c>
      <c r="CM331" s="331">
        <f t="shared" si="1569"/>
        <v>0.79214402618657931</v>
      </c>
      <c r="CN331" s="331">
        <f t="shared" si="1569"/>
        <v>0.80279580629056424</v>
      </c>
    </row>
    <row r="332" spans="1:92">
      <c r="A332" s="171"/>
      <c r="B332" s="834"/>
      <c r="C332" s="965"/>
      <c r="D332" s="279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79"/>
      <c r="W332" s="279"/>
      <c r="X332" s="279"/>
      <c r="Y332" s="279"/>
      <c r="Z332" s="279"/>
      <c r="AA332" s="279"/>
      <c r="AB332" s="279"/>
      <c r="AC332" s="279"/>
      <c r="AD332" s="279"/>
      <c r="AE332" s="279"/>
      <c r="AF332" s="279"/>
      <c r="AG332" s="279"/>
      <c r="AH332" s="279"/>
      <c r="AI332" s="179"/>
      <c r="AJ332" s="279"/>
      <c r="AK332" s="179"/>
      <c r="AL332" s="279"/>
      <c r="AM332" s="279"/>
      <c r="AN332" s="179"/>
      <c r="AO332" s="279"/>
      <c r="AP332" s="279"/>
      <c r="AQ332" s="1371"/>
      <c r="AR332" s="279"/>
      <c r="AS332" s="279"/>
      <c r="AT332" s="279"/>
      <c r="AU332" s="279"/>
      <c r="AV332" s="279"/>
      <c r="AW332" s="279"/>
      <c r="AX332" s="279"/>
      <c r="AY332" s="279"/>
      <c r="AZ332" s="279"/>
      <c r="BA332" s="279"/>
      <c r="BB332" s="279"/>
      <c r="BC332" s="179"/>
      <c r="BD332" s="320"/>
      <c r="BE332" s="320"/>
      <c r="BF332" s="320"/>
      <c r="BG332" s="320"/>
      <c r="BH332" s="318"/>
      <c r="BI332" s="322"/>
      <c r="BJ332" s="322"/>
      <c r="BK332" s="320"/>
      <c r="BL332" s="320"/>
      <c r="BM332" s="320"/>
      <c r="BN332" s="320"/>
      <c r="BO332" s="320"/>
      <c r="BP332" s="320"/>
      <c r="BQ332" s="320"/>
      <c r="BR332" s="320"/>
      <c r="BS332" s="320"/>
      <c r="BT332" s="320"/>
      <c r="BU332" s="320"/>
      <c r="BV332" s="320"/>
      <c r="BW332" s="320"/>
      <c r="BX332" s="320"/>
      <c r="BY332" s="320"/>
      <c r="BZ332" s="320"/>
      <c r="CA332" s="320"/>
      <c r="CB332" s="320"/>
      <c r="CC332" s="320"/>
      <c r="CD332" s="320"/>
      <c r="CE332" s="320"/>
      <c r="CF332" s="320"/>
      <c r="CG332" s="320"/>
      <c r="CH332" s="320"/>
      <c r="CI332" s="320"/>
      <c r="CJ332" s="320"/>
      <c r="CK332" s="320"/>
      <c r="CL332" s="320"/>
      <c r="CM332" s="320"/>
      <c r="CN332" s="320"/>
    </row>
    <row r="333" spans="1:92">
      <c r="A333" s="171" t="s">
        <v>814</v>
      </c>
      <c r="B333" s="834" t="s">
        <v>275</v>
      </c>
      <c r="C333" s="965"/>
      <c r="D333" s="279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303">
        <f>Q334*Q308</f>
        <v>463.43</v>
      </c>
      <c r="R333" s="303">
        <f>R334*R308</f>
        <v>482.15999999999997</v>
      </c>
      <c r="S333" s="303">
        <f>S334*S308</f>
        <v>514.14</v>
      </c>
      <c r="T333" s="840">
        <v>267.60000000000002</v>
      </c>
      <c r="U333" s="840">
        <v>426.1</v>
      </c>
      <c r="V333" s="1061">
        <v>233.2</v>
      </c>
      <c r="W333" s="1061">
        <f>X333-V333</f>
        <v>209.5</v>
      </c>
      <c r="X333" s="840">
        <v>442.7</v>
      </c>
      <c r="Y333" s="1061">
        <v>237.6</v>
      </c>
      <c r="Z333" s="1061">
        <f>AA333-Y333</f>
        <v>252.6</v>
      </c>
      <c r="AA333" s="840">
        <v>490.2</v>
      </c>
      <c r="AB333" s="1061">
        <v>324.60000000000002</v>
      </c>
      <c r="AC333" s="1061">
        <f>AD333-AB333</f>
        <v>284</v>
      </c>
      <c r="AD333" s="840">
        <v>608.6</v>
      </c>
      <c r="AE333" s="1061">
        <v>324.89999999999998</v>
      </c>
      <c r="AF333" s="1061">
        <f>AG333-AE333</f>
        <v>325</v>
      </c>
      <c r="AG333" s="840">
        <v>649.9</v>
      </c>
      <c r="AH333" s="1061">
        <v>358.4</v>
      </c>
      <c r="AI333" s="709">
        <f>AJ333-AH333</f>
        <v>300</v>
      </c>
      <c r="AJ333" s="840">
        <v>658.4</v>
      </c>
      <c r="AK333" s="1274">
        <v>325</v>
      </c>
      <c r="AL333" s="623">
        <f>AM333-AK333</f>
        <v>296.20000000000005</v>
      </c>
      <c r="AM333" s="840">
        <v>621.20000000000005</v>
      </c>
      <c r="AN333" s="1916">
        <v>351.1</v>
      </c>
      <c r="AO333" s="623">
        <f>AP333-AN333</f>
        <v>321.29999999999995</v>
      </c>
      <c r="AP333" s="840">
        <v>672.4</v>
      </c>
      <c r="AQ333" s="1761">
        <v>368.8</v>
      </c>
      <c r="AR333" s="623">
        <f>AS333-AQ333</f>
        <v>329.21794321596241</v>
      </c>
      <c r="AS333" s="303">
        <f>AS334*AS308</f>
        <v>698.01794321596242</v>
      </c>
      <c r="AT333" s="303">
        <f>AT334*AT308</f>
        <v>378.23557</v>
      </c>
      <c r="AU333" s="623">
        <f>AV333-AT333</f>
        <v>337.67252973708929</v>
      </c>
      <c r="AV333" s="303">
        <f>AV334*AV308</f>
        <v>715.90809973708929</v>
      </c>
      <c r="AW333" s="303">
        <f>AW334*AW308</f>
        <v>391.47381494999996</v>
      </c>
      <c r="AX333" s="623">
        <f>AY333-AW333</f>
        <v>349.49106827788745</v>
      </c>
      <c r="AY333" s="303">
        <f>AY334*AY308</f>
        <v>740.96488322788741</v>
      </c>
      <c r="AZ333" s="303">
        <f>AZ334*AZ308</f>
        <v>405.17539847324997</v>
      </c>
      <c r="BA333" s="623">
        <f>BB333-AZ333</f>
        <v>361.72325566761344</v>
      </c>
      <c r="BB333" s="303">
        <f>BB334*BB308</f>
        <v>766.89865414086341</v>
      </c>
      <c r="BC333" s="662"/>
      <c r="BD333" s="316"/>
      <c r="BE333" s="316"/>
      <c r="BF333" s="316"/>
      <c r="BG333" s="316"/>
      <c r="BH333" s="318"/>
      <c r="BI333" s="322"/>
      <c r="BJ333" s="322"/>
      <c r="BK333" s="320"/>
      <c r="BL333" s="320"/>
      <c r="BM333" s="320"/>
      <c r="BN333" s="320"/>
      <c r="BO333" s="320"/>
      <c r="BP333" s="320"/>
      <c r="BQ333" s="320"/>
      <c r="BR333" s="320"/>
      <c r="BS333" s="320"/>
      <c r="BT333" s="320"/>
      <c r="BU333" s="320"/>
      <c r="BV333" s="320"/>
      <c r="BW333" s="320"/>
      <c r="BX333" s="320"/>
      <c r="BY333" s="320"/>
      <c r="BZ333" s="320"/>
      <c r="CA333" s="320"/>
      <c r="CB333" s="320"/>
      <c r="CC333" s="320"/>
      <c r="CD333" s="320"/>
      <c r="CE333" s="320"/>
      <c r="CF333" s="320"/>
      <c r="CG333" s="320"/>
      <c r="CH333" s="320"/>
      <c r="CI333" s="320">
        <f>CI334*CI308</f>
        <v>272.11799999999999</v>
      </c>
      <c r="CJ333" s="320">
        <f>S333-CI333</f>
        <v>242.02199999999999</v>
      </c>
      <c r="CK333" s="474">
        <v>51.7</v>
      </c>
      <c r="CL333" s="474">
        <f>T333-CK333</f>
        <v>215.90000000000003</v>
      </c>
      <c r="CM333" s="474">
        <v>228.6</v>
      </c>
      <c r="CN333" s="474">
        <f>U333-CM333</f>
        <v>197.50000000000003</v>
      </c>
    </row>
    <row r="334" spans="1:92">
      <c r="A334" s="171" t="s">
        <v>823</v>
      </c>
      <c r="B334" s="1080" t="s">
        <v>723</v>
      </c>
      <c r="C334" s="965"/>
      <c r="D334" s="279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1081">
        <v>0.24199999999999999</v>
      </c>
      <c r="R334" s="1081">
        <v>0.246</v>
      </c>
      <c r="S334" s="1081">
        <f>R334</f>
        <v>0.246</v>
      </c>
      <c r="T334" s="1081">
        <f t="shared" ref="T334:AG334" si="1570">T333/T308</f>
        <v>0.21265098537825811</v>
      </c>
      <c r="U334" s="1081">
        <f t="shared" si="1570"/>
        <v>0.20277923190405939</v>
      </c>
      <c r="V334" s="304">
        <f>V333/V308</f>
        <v>0.20624391969576367</v>
      </c>
      <c r="W334" s="304">
        <f>W333/W308</f>
        <v>0.20595753047581597</v>
      </c>
      <c r="X334" s="1081">
        <f t="shared" si="1570"/>
        <v>0.20610829181991711</v>
      </c>
      <c r="Y334" s="304">
        <f>Y333/Y308</f>
        <v>0.20705882352941177</v>
      </c>
      <c r="Z334" s="304">
        <f>Z333/Z308</f>
        <v>0.2034963344880367</v>
      </c>
      <c r="AA334" s="1081">
        <f t="shared" si="1570"/>
        <v>0.20520763563295377</v>
      </c>
      <c r="AB334" s="304">
        <f>AB333/AB308</f>
        <v>0.22378490175801449</v>
      </c>
      <c r="AC334" s="304">
        <f>AC333/AC308</f>
        <v>0.22447043945621248</v>
      </c>
      <c r="AD334" s="1081">
        <f t="shared" si="1570"/>
        <v>0.22410428250543141</v>
      </c>
      <c r="AE334" s="304">
        <f>AE333/AE308</f>
        <v>0.22571904960400163</v>
      </c>
      <c r="AF334" s="304">
        <f>AF333/AF308</f>
        <v>0.24074074074074073</v>
      </c>
      <c r="AG334" s="618">
        <f t="shared" si="1570"/>
        <v>0.2329891732989173</v>
      </c>
      <c r="AH334" s="618">
        <f>AH333/AH308</f>
        <v>0.23212435233160619</v>
      </c>
      <c r="AI334" s="563">
        <f>AI333/AI308</f>
        <v>0.2364066193853428</v>
      </c>
      <c r="AJ334" s="618">
        <f t="shared" ref="AJ334" si="1571">AJ333/AJ308</f>
        <v>0.23405616779239247</v>
      </c>
      <c r="AK334" s="567">
        <f>AK333/AK308</f>
        <v>0.2336616579193328</v>
      </c>
      <c r="AL334" s="618">
        <f>AL333/AL308</f>
        <v>0.22993324018009634</v>
      </c>
      <c r="AM334" s="618">
        <f t="shared" ref="AM334" si="1572">AM333/AM308</f>
        <v>0.23186891120152292</v>
      </c>
      <c r="AN334" s="567">
        <f>AN333/AN308</f>
        <v>0.23116934421912039</v>
      </c>
      <c r="AO334" s="304">
        <f>AO333/AO308</f>
        <v>0.2386718169662754</v>
      </c>
      <c r="AP334" s="618">
        <f t="shared" ref="AP334" si="1573">AP333/AP308</f>
        <v>0.23469458987783595</v>
      </c>
      <c r="AQ334" s="1540">
        <f>AQ333/AQ308</f>
        <v>0.23327008222643897</v>
      </c>
      <c r="AR334" s="304">
        <f>AR333/AR308</f>
        <v>0.23847115450063175</v>
      </c>
      <c r="AS334" s="304">
        <f>AP334+AS335</f>
        <v>0.23569458987783595</v>
      </c>
      <c r="AT334" s="304">
        <f>AQ334+AT335</f>
        <v>0.23227008222643897</v>
      </c>
      <c r="AU334" s="304">
        <f t="shared" ref="AU334" si="1574">AU333/AU308</f>
        <v>0.2374711545006318</v>
      </c>
      <c r="AV334" s="304">
        <f>AS334+AV335</f>
        <v>0.23469458987783595</v>
      </c>
      <c r="AW334" s="304">
        <f>AT334+AW335</f>
        <v>0.23227008222643897</v>
      </c>
      <c r="AX334" s="304">
        <f t="shared" ref="AX334" si="1575">AX333/AX308</f>
        <v>0.2374711545006318</v>
      </c>
      <c r="AY334" s="304">
        <f>AV334+AY335</f>
        <v>0.23469458987783595</v>
      </c>
      <c r="AZ334" s="304">
        <f>AW334+AZ335</f>
        <v>0.23227008222643897</v>
      </c>
      <c r="BA334" s="304">
        <f t="shared" ref="BA334" si="1576">BA333/BA308</f>
        <v>0.23747115450063178</v>
      </c>
      <c r="BB334" s="304">
        <f>AY334+BB335</f>
        <v>0.23469458987783595</v>
      </c>
      <c r="BC334" s="563"/>
      <c r="BD334" s="331"/>
      <c r="BE334" s="331"/>
      <c r="BF334" s="331"/>
      <c r="BG334" s="331"/>
      <c r="BH334" s="318"/>
      <c r="BI334" s="322"/>
      <c r="BJ334" s="322"/>
      <c r="BK334" s="320"/>
      <c r="BL334" s="320"/>
      <c r="BM334" s="320"/>
      <c r="BN334" s="320"/>
      <c r="BO334" s="320"/>
      <c r="BP334" s="320"/>
      <c r="BQ334" s="320"/>
      <c r="BR334" s="320"/>
      <c r="BS334" s="320"/>
      <c r="BT334" s="320"/>
      <c r="BU334" s="320"/>
      <c r="BV334" s="320"/>
      <c r="BW334" s="320"/>
      <c r="BX334" s="320"/>
      <c r="BY334" s="320"/>
      <c r="BZ334" s="320"/>
      <c r="CA334" s="320"/>
      <c r="CB334" s="320"/>
      <c r="CC334" s="320"/>
      <c r="CD334" s="320"/>
      <c r="CE334" s="320"/>
      <c r="CF334" s="320"/>
      <c r="CG334" s="320"/>
      <c r="CH334" s="320"/>
      <c r="CI334" s="330">
        <v>0.248</v>
      </c>
      <c r="CJ334" s="328">
        <f>CJ333/CJ308</f>
        <v>0.24378947368421053</v>
      </c>
      <c r="CK334" s="328">
        <f>CK333/CK308</f>
        <v>0.19650323071075637</v>
      </c>
      <c r="CL334" s="328">
        <v>0.22</v>
      </c>
      <c r="CM334" s="328">
        <f t="shared" ref="CM334:CN334" si="1577">CM333/CM308</f>
        <v>0.20785597381342064</v>
      </c>
      <c r="CN334" s="328">
        <f t="shared" si="1577"/>
        <v>0.19720419370943584</v>
      </c>
    </row>
    <row r="335" spans="1:92">
      <c r="A335" s="171"/>
      <c r="B335" s="1080" t="s">
        <v>725</v>
      </c>
      <c r="C335" s="965"/>
      <c r="D335" s="279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63"/>
      <c r="R335" s="304">
        <f t="shared" ref="R335:U335" si="1578">R334-Q334</f>
        <v>4.0000000000000036E-3</v>
      </c>
      <c r="S335" s="304">
        <f t="shared" si="1578"/>
        <v>0</v>
      </c>
      <c r="T335" s="304">
        <f t="shared" si="1578"/>
        <v>-3.334901462174189E-2</v>
      </c>
      <c r="U335" s="304">
        <f t="shared" si="1578"/>
        <v>-9.871753474198719E-3</v>
      </c>
      <c r="V335" s="304">
        <f>V334-CM334</f>
        <v>-1.6120541176569692E-3</v>
      </c>
      <c r="W335" s="304">
        <f>W334-CN334</f>
        <v>8.7533367663801265E-3</v>
      </c>
      <c r="X335" s="304">
        <f t="shared" ref="X335:AQ335" si="1579">X334-U334</f>
        <v>3.3290599158577183E-3</v>
      </c>
      <c r="Y335" s="304">
        <f t="shared" si="1579"/>
        <v>8.1490383364810071E-4</v>
      </c>
      <c r="Z335" s="304">
        <f t="shared" si="1579"/>
        <v>-2.4611959877792744E-3</v>
      </c>
      <c r="AA335" s="304">
        <f t="shared" si="1579"/>
        <v>-9.0065618696333338E-4</v>
      </c>
      <c r="AB335" s="304">
        <f t="shared" si="1579"/>
        <v>1.6726078228602725E-2</v>
      </c>
      <c r="AC335" s="304">
        <f t="shared" si="1579"/>
        <v>2.0974104968175783E-2</v>
      </c>
      <c r="AD335" s="304">
        <f t="shared" si="1579"/>
        <v>1.8896646872477635E-2</v>
      </c>
      <c r="AE335" s="304">
        <f t="shared" si="1579"/>
        <v>1.9341478459871386E-3</v>
      </c>
      <c r="AF335" s="304">
        <f t="shared" si="1579"/>
        <v>1.6270301284528249E-2</v>
      </c>
      <c r="AG335" s="618">
        <f t="shared" si="1579"/>
        <v>8.8848907934858945E-3</v>
      </c>
      <c r="AH335" s="618">
        <f t="shared" si="1579"/>
        <v>6.4053027276045615E-3</v>
      </c>
      <c r="AI335" s="563">
        <f>AI334-AF334</f>
        <v>-4.3341213553979296E-3</v>
      </c>
      <c r="AJ335" s="618">
        <f t="shared" si="1579"/>
        <v>1.0669944934751652E-3</v>
      </c>
      <c r="AK335" s="567">
        <f t="shared" si="1579"/>
        <v>1.5373055877266062E-3</v>
      </c>
      <c r="AL335" s="618">
        <f>AL334-AI334</f>
        <v>-6.47337920524646E-3</v>
      </c>
      <c r="AM335" s="618">
        <f t="shared" si="1579"/>
        <v>-2.1872565908695463E-3</v>
      </c>
      <c r="AN335" s="567">
        <f t="shared" si="1579"/>
        <v>-2.4923137002124118E-3</v>
      </c>
      <c r="AO335" s="304">
        <f>AO334-AL334</f>
        <v>8.7385767861790642E-3</v>
      </c>
      <c r="AP335" s="618">
        <f t="shared" si="1579"/>
        <v>2.8256786763130315E-3</v>
      </c>
      <c r="AQ335" s="1540">
        <f t="shared" si="1579"/>
        <v>2.1007380073185811E-3</v>
      </c>
      <c r="AR335" s="304">
        <f>AR334-AO334</f>
        <v>-2.0066246564365287E-4</v>
      </c>
      <c r="AS335" s="310">
        <v>1E-3</v>
      </c>
      <c r="AT335" s="1690">
        <v>-1E-3</v>
      </c>
      <c r="AU335" s="1691">
        <f>AU334-AR334</f>
        <v>-9.9999999999994538E-4</v>
      </c>
      <c r="AV335" s="1690">
        <v>-1E-3</v>
      </c>
      <c r="AW335" s="310">
        <v>0</v>
      </c>
      <c r="AX335" s="304">
        <f>AX334-AU334</f>
        <v>0</v>
      </c>
      <c r="AY335" s="310">
        <v>0</v>
      </c>
      <c r="AZ335" s="310">
        <v>0</v>
      </c>
      <c r="BA335" s="304">
        <f>BA334-AX334</f>
        <v>0</v>
      </c>
      <c r="BB335" s="310">
        <v>0</v>
      </c>
      <c r="BC335" s="1355"/>
      <c r="BD335" s="329"/>
      <c r="BE335" s="329"/>
      <c r="BF335" s="329"/>
      <c r="BG335" s="329"/>
      <c r="BH335" s="318"/>
      <c r="BI335" s="322"/>
      <c r="BJ335" s="322"/>
      <c r="BK335" s="320"/>
      <c r="BL335" s="320"/>
      <c r="BM335" s="320"/>
      <c r="BN335" s="320"/>
      <c r="BO335" s="320"/>
      <c r="BP335" s="320"/>
      <c r="BQ335" s="320"/>
      <c r="BR335" s="320"/>
      <c r="BS335" s="320"/>
      <c r="BT335" s="320"/>
      <c r="BU335" s="320"/>
      <c r="BV335" s="320"/>
      <c r="BW335" s="320"/>
      <c r="BX335" s="320"/>
      <c r="BY335" s="320"/>
      <c r="BZ335" s="320"/>
      <c r="CA335" s="320"/>
      <c r="CB335" s="320"/>
      <c r="CC335" s="320"/>
      <c r="CD335" s="320"/>
      <c r="CE335" s="320"/>
      <c r="CF335" s="320"/>
      <c r="CG335" s="320"/>
      <c r="CH335" s="320"/>
      <c r="CI335" s="320"/>
      <c r="CJ335" s="320"/>
      <c r="CK335" s="328">
        <f t="shared" ref="CK335:CN335" si="1580">CK334-CI334</f>
        <v>-5.1496769289243627E-2</v>
      </c>
      <c r="CL335" s="328">
        <f t="shared" si="1580"/>
        <v>-2.3789473684210527E-2</v>
      </c>
      <c r="CM335" s="328">
        <f t="shared" si="1580"/>
        <v>1.1352743102664264E-2</v>
      </c>
      <c r="CN335" s="328">
        <f t="shared" si="1580"/>
        <v>-2.2795806290564158E-2</v>
      </c>
    </row>
    <row r="336" spans="1:92">
      <c r="A336" s="171"/>
      <c r="B336" s="834"/>
      <c r="C336" s="965"/>
      <c r="D336" s="279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  <c r="AA336" s="279"/>
      <c r="AB336" s="279"/>
      <c r="AC336" s="279"/>
      <c r="AD336" s="279"/>
      <c r="AE336" s="279"/>
      <c r="AF336" s="279"/>
      <c r="AG336" s="279"/>
      <c r="AH336" s="279"/>
      <c r="AI336" s="179"/>
      <c r="AJ336" s="279"/>
      <c r="AK336" s="179"/>
      <c r="AL336" s="279"/>
      <c r="AM336" s="279"/>
      <c r="AN336" s="179"/>
      <c r="AO336" s="279"/>
      <c r="AP336" s="279"/>
      <c r="AQ336" s="1371"/>
      <c r="AR336" s="279"/>
      <c r="AS336" s="179"/>
      <c r="AT336" s="279"/>
      <c r="AU336" s="279"/>
      <c r="AV336" s="179"/>
      <c r="AW336" s="279"/>
      <c r="AX336" s="279"/>
      <c r="AY336" s="179"/>
      <c r="AZ336" s="279"/>
      <c r="BA336" s="279"/>
      <c r="BB336" s="179"/>
      <c r="BC336" s="179"/>
      <c r="BD336" s="320"/>
      <c r="BE336" s="320"/>
      <c r="BF336" s="320"/>
      <c r="BG336" s="320"/>
      <c r="BH336" s="318"/>
      <c r="BI336" s="322"/>
      <c r="BJ336" s="322"/>
      <c r="BK336" s="320"/>
      <c r="BL336" s="320"/>
      <c r="BM336" s="320"/>
      <c r="BN336" s="320"/>
      <c r="BO336" s="320"/>
      <c r="BP336" s="320"/>
      <c r="BQ336" s="320"/>
      <c r="BR336" s="320"/>
      <c r="BS336" s="320"/>
      <c r="BT336" s="320"/>
      <c r="BU336" s="320"/>
      <c r="BV336" s="320"/>
      <c r="BW336" s="320"/>
      <c r="BX336" s="320"/>
      <c r="BY336" s="320"/>
      <c r="BZ336" s="320"/>
      <c r="CA336" s="320"/>
      <c r="CB336" s="320"/>
      <c r="CC336" s="320"/>
      <c r="CD336" s="320"/>
      <c r="CE336" s="320"/>
      <c r="CF336" s="320"/>
      <c r="CG336" s="320"/>
      <c r="CH336" s="320"/>
      <c r="CI336" s="320"/>
      <c r="CJ336" s="320"/>
      <c r="CK336" s="320"/>
      <c r="CL336" s="320"/>
      <c r="CM336" s="320"/>
      <c r="CN336" s="320"/>
    </row>
    <row r="337" spans="1:92">
      <c r="A337" s="171"/>
      <c r="B337" s="834" t="s">
        <v>486</v>
      </c>
      <c r="C337" s="965"/>
      <c r="D337" s="279"/>
      <c r="E337" s="279"/>
      <c r="F337" s="279"/>
      <c r="G337" s="279"/>
      <c r="H337" s="279"/>
      <c r="I337" s="279"/>
      <c r="J337" s="279"/>
      <c r="K337" s="279"/>
      <c r="L337" s="279"/>
      <c r="M337" s="279"/>
      <c r="N337" s="279"/>
      <c r="O337" s="279"/>
      <c r="P337" s="279"/>
      <c r="Q337" s="279"/>
      <c r="R337" s="279"/>
      <c r="S337" s="303">
        <f t="shared" ref="S337:AD337" si="1581">S342-S333</f>
        <v>-419.74</v>
      </c>
      <c r="T337" s="303">
        <f t="shared" si="1581"/>
        <v>-209.90000000000003</v>
      </c>
      <c r="U337" s="303">
        <f t="shared" si="1581"/>
        <v>-348.8</v>
      </c>
      <c r="V337" s="294">
        <f>V342-V333</f>
        <v>-182.89999999999998</v>
      </c>
      <c r="W337" s="294">
        <f>X337-V337</f>
        <v>-174.3</v>
      </c>
      <c r="X337" s="303">
        <f t="shared" si="1581"/>
        <v>-357.2</v>
      </c>
      <c r="Y337" s="294">
        <f>Y342-Y333</f>
        <v>-148.39999999999998</v>
      </c>
      <c r="Z337" s="294">
        <f>AA337-Y337</f>
        <v>-154.40000000000003</v>
      </c>
      <c r="AA337" s="303">
        <f t="shared" si="1581"/>
        <v>-302.8</v>
      </c>
      <c r="AB337" s="294">
        <f>AB342-AB333</f>
        <v>-159.20000000000002</v>
      </c>
      <c r="AC337" s="294">
        <f>AD337-AB337</f>
        <v>-157.70000000000002</v>
      </c>
      <c r="AD337" s="303">
        <f t="shared" si="1581"/>
        <v>-316.90000000000003</v>
      </c>
      <c r="AE337" s="294">
        <f>AE342-AE333</f>
        <v>-164.39999999999998</v>
      </c>
      <c r="AF337" s="294">
        <f>AG337-AE337</f>
        <v>-164.39999999999998</v>
      </c>
      <c r="AG337" s="303">
        <f>AG342-AG333</f>
        <v>-328.79999999999995</v>
      </c>
      <c r="AH337" s="294">
        <f>AH342-AH333</f>
        <v>-183.2</v>
      </c>
      <c r="AI337" s="241">
        <f>AJ337-AH337</f>
        <v>-177.8</v>
      </c>
      <c r="AJ337" s="303">
        <f>AJ342-AJ333</f>
        <v>-361</v>
      </c>
      <c r="AK337" s="241">
        <f>AK342-AK333</f>
        <v>-188.8</v>
      </c>
      <c r="AL337" s="294">
        <f>AM337-AK337</f>
        <v>-186.3</v>
      </c>
      <c r="AM337" s="303">
        <f>AM342-AM333</f>
        <v>-375.1</v>
      </c>
      <c r="AN337" s="241">
        <f>AN342-AN333</f>
        <v>-206.3</v>
      </c>
      <c r="AO337" s="294">
        <f>AP337-AN337</f>
        <v>-199.7</v>
      </c>
      <c r="AP337" s="303">
        <f>AP342-AP333</f>
        <v>-406</v>
      </c>
      <c r="AQ337" s="1645">
        <f>AQ342-AQ333</f>
        <v>-214.70000000000002</v>
      </c>
      <c r="AR337" s="294">
        <f>AS337-AQ337</f>
        <v>-205.50999999999996</v>
      </c>
      <c r="AS337" s="303">
        <f>AP337*(1+AS340)</f>
        <v>-420.21</v>
      </c>
      <c r="AT337" s="294">
        <f>AQ337*(1+AT340)</f>
        <v>-221.14100000000002</v>
      </c>
      <c r="AU337" s="294">
        <f>AV337-AT337</f>
        <v>-211.67529999999999</v>
      </c>
      <c r="AV337" s="303">
        <f>AS337*(1+AV340)</f>
        <v>-432.81630000000001</v>
      </c>
      <c r="AW337" s="294">
        <f>AT337*(1+AW340)</f>
        <v>-228.88093499999999</v>
      </c>
      <c r="AX337" s="294">
        <f>AY337-AW337</f>
        <v>-219.08393549999997</v>
      </c>
      <c r="AY337" s="303">
        <f>AV337*(1+AY340)</f>
        <v>-447.96487049999996</v>
      </c>
      <c r="AZ337" s="294">
        <f>AW337*(1+AZ340)</f>
        <v>-236.89176772499997</v>
      </c>
      <c r="BA337" s="294">
        <f>BB337-AZ337</f>
        <v>-226.75187324249998</v>
      </c>
      <c r="BB337" s="303">
        <f>AY337*(1+BB340)</f>
        <v>-463.64364096749995</v>
      </c>
      <c r="BC337" s="662"/>
      <c r="BD337" s="316"/>
      <c r="BE337" s="316"/>
      <c r="BF337" s="316"/>
      <c r="BG337" s="316"/>
      <c r="BH337" s="318"/>
      <c r="BI337" s="322"/>
      <c r="BJ337" s="322"/>
      <c r="BK337" s="320"/>
      <c r="BL337" s="320"/>
      <c r="BM337" s="320"/>
      <c r="BN337" s="320"/>
      <c r="BO337" s="320"/>
      <c r="BP337" s="320"/>
      <c r="BQ337" s="320"/>
      <c r="BR337" s="320"/>
      <c r="BS337" s="320"/>
      <c r="BT337" s="320"/>
      <c r="BU337" s="320"/>
      <c r="BV337" s="320"/>
      <c r="BW337" s="320"/>
      <c r="BX337" s="320"/>
      <c r="BY337" s="320"/>
      <c r="BZ337" s="320"/>
      <c r="CA337" s="320"/>
      <c r="CB337" s="320"/>
      <c r="CC337" s="320"/>
      <c r="CD337" s="320"/>
      <c r="CE337" s="320"/>
      <c r="CF337" s="320"/>
      <c r="CG337" s="320"/>
      <c r="CH337" s="320"/>
      <c r="CI337" s="320"/>
      <c r="CJ337" s="320"/>
      <c r="CK337" s="320">
        <f>CK342-CK333</f>
        <v>-35.6</v>
      </c>
      <c r="CL337" s="320">
        <f>CL342-CL333</f>
        <v>-174.30000000000004</v>
      </c>
      <c r="CM337" s="419">
        <f>CM342-CM333</f>
        <v>-178.2</v>
      </c>
      <c r="CN337" s="419">
        <f>U337-CM337</f>
        <v>-170.60000000000002</v>
      </c>
    </row>
    <row r="338" spans="1:92">
      <c r="A338" s="171" t="s">
        <v>824</v>
      </c>
      <c r="B338" s="1080" t="s">
        <v>724</v>
      </c>
      <c r="C338" s="965"/>
      <c r="D338" s="279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304">
        <f t="shared" ref="S338:Z338" si="1582">-S337/S308</f>
        <v>0.20083253588516747</v>
      </c>
      <c r="T338" s="304">
        <f t="shared" si="1582"/>
        <v>0.16679910998092817</v>
      </c>
      <c r="U338" s="304">
        <f t="shared" si="1582"/>
        <v>0.16599248084519105</v>
      </c>
      <c r="V338" s="304">
        <f t="shared" si="1582"/>
        <v>0.16175820288316969</v>
      </c>
      <c r="W338" s="304">
        <f t="shared" si="1582"/>
        <v>0.17135273299252851</v>
      </c>
      <c r="X338" s="304">
        <f t="shared" si="1582"/>
        <v>0.16630196936542668</v>
      </c>
      <c r="Y338" s="304">
        <f t="shared" si="1582"/>
        <v>0.12932461873638343</v>
      </c>
      <c r="Z338" s="304">
        <f t="shared" si="1582"/>
        <v>0.12438572464351889</v>
      </c>
      <c r="AA338" s="304">
        <f t="shared" ref="AA338:AX338" si="1583">-AA337/AA308</f>
        <v>0.1267582049564635</v>
      </c>
      <c r="AB338" s="304">
        <f>-AB337/AB308</f>
        <v>0.10975525680799725</v>
      </c>
      <c r="AC338" s="304">
        <f>-AC337/AC308</f>
        <v>0.12464432500790391</v>
      </c>
      <c r="AD338" s="304">
        <f t="shared" si="1583"/>
        <v>0.11669182899436611</v>
      </c>
      <c r="AE338" s="304">
        <f>-AE337/AE308</f>
        <v>0.11421425593997497</v>
      </c>
      <c r="AF338" s="304">
        <f>-AF337/AF308</f>
        <v>0.12177777777777776</v>
      </c>
      <c r="AG338" s="618">
        <f t="shared" si="1583"/>
        <v>0.11787481178748116</v>
      </c>
      <c r="AH338" s="618">
        <f>-AH337/AH308</f>
        <v>0.11865284974093264</v>
      </c>
      <c r="AI338" s="563">
        <f>-AI337/AI308</f>
        <v>0.1401103230890465</v>
      </c>
      <c r="AJ338" s="618">
        <f t="shared" ref="AJ338" si="1584">-AJ337/AJ308</f>
        <v>0.1283327408460718</v>
      </c>
      <c r="AK338" s="567">
        <f>-AK337/AK308</f>
        <v>0.13573944927744624</v>
      </c>
      <c r="AL338" s="618">
        <f>-AL337/AL308</f>
        <v>0.14462040055891945</v>
      </c>
      <c r="AM338" s="618">
        <f t="shared" ref="AM338" si="1585">-AM337/AM308</f>
        <v>0.14000970475159569</v>
      </c>
      <c r="AN338" s="567">
        <f>-AN337/AN308</f>
        <v>0.13583091914669476</v>
      </c>
      <c r="AO338" s="304">
        <f>-AO337/AO308</f>
        <v>0.148343485366216</v>
      </c>
      <c r="AP338" s="618">
        <f t="shared" ref="AP338" si="1586">-AP337/AP308</f>
        <v>0.14171029668411866</v>
      </c>
      <c r="AQ338" s="1540">
        <f>-AQ337/AQ308</f>
        <v>0.13580012650221379</v>
      </c>
      <c r="AR338" s="304">
        <f>-AR337/AR308</f>
        <v>0.14886250270167115</v>
      </c>
      <c r="AS338" s="304">
        <f t="shared" si="1583"/>
        <v>0.14188922301374521</v>
      </c>
      <c r="AT338" s="304">
        <f t="shared" ref="AT338:AU338" si="1587">-AT337/AT308</f>
        <v>0.13580012650221379</v>
      </c>
      <c r="AU338" s="304">
        <f t="shared" si="1587"/>
        <v>0.14886250270167115</v>
      </c>
      <c r="AV338" s="304">
        <f t="shared" si="1583"/>
        <v>0.14188922301374521</v>
      </c>
      <c r="AW338" s="304">
        <f t="shared" si="1583"/>
        <v>0.13580012650221379</v>
      </c>
      <c r="AX338" s="304">
        <f t="shared" si="1583"/>
        <v>0.14886250270167112</v>
      </c>
      <c r="AY338" s="304">
        <f t="shared" ref="AY338:BA338" si="1588">-AY337/AY308</f>
        <v>0.14188922301374521</v>
      </c>
      <c r="AZ338" s="304">
        <f t="shared" si="1588"/>
        <v>0.13580012650221379</v>
      </c>
      <c r="BA338" s="304">
        <f t="shared" si="1588"/>
        <v>0.14886250270167115</v>
      </c>
      <c r="BB338" s="304">
        <f t="shared" ref="BB338" si="1589">-BB337/BB308</f>
        <v>0.14188922301374521</v>
      </c>
      <c r="BC338" s="563"/>
      <c r="BD338" s="331"/>
      <c r="BE338" s="331"/>
      <c r="BF338" s="331"/>
      <c r="BG338" s="331"/>
      <c r="BH338" s="318"/>
      <c r="BI338" s="322"/>
      <c r="BJ338" s="322"/>
      <c r="BK338" s="320"/>
      <c r="BL338" s="320"/>
      <c r="BM338" s="320"/>
      <c r="BN338" s="320"/>
      <c r="BO338" s="320"/>
      <c r="BP338" s="320"/>
      <c r="BQ338" s="320"/>
      <c r="BR338" s="320"/>
      <c r="BS338" s="320"/>
      <c r="BT338" s="320"/>
      <c r="BU338" s="320"/>
      <c r="BV338" s="320"/>
      <c r="BW338" s="320"/>
      <c r="BX338" s="320"/>
      <c r="BY338" s="320"/>
      <c r="BZ338" s="320"/>
      <c r="CA338" s="320"/>
      <c r="CB338" s="320"/>
      <c r="CC338" s="320"/>
      <c r="CD338" s="320"/>
      <c r="CE338" s="320"/>
      <c r="CF338" s="320"/>
      <c r="CG338" s="320"/>
      <c r="CH338" s="320"/>
      <c r="CI338" s="320"/>
      <c r="CJ338" s="320"/>
      <c r="CK338" s="328">
        <f t="shared" ref="CK338:CN338" si="1590">-CK337/CK308</f>
        <v>0.13530976814899276</v>
      </c>
      <c r="CL338" s="328">
        <f t="shared" si="1590"/>
        <v>0.1751230784688034</v>
      </c>
      <c r="CM338" s="328">
        <f t="shared" si="1590"/>
        <v>0.16202945990180032</v>
      </c>
      <c r="CN338" s="328">
        <f t="shared" si="1590"/>
        <v>0.17034448327508736</v>
      </c>
    </row>
    <row r="339" spans="1:92">
      <c r="A339" s="171"/>
      <c r="B339" s="783" t="s">
        <v>17</v>
      </c>
      <c r="C339" s="965"/>
      <c r="D339" s="279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  <c r="S339" s="304"/>
      <c r="T339" s="304">
        <f t="shared" ref="T339:U339" si="1591">T338-S338</f>
        <v>-3.4033425904239301E-2</v>
      </c>
      <c r="U339" s="304">
        <f t="shared" si="1591"/>
        <v>-8.0662913573711914E-4</v>
      </c>
      <c r="V339" s="304">
        <f>V338-CM338</f>
        <v>-2.7125701863062179E-4</v>
      </c>
      <c r="W339" s="304">
        <f>W338-CN338</f>
        <v>1.0082497174411509E-3</v>
      </c>
      <c r="X339" s="304">
        <f t="shared" ref="X339:AV339" si="1592">X338-U338</f>
        <v>3.0948852023562901E-4</v>
      </c>
      <c r="Y339" s="304">
        <f t="shared" si="1592"/>
        <v>-3.2433584146786265E-2</v>
      </c>
      <c r="Z339" s="304">
        <f t="shared" si="1592"/>
        <v>-4.6967008349009617E-2</v>
      </c>
      <c r="AA339" s="304">
        <f t="shared" si="1592"/>
        <v>-3.9543764408963178E-2</v>
      </c>
      <c r="AB339" s="304">
        <f t="shared" si="1592"/>
        <v>-1.9569361928386181E-2</v>
      </c>
      <c r="AC339" s="304">
        <f t="shared" si="1592"/>
        <v>2.5860036438501988E-4</v>
      </c>
      <c r="AD339" s="304">
        <f t="shared" si="1592"/>
        <v>-1.006637596209739E-2</v>
      </c>
      <c r="AE339" s="304">
        <f t="shared" si="1592"/>
        <v>4.4589991319777256E-3</v>
      </c>
      <c r="AF339" s="304">
        <f t="shared" si="1592"/>
        <v>-2.8665472301261513E-3</v>
      </c>
      <c r="AG339" s="618">
        <f t="shared" si="1592"/>
        <v>1.182982793115045E-3</v>
      </c>
      <c r="AH339" s="618">
        <f t="shared" si="1592"/>
        <v>4.4385938009576659E-3</v>
      </c>
      <c r="AI339" s="563">
        <f t="shared" si="1592"/>
        <v>1.8332545311268739E-2</v>
      </c>
      <c r="AJ339" s="618">
        <f t="shared" si="1592"/>
        <v>1.0457929058590637E-2</v>
      </c>
      <c r="AK339" s="567">
        <f t="shared" si="1592"/>
        <v>1.7086599536513605E-2</v>
      </c>
      <c r="AL339" s="618">
        <f t="shared" si="1592"/>
        <v>4.5100774698729473E-3</v>
      </c>
      <c r="AM339" s="618">
        <f t="shared" si="1592"/>
        <v>1.1676963905523891E-2</v>
      </c>
      <c r="AN339" s="567">
        <f t="shared" si="1592"/>
        <v>9.1469869248517188E-5</v>
      </c>
      <c r="AO339" s="304">
        <f>AO338-AL338</f>
        <v>3.7230848072965506E-3</v>
      </c>
      <c r="AP339" s="618">
        <f t="shared" si="1592"/>
        <v>1.7005919325229768E-3</v>
      </c>
      <c r="AQ339" s="1540">
        <f>AQ338-AN338</f>
        <v>-3.0792644480970299E-5</v>
      </c>
      <c r="AR339" s="304">
        <f t="shared" si="1592"/>
        <v>5.1901733545514639E-4</v>
      </c>
      <c r="AS339" s="304">
        <f t="shared" si="1592"/>
        <v>1.789263296265442E-4</v>
      </c>
      <c r="AT339" s="304">
        <f t="shared" si="1592"/>
        <v>0</v>
      </c>
      <c r="AU339" s="304">
        <f t="shared" si="1592"/>
        <v>0</v>
      </c>
      <c r="AV339" s="304">
        <f t="shared" si="1592"/>
        <v>0</v>
      </c>
      <c r="AW339" s="304">
        <f t="shared" ref="AW339" si="1593">AW338-AT338</f>
        <v>0</v>
      </c>
      <c r="AX339" s="304">
        <f t="shared" ref="AX339" si="1594">AX338-AU338</f>
        <v>0</v>
      </c>
      <c r="AY339" s="304">
        <f t="shared" ref="AY339" si="1595">AY338-AV338</f>
        <v>0</v>
      </c>
      <c r="AZ339" s="304">
        <f t="shared" ref="AZ339" si="1596">AZ338-AW338</f>
        <v>0</v>
      </c>
      <c r="BA339" s="304">
        <f t="shared" ref="BA339" si="1597">BA338-AX338</f>
        <v>0</v>
      </c>
      <c r="BB339" s="304">
        <f t="shared" ref="BB339" si="1598">BB338-AY338</f>
        <v>0</v>
      </c>
      <c r="BC339" s="563"/>
      <c r="BD339" s="320"/>
      <c r="BE339" s="320"/>
      <c r="BF339" s="320"/>
      <c r="BG339" s="320"/>
      <c r="BH339" s="318"/>
      <c r="BI339" s="322"/>
      <c r="BJ339" s="322"/>
      <c r="BK339" s="320"/>
      <c r="BL339" s="320"/>
      <c r="BM339" s="320"/>
      <c r="BN339" s="320"/>
      <c r="BO339" s="320"/>
      <c r="BP339" s="320"/>
      <c r="BQ339" s="320"/>
      <c r="BR339" s="320"/>
      <c r="BS339" s="320"/>
      <c r="BT339" s="320"/>
      <c r="BU339" s="320"/>
      <c r="BV339" s="320"/>
      <c r="BW339" s="320"/>
      <c r="BX339" s="320"/>
      <c r="BY339" s="320"/>
      <c r="BZ339" s="320"/>
      <c r="CA339" s="320"/>
      <c r="CB339" s="320"/>
      <c r="CC339" s="320"/>
      <c r="CD339" s="320"/>
      <c r="CE339" s="320"/>
      <c r="CF339" s="320"/>
      <c r="CG339" s="320"/>
      <c r="CH339" s="320"/>
      <c r="CI339" s="320"/>
      <c r="CJ339" s="320"/>
      <c r="CK339" s="320"/>
      <c r="CL339" s="320"/>
      <c r="CM339" s="328">
        <f t="shared" ref="CM339:CN339" si="1599">CM338-CK338</f>
        <v>2.6719691752807556E-2</v>
      </c>
      <c r="CN339" s="328">
        <f t="shared" si="1599"/>
        <v>-4.7785951937160398E-3</v>
      </c>
    </row>
    <row r="340" spans="1:92">
      <c r="A340" s="171"/>
      <c r="B340" s="839" t="s">
        <v>706</v>
      </c>
      <c r="C340" s="965"/>
      <c r="D340" s="279"/>
      <c r="E340" s="279"/>
      <c r="F340" s="279"/>
      <c r="G340" s="279"/>
      <c r="H340" s="279"/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63">
        <f>V337/CM337-1</f>
        <v>2.6374859708192977E-2</v>
      </c>
      <c r="W340" s="263">
        <f>W337/CN337-1</f>
        <v>2.1688159437280197E-2</v>
      </c>
      <c r="X340" s="263">
        <f t="shared" ref="X340:AJ340" si="1600">X337/U337-1</f>
        <v>2.4082568807339388E-2</v>
      </c>
      <c r="Y340" s="263">
        <f t="shared" si="1600"/>
        <v>-0.18862766539092402</v>
      </c>
      <c r="Z340" s="263">
        <f t="shared" si="1600"/>
        <v>-0.11417096959265616</v>
      </c>
      <c r="AA340" s="263">
        <f t="shared" si="1600"/>
        <v>-0.15229563269876811</v>
      </c>
      <c r="AB340" s="263">
        <f t="shared" si="1600"/>
        <v>7.2776280323450404E-2</v>
      </c>
      <c r="AC340" s="263">
        <f t="shared" si="1600"/>
        <v>2.1373056994818507E-2</v>
      </c>
      <c r="AD340" s="263">
        <f t="shared" si="1600"/>
        <v>4.6565389696169079E-2</v>
      </c>
      <c r="AE340" s="263">
        <f t="shared" si="1600"/>
        <v>3.2663316582914215E-2</v>
      </c>
      <c r="AF340" s="263">
        <f t="shared" si="1600"/>
        <v>4.2485732403297227E-2</v>
      </c>
      <c r="AG340" s="284">
        <f t="shared" si="1600"/>
        <v>3.75512780056797E-2</v>
      </c>
      <c r="AH340" s="284">
        <f>AH337/AE337-1</f>
        <v>0.1143552311435525</v>
      </c>
      <c r="AI340" s="564">
        <f>AI337/AF337-1</f>
        <v>8.1508515815085447E-2</v>
      </c>
      <c r="AJ340" s="284">
        <f t="shared" si="1600"/>
        <v>9.7931873479318865E-2</v>
      </c>
      <c r="AK340" s="137">
        <f>AK337/AH337-1</f>
        <v>3.0567685589519833E-2</v>
      </c>
      <c r="AL340" s="137">
        <f>AL337/AI337-1</f>
        <v>4.7806524184476951E-2</v>
      </c>
      <c r="AM340" s="284">
        <f t="shared" ref="AM340" si="1601">AM337/AJ337-1</f>
        <v>3.9058171745152359E-2</v>
      </c>
      <c r="AN340" s="137">
        <f>AN337/AK337-1</f>
        <v>9.2690677966101642E-2</v>
      </c>
      <c r="AO340" s="263">
        <f>AO337/AL337-1</f>
        <v>7.1926999463231223E-2</v>
      </c>
      <c r="AP340" s="284">
        <f t="shared" ref="AP340" si="1602">AP337/AM337-1</f>
        <v>8.2378032524659917E-2</v>
      </c>
      <c r="AQ340" s="1315">
        <f>AQ337/AN337-1</f>
        <v>4.0717401841977807E-2</v>
      </c>
      <c r="AR340" s="564">
        <f>AR337/AO337-1</f>
        <v>2.9093640460690962E-2</v>
      </c>
      <c r="AS340" s="1879">
        <v>3.5000000000000003E-2</v>
      </c>
      <c r="AT340" s="287">
        <v>0.03</v>
      </c>
      <c r="AU340" s="263">
        <f>AU337/AR337-1</f>
        <v>3.0000000000000249E-2</v>
      </c>
      <c r="AV340" s="287">
        <v>0.03</v>
      </c>
      <c r="AW340" s="287">
        <v>3.5000000000000003E-2</v>
      </c>
      <c r="AX340" s="263">
        <f>AX337/AU337-1</f>
        <v>3.499999999999992E-2</v>
      </c>
      <c r="AY340" s="287">
        <v>3.5000000000000003E-2</v>
      </c>
      <c r="AZ340" s="287">
        <v>3.5000000000000003E-2</v>
      </c>
      <c r="BA340" s="263">
        <f>BA337/AX337-1</f>
        <v>3.5000000000000142E-2</v>
      </c>
      <c r="BB340" s="287">
        <v>3.5000000000000003E-2</v>
      </c>
      <c r="BC340" s="1333"/>
      <c r="BD340" s="320"/>
      <c r="BE340" s="320"/>
      <c r="BF340" s="320"/>
      <c r="BG340" s="320"/>
      <c r="BH340" s="318"/>
      <c r="BI340" s="322"/>
      <c r="BJ340" s="322"/>
      <c r="BK340" s="320"/>
      <c r="BL340" s="320"/>
      <c r="BM340" s="320"/>
      <c r="BN340" s="320"/>
      <c r="BO340" s="320"/>
      <c r="BP340" s="320"/>
      <c r="BQ340" s="320"/>
      <c r="BR340" s="320"/>
      <c r="BS340" s="320"/>
      <c r="BT340" s="320"/>
      <c r="BU340" s="320"/>
      <c r="BV340" s="320"/>
      <c r="BW340" s="320"/>
      <c r="BX340" s="320"/>
      <c r="BY340" s="320"/>
      <c r="BZ340" s="320"/>
      <c r="CA340" s="320"/>
      <c r="CB340" s="320"/>
      <c r="CC340" s="320"/>
      <c r="CD340" s="320"/>
      <c r="CE340" s="320"/>
      <c r="CF340" s="320"/>
      <c r="CG340" s="320"/>
      <c r="CH340" s="320"/>
      <c r="CI340" s="320"/>
      <c r="CJ340" s="320"/>
      <c r="CK340" s="320"/>
      <c r="CL340" s="320"/>
      <c r="CM340" s="320"/>
      <c r="CN340" s="320"/>
    </row>
    <row r="341" spans="1:92">
      <c r="A341" s="171"/>
      <c r="B341" s="839"/>
      <c r="C341" s="965"/>
      <c r="D341" s="279"/>
      <c r="E341" s="279"/>
      <c r="F341" s="279"/>
      <c r="G341" s="279"/>
      <c r="H341" s="279"/>
      <c r="I341" s="279"/>
      <c r="J341" s="279"/>
      <c r="K341" s="279"/>
      <c r="L341" s="279"/>
      <c r="M341" s="279"/>
      <c r="N341" s="279"/>
      <c r="O341" s="279"/>
      <c r="P341" s="279"/>
      <c r="Q341" s="279"/>
      <c r="R341" s="279"/>
      <c r="S341" s="279"/>
      <c r="T341" s="279"/>
      <c r="U341" s="279"/>
      <c r="V341" s="263"/>
      <c r="W341" s="279"/>
      <c r="X341" s="279"/>
      <c r="Y341" s="263"/>
      <c r="Z341" s="279"/>
      <c r="AA341" s="279"/>
      <c r="AB341" s="263"/>
      <c r="AC341" s="279"/>
      <c r="AD341" s="279"/>
      <c r="AE341" s="263"/>
      <c r="AF341" s="279"/>
      <c r="AG341" s="279"/>
      <c r="AH341" s="284"/>
      <c r="AI341" s="179"/>
      <c r="AJ341" s="279"/>
      <c r="AK341" s="137"/>
      <c r="AL341" s="279"/>
      <c r="AM341" s="279"/>
      <c r="AN341" s="137"/>
      <c r="AO341" s="279"/>
      <c r="AP341" s="279"/>
      <c r="AQ341" s="1315"/>
      <c r="AR341" s="279"/>
      <c r="AS341" s="263"/>
      <c r="AT341" s="263"/>
      <c r="AU341" s="279"/>
      <c r="AV341" s="263"/>
      <c r="AW341" s="263"/>
      <c r="AX341" s="279"/>
      <c r="AY341" s="263"/>
      <c r="AZ341" s="263"/>
      <c r="BA341" s="279"/>
      <c r="BB341" s="263"/>
      <c r="BC341" s="564"/>
      <c r="BD341" s="320"/>
      <c r="BE341" s="320"/>
      <c r="BF341" s="320"/>
      <c r="BG341" s="320"/>
      <c r="BH341" s="318"/>
      <c r="BI341" s="322"/>
      <c r="BJ341" s="322"/>
      <c r="BK341" s="320"/>
      <c r="BL341" s="320"/>
      <c r="BM341" s="320"/>
      <c r="BN341" s="320"/>
      <c r="BO341" s="320"/>
      <c r="BP341" s="320"/>
      <c r="BQ341" s="320"/>
      <c r="BR341" s="320"/>
      <c r="BS341" s="320"/>
      <c r="BT341" s="320"/>
      <c r="BU341" s="320"/>
      <c r="BV341" s="320"/>
      <c r="BW341" s="320"/>
      <c r="BX341" s="320"/>
      <c r="BY341" s="320"/>
      <c r="BZ341" s="320"/>
      <c r="CA341" s="320"/>
      <c r="CB341" s="320"/>
      <c r="CC341" s="320"/>
      <c r="CD341" s="320"/>
      <c r="CE341" s="320"/>
      <c r="CF341" s="320"/>
      <c r="CG341" s="320"/>
      <c r="CH341" s="320"/>
      <c r="CI341" s="320"/>
      <c r="CJ341" s="320"/>
      <c r="CK341" s="320"/>
      <c r="CL341" s="320"/>
      <c r="CM341" s="320"/>
      <c r="CN341" s="320"/>
    </row>
    <row r="342" spans="1:92">
      <c r="A342" s="171" t="s">
        <v>790</v>
      </c>
      <c r="B342" s="834" t="s">
        <v>195</v>
      </c>
      <c r="C342" s="965"/>
      <c r="D342" s="279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94">
        <f>S350+S347</f>
        <v>94.4</v>
      </c>
      <c r="T342" s="1061">
        <v>57.7</v>
      </c>
      <c r="U342" s="1061">
        <v>77.3</v>
      </c>
      <c r="V342" s="1061">
        <v>50.3</v>
      </c>
      <c r="W342" s="623">
        <f>W333+W337</f>
        <v>35.199999999999989</v>
      </c>
      <c r="X342" s="1061">
        <v>85.5</v>
      </c>
      <c r="Y342" s="1061">
        <v>89.2</v>
      </c>
      <c r="Z342" s="623">
        <f>Z333+Z337</f>
        <v>98.19999999999996</v>
      </c>
      <c r="AA342" s="1061">
        <f>121.8+65.6</f>
        <v>187.39999999999998</v>
      </c>
      <c r="AB342" s="1061">
        <v>165.4</v>
      </c>
      <c r="AC342" s="623">
        <f>AC333+AC337</f>
        <v>126.29999999999998</v>
      </c>
      <c r="AD342" s="1061">
        <v>291.7</v>
      </c>
      <c r="AE342" s="1061">
        <v>160.5</v>
      </c>
      <c r="AF342" s="623">
        <f>AF333+AF337</f>
        <v>160.60000000000002</v>
      </c>
      <c r="AG342" s="1061">
        <v>321.10000000000002</v>
      </c>
      <c r="AH342" s="1061">
        <v>175.2</v>
      </c>
      <c r="AI342" s="709">
        <f>AJ342-AH342</f>
        <v>122.19999999999999</v>
      </c>
      <c r="AJ342" s="1061">
        <v>297.39999999999998</v>
      </c>
      <c r="AK342" s="1274">
        <v>136.19999999999999</v>
      </c>
      <c r="AL342" s="623">
        <f>AM342-AK342</f>
        <v>109.9</v>
      </c>
      <c r="AM342" s="1061">
        <v>246.1</v>
      </c>
      <c r="AN342" s="1916">
        <v>144.80000000000001</v>
      </c>
      <c r="AO342" s="623">
        <f>AP342-AN342</f>
        <v>121.59999999999997</v>
      </c>
      <c r="AP342" s="1274">
        <f>252.7+13.7</f>
        <v>266.39999999999998</v>
      </c>
      <c r="AQ342" s="1753">
        <v>154.1</v>
      </c>
      <c r="AR342" s="623">
        <f>AS342-AQ342</f>
        <v>123.70794321596244</v>
      </c>
      <c r="AS342" s="294">
        <f>AS333+AS337</f>
        <v>277.80794321596244</v>
      </c>
      <c r="AT342" s="294">
        <f>AT333+AT337</f>
        <v>157.09456999999998</v>
      </c>
      <c r="AU342" s="623">
        <f>AV342-AT342</f>
        <v>125.9972297370893</v>
      </c>
      <c r="AV342" s="294">
        <f>AV333+AV337</f>
        <v>283.09179973708927</v>
      </c>
      <c r="AW342" s="294">
        <f>AW333+AW337</f>
        <v>162.59287994999997</v>
      </c>
      <c r="AX342" s="623">
        <f>AY342-AW342</f>
        <v>130.40713277788748</v>
      </c>
      <c r="AY342" s="294">
        <f>AY333+AY337</f>
        <v>293.00001272788745</v>
      </c>
      <c r="AZ342" s="294">
        <f>AZ333+AZ337</f>
        <v>168.28363074825</v>
      </c>
      <c r="BA342" s="623">
        <f>BB342-AZ342</f>
        <v>134.97138242511346</v>
      </c>
      <c r="BB342" s="294">
        <f>BB333+BB337</f>
        <v>303.25501317336347</v>
      </c>
      <c r="BC342" s="241"/>
      <c r="BD342" s="419"/>
      <c r="BE342" s="419"/>
      <c r="BF342" s="419"/>
      <c r="BG342" s="419"/>
      <c r="BH342" s="318"/>
      <c r="BI342" s="322"/>
      <c r="BJ342" s="322"/>
      <c r="BK342" s="320"/>
      <c r="BL342" s="320"/>
      <c r="BM342" s="320"/>
      <c r="BN342" s="320"/>
      <c r="BO342" s="320"/>
      <c r="BP342" s="320"/>
      <c r="BQ342" s="320"/>
      <c r="BR342" s="320"/>
      <c r="BS342" s="320"/>
      <c r="BT342" s="320"/>
      <c r="BU342" s="320"/>
      <c r="BV342" s="320"/>
      <c r="BW342" s="320"/>
      <c r="BX342" s="320"/>
      <c r="BY342" s="320"/>
      <c r="BZ342" s="320"/>
      <c r="CA342" s="320"/>
      <c r="CB342" s="320"/>
      <c r="CC342" s="320"/>
      <c r="CD342" s="320"/>
      <c r="CE342" s="320"/>
      <c r="CF342" s="320"/>
      <c r="CG342" s="320"/>
      <c r="CH342" s="320"/>
      <c r="CI342" s="320"/>
      <c r="CJ342" s="320"/>
      <c r="CK342" s="474">
        <v>16.100000000000001</v>
      </c>
      <c r="CL342" s="477">
        <f>T342-CK342</f>
        <v>41.6</v>
      </c>
      <c r="CM342" s="474">
        <v>50.4</v>
      </c>
      <c r="CN342" s="477">
        <f>CN333+CN337</f>
        <v>26.900000000000006</v>
      </c>
    </row>
    <row r="343" spans="1:92">
      <c r="A343" s="171" t="s">
        <v>826</v>
      </c>
      <c r="B343" s="963" t="s">
        <v>726</v>
      </c>
      <c r="C343" s="965"/>
      <c r="D343" s="279"/>
      <c r="E343" s="279"/>
      <c r="F343" s="279"/>
      <c r="G343" s="279"/>
      <c r="H343" s="279"/>
      <c r="I343" s="279"/>
      <c r="J343" s="279"/>
      <c r="K343" s="279"/>
      <c r="L343" s="279"/>
      <c r="M343" s="279"/>
      <c r="N343" s="279"/>
      <c r="O343" s="279"/>
      <c r="P343" s="279"/>
      <c r="Q343" s="279"/>
      <c r="R343" s="279"/>
      <c r="S343" s="263">
        <f>S342/S308</f>
        <v>4.5167464114832537E-2</v>
      </c>
      <c r="T343" s="304">
        <f>T342/T308</f>
        <v>4.585187539732994E-2</v>
      </c>
      <c r="U343" s="304">
        <f t="shared" ref="U343:AW343" si="1603">U342/U308</f>
        <v>3.6786751058868312E-2</v>
      </c>
      <c r="V343" s="304">
        <f>V342/V308</f>
        <v>4.4485716812593966E-2</v>
      </c>
      <c r="W343" s="304">
        <f>W342/W308</f>
        <v>3.4604797483287444E-2</v>
      </c>
      <c r="X343" s="304">
        <f t="shared" si="1603"/>
        <v>3.980632245449043E-2</v>
      </c>
      <c r="Y343" s="304">
        <f>Y342/Y308</f>
        <v>7.7734204793028325E-2</v>
      </c>
      <c r="Z343" s="304">
        <f>Z342/Z308</f>
        <v>7.9110609844517801E-2</v>
      </c>
      <c r="AA343" s="304">
        <f t="shared" si="1603"/>
        <v>7.8449430676490267E-2</v>
      </c>
      <c r="AB343" s="304">
        <f>AB342/AB308</f>
        <v>0.11402964495001724</v>
      </c>
      <c r="AC343" s="304">
        <f>AC342/AC308</f>
        <v>9.9826114448308564E-2</v>
      </c>
      <c r="AD343" s="304">
        <f t="shared" si="1603"/>
        <v>0.10741245351106529</v>
      </c>
      <c r="AE343" s="304">
        <f>AE342/AE308</f>
        <v>0.11150479366402667</v>
      </c>
      <c r="AF343" s="304">
        <f>AF342/AF308</f>
        <v>0.11896296296296298</v>
      </c>
      <c r="AG343" s="618">
        <f>AG342/AG308</f>
        <v>0.11511436151143616</v>
      </c>
      <c r="AH343" s="618">
        <f>AH342/AH308</f>
        <v>0.11347150259067357</v>
      </c>
      <c r="AI343" s="563">
        <f>AVERAGE(AJ343,AH343)</f>
        <v>0.1095974647684971</v>
      </c>
      <c r="AJ343" s="618">
        <f>AJ342/AJ308</f>
        <v>0.10572342694632064</v>
      </c>
      <c r="AK343" s="567">
        <f>AK342/AK308</f>
        <v>9.7922208641886541E-2</v>
      </c>
      <c r="AL343" s="618">
        <f>AVERAGE(AM343,AK343)</f>
        <v>9.489070754590688E-2</v>
      </c>
      <c r="AM343" s="618">
        <f>AM342/AM308</f>
        <v>9.1859206449927219E-2</v>
      </c>
      <c r="AN343" s="567">
        <f>AN342/AN308</f>
        <v>9.5338425072425612E-2</v>
      </c>
      <c r="AO343" s="304">
        <f>AVERAGE(AP343,AN343)</f>
        <v>9.4161359133071443E-2</v>
      </c>
      <c r="AP343" s="567">
        <f>AP342/AP308</f>
        <v>9.2984293193717274E-2</v>
      </c>
      <c r="AQ343" s="1540">
        <f>AQ342/AQ308</f>
        <v>9.7469955724225177E-2</v>
      </c>
      <c r="AR343" s="304">
        <f>AVERAGE(AS343,AQ343)</f>
        <v>9.5637661294157947E-2</v>
      </c>
      <c r="AS343" s="304">
        <f t="shared" si="1603"/>
        <v>9.3805366864090717E-2</v>
      </c>
      <c r="AT343" s="304">
        <f t="shared" ref="AT343" si="1604">AT342/AT308</f>
        <v>9.6469955724225162E-2</v>
      </c>
      <c r="AU343" s="304">
        <f>AVERAGE(AV343,AT343)</f>
        <v>9.463766129415796E-2</v>
      </c>
      <c r="AV343" s="304">
        <f t="shared" si="1603"/>
        <v>9.2805366864090744E-2</v>
      </c>
      <c r="AW343" s="304">
        <f t="shared" si="1603"/>
        <v>9.6469955724225162E-2</v>
      </c>
      <c r="AX343" s="304">
        <f>AVERAGE(AY343,AW343)</f>
        <v>9.463766129415796E-2</v>
      </c>
      <c r="AY343" s="304">
        <f t="shared" ref="AY343:AZ343" si="1605">AY342/AY308</f>
        <v>9.2805366864090758E-2</v>
      </c>
      <c r="AZ343" s="304">
        <f t="shared" si="1605"/>
        <v>9.646995572422519E-2</v>
      </c>
      <c r="BA343" s="304">
        <f>AVERAGE(BB343,AZ343)</f>
        <v>9.4637661294157974E-2</v>
      </c>
      <c r="BB343" s="304">
        <f t="shared" ref="BB343" si="1606">BB342/BB308</f>
        <v>9.2805366864090758E-2</v>
      </c>
      <c r="BC343" s="563"/>
      <c r="BD343" s="331"/>
      <c r="BE343" s="331"/>
      <c r="BF343" s="331"/>
      <c r="BG343" s="331"/>
      <c r="BH343" s="318"/>
      <c r="BI343" s="322"/>
      <c r="BJ343" s="322"/>
      <c r="BK343" s="320"/>
      <c r="BL343" s="320"/>
      <c r="BM343" s="320"/>
      <c r="BN343" s="320"/>
      <c r="BO343" s="320"/>
      <c r="BP343" s="320"/>
      <c r="BQ343" s="320"/>
      <c r="BR343" s="320"/>
      <c r="BS343" s="320"/>
      <c r="BT343" s="320"/>
      <c r="BU343" s="320"/>
      <c r="BV343" s="320"/>
      <c r="BW343" s="320"/>
      <c r="BX343" s="320"/>
      <c r="BY343" s="320"/>
      <c r="BZ343" s="320"/>
      <c r="CA343" s="320"/>
      <c r="CB343" s="320"/>
      <c r="CC343" s="320"/>
      <c r="CD343" s="320"/>
      <c r="CE343" s="320"/>
      <c r="CF343" s="320"/>
      <c r="CG343" s="320"/>
      <c r="CH343" s="320"/>
      <c r="CI343" s="320"/>
      <c r="CJ343" s="320"/>
      <c r="CK343" s="328">
        <f t="shared" ref="CK343:CN343" si="1607">CK342/CK308</f>
        <v>6.1193462561763591E-2</v>
      </c>
      <c r="CL343" s="328">
        <f t="shared" si="1607"/>
        <v>4.1796443283432128E-2</v>
      </c>
      <c r="CM343" s="328">
        <f t="shared" si="1607"/>
        <v>4.5826513911620292E-2</v>
      </c>
      <c r="CN343" s="328">
        <f t="shared" si="1607"/>
        <v>2.6859710434348476E-2</v>
      </c>
    </row>
    <row r="344" spans="1:92">
      <c r="A344" s="171"/>
      <c r="B344" s="963" t="s">
        <v>727</v>
      </c>
      <c r="C344" s="965"/>
      <c r="D344" s="279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1082">
        <f t="shared" ref="T344:U344" si="1608">T343-S343</f>
        <v>6.8441128249740329E-4</v>
      </c>
      <c r="U344" s="1082">
        <f t="shared" si="1608"/>
        <v>-9.0651243384616276E-3</v>
      </c>
      <c r="V344" s="304">
        <f>V343-CM343</f>
        <v>-1.3407970990263265E-3</v>
      </c>
      <c r="W344" s="263">
        <f>W343-CN343</f>
        <v>7.7450870489389687E-3</v>
      </c>
      <c r="X344" s="1082">
        <f t="shared" ref="X344:AQ344" si="1609">X343-U343</f>
        <v>3.0195713956221171E-3</v>
      </c>
      <c r="Y344" s="304">
        <f t="shared" si="1609"/>
        <v>3.3248487980434359E-2</v>
      </c>
      <c r="Z344" s="263">
        <f t="shared" si="1609"/>
        <v>4.4505812361230357E-2</v>
      </c>
      <c r="AA344" s="1082">
        <f t="shared" si="1609"/>
        <v>3.8643108221999838E-2</v>
      </c>
      <c r="AB344" s="304">
        <f t="shared" si="1609"/>
        <v>3.629544015698892E-2</v>
      </c>
      <c r="AC344" s="263">
        <f t="shared" si="1609"/>
        <v>2.0715504603790763E-2</v>
      </c>
      <c r="AD344" s="1082">
        <f t="shared" si="1609"/>
        <v>2.8963022834575025E-2</v>
      </c>
      <c r="AE344" s="304">
        <f t="shared" si="1609"/>
        <v>-2.5248512859905731E-3</v>
      </c>
      <c r="AF344" s="263">
        <f t="shared" si="1609"/>
        <v>1.9136848514654414E-2</v>
      </c>
      <c r="AG344" s="1082">
        <f t="shared" si="1609"/>
        <v>7.7019080003708634E-3</v>
      </c>
      <c r="AH344" s="618">
        <f t="shared" si="1609"/>
        <v>1.9667089266468957E-3</v>
      </c>
      <c r="AI344" s="563">
        <f>AVERAGE(AJ344,AH344)</f>
        <v>-3.7121128192343089E-3</v>
      </c>
      <c r="AJ344" s="1082">
        <f t="shared" si="1609"/>
        <v>-9.3909345651155135E-3</v>
      </c>
      <c r="AK344" s="567">
        <f t="shared" si="1609"/>
        <v>-1.5549293948787027E-2</v>
      </c>
      <c r="AL344" s="284">
        <f>AVERAGE(AM344,AK344)</f>
        <v>-1.4706757222590225E-2</v>
      </c>
      <c r="AM344" s="1082">
        <f t="shared" si="1609"/>
        <v>-1.3864220496393423E-2</v>
      </c>
      <c r="AN344" s="567">
        <f t="shared" si="1609"/>
        <v>-2.583783569460929E-3</v>
      </c>
      <c r="AO344" s="263">
        <f>AVERAGE(AP344,AN344)</f>
        <v>-7.2934841283543717E-4</v>
      </c>
      <c r="AP344" s="1720">
        <f t="shared" si="1609"/>
        <v>1.1250867437900547E-3</v>
      </c>
      <c r="AQ344" s="1540">
        <f t="shared" si="1609"/>
        <v>2.1315306517995652E-3</v>
      </c>
      <c r="AR344" s="263">
        <f>AVERAGE(AS344,AQ344)</f>
        <v>1.476302161086504E-3</v>
      </c>
      <c r="AS344" s="304">
        <f>AS343-AP343</f>
        <v>8.2107367037344281E-4</v>
      </c>
      <c r="AT344" s="263">
        <f>AT343-AQ343</f>
        <v>-1.0000000000000148E-3</v>
      </c>
      <c r="AU344" s="263">
        <f>AVERAGE(AV344,AT344)</f>
        <v>-9.9999999999999395E-4</v>
      </c>
      <c r="AV344" s="304">
        <f>AV343-AS343</f>
        <v>-9.9999999999997313E-4</v>
      </c>
      <c r="AW344" s="263">
        <f>AW343-AT343</f>
        <v>0</v>
      </c>
      <c r="AX344" s="263">
        <f>AVERAGE(AY344,AW344)</f>
        <v>0</v>
      </c>
      <c r="AY344" s="304">
        <f>AY343-AV343</f>
        <v>0</v>
      </c>
      <c r="AZ344" s="263">
        <f>AZ343-AW343</f>
        <v>0</v>
      </c>
      <c r="BA344" s="263">
        <f>AVERAGE(BB344,AZ344)</f>
        <v>0</v>
      </c>
      <c r="BB344" s="304">
        <f>BB343-AY343</f>
        <v>0</v>
      </c>
      <c r="BC344" s="563"/>
      <c r="BD344" s="331"/>
      <c r="BE344" s="331"/>
      <c r="BF344" s="331"/>
      <c r="BG344" s="331"/>
      <c r="BH344" s="318"/>
      <c r="BI344" s="322"/>
      <c r="BJ344" s="322"/>
      <c r="BK344" s="320"/>
      <c r="BL344" s="320"/>
      <c r="BM344" s="320"/>
      <c r="BN344" s="320"/>
      <c r="BO344" s="320"/>
      <c r="BP344" s="320"/>
      <c r="BQ344" s="320"/>
      <c r="BR344" s="320"/>
      <c r="BS344" s="320"/>
      <c r="BT344" s="320"/>
      <c r="BU344" s="320"/>
      <c r="BV344" s="320"/>
      <c r="BW344" s="320"/>
      <c r="BX344" s="320"/>
      <c r="BY344" s="320"/>
      <c r="BZ344" s="320"/>
      <c r="CA344" s="320"/>
      <c r="CB344" s="320"/>
      <c r="CC344" s="320"/>
      <c r="CD344" s="320"/>
      <c r="CE344" s="320"/>
      <c r="CF344" s="320"/>
      <c r="CG344" s="320"/>
      <c r="CH344" s="320"/>
      <c r="CI344" s="320"/>
      <c r="CJ344" s="320"/>
      <c r="CK344" s="320"/>
      <c r="CL344" s="320"/>
      <c r="CM344" s="328">
        <f t="shared" ref="CM344:CN344" si="1610">CM343-CK343</f>
        <v>-1.5366948650143299E-2</v>
      </c>
      <c r="CN344" s="331">
        <f t="shared" si="1610"/>
        <v>-1.4936732849083652E-2</v>
      </c>
    </row>
    <row r="345" spans="1:92">
      <c r="A345" s="171"/>
      <c r="B345" s="980" t="s">
        <v>452</v>
      </c>
      <c r="C345" s="965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63">
        <f t="shared" ref="T345:U345" si="1611">T342/S342-1</f>
        <v>-0.38877118644067798</v>
      </c>
      <c r="U345" s="263">
        <f t="shared" si="1611"/>
        <v>0.33968804159445387</v>
      </c>
      <c r="V345" s="263">
        <f>V342/CM342-1</f>
        <v>-1.9841269841269771E-3</v>
      </c>
      <c r="W345" s="263">
        <f>W342/CN342-1</f>
        <v>0.30855018587360528</v>
      </c>
      <c r="X345" s="263">
        <f t="shared" ref="X345:AQ345" si="1612">X342/U342-1</f>
        <v>0.10608020698576981</v>
      </c>
      <c r="Y345" s="263">
        <f t="shared" si="1612"/>
        <v>0.77335984095427457</v>
      </c>
      <c r="Z345" s="263">
        <f t="shared" si="1612"/>
        <v>1.7897727272727271</v>
      </c>
      <c r="AA345" s="263">
        <f t="shared" si="1612"/>
        <v>1.1918128654970759</v>
      </c>
      <c r="AB345" s="263">
        <f t="shared" si="1612"/>
        <v>0.85426008968609857</v>
      </c>
      <c r="AC345" s="263">
        <f t="shared" si="1612"/>
        <v>0.2861507128309575</v>
      </c>
      <c r="AD345" s="263">
        <f t="shared" si="1612"/>
        <v>0.55656350053361803</v>
      </c>
      <c r="AE345" s="263">
        <f t="shared" si="1612"/>
        <v>-2.9625151148730433E-2</v>
      </c>
      <c r="AF345" s="263">
        <f t="shared" si="1612"/>
        <v>0.27157561361836935</v>
      </c>
      <c r="AG345" s="284">
        <f t="shared" si="1612"/>
        <v>0.10078848131642104</v>
      </c>
      <c r="AH345" s="284">
        <f t="shared" si="1612"/>
        <v>9.158878504672896E-2</v>
      </c>
      <c r="AI345" s="563">
        <f>AVERAGE(AJ345,AH345)</f>
        <v>8.8900013679610868E-3</v>
      </c>
      <c r="AJ345" s="284">
        <f t="shared" si="1612"/>
        <v>-7.3808782310806786E-2</v>
      </c>
      <c r="AK345" s="137">
        <f t="shared" si="1612"/>
        <v>-0.2226027397260274</v>
      </c>
      <c r="AL345" s="284">
        <f>AVERAGE(AM345,AK345)</f>
        <v>-0.19754884800692762</v>
      </c>
      <c r="AM345" s="284">
        <f t="shared" si="1612"/>
        <v>-0.17249495628782785</v>
      </c>
      <c r="AN345" s="137">
        <f t="shared" si="1612"/>
        <v>6.3142437591777067E-2</v>
      </c>
      <c r="AO345" s="263">
        <f>AVERAGE(AP345,AN345)</f>
        <v>7.2814615788980741E-2</v>
      </c>
      <c r="AP345" s="137">
        <f t="shared" si="1612"/>
        <v>8.2486793986184415E-2</v>
      </c>
      <c r="AQ345" s="1315">
        <f t="shared" si="1612"/>
        <v>6.4226519337016397E-2</v>
      </c>
      <c r="AR345" s="263">
        <f>AVERAGE(AS345,AQ345)</f>
        <v>5.3524564503272587E-2</v>
      </c>
      <c r="AS345" s="193">
        <f>AS342/AP342-1</f>
        <v>4.2822609669528777E-2</v>
      </c>
      <c r="AT345" s="263">
        <f>AT342/AQ342-1</f>
        <v>1.9432641142115292E-2</v>
      </c>
      <c r="AU345" s="263">
        <f>AVERAGE(AV345,AT345)</f>
        <v>1.9226229575026066E-2</v>
      </c>
      <c r="AV345" s="193">
        <f>AV342/AS342-1</f>
        <v>1.901981800793684E-2</v>
      </c>
      <c r="AW345" s="263">
        <f>AW342/AT342-1</f>
        <v>3.499999999999992E-2</v>
      </c>
      <c r="AX345" s="263">
        <f>AVERAGE(AY345,AW345)</f>
        <v>3.5000000000000031E-2</v>
      </c>
      <c r="AY345" s="193">
        <f>AY342/AV342-1</f>
        <v>3.5000000000000142E-2</v>
      </c>
      <c r="AZ345" s="263">
        <f>AZ342/AW342-1</f>
        <v>3.5000000000000142E-2</v>
      </c>
      <c r="BA345" s="263">
        <f>AVERAGE(BB345,AZ345)</f>
        <v>3.5000000000000031E-2</v>
      </c>
      <c r="BB345" s="193">
        <f>BB342/AY342-1</f>
        <v>3.499999999999992E-2</v>
      </c>
      <c r="BC345" s="564"/>
      <c r="BD345" s="331"/>
      <c r="BE345" s="331"/>
      <c r="BF345" s="331"/>
      <c r="BG345" s="331"/>
      <c r="BH345" s="318"/>
      <c r="BI345" s="322"/>
      <c r="BJ345" s="322"/>
      <c r="BK345" s="320"/>
      <c r="BL345" s="320"/>
      <c r="BM345" s="320"/>
      <c r="BN345" s="320"/>
      <c r="BO345" s="320"/>
      <c r="BP345" s="320"/>
      <c r="BQ345" s="320"/>
      <c r="BR345" s="320"/>
      <c r="BS345" s="320"/>
      <c r="BT345" s="320"/>
      <c r="BU345" s="320"/>
      <c r="BV345" s="320"/>
      <c r="BW345" s="320"/>
      <c r="BX345" s="320"/>
      <c r="BY345" s="320"/>
      <c r="BZ345" s="320"/>
      <c r="CA345" s="320"/>
      <c r="CB345" s="320"/>
      <c r="CC345" s="320"/>
      <c r="CD345" s="320"/>
      <c r="CE345" s="320"/>
      <c r="CF345" s="320"/>
      <c r="CG345" s="320"/>
      <c r="CH345" s="320"/>
      <c r="CI345" s="320"/>
      <c r="CJ345" s="320"/>
      <c r="CK345" s="320"/>
      <c r="CL345" s="320"/>
      <c r="CM345" s="331">
        <f t="shared" ref="CM345:CN345" si="1613">CM342/CK342-1</f>
        <v>2.1304347826086953</v>
      </c>
      <c r="CN345" s="331">
        <f t="shared" si="1613"/>
        <v>-0.35336538461538447</v>
      </c>
    </row>
    <row r="346" spans="1:92">
      <c r="A346" s="171"/>
      <c r="B346" s="834"/>
      <c r="C346" s="965"/>
      <c r="D346" s="279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94"/>
      <c r="Z346" s="279"/>
      <c r="AA346" s="279"/>
      <c r="AB346" s="294"/>
      <c r="AC346" s="279"/>
      <c r="AD346" s="279"/>
      <c r="AE346" s="294"/>
      <c r="AF346" s="279"/>
      <c r="AG346" s="279"/>
      <c r="AH346" s="294"/>
      <c r="AI346" s="179"/>
      <c r="AJ346" s="279"/>
      <c r="AK346" s="241"/>
      <c r="AL346" s="279"/>
      <c r="AM346" s="279"/>
      <c r="AN346" s="241"/>
      <c r="AO346" s="279"/>
      <c r="AP346" s="179"/>
      <c r="AQ346" s="1645"/>
      <c r="AR346" s="279"/>
      <c r="AS346" s="179"/>
      <c r="AT346" s="294"/>
      <c r="AU346" s="279"/>
      <c r="AV346" s="179"/>
      <c r="AW346" s="294"/>
      <c r="AX346" s="279"/>
      <c r="AY346" s="179"/>
      <c r="AZ346" s="294"/>
      <c r="BA346" s="279"/>
      <c r="BB346" s="179"/>
      <c r="BC346" s="179"/>
      <c r="BD346" s="320"/>
      <c r="BE346" s="320"/>
      <c r="BF346" s="320"/>
      <c r="BG346" s="320"/>
      <c r="BH346" s="318"/>
      <c r="BI346" s="322"/>
      <c r="BJ346" s="322"/>
      <c r="BK346" s="320"/>
      <c r="BL346" s="320"/>
      <c r="BM346" s="320"/>
      <c r="BN346" s="320"/>
      <c r="BO346" s="320"/>
      <c r="BP346" s="320"/>
      <c r="BQ346" s="320"/>
      <c r="BR346" s="320"/>
      <c r="BS346" s="320"/>
      <c r="BT346" s="320"/>
      <c r="BU346" s="320"/>
      <c r="BV346" s="320"/>
      <c r="BW346" s="320"/>
      <c r="BX346" s="320"/>
      <c r="BY346" s="320"/>
      <c r="BZ346" s="320"/>
      <c r="CA346" s="320"/>
      <c r="CB346" s="320"/>
      <c r="CC346" s="320"/>
      <c r="CD346" s="320"/>
      <c r="CE346" s="320"/>
      <c r="CF346" s="320"/>
      <c r="CG346" s="320"/>
      <c r="CH346" s="320"/>
      <c r="CI346" s="320"/>
      <c r="CJ346" s="320"/>
      <c r="CK346" s="320"/>
      <c r="CL346" s="320"/>
      <c r="CM346" s="320"/>
      <c r="CN346" s="320"/>
    </row>
    <row r="347" spans="1:92">
      <c r="A347" s="171" t="s">
        <v>828</v>
      </c>
      <c r="B347" s="834" t="s">
        <v>314</v>
      </c>
      <c r="C347" s="965"/>
      <c r="D347" s="279"/>
      <c r="E347" s="279"/>
      <c r="F347" s="279"/>
      <c r="G347" s="279"/>
      <c r="H347" s="279"/>
      <c r="I347" s="279"/>
      <c r="J347" s="279"/>
      <c r="K347" s="279"/>
      <c r="L347" s="279"/>
      <c r="M347" s="279"/>
      <c r="N347" s="279"/>
      <c r="O347" s="279"/>
      <c r="P347" s="279"/>
      <c r="Q347" s="279"/>
      <c r="R347" s="279"/>
      <c r="S347" s="840">
        <v>20.2</v>
      </c>
      <c r="T347" s="840">
        <f>T342-T350</f>
        <v>11.300000000000004</v>
      </c>
      <c r="U347" s="840">
        <v>16.399999999999999</v>
      </c>
      <c r="V347" s="1061">
        <v>6.6</v>
      </c>
      <c r="W347" s="294">
        <f>X347-V347</f>
        <v>6</v>
      </c>
      <c r="X347" s="840">
        <v>12.6</v>
      </c>
      <c r="Y347" s="294">
        <f>Y342-Y350</f>
        <v>36.900000000000006</v>
      </c>
      <c r="Z347" s="294">
        <f>AA347-Y347</f>
        <v>37.699999999999989</v>
      </c>
      <c r="AA347" s="840">
        <f>14+(65.6-5)</f>
        <v>74.599999999999994</v>
      </c>
      <c r="AB347" s="294">
        <f>AB342-AB350</f>
        <v>38.800000000000011</v>
      </c>
      <c r="AC347" s="294">
        <f>AD347-AB347</f>
        <v>38.199999999999989</v>
      </c>
      <c r="AD347" s="840">
        <v>77</v>
      </c>
      <c r="AE347" s="294">
        <f>AE342-AE350</f>
        <v>39.400000000000006</v>
      </c>
      <c r="AF347" s="294">
        <f>AG347-AE347</f>
        <v>40.299999999999997</v>
      </c>
      <c r="AG347" s="840">
        <v>79.7</v>
      </c>
      <c r="AH347" s="294">
        <f>AH342-AH350</f>
        <v>42.199999999999989</v>
      </c>
      <c r="AI347" s="241">
        <f>AJ347-AH347</f>
        <v>42.199999999999989</v>
      </c>
      <c r="AJ347" s="294">
        <f>AJ342-AJ350</f>
        <v>84.399999999999977</v>
      </c>
      <c r="AK347" s="241">
        <f>AK342-AK350</f>
        <v>43.699999999999989</v>
      </c>
      <c r="AL347" s="294">
        <f>AM347-AK347</f>
        <v>44.300000000000011</v>
      </c>
      <c r="AM347" s="294">
        <f>AM342-AM350</f>
        <v>88</v>
      </c>
      <c r="AN347" s="241">
        <f>AN342-AN350</f>
        <v>45.300000000000011</v>
      </c>
      <c r="AO347" s="294">
        <f>AP347-AN347</f>
        <v>47.599999999999966</v>
      </c>
      <c r="AP347" s="241">
        <f>AP342-AP350</f>
        <v>92.899999999999977</v>
      </c>
      <c r="AQ347" s="1645">
        <f>AQ342-AQ350</f>
        <v>46.699999999999989</v>
      </c>
      <c r="AR347" s="294">
        <f>AS347-AQ347</f>
        <v>48.801199999999994</v>
      </c>
      <c r="AS347" s="241">
        <f>AP347*(1+AS348)</f>
        <v>95.501199999999983</v>
      </c>
      <c r="AT347" s="294">
        <f>AQ347*(1+AT348)</f>
        <v>47.867499999999986</v>
      </c>
      <c r="AU347" s="294">
        <f>AV347-AT347</f>
        <v>50.021229999999996</v>
      </c>
      <c r="AV347" s="241">
        <f>AS347*(1+AV348)</f>
        <v>97.888729999999981</v>
      </c>
      <c r="AW347" s="294">
        <f>AT347*(1+AW348)</f>
        <v>49.064187499999981</v>
      </c>
      <c r="AX347" s="294">
        <f>AY347-AW347</f>
        <v>51.271760749999991</v>
      </c>
      <c r="AY347" s="241">
        <f>AV347*(1+AY348)</f>
        <v>100.33594824999997</v>
      </c>
      <c r="AZ347" s="294">
        <f>AW347*(1+AZ348)</f>
        <v>50.290792187499974</v>
      </c>
      <c r="BA347" s="294">
        <f>BB347-AZ347</f>
        <v>52.55355476874999</v>
      </c>
      <c r="BB347" s="241">
        <f>AY347*(1+BB348)</f>
        <v>102.84434695624996</v>
      </c>
      <c r="BC347" s="241"/>
      <c r="BD347" s="419"/>
      <c r="BE347" s="419"/>
      <c r="BF347" s="419"/>
      <c r="BG347" s="419"/>
      <c r="BH347" s="319"/>
      <c r="BI347" s="368"/>
      <c r="BJ347" s="368"/>
      <c r="BK347" s="419"/>
      <c r="BL347" s="419"/>
      <c r="BM347" s="419"/>
      <c r="BN347" s="419"/>
      <c r="BO347" s="419"/>
      <c r="BP347" s="419"/>
      <c r="BQ347" s="419"/>
      <c r="BR347" s="419"/>
      <c r="BS347" s="419"/>
      <c r="BT347" s="419"/>
      <c r="BU347" s="419"/>
      <c r="BV347" s="419"/>
      <c r="BW347" s="419"/>
      <c r="BX347" s="419"/>
      <c r="BY347" s="419"/>
      <c r="BZ347" s="419"/>
      <c r="CA347" s="419"/>
      <c r="CB347" s="419"/>
      <c r="CC347" s="419"/>
      <c r="CD347" s="419"/>
      <c r="CE347" s="419"/>
      <c r="CF347" s="419"/>
      <c r="CG347" s="419"/>
      <c r="CH347" s="419"/>
      <c r="CI347" s="419">
        <f>0.48*S347</f>
        <v>9.6959999999999997</v>
      </c>
      <c r="CJ347" s="419">
        <f>S347-CI347</f>
        <v>10.504</v>
      </c>
      <c r="CK347" s="419">
        <f>CK342-CK350</f>
        <v>1.8000000000000007</v>
      </c>
      <c r="CL347" s="419">
        <f>CL348*CL308</f>
        <v>10.530980810878871</v>
      </c>
      <c r="CM347" s="474">
        <v>8.4</v>
      </c>
      <c r="CN347" s="419">
        <f>U347-CM347</f>
        <v>7.9999999999999982</v>
      </c>
    </row>
    <row r="348" spans="1:92">
      <c r="A348" s="171" t="s">
        <v>827</v>
      </c>
      <c r="B348" s="1080" t="s">
        <v>416</v>
      </c>
      <c r="C348" s="965"/>
      <c r="D348" s="279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304">
        <f t="shared" ref="S348:AG348" si="1614">S347/S308</f>
        <v>9.6650717703349286E-3</v>
      </c>
      <c r="T348" s="304">
        <f t="shared" si="1614"/>
        <v>8.9796567069294377E-3</v>
      </c>
      <c r="U348" s="304">
        <f t="shared" si="1614"/>
        <v>7.8046923333174685E-3</v>
      </c>
      <c r="V348" s="304">
        <f>V347/V308</f>
        <v>5.8370920668612356E-3</v>
      </c>
      <c r="W348" s="304">
        <f>W347/W308</f>
        <v>5.8985450255603618E-3</v>
      </c>
      <c r="X348" s="304">
        <f t="shared" si="1614"/>
        <v>5.8661948880301684E-3</v>
      </c>
      <c r="Y348" s="304">
        <f>Y347/Y308</f>
        <v>3.2156862745098047E-2</v>
      </c>
      <c r="Z348" s="304">
        <f>Z347/Z308</f>
        <v>3.0371384838475776E-2</v>
      </c>
      <c r="AA348" s="304">
        <f t="shared" si="1614"/>
        <v>3.1229068988613527E-2</v>
      </c>
      <c r="AB348" s="304">
        <f>AB347/AB308</f>
        <v>2.6749396759738028E-2</v>
      </c>
      <c r="AC348" s="304">
        <f>AC347/AC308</f>
        <v>3.0192854884603219E-2</v>
      </c>
      <c r="AD348" s="304">
        <f t="shared" si="1614"/>
        <v>2.83536473100858E-2</v>
      </c>
      <c r="AE348" s="304">
        <f>AE347/AE308</f>
        <v>2.737251632624705E-2</v>
      </c>
      <c r="AF348" s="304">
        <f>AF347/AF308</f>
        <v>2.9851851851851848E-2</v>
      </c>
      <c r="AG348" s="618">
        <f t="shared" si="1614"/>
        <v>2.8572452857245287E-2</v>
      </c>
      <c r="AH348" s="618">
        <f t="shared" ref="AH348:AM348" si="1615">AH347/AH308</f>
        <v>2.7331606217616572E-2</v>
      </c>
      <c r="AI348" s="563">
        <f t="shared" si="1615"/>
        <v>3.3254531126871545E-2</v>
      </c>
      <c r="AJ348" s="618">
        <f t="shared" si="1615"/>
        <v>3.0003554923569136E-2</v>
      </c>
      <c r="AK348" s="567">
        <f t="shared" si="1615"/>
        <v>3.1418506003307201E-2</v>
      </c>
      <c r="AL348" s="618">
        <f t="shared" si="1615"/>
        <v>3.4389070020183217E-2</v>
      </c>
      <c r="AM348" s="618">
        <f t="shared" si="1615"/>
        <v>3.2846851554626556E-2</v>
      </c>
      <c r="AN348" s="567">
        <f>AN347/AN308</f>
        <v>2.9826178562022659E-2</v>
      </c>
      <c r="AO348" s="304">
        <f>AO347/AO308</f>
        <v>3.5358787698707449E-2</v>
      </c>
      <c r="AP348" s="567">
        <f t="shared" ref="AP348" si="1616">AP347/AP308</f>
        <v>3.2425828970331583E-2</v>
      </c>
      <c r="AQ348" s="1540">
        <f>AQ347/AQ308</f>
        <v>2.9538266919671086E-2</v>
      </c>
      <c r="AR348" s="304">
        <f>AR347/AR308</f>
        <v>3.534946604469269E-2</v>
      </c>
      <c r="AS348" s="310">
        <v>2.8000000000000001E-2</v>
      </c>
      <c r="AT348" s="310">
        <v>2.5000000000000001E-2</v>
      </c>
      <c r="AU348" s="304">
        <f t="shared" ref="AU348" si="1617">AU347/AU308</f>
        <v>3.5177866694961167E-2</v>
      </c>
      <c r="AV348" s="310">
        <v>2.5000000000000001E-2</v>
      </c>
      <c r="AW348" s="310">
        <v>2.5000000000000001E-2</v>
      </c>
      <c r="AX348" s="304">
        <f t="shared" ref="AX348" si="1618">AX347/AX308</f>
        <v>3.4837983924961534E-2</v>
      </c>
      <c r="AY348" s="310">
        <v>2.5000000000000001E-2</v>
      </c>
      <c r="AZ348" s="310">
        <v>2.5000000000000001E-2</v>
      </c>
      <c r="BA348" s="304">
        <f t="shared" ref="BA348" si="1619">BA347/BA308</f>
        <v>3.4501385046459498E-2</v>
      </c>
      <c r="BB348" s="310">
        <v>2.5000000000000001E-2</v>
      </c>
      <c r="BC348" s="1355"/>
      <c r="BD348" s="329"/>
      <c r="BE348" s="329"/>
      <c r="BF348" s="329"/>
      <c r="BG348" s="329"/>
      <c r="BH348" s="318"/>
      <c r="BI348" s="322"/>
      <c r="BJ348" s="322"/>
      <c r="BK348" s="320"/>
      <c r="BL348" s="320"/>
      <c r="BM348" s="320"/>
      <c r="BN348" s="320"/>
      <c r="BO348" s="320"/>
      <c r="BP348" s="320"/>
      <c r="BQ348" s="320"/>
      <c r="BR348" s="320"/>
      <c r="BS348" s="320"/>
      <c r="BT348" s="320"/>
      <c r="BU348" s="320"/>
      <c r="BV348" s="320"/>
      <c r="BW348" s="320"/>
      <c r="BX348" s="320"/>
      <c r="BY348" s="320"/>
      <c r="BZ348" s="320"/>
      <c r="CA348" s="320"/>
      <c r="CB348" s="320"/>
      <c r="CC348" s="320"/>
      <c r="CD348" s="320"/>
      <c r="CE348" s="320"/>
      <c r="CF348" s="320"/>
      <c r="CG348" s="320"/>
      <c r="CH348" s="320"/>
      <c r="CI348" s="320"/>
      <c r="CJ348" s="328">
        <f>CJ347/CJ308</f>
        <v>1.0580710148577184E-2</v>
      </c>
      <c r="CK348" s="328">
        <f>CK347/CK308</f>
        <v>6.8415051311288503E-3</v>
      </c>
      <c r="CL348" s="328">
        <f>CJ348</f>
        <v>1.0580710148577184E-2</v>
      </c>
      <c r="CM348" s="328">
        <f t="shared" ref="CM348:CN348" si="1620">CM347/CM308</f>
        <v>7.6377523186033826E-3</v>
      </c>
      <c r="CN348" s="328">
        <f t="shared" si="1620"/>
        <v>7.9880179730404365E-3</v>
      </c>
    </row>
    <row r="349" spans="1:92">
      <c r="A349" s="171"/>
      <c r="B349" s="834"/>
      <c r="C349" s="965"/>
      <c r="D349" s="279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  <c r="AA349" s="279"/>
      <c r="AB349" s="279"/>
      <c r="AC349" s="279"/>
      <c r="AD349" s="279"/>
      <c r="AE349" s="279"/>
      <c r="AF349" s="279"/>
      <c r="AG349" s="279"/>
      <c r="AH349" s="279"/>
      <c r="AI349" s="179"/>
      <c r="AJ349" s="279"/>
      <c r="AK349" s="179"/>
      <c r="AL349" s="279"/>
      <c r="AM349" s="279"/>
      <c r="AN349" s="179"/>
      <c r="AO349" s="279"/>
      <c r="AP349" s="179"/>
      <c r="AQ349" s="1371"/>
      <c r="AR349" s="279"/>
      <c r="AS349" s="179"/>
      <c r="AT349" s="279"/>
      <c r="AU349" s="279"/>
      <c r="AV349" s="179"/>
      <c r="AW349" s="279"/>
      <c r="AX349" s="279"/>
      <c r="AY349" s="179"/>
      <c r="AZ349" s="279"/>
      <c r="BA349" s="279"/>
      <c r="BB349" s="179"/>
      <c r="BC349" s="179"/>
      <c r="BD349" s="320"/>
      <c r="BE349" s="320"/>
      <c r="BF349" s="320"/>
      <c r="BG349" s="320"/>
      <c r="BH349" s="318"/>
      <c r="BI349" s="322"/>
      <c r="BJ349" s="322"/>
      <c r="BK349" s="320"/>
      <c r="BL349" s="320"/>
      <c r="BM349" s="320"/>
      <c r="BN349" s="320"/>
      <c r="BO349" s="320"/>
      <c r="BP349" s="320"/>
      <c r="BQ349" s="320"/>
      <c r="BR349" s="320"/>
      <c r="BS349" s="320"/>
      <c r="BT349" s="320"/>
      <c r="BU349" s="320"/>
      <c r="BV349" s="320"/>
      <c r="BW349" s="320"/>
      <c r="BX349" s="320"/>
      <c r="BY349" s="320"/>
      <c r="BZ349" s="320"/>
      <c r="CA349" s="320"/>
      <c r="CB349" s="320"/>
      <c r="CC349" s="320"/>
      <c r="CD349" s="320"/>
      <c r="CE349" s="320"/>
      <c r="CF349" s="320"/>
      <c r="CG349" s="320"/>
      <c r="CH349" s="320"/>
      <c r="CI349" s="320"/>
      <c r="CJ349" s="320"/>
      <c r="CK349" s="320"/>
      <c r="CL349" s="320"/>
      <c r="CM349" s="320"/>
      <c r="CN349" s="320"/>
    </row>
    <row r="350" spans="1:92">
      <c r="A350" s="204" t="s">
        <v>746</v>
      </c>
      <c r="B350" s="834" t="s">
        <v>165</v>
      </c>
      <c r="C350" s="965"/>
      <c r="D350" s="279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1083">
        <v>45</v>
      </c>
      <c r="R350" s="1083">
        <v>58</v>
      </c>
      <c r="S350" s="1083">
        <v>74.2</v>
      </c>
      <c r="T350" s="1083">
        <v>46.4</v>
      </c>
      <c r="U350" s="1083">
        <v>60.9</v>
      </c>
      <c r="V350" s="987">
        <v>43.7</v>
      </c>
      <c r="W350" s="585">
        <f>W342-W347</f>
        <v>29.199999999999989</v>
      </c>
      <c r="X350" s="1083">
        <v>72.900000000000006</v>
      </c>
      <c r="Y350" s="987">
        <v>52.3</v>
      </c>
      <c r="Z350" s="585">
        <f>Z342-Z347</f>
        <v>60.499999999999972</v>
      </c>
      <c r="AA350" s="1083">
        <f>107.8+5</f>
        <v>112.8</v>
      </c>
      <c r="AB350" s="987">
        <v>126.6</v>
      </c>
      <c r="AC350" s="585">
        <f>AC342-AC347</f>
        <v>88.1</v>
      </c>
      <c r="AD350" s="1083">
        <v>214.7</v>
      </c>
      <c r="AE350" s="987">
        <v>121.1</v>
      </c>
      <c r="AF350" s="585">
        <f>AF342-AF347</f>
        <v>120.30000000000003</v>
      </c>
      <c r="AG350" s="1083">
        <v>241.4</v>
      </c>
      <c r="AH350" s="987">
        <v>133</v>
      </c>
      <c r="AI350" s="277">
        <f t="shared" ref="AI350:AS350" si="1621">AI342-AI347</f>
        <v>80</v>
      </c>
      <c r="AJ350" s="987">
        <v>213</v>
      </c>
      <c r="AK350" s="1249">
        <v>92.5</v>
      </c>
      <c r="AL350" s="277">
        <f t="shared" si="1621"/>
        <v>65.599999999999994</v>
      </c>
      <c r="AM350" s="987">
        <v>158.1</v>
      </c>
      <c r="AN350" s="1911">
        <v>99.5</v>
      </c>
      <c r="AO350" s="277">
        <f t="shared" si="1621"/>
        <v>74</v>
      </c>
      <c r="AP350" s="1721">
        <f>159.8+13.7</f>
        <v>173.5</v>
      </c>
      <c r="AQ350" s="1762">
        <v>107.4</v>
      </c>
      <c r="AR350" s="277">
        <f t="shared" si="1621"/>
        <v>74.90674321596245</v>
      </c>
      <c r="AS350" s="277">
        <f t="shared" si="1621"/>
        <v>182.30674321596246</v>
      </c>
      <c r="AT350" s="277">
        <f t="shared" ref="AT350:AU350" si="1622">AT342-AT347</f>
        <v>109.22707</v>
      </c>
      <c r="AU350" s="277">
        <f t="shared" si="1622"/>
        <v>75.975999737089296</v>
      </c>
      <c r="AV350" s="277">
        <f>AV342-AV347</f>
        <v>185.20306973708929</v>
      </c>
      <c r="AW350" s="277">
        <f t="shared" ref="AW350:AX350" si="1623">AW342-AW347</f>
        <v>113.52869244999999</v>
      </c>
      <c r="AX350" s="277">
        <f t="shared" si="1623"/>
        <v>79.135372027887485</v>
      </c>
      <c r="AY350" s="277">
        <f>AY342-AY347</f>
        <v>192.66406447788748</v>
      </c>
      <c r="AZ350" s="277">
        <f t="shared" ref="AZ350:BA350" si="1624">AZ342-AZ347</f>
        <v>117.99283856075003</v>
      </c>
      <c r="BA350" s="277">
        <f t="shared" si="1624"/>
        <v>82.417827656363471</v>
      </c>
      <c r="BB350" s="277">
        <f>BB342-BB347</f>
        <v>200.41066621711349</v>
      </c>
      <c r="BC350" s="241"/>
      <c r="BD350" s="419"/>
      <c r="BE350" s="419"/>
      <c r="BF350" s="419"/>
      <c r="BG350" s="419"/>
      <c r="BH350" s="431"/>
      <c r="BI350" s="322"/>
      <c r="BJ350" s="322"/>
      <c r="BK350" s="320"/>
      <c r="BL350" s="320"/>
      <c r="BM350" s="320"/>
      <c r="BN350" s="320"/>
      <c r="BO350" s="320"/>
      <c r="BP350" s="320"/>
      <c r="BQ350" s="320"/>
      <c r="BR350" s="320"/>
      <c r="BS350" s="320"/>
      <c r="BT350" s="320"/>
      <c r="BU350" s="320"/>
      <c r="BV350" s="320"/>
      <c r="BW350" s="320"/>
      <c r="BX350" s="320"/>
      <c r="BY350" s="320"/>
      <c r="BZ350" s="320"/>
      <c r="CA350" s="320"/>
      <c r="CB350" s="320"/>
      <c r="CC350" s="320"/>
      <c r="CD350" s="320"/>
      <c r="CE350" s="320"/>
      <c r="CF350" s="320"/>
      <c r="CG350" s="320"/>
      <c r="CH350" s="320"/>
      <c r="CI350" s="478"/>
      <c r="CJ350" s="479"/>
      <c r="CK350" s="447">
        <v>14.3</v>
      </c>
      <c r="CL350" s="480">
        <f>T350-CK350</f>
        <v>32.099999999999994</v>
      </c>
      <c r="CM350" s="447">
        <v>42</v>
      </c>
      <c r="CN350" s="480">
        <f>CN342-CN347</f>
        <v>18.900000000000006</v>
      </c>
    </row>
    <row r="351" spans="1:92">
      <c r="A351" s="171" t="s">
        <v>825</v>
      </c>
      <c r="B351" s="963" t="s">
        <v>726</v>
      </c>
      <c r="C351" s="965"/>
      <c r="D351" s="279"/>
      <c r="E351" s="279"/>
      <c r="F351" s="279"/>
      <c r="G351" s="279"/>
      <c r="H351" s="279"/>
      <c r="I351" s="279"/>
      <c r="J351" s="279"/>
      <c r="K351" s="279"/>
      <c r="L351" s="279"/>
      <c r="M351" s="279"/>
      <c r="N351" s="279"/>
      <c r="O351" s="279"/>
      <c r="P351" s="279"/>
      <c r="Q351" s="304">
        <f>Q350/Q308</f>
        <v>2.3498694516971279E-2</v>
      </c>
      <c r="R351" s="304">
        <f>R350/R308</f>
        <v>2.9591836734693878E-2</v>
      </c>
      <c r="S351" s="304">
        <f>S350/S308</f>
        <v>3.5502392344497612E-2</v>
      </c>
      <c r="T351" s="304">
        <f>T350/T308</f>
        <v>3.6872218690400506E-2</v>
      </c>
      <c r="U351" s="304">
        <f t="shared" ref="U351:AX351" si="1625">U350/U308</f>
        <v>2.8982058725550847E-2</v>
      </c>
      <c r="V351" s="304">
        <f>V350/V308</f>
        <v>3.8648624745732732E-2</v>
      </c>
      <c r="W351" s="304">
        <f>W350/W308</f>
        <v>2.870625245772708E-2</v>
      </c>
      <c r="X351" s="304">
        <f>X350/X308</f>
        <v>3.3940127566460268E-2</v>
      </c>
      <c r="Y351" s="304">
        <f>Y350/Y308</f>
        <v>4.5577342047930278E-2</v>
      </c>
      <c r="Z351" s="304">
        <f>Z350/Z308</f>
        <v>4.8739225006042025E-2</v>
      </c>
      <c r="AA351" s="304">
        <f t="shared" si="1625"/>
        <v>4.7220361687876751E-2</v>
      </c>
      <c r="AB351" s="304">
        <f>AB350/AB308</f>
        <v>8.7280248190279214E-2</v>
      </c>
      <c r="AC351" s="304">
        <f>AC350/AC308</f>
        <v>6.9633259563705349E-2</v>
      </c>
      <c r="AD351" s="304">
        <f t="shared" si="1625"/>
        <v>7.9058806200979492E-2</v>
      </c>
      <c r="AE351" s="304">
        <f t="shared" ref="AE351:AQ351" si="1626">AE350/AE308</f>
        <v>8.4132277337779615E-2</v>
      </c>
      <c r="AF351" s="304">
        <f t="shared" si="1626"/>
        <v>8.9111111111111127E-2</v>
      </c>
      <c r="AG351" s="618">
        <f t="shared" si="1626"/>
        <v>8.6541908654190869E-2</v>
      </c>
      <c r="AH351" s="618">
        <f t="shared" si="1626"/>
        <v>8.6139896373056996E-2</v>
      </c>
      <c r="AI351" s="563">
        <f t="shared" si="1626"/>
        <v>6.3041765169424738E-2</v>
      </c>
      <c r="AJ351" s="618">
        <f t="shared" si="1626"/>
        <v>7.5719872022751517E-2</v>
      </c>
      <c r="AK351" s="618">
        <f t="shared" ref="AK351" si="1627">AK350/AK308</f>
        <v>6.6503702638579326E-2</v>
      </c>
      <c r="AL351" s="618">
        <f t="shared" si="1626"/>
        <v>5.0923769600993637E-2</v>
      </c>
      <c r="AM351" s="618">
        <f t="shared" ref="AM351:AN351" si="1628">AM350/AM308</f>
        <v>5.9012354895300663E-2</v>
      </c>
      <c r="AN351" s="618">
        <f t="shared" si="1628"/>
        <v>6.5512246510402952E-2</v>
      </c>
      <c r="AO351" s="304">
        <f t="shared" si="1626"/>
        <v>5.4969543901351954E-2</v>
      </c>
      <c r="AP351" s="618">
        <f t="shared" si="1626"/>
        <v>6.0558464223385691E-2</v>
      </c>
      <c r="AQ351" s="1379">
        <f t="shared" si="1626"/>
        <v>6.793168880455408E-2</v>
      </c>
      <c r="AR351" s="304">
        <f>AR350/AR308</f>
        <v>5.4259185754267913E-2</v>
      </c>
      <c r="AS351" s="202">
        <f>AS350/AS308</f>
        <v>6.1558178399084458E-2</v>
      </c>
      <c r="AT351" s="304">
        <f t="shared" ref="AT351:AU351" si="1629">AT350/AT308</f>
        <v>6.7075078449795197E-2</v>
      </c>
      <c r="AU351" s="304">
        <f t="shared" si="1629"/>
        <v>5.3430785103999484E-2</v>
      </c>
      <c r="AV351" s="202">
        <f t="shared" si="1625"/>
        <v>6.0714718148914604E-2</v>
      </c>
      <c r="AW351" s="304">
        <f t="shared" si="1625"/>
        <v>6.7359086925876652E-2</v>
      </c>
      <c r="AX351" s="304">
        <f t="shared" si="1625"/>
        <v>5.3770667873999145E-2</v>
      </c>
      <c r="AY351" s="202">
        <f t="shared" ref="AY351:BA351" si="1630">AY350/AY308</f>
        <v>6.1024772725872853E-2</v>
      </c>
      <c r="AZ351" s="304">
        <f t="shared" si="1630"/>
        <v>6.7640351358710965E-2</v>
      </c>
      <c r="BA351" s="304">
        <f t="shared" si="1630"/>
        <v>5.4107266752501146E-2</v>
      </c>
      <c r="BB351" s="202">
        <f t="shared" ref="BB351" si="1631">BB350/BB308</f>
        <v>6.1331831606435336E-2</v>
      </c>
      <c r="BC351" s="563"/>
      <c r="BD351" s="331"/>
      <c r="BE351" s="331"/>
      <c r="BF351" s="331"/>
      <c r="BG351" s="331"/>
      <c r="BH351" s="318"/>
      <c r="BI351" s="322"/>
      <c r="BJ351" s="322"/>
      <c r="BK351" s="320"/>
      <c r="BL351" s="320"/>
      <c r="BM351" s="320"/>
      <c r="BN351" s="320"/>
      <c r="BO351" s="320"/>
      <c r="BP351" s="320"/>
      <c r="BQ351" s="320"/>
      <c r="BR351" s="320"/>
      <c r="BS351" s="320"/>
      <c r="BT351" s="320"/>
      <c r="BU351" s="320"/>
      <c r="BV351" s="320"/>
      <c r="BW351" s="320"/>
      <c r="BX351" s="320"/>
      <c r="BY351" s="320"/>
      <c r="BZ351" s="320"/>
      <c r="CA351" s="320"/>
      <c r="CB351" s="320"/>
      <c r="CC351" s="320"/>
      <c r="CD351" s="320"/>
      <c r="CE351" s="320"/>
      <c r="CF351" s="320"/>
      <c r="CG351" s="320"/>
      <c r="CH351" s="320"/>
      <c r="CI351" s="331"/>
      <c r="CJ351" s="331"/>
      <c r="CK351" s="328">
        <f>CK350/CK308</f>
        <v>5.4351957430634736E-2</v>
      </c>
      <c r="CL351" s="328">
        <v>3.5499999999999997E-2</v>
      </c>
      <c r="CM351" s="328">
        <f t="shared" ref="CM351:CN351" si="1632">CM350/CM308</f>
        <v>3.8188761593016915E-2</v>
      </c>
      <c r="CN351" s="328">
        <f t="shared" si="1632"/>
        <v>1.8871692461308039E-2</v>
      </c>
    </row>
    <row r="352" spans="1:92">
      <c r="A352" s="171"/>
      <c r="B352" s="963" t="s">
        <v>727</v>
      </c>
      <c r="C352" s="965"/>
      <c r="D352" s="279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1082"/>
      <c r="R352" s="304">
        <f t="shared" ref="R352:U352" si="1633">R351-Q351</f>
        <v>6.0931422177225997E-3</v>
      </c>
      <c r="S352" s="304">
        <f t="shared" si="1633"/>
        <v>5.9105556098037332E-3</v>
      </c>
      <c r="T352" s="304">
        <f t="shared" si="1633"/>
        <v>1.3698263459028942E-3</v>
      </c>
      <c r="U352" s="304">
        <f t="shared" si="1633"/>
        <v>-7.8901599648496593E-3</v>
      </c>
      <c r="V352" s="304">
        <f>V351-CM351</f>
        <v>4.5986315271581701E-4</v>
      </c>
      <c r="W352" s="304">
        <f>W351-CN351</f>
        <v>9.8345599964190407E-3</v>
      </c>
      <c r="X352" s="304">
        <f t="shared" ref="X352:AV352" si="1634">X351-U351</f>
        <v>4.9580688409094215E-3</v>
      </c>
      <c r="Y352" s="304">
        <f t="shared" si="1634"/>
        <v>6.9287173021975457E-3</v>
      </c>
      <c r="Z352" s="304">
        <f t="shared" si="1634"/>
        <v>2.0032972548314945E-2</v>
      </c>
      <c r="AA352" s="304">
        <f t="shared" si="1634"/>
        <v>1.3280234121416483E-2</v>
      </c>
      <c r="AB352" s="304">
        <f t="shared" si="1634"/>
        <v>4.1702906142348936E-2</v>
      </c>
      <c r="AC352" s="304">
        <f t="shared" si="1634"/>
        <v>2.0894034557663324E-2</v>
      </c>
      <c r="AD352" s="304">
        <f t="shared" si="1634"/>
        <v>3.1838444513102741E-2</v>
      </c>
      <c r="AE352" s="304">
        <f t="shared" si="1634"/>
        <v>-3.1479708524995986E-3</v>
      </c>
      <c r="AF352" s="304">
        <f t="shared" si="1634"/>
        <v>1.9477851547405778E-2</v>
      </c>
      <c r="AG352" s="618">
        <f t="shared" si="1634"/>
        <v>7.4831024532113766E-3</v>
      </c>
      <c r="AH352" s="618">
        <f t="shared" si="1634"/>
        <v>2.0076190352773804E-3</v>
      </c>
      <c r="AI352" s="563">
        <f t="shared" si="1634"/>
        <v>-2.6069345941686389E-2</v>
      </c>
      <c r="AJ352" s="618">
        <f t="shared" si="1634"/>
        <v>-1.0822036631439352E-2</v>
      </c>
      <c r="AK352" s="618">
        <f t="shared" si="1634"/>
        <v>-1.9636193734477669E-2</v>
      </c>
      <c r="AL352" s="618">
        <f t="shared" si="1634"/>
        <v>-1.21179955684311E-2</v>
      </c>
      <c r="AM352" s="618">
        <f t="shared" si="1634"/>
        <v>-1.6707517127450854E-2</v>
      </c>
      <c r="AN352" s="618">
        <f t="shared" si="1634"/>
        <v>-9.9145612817637396E-4</v>
      </c>
      <c r="AO352" s="304">
        <f>AO351-AL351</f>
        <v>4.0457743003583166E-3</v>
      </c>
      <c r="AP352" s="618">
        <f t="shared" si="1634"/>
        <v>1.5461093280850283E-3</v>
      </c>
      <c r="AQ352" s="1379">
        <f t="shared" si="1634"/>
        <v>2.4194422941511279E-3</v>
      </c>
      <c r="AR352" s="304">
        <f t="shared" si="1634"/>
        <v>-7.103581470840406E-4</v>
      </c>
      <c r="AS352" s="304">
        <f t="shared" si="1634"/>
        <v>9.997141756987668E-4</v>
      </c>
      <c r="AT352" s="304">
        <f t="shared" si="1634"/>
        <v>-8.566103547588827E-4</v>
      </c>
      <c r="AU352" s="304">
        <f t="shared" si="1634"/>
        <v>-8.2840065026842935E-4</v>
      </c>
      <c r="AV352" s="304">
        <f t="shared" si="1634"/>
        <v>-8.4346025016985432E-4</v>
      </c>
      <c r="AW352" s="304">
        <f t="shared" ref="AW352" si="1635">AW351-AT351</f>
        <v>2.840084760814543E-4</v>
      </c>
      <c r="AX352" s="304">
        <f t="shared" ref="AX352" si="1636">AX351-AU351</f>
        <v>3.3988276999966094E-4</v>
      </c>
      <c r="AY352" s="304">
        <f t="shared" ref="AY352" si="1637">AY351-AV351</f>
        <v>3.1005457695824912E-4</v>
      </c>
      <c r="AZ352" s="304">
        <f t="shared" ref="AZ352" si="1638">AZ351-AW351</f>
        <v>2.8126443283431335E-4</v>
      </c>
      <c r="BA352" s="304">
        <f t="shared" ref="BA352" si="1639">BA351-AX351</f>
        <v>3.3659887850200076E-4</v>
      </c>
      <c r="BB352" s="304">
        <f t="shared" ref="BB352" si="1640">BB351-AY351</f>
        <v>3.0705888056248298E-4</v>
      </c>
      <c r="BC352" s="563"/>
      <c r="BD352" s="329"/>
      <c r="BE352" s="329"/>
      <c r="BF352" s="329"/>
      <c r="BG352" s="329"/>
      <c r="BH352" s="363"/>
      <c r="BI352" s="322"/>
      <c r="BJ352" s="322"/>
      <c r="BK352" s="320"/>
      <c r="BL352" s="320"/>
      <c r="BM352" s="320"/>
      <c r="BN352" s="320"/>
      <c r="BO352" s="320"/>
      <c r="BP352" s="320"/>
      <c r="BQ352" s="320"/>
      <c r="BR352" s="320"/>
      <c r="BS352" s="320"/>
      <c r="BT352" s="320"/>
      <c r="BU352" s="320"/>
      <c r="BV352" s="320"/>
      <c r="BW352" s="320"/>
      <c r="BX352" s="320"/>
      <c r="BY352" s="320"/>
      <c r="BZ352" s="320"/>
      <c r="CA352" s="320"/>
      <c r="CB352" s="320"/>
      <c r="CC352" s="320"/>
      <c r="CD352" s="320"/>
      <c r="CE352" s="320"/>
      <c r="CF352" s="320"/>
      <c r="CG352" s="320"/>
      <c r="CH352" s="320"/>
      <c r="CI352" s="320"/>
      <c r="CJ352" s="320"/>
      <c r="CK352" s="320"/>
      <c r="CL352" s="320"/>
      <c r="CM352" s="328">
        <f t="shared" ref="CM352:CN352" si="1641">CM351-CK351</f>
        <v>-1.6163195837617821E-2</v>
      </c>
      <c r="CN352" s="328">
        <f t="shared" si="1641"/>
        <v>-1.6628307538691958E-2</v>
      </c>
    </row>
    <row r="353" spans="1:92">
      <c r="A353" s="171" t="s">
        <v>856</v>
      </c>
      <c r="B353" s="980" t="s">
        <v>452</v>
      </c>
      <c r="C353" s="965"/>
      <c r="D353" s="279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63">
        <f>R350/Q350-1</f>
        <v>0.28888888888888897</v>
      </c>
      <c r="S353" s="263">
        <f>S350/R350-1</f>
        <v>0.27931034482758621</v>
      </c>
      <c r="T353" s="263">
        <f t="shared" ref="T353:U353" si="1642">T350/S350-1</f>
        <v>-0.37466307277628041</v>
      </c>
      <c r="U353" s="263">
        <f t="shared" si="1642"/>
        <v>0.3125</v>
      </c>
      <c r="V353" s="263">
        <f>V350/CM350-1</f>
        <v>4.0476190476190554E-2</v>
      </c>
      <c r="W353" s="263">
        <f>W350/CN350-1</f>
        <v>0.544973544973544</v>
      </c>
      <c r="X353" s="263">
        <f t="shared" ref="X353:AH353" si="1643">X350/U350-1</f>
        <v>0.19704433497536966</v>
      </c>
      <c r="Y353" s="263">
        <f t="shared" si="1643"/>
        <v>0.19679633867276869</v>
      </c>
      <c r="Z353" s="263">
        <f t="shared" si="1643"/>
        <v>1.0719178082191778</v>
      </c>
      <c r="AA353" s="263">
        <f t="shared" si="1643"/>
        <v>0.54732510288065828</v>
      </c>
      <c r="AB353" s="263">
        <f t="shared" si="1643"/>
        <v>1.4206500956022943</v>
      </c>
      <c r="AC353" s="263">
        <f t="shared" si="1643"/>
        <v>0.45619834710743867</v>
      </c>
      <c r="AD353" s="263">
        <f t="shared" si="1643"/>
        <v>0.90336879432624118</v>
      </c>
      <c r="AE353" s="263">
        <f t="shared" si="1643"/>
        <v>-4.3443917851500813E-2</v>
      </c>
      <c r="AF353" s="263">
        <f t="shared" si="1643"/>
        <v>0.36549375709421161</v>
      </c>
      <c r="AG353" s="284">
        <f t="shared" si="1643"/>
        <v>0.12435957149510957</v>
      </c>
      <c r="AH353" s="284">
        <f t="shared" si="1643"/>
        <v>9.8265895953757232E-2</v>
      </c>
      <c r="AI353" s="564">
        <f>AVERAGE(AJ353,AH353)</f>
        <v>-9.690581434886103E-3</v>
      </c>
      <c r="AJ353" s="284">
        <f>AJ350/AG350-1</f>
        <v>-0.11764705882352944</v>
      </c>
      <c r="AK353" s="284">
        <f t="shared" ref="AK353" si="1644">AK350/AH350-1</f>
        <v>-0.30451127819548873</v>
      </c>
      <c r="AL353" s="284">
        <f>AVERAGE(AM353,AK353)</f>
        <v>-0.28112887853436408</v>
      </c>
      <c r="AM353" s="284">
        <f>AM350/AJ350-1</f>
        <v>-0.25774647887323943</v>
      </c>
      <c r="AN353" s="284">
        <f t="shared" ref="AN353" si="1645">AN350/AK350-1</f>
        <v>7.5675675675675569E-2</v>
      </c>
      <c r="AO353" s="263">
        <f>AVERAGE(AP353,AN353)</f>
        <v>8.6541190146503189E-2</v>
      </c>
      <c r="AP353" s="284">
        <f>AP350/AM350-1</f>
        <v>9.7406704617330808E-2</v>
      </c>
      <c r="AQ353" s="1376">
        <f t="shared" ref="AQ353" si="1646">AQ350/AN350-1</f>
        <v>7.9396984924623215E-2</v>
      </c>
      <c r="AR353" s="263">
        <f>AVERAGE(AS353,AQ353)</f>
        <v>6.5078155908889324E-2</v>
      </c>
      <c r="AS353" s="263">
        <f>AS350/AP350-1</f>
        <v>5.0759326893155432E-2</v>
      </c>
      <c r="AT353" s="263">
        <f>AT350/AQ350-1</f>
        <v>1.7011824953444998E-2</v>
      </c>
      <c r="AU353" s="263">
        <f>AVERAGE(AV353,AT353)</f>
        <v>1.644946538659986E-2</v>
      </c>
      <c r="AV353" s="263">
        <f>AV350/AS350-1</f>
        <v>1.5887105819754721E-2</v>
      </c>
      <c r="AW353" s="263">
        <f>AW350/AT350-1</f>
        <v>3.9382384330184816E-2</v>
      </c>
      <c r="AX353" s="263">
        <f>AVERAGE(AY353,AW353)</f>
        <v>3.9833932648254078E-2</v>
      </c>
      <c r="AY353" s="263">
        <f>AY350/AV350-1</f>
        <v>4.0285480966323339E-2</v>
      </c>
      <c r="AZ353" s="263">
        <f>AZ350/AW350-1</f>
        <v>3.9321743379684637E-2</v>
      </c>
      <c r="BA353" s="263">
        <f>AVERAGE(BB353,AZ353)</f>
        <v>3.976478094821656E-2</v>
      </c>
      <c r="BB353" s="263">
        <f>BB350/AY350-1</f>
        <v>4.0207818516748484E-2</v>
      </c>
      <c r="BC353" s="564"/>
      <c r="BD353" s="331"/>
      <c r="BE353" s="331"/>
      <c r="BF353" s="331"/>
      <c r="BG353" s="331"/>
      <c r="BH353" s="318"/>
      <c r="BI353" s="322"/>
      <c r="BJ353" s="322"/>
      <c r="BK353" s="320"/>
      <c r="BL353" s="320"/>
      <c r="BM353" s="320"/>
      <c r="BN353" s="320"/>
      <c r="BO353" s="320"/>
      <c r="BP353" s="320"/>
      <c r="BQ353" s="320"/>
      <c r="BR353" s="320"/>
      <c r="BS353" s="320"/>
      <c r="BT353" s="320"/>
      <c r="BU353" s="320"/>
      <c r="BV353" s="320"/>
      <c r="BW353" s="320"/>
      <c r="BX353" s="320"/>
      <c r="BY353" s="320"/>
      <c r="BZ353" s="320"/>
      <c r="CA353" s="320"/>
      <c r="CB353" s="320"/>
      <c r="CC353" s="320"/>
      <c r="CD353" s="320"/>
      <c r="CE353" s="320"/>
      <c r="CF353" s="320"/>
      <c r="CG353" s="320"/>
      <c r="CH353" s="320"/>
      <c r="CI353" s="320"/>
      <c r="CJ353" s="320"/>
      <c r="CK353" s="320"/>
      <c r="CL353" s="320"/>
      <c r="CM353" s="331">
        <f t="shared" ref="CM353:CN353" si="1647">CM350/CK350-1</f>
        <v>1.9370629370629371</v>
      </c>
      <c r="CN353" s="331">
        <f t="shared" si="1647"/>
        <v>-0.41121495327102775</v>
      </c>
    </row>
    <row r="354" spans="1:92">
      <c r="A354" s="171"/>
      <c r="B354" s="980" t="s">
        <v>797</v>
      </c>
      <c r="C354" s="965"/>
      <c r="D354" s="279"/>
      <c r="E354" s="279"/>
      <c r="F354" s="279"/>
      <c r="G354" s="279"/>
      <c r="H354" s="279"/>
      <c r="I354" s="279"/>
      <c r="J354" s="279"/>
      <c r="K354" s="279"/>
      <c r="L354" s="279"/>
      <c r="M354" s="279"/>
      <c r="N354" s="279"/>
      <c r="O354" s="279"/>
      <c r="P354" s="279"/>
      <c r="Q354" s="279"/>
      <c r="R354" s="263"/>
      <c r="S354" s="263"/>
      <c r="T354" s="263"/>
      <c r="U354" s="263"/>
      <c r="V354" s="293">
        <f>V350/X350</f>
        <v>0.59945130315500683</v>
      </c>
      <c r="W354" s="293">
        <f>1-V354</f>
        <v>0.40054869684499317</v>
      </c>
      <c r="X354" s="263"/>
      <c r="Y354" s="293">
        <f>Y350/AA350</f>
        <v>0.46365248226950351</v>
      </c>
      <c r="Z354" s="293">
        <f>1-Y354</f>
        <v>0.53634751773049649</v>
      </c>
      <c r="AA354" s="263"/>
      <c r="AB354" s="293">
        <f>AB350/AD350</f>
        <v>0.58965999068467634</v>
      </c>
      <c r="AC354" s="293">
        <f>1-AB354</f>
        <v>0.41034000931532366</v>
      </c>
      <c r="AD354" s="263"/>
      <c r="AE354" s="293">
        <f>AE350/AG350</f>
        <v>0.5016570008285004</v>
      </c>
      <c r="AF354" s="293">
        <f>1-AE354</f>
        <v>0.4983429991714996</v>
      </c>
      <c r="AG354" s="284"/>
      <c r="AH354" s="581">
        <f>AH350/AJ350</f>
        <v>0.62441314553990612</v>
      </c>
      <c r="AI354" s="566">
        <f>1-AH354</f>
        <v>0.37558685446009388</v>
      </c>
      <c r="AJ354" s="581"/>
      <c r="AK354" s="581">
        <f>AK350/AM350</f>
        <v>0.58507273877292854</v>
      </c>
      <c r="AL354" s="581">
        <f>1-AK354</f>
        <v>0.41492726122707146</v>
      </c>
      <c r="AM354" s="581"/>
      <c r="AN354" s="581">
        <f>AN350/AP350</f>
        <v>0.57348703170028814</v>
      </c>
      <c r="AO354" s="293">
        <f>1-AN354</f>
        <v>0.42651296829971186</v>
      </c>
      <c r="AP354" s="581"/>
      <c r="AQ354" s="1377">
        <f>AQ350/AS350</f>
        <v>0.58911699098684933</v>
      </c>
      <c r="AR354" s="293">
        <f>1-AQ354</f>
        <v>0.41088300901315067</v>
      </c>
      <c r="AS354" s="263"/>
      <c r="AT354" s="293">
        <f>AT350/AV350</f>
        <v>0.58976922010556654</v>
      </c>
      <c r="AU354" s="293">
        <f t="shared" ref="AU354" si="1648">1-AT354</f>
        <v>0.41023077989443346</v>
      </c>
      <c r="AV354" s="263"/>
      <c r="AW354" s="293">
        <f>AW350/AY350</f>
        <v>0.58925722737999209</v>
      </c>
      <c r="AX354" s="293">
        <f t="shared" ref="AX354" si="1649">1-AW354</f>
        <v>0.41074277262000791</v>
      </c>
      <c r="AY354" s="263"/>
      <c r="AZ354" s="293">
        <f>AZ350/BB350</f>
        <v>0.58875528327880178</v>
      </c>
      <c r="BA354" s="293">
        <f t="shared" ref="BA354" si="1650">1-AZ354</f>
        <v>0.41124471672119822</v>
      </c>
      <c r="BB354" s="263"/>
      <c r="BC354" s="564"/>
      <c r="BD354" s="331"/>
      <c r="BE354" s="331"/>
      <c r="BF354" s="331"/>
      <c r="BG354" s="331"/>
      <c r="BH354" s="318"/>
      <c r="BI354" s="322"/>
      <c r="BJ354" s="322"/>
      <c r="BK354" s="320"/>
      <c r="BL354" s="320"/>
      <c r="BM354" s="320"/>
      <c r="BN354" s="320"/>
      <c r="BO354" s="320"/>
      <c r="BP354" s="320"/>
      <c r="BQ354" s="320"/>
      <c r="BR354" s="320"/>
      <c r="BS354" s="320"/>
      <c r="BT354" s="320"/>
      <c r="BU354" s="320"/>
      <c r="BV354" s="320"/>
      <c r="BW354" s="320"/>
      <c r="BX354" s="320"/>
      <c r="BY354" s="320"/>
      <c r="BZ354" s="320"/>
      <c r="CA354" s="320"/>
      <c r="CB354" s="320"/>
      <c r="CC354" s="320"/>
      <c r="CD354" s="320"/>
      <c r="CE354" s="320"/>
      <c r="CF354" s="320"/>
      <c r="CG354" s="320"/>
      <c r="CH354" s="320"/>
      <c r="CI354" s="320"/>
      <c r="CJ354" s="320"/>
      <c r="CK354" s="320"/>
      <c r="CL354" s="320"/>
      <c r="CM354" s="321">
        <f>CM350/U350</f>
        <v>0.68965517241379315</v>
      </c>
      <c r="CN354" s="321">
        <f>1-CM354</f>
        <v>0.31034482758620685</v>
      </c>
    </row>
    <row r="355" spans="1:92">
      <c r="A355" s="171"/>
      <c r="B355" s="839"/>
      <c r="C355" s="965"/>
      <c r="D355" s="279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1084" t="s">
        <v>625</v>
      </c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  <c r="AA355" s="279"/>
      <c r="AB355" s="279"/>
      <c r="AC355" s="279"/>
      <c r="AD355" s="279"/>
      <c r="AE355" s="279"/>
      <c r="AF355" s="279"/>
      <c r="AG355" s="279"/>
      <c r="AH355" s="279"/>
      <c r="AI355" s="179"/>
      <c r="AJ355" s="279"/>
      <c r="AK355" s="279"/>
      <c r="AL355" s="279"/>
      <c r="AM355" s="279"/>
      <c r="AN355" s="179"/>
      <c r="AO355" s="279"/>
      <c r="AP355" s="279"/>
      <c r="AQ355" s="1371"/>
      <c r="AR355" s="279"/>
      <c r="AS355" s="179"/>
      <c r="AT355" s="279"/>
      <c r="AU355" s="279"/>
      <c r="AV355" s="179"/>
      <c r="AW355" s="279"/>
      <c r="AX355" s="279"/>
      <c r="AY355" s="179"/>
      <c r="AZ355" s="279"/>
      <c r="BA355" s="279"/>
      <c r="BB355" s="179"/>
      <c r="BC355" s="179"/>
      <c r="BD355" s="320"/>
      <c r="BE355" s="320"/>
      <c r="BF355" s="320"/>
      <c r="BG355" s="320"/>
      <c r="BH355" s="318"/>
      <c r="BI355" s="322"/>
      <c r="BJ355" s="322"/>
      <c r="BK355" s="320"/>
      <c r="BL355" s="320"/>
      <c r="BM355" s="320"/>
      <c r="BN355" s="320"/>
      <c r="BO355" s="320"/>
      <c r="BP355" s="320"/>
      <c r="BQ355" s="320"/>
      <c r="BR355" s="320"/>
      <c r="BS355" s="320"/>
      <c r="BT355" s="320"/>
      <c r="BU355" s="320"/>
      <c r="BV355" s="320"/>
      <c r="BW355" s="320"/>
      <c r="BX355" s="320"/>
      <c r="BY355" s="320"/>
      <c r="BZ355" s="320"/>
      <c r="CA355" s="320"/>
      <c r="CB355" s="320"/>
      <c r="CC355" s="320"/>
      <c r="CD355" s="320"/>
      <c r="CE355" s="320"/>
      <c r="CF355" s="320"/>
      <c r="CG355" s="320"/>
      <c r="CH355" s="320"/>
      <c r="CI355" s="320"/>
      <c r="CJ355" s="320"/>
      <c r="CK355" s="320"/>
      <c r="CL355" s="320"/>
      <c r="CM355" s="320"/>
      <c r="CN355" s="320"/>
    </row>
    <row r="356" spans="1:92">
      <c r="A356" s="171"/>
      <c r="B356" s="839"/>
      <c r="C356" s="965"/>
      <c r="D356" s="279"/>
      <c r="E356" s="279"/>
      <c r="F356" s="279"/>
      <c r="G356" s="279"/>
      <c r="H356" s="279"/>
      <c r="I356" s="279"/>
      <c r="J356" s="279"/>
      <c r="K356" s="279"/>
      <c r="L356" s="279"/>
      <c r="M356" s="279"/>
      <c r="N356" s="279"/>
      <c r="O356" s="1084"/>
      <c r="P356" s="279"/>
      <c r="Q356" s="279"/>
      <c r="R356" s="279"/>
      <c r="S356" s="279"/>
      <c r="T356" s="279"/>
      <c r="U356" s="279"/>
      <c r="V356" s="279"/>
      <c r="W356" s="279"/>
      <c r="X356" s="279"/>
      <c r="Y356" s="279"/>
      <c r="Z356" s="279"/>
      <c r="AA356" s="279"/>
      <c r="AB356" s="279"/>
      <c r="AC356" s="279"/>
      <c r="AD356" s="279"/>
      <c r="AE356" s="279"/>
      <c r="AF356" s="279"/>
      <c r="AG356" s="279"/>
      <c r="AH356" s="279"/>
      <c r="AI356" s="179"/>
      <c r="AJ356" s="279"/>
      <c r="AK356" s="279"/>
      <c r="AL356" s="279"/>
      <c r="AM356" s="279"/>
      <c r="AN356" s="179"/>
      <c r="AO356" s="279"/>
      <c r="AP356" s="279"/>
      <c r="AQ356" s="1371"/>
      <c r="AR356" s="279"/>
      <c r="AS356" s="179"/>
      <c r="AT356" s="279"/>
      <c r="AU356" s="279"/>
      <c r="AV356" s="179"/>
      <c r="AW356" s="279"/>
      <c r="AX356" s="279"/>
      <c r="AY356" s="179"/>
      <c r="AZ356" s="279"/>
      <c r="BA356" s="279"/>
      <c r="BB356" s="179"/>
      <c r="BC356" s="179"/>
      <c r="BD356" s="320"/>
      <c r="BE356" s="320"/>
      <c r="BF356" s="320"/>
      <c r="BG356" s="320"/>
      <c r="BH356" s="318"/>
      <c r="BI356" s="322"/>
      <c r="BJ356" s="322"/>
      <c r="BK356" s="320"/>
      <c r="BL356" s="320"/>
      <c r="BM356" s="320"/>
      <c r="BN356" s="320"/>
      <c r="BO356" s="320"/>
      <c r="BP356" s="320"/>
      <c r="BQ356" s="320"/>
      <c r="BR356" s="320"/>
      <c r="BS356" s="320"/>
      <c r="BT356" s="320"/>
      <c r="BU356" s="320"/>
      <c r="BV356" s="320"/>
      <c r="BW356" s="320"/>
      <c r="BX356" s="320"/>
      <c r="BY356" s="320"/>
      <c r="BZ356" s="320"/>
      <c r="CA356" s="320"/>
      <c r="CB356" s="320"/>
      <c r="CC356" s="320"/>
      <c r="CD356" s="320"/>
      <c r="CE356" s="320"/>
      <c r="CF356" s="320"/>
      <c r="CG356" s="320"/>
      <c r="CH356" s="320"/>
      <c r="CI356" s="320"/>
      <c r="CJ356" s="320"/>
      <c r="CK356" s="320"/>
      <c r="CL356" s="320"/>
      <c r="CM356" s="320"/>
      <c r="CN356" s="320"/>
    </row>
    <row r="357" spans="1:92">
      <c r="A357" s="171"/>
      <c r="B357" s="839" t="s">
        <v>455</v>
      </c>
      <c r="C357" s="965"/>
      <c r="D357" s="279"/>
      <c r="E357" s="279"/>
      <c r="F357" s="279"/>
      <c r="G357" s="279"/>
      <c r="H357" s="279"/>
      <c r="I357" s="279"/>
      <c r="J357" s="279"/>
      <c r="K357" s="279"/>
      <c r="L357" s="279"/>
      <c r="M357" s="279"/>
      <c r="N357" s="279"/>
      <c r="O357" s="1084"/>
      <c r="P357" s="279"/>
      <c r="Q357" s="279"/>
      <c r="R357" s="279"/>
      <c r="S357" s="279"/>
      <c r="T357" s="279"/>
      <c r="U357" s="279"/>
      <c r="V357" s="279"/>
      <c r="W357" s="279"/>
      <c r="X357" s="279"/>
      <c r="Y357" s="279"/>
      <c r="Z357" s="279"/>
      <c r="AA357" s="279"/>
      <c r="AB357" s="279"/>
      <c r="AC357" s="279"/>
      <c r="AD357" s="279"/>
      <c r="AE357" s="279"/>
      <c r="AF357" s="279"/>
      <c r="AG357" s="279"/>
      <c r="AH357" s="279"/>
      <c r="AI357" s="179"/>
      <c r="AJ357" s="279"/>
      <c r="AK357" s="279"/>
      <c r="AL357" s="279"/>
      <c r="AM357" s="279"/>
      <c r="AN357" s="179"/>
      <c r="AO357" s="279"/>
      <c r="AP357" s="279"/>
      <c r="AQ357" s="1371"/>
      <c r="AR357" s="279"/>
      <c r="AS357" s="179"/>
      <c r="AT357" s="279"/>
      <c r="AU357" s="279"/>
      <c r="AV357" s="179"/>
      <c r="AW357" s="279"/>
      <c r="AX357" s="279"/>
      <c r="AY357" s="179"/>
      <c r="AZ357" s="279"/>
      <c r="BA357" s="279"/>
      <c r="BB357" s="179"/>
      <c r="BC357" s="179"/>
      <c r="BD357" s="320"/>
      <c r="BE357" s="320"/>
      <c r="BF357" s="320"/>
      <c r="BG357" s="320"/>
      <c r="BH357" s="318"/>
      <c r="BI357" s="322"/>
      <c r="BJ357" s="322"/>
      <c r="BK357" s="320"/>
      <c r="BL357" s="320"/>
      <c r="BM357" s="320"/>
      <c r="BN357" s="320"/>
      <c r="BO357" s="320"/>
      <c r="BP357" s="320"/>
      <c r="BQ357" s="320"/>
      <c r="BR357" s="320"/>
      <c r="BS357" s="320"/>
      <c r="BT357" s="320"/>
      <c r="BU357" s="320"/>
      <c r="BV357" s="320"/>
      <c r="BW357" s="320"/>
      <c r="BX357" s="320"/>
      <c r="BY357" s="320"/>
      <c r="BZ357" s="320"/>
      <c r="CA357" s="320"/>
      <c r="CB357" s="320"/>
      <c r="CC357" s="320"/>
      <c r="CD357" s="320"/>
      <c r="CE357" s="320"/>
      <c r="CF357" s="320"/>
      <c r="CG357" s="320"/>
      <c r="CH357" s="320"/>
      <c r="CI357" s="320"/>
      <c r="CJ357" s="320"/>
      <c r="CK357" s="320">
        <f>CM357/(1+CM358)</f>
        <v>73.957273652085462</v>
      </c>
      <c r="CL357" s="320"/>
      <c r="CM357" s="320">
        <v>72.7</v>
      </c>
      <c r="CN357" s="320"/>
    </row>
    <row r="358" spans="1:92">
      <c r="A358" s="171"/>
      <c r="B358" s="839" t="s">
        <v>706</v>
      </c>
      <c r="C358" s="965"/>
      <c r="D358" s="279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1084"/>
      <c r="P358" s="279"/>
      <c r="Q358" s="279"/>
      <c r="R358" s="279"/>
      <c r="S358" s="279"/>
      <c r="T358" s="279"/>
      <c r="U358" s="279"/>
      <c r="V358" s="263"/>
      <c r="W358" s="279"/>
      <c r="X358" s="279"/>
      <c r="Y358" s="263"/>
      <c r="Z358" s="279"/>
      <c r="AA358" s="279"/>
      <c r="AB358" s="263"/>
      <c r="AC358" s="279"/>
      <c r="AD358" s="279"/>
      <c r="AE358" s="263"/>
      <c r="AF358" s="279"/>
      <c r="AG358" s="279"/>
      <c r="AH358" s="284"/>
      <c r="AI358" s="179"/>
      <c r="AJ358" s="284"/>
      <c r="AK358" s="284"/>
      <c r="AL358" s="279"/>
      <c r="AM358" s="284"/>
      <c r="AN358" s="137"/>
      <c r="AO358" s="279"/>
      <c r="AP358" s="284"/>
      <c r="AQ358" s="1315"/>
      <c r="AR358" s="279"/>
      <c r="AS358" s="179"/>
      <c r="AT358" s="263"/>
      <c r="AU358" s="279"/>
      <c r="AV358" s="179"/>
      <c r="AW358" s="263"/>
      <c r="AX358" s="279"/>
      <c r="AY358" s="179"/>
      <c r="AZ358" s="263"/>
      <c r="BA358" s="279"/>
      <c r="BB358" s="179"/>
      <c r="BC358" s="179"/>
      <c r="BD358" s="320"/>
      <c r="BE358" s="320"/>
      <c r="BF358" s="320"/>
      <c r="BG358" s="320"/>
      <c r="BH358" s="318"/>
      <c r="BI358" s="322"/>
      <c r="BJ358" s="322"/>
      <c r="BK358" s="320"/>
      <c r="BL358" s="320"/>
      <c r="BM358" s="320"/>
      <c r="BN358" s="320"/>
      <c r="BO358" s="320"/>
      <c r="BP358" s="320"/>
      <c r="BQ358" s="320"/>
      <c r="BR358" s="320"/>
      <c r="BS358" s="320"/>
      <c r="BT358" s="320"/>
      <c r="BU358" s="320"/>
      <c r="BV358" s="320"/>
      <c r="BW358" s="320"/>
      <c r="BX358" s="320"/>
      <c r="BY358" s="320"/>
      <c r="BZ358" s="320"/>
      <c r="CA358" s="320"/>
      <c r="CB358" s="320"/>
      <c r="CC358" s="320"/>
      <c r="CD358" s="320"/>
      <c r="CE358" s="320"/>
      <c r="CF358" s="320"/>
      <c r="CG358" s="320"/>
      <c r="CH358" s="320"/>
      <c r="CI358" s="320"/>
      <c r="CJ358" s="320"/>
      <c r="CK358" s="320"/>
      <c r="CL358" s="320"/>
      <c r="CM358" s="331">
        <v>-1.7000000000000001E-2</v>
      </c>
      <c r="CN358" s="320"/>
    </row>
    <row r="359" spans="1:92">
      <c r="A359" s="171"/>
      <c r="B359" s="839" t="s">
        <v>416</v>
      </c>
      <c r="C359" s="965"/>
      <c r="D359" s="279"/>
      <c r="E359" s="279"/>
      <c r="F359" s="279"/>
      <c r="G359" s="279"/>
      <c r="H359" s="279"/>
      <c r="I359" s="279"/>
      <c r="J359" s="279"/>
      <c r="K359" s="279"/>
      <c r="L359" s="279"/>
      <c r="M359" s="279"/>
      <c r="N359" s="279"/>
      <c r="O359" s="1084"/>
      <c r="P359" s="279"/>
      <c r="Q359" s="279"/>
      <c r="R359" s="279"/>
      <c r="S359" s="279"/>
      <c r="T359" s="279"/>
      <c r="U359" s="279"/>
      <c r="V359" s="263"/>
      <c r="W359" s="279"/>
      <c r="X359" s="279"/>
      <c r="Y359" s="263"/>
      <c r="Z359" s="279"/>
      <c r="AA359" s="279"/>
      <c r="AB359" s="263"/>
      <c r="AC359" s="279"/>
      <c r="AD359" s="279"/>
      <c r="AE359" s="263"/>
      <c r="AF359" s="279"/>
      <c r="AG359" s="279"/>
      <c r="AH359" s="284"/>
      <c r="AI359" s="179"/>
      <c r="AJ359" s="284"/>
      <c r="AK359" s="284"/>
      <c r="AL359" s="279"/>
      <c r="AM359" s="284"/>
      <c r="AN359" s="137"/>
      <c r="AO359" s="279"/>
      <c r="AP359" s="284"/>
      <c r="AQ359" s="1315"/>
      <c r="AR359" s="279"/>
      <c r="AS359" s="190">
        <f>+AS360*AP363</f>
        <v>270.23999999999995</v>
      </c>
      <c r="AT359" s="263"/>
      <c r="AU359" s="279"/>
      <c r="AV359" s="179"/>
      <c r="AW359" s="263"/>
      <c r="AX359" s="279"/>
      <c r="AY359" s="179"/>
      <c r="AZ359" s="263"/>
      <c r="BA359" s="279"/>
      <c r="BB359" s="179"/>
      <c r="BC359" s="179"/>
      <c r="BD359" s="320"/>
      <c r="BE359" s="320"/>
      <c r="BF359" s="320"/>
      <c r="BG359" s="320"/>
      <c r="BH359" s="318"/>
      <c r="BI359" s="322"/>
      <c r="BJ359" s="322"/>
      <c r="BK359" s="320"/>
      <c r="BL359" s="320"/>
      <c r="BM359" s="320"/>
      <c r="BN359" s="320"/>
      <c r="BO359" s="320"/>
      <c r="BP359" s="320"/>
      <c r="BQ359" s="320"/>
      <c r="BR359" s="320"/>
      <c r="BS359" s="320"/>
      <c r="BT359" s="320"/>
      <c r="BU359" s="320"/>
      <c r="BV359" s="320"/>
      <c r="BW359" s="320"/>
      <c r="BX359" s="320"/>
      <c r="BY359" s="320"/>
      <c r="BZ359" s="320"/>
      <c r="CA359" s="320"/>
      <c r="CB359" s="320"/>
      <c r="CC359" s="320"/>
      <c r="CD359" s="320"/>
      <c r="CE359" s="320"/>
      <c r="CF359" s="320"/>
      <c r="CG359" s="320"/>
      <c r="CH359" s="320"/>
      <c r="CI359" s="320"/>
      <c r="CJ359" s="320"/>
      <c r="CK359" s="331"/>
      <c r="CL359" s="320"/>
      <c r="CM359" s="331">
        <f>CM357/CM308</f>
        <v>6.6102927805055472E-2</v>
      </c>
      <c r="CN359" s="320"/>
    </row>
    <row r="360" spans="1:92">
      <c r="A360" s="171"/>
      <c r="B360" s="834"/>
      <c r="C360" s="965"/>
      <c r="D360" s="279"/>
      <c r="E360" s="279"/>
      <c r="F360" s="279"/>
      <c r="G360" s="279"/>
      <c r="H360" s="279"/>
      <c r="I360" s="279"/>
      <c r="J360" s="279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279"/>
      <c r="V360" s="1010"/>
      <c r="W360" s="1010"/>
      <c r="X360" s="279"/>
      <c r="Y360" s="1010"/>
      <c r="Z360" s="1010"/>
      <c r="AA360" s="279"/>
      <c r="AB360" s="1010"/>
      <c r="AC360" s="1010"/>
      <c r="AD360" s="279"/>
      <c r="AE360" s="1010"/>
      <c r="AF360" s="1010"/>
      <c r="AG360" s="279"/>
      <c r="AH360" s="1127"/>
      <c r="AI360" s="566"/>
      <c r="AJ360" s="1127"/>
      <c r="AK360" s="1127"/>
      <c r="AL360" s="581"/>
      <c r="AM360" s="1127"/>
      <c r="AN360" s="646"/>
      <c r="AO360" s="293"/>
      <c r="AP360" s="1127"/>
      <c r="AQ360" s="1374"/>
      <c r="AR360" s="293"/>
      <c r="AS360" s="1626">
        <f>12/10</f>
        <v>1.2</v>
      </c>
      <c r="AT360" s="1434">
        <f>1.03*AS359</f>
        <v>278.34719999999993</v>
      </c>
      <c r="AU360" s="293"/>
      <c r="AV360" s="179"/>
      <c r="AW360" s="293"/>
      <c r="AX360" s="293"/>
      <c r="AY360" s="179"/>
      <c r="AZ360" s="293"/>
      <c r="BA360" s="293"/>
      <c r="BB360" s="179"/>
      <c r="BC360" s="179"/>
      <c r="BD360" s="320"/>
      <c r="BE360" s="320"/>
      <c r="BF360" s="320"/>
      <c r="BG360" s="320"/>
      <c r="BH360" s="318"/>
      <c r="BI360" s="322"/>
      <c r="BJ360" s="322"/>
      <c r="BK360" s="320"/>
      <c r="BL360" s="320"/>
      <c r="BM360" s="320"/>
      <c r="BN360" s="320"/>
      <c r="BO360" s="320"/>
      <c r="BP360" s="320"/>
      <c r="BQ360" s="320"/>
      <c r="BR360" s="320"/>
      <c r="BS360" s="320"/>
      <c r="BT360" s="320"/>
      <c r="BU360" s="320"/>
      <c r="BV360" s="320"/>
      <c r="BW360" s="320"/>
      <c r="BX360" s="320"/>
      <c r="BY360" s="320"/>
      <c r="BZ360" s="320"/>
      <c r="CA360" s="320"/>
      <c r="CB360" s="320"/>
      <c r="CC360" s="320"/>
      <c r="CD360" s="320"/>
      <c r="CE360" s="320"/>
      <c r="CF360" s="320"/>
      <c r="CG360" s="320"/>
      <c r="CH360" s="320"/>
      <c r="CI360" s="481"/>
      <c r="CJ360" s="320"/>
      <c r="CK360" s="481"/>
      <c r="CL360" s="481"/>
      <c r="CM360" s="481"/>
      <c r="CN360" s="481"/>
    </row>
    <row r="361" spans="1:92">
      <c r="A361" s="171"/>
      <c r="B361" s="300" t="s">
        <v>958</v>
      </c>
      <c r="C361" s="297"/>
      <c r="D361" s="298"/>
      <c r="E361" s="298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  <c r="AA361" s="299"/>
      <c r="AB361" s="299"/>
      <c r="AC361" s="299"/>
      <c r="AD361" s="299"/>
      <c r="AE361" s="299"/>
      <c r="AF361" s="299"/>
      <c r="AG361" s="299"/>
      <c r="AH361" s="299"/>
      <c r="AI361" s="299"/>
      <c r="AJ361" s="299"/>
      <c r="AK361" s="299"/>
      <c r="AL361" s="299"/>
      <c r="AM361" s="299"/>
      <c r="AN361" s="299"/>
      <c r="AO361" s="299"/>
      <c r="AP361" s="299"/>
      <c r="AQ361" s="1381"/>
      <c r="AR361" s="299"/>
      <c r="AS361" s="299"/>
      <c r="AT361" s="299"/>
      <c r="AU361" s="299"/>
      <c r="AV361" s="299"/>
      <c r="AW361" s="299"/>
      <c r="AX361" s="299"/>
      <c r="AY361" s="299"/>
      <c r="AZ361" s="299"/>
      <c r="BA361" s="299"/>
      <c r="BB361" s="299"/>
      <c r="BC361" s="179"/>
      <c r="BD361" s="320"/>
      <c r="BE361" s="320"/>
      <c r="BF361" s="320"/>
      <c r="BG361" s="320"/>
      <c r="BH361" s="318"/>
      <c r="BI361" s="322"/>
      <c r="BJ361" s="322"/>
      <c r="BK361" s="320"/>
      <c r="BL361" s="320"/>
      <c r="BM361" s="320"/>
      <c r="BN361" s="320"/>
      <c r="BO361" s="320"/>
      <c r="BP361" s="320"/>
      <c r="BQ361" s="320"/>
      <c r="BR361" s="320"/>
      <c r="BS361" s="320"/>
      <c r="BT361" s="320"/>
      <c r="BU361" s="320"/>
      <c r="BV361" s="320"/>
      <c r="BW361" s="320"/>
      <c r="BX361" s="320"/>
      <c r="BY361" s="320"/>
      <c r="BZ361" s="320"/>
      <c r="CA361" s="320"/>
      <c r="CB361" s="320"/>
      <c r="CC361" s="320"/>
      <c r="CD361" s="320"/>
      <c r="CE361" s="320"/>
      <c r="CF361" s="320"/>
      <c r="CG361" s="320"/>
      <c r="CH361" s="320"/>
      <c r="CI361" s="481"/>
      <c r="CJ361" s="320"/>
      <c r="CK361" s="481"/>
      <c r="CL361" s="481"/>
      <c r="CM361" s="481"/>
      <c r="CN361" s="481"/>
    </row>
    <row r="362" spans="1:92">
      <c r="A362" s="171"/>
      <c r="B362" s="184"/>
      <c r="C362" s="185"/>
      <c r="D362" s="186"/>
      <c r="E362" s="18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  <c r="AA362" s="196"/>
      <c r="AB362" s="196"/>
      <c r="AC362" s="196"/>
      <c r="AD362" s="196"/>
      <c r="AE362" s="196"/>
      <c r="AF362" s="196"/>
      <c r="AG362" s="196"/>
      <c r="AH362" s="196"/>
      <c r="AI362" s="196"/>
      <c r="AJ362" s="196"/>
      <c r="AK362" s="196"/>
      <c r="AL362" s="196"/>
      <c r="AM362" s="196"/>
      <c r="AN362" s="196"/>
      <c r="AO362" s="196"/>
      <c r="AP362" s="196"/>
      <c r="AQ362" s="1369"/>
      <c r="AR362" s="196"/>
      <c r="AS362" s="196"/>
      <c r="AT362" s="196"/>
      <c r="AU362" s="196"/>
      <c r="AV362" s="196"/>
      <c r="AW362" s="196"/>
      <c r="AX362" s="196"/>
      <c r="AY362" s="196"/>
      <c r="AZ362" s="196"/>
      <c r="BA362" s="196"/>
      <c r="BB362" s="196"/>
      <c r="BC362" s="179"/>
      <c r="BD362" s="320"/>
      <c r="BE362" s="320"/>
      <c r="BF362" s="320"/>
      <c r="BG362" s="320"/>
      <c r="BH362" s="318"/>
      <c r="BI362" s="322"/>
      <c r="BJ362" s="322"/>
      <c r="BK362" s="320"/>
      <c r="BL362" s="320"/>
      <c r="BM362" s="320"/>
      <c r="BN362" s="320"/>
      <c r="BO362" s="320"/>
      <c r="BP362" s="320"/>
      <c r="BQ362" s="320"/>
      <c r="BR362" s="320"/>
      <c r="BS362" s="320"/>
      <c r="BT362" s="320"/>
      <c r="BU362" s="320"/>
      <c r="BV362" s="320"/>
      <c r="BW362" s="320"/>
      <c r="BX362" s="320"/>
      <c r="BY362" s="320"/>
      <c r="BZ362" s="320"/>
      <c r="CA362" s="320"/>
      <c r="CB362" s="320"/>
      <c r="CC362" s="320"/>
      <c r="CD362" s="320"/>
      <c r="CE362" s="320"/>
      <c r="CF362" s="320"/>
      <c r="CG362" s="320"/>
      <c r="CH362" s="320"/>
      <c r="CI362" s="481"/>
      <c r="CJ362" s="320"/>
      <c r="CK362" s="481"/>
      <c r="CL362" s="481"/>
      <c r="CM362" s="481"/>
      <c r="CN362" s="481"/>
    </row>
    <row r="363" spans="1:92" outlineLevel="1">
      <c r="A363" s="171" t="s">
        <v>975</v>
      </c>
      <c r="B363" s="834" t="s">
        <v>228</v>
      </c>
      <c r="C363" s="965"/>
      <c r="D363" s="279"/>
      <c r="E363" s="279"/>
      <c r="F363" s="279"/>
      <c r="G363" s="279"/>
      <c r="H363" s="279"/>
      <c r="I363" s="279"/>
      <c r="J363" s="279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279"/>
      <c r="V363" s="1010"/>
      <c r="W363" s="1010"/>
      <c r="X363" s="279"/>
      <c r="Y363" s="1010"/>
      <c r="Z363" s="1010"/>
      <c r="AA363" s="279"/>
      <c r="AB363" s="1010"/>
      <c r="AC363" s="1010"/>
      <c r="AD363" s="279"/>
      <c r="AE363" s="1010"/>
      <c r="AF363" s="1010"/>
      <c r="AG363" s="279"/>
      <c r="AH363" s="1127"/>
      <c r="AI363" s="566"/>
      <c r="AJ363" s="1127"/>
      <c r="AK363" s="1127"/>
      <c r="AL363" s="581"/>
      <c r="AM363" s="1591">
        <v>230</v>
      </c>
      <c r="AN363" s="1916">
        <v>92.3</v>
      </c>
      <c r="AO363" s="1532">
        <f>+AP363-AN363</f>
        <v>132.89999999999998</v>
      </c>
      <c r="AP363" s="1722">
        <v>225.2</v>
      </c>
      <c r="AQ363" s="1763">
        <v>144.80000000000001</v>
      </c>
      <c r="AR363" s="1532">
        <f>+AS363-AQ363</f>
        <v>131.07</v>
      </c>
      <c r="AS363" s="1533">
        <f>(1+AS364)*AP363</f>
        <v>275.87</v>
      </c>
      <c r="AT363" s="1435">
        <f t="shared" ref="AT363" si="1651">(1+AT364)*AQ363</f>
        <v>149.14400000000001</v>
      </c>
      <c r="AU363" s="1434">
        <f t="shared" ref="AU363" si="1652">+AV363-AT363</f>
        <v>135.00209999999998</v>
      </c>
      <c r="AV363" s="1435">
        <f t="shared" ref="AV363:AW363" si="1653">(1+AV364)*AS363</f>
        <v>284.14609999999999</v>
      </c>
      <c r="AW363" s="1435">
        <f t="shared" si="1653"/>
        <v>153.61832000000001</v>
      </c>
      <c r="AX363" s="1434">
        <f t="shared" ref="AX363" si="1654">+AY363-AW363</f>
        <v>139.05216299999998</v>
      </c>
      <c r="AY363" s="1435">
        <f t="shared" ref="AY363:AZ363" si="1655">(1+AY364)*AV363</f>
        <v>292.67048299999999</v>
      </c>
      <c r="AZ363" s="1435">
        <f t="shared" si="1655"/>
        <v>158.22686960000001</v>
      </c>
      <c r="BA363" s="1434">
        <f t="shared" ref="BA363" si="1656">+BB363-AZ363</f>
        <v>143.22372788999999</v>
      </c>
      <c r="BB363" s="1435">
        <f t="shared" ref="BB363" si="1657">(1+BB364)*AY363</f>
        <v>301.45059749000001</v>
      </c>
      <c r="BC363" s="179"/>
      <c r="BD363" s="320"/>
      <c r="BE363" s="320"/>
      <c r="BF363" s="320"/>
      <c r="BG363" s="320"/>
      <c r="BH363" s="318"/>
      <c r="BI363" s="322"/>
      <c r="BJ363" s="322"/>
      <c r="BK363" s="320"/>
      <c r="BL363" s="320"/>
      <c r="BM363" s="320"/>
      <c r="BN363" s="320"/>
      <c r="BO363" s="320"/>
      <c r="BP363" s="320"/>
      <c r="BQ363" s="320"/>
      <c r="BR363" s="320"/>
      <c r="BS363" s="320"/>
      <c r="BT363" s="320"/>
      <c r="BU363" s="320"/>
      <c r="BV363" s="320"/>
      <c r="BW363" s="320"/>
      <c r="BX363" s="320"/>
      <c r="BY363" s="320"/>
      <c r="BZ363" s="320"/>
      <c r="CA363" s="320"/>
      <c r="CB363" s="320"/>
      <c r="CC363" s="320"/>
      <c r="CD363" s="320"/>
      <c r="CE363" s="320"/>
      <c r="CF363" s="320"/>
      <c r="CG363" s="320"/>
      <c r="CH363" s="320"/>
      <c r="CI363" s="481"/>
      <c r="CJ363" s="320"/>
      <c r="CK363" s="481"/>
      <c r="CL363" s="481"/>
      <c r="CM363" s="481"/>
      <c r="CN363" s="481"/>
    </row>
    <row r="364" spans="1:92" outlineLevel="1">
      <c r="A364" s="171"/>
      <c r="B364" s="783" t="s">
        <v>959</v>
      </c>
      <c r="C364" s="965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1010"/>
      <c r="W364" s="1010"/>
      <c r="X364" s="279"/>
      <c r="Y364" s="1010"/>
      <c r="Z364" s="1010"/>
      <c r="AA364" s="279"/>
      <c r="AB364" s="1010"/>
      <c r="AC364" s="1010"/>
      <c r="AD364" s="279"/>
      <c r="AE364" s="1010"/>
      <c r="AF364" s="1010"/>
      <c r="AG364" s="279"/>
      <c r="AH364" s="1127"/>
      <c r="AI364" s="566"/>
      <c r="AJ364" s="1127"/>
      <c r="AK364" s="1127"/>
      <c r="AL364" s="581"/>
      <c r="AM364" s="1127"/>
      <c r="AN364" s="646"/>
      <c r="AO364" s="293"/>
      <c r="AP364" s="1622">
        <f>AP363/AM363-1</f>
        <v>-2.0869565217391362E-2</v>
      </c>
      <c r="AQ364" s="1384">
        <f>AQ363/AN363-1</f>
        <v>0.56879739978331534</v>
      </c>
      <c r="AR364" s="564">
        <f>+AR363/AO363-1</f>
        <v>-1.3769751693002097E-2</v>
      </c>
      <c r="AS364" s="1333">
        <v>0.22500000000000001</v>
      </c>
      <c r="AT364" s="265">
        <v>0.03</v>
      </c>
      <c r="AU364" s="263">
        <f>+AU363/AR363-1</f>
        <v>3.0000000000000027E-2</v>
      </c>
      <c r="AV364" s="265">
        <f>+AT364</f>
        <v>0.03</v>
      </c>
      <c r="AW364" s="265">
        <f>+AV364</f>
        <v>0.03</v>
      </c>
      <c r="AX364" s="263">
        <f>+AX363/AU363-1</f>
        <v>3.0000000000000027E-2</v>
      </c>
      <c r="AY364" s="265">
        <f>+AW364</f>
        <v>0.03</v>
      </c>
      <c r="AZ364" s="265">
        <f>+AY364</f>
        <v>0.03</v>
      </c>
      <c r="BA364" s="263">
        <f>+BA363/AX363-1</f>
        <v>3.0000000000000027E-2</v>
      </c>
      <c r="BB364" s="265">
        <f>+AZ364</f>
        <v>0.03</v>
      </c>
      <c r="BC364" s="179"/>
      <c r="BD364" s="320"/>
      <c r="BE364" s="320"/>
      <c r="BF364" s="320"/>
      <c r="BG364" s="320"/>
      <c r="BH364" s="318"/>
      <c r="BI364" s="322"/>
      <c r="BJ364" s="322"/>
      <c r="BK364" s="320"/>
      <c r="BL364" s="320"/>
      <c r="BM364" s="320"/>
      <c r="BN364" s="320"/>
      <c r="BO364" s="320"/>
      <c r="BP364" s="320"/>
      <c r="BQ364" s="320"/>
      <c r="BR364" s="320"/>
      <c r="BS364" s="320"/>
      <c r="BT364" s="320"/>
      <c r="BU364" s="320"/>
      <c r="BV364" s="320"/>
      <c r="BW364" s="320"/>
      <c r="BX364" s="320"/>
      <c r="BY364" s="320"/>
      <c r="BZ364" s="320"/>
      <c r="CA364" s="320"/>
      <c r="CB364" s="320"/>
      <c r="CC364" s="320"/>
      <c r="CD364" s="320"/>
      <c r="CE364" s="320"/>
      <c r="CF364" s="320"/>
      <c r="CG364" s="320"/>
      <c r="CH364" s="320"/>
      <c r="CI364" s="481"/>
      <c r="CJ364" s="320"/>
      <c r="CK364" s="481"/>
      <c r="CL364" s="481"/>
      <c r="CM364" s="481"/>
      <c r="CN364" s="481"/>
    </row>
    <row r="365" spans="1:92" outlineLevel="1">
      <c r="A365" s="171"/>
      <c r="B365" s="783"/>
      <c r="C365" s="965"/>
      <c r="D365" s="279"/>
      <c r="E365" s="279"/>
      <c r="F365" s="279"/>
      <c r="G365" s="279"/>
      <c r="H365" s="279"/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279"/>
      <c r="V365" s="1010"/>
      <c r="W365" s="1010"/>
      <c r="X365" s="279"/>
      <c r="Y365" s="1010"/>
      <c r="Z365" s="1010"/>
      <c r="AA365" s="279"/>
      <c r="AB365" s="1010"/>
      <c r="AC365" s="1010"/>
      <c r="AD365" s="279"/>
      <c r="AE365" s="1010"/>
      <c r="AF365" s="1010"/>
      <c r="AG365" s="279"/>
      <c r="AH365" s="1127"/>
      <c r="AI365" s="566"/>
      <c r="AJ365" s="1127"/>
      <c r="AK365" s="1127"/>
      <c r="AL365" s="581"/>
      <c r="AM365" s="1127"/>
      <c r="AN365" s="646"/>
      <c r="AO365" s="293"/>
      <c r="AP365" s="1241"/>
      <c r="AQ365" s="1384"/>
      <c r="AR365" s="263"/>
      <c r="AS365" s="265"/>
      <c r="AT365" s="265"/>
      <c r="AU365" s="263"/>
      <c r="AV365" s="265"/>
      <c r="AW365" s="265"/>
      <c r="AX365" s="263"/>
      <c r="AY365" s="265"/>
      <c r="AZ365" s="265"/>
      <c r="BA365" s="263"/>
      <c r="BB365" s="265"/>
      <c r="BC365" s="179"/>
      <c r="BD365" s="320"/>
      <c r="BE365" s="320"/>
      <c r="BF365" s="320"/>
      <c r="BG365" s="320"/>
      <c r="BH365" s="318"/>
      <c r="BI365" s="322"/>
      <c r="BJ365" s="322"/>
      <c r="BK365" s="320"/>
      <c r="BL365" s="320"/>
      <c r="BM365" s="320"/>
      <c r="BN365" s="320"/>
      <c r="BO365" s="320"/>
      <c r="BP365" s="320"/>
      <c r="BQ365" s="320"/>
      <c r="BR365" s="320"/>
      <c r="BS365" s="320"/>
      <c r="BT365" s="320"/>
      <c r="BU365" s="320"/>
      <c r="BV365" s="320"/>
      <c r="BW365" s="320"/>
      <c r="BX365" s="320"/>
      <c r="BY365" s="320"/>
      <c r="BZ365" s="320"/>
      <c r="CA365" s="320"/>
      <c r="CB365" s="320"/>
      <c r="CC365" s="320"/>
      <c r="CD365" s="320"/>
      <c r="CE365" s="320"/>
      <c r="CF365" s="320"/>
      <c r="CG365" s="320"/>
      <c r="CH365" s="320"/>
      <c r="CI365" s="481"/>
      <c r="CJ365" s="320"/>
      <c r="CK365" s="481"/>
      <c r="CL365" s="481"/>
      <c r="CM365" s="481"/>
      <c r="CN365" s="481"/>
    </row>
    <row r="366" spans="1:92" outlineLevel="1">
      <c r="A366" s="171"/>
      <c r="B366" s="834" t="s">
        <v>273</v>
      </c>
      <c r="C366" s="965"/>
      <c r="D366" s="279"/>
      <c r="E366" s="279"/>
      <c r="F366" s="279"/>
      <c r="G366" s="279"/>
      <c r="H366" s="279"/>
      <c r="I366" s="279"/>
      <c r="J366" s="279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279"/>
      <c r="V366" s="1010"/>
      <c r="W366" s="1010"/>
      <c r="X366" s="279"/>
      <c r="Y366" s="1010"/>
      <c r="Z366" s="1010"/>
      <c r="AA366" s="279"/>
      <c r="AB366" s="1010"/>
      <c r="AC366" s="1010"/>
      <c r="AD366" s="279"/>
      <c r="AE366" s="1010"/>
      <c r="AF366" s="1010"/>
      <c r="AG366" s="279"/>
      <c r="AH366" s="1127"/>
      <c r="AI366" s="566"/>
      <c r="AJ366" s="1127"/>
      <c r="AK366" s="1127"/>
      <c r="AL366" s="581"/>
      <c r="AM366" s="1437">
        <f>AM369-AM363</f>
        <v>-179.4</v>
      </c>
      <c r="AN366" s="1636">
        <f>AN369-AN363</f>
        <v>-67</v>
      </c>
      <c r="AO366" s="1434">
        <f>+AP366-AN366</f>
        <v>-93.899999999999977</v>
      </c>
      <c r="AP366" s="1636">
        <f>AP369-AP363</f>
        <v>-160.89999999999998</v>
      </c>
      <c r="AQ366" s="1611">
        <f>AQ369-AQ363</f>
        <v>-101.4</v>
      </c>
      <c r="AR366" s="1434">
        <f>+AS366-AQ366</f>
        <v>-91.785207182320448</v>
      </c>
      <c r="AS366" s="1436">
        <f>AS369-AS363</f>
        <v>-193.18520718232045</v>
      </c>
      <c r="AT366" s="1434">
        <f t="shared" ref="AT366" si="1658">AT369-AT363</f>
        <v>-104.44200000000001</v>
      </c>
      <c r="AU366" s="1434">
        <f t="shared" ref="AU366" si="1659">+AV366-AT366</f>
        <v>-94.538763397790035</v>
      </c>
      <c r="AV366" s="1436">
        <f t="shared" ref="AV366:AW366" si="1660">AV369-AV363</f>
        <v>-198.98076339779004</v>
      </c>
      <c r="AW366" s="1434">
        <f t="shared" si="1660"/>
        <v>-107.57526000000001</v>
      </c>
      <c r="AX366" s="1434">
        <f t="shared" ref="AX366" si="1661">+AY366-AW366</f>
        <v>-97.374926299723739</v>
      </c>
      <c r="AY366" s="1436">
        <f t="shared" ref="AY366:AZ366" si="1662">AY369-AY363</f>
        <v>-204.95018629972375</v>
      </c>
      <c r="AZ366" s="1434">
        <f t="shared" si="1662"/>
        <v>-110.8025178</v>
      </c>
      <c r="BA366" s="1434">
        <f t="shared" ref="BA366" si="1663">+BB366-AZ366</f>
        <v>-100.29617408871547</v>
      </c>
      <c r="BB366" s="1436">
        <f t="shared" ref="BB366" si="1664">BB369-BB363</f>
        <v>-211.09869188871548</v>
      </c>
      <c r="BC366" s="179"/>
      <c r="BD366" s="320"/>
      <c r="BE366" s="320"/>
      <c r="BF366" s="320"/>
      <c r="BG366" s="320"/>
      <c r="BH366" s="318"/>
      <c r="BI366" s="322"/>
      <c r="BJ366" s="322"/>
      <c r="BK366" s="320"/>
      <c r="BL366" s="320"/>
      <c r="BM366" s="320"/>
      <c r="BN366" s="320"/>
      <c r="BO366" s="320"/>
      <c r="BP366" s="320"/>
      <c r="BQ366" s="320"/>
      <c r="BR366" s="320"/>
      <c r="BS366" s="320"/>
      <c r="BT366" s="320"/>
      <c r="BU366" s="320"/>
      <c r="BV366" s="320"/>
      <c r="BW366" s="320"/>
      <c r="BX366" s="320"/>
      <c r="BY366" s="320"/>
      <c r="BZ366" s="320"/>
      <c r="CA366" s="320"/>
      <c r="CB366" s="320"/>
      <c r="CC366" s="320"/>
      <c r="CD366" s="320"/>
      <c r="CE366" s="320"/>
      <c r="CF366" s="320"/>
      <c r="CG366" s="320"/>
      <c r="CH366" s="320"/>
      <c r="CI366" s="481"/>
      <c r="CJ366" s="320"/>
      <c r="CK366" s="481"/>
      <c r="CL366" s="481"/>
      <c r="CM366" s="481"/>
      <c r="CN366" s="481"/>
    </row>
    <row r="367" spans="1:92" outlineLevel="1">
      <c r="A367" s="171"/>
      <c r="B367" s="1080" t="s">
        <v>416</v>
      </c>
      <c r="C367" s="965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1010"/>
      <c r="W367" s="1010"/>
      <c r="X367" s="279"/>
      <c r="Y367" s="1010"/>
      <c r="Z367" s="1010"/>
      <c r="AA367" s="279"/>
      <c r="AB367" s="1010"/>
      <c r="AC367" s="1010"/>
      <c r="AD367" s="279"/>
      <c r="AE367" s="1010"/>
      <c r="AF367" s="1010"/>
      <c r="AG367" s="279"/>
      <c r="AH367" s="1127"/>
      <c r="AI367" s="566"/>
      <c r="AJ367" s="1127"/>
      <c r="AK367" s="1127"/>
      <c r="AL367" s="581"/>
      <c r="AM367" s="1438">
        <f>-AM366/AM363</f>
        <v>0.78</v>
      </c>
      <c r="AN367" s="137">
        <f>AN366/AN363</f>
        <v>-0.72589382448537376</v>
      </c>
      <c r="AO367" s="263">
        <f t="shared" ref="AO367:AP367" si="1665">AO366/AO363</f>
        <v>-0.70654627539503378</v>
      </c>
      <c r="AP367" s="137">
        <f t="shared" si="1665"/>
        <v>-0.71447602131438714</v>
      </c>
      <c r="AQ367" s="1315">
        <f>AQ366/AQ363</f>
        <v>-0.70027624309392267</v>
      </c>
      <c r="AR367" s="263">
        <f t="shared" ref="AR367" si="1666">AR366/AR363</f>
        <v>-0.70027624309392278</v>
      </c>
      <c r="AS367" s="193">
        <f t="shared" ref="AS367:AT367" si="1667">AS366/AS363</f>
        <v>-0.70027624309392267</v>
      </c>
      <c r="AT367" s="263">
        <f t="shared" si="1667"/>
        <v>-0.70027624309392267</v>
      </c>
      <c r="AU367" s="263">
        <f t="shared" ref="AU367" si="1668">AU366/AU363</f>
        <v>-0.70027624309392256</v>
      </c>
      <c r="AV367" s="193">
        <f t="shared" ref="AV367:AW367" si="1669">AV366/AV363</f>
        <v>-0.70027624309392267</v>
      </c>
      <c r="AW367" s="263">
        <f t="shared" si="1669"/>
        <v>-0.70027624309392267</v>
      </c>
      <c r="AX367" s="263">
        <f t="shared" ref="AX367" si="1670">AX366/AX363</f>
        <v>-0.70027624309392267</v>
      </c>
      <c r="AY367" s="193">
        <f t="shared" ref="AY367:AZ367" si="1671">AY366/AY363</f>
        <v>-0.70027624309392267</v>
      </c>
      <c r="AZ367" s="263">
        <f t="shared" si="1671"/>
        <v>-0.70027624309392256</v>
      </c>
      <c r="BA367" s="263">
        <f t="shared" ref="BA367" si="1672">BA366/BA363</f>
        <v>-0.70027624309392278</v>
      </c>
      <c r="BB367" s="193">
        <f t="shared" ref="BB367" si="1673">BB366/BB363</f>
        <v>-0.70027624309392267</v>
      </c>
      <c r="BC367" s="179"/>
      <c r="BD367" s="320"/>
      <c r="BE367" s="320"/>
      <c r="BF367" s="320"/>
      <c r="BG367" s="320"/>
      <c r="BH367" s="318"/>
      <c r="BI367" s="322"/>
      <c r="BJ367" s="322"/>
      <c r="BK367" s="320"/>
      <c r="BL367" s="320"/>
      <c r="BM367" s="320"/>
      <c r="BN367" s="320"/>
      <c r="BO367" s="320"/>
      <c r="BP367" s="320"/>
      <c r="BQ367" s="320"/>
      <c r="BR367" s="320"/>
      <c r="BS367" s="320"/>
      <c r="BT367" s="320"/>
      <c r="BU367" s="320"/>
      <c r="BV367" s="320"/>
      <c r="BW367" s="320"/>
      <c r="BX367" s="320"/>
      <c r="BY367" s="320"/>
      <c r="BZ367" s="320"/>
      <c r="CA367" s="320"/>
      <c r="CB367" s="320"/>
      <c r="CC367" s="320"/>
      <c r="CD367" s="320"/>
      <c r="CE367" s="320"/>
      <c r="CF367" s="320"/>
      <c r="CG367" s="320"/>
      <c r="CH367" s="320"/>
      <c r="CI367" s="481"/>
      <c r="CJ367" s="320"/>
      <c r="CK367" s="481"/>
      <c r="CL367" s="481"/>
      <c r="CM367" s="481"/>
      <c r="CN367" s="481"/>
    </row>
    <row r="368" spans="1:92" outlineLevel="1">
      <c r="A368" s="171"/>
      <c r="B368" s="834"/>
      <c r="C368" s="965"/>
      <c r="D368" s="279"/>
      <c r="E368" s="279"/>
      <c r="F368" s="279"/>
      <c r="G368" s="279"/>
      <c r="H368" s="279"/>
      <c r="I368" s="279"/>
      <c r="J368" s="279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1010"/>
      <c r="W368" s="1010"/>
      <c r="X368" s="279"/>
      <c r="Y368" s="1010"/>
      <c r="Z368" s="1010"/>
      <c r="AA368" s="279"/>
      <c r="AB368" s="1010"/>
      <c r="AC368" s="1010"/>
      <c r="AD368" s="279"/>
      <c r="AE368" s="1010"/>
      <c r="AF368" s="1010"/>
      <c r="AG368" s="279"/>
      <c r="AH368" s="1127"/>
      <c r="AI368" s="566"/>
      <c r="AJ368" s="1127"/>
      <c r="AK368" s="1127"/>
      <c r="AL368" s="581"/>
      <c r="AM368" s="1127"/>
      <c r="AN368" s="646"/>
      <c r="AO368" s="293"/>
      <c r="AP368" s="1241"/>
      <c r="AQ368" s="1374"/>
      <c r="AR368" s="263"/>
      <c r="AS368" s="265"/>
      <c r="AT368" s="265"/>
      <c r="AU368" s="263"/>
      <c r="AV368" s="265"/>
      <c r="AW368" s="265"/>
      <c r="AX368" s="263"/>
      <c r="AY368" s="265"/>
      <c r="AZ368" s="265"/>
      <c r="BA368" s="263"/>
      <c r="BB368" s="265"/>
      <c r="BC368" s="179"/>
      <c r="BD368" s="320"/>
      <c r="BE368" s="320"/>
      <c r="BF368" s="320"/>
      <c r="BG368" s="320"/>
      <c r="BH368" s="318"/>
      <c r="BI368" s="322"/>
      <c r="BJ368" s="322"/>
      <c r="BK368" s="320"/>
      <c r="BL368" s="320"/>
      <c r="BM368" s="320"/>
      <c r="BN368" s="320"/>
      <c r="BO368" s="320"/>
      <c r="BP368" s="320"/>
      <c r="BQ368" s="320"/>
      <c r="BR368" s="320"/>
      <c r="BS368" s="320"/>
      <c r="BT368" s="320"/>
      <c r="BU368" s="320"/>
      <c r="BV368" s="320"/>
      <c r="BW368" s="320"/>
      <c r="BX368" s="320"/>
      <c r="BY368" s="320"/>
      <c r="BZ368" s="320"/>
      <c r="CA368" s="320"/>
      <c r="CB368" s="320"/>
      <c r="CC368" s="320"/>
      <c r="CD368" s="320"/>
      <c r="CE368" s="320"/>
      <c r="CF368" s="320"/>
      <c r="CG368" s="320"/>
      <c r="CH368" s="320"/>
      <c r="CI368" s="481"/>
      <c r="CJ368" s="320"/>
      <c r="CK368" s="481"/>
      <c r="CL368" s="481"/>
      <c r="CM368" s="481"/>
      <c r="CN368" s="481"/>
    </row>
    <row r="369" spans="1:92" outlineLevel="1">
      <c r="A369" s="171"/>
      <c r="B369" s="834" t="s">
        <v>275</v>
      </c>
      <c r="C369" s="965"/>
      <c r="D369" s="279"/>
      <c r="E369" s="279"/>
      <c r="F369" s="279"/>
      <c r="G369" s="279"/>
      <c r="H369" s="279"/>
      <c r="I369" s="279"/>
      <c r="J369" s="279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279"/>
      <c r="V369" s="1010"/>
      <c r="W369" s="1010"/>
      <c r="X369" s="279"/>
      <c r="Y369" s="1010"/>
      <c r="Z369" s="1010"/>
      <c r="AA369" s="279"/>
      <c r="AB369" s="1010"/>
      <c r="AC369" s="1010"/>
      <c r="AD369" s="279"/>
      <c r="AE369" s="1010"/>
      <c r="AF369" s="1010"/>
      <c r="AG369" s="279"/>
      <c r="AH369" s="1127"/>
      <c r="AI369" s="566"/>
      <c r="AJ369" s="1127"/>
      <c r="AK369" s="1127"/>
      <c r="AL369" s="581"/>
      <c r="AM369" s="1437">
        <f>+AM370*AM363</f>
        <v>50.6</v>
      </c>
      <c r="AN369" s="1916">
        <v>25.3</v>
      </c>
      <c r="AO369" s="1436">
        <f>+AP369-AN369</f>
        <v>39</v>
      </c>
      <c r="AP369" s="1723">
        <v>64.3</v>
      </c>
      <c r="AQ369" s="1764">
        <v>43.4</v>
      </c>
      <c r="AR369" s="1436">
        <f>+AS369-AQ369</f>
        <v>39.284792817679552</v>
      </c>
      <c r="AS369" s="1436">
        <f>AS370*AS363</f>
        <v>82.684792817679551</v>
      </c>
      <c r="AT369" s="1434">
        <f t="shared" ref="AT369" si="1674">AT370*AT363</f>
        <v>44.701999999999998</v>
      </c>
      <c r="AU369" s="1436">
        <f t="shared" ref="AU369" si="1675">+AV369-AT369</f>
        <v>40.463336602209935</v>
      </c>
      <c r="AV369" s="1436">
        <f t="shared" ref="AV369:AW369" si="1676">AV370*AV363</f>
        <v>85.165336602209933</v>
      </c>
      <c r="AW369" s="1434">
        <f t="shared" si="1676"/>
        <v>46.043060000000004</v>
      </c>
      <c r="AX369" s="1436">
        <f t="shared" ref="AX369" si="1677">+AY369-AW369</f>
        <v>41.677236700276232</v>
      </c>
      <c r="AY369" s="1436">
        <f t="shared" ref="AY369:AZ369" si="1678">AY370*AY363</f>
        <v>87.720296700276236</v>
      </c>
      <c r="AZ369" s="1434">
        <f t="shared" si="1678"/>
        <v>47.424351800000004</v>
      </c>
      <c r="BA369" s="1436">
        <f t="shared" ref="BA369" si="1679">+BB369-AZ369</f>
        <v>42.927553801284525</v>
      </c>
      <c r="BB369" s="1436">
        <f t="shared" ref="BB369" si="1680">BB370*BB363</f>
        <v>90.351905601284528</v>
      </c>
      <c r="BC369" s="179"/>
      <c r="BD369" s="320"/>
      <c r="BE369" s="320"/>
      <c r="BF369" s="320"/>
      <c r="BG369" s="320"/>
      <c r="BH369" s="318"/>
      <c r="BI369" s="322"/>
      <c r="BJ369" s="322"/>
      <c r="BK369" s="320"/>
      <c r="BL369" s="320"/>
      <c r="BM369" s="320"/>
      <c r="BN369" s="320"/>
      <c r="BO369" s="320"/>
      <c r="BP369" s="320"/>
      <c r="BQ369" s="320"/>
      <c r="BR369" s="320"/>
      <c r="BS369" s="320"/>
      <c r="BT369" s="320"/>
      <c r="BU369" s="320"/>
      <c r="BV369" s="320"/>
      <c r="BW369" s="320"/>
      <c r="BX369" s="320"/>
      <c r="BY369" s="320"/>
      <c r="BZ369" s="320"/>
      <c r="CA369" s="320"/>
      <c r="CB369" s="320"/>
      <c r="CC369" s="320"/>
      <c r="CD369" s="320"/>
      <c r="CE369" s="320"/>
      <c r="CF369" s="320"/>
      <c r="CG369" s="320"/>
      <c r="CH369" s="320"/>
      <c r="CI369" s="481"/>
      <c r="CJ369" s="320"/>
      <c r="CK369" s="481"/>
      <c r="CL369" s="481"/>
      <c r="CM369" s="481"/>
      <c r="CN369" s="481"/>
    </row>
    <row r="370" spans="1:92" outlineLevel="1" collapsed="1">
      <c r="A370" s="171"/>
      <c r="B370" s="1080" t="s">
        <v>723</v>
      </c>
      <c r="C370" s="965"/>
      <c r="D370" s="279"/>
      <c r="E370" s="279"/>
      <c r="F370" s="279"/>
      <c r="G370" s="279"/>
      <c r="H370" s="279"/>
      <c r="I370" s="279"/>
      <c r="J370" s="279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279"/>
      <c r="V370" s="1010"/>
      <c r="W370" s="1010"/>
      <c r="X370" s="279"/>
      <c r="Y370" s="1010"/>
      <c r="Z370" s="1010"/>
      <c r="AA370" s="279"/>
      <c r="AB370" s="1010"/>
      <c r="AC370" s="1010"/>
      <c r="AD370" s="279"/>
      <c r="AE370" s="1010"/>
      <c r="AF370" s="1010"/>
      <c r="AG370" s="279"/>
      <c r="AH370" s="1127"/>
      <c r="AI370" s="566"/>
      <c r="AJ370" s="1127"/>
      <c r="AK370" s="1127"/>
      <c r="AL370" s="581"/>
      <c r="AM370" s="1616">
        <v>0.22</v>
      </c>
      <c r="AN370" s="284">
        <f>+AN369/AN363</f>
        <v>0.27410617551462624</v>
      </c>
      <c r="AO370" s="263">
        <f>AO369/AO363</f>
        <v>0.29345372460496622</v>
      </c>
      <c r="AP370" s="137">
        <f>AP369/AP363</f>
        <v>0.2855239786856128</v>
      </c>
      <c r="AQ370" s="1376">
        <f>+AQ369/AQ363</f>
        <v>0.29972375690607733</v>
      </c>
      <c r="AR370" s="263">
        <f>AR369/AR363</f>
        <v>0.29972375690607733</v>
      </c>
      <c r="AS370" s="265">
        <f>+AQ370</f>
        <v>0.29972375690607733</v>
      </c>
      <c r="AT370" s="265">
        <f>+AS370</f>
        <v>0.29972375690607733</v>
      </c>
      <c r="AU370" s="263">
        <f>AU369/AU363</f>
        <v>0.29972375690607733</v>
      </c>
      <c r="AV370" s="265">
        <f>+AT370</f>
        <v>0.29972375690607733</v>
      </c>
      <c r="AW370" s="265">
        <f>+AV370</f>
        <v>0.29972375690607733</v>
      </c>
      <c r="AX370" s="263">
        <f>AX369/AX363</f>
        <v>0.29972375690607733</v>
      </c>
      <c r="AY370" s="265">
        <f>+AW370</f>
        <v>0.29972375690607733</v>
      </c>
      <c r="AZ370" s="265">
        <f>+AY370</f>
        <v>0.29972375690607733</v>
      </c>
      <c r="BA370" s="263">
        <f>BA369/BA363</f>
        <v>0.29972375690607733</v>
      </c>
      <c r="BB370" s="265">
        <f>+AZ370</f>
        <v>0.29972375690607733</v>
      </c>
      <c r="BC370" s="179"/>
      <c r="BD370" s="320"/>
      <c r="BE370" s="320"/>
      <c r="BF370" s="320"/>
      <c r="BG370" s="320"/>
      <c r="BH370" s="318"/>
      <c r="BI370" s="322"/>
      <c r="BJ370" s="322"/>
      <c r="BK370" s="320"/>
      <c r="BL370" s="320"/>
      <c r="BM370" s="320"/>
      <c r="BN370" s="320"/>
      <c r="BO370" s="320"/>
      <c r="BP370" s="320"/>
      <c r="BQ370" s="320"/>
      <c r="BR370" s="320"/>
      <c r="BS370" s="320"/>
      <c r="BT370" s="320"/>
      <c r="BU370" s="320"/>
      <c r="BV370" s="320"/>
      <c r="BW370" s="320"/>
      <c r="BX370" s="320"/>
      <c r="BY370" s="320"/>
      <c r="BZ370" s="320"/>
      <c r="CA370" s="320"/>
      <c r="CB370" s="320"/>
      <c r="CC370" s="320"/>
      <c r="CD370" s="320"/>
      <c r="CE370" s="320"/>
      <c r="CF370" s="320"/>
      <c r="CG370" s="320"/>
      <c r="CH370" s="320"/>
      <c r="CI370" s="481"/>
      <c r="CJ370" s="320"/>
      <c r="CK370" s="481"/>
      <c r="CL370" s="481"/>
      <c r="CM370" s="481"/>
      <c r="CN370" s="481"/>
    </row>
    <row r="371" spans="1:92" hidden="1" outlineLevel="2">
      <c r="A371" s="171"/>
      <c r="B371" s="834"/>
      <c r="C371" s="965"/>
      <c r="D371" s="279"/>
      <c r="E371" s="279"/>
      <c r="F371" s="279"/>
      <c r="G371" s="279"/>
      <c r="H371" s="279"/>
      <c r="I371" s="279"/>
      <c r="J371" s="279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279"/>
      <c r="V371" s="1010"/>
      <c r="W371" s="1010"/>
      <c r="X371" s="279"/>
      <c r="Y371" s="1010"/>
      <c r="Z371" s="1010"/>
      <c r="AA371" s="279"/>
      <c r="AB371" s="1010"/>
      <c r="AC371" s="1010"/>
      <c r="AD371" s="279"/>
      <c r="AE371" s="1010"/>
      <c r="AF371" s="1010"/>
      <c r="AG371" s="279"/>
      <c r="AH371" s="1127"/>
      <c r="AI371" s="566"/>
      <c r="AJ371" s="1127"/>
      <c r="AK371" s="1127"/>
      <c r="AL371" s="581"/>
      <c r="AM371" s="1127"/>
      <c r="AN371" s="646"/>
      <c r="AO371" s="293"/>
      <c r="AP371" s="1241"/>
      <c r="AQ371" s="1374"/>
      <c r="AR371" s="263"/>
      <c r="AS371" s="265"/>
      <c r="AT371" s="265"/>
      <c r="AU371" s="263"/>
      <c r="AV371" s="265"/>
      <c r="AW371" s="265"/>
      <c r="AX371" s="263"/>
      <c r="AY371" s="265"/>
      <c r="AZ371" s="265"/>
      <c r="BA371" s="263"/>
      <c r="BB371" s="265"/>
      <c r="BC371" s="179"/>
      <c r="BD371" s="320"/>
      <c r="BE371" s="320"/>
      <c r="BF371" s="320"/>
      <c r="BG371" s="320"/>
      <c r="BH371" s="318"/>
      <c r="BI371" s="322"/>
      <c r="BJ371" s="322"/>
      <c r="BK371" s="320"/>
      <c r="BL371" s="320"/>
      <c r="BM371" s="320"/>
      <c r="BN371" s="320"/>
      <c r="BO371" s="320"/>
      <c r="BP371" s="320"/>
      <c r="BQ371" s="320"/>
      <c r="BR371" s="320"/>
      <c r="BS371" s="320"/>
      <c r="BT371" s="320"/>
      <c r="BU371" s="320"/>
      <c r="BV371" s="320"/>
      <c r="BW371" s="320"/>
      <c r="BX371" s="320"/>
      <c r="BY371" s="320"/>
      <c r="BZ371" s="320"/>
      <c r="CA371" s="320"/>
      <c r="CB371" s="320"/>
      <c r="CC371" s="320"/>
      <c r="CD371" s="320"/>
      <c r="CE371" s="320"/>
      <c r="CF371" s="320"/>
      <c r="CG371" s="320"/>
      <c r="CH371" s="320"/>
      <c r="CI371" s="481"/>
      <c r="CJ371" s="320"/>
      <c r="CK371" s="481"/>
      <c r="CL371" s="481"/>
      <c r="CM371" s="481"/>
      <c r="CN371" s="481"/>
    </row>
    <row r="372" spans="1:92" hidden="1" outlineLevel="2">
      <c r="A372" s="171"/>
      <c r="B372" s="834" t="s">
        <v>960</v>
      </c>
      <c r="C372" s="965"/>
      <c r="D372" s="279"/>
      <c r="E372" s="279"/>
      <c r="F372" s="279"/>
      <c r="G372" s="279"/>
      <c r="H372" s="279"/>
      <c r="I372" s="279"/>
      <c r="J372" s="279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279"/>
      <c r="V372" s="1010"/>
      <c r="W372" s="1010"/>
      <c r="X372" s="279"/>
      <c r="Y372" s="1010"/>
      <c r="Z372" s="1010"/>
      <c r="AA372" s="279"/>
      <c r="AB372" s="1010"/>
      <c r="AC372" s="1010"/>
      <c r="AD372" s="279"/>
      <c r="AE372" s="1010"/>
      <c r="AF372" s="1010"/>
      <c r="AG372" s="279"/>
      <c r="AH372" s="1127"/>
      <c r="AI372" s="566"/>
      <c r="AJ372" s="1127"/>
      <c r="AK372" s="1127"/>
      <c r="AL372" s="581"/>
      <c r="AM372" s="1437">
        <f>-AM373*AM363</f>
        <v>-43.7</v>
      </c>
      <c r="AN372" s="1636">
        <f>-AN373*AN363</f>
        <v>-17.536999999999999</v>
      </c>
      <c r="AO372" s="1436">
        <f>+AP372-AN372</f>
        <v>-25.250999999999998</v>
      </c>
      <c r="AP372" s="1724">
        <f>-AP373*AP363</f>
        <v>-42.787999999999997</v>
      </c>
      <c r="AQ372" s="1611">
        <f>-AQ373*AQ363</f>
        <v>-27.512000000000004</v>
      </c>
      <c r="AR372" s="1436">
        <f>+AS372-AQ372</f>
        <v>-24.903299999999998</v>
      </c>
      <c r="AS372" s="1436">
        <f>-AS373*AS363</f>
        <v>-52.415300000000002</v>
      </c>
      <c r="AT372" s="1434">
        <f>-AT373*AT363</f>
        <v>-28.33736</v>
      </c>
      <c r="AU372" s="1436">
        <f t="shared" ref="AU372" si="1681">+AV372-AT372</f>
        <v>-25.650398999999997</v>
      </c>
      <c r="AV372" s="1436">
        <f>-AV373*AV363</f>
        <v>-53.987758999999997</v>
      </c>
      <c r="AW372" s="1434">
        <f>-AW373*AW363</f>
        <v>-29.187480800000003</v>
      </c>
      <c r="AX372" s="1436">
        <f t="shared" ref="AX372" si="1682">+AY372-AW372</f>
        <v>-26.419910969999997</v>
      </c>
      <c r="AY372" s="1436">
        <f>-AY373*AY363</f>
        <v>-55.60739177</v>
      </c>
      <c r="AZ372" s="1434">
        <f>-AZ373*AZ363</f>
        <v>-30.063105224000005</v>
      </c>
      <c r="BA372" s="1436">
        <f t="shared" ref="BA372" si="1683">+BB372-AZ372</f>
        <v>-27.212508299099994</v>
      </c>
      <c r="BB372" s="1436">
        <f>-BB373*BB363</f>
        <v>-57.275613523099999</v>
      </c>
      <c r="BC372" s="179"/>
      <c r="BD372" s="320"/>
      <c r="BE372" s="320"/>
      <c r="BF372" s="320"/>
      <c r="BG372" s="320"/>
      <c r="BH372" s="318"/>
      <c r="BI372" s="322"/>
      <c r="BJ372" s="322"/>
      <c r="BK372" s="320"/>
      <c r="BL372" s="320"/>
      <c r="BM372" s="320"/>
      <c r="BN372" s="320"/>
      <c r="BO372" s="320"/>
      <c r="BP372" s="320"/>
      <c r="BQ372" s="320"/>
      <c r="BR372" s="320"/>
      <c r="BS372" s="320"/>
      <c r="BT372" s="320"/>
      <c r="BU372" s="320"/>
      <c r="BV372" s="320"/>
      <c r="BW372" s="320"/>
      <c r="BX372" s="320"/>
      <c r="BY372" s="320"/>
      <c r="BZ372" s="320"/>
      <c r="CA372" s="320"/>
      <c r="CB372" s="320"/>
      <c r="CC372" s="320"/>
      <c r="CD372" s="320"/>
      <c r="CE372" s="320"/>
      <c r="CF372" s="320"/>
      <c r="CG372" s="320"/>
      <c r="CH372" s="320"/>
      <c r="CI372" s="481"/>
      <c r="CJ372" s="320"/>
      <c r="CK372" s="481"/>
      <c r="CL372" s="481"/>
      <c r="CM372" s="481"/>
      <c r="CN372" s="481"/>
    </row>
    <row r="373" spans="1:92" hidden="1" outlineLevel="2">
      <c r="A373" s="171"/>
      <c r="B373" s="1080" t="s">
        <v>724</v>
      </c>
      <c r="C373" s="965"/>
      <c r="D373" s="279"/>
      <c r="E373" s="279"/>
      <c r="F373" s="279"/>
      <c r="G373" s="279"/>
      <c r="H373" s="279"/>
      <c r="I373" s="279"/>
      <c r="J373" s="279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279"/>
      <c r="V373" s="1010"/>
      <c r="W373" s="1010"/>
      <c r="X373" s="279"/>
      <c r="Y373" s="1010"/>
      <c r="Z373" s="1010"/>
      <c r="AA373" s="279"/>
      <c r="AB373" s="1010"/>
      <c r="AC373" s="1010"/>
      <c r="AD373" s="279"/>
      <c r="AE373" s="1010"/>
      <c r="AF373" s="1010"/>
      <c r="AG373" s="279"/>
      <c r="AH373" s="1127"/>
      <c r="AI373" s="566"/>
      <c r="AJ373" s="1127"/>
      <c r="AK373" s="1127"/>
      <c r="AL373" s="581"/>
      <c r="AM373" s="1616">
        <v>0.19</v>
      </c>
      <c r="AN373" s="1241">
        <f>+AM373</f>
        <v>0.19</v>
      </c>
      <c r="AO373" s="263">
        <f>+AO372/AO363</f>
        <v>-0.19</v>
      </c>
      <c r="AP373" s="1695">
        <f>+AN373</f>
        <v>0.19</v>
      </c>
      <c r="AQ373" s="1651">
        <f>+AP373</f>
        <v>0.19</v>
      </c>
      <c r="AR373" s="263">
        <f>+AR372/AR363</f>
        <v>-0.19</v>
      </c>
      <c r="AS373" s="265">
        <f>+AQ373</f>
        <v>0.19</v>
      </c>
      <c r="AT373" s="287">
        <f t="shared" ref="AT373" si="1684">+AS373</f>
        <v>0.19</v>
      </c>
      <c r="AU373" s="263">
        <f>+AU372/AU363</f>
        <v>-0.19</v>
      </c>
      <c r="AV373" s="265">
        <f t="shared" ref="AV373" si="1685">+AT373</f>
        <v>0.19</v>
      </c>
      <c r="AW373" s="287">
        <f t="shared" ref="AW373" si="1686">+AV373</f>
        <v>0.19</v>
      </c>
      <c r="AX373" s="263">
        <f>+AX372/AX363</f>
        <v>-0.19</v>
      </c>
      <c r="AY373" s="265">
        <f t="shared" ref="AY373" si="1687">+AW373</f>
        <v>0.19</v>
      </c>
      <c r="AZ373" s="287">
        <f t="shared" ref="AZ373" si="1688">+AY373</f>
        <v>0.19</v>
      </c>
      <c r="BA373" s="263">
        <f>+BA372/BA363</f>
        <v>-0.18999999999999997</v>
      </c>
      <c r="BB373" s="265">
        <f t="shared" ref="BB373" si="1689">+AZ373</f>
        <v>0.19</v>
      </c>
      <c r="BC373" s="179"/>
      <c r="BD373" s="320"/>
      <c r="BE373" s="320"/>
      <c r="BF373" s="320"/>
      <c r="BG373" s="320"/>
      <c r="BH373" s="318"/>
      <c r="BI373" s="322"/>
      <c r="BJ373" s="322"/>
      <c r="BK373" s="320"/>
      <c r="BL373" s="320"/>
      <c r="BM373" s="320"/>
      <c r="BN373" s="320"/>
      <c r="BO373" s="320"/>
      <c r="BP373" s="320"/>
      <c r="BQ373" s="320"/>
      <c r="BR373" s="320"/>
      <c r="BS373" s="320"/>
      <c r="BT373" s="320"/>
      <c r="BU373" s="320"/>
      <c r="BV373" s="320"/>
      <c r="BW373" s="320"/>
      <c r="BX373" s="320"/>
      <c r="BY373" s="320"/>
      <c r="BZ373" s="320"/>
      <c r="CA373" s="320"/>
      <c r="CB373" s="320"/>
      <c r="CC373" s="320"/>
      <c r="CD373" s="320"/>
      <c r="CE373" s="320"/>
      <c r="CF373" s="320"/>
      <c r="CG373" s="320"/>
      <c r="CH373" s="320"/>
      <c r="CI373" s="481"/>
      <c r="CJ373" s="320"/>
      <c r="CK373" s="481"/>
      <c r="CL373" s="481"/>
      <c r="CM373" s="481"/>
      <c r="CN373" s="481"/>
    </row>
    <row r="374" spans="1:92" hidden="1" outlineLevel="2">
      <c r="A374" s="171"/>
      <c r="B374" s="783"/>
      <c r="C374" s="965"/>
      <c r="D374" s="279"/>
      <c r="E374" s="279"/>
      <c r="F374" s="279"/>
      <c r="G374" s="279"/>
      <c r="H374" s="279"/>
      <c r="I374" s="279"/>
      <c r="J374" s="279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279"/>
      <c r="V374" s="1010"/>
      <c r="W374" s="1010"/>
      <c r="X374" s="279"/>
      <c r="Y374" s="1010"/>
      <c r="Z374" s="1010"/>
      <c r="AA374" s="279"/>
      <c r="AB374" s="1010"/>
      <c r="AC374" s="1010"/>
      <c r="AD374" s="279"/>
      <c r="AE374" s="1010"/>
      <c r="AF374" s="1010"/>
      <c r="AG374" s="279"/>
      <c r="AH374" s="1127"/>
      <c r="AI374" s="566"/>
      <c r="AJ374" s="1127"/>
      <c r="AK374" s="1127"/>
      <c r="AL374" s="581"/>
      <c r="AM374" s="1127"/>
      <c r="AN374" s="646"/>
      <c r="AO374" s="293"/>
      <c r="AP374" s="1695"/>
      <c r="AQ374" s="1651"/>
      <c r="AR374" s="263"/>
      <c r="AS374" s="265"/>
      <c r="AT374" s="265"/>
      <c r="AU374" s="263"/>
      <c r="AV374" s="265"/>
      <c r="AW374" s="265"/>
      <c r="AX374" s="263"/>
      <c r="AY374" s="265"/>
      <c r="AZ374" s="265"/>
      <c r="BA374" s="263"/>
      <c r="BB374" s="265"/>
      <c r="BC374" s="179"/>
      <c r="BD374" s="320"/>
      <c r="BE374" s="320"/>
      <c r="BF374" s="320"/>
      <c r="BG374" s="320"/>
      <c r="BH374" s="318"/>
      <c r="BI374" s="322"/>
      <c r="BJ374" s="322"/>
      <c r="BK374" s="320"/>
      <c r="BL374" s="320"/>
      <c r="BM374" s="320"/>
      <c r="BN374" s="320"/>
      <c r="BO374" s="320"/>
      <c r="BP374" s="320"/>
      <c r="BQ374" s="320"/>
      <c r="BR374" s="320"/>
      <c r="BS374" s="320"/>
      <c r="BT374" s="320"/>
      <c r="BU374" s="320"/>
      <c r="BV374" s="320"/>
      <c r="BW374" s="320"/>
      <c r="BX374" s="320"/>
      <c r="BY374" s="320"/>
      <c r="BZ374" s="320"/>
      <c r="CA374" s="320"/>
      <c r="CB374" s="320"/>
      <c r="CC374" s="320"/>
      <c r="CD374" s="320"/>
      <c r="CE374" s="320"/>
      <c r="CF374" s="320"/>
      <c r="CG374" s="320"/>
      <c r="CH374" s="320"/>
      <c r="CI374" s="481"/>
      <c r="CJ374" s="320"/>
      <c r="CK374" s="481"/>
      <c r="CL374" s="481"/>
      <c r="CM374" s="481"/>
      <c r="CN374" s="481"/>
    </row>
    <row r="375" spans="1:92" hidden="1" outlineLevel="2">
      <c r="A375" s="171"/>
      <c r="B375" s="834" t="s">
        <v>961</v>
      </c>
      <c r="C375" s="965"/>
      <c r="D375" s="279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279"/>
      <c r="V375" s="1010"/>
      <c r="W375" s="1010"/>
      <c r="X375" s="279"/>
      <c r="Y375" s="1010"/>
      <c r="Z375" s="1010"/>
      <c r="AA375" s="279"/>
      <c r="AB375" s="1010"/>
      <c r="AC375" s="1010"/>
      <c r="AD375" s="279"/>
      <c r="AE375" s="1010"/>
      <c r="AF375" s="1010"/>
      <c r="AG375" s="279"/>
      <c r="AH375" s="1127"/>
      <c r="AI375" s="566"/>
      <c r="AJ375" s="1127"/>
      <c r="AK375" s="1127"/>
      <c r="AL375" s="581"/>
      <c r="AM375" s="1447">
        <f>AM369+AM372</f>
        <v>6.8999999999999986</v>
      </c>
      <c r="AN375" s="1621">
        <f>AN369+AN372</f>
        <v>7.7630000000000017</v>
      </c>
      <c r="AO375" s="1439">
        <f>+AP375-AN375</f>
        <v>13.748999999999999</v>
      </c>
      <c r="AP375" s="1725">
        <f>AP369+AP372</f>
        <v>21.512</v>
      </c>
      <c r="AQ375" s="1652">
        <f>AQ369+AQ372</f>
        <v>15.887999999999995</v>
      </c>
      <c r="AR375" s="1442">
        <f t="shared" ref="AR375" si="1690">+AS375-AQ375</f>
        <v>14.381492817679554</v>
      </c>
      <c r="AS375" s="1441">
        <f>AS369+AS372</f>
        <v>30.269492817679549</v>
      </c>
      <c r="AT375" s="1441">
        <f>AT369+AT372</f>
        <v>16.364639999999998</v>
      </c>
      <c r="AU375" s="1442">
        <f t="shared" ref="AU375" si="1691">+AV375-AT375</f>
        <v>14.812937602209939</v>
      </c>
      <c r="AV375" s="1441">
        <f>AV369+AV372</f>
        <v>31.177577602209936</v>
      </c>
      <c r="AW375" s="1441">
        <f>AW369+AW372</f>
        <v>16.855579200000001</v>
      </c>
      <c r="AX375" s="1442">
        <f t="shared" ref="AX375" si="1692">+AY375-AW375</f>
        <v>15.257325730276236</v>
      </c>
      <c r="AY375" s="1441">
        <f>AY369+AY372</f>
        <v>32.112904930276237</v>
      </c>
      <c r="AZ375" s="1441">
        <f>AZ369+AZ372</f>
        <v>17.361246575999999</v>
      </c>
      <c r="BA375" s="1442">
        <f t="shared" ref="BA375" si="1693">+BB375-AZ375</f>
        <v>15.71504550218453</v>
      </c>
      <c r="BB375" s="1441">
        <f>BB369+BB372</f>
        <v>33.07629207818453</v>
      </c>
      <c r="BC375" s="179"/>
      <c r="BD375" s="320"/>
      <c r="BE375" s="320"/>
      <c r="BF375" s="320"/>
      <c r="BG375" s="320"/>
      <c r="BH375" s="318"/>
      <c r="BI375" s="322"/>
      <c r="BJ375" s="322"/>
      <c r="BK375" s="320"/>
      <c r="BL375" s="320"/>
      <c r="BM375" s="320"/>
      <c r="BN375" s="320"/>
      <c r="BO375" s="320"/>
      <c r="BP375" s="320"/>
      <c r="BQ375" s="320"/>
      <c r="BR375" s="320"/>
      <c r="BS375" s="320"/>
      <c r="BT375" s="320"/>
      <c r="BU375" s="320"/>
      <c r="BV375" s="320"/>
      <c r="BW375" s="320"/>
      <c r="BX375" s="320"/>
      <c r="BY375" s="320"/>
      <c r="BZ375" s="320"/>
      <c r="CA375" s="320"/>
      <c r="CB375" s="320"/>
      <c r="CC375" s="320"/>
      <c r="CD375" s="320"/>
      <c r="CE375" s="320"/>
      <c r="CF375" s="320"/>
      <c r="CG375" s="320"/>
      <c r="CH375" s="320"/>
      <c r="CI375" s="481"/>
      <c r="CJ375" s="320"/>
      <c r="CK375" s="481"/>
      <c r="CL375" s="481"/>
      <c r="CM375" s="481"/>
      <c r="CN375" s="481"/>
    </row>
    <row r="376" spans="1:92" hidden="1" outlineLevel="2">
      <c r="A376" s="171"/>
      <c r="B376" s="963" t="s">
        <v>726</v>
      </c>
      <c r="C376" s="965"/>
      <c r="D376" s="279"/>
      <c r="E376" s="279"/>
      <c r="F376" s="279"/>
      <c r="G376" s="279"/>
      <c r="H376" s="279"/>
      <c r="I376" s="279"/>
      <c r="J376" s="279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279"/>
      <c r="V376" s="1010"/>
      <c r="W376" s="1010"/>
      <c r="X376" s="279"/>
      <c r="Y376" s="1010"/>
      <c r="Z376" s="1010"/>
      <c r="AA376" s="279"/>
      <c r="AB376" s="1010"/>
      <c r="AC376" s="1010"/>
      <c r="AD376" s="279"/>
      <c r="AE376" s="1010"/>
      <c r="AF376" s="1010"/>
      <c r="AG376" s="279"/>
      <c r="AH376" s="1127"/>
      <c r="AI376" s="566"/>
      <c r="AJ376" s="1127"/>
      <c r="AK376" s="1127"/>
      <c r="AL376" s="581"/>
      <c r="AM376" s="1438">
        <f t="shared" ref="AM376:BB376" si="1694">AM375/AM363</f>
        <v>2.9999999999999995E-2</v>
      </c>
      <c r="AN376" s="1622">
        <f t="shared" si="1694"/>
        <v>8.4106175514626236E-2</v>
      </c>
      <c r="AO376" s="284">
        <f t="shared" si="1694"/>
        <v>0.10345372460496614</v>
      </c>
      <c r="AP376" s="1726">
        <f t="shared" si="1694"/>
        <v>9.5523978685612798E-2</v>
      </c>
      <c r="AQ376" s="1651">
        <f t="shared" si="1694"/>
        <v>0.1097237569060773</v>
      </c>
      <c r="AR376" s="263">
        <f t="shared" si="1694"/>
        <v>0.10972375690607733</v>
      </c>
      <c r="AS376" s="265">
        <f t="shared" si="1694"/>
        <v>0.10972375690607732</v>
      </c>
      <c r="AT376" s="265">
        <f t="shared" si="1694"/>
        <v>0.10972375690607733</v>
      </c>
      <c r="AU376" s="263">
        <f t="shared" si="1694"/>
        <v>0.10972375690607732</v>
      </c>
      <c r="AV376" s="265">
        <f t="shared" si="1694"/>
        <v>0.10972375690607732</v>
      </c>
      <c r="AW376" s="265">
        <f t="shared" si="1694"/>
        <v>0.10972375690607734</v>
      </c>
      <c r="AX376" s="263">
        <f t="shared" si="1694"/>
        <v>0.10972375690607732</v>
      </c>
      <c r="AY376" s="265">
        <f t="shared" si="1694"/>
        <v>0.10972375690607733</v>
      </c>
      <c r="AZ376" s="265">
        <f t="shared" si="1694"/>
        <v>0.10972375690607733</v>
      </c>
      <c r="BA376" s="263">
        <f t="shared" si="1694"/>
        <v>0.10972375690607736</v>
      </c>
      <c r="BB376" s="265">
        <f t="shared" si="1694"/>
        <v>0.10972375690607734</v>
      </c>
      <c r="BC376" s="179"/>
      <c r="BD376" s="320"/>
      <c r="BE376" s="320"/>
      <c r="BF376" s="320"/>
      <c r="BG376" s="320"/>
      <c r="BH376" s="318"/>
      <c r="BI376" s="322"/>
      <c r="BJ376" s="322"/>
      <c r="BK376" s="320"/>
      <c r="BL376" s="320"/>
      <c r="BM376" s="320"/>
      <c r="BN376" s="320"/>
      <c r="BO376" s="320"/>
      <c r="BP376" s="320"/>
      <c r="BQ376" s="320"/>
      <c r="BR376" s="320"/>
      <c r="BS376" s="320"/>
      <c r="BT376" s="320"/>
      <c r="BU376" s="320"/>
      <c r="BV376" s="320"/>
      <c r="BW376" s="320"/>
      <c r="BX376" s="320"/>
      <c r="BY376" s="320"/>
      <c r="BZ376" s="320"/>
      <c r="CA376" s="320"/>
      <c r="CB376" s="320"/>
      <c r="CC376" s="320"/>
      <c r="CD376" s="320"/>
      <c r="CE376" s="320"/>
      <c r="CF376" s="320"/>
      <c r="CG376" s="320"/>
      <c r="CH376" s="320"/>
      <c r="CI376" s="481"/>
      <c r="CJ376" s="320"/>
      <c r="CK376" s="481"/>
      <c r="CL376" s="481"/>
      <c r="CM376" s="481"/>
      <c r="CN376" s="481"/>
    </row>
    <row r="377" spans="1:92" hidden="1" outlineLevel="2">
      <c r="A377" s="171"/>
      <c r="B377" s="834"/>
      <c r="C377" s="965"/>
      <c r="D377" s="279"/>
      <c r="E377" s="279"/>
      <c r="F377" s="279"/>
      <c r="G377" s="279"/>
      <c r="H377" s="279"/>
      <c r="I377" s="279"/>
      <c r="J377" s="279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279"/>
      <c r="V377" s="1010"/>
      <c r="W377" s="1010"/>
      <c r="X377" s="279"/>
      <c r="Y377" s="1010"/>
      <c r="Z377" s="1010"/>
      <c r="AA377" s="279"/>
      <c r="AB377" s="1010"/>
      <c r="AC377" s="1010"/>
      <c r="AD377" s="279"/>
      <c r="AE377" s="1010"/>
      <c r="AF377" s="1010"/>
      <c r="AG377" s="279"/>
      <c r="AH377" s="1127"/>
      <c r="AI377" s="566"/>
      <c r="AJ377" s="1127"/>
      <c r="AK377" s="1127"/>
      <c r="AL377" s="581"/>
      <c r="AM377" s="1127"/>
      <c r="AN377" s="646"/>
      <c r="AO377" s="293"/>
      <c r="AP377" s="1695"/>
      <c r="AQ377" s="1651"/>
      <c r="AR377" s="263"/>
      <c r="AS377" s="265"/>
      <c r="AT377" s="265"/>
      <c r="AU377" s="263"/>
      <c r="AV377" s="265"/>
      <c r="AW377" s="265"/>
      <c r="AX377" s="263"/>
      <c r="AY377" s="265"/>
      <c r="AZ377" s="265"/>
      <c r="BA377" s="263"/>
      <c r="BB377" s="265"/>
      <c r="BC377" s="179"/>
      <c r="BD377" s="320"/>
      <c r="BE377" s="320"/>
      <c r="BF377" s="320"/>
      <c r="BG377" s="320"/>
      <c r="BH377" s="318"/>
      <c r="BI377" s="322"/>
      <c r="BJ377" s="322"/>
      <c r="BK377" s="320"/>
      <c r="BL377" s="320"/>
      <c r="BM377" s="320"/>
      <c r="BN377" s="320"/>
      <c r="BO377" s="320"/>
      <c r="BP377" s="320"/>
      <c r="BQ377" s="320"/>
      <c r="BR377" s="320"/>
      <c r="BS377" s="320"/>
      <c r="BT377" s="320"/>
      <c r="BU377" s="320"/>
      <c r="BV377" s="320"/>
      <c r="BW377" s="320"/>
      <c r="BX377" s="320"/>
      <c r="BY377" s="320"/>
      <c r="BZ377" s="320"/>
      <c r="CA377" s="320"/>
      <c r="CB377" s="320"/>
      <c r="CC377" s="320"/>
      <c r="CD377" s="320"/>
      <c r="CE377" s="320"/>
      <c r="CF377" s="320"/>
      <c r="CG377" s="320"/>
      <c r="CH377" s="320"/>
      <c r="CI377" s="481"/>
      <c r="CJ377" s="320"/>
      <c r="CK377" s="481"/>
      <c r="CL377" s="481"/>
      <c r="CM377" s="481"/>
      <c r="CN377" s="481"/>
    </row>
    <row r="378" spans="1:92" hidden="1" outlineLevel="2">
      <c r="A378" s="171"/>
      <c r="B378" s="834" t="s">
        <v>962</v>
      </c>
      <c r="C378" s="965"/>
      <c r="D378" s="279"/>
      <c r="E378" s="279"/>
      <c r="F378" s="279"/>
      <c r="G378" s="279"/>
      <c r="H378" s="279"/>
      <c r="I378" s="279"/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1010"/>
      <c r="W378" s="1010"/>
      <c r="X378" s="279"/>
      <c r="Y378" s="1010"/>
      <c r="Z378" s="1010"/>
      <c r="AA378" s="279"/>
      <c r="AB378" s="1010"/>
      <c r="AC378" s="1010"/>
      <c r="AD378" s="279"/>
      <c r="AE378" s="1010"/>
      <c r="AF378" s="1010"/>
      <c r="AG378" s="279"/>
      <c r="AH378" s="1127"/>
      <c r="AI378" s="566"/>
      <c r="AJ378" s="1127"/>
      <c r="AK378" s="1127"/>
      <c r="AL378" s="581"/>
      <c r="AM378" s="1437">
        <f>AM379*AM363</f>
        <v>2.3000000000000003</v>
      </c>
      <c r="AN378" s="1636">
        <f>AN379*AN363</f>
        <v>0.92300000000000004</v>
      </c>
      <c r="AO378" s="1434">
        <f>+AP378-AN378</f>
        <v>1.3289999999999997</v>
      </c>
      <c r="AP378" s="1696">
        <f>AP379*AP363</f>
        <v>2.2519999999999998</v>
      </c>
      <c r="AQ378" s="1650">
        <f>AQ379*AQ363</f>
        <v>1.4480000000000002</v>
      </c>
      <c r="AR378" s="1434">
        <f>+AS378-AQ378</f>
        <v>1.3107</v>
      </c>
      <c r="AS378" s="1443">
        <f>AS379*AS363</f>
        <v>2.7587000000000002</v>
      </c>
      <c r="AT378" s="1434">
        <f>AT379*AT363</f>
        <v>1.4914400000000001</v>
      </c>
      <c r="AU378" s="1434">
        <f t="shared" ref="AU378" si="1695">+AV378-AT378</f>
        <v>1.3500209999999997</v>
      </c>
      <c r="AV378" s="1443">
        <f>AV379*AV363</f>
        <v>2.8414609999999998</v>
      </c>
      <c r="AW378" s="1434">
        <f>AW379*AW363</f>
        <v>1.5361832000000002</v>
      </c>
      <c r="AX378" s="1434">
        <f t="shared" ref="AX378" si="1696">+AY378-AW378</f>
        <v>1.3905216299999996</v>
      </c>
      <c r="AY378" s="1443">
        <f>AY379*AY363</f>
        <v>2.9267048299999998</v>
      </c>
      <c r="AZ378" s="1434">
        <f>AZ379*AZ363</f>
        <v>1.5822686960000001</v>
      </c>
      <c r="BA378" s="1434">
        <f t="shared" ref="BA378" si="1697">+BB378-AZ378</f>
        <v>1.4322372789</v>
      </c>
      <c r="BB378" s="1443">
        <f>BB379*BB363</f>
        <v>3.0145059749000001</v>
      </c>
      <c r="BC378" s="179"/>
      <c r="BD378" s="320"/>
      <c r="BE378" s="320"/>
      <c r="BF378" s="320"/>
      <c r="BG378" s="320"/>
      <c r="BH378" s="318"/>
      <c r="BI378" s="322"/>
      <c r="BJ378" s="322"/>
      <c r="BK378" s="320"/>
      <c r="BL378" s="320"/>
      <c r="BM378" s="320"/>
      <c r="BN378" s="320"/>
      <c r="BO378" s="320"/>
      <c r="BP378" s="320"/>
      <c r="BQ378" s="320"/>
      <c r="BR378" s="320"/>
      <c r="BS378" s="320"/>
      <c r="BT378" s="320"/>
      <c r="BU378" s="320"/>
      <c r="BV378" s="320"/>
      <c r="BW378" s="320"/>
      <c r="BX378" s="320"/>
      <c r="BY378" s="320"/>
      <c r="BZ378" s="320"/>
      <c r="CA378" s="320"/>
      <c r="CB378" s="320"/>
      <c r="CC378" s="320"/>
      <c r="CD378" s="320"/>
      <c r="CE378" s="320"/>
      <c r="CF378" s="320"/>
      <c r="CG378" s="320"/>
      <c r="CH378" s="320"/>
      <c r="CI378" s="481"/>
      <c r="CJ378" s="320"/>
      <c r="CK378" s="481"/>
      <c r="CL378" s="481"/>
      <c r="CM378" s="481"/>
      <c r="CN378" s="481"/>
    </row>
    <row r="379" spans="1:92" hidden="1" outlineLevel="2">
      <c r="A379" s="171"/>
      <c r="B379" s="1080" t="s">
        <v>416</v>
      </c>
      <c r="C379" s="965"/>
      <c r="D379" s="279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279"/>
      <c r="V379" s="1010"/>
      <c r="W379" s="1010"/>
      <c r="X379" s="279"/>
      <c r="Y379" s="1010"/>
      <c r="Z379" s="1010"/>
      <c r="AA379" s="279"/>
      <c r="AB379" s="1010"/>
      <c r="AC379" s="1010"/>
      <c r="AD379" s="279"/>
      <c r="AE379" s="1010"/>
      <c r="AF379" s="1010"/>
      <c r="AG379" s="279"/>
      <c r="AH379" s="1127"/>
      <c r="AI379" s="566"/>
      <c r="AJ379" s="1127"/>
      <c r="AK379" s="1127"/>
      <c r="AL379" s="581"/>
      <c r="AM379" s="1616">
        <v>0.01</v>
      </c>
      <c r="AN379" s="1241">
        <f>+AM379</f>
        <v>0.01</v>
      </c>
      <c r="AO379" s="263">
        <f>AO378/AO363</f>
        <v>0.01</v>
      </c>
      <c r="AP379" s="1695">
        <f>+AN379</f>
        <v>0.01</v>
      </c>
      <c r="AQ379" s="1651">
        <f>+AP379</f>
        <v>0.01</v>
      </c>
      <c r="AR379" s="263">
        <f>AR378/AR363</f>
        <v>0.01</v>
      </c>
      <c r="AS379" s="265">
        <f>+AQ379</f>
        <v>0.01</v>
      </c>
      <c r="AT379" s="287">
        <f t="shared" ref="AT379" si="1698">+AS379</f>
        <v>0.01</v>
      </c>
      <c r="AU379" s="263">
        <f>AU378/AU363</f>
        <v>9.9999999999999985E-3</v>
      </c>
      <c r="AV379" s="265">
        <f t="shared" ref="AV379" si="1699">+AT379</f>
        <v>0.01</v>
      </c>
      <c r="AW379" s="287">
        <f t="shared" ref="AW379" si="1700">+AV379</f>
        <v>0.01</v>
      </c>
      <c r="AX379" s="263">
        <f>AX378/AX363</f>
        <v>9.9999999999999985E-3</v>
      </c>
      <c r="AY379" s="265">
        <f t="shared" ref="AY379" si="1701">+AW379</f>
        <v>0.01</v>
      </c>
      <c r="AZ379" s="287">
        <f t="shared" ref="AZ379" si="1702">+AY379</f>
        <v>0.01</v>
      </c>
      <c r="BA379" s="263">
        <f>BA378/BA363</f>
        <v>0.01</v>
      </c>
      <c r="BB379" s="265">
        <f t="shared" ref="BB379" si="1703">+AZ379</f>
        <v>0.01</v>
      </c>
      <c r="BC379" s="664"/>
      <c r="BD379" s="320"/>
      <c r="BE379" s="320"/>
      <c r="BF379" s="320"/>
      <c r="BG379" s="320"/>
      <c r="BH379" s="318"/>
      <c r="BI379" s="322"/>
      <c r="BJ379" s="322"/>
      <c r="BK379" s="320"/>
      <c r="BL379" s="320"/>
      <c r="BM379" s="320"/>
      <c r="BN379" s="320"/>
      <c r="BO379" s="320"/>
      <c r="BP379" s="320"/>
      <c r="BQ379" s="320"/>
      <c r="BR379" s="320"/>
      <c r="BS379" s="320"/>
      <c r="BT379" s="320"/>
      <c r="BU379" s="320"/>
      <c r="BV379" s="320"/>
      <c r="BW379" s="320"/>
      <c r="BX379" s="320"/>
      <c r="BY379" s="320"/>
      <c r="BZ379" s="320"/>
      <c r="CA379" s="320"/>
      <c r="CB379" s="320"/>
      <c r="CC379" s="320"/>
      <c r="CD379" s="320"/>
      <c r="CE379" s="320"/>
      <c r="CF379" s="320"/>
      <c r="CG379" s="320"/>
      <c r="CH379" s="320"/>
      <c r="CI379" s="481"/>
      <c r="CJ379" s="320"/>
      <c r="CK379" s="481"/>
      <c r="CL379" s="481"/>
      <c r="CM379" s="481"/>
      <c r="CN379" s="481"/>
    </row>
    <row r="380" spans="1:92" hidden="1" outlineLevel="2">
      <c r="A380" s="171"/>
      <c r="B380" s="1080"/>
      <c r="C380" s="965"/>
      <c r="D380" s="279"/>
      <c r="E380" s="279"/>
      <c r="F380" s="279"/>
      <c r="G380" s="279"/>
      <c r="H380" s="279"/>
      <c r="I380" s="279"/>
      <c r="J380" s="279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279"/>
      <c r="V380" s="1010"/>
      <c r="W380" s="1010"/>
      <c r="X380" s="279"/>
      <c r="Y380" s="1010"/>
      <c r="Z380" s="1010"/>
      <c r="AA380" s="279"/>
      <c r="AB380" s="1010"/>
      <c r="AC380" s="1010"/>
      <c r="AD380" s="279"/>
      <c r="AE380" s="1010"/>
      <c r="AF380" s="1010"/>
      <c r="AG380" s="279"/>
      <c r="AH380" s="1127"/>
      <c r="AI380" s="566"/>
      <c r="AJ380" s="1127"/>
      <c r="AK380" s="1127"/>
      <c r="AL380" s="581"/>
      <c r="AM380" s="626"/>
      <c r="AN380" s="1241"/>
      <c r="AO380" s="263"/>
      <c r="AP380" s="1241"/>
      <c r="AQ380" s="1651"/>
      <c r="AR380" s="263"/>
      <c r="AS380" s="265"/>
      <c r="AT380" s="287"/>
      <c r="AU380" s="263"/>
      <c r="AV380" s="265"/>
      <c r="AW380" s="287"/>
      <c r="AX380" s="263"/>
      <c r="AY380" s="265"/>
      <c r="AZ380" s="287"/>
      <c r="BA380" s="263"/>
      <c r="BB380" s="265"/>
      <c r="BC380" s="664"/>
      <c r="BD380" s="320"/>
      <c r="BE380" s="320"/>
      <c r="BF380" s="320"/>
      <c r="BG380" s="320"/>
      <c r="BH380" s="318"/>
      <c r="BI380" s="322"/>
      <c r="BJ380" s="322"/>
      <c r="BK380" s="320"/>
      <c r="BL380" s="320"/>
      <c r="BM380" s="320"/>
      <c r="BN380" s="320"/>
      <c r="BO380" s="320"/>
      <c r="BP380" s="320"/>
      <c r="BQ380" s="320"/>
      <c r="BR380" s="320"/>
      <c r="BS380" s="320"/>
      <c r="BT380" s="320"/>
      <c r="BU380" s="320"/>
      <c r="BV380" s="320"/>
      <c r="BW380" s="320"/>
      <c r="BX380" s="320"/>
      <c r="BY380" s="320"/>
      <c r="BZ380" s="320"/>
      <c r="CA380" s="320"/>
      <c r="CB380" s="320"/>
      <c r="CC380" s="320"/>
      <c r="CD380" s="320"/>
      <c r="CE380" s="320"/>
      <c r="CF380" s="320"/>
      <c r="CG380" s="320"/>
      <c r="CH380" s="320"/>
      <c r="CI380" s="481"/>
      <c r="CJ380" s="320"/>
      <c r="CK380" s="481"/>
      <c r="CL380" s="481"/>
      <c r="CM380" s="481"/>
      <c r="CN380" s="481"/>
    </row>
    <row r="381" spans="1:92" outlineLevel="1">
      <c r="A381" s="171"/>
      <c r="B381" s="834" t="s">
        <v>963</v>
      </c>
      <c r="C381" s="965"/>
      <c r="D381" s="279"/>
      <c r="E381" s="279"/>
      <c r="F381" s="279"/>
      <c r="G381" s="279"/>
      <c r="H381" s="279"/>
      <c r="I381" s="279"/>
      <c r="J381" s="279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279"/>
      <c r="V381" s="1010"/>
      <c r="W381" s="1010"/>
      <c r="X381" s="279"/>
      <c r="Y381" s="1010"/>
      <c r="Z381" s="1010"/>
      <c r="AA381" s="279"/>
      <c r="AB381" s="1010"/>
      <c r="AC381" s="1010"/>
      <c r="AD381" s="279"/>
      <c r="AE381" s="1010"/>
      <c r="AF381" s="1010"/>
      <c r="AG381" s="279"/>
      <c r="AH381" s="1127"/>
      <c r="AI381" s="566"/>
      <c r="AJ381" s="1127"/>
      <c r="AK381" s="1127"/>
      <c r="AL381" s="581"/>
      <c r="AM381" s="1592">
        <f>(1-30%)*AM372</f>
        <v>-30.59</v>
      </c>
      <c r="AN381" s="1621">
        <f>AN369-AN386</f>
        <v>20.700000000000003</v>
      </c>
      <c r="AO381" s="1434">
        <f>+AP381-AN381</f>
        <v>31.799999999999997</v>
      </c>
      <c r="AP381" s="1727">
        <f>AP369-AP386</f>
        <v>52.5</v>
      </c>
      <c r="AQ381" s="1653">
        <f>AQ369-AQ386</f>
        <v>36.6</v>
      </c>
      <c r="AR381" s="1434">
        <f>+AS381-AQ381</f>
        <v>33.129571823204422</v>
      </c>
      <c r="AS381" s="1443">
        <f>AS382*AS363</f>
        <v>69.729571823204424</v>
      </c>
      <c r="AT381" s="1444">
        <f t="shared" ref="AT381" si="1704">AT382*AT363</f>
        <v>37.698</v>
      </c>
      <c r="AU381" s="1434">
        <f t="shared" ref="AU381" si="1705">+AV381-AT381</f>
        <v>34.123458977900547</v>
      </c>
      <c r="AV381" s="1443">
        <f t="shared" ref="AV381:AW381" si="1706">AV382*AV363</f>
        <v>71.821458977900548</v>
      </c>
      <c r="AW381" s="1444">
        <f t="shared" si="1706"/>
        <v>38.828940000000003</v>
      </c>
      <c r="AX381" s="1434">
        <f t="shared" ref="AX381" si="1707">+AY381-AW381</f>
        <v>35.147162747237559</v>
      </c>
      <c r="AY381" s="1443">
        <f t="shared" ref="AY381:AZ381" si="1708">AY382*AY363</f>
        <v>73.976102747237562</v>
      </c>
      <c r="AZ381" s="1444">
        <f t="shared" si="1708"/>
        <v>39.993808200000004</v>
      </c>
      <c r="BA381" s="1434">
        <f t="shared" ref="BA381" si="1709">+BB381-AZ381</f>
        <v>36.201577629654693</v>
      </c>
      <c r="BB381" s="1443">
        <f t="shared" ref="BB381" si="1710">BB382*BB363</f>
        <v>76.195385829654697</v>
      </c>
      <c r="BC381" s="664"/>
      <c r="BD381" s="320"/>
      <c r="BE381" s="320"/>
      <c r="BF381" s="320"/>
      <c r="BG381" s="320"/>
      <c r="BH381" s="318"/>
      <c r="BI381" s="322"/>
      <c r="BJ381" s="322"/>
      <c r="BK381" s="320"/>
      <c r="BL381" s="320"/>
      <c r="BM381" s="320"/>
      <c r="BN381" s="320"/>
      <c r="BO381" s="320"/>
      <c r="BP381" s="320"/>
      <c r="BQ381" s="320"/>
      <c r="BR381" s="320"/>
      <c r="BS381" s="320"/>
      <c r="BT381" s="320"/>
      <c r="BU381" s="320"/>
      <c r="BV381" s="320"/>
      <c r="BW381" s="320"/>
      <c r="BX381" s="320"/>
      <c r="BY381" s="320"/>
      <c r="BZ381" s="320"/>
      <c r="CA381" s="320"/>
      <c r="CB381" s="320"/>
      <c r="CC381" s="320"/>
      <c r="CD381" s="320"/>
      <c r="CE381" s="320"/>
      <c r="CF381" s="320"/>
      <c r="CG381" s="320"/>
      <c r="CH381" s="320"/>
      <c r="CI381" s="481"/>
      <c r="CJ381" s="320"/>
      <c r="CK381" s="481"/>
      <c r="CL381" s="481"/>
      <c r="CM381" s="481"/>
      <c r="CN381" s="481"/>
    </row>
    <row r="382" spans="1:92" outlineLevel="1">
      <c r="A382" s="171"/>
      <c r="B382" s="1080" t="s">
        <v>724</v>
      </c>
      <c r="C382" s="965"/>
      <c r="D382" s="279"/>
      <c r="E382" s="279"/>
      <c r="F382" s="279"/>
      <c r="G382" s="279"/>
      <c r="H382" s="279"/>
      <c r="I382" s="279"/>
      <c r="J382" s="279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279"/>
      <c r="V382" s="1010"/>
      <c r="W382" s="1010"/>
      <c r="X382" s="279"/>
      <c r="Y382" s="1010"/>
      <c r="Z382" s="1010"/>
      <c r="AA382" s="279"/>
      <c r="AB382" s="1010"/>
      <c r="AC382" s="1010"/>
      <c r="AD382" s="279"/>
      <c r="AE382" s="1010"/>
      <c r="AF382" s="1010"/>
      <c r="AG382" s="279"/>
      <c r="AH382" s="1127"/>
      <c r="AI382" s="566"/>
      <c r="AJ382" s="1127"/>
      <c r="AK382" s="1127"/>
      <c r="AL382" s="581"/>
      <c r="AM382" s="1593">
        <f>-AM381/AM363</f>
        <v>0.13300000000000001</v>
      </c>
      <c r="AN382" s="284">
        <f>AN381/AN363</f>
        <v>0.22426868905742148</v>
      </c>
      <c r="AO382" s="263">
        <f>AO381/AO363</f>
        <v>0.23927765237020318</v>
      </c>
      <c r="AP382" s="284">
        <f>AP381/AP363</f>
        <v>0.23312611012433393</v>
      </c>
      <c r="AQ382" s="284">
        <f>AQ381/AQ363</f>
        <v>0.25276243093922651</v>
      </c>
      <c r="AR382" s="263">
        <f>AR381/AR363</f>
        <v>0.25276243093922657</v>
      </c>
      <c r="AS382" s="265">
        <f>+AQ382</f>
        <v>0.25276243093922651</v>
      </c>
      <c r="AT382" s="287">
        <f t="shared" ref="AT382" si="1711">+AS382</f>
        <v>0.25276243093922651</v>
      </c>
      <c r="AU382" s="263">
        <f>AU381/AU363</f>
        <v>0.25276243093922651</v>
      </c>
      <c r="AV382" s="265">
        <f t="shared" ref="AV382" si="1712">+AT382</f>
        <v>0.25276243093922651</v>
      </c>
      <c r="AW382" s="287">
        <f t="shared" ref="AW382" si="1713">+AV382</f>
        <v>0.25276243093922651</v>
      </c>
      <c r="AX382" s="263">
        <f>AX381/AX363</f>
        <v>0.25276243093922646</v>
      </c>
      <c r="AY382" s="265">
        <f t="shared" ref="AY382" si="1714">+AW382</f>
        <v>0.25276243093922651</v>
      </c>
      <c r="AZ382" s="287">
        <f t="shared" ref="AZ382" si="1715">+AY382</f>
        <v>0.25276243093922651</v>
      </c>
      <c r="BA382" s="263">
        <f>BA381/BA363</f>
        <v>0.25276243093922651</v>
      </c>
      <c r="BB382" s="265">
        <f t="shared" ref="BB382" si="1716">+AZ382</f>
        <v>0.25276243093922651</v>
      </c>
      <c r="BC382" s="664"/>
      <c r="BD382" s="320"/>
      <c r="BE382" s="320"/>
      <c r="BF382" s="320"/>
      <c r="BG382" s="320"/>
      <c r="BH382" s="318"/>
      <c r="BI382" s="322"/>
      <c r="BJ382" s="322"/>
      <c r="BK382" s="320"/>
      <c r="BL382" s="320"/>
      <c r="BM382" s="320"/>
      <c r="BN382" s="320"/>
      <c r="BO382" s="320"/>
      <c r="BP382" s="320"/>
      <c r="BQ382" s="320"/>
      <c r="BR382" s="320"/>
      <c r="BS382" s="320"/>
      <c r="BT382" s="320"/>
      <c r="BU382" s="320"/>
      <c r="BV382" s="320"/>
      <c r="BW382" s="320"/>
      <c r="BX382" s="320"/>
      <c r="BY382" s="320"/>
      <c r="BZ382" s="320"/>
      <c r="CA382" s="320"/>
      <c r="CB382" s="320"/>
      <c r="CC382" s="320"/>
      <c r="CD382" s="320"/>
      <c r="CE382" s="320"/>
      <c r="CF382" s="320"/>
      <c r="CG382" s="320"/>
      <c r="CH382" s="320"/>
      <c r="CI382" s="481"/>
      <c r="CJ382" s="320"/>
      <c r="CK382" s="481"/>
      <c r="CL382" s="481"/>
      <c r="CM382" s="481"/>
      <c r="CN382" s="481"/>
    </row>
    <row r="383" spans="1:92" outlineLevel="1">
      <c r="A383" s="171"/>
      <c r="B383" s="783" t="s">
        <v>17</v>
      </c>
      <c r="C383" s="965"/>
      <c r="D383" s="279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279"/>
      <c r="V383" s="1010"/>
      <c r="W383" s="1010"/>
      <c r="X383" s="279"/>
      <c r="Y383" s="1010"/>
      <c r="Z383" s="1010"/>
      <c r="AA383" s="279"/>
      <c r="AB383" s="1010"/>
      <c r="AC383" s="1010"/>
      <c r="AD383" s="279"/>
      <c r="AE383" s="1010"/>
      <c r="AF383" s="1010"/>
      <c r="AG383" s="279"/>
      <c r="AH383" s="1127"/>
      <c r="AI383" s="566"/>
      <c r="AJ383" s="1127"/>
      <c r="AK383" s="1127"/>
      <c r="AL383" s="581"/>
      <c r="AM383" s="626"/>
      <c r="AN383" s="1241"/>
      <c r="AO383" s="263"/>
      <c r="AP383" s="1241"/>
      <c r="AQ383" s="1384"/>
      <c r="AR383" s="263"/>
      <c r="AS383" s="265"/>
      <c r="AT383" s="287"/>
      <c r="AU383" s="263"/>
      <c r="AV383" s="265"/>
      <c r="AW383" s="287"/>
      <c r="AX383" s="263"/>
      <c r="AY383" s="265"/>
      <c r="AZ383" s="287"/>
      <c r="BA383" s="263"/>
      <c r="BB383" s="265"/>
      <c r="BC383" s="664"/>
      <c r="BD383" s="320"/>
      <c r="BE383" s="320"/>
      <c r="BF383" s="320"/>
      <c r="BG383" s="320"/>
      <c r="BH383" s="318"/>
      <c r="BI383" s="322"/>
      <c r="BJ383" s="322"/>
      <c r="BK383" s="320"/>
      <c r="BL383" s="320"/>
      <c r="BM383" s="320"/>
      <c r="BN383" s="320"/>
      <c r="BO383" s="320"/>
      <c r="BP383" s="320"/>
      <c r="BQ383" s="320"/>
      <c r="BR383" s="320"/>
      <c r="BS383" s="320"/>
      <c r="BT383" s="320"/>
      <c r="BU383" s="320"/>
      <c r="BV383" s="320"/>
      <c r="BW383" s="320"/>
      <c r="BX383" s="320"/>
      <c r="BY383" s="320"/>
      <c r="BZ383" s="320"/>
      <c r="CA383" s="320"/>
      <c r="CB383" s="320"/>
      <c r="CC383" s="320"/>
      <c r="CD383" s="320"/>
      <c r="CE383" s="320"/>
      <c r="CF383" s="320"/>
      <c r="CG383" s="320"/>
      <c r="CH383" s="320"/>
      <c r="CI383" s="481"/>
      <c r="CJ383" s="320"/>
      <c r="CK383" s="481"/>
      <c r="CL383" s="481"/>
      <c r="CM383" s="481"/>
      <c r="CN383" s="481"/>
    </row>
    <row r="384" spans="1:92" outlineLevel="1">
      <c r="A384" s="171"/>
      <c r="B384" s="839" t="s">
        <v>706</v>
      </c>
      <c r="C384" s="965"/>
      <c r="D384" s="279"/>
      <c r="E384" s="279"/>
      <c r="F384" s="279"/>
      <c r="G384" s="279"/>
      <c r="H384" s="279"/>
      <c r="I384" s="279"/>
      <c r="J384" s="279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279"/>
      <c r="V384" s="1010"/>
      <c r="W384" s="1010"/>
      <c r="X384" s="279"/>
      <c r="Y384" s="1010"/>
      <c r="Z384" s="1010"/>
      <c r="AA384" s="279"/>
      <c r="AB384" s="1010"/>
      <c r="AC384" s="1010"/>
      <c r="AD384" s="279"/>
      <c r="AE384" s="1010"/>
      <c r="AF384" s="1010"/>
      <c r="AG384" s="279"/>
      <c r="AH384" s="1127"/>
      <c r="AI384" s="566"/>
      <c r="AJ384" s="1127"/>
      <c r="AK384" s="1127"/>
      <c r="AL384" s="581"/>
      <c r="AM384" s="626"/>
      <c r="AN384" s="1241"/>
      <c r="AO384" s="263"/>
      <c r="AP384" s="1241"/>
      <c r="AQ384" s="1384"/>
      <c r="AR384" s="263"/>
      <c r="AS384" s="265"/>
      <c r="AT384" s="287"/>
      <c r="AU384" s="263"/>
      <c r="AV384" s="265"/>
      <c r="AW384" s="287"/>
      <c r="AX384" s="263"/>
      <c r="AY384" s="265"/>
      <c r="AZ384" s="287"/>
      <c r="BA384" s="263"/>
      <c r="BB384" s="265"/>
      <c r="BC384" s="664"/>
      <c r="BD384" s="320"/>
      <c r="BE384" s="320"/>
      <c r="BF384" s="320"/>
      <c r="BG384" s="320"/>
      <c r="BH384" s="318"/>
      <c r="BI384" s="322"/>
      <c r="BJ384" s="322"/>
      <c r="BK384" s="320"/>
      <c r="BL384" s="320"/>
      <c r="BM384" s="320"/>
      <c r="BN384" s="320"/>
      <c r="BO384" s="320"/>
      <c r="BP384" s="320"/>
      <c r="BQ384" s="320"/>
      <c r="BR384" s="320"/>
      <c r="BS384" s="320"/>
      <c r="BT384" s="320"/>
      <c r="BU384" s="320"/>
      <c r="BV384" s="320"/>
      <c r="BW384" s="320"/>
      <c r="BX384" s="320"/>
      <c r="BY384" s="320"/>
      <c r="BZ384" s="320"/>
      <c r="CA384" s="320"/>
      <c r="CB384" s="320"/>
      <c r="CC384" s="320"/>
      <c r="CD384" s="320"/>
      <c r="CE384" s="320"/>
      <c r="CF384" s="320"/>
      <c r="CG384" s="320"/>
      <c r="CH384" s="320"/>
      <c r="CI384" s="481"/>
      <c r="CJ384" s="320"/>
      <c r="CK384" s="481"/>
      <c r="CL384" s="481"/>
      <c r="CM384" s="481"/>
      <c r="CN384" s="481"/>
    </row>
    <row r="385" spans="1:92" outlineLevel="1">
      <c r="A385" s="171"/>
      <c r="B385" s="783"/>
      <c r="C385" s="965"/>
      <c r="D385" s="279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279"/>
      <c r="V385" s="1010"/>
      <c r="W385" s="1010"/>
      <c r="X385" s="279"/>
      <c r="Y385" s="1010"/>
      <c r="Z385" s="1010"/>
      <c r="AA385" s="279"/>
      <c r="AB385" s="1010"/>
      <c r="AC385" s="1010"/>
      <c r="AD385" s="279"/>
      <c r="AE385" s="1010"/>
      <c r="AF385" s="1010"/>
      <c r="AG385" s="279"/>
      <c r="AH385" s="1127"/>
      <c r="AI385" s="566"/>
      <c r="AJ385" s="1127"/>
      <c r="AK385" s="1127"/>
      <c r="AL385" s="581"/>
      <c r="AM385" s="626"/>
      <c r="AN385" s="1241"/>
      <c r="AO385" s="263"/>
      <c r="AP385" s="1241"/>
      <c r="AQ385" s="1384"/>
      <c r="AR385" s="263"/>
      <c r="AS385" s="265"/>
      <c r="AT385" s="287"/>
      <c r="AU385" s="263"/>
      <c r="AV385" s="265"/>
      <c r="AW385" s="287"/>
      <c r="AX385" s="263"/>
      <c r="AY385" s="265"/>
      <c r="AZ385" s="287"/>
      <c r="BA385" s="263"/>
      <c r="BB385" s="265"/>
      <c r="BC385" s="664"/>
      <c r="BD385" s="320"/>
      <c r="BE385" s="320"/>
      <c r="BF385" s="320"/>
      <c r="BG385" s="320"/>
      <c r="BH385" s="318"/>
      <c r="BI385" s="322"/>
      <c r="BJ385" s="322"/>
      <c r="BK385" s="320"/>
      <c r="BL385" s="320"/>
      <c r="BM385" s="320"/>
      <c r="BN385" s="320"/>
      <c r="BO385" s="320"/>
      <c r="BP385" s="320"/>
      <c r="BQ385" s="320"/>
      <c r="BR385" s="320"/>
      <c r="BS385" s="320"/>
      <c r="BT385" s="320"/>
      <c r="BU385" s="320"/>
      <c r="BV385" s="320"/>
      <c r="BW385" s="320"/>
      <c r="BX385" s="320"/>
      <c r="BY385" s="320"/>
      <c r="BZ385" s="320"/>
      <c r="CA385" s="320"/>
      <c r="CB385" s="320"/>
      <c r="CC385" s="320"/>
      <c r="CD385" s="320"/>
      <c r="CE385" s="320"/>
      <c r="CF385" s="320"/>
      <c r="CG385" s="320"/>
      <c r="CH385" s="320"/>
      <c r="CI385" s="481"/>
      <c r="CJ385" s="320"/>
      <c r="CK385" s="481"/>
      <c r="CL385" s="481"/>
      <c r="CM385" s="481"/>
      <c r="CN385" s="481"/>
    </row>
    <row r="386" spans="1:92" outlineLevel="1">
      <c r="A386" s="171"/>
      <c r="B386" s="834" t="s">
        <v>964</v>
      </c>
      <c r="C386" s="965"/>
      <c r="D386" s="279"/>
      <c r="E386" s="279"/>
      <c r="F386" s="279"/>
      <c r="G386" s="279"/>
      <c r="H386" s="279"/>
      <c r="I386" s="279"/>
      <c r="J386" s="279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279"/>
      <c r="V386" s="1010"/>
      <c r="W386" s="1010"/>
      <c r="X386" s="279"/>
      <c r="Y386" s="1010"/>
      <c r="Z386" s="1010"/>
      <c r="AA386" s="279"/>
      <c r="AB386" s="1010"/>
      <c r="AC386" s="1010"/>
      <c r="AD386" s="279"/>
      <c r="AE386" s="1010"/>
      <c r="AF386" s="1010"/>
      <c r="AG386" s="279"/>
      <c r="AH386" s="1127"/>
      <c r="AI386" s="566"/>
      <c r="AJ386" s="1127"/>
      <c r="AK386" s="1127"/>
      <c r="AL386" s="581"/>
      <c r="AM386" s="1437">
        <f>AM369+AM381</f>
        <v>20.010000000000002</v>
      </c>
      <c r="AN386" s="1916">
        <v>4.5999999999999996</v>
      </c>
      <c r="AO386" s="1440">
        <f>+AP386-AN386</f>
        <v>7.2000000000000011</v>
      </c>
      <c r="AP386" s="1728">
        <v>11.8</v>
      </c>
      <c r="AQ386" s="1929">
        <v>6.8</v>
      </c>
      <c r="AR386" s="1440">
        <f>+AS386-AQ386</f>
        <v>6.155220994475127</v>
      </c>
      <c r="AS386" s="1437">
        <f>AS369-AS381</f>
        <v>12.955220994475127</v>
      </c>
      <c r="AT386" s="1437">
        <f t="shared" ref="AT386" si="1717">AT369-AT381</f>
        <v>7.0039999999999978</v>
      </c>
      <c r="AU386" s="1440">
        <f t="shared" ref="AU386" si="1718">+AV386-AT386</f>
        <v>6.3398776243093877</v>
      </c>
      <c r="AV386" s="1437">
        <f t="shared" ref="AV386:AW386" si="1719">AV369-AV381</f>
        <v>13.343877624309386</v>
      </c>
      <c r="AW386" s="1437">
        <f t="shared" si="1719"/>
        <v>7.2141200000000012</v>
      </c>
      <c r="AX386" s="1440">
        <f t="shared" ref="AX386" si="1720">+AY386-AW386</f>
        <v>6.5300739530386736</v>
      </c>
      <c r="AY386" s="1437">
        <f t="shared" ref="AY386:AZ386" si="1721">AY369-AY381</f>
        <v>13.744193953038675</v>
      </c>
      <c r="AZ386" s="1437">
        <f t="shared" si="1721"/>
        <v>7.4305436</v>
      </c>
      <c r="BA386" s="1440">
        <f t="shared" ref="BA386" si="1722">+BB386-AZ386</f>
        <v>6.7259761716298314</v>
      </c>
      <c r="BB386" s="1437">
        <f t="shared" ref="BB386" si="1723">BB369-BB381</f>
        <v>14.156519771629831</v>
      </c>
      <c r="BC386" s="664"/>
      <c r="BD386" s="320"/>
      <c r="BE386" s="320"/>
      <c r="BF386" s="320"/>
      <c r="BG386" s="320"/>
      <c r="BH386" s="318"/>
      <c r="BI386" s="322"/>
      <c r="BJ386" s="322"/>
      <c r="BK386" s="320"/>
      <c r="BL386" s="320"/>
      <c r="BM386" s="320"/>
      <c r="BN386" s="320"/>
      <c r="BO386" s="320"/>
      <c r="BP386" s="320"/>
      <c r="BQ386" s="320"/>
      <c r="BR386" s="320"/>
      <c r="BS386" s="320"/>
      <c r="BT386" s="320"/>
      <c r="BU386" s="320"/>
      <c r="BV386" s="320"/>
      <c r="BW386" s="320"/>
      <c r="BX386" s="320"/>
      <c r="BY386" s="320"/>
      <c r="BZ386" s="320"/>
      <c r="CA386" s="320"/>
      <c r="CB386" s="320"/>
      <c r="CC386" s="320"/>
      <c r="CD386" s="320"/>
      <c r="CE386" s="320"/>
      <c r="CF386" s="320"/>
      <c r="CG386" s="320"/>
      <c r="CH386" s="320"/>
      <c r="CI386" s="481"/>
      <c r="CJ386" s="320"/>
      <c r="CK386" s="481"/>
      <c r="CL386" s="481"/>
      <c r="CM386" s="481"/>
      <c r="CN386" s="481"/>
    </row>
    <row r="387" spans="1:92" outlineLevel="1">
      <c r="A387" s="171"/>
      <c r="B387" s="963" t="s">
        <v>726</v>
      </c>
      <c r="C387" s="965"/>
      <c r="D387" s="279"/>
      <c r="E387" s="279"/>
      <c r="F387" s="279"/>
      <c r="G387" s="279"/>
      <c r="H387" s="279"/>
      <c r="I387" s="279"/>
      <c r="J387" s="279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279"/>
      <c r="V387" s="1010"/>
      <c r="W387" s="1010"/>
      <c r="X387" s="279"/>
      <c r="Y387" s="1010"/>
      <c r="Z387" s="1010"/>
      <c r="AA387" s="279"/>
      <c r="AB387" s="1010"/>
      <c r="AC387" s="1010"/>
      <c r="AD387" s="279"/>
      <c r="AE387" s="1010"/>
      <c r="AF387" s="1010"/>
      <c r="AG387" s="279"/>
      <c r="AH387" s="1127"/>
      <c r="AI387" s="566"/>
      <c r="AJ387" s="1127"/>
      <c r="AK387" s="1127"/>
      <c r="AL387" s="581"/>
      <c r="AM387" s="1593">
        <f t="shared" ref="AM387:BB387" si="1724">AM386/AM363</f>
        <v>8.7000000000000008E-2</v>
      </c>
      <c r="AN387" s="1622">
        <f t="shared" si="1724"/>
        <v>4.9837486457204767E-2</v>
      </c>
      <c r="AO387" s="1446">
        <f t="shared" si="1724"/>
        <v>5.4176072234762999E-2</v>
      </c>
      <c r="AP387" s="1622">
        <f t="shared" si="1724"/>
        <v>5.2397868561278871E-2</v>
      </c>
      <c r="AQ387" s="1612">
        <f t="shared" ref="AQ387" si="1725">AQ386/AQ363</f>
        <v>4.6961325966850827E-2</v>
      </c>
      <c r="AR387" s="1446">
        <f t="shared" si="1724"/>
        <v>4.6961325966850744E-2</v>
      </c>
      <c r="AS387" s="1445">
        <f t="shared" si="1724"/>
        <v>4.6961325966850785E-2</v>
      </c>
      <c r="AT387" s="1446">
        <f t="shared" si="1724"/>
        <v>4.6961325966850813E-2</v>
      </c>
      <c r="AU387" s="1446">
        <f t="shared" si="1724"/>
        <v>4.6961325966850799E-2</v>
      </c>
      <c r="AV387" s="1445">
        <f t="shared" si="1724"/>
        <v>4.6961325966850806E-2</v>
      </c>
      <c r="AW387" s="1446">
        <f t="shared" si="1724"/>
        <v>4.6961325966850834E-2</v>
      </c>
      <c r="AX387" s="1446">
        <f t="shared" si="1724"/>
        <v>4.6961325966850834E-2</v>
      </c>
      <c r="AY387" s="1445">
        <f t="shared" si="1724"/>
        <v>4.6961325966850834E-2</v>
      </c>
      <c r="AZ387" s="1446">
        <f t="shared" si="1724"/>
        <v>4.6961325966850827E-2</v>
      </c>
      <c r="BA387" s="1446">
        <f t="shared" si="1724"/>
        <v>4.6961325966850813E-2</v>
      </c>
      <c r="BB387" s="1445">
        <f t="shared" si="1724"/>
        <v>4.696132596685082E-2</v>
      </c>
      <c r="BC387" s="664"/>
      <c r="BD387" s="320"/>
      <c r="BE387" s="320"/>
      <c r="BF387" s="320"/>
      <c r="BG387" s="320"/>
      <c r="BH387" s="318"/>
      <c r="BI387" s="322"/>
      <c r="BJ387" s="322"/>
      <c r="BK387" s="320"/>
      <c r="BL387" s="320"/>
      <c r="BM387" s="320"/>
      <c r="BN387" s="320"/>
      <c r="BO387" s="320"/>
      <c r="BP387" s="320"/>
      <c r="BQ387" s="320"/>
      <c r="BR387" s="320"/>
      <c r="BS387" s="320"/>
      <c r="BT387" s="320"/>
      <c r="BU387" s="320"/>
      <c r="BV387" s="320"/>
      <c r="BW387" s="320"/>
      <c r="BX387" s="320"/>
      <c r="BY387" s="320"/>
      <c r="BZ387" s="320"/>
      <c r="CA387" s="320"/>
      <c r="CB387" s="320"/>
      <c r="CC387" s="320"/>
      <c r="CD387" s="320"/>
      <c r="CE387" s="320"/>
      <c r="CF387" s="320"/>
      <c r="CG387" s="320"/>
      <c r="CH387" s="320"/>
      <c r="CI387" s="481"/>
      <c r="CJ387" s="320"/>
      <c r="CK387" s="481"/>
      <c r="CL387" s="481"/>
      <c r="CM387" s="481"/>
      <c r="CN387" s="481"/>
    </row>
    <row r="388" spans="1:92" outlineLevel="1">
      <c r="A388" s="171"/>
      <c r="B388" s="834"/>
      <c r="C388" s="965"/>
      <c r="D388" s="279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1010"/>
      <c r="W388" s="1010"/>
      <c r="X388" s="279"/>
      <c r="Y388" s="1010"/>
      <c r="Z388" s="1010"/>
      <c r="AA388" s="279"/>
      <c r="AB388" s="1010"/>
      <c r="AC388" s="1010"/>
      <c r="AD388" s="279"/>
      <c r="AE388" s="1010"/>
      <c r="AF388" s="1010"/>
      <c r="AG388" s="279"/>
      <c r="AH388" s="1127"/>
      <c r="AI388" s="566"/>
      <c r="AJ388" s="1127"/>
      <c r="AK388" s="1127"/>
      <c r="AL388" s="581"/>
      <c r="AM388" s="626"/>
      <c r="AN388" s="1241"/>
      <c r="AO388" s="263"/>
      <c r="AP388" s="1241"/>
      <c r="AQ388" s="1384"/>
      <c r="AR388" s="263"/>
      <c r="AS388" s="265"/>
      <c r="AT388" s="287"/>
      <c r="AU388" s="263"/>
      <c r="AV388" s="265"/>
      <c r="AW388" s="287"/>
      <c r="AX388" s="263"/>
      <c r="AY388" s="265"/>
      <c r="AZ388" s="287"/>
      <c r="BA388" s="263"/>
      <c r="BB388" s="265"/>
      <c r="BC388" s="664"/>
      <c r="BD388" s="320"/>
      <c r="BE388" s="320"/>
      <c r="BF388" s="320"/>
      <c r="BG388" s="320"/>
      <c r="BH388" s="318"/>
      <c r="BI388" s="322"/>
      <c r="BJ388" s="322"/>
      <c r="BK388" s="320"/>
      <c r="BL388" s="320"/>
      <c r="BM388" s="320"/>
      <c r="BN388" s="320"/>
      <c r="BO388" s="320"/>
      <c r="BP388" s="320"/>
      <c r="BQ388" s="320"/>
      <c r="BR388" s="320"/>
      <c r="BS388" s="320"/>
      <c r="BT388" s="320"/>
      <c r="BU388" s="320"/>
      <c r="BV388" s="320"/>
      <c r="BW388" s="320"/>
      <c r="BX388" s="320"/>
      <c r="BY388" s="320"/>
      <c r="BZ388" s="320"/>
      <c r="CA388" s="320"/>
      <c r="CB388" s="320"/>
      <c r="CC388" s="320"/>
      <c r="CD388" s="320"/>
      <c r="CE388" s="320"/>
      <c r="CF388" s="320"/>
      <c r="CG388" s="320"/>
      <c r="CH388" s="320"/>
      <c r="CI388" s="481"/>
      <c r="CJ388" s="320"/>
      <c r="CK388" s="481"/>
      <c r="CL388" s="481"/>
      <c r="CM388" s="481"/>
      <c r="CN388" s="481"/>
    </row>
    <row r="389" spans="1:92" outlineLevel="1">
      <c r="A389" s="171"/>
      <c r="B389" s="834" t="s">
        <v>965</v>
      </c>
      <c r="C389" s="965"/>
      <c r="D389" s="279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1010"/>
      <c r="W389" s="1010"/>
      <c r="X389" s="279"/>
      <c r="Y389" s="1010"/>
      <c r="Z389" s="1010"/>
      <c r="AA389" s="279"/>
      <c r="AB389" s="1010"/>
      <c r="AC389" s="1010"/>
      <c r="AD389" s="279"/>
      <c r="AE389" s="1010"/>
      <c r="AF389" s="1010"/>
      <c r="AG389" s="279"/>
      <c r="AH389" s="1127"/>
      <c r="AI389" s="566"/>
      <c r="AJ389" s="1127"/>
      <c r="AK389" s="1127"/>
      <c r="AL389" s="581"/>
      <c r="AM389" s="1437">
        <f>30%*-AM372+AM378</f>
        <v>15.410000000000002</v>
      </c>
      <c r="AN389" s="1621">
        <f>+AN386-AN393</f>
        <v>2.6999999999999997</v>
      </c>
      <c r="AO389" s="1440">
        <f>+AP389-AN389</f>
        <v>4.9000000000000004</v>
      </c>
      <c r="AP389" s="1727">
        <f>AP386-AP393</f>
        <v>7.6000000000000005</v>
      </c>
      <c r="AQ389" s="1765">
        <f>+AQ386-AQ393</f>
        <v>5.0999999999999996</v>
      </c>
      <c r="AR389" s="1440">
        <f t="shared" ref="AR389" si="1726">+AS389-AQ389</f>
        <v>4.6164157458563526</v>
      </c>
      <c r="AS389" s="1437">
        <f t="shared" ref="AS389:AT389" si="1727">AS390*AS363</f>
        <v>9.7164157458563523</v>
      </c>
      <c r="AT389" s="1437">
        <f t="shared" si="1727"/>
        <v>5.2529999999999992</v>
      </c>
      <c r="AU389" s="1440">
        <f t="shared" ref="AU389" si="1728">+AV389-AT389</f>
        <v>4.7549082182320435</v>
      </c>
      <c r="AV389" s="1437">
        <f t="shared" ref="AV389:AW389" si="1729">AV390*AV363</f>
        <v>10.007908218232043</v>
      </c>
      <c r="AW389" s="1437">
        <f t="shared" si="1729"/>
        <v>5.4105899999999991</v>
      </c>
      <c r="AX389" s="1440">
        <f t="shared" ref="AX389" si="1730">+AY389-AW389</f>
        <v>4.8975554647790034</v>
      </c>
      <c r="AY389" s="1437">
        <f t="shared" ref="AY389:AZ389" si="1731">AY390*AY363</f>
        <v>10.308145464779003</v>
      </c>
      <c r="AZ389" s="1437">
        <f t="shared" si="1731"/>
        <v>5.5729076999999991</v>
      </c>
      <c r="BA389" s="1440">
        <f t="shared" ref="BA389" si="1732">+BB389-AZ389</f>
        <v>5.0444821287223744</v>
      </c>
      <c r="BB389" s="1437">
        <f t="shared" ref="BB389" si="1733">BB390*BB363</f>
        <v>10.617389828722374</v>
      </c>
      <c r="BC389" s="664"/>
      <c r="BD389" s="320"/>
      <c r="BE389" s="320"/>
      <c r="BF389" s="320"/>
      <c r="BG389" s="320"/>
      <c r="BH389" s="318"/>
      <c r="BI389" s="322"/>
      <c r="BJ389" s="322"/>
      <c r="BK389" s="320"/>
      <c r="BL389" s="320"/>
      <c r="BM389" s="320"/>
      <c r="BN389" s="320"/>
      <c r="BO389" s="320"/>
      <c r="BP389" s="320"/>
      <c r="BQ389" s="320"/>
      <c r="BR389" s="320"/>
      <c r="BS389" s="320"/>
      <c r="BT389" s="320"/>
      <c r="BU389" s="320"/>
      <c r="BV389" s="320"/>
      <c r="BW389" s="320"/>
      <c r="BX389" s="320"/>
      <c r="BY389" s="320"/>
      <c r="BZ389" s="320"/>
      <c r="CA389" s="320"/>
      <c r="CB389" s="320"/>
      <c r="CC389" s="320"/>
      <c r="CD389" s="320"/>
      <c r="CE389" s="320"/>
      <c r="CF389" s="320"/>
      <c r="CG389" s="320"/>
      <c r="CH389" s="320"/>
      <c r="CI389" s="481"/>
      <c r="CJ389" s="320"/>
      <c r="CK389" s="481"/>
      <c r="CL389" s="481"/>
      <c r="CM389" s="481"/>
      <c r="CN389" s="481"/>
    </row>
    <row r="390" spans="1:92" outlineLevel="1">
      <c r="A390" s="171"/>
      <c r="B390" s="1080" t="s">
        <v>416</v>
      </c>
      <c r="C390" s="965"/>
      <c r="D390" s="279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1010"/>
      <c r="W390" s="1010"/>
      <c r="X390" s="279"/>
      <c r="Y390" s="1010"/>
      <c r="Z390" s="1010"/>
      <c r="AA390" s="279"/>
      <c r="AB390" s="1010"/>
      <c r="AC390" s="1010"/>
      <c r="AD390" s="279"/>
      <c r="AE390" s="1010"/>
      <c r="AF390" s="1010"/>
      <c r="AG390" s="279"/>
      <c r="AH390" s="1127"/>
      <c r="AI390" s="566"/>
      <c r="AJ390" s="1127"/>
      <c r="AK390" s="1127"/>
      <c r="AL390" s="581"/>
      <c r="AM390" s="1593">
        <f>AM389/AM363</f>
        <v>6.7000000000000004E-2</v>
      </c>
      <c r="AN390" s="137">
        <f>AN389/AN363</f>
        <v>2.9252437703141926E-2</v>
      </c>
      <c r="AO390" s="284">
        <f>AO389/AO363</f>
        <v>3.6869826937547034E-2</v>
      </c>
      <c r="AP390" s="1622">
        <f>AP389/AP363</f>
        <v>3.3747779751332155E-2</v>
      </c>
      <c r="AQ390" s="1315">
        <f>AQ389/AQ363</f>
        <v>3.5220994475138115E-2</v>
      </c>
      <c r="AR390" s="263">
        <f t="shared" ref="AR390" si="1734">AR389/AR363</f>
        <v>3.5220994475138115E-2</v>
      </c>
      <c r="AS390" s="265">
        <f t="shared" ref="AS390" si="1735">+AQ390</f>
        <v>3.5220994475138115E-2</v>
      </c>
      <c r="AT390" s="287">
        <f t="shared" ref="AT390" si="1736">+AS390</f>
        <v>3.5220994475138115E-2</v>
      </c>
      <c r="AU390" s="263">
        <f t="shared" ref="AU390" si="1737">AU389/AU363</f>
        <v>3.5220994475138122E-2</v>
      </c>
      <c r="AV390" s="265">
        <f t="shared" ref="AV390" si="1738">+AT390</f>
        <v>3.5220994475138115E-2</v>
      </c>
      <c r="AW390" s="287">
        <f t="shared" ref="AW390" si="1739">+AV390</f>
        <v>3.5220994475138115E-2</v>
      </c>
      <c r="AX390" s="263">
        <f t="shared" ref="AX390" si="1740">AX389/AX363</f>
        <v>3.5220994475138115E-2</v>
      </c>
      <c r="AY390" s="265">
        <f t="shared" ref="AY390" si="1741">+AW390</f>
        <v>3.5220994475138115E-2</v>
      </c>
      <c r="AZ390" s="287">
        <f t="shared" ref="AZ390" si="1742">+AY390</f>
        <v>3.5220994475138115E-2</v>
      </c>
      <c r="BA390" s="263">
        <f t="shared" ref="BA390" si="1743">BA389/BA363</f>
        <v>3.5220994475138115E-2</v>
      </c>
      <c r="BB390" s="265">
        <f t="shared" ref="BB390" si="1744">+AZ390</f>
        <v>3.5220994475138115E-2</v>
      </c>
      <c r="BC390" s="179"/>
      <c r="BD390" s="320"/>
      <c r="BE390" s="320"/>
      <c r="BF390" s="320"/>
      <c r="BG390" s="320"/>
      <c r="BH390" s="318"/>
      <c r="BI390" s="322"/>
      <c r="BJ390" s="322"/>
      <c r="BK390" s="320"/>
      <c r="BL390" s="320"/>
      <c r="BM390" s="320"/>
      <c r="BN390" s="320"/>
      <c r="BO390" s="320"/>
      <c r="BP390" s="320"/>
      <c r="BQ390" s="320"/>
      <c r="BR390" s="320"/>
      <c r="BS390" s="320"/>
      <c r="BT390" s="320"/>
      <c r="BU390" s="320"/>
      <c r="BV390" s="320"/>
      <c r="BW390" s="320"/>
      <c r="BX390" s="320"/>
      <c r="BY390" s="320"/>
      <c r="BZ390" s="320"/>
      <c r="CA390" s="320"/>
      <c r="CB390" s="320"/>
      <c r="CC390" s="320"/>
      <c r="CD390" s="320"/>
      <c r="CE390" s="320"/>
      <c r="CF390" s="320"/>
      <c r="CG390" s="320"/>
      <c r="CH390" s="320"/>
      <c r="CI390" s="481"/>
      <c r="CJ390" s="320"/>
      <c r="CK390" s="481"/>
      <c r="CL390" s="481"/>
      <c r="CM390" s="481"/>
      <c r="CN390" s="481"/>
    </row>
    <row r="391" spans="1:92" outlineLevel="1">
      <c r="A391" s="171"/>
      <c r="B391" s="1080"/>
      <c r="C391" s="965"/>
      <c r="D391" s="279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1010"/>
      <c r="W391" s="1010"/>
      <c r="X391" s="279"/>
      <c r="Y391" s="1010"/>
      <c r="Z391" s="1010"/>
      <c r="AA391" s="279"/>
      <c r="AB391" s="1010"/>
      <c r="AC391" s="1010"/>
      <c r="AD391" s="279"/>
      <c r="AE391" s="1010"/>
      <c r="AF391" s="1010"/>
      <c r="AG391" s="279"/>
      <c r="AH391" s="1127"/>
      <c r="AI391" s="566"/>
      <c r="AJ391" s="1127"/>
      <c r="AK391" s="1127"/>
      <c r="AL391" s="581"/>
      <c r="AM391" s="1127"/>
      <c r="AN391" s="646"/>
      <c r="AO391" s="293"/>
      <c r="AP391" s="1241"/>
      <c r="AQ391" s="1374"/>
      <c r="AR391" s="263"/>
      <c r="AS391" s="265"/>
      <c r="AT391" s="265"/>
      <c r="AU391" s="263"/>
      <c r="AV391" s="265"/>
      <c r="AW391" s="265"/>
      <c r="AX391" s="263"/>
      <c r="AY391" s="265"/>
      <c r="AZ391" s="265"/>
      <c r="BA391" s="263"/>
      <c r="BB391" s="265"/>
      <c r="BC391" s="179"/>
      <c r="BD391" s="320"/>
      <c r="BE391" s="320"/>
      <c r="BF391" s="320"/>
      <c r="BG391" s="320"/>
      <c r="BH391" s="318"/>
      <c r="BI391" s="322"/>
      <c r="BJ391" s="322"/>
      <c r="BK391" s="320"/>
      <c r="BL391" s="320"/>
      <c r="BM391" s="320"/>
      <c r="BN391" s="320"/>
      <c r="BO391" s="320"/>
      <c r="BP391" s="320"/>
      <c r="BQ391" s="320"/>
      <c r="BR391" s="320"/>
      <c r="BS391" s="320"/>
      <c r="BT391" s="320"/>
      <c r="BU391" s="320"/>
      <c r="BV391" s="320"/>
      <c r="BW391" s="320"/>
      <c r="BX391" s="320"/>
      <c r="BY391" s="320"/>
      <c r="BZ391" s="320"/>
      <c r="CA391" s="320"/>
      <c r="CB391" s="320"/>
      <c r="CC391" s="320"/>
      <c r="CD391" s="320"/>
      <c r="CE391" s="320"/>
      <c r="CF391" s="320"/>
      <c r="CG391" s="320"/>
      <c r="CH391" s="320"/>
      <c r="CI391" s="481"/>
      <c r="CJ391" s="320"/>
      <c r="CK391" s="481"/>
      <c r="CL391" s="481"/>
      <c r="CM391" s="481"/>
      <c r="CN391" s="481"/>
    </row>
    <row r="392" spans="1:92" outlineLevel="1">
      <c r="A392" s="171"/>
      <c r="B392" s="1080"/>
      <c r="C392" s="965"/>
      <c r="D392" s="279"/>
      <c r="E392" s="279"/>
      <c r="F392" s="279"/>
      <c r="G392" s="279"/>
      <c r="H392" s="279"/>
      <c r="I392" s="279"/>
      <c r="J392" s="279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279"/>
      <c r="V392" s="1010"/>
      <c r="W392" s="1010"/>
      <c r="X392" s="279"/>
      <c r="Y392" s="1010"/>
      <c r="Z392" s="1010"/>
      <c r="AA392" s="279"/>
      <c r="AB392" s="1010"/>
      <c r="AC392" s="1010"/>
      <c r="AD392" s="279"/>
      <c r="AE392" s="1010"/>
      <c r="AF392" s="1010"/>
      <c r="AG392" s="279"/>
      <c r="AH392" s="1127"/>
      <c r="AI392" s="566"/>
      <c r="AJ392" s="1127"/>
      <c r="AK392" s="1127"/>
      <c r="AL392" s="581"/>
      <c r="AM392" s="1127"/>
      <c r="AN392" s="646"/>
      <c r="AO392" s="293"/>
      <c r="AP392" s="1241"/>
      <c r="AQ392" s="1374"/>
      <c r="AR392" s="263"/>
      <c r="AS392" s="265"/>
      <c r="AT392" s="265"/>
      <c r="AU392" s="263"/>
      <c r="AV392" s="265"/>
      <c r="AW392" s="265"/>
      <c r="AX392" s="263"/>
      <c r="AY392" s="265"/>
      <c r="AZ392" s="265"/>
      <c r="BA392" s="263"/>
      <c r="BB392" s="265"/>
      <c r="BC392" s="179"/>
      <c r="BD392" s="320"/>
      <c r="BE392" s="320"/>
      <c r="BF392" s="320"/>
      <c r="BG392" s="320"/>
      <c r="BH392" s="318"/>
      <c r="BI392" s="322"/>
      <c r="BJ392" s="322"/>
      <c r="BK392" s="320"/>
      <c r="BL392" s="320"/>
      <c r="BM392" s="320"/>
      <c r="BN392" s="320"/>
      <c r="BO392" s="320"/>
      <c r="BP392" s="320"/>
      <c r="BQ392" s="320"/>
      <c r="BR392" s="320"/>
      <c r="BS392" s="320"/>
      <c r="BT392" s="320"/>
      <c r="BU392" s="320"/>
      <c r="BV392" s="320"/>
      <c r="BW392" s="320"/>
      <c r="BX392" s="320"/>
      <c r="BY392" s="320"/>
      <c r="BZ392" s="320"/>
      <c r="CA392" s="320"/>
      <c r="CB392" s="320"/>
      <c r="CC392" s="320"/>
      <c r="CD392" s="320"/>
      <c r="CE392" s="320"/>
      <c r="CF392" s="320"/>
      <c r="CG392" s="320"/>
      <c r="CH392" s="320"/>
      <c r="CI392" s="481"/>
      <c r="CJ392" s="320"/>
      <c r="CK392" s="481"/>
      <c r="CL392" s="481"/>
      <c r="CM392" s="481"/>
      <c r="CN392" s="481"/>
    </row>
    <row r="393" spans="1:92" outlineLevel="1">
      <c r="A393" s="171" t="s">
        <v>981</v>
      </c>
      <c r="B393" s="834" t="s">
        <v>165</v>
      </c>
      <c r="C393" s="965"/>
      <c r="D393" s="279"/>
      <c r="E393" s="279"/>
      <c r="F393" s="279"/>
      <c r="G393" s="279"/>
      <c r="H393" s="279"/>
      <c r="I393" s="279"/>
      <c r="J393" s="279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279"/>
      <c r="V393" s="1010"/>
      <c r="W393" s="1010"/>
      <c r="X393" s="279"/>
      <c r="Y393" s="1010"/>
      <c r="Z393" s="1010"/>
      <c r="AA393" s="279"/>
      <c r="AB393" s="1010"/>
      <c r="AC393" s="1010"/>
      <c r="AD393" s="279"/>
      <c r="AE393" s="1010"/>
      <c r="AF393" s="1010"/>
      <c r="AG393" s="279"/>
      <c r="AH393" s="1127"/>
      <c r="AI393" s="566"/>
      <c r="AJ393" s="1127"/>
      <c r="AK393" s="1127"/>
      <c r="AL393" s="581"/>
      <c r="AM393" s="1594">
        <f>AM386-AM389</f>
        <v>4.5999999999999996</v>
      </c>
      <c r="AN393" s="1916">
        <v>1.9</v>
      </c>
      <c r="AO393" s="1433">
        <f>+AP393-AN393</f>
        <v>2.3000000000000003</v>
      </c>
      <c r="AP393" s="1728">
        <v>4.2</v>
      </c>
      <c r="AQ393" s="1766">
        <v>1.7</v>
      </c>
      <c r="AR393" s="1433">
        <f t="shared" ref="AR393" si="1745">+AS393-AQ393</f>
        <v>1.5388052486187747</v>
      </c>
      <c r="AS393" s="1433">
        <f>AS386-AS389</f>
        <v>3.2388052486187746</v>
      </c>
      <c r="AT393" s="1433">
        <f t="shared" ref="AT393" si="1746">AT386-AT389</f>
        <v>1.7509999999999986</v>
      </c>
      <c r="AU393" s="1433">
        <f t="shared" ref="AU393" si="1747">+AV393-AT393</f>
        <v>1.5849694060773443</v>
      </c>
      <c r="AV393" s="1433">
        <f t="shared" ref="AV393:AW393" si="1748">AV386-AV389</f>
        <v>3.3359694060773428</v>
      </c>
      <c r="AW393" s="1433">
        <f t="shared" si="1748"/>
        <v>1.8035300000000021</v>
      </c>
      <c r="AX393" s="1433">
        <f t="shared" ref="AX393" si="1749">+AY393-AW393</f>
        <v>1.6325184882596702</v>
      </c>
      <c r="AY393" s="1433">
        <f t="shared" ref="AY393:AZ393" si="1750">AY386-AY389</f>
        <v>3.4360484882596722</v>
      </c>
      <c r="AZ393" s="1433">
        <f t="shared" si="1750"/>
        <v>1.8576359000000009</v>
      </c>
      <c r="BA393" s="1433">
        <f t="shared" ref="BA393" si="1751">+BB393-AZ393</f>
        <v>1.681494042907457</v>
      </c>
      <c r="BB393" s="1433">
        <f t="shared" ref="BB393" si="1752">BB386-BB389</f>
        <v>3.5391299429074579</v>
      </c>
      <c r="BC393" s="179"/>
      <c r="BD393" s="320"/>
      <c r="BE393" s="320"/>
      <c r="BF393" s="320"/>
      <c r="BG393" s="320"/>
      <c r="BH393" s="318"/>
      <c r="BI393" s="322"/>
      <c r="BJ393" s="322"/>
      <c r="BK393" s="320"/>
      <c r="BL393" s="320"/>
      <c r="BM393" s="320"/>
      <c r="BN393" s="320"/>
      <c r="BO393" s="320"/>
      <c r="BP393" s="320"/>
      <c r="BQ393" s="320"/>
      <c r="BR393" s="320"/>
      <c r="BS393" s="320"/>
      <c r="BT393" s="320"/>
      <c r="BU393" s="320"/>
      <c r="BV393" s="320"/>
      <c r="BW393" s="320"/>
      <c r="BX393" s="320"/>
      <c r="BY393" s="320"/>
      <c r="BZ393" s="320"/>
      <c r="CA393" s="320"/>
      <c r="CB393" s="320"/>
      <c r="CC393" s="320"/>
      <c r="CD393" s="320"/>
      <c r="CE393" s="320"/>
      <c r="CF393" s="320"/>
      <c r="CG393" s="320"/>
      <c r="CH393" s="320"/>
      <c r="CI393" s="481"/>
      <c r="CJ393" s="320"/>
      <c r="CK393" s="481"/>
      <c r="CL393" s="481"/>
      <c r="CM393" s="481"/>
      <c r="CN393" s="481"/>
    </row>
    <row r="394" spans="1:92" outlineLevel="1">
      <c r="A394" s="171"/>
      <c r="B394" s="963" t="s">
        <v>966</v>
      </c>
      <c r="C394" s="965"/>
      <c r="D394" s="279"/>
      <c r="E394" s="279"/>
      <c r="F394" s="279"/>
      <c r="G394" s="279"/>
      <c r="H394" s="279"/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279"/>
      <c r="V394" s="1010"/>
      <c r="W394" s="1010"/>
      <c r="X394" s="279"/>
      <c r="Y394" s="1010"/>
      <c r="Z394" s="1010"/>
      <c r="AA394" s="279"/>
      <c r="AB394" s="1010"/>
      <c r="AC394" s="1010"/>
      <c r="AD394" s="279"/>
      <c r="AE394" s="1010"/>
      <c r="AF394" s="1010"/>
      <c r="AG394" s="279"/>
      <c r="AH394" s="1127"/>
      <c r="AI394" s="566"/>
      <c r="AJ394" s="1127"/>
      <c r="AK394" s="1127"/>
      <c r="AL394" s="581"/>
      <c r="AM394" s="1438">
        <f>AM393/AM363</f>
        <v>1.9999999999999997E-2</v>
      </c>
      <c r="AN394" s="137">
        <f t="shared" ref="AN394:BB394" si="1753">+AN393/AN363</f>
        <v>2.0585048754062838E-2</v>
      </c>
      <c r="AO394" s="263">
        <f t="shared" si="1753"/>
        <v>1.7306245297215958E-2</v>
      </c>
      <c r="AP394" s="1622">
        <f t="shared" si="1753"/>
        <v>1.8650088809946716E-2</v>
      </c>
      <c r="AQ394" s="1315">
        <f t="shared" ref="AQ394" si="1754">+AQ393/AQ363</f>
        <v>1.1740331491712707E-2</v>
      </c>
      <c r="AR394" s="263">
        <f t="shared" si="1753"/>
        <v>1.1740331491712632E-2</v>
      </c>
      <c r="AS394" s="1445">
        <f t="shared" si="1753"/>
        <v>1.174033149171267E-2</v>
      </c>
      <c r="AT394" s="263">
        <f t="shared" si="1753"/>
        <v>1.1740331491712696E-2</v>
      </c>
      <c r="AU394" s="263">
        <f t="shared" si="1753"/>
        <v>1.1740331491712681E-2</v>
      </c>
      <c r="AV394" s="1445">
        <f t="shared" si="1753"/>
        <v>1.1740331491712689E-2</v>
      </c>
      <c r="AW394" s="263">
        <f t="shared" si="1753"/>
        <v>1.1740331491712721E-2</v>
      </c>
      <c r="AX394" s="263">
        <f t="shared" si="1753"/>
        <v>1.1740331491712721E-2</v>
      </c>
      <c r="AY394" s="1445">
        <f t="shared" si="1753"/>
        <v>1.1740331491712721E-2</v>
      </c>
      <c r="AZ394" s="263">
        <f t="shared" si="1753"/>
        <v>1.1740331491712712E-2</v>
      </c>
      <c r="BA394" s="263">
        <f t="shared" si="1753"/>
        <v>1.1740331491712696E-2</v>
      </c>
      <c r="BB394" s="1445">
        <f t="shared" si="1753"/>
        <v>1.1740331491712705E-2</v>
      </c>
      <c r="BC394" s="179"/>
      <c r="BD394" s="320"/>
      <c r="BE394" s="320"/>
      <c r="BF394" s="320"/>
      <c r="BG394" s="320"/>
      <c r="BH394" s="318"/>
      <c r="BI394" s="322"/>
      <c r="BJ394" s="322"/>
      <c r="BK394" s="320"/>
      <c r="BL394" s="320"/>
      <c r="BM394" s="320"/>
      <c r="BN394" s="320"/>
      <c r="BO394" s="320"/>
      <c r="BP394" s="320"/>
      <c r="BQ394" s="320"/>
      <c r="BR394" s="320"/>
      <c r="BS394" s="320"/>
      <c r="BT394" s="320"/>
      <c r="BU394" s="320"/>
      <c r="BV394" s="320"/>
      <c r="BW394" s="320"/>
      <c r="BX394" s="320"/>
      <c r="BY394" s="320"/>
      <c r="BZ394" s="320"/>
      <c r="CA394" s="320"/>
      <c r="CB394" s="320"/>
      <c r="CC394" s="320"/>
      <c r="CD394" s="320"/>
      <c r="CE394" s="320"/>
      <c r="CF394" s="320"/>
      <c r="CG394" s="320"/>
      <c r="CH394" s="320"/>
      <c r="CI394" s="481"/>
      <c r="CJ394" s="320"/>
      <c r="CK394" s="481"/>
      <c r="CL394" s="481"/>
      <c r="CM394" s="481"/>
      <c r="CN394" s="481"/>
    </row>
    <row r="395" spans="1:92" outlineLevel="1">
      <c r="A395" s="171"/>
      <c r="B395" s="963"/>
      <c r="C395" s="965"/>
      <c r="D395" s="279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279"/>
      <c r="V395" s="1010"/>
      <c r="W395" s="1010"/>
      <c r="X395" s="279"/>
      <c r="Y395" s="1010"/>
      <c r="Z395" s="1010"/>
      <c r="AA395" s="279"/>
      <c r="AB395" s="1010"/>
      <c r="AC395" s="1010"/>
      <c r="AD395" s="279"/>
      <c r="AE395" s="1010"/>
      <c r="AF395" s="1010"/>
      <c r="AG395" s="279"/>
      <c r="AH395" s="1127"/>
      <c r="AI395" s="566"/>
      <c r="AJ395" s="1127"/>
      <c r="AK395" s="1127"/>
      <c r="AL395" s="581"/>
      <c r="AM395" s="1127"/>
      <c r="AN395" s="646"/>
      <c r="AO395" s="293"/>
      <c r="AP395" s="1241"/>
      <c r="AQ395" s="1374"/>
      <c r="AR395" s="263"/>
      <c r="AS395" s="265"/>
      <c r="AT395" s="265"/>
      <c r="AU395" s="263"/>
      <c r="AV395" s="265"/>
      <c r="AW395" s="265"/>
      <c r="AX395" s="263"/>
      <c r="AY395" s="265"/>
      <c r="AZ395" s="265"/>
      <c r="BA395" s="263"/>
      <c r="BB395" s="265"/>
      <c r="BC395" s="179"/>
      <c r="BD395" s="320"/>
      <c r="BE395" s="320"/>
      <c r="BF395" s="320"/>
      <c r="BG395" s="320"/>
      <c r="BH395" s="318"/>
      <c r="BI395" s="322"/>
      <c r="BJ395" s="322"/>
      <c r="BK395" s="320"/>
      <c r="BL395" s="320"/>
      <c r="BM395" s="320"/>
      <c r="BN395" s="320"/>
      <c r="BO395" s="320"/>
      <c r="BP395" s="320"/>
      <c r="BQ395" s="320"/>
      <c r="BR395" s="320"/>
      <c r="BS395" s="320"/>
      <c r="BT395" s="320"/>
      <c r="BU395" s="320"/>
      <c r="BV395" s="320"/>
      <c r="BW395" s="320"/>
      <c r="BX395" s="320"/>
      <c r="BY395" s="320"/>
      <c r="BZ395" s="320"/>
      <c r="CA395" s="320"/>
      <c r="CB395" s="320"/>
      <c r="CC395" s="320"/>
      <c r="CD395" s="320"/>
      <c r="CE395" s="320"/>
      <c r="CF395" s="320"/>
      <c r="CG395" s="320"/>
      <c r="CH395" s="320"/>
      <c r="CI395" s="481"/>
      <c r="CJ395" s="320"/>
      <c r="CK395" s="481"/>
      <c r="CL395" s="481"/>
      <c r="CM395" s="481"/>
      <c r="CN395" s="481"/>
    </row>
    <row r="396" spans="1:92" outlineLevel="1">
      <c r="A396" s="171"/>
      <c r="B396" s="980"/>
      <c r="C396" s="965"/>
      <c r="D396" s="279"/>
      <c r="E396" s="279"/>
      <c r="F396" s="279"/>
      <c r="G396" s="279"/>
      <c r="H396" s="279"/>
      <c r="I396" s="279"/>
      <c r="J396" s="279"/>
      <c r="K396" s="279"/>
      <c r="L396" s="279"/>
      <c r="M396" s="279"/>
      <c r="N396" s="279"/>
      <c r="O396" s="279"/>
      <c r="P396" s="279"/>
      <c r="Q396" s="279"/>
      <c r="R396" s="279"/>
      <c r="S396" s="279"/>
      <c r="T396" s="279"/>
      <c r="U396" s="279"/>
      <c r="V396" s="1010"/>
      <c r="W396" s="1010"/>
      <c r="X396" s="279"/>
      <c r="Y396" s="1010"/>
      <c r="Z396" s="1010"/>
      <c r="AA396" s="279"/>
      <c r="AB396" s="1010"/>
      <c r="AC396" s="1010"/>
      <c r="AD396" s="279"/>
      <c r="AE396" s="1010"/>
      <c r="AF396" s="1010"/>
      <c r="AG396" s="279"/>
      <c r="AH396" s="1127"/>
      <c r="AI396" s="566"/>
      <c r="AJ396" s="1127"/>
      <c r="AK396" s="1127"/>
      <c r="AL396" s="581"/>
      <c r="AM396" s="1127"/>
      <c r="AN396" s="646"/>
      <c r="AO396" s="293"/>
      <c r="AP396" s="1241"/>
      <c r="AQ396" s="1374"/>
      <c r="AR396" s="263"/>
      <c r="AS396" s="265"/>
      <c r="AT396" s="265"/>
      <c r="AU396" s="263"/>
      <c r="AV396" s="265"/>
      <c r="AW396" s="265"/>
      <c r="AX396" s="263"/>
      <c r="AY396" s="265"/>
      <c r="AZ396" s="265"/>
      <c r="BA396" s="263"/>
      <c r="BB396" s="265"/>
      <c r="BC396" s="179"/>
      <c r="BD396" s="320"/>
      <c r="BE396" s="320"/>
      <c r="BF396" s="320"/>
      <c r="BG396" s="320"/>
      <c r="BH396" s="318"/>
      <c r="BI396" s="322"/>
      <c r="BJ396" s="322"/>
      <c r="BK396" s="320"/>
      <c r="BL396" s="320"/>
      <c r="BM396" s="320"/>
      <c r="BN396" s="320"/>
      <c r="BO396" s="320"/>
      <c r="BP396" s="320"/>
      <c r="BQ396" s="320"/>
      <c r="BR396" s="320"/>
      <c r="BS396" s="320"/>
      <c r="BT396" s="320"/>
      <c r="BU396" s="320"/>
      <c r="BV396" s="320"/>
      <c r="BW396" s="320"/>
      <c r="BX396" s="320"/>
      <c r="BY396" s="320"/>
      <c r="BZ396" s="320"/>
      <c r="CA396" s="320"/>
      <c r="CB396" s="320"/>
      <c r="CC396" s="320"/>
      <c r="CD396" s="320"/>
      <c r="CE396" s="320"/>
      <c r="CF396" s="320"/>
      <c r="CG396" s="320"/>
      <c r="CH396" s="320"/>
      <c r="CI396" s="481"/>
      <c r="CJ396" s="320"/>
      <c r="CK396" s="481"/>
      <c r="CL396" s="481"/>
      <c r="CM396" s="481"/>
      <c r="CN396" s="481"/>
    </row>
    <row r="397" spans="1:92" outlineLevel="1">
      <c r="A397" s="171"/>
      <c r="B397" s="834" t="s">
        <v>967</v>
      </c>
      <c r="C397" s="965"/>
      <c r="D397" s="279"/>
      <c r="E397" s="279"/>
      <c r="F397" s="279"/>
      <c r="G397" s="279"/>
      <c r="H397" s="279"/>
      <c r="I397" s="279"/>
      <c r="J397" s="279"/>
      <c r="K397" s="279"/>
      <c r="L397" s="279"/>
      <c r="M397" s="279"/>
      <c r="N397" s="279"/>
      <c r="O397" s="279"/>
      <c r="P397" s="279"/>
      <c r="Q397" s="279"/>
      <c r="R397" s="279"/>
      <c r="S397" s="279"/>
      <c r="T397" s="279"/>
      <c r="U397" s="279"/>
      <c r="V397" s="1010"/>
      <c r="W397" s="1010"/>
      <c r="X397" s="279"/>
      <c r="Y397" s="1010"/>
      <c r="Z397" s="1010"/>
      <c r="AA397" s="279"/>
      <c r="AB397" s="1010"/>
      <c r="AC397" s="1010"/>
      <c r="AD397" s="279"/>
      <c r="AE397" s="1010"/>
      <c r="AF397" s="1010"/>
      <c r="AG397" s="279"/>
      <c r="AH397" s="1127"/>
      <c r="AI397" s="566"/>
      <c r="AJ397" s="1127"/>
      <c r="AK397" s="1127"/>
      <c r="AL397" s="581"/>
      <c r="AM397" s="1127"/>
      <c r="AN397" s="1637">
        <f>(1-0.3)*AN393</f>
        <v>1.3299999999999998</v>
      </c>
      <c r="AO397" s="1448">
        <f>+AP397-AN397</f>
        <v>1.61</v>
      </c>
      <c r="AP397" s="1637">
        <f>(1-0.3)*AP393</f>
        <v>2.94</v>
      </c>
      <c r="AQ397" s="1613">
        <f>(1-0.3)*AQ393</f>
        <v>1.19</v>
      </c>
      <c r="AR397" s="1448">
        <f t="shared" ref="AR397" si="1755">+AS397-AQ397</f>
        <v>1.0771636740331423</v>
      </c>
      <c r="AS397" s="1448">
        <f t="shared" ref="AS397" si="1756">(1-0.3)*AS393</f>
        <v>2.2671636740331422</v>
      </c>
      <c r="AT397" s="1448">
        <f>(1-0.3)*AT393</f>
        <v>1.2256999999999989</v>
      </c>
      <c r="AU397" s="1448">
        <f t="shared" ref="AU397" si="1757">+AV397-AT397</f>
        <v>1.1094785842541408</v>
      </c>
      <c r="AV397" s="1448">
        <f t="shared" ref="AV397:AW397" si="1758">(1-0.3)*AV393</f>
        <v>2.3351785842541397</v>
      </c>
      <c r="AW397" s="1448">
        <f t="shared" si="1758"/>
        <v>1.2624710000000015</v>
      </c>
      <c r="AX397" s="1448">
        <f t="shared" ref="AX397" si="1759">+AY397-AW397</f>
        <v>1.1427629417817688</v>
      </c>
      <c r="AY397" s="1448">
        <f t="shared" ref="AY397:AZ397" si="1760">(1-0.3)*AY393</f>
        <v>2.4052339417817703</v>
      </c>
      <c r="AZ397" s="1448">
        <f t="shared" si="1760"/>
        <v>1.3003451300000006</v>
      </c>
      <c r="BA397" s="1448">
        <f t="shared" ref="BA397" si="1761">+BB397-AZ397</f>
        <v>1.1770458300352198</v>
      </c>
      <c r="BB397" s="1448">
        <f t="shared" ref="BB397" si="1762">(1-0.3)*BB393</f>
        <v>2.4773909600352204</v>
      </c>
      <c r="BC397" s="179"/>
      <c r="BD397" s="320"/>
      <c r="BE397" s="320"/>
      <c r="BF397" s="320"/>
      <c r="BG397" s="320"/>
      <c r="BH397" s="318"/>
      <c r="BI397" s="322"/>
      <c r="BJ397" s="322"/>
      <c r="BK397" s="320"/>
      <c r="BL397" s="320"/>
      <c r="BM397" s="320"/>
      <c r="BN397" s="320"/>
      <c r="BO397" s="320"/>
      <c r="BP397" s="320"/>
      <c r="BQ397" s="320"/>
      <c r="BR397" s="320"/>
      <c r="BS397" s="320"/>
      <c r="BT397" s="320"/>
      <c r="BU397" s="320"/>
      <c r="BV397" s="320"/>
      <c r="BW397" s="320"/>
      <c r="BX397" s="320"/>
      <c r="BY397" s="320"/>
      <c r="BZ397" s="320"/>
      <c r="CA397" s="320"/>
      <c r="CB397" s="320"/>
      <c r="CC397" s="320"/>
      <c r="CD397" s="320"/>
      <c r="CE397" s="320"/>
      <c r="CF397" s="320"/>
      <c r="CG397" s="320"/>
      <c r="CH397" s="320"/>
      <c r="CI397" s="481"/>
      <c r="CJ397" s="320"/>
      <c r="CK397" s="481"/>
      <c r="CL397" s="481"/>
      <c r="CM397" s="481"/>
      <c r="CN397" s="481"/>
    </row>
    <row r="398" spans="1:92" outlineLevel="1">
      <c r="A398" s="171"/>
      <c r="B398" s="783"/>
      <c r="C398" s="965"/>
      <c r="D398" s="279"/>
      <c r="E398" s="279"/>
      <c r="F398" s="279"/>
      <c r="G398" s="279"/>
      <c r="H398" s="279"/>
      <c r="I398" s="279"/>
      <c r="J398" s="279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1010"/>
      <c r="W398" s="1010"/>
      <c r="X398" s="279"/>
      <c r="Y398" s="1010"/>
      <c r="Z398" s="1010"/>
      <c r="AA398" s="279"/>
      <c r="AB398" s="1010"/>
      <c r="AC398" s="1010"/>
      <c r="AD398" s="279"/>
      <c r="AE398" s="1010"/>
      <c r="AF398" s="1010"/>
      <c r="AG398" s="279"/>
      <c r="AH398" s="1127"/>
      <c r="AI398" s="566"/>
      <c r="AJ398" s="1127"/>
      <c r="AK398" s="1127"/>
      <c r="AL398" s="581"/>
      <c r="AM398" s="1127"/>
      <c r="AN398" s="646"/>
      <c r="AO398" s="293"/>
      <c r="AP398" s="1241"/>
      <c r="AQ398" s="1374"/>
      <c r="AR398" s="263"/>
      <c r="AS398" s="265"/>
      <c r="AT398" s="265"/>
      <c r="AU398" s="263"/>
      <c r="AV398" s="265"/>
      <c r="AW398" s="265"/>
      <c r="AX398" s="263"/>
      <c r="AY398" s="265"/>
      <c r="AZ398" s="265"/>
      <c r="BA398" s="263"/>
      <c r="BB398" s="265"/>
      <c r="BC398" s="179"/>
      <c r="BD398" s="320"/>
      <c r="BE398" s="320"/>
      <c r="BF398" s="320"/>
      <c r="BG398" s="320"/>
      <c r="BH398" s="318"/>
      <c r="BI398" s="322"/>
      <c r="BJ398" s="322"/>
      <c r="BK398" s="320"/>
      <c r="BL398" s="320"/>
      <c r="BM398" s="320"/>
      <c r="BN398" s="320"/>
      <c r="BO398" s="320"/>
      <c r="BP398" s="320"/>
      <c r="BQ398" s="320"/>
      <c r="BR398" s="320"/>
      <c r="BS398" s="320"/>
      <c r="BT398" s="320"/>
      <c r="BU398" s="320"/>
      <c r="BV398" s="320"/>
      <c r="BW398" s="320"/>
      <c r="BX398" s="320"/>
      <c r="BY398" s="320"/>
      <c r="BZ398" s="320"/>
      <c r="CA398" s="320"/>
      <c r="CB398" s="320"/>
      <c r="CC398" s="320"/>
      <c r="CD398" s="320"/>
      <c r="CE398" s="320"/>
      <c r="CF398" s="320"/>
      <c r="CG398" s="320"/>
      <c r="CH398" s="320"/>
      <c r="CI398" s="481"/>
      <c r="CJ398" s="320"/>
      <c r="CK398" s="481"/>
      <c r="CL398" s="481"/>
      <c r="CM398" s="481"/>
      <c r="CN398" s="481"/>
    </row>
    <row r="399" spans="1:92" outlineLevel="1">
      <c r="A399" s="171"/>
      <c r="B399" s="783"/>
      <c r="C399" s="965"/>
      <c r="D399" s="279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79"/>
      <c r="U399" s="279"/>
      <c r="V399" s="1010"/>
      <c r="W399" s="1010"/>
      <c r="X399" s="279"/>
      <c r="Y399" s="1010"/>
      <c r="Z399" s="1010"/>
      <c r="AA399" s="279"/>
      <c r="AB399" s="1010"/>
      <c r="AC399" s="1010"/>
      <c r="AD399" s="279"/>
      <c r="AE399" s="1010"/>
      <c r="AF399" s="1010"/>
      <c r="AG399" s="279"/>
      <c r="AH399" s="1127"/>
      <c r="AI399" s="566"/>
      <c r="AJ399" s="1127"/>
      <c r="AK399" s="1127"/>
      <c r="AL399" s="581"/>
      <c r="AM399" s="1127"/>
      <c r="AN399" s="646"/>
      <c r="AO399" s="293"/>
      <c r="AP399" s="1241"/>
      <c r="AQ399" s="1374"/>
      <c r="AR399" s="263"/>
      <c r="AS399" s="265"/>
      <c r="AT399" s="265"/>
      <c r="AU399" s="263"/>
      <c r="AV399" s="265"/>
      <c r="AW399" s="265"/>
      <c r="AX399" s="263"/>
      <c r="AY399" s="265"/>
      <c r="AZ399" s="265"/>
      <c r="BA399" s="263"/>
      <c r="BB399" s="265"/>
      <c r="BC399" s="179"/>
      <c r="BD399" s="320"/>
      <c r="BE399" s="320"/>
      <c r="BF399" s="320"/>
      <c r="BG399" s="320"/>
      <c r="BH399" s="318"/>
      <c r="BI399" s="322"/>
      <c r="BJ399" s="322"/>
      <c r="BK399" s="320"/>
      <c r="BL399" s="320"/>
      <c r="BM399" s="320"/>
      <c r="BN399" s="320"/>
      <c r="BO399" s="320"/>
      <c r="BP399" s="320"/>
      <c r="BQ399" s="320"/>
      <c r="BR399" s="320"/>
      <c r="BS399" s="320"/>
      <c r="BT399" s="320"/>
      <c r="BU399" s="320"/>
      <c r="BV399" s="320"/>
      <c r="BW399" s="320"/>
      <c r="BX399" s="320"/>
      <c r="BY399" s="320"/>
      <c r="BZ399" s="320"/>
      <c r="CA399" s="320"/>
      <c r="CB399" s="320"/>
      <c r="CC399" s="320"/>
      <c r="CD399" s="320"/>
      <c r="CE399" s="320"/>
      <c r="CF399" s="320"/>
      <c r="CG399" s="320"/>
      <c r="CH399" s="320"/>
      <c r="CI399" s="481"/>
      <c r="CJ399" s="320"/>
      <c r="CK399" s="481"/>
      <c r="CL399" s="481"/>
      <c r="CM399" s="481"/>
      <c r="CN399" s="481"/>
    </row>
    <row r="400" spans="1:92" outlineLevel="1">
      <c r="A400" s="171"/>
      <c r="B400" s="783"/>
      <c r="C400" s="965"/>
      <c r="D400" s="279"/>
      <c r="E400" s="279"/>
      <c r="F400" s="279"/>
      <c r="G400" s="279"/>
      <c r="H400" s="279"/>
      <c r="I400" s="279"/>
      <c r="J400" s="279"/>
      <c r="K400" s="279"/>
      <c r="L400" s="279"/>
      <c r="M400" s="279"/>
      <c r="N400" s="279"/>
      <c r="O400" s="279"/>
      <c r="P400" s="279"/>
      <c r="Q400" s="279"/>
      <c r="R400" s="279"/>
      <c r="S400" s="279"/>
      <c r="T400" s="279"/>
      <c r="U400" s="279"/>
      <c r="V400" s="1010"/>
      <c r="W400" s="1010"/>
      <c r="X400" s="279"/>
      <c r="Y400" s="1010"/>
      <c r="Z400" s="1010"/>
      <c r="AA400" s="279"/>
      <c r="AB400" s="1010"/>
      <c r="AC400" s="1010"/>
      <c r="AD400" s="279"/>
      <c r="AE400" s="1010"/>
      <c r="AF400" s="1010"/>
      <c r="AG400" s="279"/>
      <c r="AH400" s="1127"/>
      <c r="AI400" s="566"/>
      <c r="AJ400" s="1127"/>
      <c r="AK400" s="1127"/>
      <c r="AL400" s="581"/>
      <c r="AM400" s="1127"/>
      <c r="AN400" s="646"/>
      <c r="AO400" s="293"/>
      <c r="AP400" s="1241"/>
      <c r="AQ400" s="1374"/>
      <c r="AR400" s="263"/>
      <c r="AS400" s="265"/>
      <c r="AT400" s="265"/>
      <c r="AU400" s="263"/>
      <c r="AV400" s="265"/>
      <c r="AW400" s="265"/>
      <c r="AX400" s="263"/>
      <c r="AY400" s="265"/>
      <c r="AZ400" s="265"/>
      <c r="BA400" s="263"/>
      <c r="BB400" s="265"/>
      <c r="BC400" s="179"/>
      <c r="BD400" s="320"/>
      <c r="BE400" s="320"/>
      <c r="BF400" s="320"/>
      <c r="BG400" s="320"/>
      <c r="BH400" s="318"/>
      <c r="BI400" s="322"/>
      <c r="BJ400" s="322"/>
      <c r="BK400" s="320"/>
      <c r="BL400" s="320"/>
      <c r="BM400" s="320"/>
      <c r="BN400" s="320"/>
      <c r="BO400" s="320"/>
      <c r="BP400" s="320"/>
      <c r="BQ400" s="320"/>
      <c r="BR400" s="320"/>
      <c r="BS400" s="320"/>
      <c r="BT400" s="320"/>
      <c r="BU400" s="320"/>
      <c r="BV400" s="320"/>
      <c r="BW400" s="320"/>
      <c r="BX400" s="320"/>
      <c r="BY400" s="320"/>
      <c r="BZ400" s="320"/>
      <c r="CA400" s="320"/>
      <c r="CB400" s="320"/>
      <c r="CC400" s="320"/>
      <c r="CD400" s="320"/>
      <c r="CE400" s="320"/>
      <c r="CF400" s="320"/>
      <c r="CG400" s="320"/>
      <c r="CH400" s="320"/>
      <c r="CI400" s="481"/>
      <c r="CJ400" s="320"/>
      <c r="CK400" s="481"/>
      <c r="CL400" s="481"/>
      <c r="CM400" s="481"/>
      <c r="CN400" s="481"/>
    </row>
    <row r="401" spans="1:92" outlineLevel="1">
      <c r="A401" s="171"/>
      <c r="B401" s="783"/>
      <c r="C401" s="965"/>
      <c r="D401" s="279"/>
      <c r="E401" s="279"/>
      <c r="F401" s="279"/>
      <c r="G401" s="279"/>
      <c r="H401" s="279"/>
      <c r="I401" s="279"/>
      <c r="J401" s="279"/>
      <c r="K401" s="279"/>
      <c r="L401" s="279"/>
      <c r="M401" s="279"/>
      <c r="N401" s="279"/>
      <c r="O401" s="279"/>
      <c r="P401" s="279"/>
      <c r="Q401" s="279"/>
      <c r="R401" s="279"/>
      <c r="S401" s="279"/>
      <c r="T401" s="279"/>
      <c r="U401" s="279"/>
      <c r="V401" s="1010"/>
      <c r="W401" s="1010"/>
      <c r="X401" s="279"/>
      <c r="Y401" s="1010"/>
      <c r="Z401" s="1010"/>
      <c r="AA401" s="279"/>
      <c r="AB401" s="1010"/>
      <c r="AC401" s="1010"/>
      <c r="AD401" s="279"/>
      <c r="AE401" s="1010"/>
      <c r="AF401" s="1010"/>
      <c r="AG401" s="279"/>
      <c r="AH401" s="1127"/>
      <c r="AI401" s="566"/>
      <c r="AJ401" s="1127"/>
      <c r="AK401" s="1127"/>
      <c r="AL401" s="581"/>
      <c r="AM401" s="1127"/>
      <c r="AN401" s="646"/>
      <c r="AO401" s="293"/>
      <c r="AP401" s="1241"/>
      <c r="AQ401" s="1374"/>
      <c r="AR401" s="263"/>
      <c r="AS401" s="265"/>
      <c r="AT401" s="265"/>
      <c r="AU401" s="263"/>
      <c r="AV401" s="265"/>
      <c r="AW401" s="265"/>
      <c r="AX401" s="263"/>
      <c r="AY401" s="265"/>
      <c r="AZ401" s="265"/>
      <c r="BA401" s="263"/>
      <c r="BB401" s="265"/>
      <c r="BC401" s="179"/>
      <c r="BD401" s="320"/>
      <c r="BE401" s="320"/>
      <c r="BF401" s="320"/>
      <c r="BG401" s="320"/>
      <c r="BH401" s="318"/>
      <c r="BI401" s="322"/>
      <c r="BJ401" s="322"/>
      <c r="BK401" s="320"/>
      <c r="BL401" s="320"/>
      <c r="BM401" s="320"/>
      <c r="BN401" s="320"/>
      <c r="BO401" s="320"/>
      <c r="BP401" s="320"/>
      <c r="BQ401" s="320"/>
      <c r="BR401" s="320"/>
      <c r="BS401" s="320"/>
      <c r="BT401" s="320"/>
      <c r="BU401" s="320"/>
      <c r="BV401" s="320"/>
      <c r="BW401" s="320"/>
      <c r="BX401" s="320"/>
      <c r="BY401" s="320"/>
      <c r="BZ401" s="320"/>
      <c r="CA401" s="320"/>
      <c r="CB401" s="320"/>
      <c r="CC401" s="320"/>
      <c r="CD401" s="320"/>
      <c r="CE401" s="320"/>
      <c r="CF401" s="320"/>
      <c r="CG401" s="320"/>
      <c r="CH401" s="320"/>
      <c r="CI401" s="481"/>
      <c r="CJ401" s="320"/>
      <c r="CK401" s="481"/>
      <c r="CL401" s="481"/>
      <c r="CM401" s="481"/>
      <c r="CN401" s="481"/>
    </row>
    <row r="402" spans="1:92" outlineLevel="1">
      <c r="A402" s="171"/>
      <c r="B402" s="783"/>
      <c r="C402" s="965"/>
      <c r="D402" s="279"/>
      <c r="E402" s="279"/>
      <c r="F402" s="279"/>
      <c r="G402" s="279"/>
      <c r="H402" s="279"/>
      <c r="I402" s="279"/>
      <c r="J402" s="279"/>
      <c r="K402" s="279"/>
      <c r="L402" s="279"/>
      <c r="M402" s="279"/>
      <c r="N402" s="279"/>
      <c r="O402" s="279"/>
      <c r="P402" s="279"/>
      <c r="Q402" s="279"/>
      <c r="R402" s="279"/>
      <c r="S402" s="279"/>
      <c r="T402" s="279"/>
      <c r="U402" s="279"/>
      <c r="V402" s="1010"/>
      <c r="W402" s="1010"/>
      <c r="X402" s="279"/>
      <c r="Y402" s="1010"/>
      <c r="Z402" s="1010"/>
      <c r="AA402" s="279"/>
      <c r="AB402" s="1010"/>
      <c r="AC402" s="1010"/>
      <c r="AD402" s="279"/>
      <c r="AE402" s="1010"/>
      <c r="AF402" s="1010"/>
      <c r="AG402" s="279"/>
      <c r="AH402" s="1127"/>
      <c r="AI402" s="566"/>
      <c r="AJ402" s="1127"/>
      <c r="AK402" s="1127"/>
      <c r="AL402" s="581"/>
      <c r="AM402" s="1127"/>
      <c r="AN402" s="646"/>
      <c r="AO402" s="293"/>
      <c r="AP402" s="179"/>
      <c r="AQ402" s="1374"/>
      <c r="AR402" s="293"/>
      <c r="AS402" s="179"/>
      <c r="AT402" s="293"/>
      <c r="AU402" s="293"/>
      <c r="AV402" s="179"/>
      <c r="AW402" s="293"/>
      <c r="AX402" s="293"/>
      <c r="AY402" s="179"/>
      <c r="AZ402" s="293"/>
      <c r="BA402" s="293"/>
      <c r="BB402" s="179"/>
      <c r="BC402" s="179"/>
      <c r="BD402" s="320"/>
      <c r="BE402" s="320"/>
      <c r="BF402" s="320"/>
      <c r="BG402" s="320"/>
      <c r="BH402" s="318"/>
      <c r="BI402" s="322"/>
      <c r="BJ402" s="322"/>
      <c r="BK402" s="320"/>
      <c r="BL402" s="320"/>
      <c r="BM402" s="320"/>
      <c r="BN402" s="320"/>
      <c r="BO402" s="320"/>
      <c r="BP402" s="320"/>
      <c r="BQ402" s="320"/>
      <c r="BR402" s="320"/>
      <c r="BS402" s="320"/>
      <c r="BT402" s="320"/>
      <c r="BU402" s="320"/>
      <c r="BV402" s="320"/>
      <c r="BW402" s="320"/>
      <c r="BX402" s="320"/>
      <c r="BY402" s="320"/>
      <c r="BZ402" s="320"/>
      <c r="CA402" s="320"/>
      <c r="CB402" s="320"/>
      <c r="CC402" s="320"/>
      <c r="CD402" s="320"/>
      <c r="CE402" s="320"/>
      <c r="CF402" s="320"/>
      <c r="CG402" s="320"/>
      <c r="CH402" s="320"/>
      <c r="CI402" s="481"/>
      <c r="CJ402" s="320"/>
      <c r="CK402" s="481"/>
      <c r="CL402" s="481"/>
      <c r="CM402" s="481"/>
      <c r="CN402" s="481"/>
    </row>
    <row r="403" spans="1:92" outlineLevel="1">
      <c r="A403" s="171"/>
      <c r="B403" s="783"/>
      <c r="C403" s="965"/>
      <c r="D403" s="279"/>
      <c r="E403" s="279"/>
      <c r="F403" s="279"/>
      <c r="G403" s="279"/>
      <c r="H403" s="279"/>
      <c r="I403" s="279"/>
      <c r="J403" s="279"/>
      <c r="K403" s="279"/>
      <c r="L403" s="279"/>
      <c r="M403" s="279"/>
      <c r="N403" s="279"/>
      <c r="O403" s="279"/>
      <c r="P403" s="279"/>
      <c r="Q403" s="279"/>
      <c r="R403" s="279"/>
      <c r="S403" s="279"/>
      <c r="T403" s="279"/>
      <c r="U403" s="279"/>
      <c r="V403" s="1010"/>
      <c r="W403" s="1010"/>
      <c r="X403" s="279"/>
      <c r="Y403" s="1010"/>
      <c r="Z403" s="1010"/>
      <c r="AA403" s="279"/>
      <c r="AB403" s="1010"/>
      <c r="AC403" s="1010"/>
      <c r="AD403" s="279"/>
      <c r="AE403" s="1010"/>
      <c r="AF403" s="1010"/>
      <c r="AG403" s="279"/>
      <c r="AH403" s="1127"/>
      <c r="AI403" s="566"/>
      <c r="AJ403" s="1127"/>
      <c r="AK403" s="1127"/>
      <c r="AL403" s="581"/>
      <c r="AM403" s="1127"/>
      <c r="AN403" s="646"/>
      <c r="AO403" s="293"/>
      <c r="AP403" s="179"/>
      <c r="AQ403" s="1374"/>
      <c r="AR403" s="293"/>
      <c r="AS403" s="179"/>
      <c r="AT403" s="293"/>
      <c r="AU403" s="293"/>
      <c r="AV403" s="179"/>
      <c r="AW403" s="293"/>
      <c r="AX403" s="293"/>
      <c r="AY403" s="179"/>
      <c r="AZ403" s="293"/>
      <c r="BA403" s="293"/>
      <c r="BB403" s="179"/>
      <c r="BC403" s="179"/>
      <c r="BD403" s="320"/>
      <c r="BE403" s="320"/>
      <c r="BF403" s="320"/>
      <c r="BG403" s="320"/>
      <c r="BH403" s="318"/>
      <c r="BI403" s="322"/>
      <c r="BJ403" s="322"/>
      <c r="BK403" s="320"/>
      <c r="BL403" s="320"/>
      <c r="BM403" s="320"/>
      <c r="BN403" s="320"/>
      <c r="BO403" s="320"/>
      <c r="BP403" s="320"/>
      <c r="BQ403" s="320"/>
      <c r="BR403" s="320"/>
      <c r="BS403" s="320"/>
      <c r="BT403" s="320"/>
      <c r="BU403" s="320"/>
      <c r="BV403" s="320"/>
      <c r="BW403" s="320"/>
      <c r="BX403" s="320"/>
      <c r="BY403" s="320"/>
      <c r="BZ403" s="320"/>
      <c r="CA403" s="320"/>
      <c r="CB403" s="320"/>
      <c r="CC403" s="320"/>
      <c r="CD403" s="320"/>
      <c r="CE403" s="320"/>
      <c r="CF403" s="320"/>
      <c r="CG403" s="320"/>
      <c r="CH403" s="320"/>
      <c r="CI403" s="481"/>
      <c r="CJ403" s="320"/>
      <c r="CK403" s="481"/>
      <c r="CL403" s="481"/>
      <c r="CM403" s="481"/>
      <c r="CN403" s="481"/>
    </row>
    <row r="404" spans="1:92">
      <c r="A404" s="171"/>
      <c r="B404" s="834"/>
      <c r="C404" s="965"/>
      <c r="D404" s="279"/>
      <c r="E404" s="279"/>
      <c r="F404" s="279"/>
      <c r="G404" s="279"/>
      <c r="H404" s="279"/>
      <c r="I404" s="279"/>
      <c r="J404" s="279"/>
      <c r="K404" s="279"/>
      <c r="L404" s="279"/>
      <c r="M404" s="279"/>
      <c r="N404" s="279"/>
      <c r="O404" s="279"/>
      <c r="P404" s="279"/>
      <c r="Q404" s="279"/>
      <c r="R404" s="279"/>
      <c r="S404" s="279"/>
      <c r="T404" s="279"/>
      <c r="U404" s="279"/>
      <c r="V404" s="1010"/>
      <c r="W404" s="1010"/>
      <c r="X404" s="279"/>
      <c r="Y404" s="1010"/>
      <c r="Z404" s="1010"/>
      <c r="AA404" s="279"/>
      <c r="AB404" s="1010"/>
      <c r="AC404" s="1010"/>
      <c r="AD404" s="279"/>
      <c r="AE404" s="1010"/>
      <c r="AF404" s="1010"/>
      <c r="AG404" s="279"/>
      <c r="AH404" s="1127"/>
      <c r="AI404" s="566"/>
      <c r="AJ404" s="1127"/>
      <c r="AK404" s="1127"/>
      <c r="AL404" s="581"/>
      <c r="AM404" s="1127"/>
      <c r="AN404" s="646"/>
      <c r="AO404" s="293"/>
      <c r="AP404" s="179"/>
      <c r="AQ404" s="1374"/>
      <c r="AR404" s="293"/>
      <c r="AS404" s="179"/>
      <c r="AT404" s="293"/>
      <c r="AU404" s="293"/>
      <c r="AV404" s="179"/>
      <c r="AW404" s="293"/>
      <c r="AX404" s="293"/>
      <c r="AY404" s="179"/>
      <c r="AZ404" s="293"/>
      <c r="BA404" s="293"/>
      <c r="BB404" s="179"/>
      <c r="BC404" s="179"/>
      <c r="BD404" s="320"/>
      <c r="BE404" s="320"/>
      <c r="BF404" s="320"/>
      <c r="BG404" s="320"/>
      <c r="BH404" s="318"/>
      <c r="BI404" s="322"/>
      <c r="BJ404" s="322"/>
      <c r="BK404" s="320"/>
      <c r="BL404" s="320"/>
      <c r="BM404" s="320"/>
      <c r="BN404" s="320"/>
      <c r="BO404" s="320"/>
      <c r="BP404" s="320"/>
      <c r="BQ404" s="320"/>
      <c r="BR404" s="320"/>
      <c r="BS404" s="320"/>
      <c r="BT404" s="320"/>
      <c r="BU404" s="320"/>
      <c r="BV404" s="320"/>
      <c r="BW404" s="320"/>
      <c r="BX404" s="320"/>
      <c r="BY404" s="320"/>
      <c r="BZ404" s="320"/>
      <c r="CA404" s="320"/>
      <c r="CB404" s="320"/>
      <c r="CC404" s="320"/>
      <c r="CD404" s="320"/>
      <c r="CE404" s="320"/>
      <c r="CF404" s="320"/>
      <c r="CG404" s="320"/>
      <c r="CH404" s="320"/>
      <c r="CI404" s="481"/>
      <c r="CJ404" s="320"/>
      <c r="CK404" s="481"/>
      <c r="CL404" s="481"/>
      <c r="CM404" s="481"/>
      <c r="CN404" s="481"/>
    </row>
    <row r="405" spans="1:92">
      <c r="A405" s="204"/>
      <c r="B405" s="300" t="s">
        <v>773</v>
      </c>
      <c r="C405" s="297"/>
      <c r="D405" s="298"/>
      <c r="E405" s="298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  <c r="AA405" s="299"/>
      <c r="AB405" s="299"/>
      <c r="AC405" s="299"/>
      <c r="AD405" s="299"/>
      <c r="AE405" s="299"/>
      <c r="AF405" s="299"/>
      <c r="AG405" s="299"/>
      <c r="AH405" s="299"/>
      <c r="AI405" s="299"/>
      <c r="AJ405" s="299"/>
      <c r="AK405" s="299"/>
      <c r="AL405" s="299"/>
      <c r="AM405" s="299"/>
      <c r="AN405" s="299"/>
      <c r="AO405" s="299"/>
      <c r="AP405" s="299"/>
      <c r="AQ405" s="1381"/>
      <c r="AR405" s="299"/>
      <c r="AS405" s="299"/>
      <c r="AT405" s="299"/>
      <c r="AU405" s="299"/>
      <c r="AV405" s="299"/>
      <c r="AW405" s="299"/>
      <c r="AX405" s="299"/>
      <c r="AY405" s="299"/>
      <c r="AZ405" s="299"/>
      <c r="BA405" s="299"/>
      <c r="BB405" s="299"/>
      <c r="BC405" s="190"/>
      <c r="BD405" s="316"/>
      <c r="BE405" s="316"/>
      <c r="BF405" s="316"/>
      <c r="BG405" s="316"/>
      <c r="BH405" s="315"/>
      <c r="BI405" s="317"/>
      <c r="BJ405" s="317"/>
      <c r="BK405" s="299"/>
      <c r="BL405" s="299"/>
      <c r="BM405" s="299"/>
      <c r="BN405" s="299"/>
      <c r="BO405" s="299"/>
      <c r="BP405" s="299"/>
      <c r="BQ405" s="299"/>
      <c r="BR405" s="299"/>
      <c r="BS405" s="299"/>
      <c r="BT405" s="299"/>
      <c r="BU405" s="299"/>
      <c r="BV405" s="299"/>
      <c r="BW405" s="299"/>
      <c r="BX405" s="299"/>
      <c r="BY405" s="299"/>
      <c r="BZ405" s="299"/>
      <c r="CA405" s="299"/>
      <c r="CB405" s="299"/>
      <c r="CC405" s="299"/>
      <c r="CD405" s="299"/>
      <c r="CE405" s="299"/>
      <c r="CF405" s="299"/>
      <c r="CG405" s="299"/>
      <c r="CH405" s="299"/>
      <c r="CI405" s="299"/>
      <c r="CJ405" s="299"/>
      <c r="CK405" s="299"/>
      <c r="CL405" s="299"/>
      <c r="CM405" s="299"/>
      <c r="CN405" s="299"/>
    </row>
    <row r="406" spans="1:92">
      <c r="A406" s="204"/>
      <c r="B406" s="184" t="s">
        <v>409</v>
      </c>
      <c r="C406" s="185"/>
      <c r="D406" s="186"/>
      <c r="E406" s="18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  <c r="AA406" s="196"/>
      <c r="AB406" s="196"/>
      <c r="AC406" s="196"/>
      <c r="AD406" s="196"/>
      <c r="AE406" s="196"/>
      <c r="AF406" s="196"/>
      <c r="AG406" s="196"/>
      <c r="AH406" s="196"/>
      <c r="AI406" s="196"/>
      <c r="AJ406" s="196"/>
      <c r="AK406" s="196"/>
      <c r="AL406" s="196"/>
      <c r="AM406" s="196"/>
      <c r="AN406" s="196"/>
      <c r="AO406" s="196"/>
      <c r="AP406" s="196"/>
      <c r="AQ406" s="1369"/>
      <c r="AR406" s="196"/>
      <c r="AS406" s="196"/>
      <c r="AT406" s="196"/>
      <c r="AU406" s="196"/>
      <c r="AV406" s="196"/>
      <c r="AW406" s="196"/>
      <c r="AX406" s="196"/>
      <c r="AY406" s="196"/>
      <c r="AZ406" s="196"/>
      <c r="BA406" s="196"/>
      <c r="BB406" s="196"/>
      <c r="BC406" s="190"/>
      <c r="BD406" s="316"/>
      <c r="BE406" s="316"/>
      <c r="BF406" s="316"/>
      <c r="BG406" s="316"/>
      <c r="BH406" s="315"/>
      <c r="BI406" s="317"/>
      <c r="BJ406" s="317"/>
      <c r="BK406" s="196"/>
      <c r="BL406" s="196"/>
      <c r="BM406" s="196"/>
      <c r="BN406" s="196"/>
      <c r="BO406" s="196"/>
      <c r="BP406" s="196"/>
      <c r="BQ406" s="196"/>
      <c r="BR406" s="196"/>
      <c r="BS406" s="196"/>
      <c r="BT406" s="196"/>
      <c r="BU406" s="196"/>
      <c r="BV406" s="196"/>
      <c r="BW406" s="196"/>
      <c r="BX406" s="196"/>
      <c r="BY406" s="196"/>
      <c r="BZ406" s="196"/>
      <c r="CA406" s="196"/>
      <c r="CB406" s="196"/>
      <c r="CC406" s="196"/>
      <c r="CD406" s="196"/>
      <c r="CE406" s="196"/>
      <c r="CF406" s="196"/>
      <c r="CG406" s="196"/>
      <c r="CH406" s="196"/>
      <c r="CI406" s="196"/>
      <c r="CJ406" s="196"/>
      <c r="CK406" s="196"/>
      <c r="CL406" s="196"/>
      <c r="CM406" s="196"/>
      <c r="CN406" s="196"/>
    </row>
    <row r="407" spans="1:92">
      <c r="A407" s="171"/>
      <c r="B407" s="834"/>
      <c r="C407" s="965"/>
      <c r="D407" s="279"/>
      <c r="E407" s="279"/>
      <c r="F407" s="279"/>
      <c r="G407" s="279"/>
      <c r="H407" s="279"/>
      <c r="I407" s="279"/>
      <c r="J407" s="279"/>
      <c r="K407" s="279"/>
      <c r="L407" s="279"/>
      <c r="M407" s="279"/>
      <c r="N407" s="279"/>
      <c r="O407" s="279"/>
      <c r="P407" s="279"/>
      <c r="Q407" s="279"/>
      <c r="R407" s="279"/>
      <c r="S407" s="279"/>
      <c r="T407" s="279"/>
      <c r="U407" s="279"/>
      <c r="V407" s="279"/>
      <c r="W407" s="279"/>
      <c r="X407" s="279"/>
      <c r="Y407" s="279"/>
      <c r="Z407" s="279"/>
      <c r="AA407" s="279"/>
      <c r="AB407" s="279"/>
      <c r="AC407" s="279"/>
      <c r="AD407" s="279"/>
      <c r="AE407" s="279"/>
      <c r="AF407" s="279"/>
      <c r="AG407" s="279"/>
      <c r="AH407" s="279"/>
      <c r="AI407" s="179"/>
      <c r="AJ407" s="279"/>
      <c r="AK407" s="279"/>
      <c r="AL407" s="279"/>
      <c r="AM407" s="279"/>
      <c r="AN407" s="179"/>
      <c r="AO407" s="279"/>
      <c r="AP407" s="279"/>
      <c r="AQ407" s="1371"/>
      <c r="AR407" s="279"/>
      <c r="AS407" s="179"/>
      <c r="AT407" s="279"/>
      <c r="AU407" s="279"/>
      <c r="AV407" s="179"/>
      <c r="AW407" s="279"/>
      <c r="AX407" s="279"/>
      <c r="AY407" s="179"/>
      <c r="AZ407" s="279"/>
      <c r="BA407" s="279"/>
      <c r="BB407" s="179"/>
      <c r="BC407" s="179"/>
      <c r="BD407" s="320"/>
      <c r="BE407" s="320"/>
      <c r="BF407" s="320"/>
      <c r="BG407" s="320"/>
      <c r="BH407" s="318"/>
      <c r="BI407" s="322"/>
      <c r="BJ407" s="322"/>
      <c r="BK407" s="320"/>
      <c r="BL407" s="320"/>
      <c r="BM407" s="320"/>
      <c r="BN407" s="320"/>
      <c r="BO407" s="320"/>
      <c r="BP407" s="320"/>
      <c r="BQ407" s="320"/>
      <c r="BR407" s="320"/>
      <c r="BS407" s="320"/>
      <c r="BT407" s="320"/>
      <c r="BU407" s="320"/>
      <c r="BV407" s="320"/>
      <c r="BW407" s="320"/>
      <c r="BX407" s="320"/>
      <c r="BY407" s="320"/>
      <c r="BZ407" s="320"/>
      <c r="CA407" s="320"/>
      <c r="CB407" s="320"/>
      <c r="CC407" s="320"/>
      <c r="CD407" s="320"/>
      <c r="CE407" s="320"/>
      <c r="CF407" s="320"/>
      <c r="CG407" s="320"/>
      <c r="CH407" s="320"/>
      <c r="CI407" s="320"/>
      <c r="CJ407" s="320"/>
      <c r="CK407" s="320"/>
      <c r="CL407" s="320"/>
      <c r="CM407" s="320"/>
      <c r="CN407" s="320"/>
    </row>
    <row r="408" spans="1:92" outlineLevel="1">
      <c r="A408" s="175"/>
      <c r="B408" s="1085" t="s">
        <v>634</v>
      </c>
      <c r="C408" s="1086"/>
      <c r="D408" s="1087"/>
      <c r="E408" s="1087"/>
      <c r="F408" s="1087"/>
      <c r="G408" s="1087"/>
      <c r="H408" s="1087"/>
      <c r="I408" s="1087"/>
      <c r="J408" s="1087"/>
      <c r="K408" s="1087"/>
      <c r="L408" s="1087"/>
      <c r="M408" s="1087"/>
      <c r="N408" s="1087"/>
      <c r="O408" s="1088">
        <v>23.353000000000002</v>
      </c>
      <c r="P408" s="1088">
        <v>8.77</v>
      </c>
      <c r="Q408" s="624">
        <v>7.8</v>
      </c>
      <c r="R408" s="624">
        <f>Q408</f>
        <v>7.8</v>
      </c>
      <c r="S408" s="624">
        <f>R408*1.05</f>
        <v>8.19</v>
      </c>
      <c r="T408" s="624">
        <f t="shared" ref="T408:U408" si="1763">S408</f>
        <v>8.19</v>
      </c>
      <c r="U408" s="624">
        <f t="shared" si="1763"/>
        <v>8.19</v>
      </c>
      <c r="V408" s="1087"/>
      <c r="W408" s="1087"/>
      <c r="X408" s="624">
        <f>U408</f>
        <v>8.19</v>
      </c>
      <c r="Y408" s="1087"/>
      <c r="Z408" s="1087"/>
      <c r="AA408" s="624">
        <f>X408</f>
        <v>8.19</v>
      </c>
      <c r="AB408" s="1087"/>
      <c r="AC408" s="1087"/>
      <c r="AD408" s="624">
        <f>AA408</f>
        <v>8.19</v>
      </c>
      <c r="AE408" s="1087"/>
      <c r="AF408" s="1087"/>
      <c r="AG408" s="285">
        <f t="shared" ref="AG408" si="1764">AD408</f>
        <v>8.19</v>
      </c>
      <c r="AH408" s="697"/>
      <c r="AI408" s="697"/>
      <c r="AJ408" s="1245"/>
      <c r="AK408" s="697"/>
      <c r="AL408" s="285"/>
      <c r="AM408" s="1245"/>
      <c r="AN408" s="697"/>
      <c r="AO408" s="624"/>
      <c r="AP408" s="1245"/>
      <c r="AQ408" s="1574"/>
      <c r="AR408" s="624"/>
      <c r="AS408" s="250">
        <f>AP408</f>
        <v>0</v>
      </c>
      <c r="AT408" s="624"/>
      <c r="AU408" s="624"/>
      <c r="AV408" s="250">
        <f>AS408</f>
        <v>0</v>
      </c>
      <c r="AW408" s="624"/>
      <c r="AX408" s="624"/>
      <c r="AY408" s="250">
        <f>AV408</f>
        <v>0</v>
      </c>
      <c r="AZ408" s="624"/>
      <c r="BA408" s="624"/>
      <c r="BB408" s="250">
        <f>AY408</f>
        <v>0</v>
      </c>
      <c r="BC408" s="1358"/>
      <c r="BD408" s="432"/>
      <c r="BE408" s="432"/>
      <c r="BF408" s="432"/>
      <c r="BG408" s="432"/>
      <c r="BH408" s="433"/>
      <c r="BI408" s="434"/>
      <c r="BJ408" s="434"/>
      <c r="BK408" s="475"/>
      <c r="BL408" s="475"/>
      <c r="BM408" s="475"/>
      <c r="BN408" s="475"/>
      <c r="BO408" s="475"/>
      <c r="BP408" s="475"/>
      <c r="BQ408" s="475"/>
      <c r="BR408" s="475"/>
      <c r="BS408" s="475"/>
      <c r="BT408" s="475"/>
      <c r="BU408" s="475"/>
      <c r="BV408" s="475"/>
      <c r="BW408" s="475"/>
      <c r="BX408" s="475"/>
      <c r="BY408" s="475"/>
      <c r="BZ408" s="475"/>
      <c r="CA408" s="475"/>
      <c r="CB408" s="475"/>
      <c r="CC408" s="475"/>
      <c r="CD408" s="475"/>
      <c r="CE408" s="475"/>
      <c r="CF408" s="475"/>
      <c r="CG408" s="475"/>
      <c r="CH408" s="475"/>
      <c r="CI408" s="475"/>
      <c r="CJ408" s="475"/>
      <c r="CK408" s="475"/>
      <c r="CL408" s="475"/>
      <c r="CM408" s="475"/>
      <c r="CN408" s="475"/>
    </row>
    <row r="409" spans="1:92" outlineLevel="1">
      <c r="A409" s="171"/>
      <c r="B409" s="839" t="s">
        <v>628</v>
      </c>
      <c r="C409" s="1086"/>
      <c r="D409" s="1087"/>
      <c r="E409" s="1087"/>
      <c r="F409" s="1087"/>
      <c r="G409" s="1087"/>
      <c r="H409" s="1087"/>
      <c r="I409" s="1087"/>
      <c r="J409" s="1087"/>
      <c r="K409" s="1087"/>
      <c r="L409" s="1087"/>
      <c r="M409" s="1087"/>
      <c r="N409" s="1087"/>
      <c r="O409" s="1088"/>
      <c r="P409" s="1088">
        <v>0</v>
      </c>
      <c r="Q409" s="624">
        <v>13.9</v>
      </c>
      <c r="R409" s="624">
        <f>(R415*(R160+R180))+(R416*(R161+R181))</f>
        <v>23.4</v>
      </c>
      <c r="S409" s="624">
        <f>(S415*(S160+S180))+(S416*(S161+S181))</f>
        <v>21</v>
      </c>
      <c r="T409" s="624">
        <f>(T415*(T160+T180))+(T416*(T161+T181))</f>
        <v>5.6</v>
      </c>
      <c r="U409" s="624">
        <f>(U415*(U160+U180))+(U416*(U161+U181))</f>
        <v>-4</v>
      </c>
      <c r="V409" s="1087"/>
      <c r="W409" s="1087"/>
      <c r="X409" s="624">
        <f>(X415*(X160+X180))+(X416*(X161+X181))</f>
        <v>-1</v>
      </c>
      <c r="Y409" s="1087"/>
      <c r="Z409" s="1087"/>
      <c r="AA409" s="624">
        <f>(AA415*(AA160+AA180))+(AA416*(AA161+AA181))</f>
        <v>1.4</v>
      </c>
      <c r="AB409" s="1087"/>
      <c r="AC409" s="1087"/>
      <c r="AD409" s="624">
        <f>(AD415*(AD160+AD180))+(AD416*(AD161+AD181))</f>
        <v>1</v>
      </c>
      <c r="AE409" s="1087"/>
      <c r="AF409" s="1087"/>
      <c r="AG409" s="285">
        <f>(AG415*(AG160+AG180))+(AG416*(AG161+AG181))</f>
        <v>0</v>
      </c>
      <c r="AH409" s="697"/>
      <c r="AI409" s="697"/>
      <c r="AJ409" s="1246">
        <f>(AJ415*(AJ160+AJ180))+(AJ416*(AJ161+AJ181))</f>
        <v>0</v>
      </c>
      <c r="AK409" s="697"/>
      <c r="AL409" s="285"/>
      <c r="AM409" s="1246">
        <f>(AM415*(AM160+AM180))+(AM416*(AM161+AM181))</f>
        <v>0</v>
      </c>
      <c r="AN409" s="697"/>
      <c r="AO409" s="624"/>
      <c r="AP409" s="1246">
        <f>(AP415*(AP160+AP180))+(AP416*(AP161+AP181))</f>
        <v>0</v>
      </c>
      <c r="AQ409" s="1574"/>
      <c r="AR409" s="624"/>
      <c r="AS409" s="274">
        <f>(AS415*(AS160+AS180))+(AS416*(AS161+AS181))</f>
        <v>0</v>
      </c>
      <c r="AT409" s="624"/>
      <c r="AU409" s="624"/>
      <c r="AV409" s="274">
        <f>(AV415*(AV160+AV180))+(AV416*(AV161+AV181))</f>
        <v>0</v>
      </c>
      <c r="AW409" s="624"/>
      <c r="AX409" s="624"/>
      <c r="AY409" s="274">
        <f>(AY415*(AY160+AY180))+(AY416*(AY161+AY181))</f>
        <v>0</v>
      </c>
      <c r="AZ409" s="624"/>
      <c r="BA409" s="624"/>
      <c r="BB409" s="274">
        <f>(BB415*(BB160+BB180))+(BB416*(BB161+BB181))</f>
        <v>0</v>
      </c>
      <c r="BC409" s="1359"/>
      <c r="BD409" s="396"/>
      <c r="BE409" s="396"/>
      <c r="BF409" s="396"/>
      <c r="BG409" s="396"/>
      <c r="BH409" s="318"/>
      <c r="BI409" s="322"/>
      <c r="BJ409" s="322"/>
      <c r="BK409" s="475"/>
      <c r="BL409" s="475"/>
      <c r="BM409" s="475"/>
      <c r="BN409" s="475"/>
      <c r="BO409" s="475"/>
      <c r="BP409" s="475"/>
      <c r="BQ409" s="475"/>
      <c r="BR409" s="475"/>
      <c r="BS409" s="475"/>
      <c r="BT409" s="475"/>
      <c r="BU409" s="475"/>
      <c r="BV409" s="475"/>
      <c r="BW409" s="475"/>
      <c r="BX409" s="475"/>
      <c r="BY409" s="475"/>
      <c r="BZ409" s="475"/>
      <c r="CA409" s="475"/>
      <c r="CB409" s="475"/>
      <c r="CC409" s="475"/>
      <c r="CD409" s="475"/>
      <c r="CE409" s="475"/>
      <c r="CF409" s="475"/>
      <c r="CG409" s="475"/>
      <c r="CH409" s="475"/>
      <c r="CI409" s="475"/>
      <c r="CJ409" s="475"/>
      <c r="CK409" s="475"/>
      <c r="CL409" s="475"/>
      <c r="CM409" s="475"/>
      <c r="CN409" s="475"/>
    </row>
    <row r="410" spans="1:92" outlineLevel="1">
      <c r="A410" s="175"/>
      <c r="B410" s="1085" t="s">
        <v>629</v>
      </c>
      <c r="C410" s="1086"/>
      <c r="D410" s="1087"/>
      <c r="E410" s="1087"/>
      <c r="F410" s="1087"/>
      <c r="G410" s="1087"/>
      <c r="H410" s="1087"/>
      <c r="I410" s="1087"/>
      <c r="J410" s="1087"/>
      <c r="K410" s="1087"/>
      <c r="L410" s="1087"/>
      <c r="M410" s="1087"/>
      <c r="N410" s="1087"/>
      <c r="O410" s="1088">
        <f>16.967+2.025</f>
        <v>18.991999999999997</v>
      </c>
      <c r="P410" s="1088">
        <f>18.72+3.17</f>
        <v>21.89</v>
      </c>
      <c r="Q410" s="624">
        <v>9.5</v>
      </c>
      <c r="R410" s="624">
        <f>R417*R154+R417*R174</f>
        <v>1.4</v>
      </c>
      <c r="S410" s="624">
        <f>S417*S154+S417*S174</f>
        <v>5.6</v>
      </c>
      <c r="T410" s="624">
        <f>T417*T154+T417*T174</f>
        <v>4.1999999999999993</v>
      </c>
      <c r="U410" s="624">
        <f>U417*U154+U417*U174</f>
        <v>11.2</v>
      </c>
      <c r="V410" s="1087"/>
      <c r="W410" s="1087"/>
      <c r="X410" s="624">
        <f>X417*X154+X417*X174</f>
        <v>7</v>
      </c>
      <c r="Y410" s="1087"/>
      <c r="Z410" s="1087"/>
      <c r="AA410" s="624">
        <f>AA417*AA154+AA417*AA174</f>
        <v>2.8</v>
      </c>
      <c r="AB410" s="1087"/>
      <c r="AC410" s="1087"/>
      <c r="AD410" s="624">
        <f>AD417*AD154+AD417*AD174</f>
        <v>1.4</v>
      </c>
      <c r="AE410" s="1087"/>
      <c r="AF410" s="1087"/>
      <c r="AG410" s="285">
        <f>AG417*AG154+AG417*AG174</f>
        <v>2.8</v>
      </c>
      <c r="AH410" s="697"/>
      <c r="AI410" s="697"/>
      <c r="AJ410" s="1246">
        <f>AJ417*AJ154+AJ417*AJ174</f>
        <v>0</v>
      </c>
      <c r="AK410" s="697"/>
      <c r="AL410" s="285"/>
      <c r="AM410" s="1246">
        <f>AM417*AM154+AM417*AM174</f>
        <v>0</v>
      </c>
      <c r="AN410" s="697"/>
      <c r="AO410" s="624"/>
      <c r="AP410" s="1246">
        <f>AP417*AP154+AP417*AP174</f>
        <v>0</v>
      </c>
      <c r="AQ410" s="1574"/>
      <c r="AR410" s="624"/>
      <c r="AS410" s="274">
        <f>AS417*AS154+AS417*AS174</f>
        <v>0</v>
      </c>
      <c r="AT410" s="624"/>
      <c r="AU410" s="624"/>
      <c r="AV410" s="274">
        <f>AV417*AV154+AV417*AV174</f>
        <v>0</v>
      </c>
      <c r="AW410" s="624"/>
      <c r="AX410" s="624"/>
      <c r="AY410" s="274">
        <f>AY417*AY154+AY417*AY174</f>
        <v>0</v>
      </c>
      <c r="AZ410" s="624"/>
      <c r="BA410" s="624"/>
      <c r="BB410" s="274">
        <f>BB417*BB154+BB417*BB174</f>
        <v>0</v>
      </c>
      <c r="BC410" s="1359"/>
      <c r="BD410" s="396"/>
      <c r="BE410" s="396"/>
      <c r="BF410" s="396"/>
      <c r="BG410" s="396"/>
      <c r="BH410" s="433"/>
      <c r="BI410" s="434"/>
      <c r="BJ410" s="434"/>
      <c r="BK410" s="475"/>
      <c r="BL410" s="475"/>
      <c r="BM410" s="475"/>
      <c r="BN410" s="475"/>
      <c r="BO410" s="475"/>
      <c r="BP410" s="475"/>
      <c r="BQ410" s="475"/>
      <c r="BR410" s="475"/>
      <c r="BS410" s="475"/>
      <c r="BT410" s="475"/>
      <c r="BU410" s="475"/>
      <c r="BV410" s="475"/>
      <c r="BW410" s="475"/>
      <c r="BX410" s="475"/>
      <c r="BY410" s="475"/>
      <c r="BZ410" s="475"/>
      <c r="CA410" s="475"/>
      <c r="CB410" s="475"/>
      <c r="CC410" s="475"/>
      <c r="CD410" s="475"/>
      <c r="CE410" s="475"/>
      <c r="CF410" s="475"/>
      <c r="CG410" s="475"/>
      <c r="CH410" s="475"/>
      <c r="CI410" s="475"/>
      <c r="CJ410" s="475"/>
      <c r="CK410" s="475"/>
      <c r="CL410" s="475"/>
      <c r="CM410" s="475"/>
      <c r="CN410" s="475"/>
    </row>
    <row r="411" spans="1:92" outlineLevel="1">
      <c r="A411" s="171"/>
      <c r="B411" s="839" t="s">
        <v>630</v>
      </c>
      <c r="C411" s="1086"/>
      <c r="D411" s="1087"/>
      <c r="E411" s="1087"/>
      <c r="F411" s="1087"/>
      <c r="G411" s="1087"/>
      <c r="H411" s="1087"/>
      <c r="I411" s="1087"/>
      <c r="J411" s="624">
        <f t="shared" ref="J411:P411" si="1765">J412-J408-J409-J410</f>
        <v>34.405999999999999</v>
      </c>
      <c r="K411" s="624">
        <f t="shared" si="1765"/>
        <v>51.573</v>
      </c>
      <c r="L411" s="624">
        <f t="shared" si="1765"/>
        <v>44.444000000000003</v>
      </c>
      <c r="M411" s="624">
        <f t="shared" si="1765"/>
        <v>54.46</v>
      </c>
      <c r="N411" s="624">
        <f t="shared" si="1765"/>
        <v>45.063000000000002</v>
      </c>
      <c r="O411" s="624">
        <f t="shared" si="1765"/>
        <v>3.7330000000000041</v>
      </c>
      <c r="P411" s="624">
        <f t="shared" si="1765"/>
        <v>4.647000000000002</v>
      </c>
      <c r="Q411" s="624">
        <f t="shared" ref="Q411:AA411" si="1766">Q412-Q408-Q409-Q410</f>
        <v>4.7140000000000004</v>
      </c>
      <c r="R411" s="624">
        <f>R412-R408-R409-R410</f>
        <v>9.866000000000005</v>
      </c>
      <c r="S411" s="624">
        <f t="shared" si="1766"/>
        <v>17.553000000000004</v>
      </c>
      <c r="T411" s="624">
        <f t="shared" si="1766"/>
        <v>31.110000000000003</v>
      </c>
      <c r="U411" s="624">
        <f>U412-U408-U409-U410</f>
        <v>39.010000000000005</v>
      </c>
      <c r="V411" s="624"/>
      <c r="W411" s="624"/>
      <c r="X411" s="624">
        <f>X412-X408-X409-X410</f>
        <v>45.11</v>
      </c>
      <c r="Y411" s="624"/>
      <c r="Z411" s="624"/>
      <c r="AA411" s="624">
        <f t="shared" si="1766"/>
        <v>30.710000000000004</v>
      </c>
      <c r="AB411" s="624"/>
      <c r="AC411" s="624"/>
      <c r="AD411" s="624">
        <f t="shared" ref="AD411:AV411" si="1767">AD412-AD408-AD409-AD410</f>
        <v>47.110000000000007</v>
      </c>
      <c r="AE411" s="624"/>
      <c r="AF411" s="624"/>
      <c r="AG411" s="285">
        <f t="shared" si="1767"/>
        <v>46.610000000000007</v>
      </c>
      <c r="AH411" s="697"/>
      <c r="AI411" s="697"/>
      <c r="AJ411" s="285">
        <f t="shared" si="1767"/>
        <v>72</v>
      </c>
      <c r="AK411" s="697"/>
      <c r="AL411" s="285"/>
      <c r="AM411" s="285">
        <f t="shared" ref="AM411" si="1768">AM412-AM408-AM409-AM410</f>
        <v>74.5</v>
      </c>
      <c r="AN411" s="697"/>
      <c r="AO411" s="624"/>
      <c r="AP411" s="285">
        <f t="shared" ref="AP411" si="1769">AP412-AP408-AP409-AP410</f>
        <v>82.3</v>
      </c>
      <c r="AQ411" s="1574"/>
      <c r="AR411" s="624"/>
      <c r="AS411" s="214">
        <f t="shared" si="1767"/>
        <v>89.208009823927654</v>
      </c>
      <c r="AT411" s="624"/>
      <c r="AU411" s="624"/>
      <c r="AV411" s="214">
        <f t="shared" si="1767"/>
        <v>98.762757641094652</v>
      </c>
      <c r="AW411" s="624"/>
      <c r="AX411" s="624"/>
      <c r="AY411" s="214">
        <f t="shared" ref="AY411" si="1770">AY412-AY408-AY409-AY410</f>
        <v>102.91285932440449</v>
      </c>
      <c r="AZ411" s="624"/>
      <c r="BA411" s="624"/>
      <c r="BB411" s="214">
        <f t="shared" ref="BB411" si="1771">BB412-BB408-BB409-BB410</f>
        <v>107.2424620135628</v>
      </c>
      <c r="BC411" s="1360"/>
      <c r="BD411" s="435"/>
      <c r="BE411" s="435"/>
      <c r="BF411" s="435"/>
      <c r="BG411" s="435"/>
      <c r="BH411" s="318"/>
      <c r="BI411" s="322"/>
      <c r="BJ411" s="322"/>
      <c r="BK411" s="435"/>
      <c r="BL411" s="435"/>
      <c r="BM411" s="435"/>
      <c r="BN411" s="435"/>
      <c r="BO411" s="435"/>
      <c r="BP411" s="435"/>
      <c r="BQ411" s="435"/>
      <c r="BR411" s="435"/>
      <c r="BS411" s="435"/>
      <c r="BT411" s="435"/>
      <c r="BU411" s="435"/>
      <c r="BV411" s="435"/>
      <c r="BW411" s="435"/>
      <c r="BX411" s="435"/>
      <c r="BY411" s="435"/>
      <c r="BZ411" s="435"/>
      <c r="CA411" s="435"/>
      <c r="CB411" s="435"/>
      <c r="CC411" s="435"/>
      <c r="CD411" s="435"/>
      <c r="CE411" s="435"/>
      <c r="CF411" s="435"/>
      <c r="CG411" s="435"/>
      <c r="CH411" s="435"/>
      <c r="CI411" s="435"/>
      <c r="CJ411" s="435"/>
      <c r="CK411" s="435"/>
      <c r="CL411" s="435"/>
      <c r="CM411" s="435"/>
      <c r="CN411" s="435"/>
    </row>
    <row r="412" spans="1:92">
      <c r="A412" s="176" t="s">
        <v>246</v>
      </c>
      <c r="B412" s="961" t="s">
        <v>631</v>
      </c>
      <c r="C412" s="280"/>
      <c r="D412" s="280">
        <f>-SUM(CFS!A26)</f>
        <v>0</v>
      </c>
      <c r="E412" s="280">
        <f>-SUM(CFS!B26)</f>
        <v>0</v>
      </c>
      <c r="F412" s="280">
        <f>-SUM(CFS!C26)</f>
        <v>6.2530000000000001</v>
      </c>
      <c r="G412" s="280">
        <f>-SUM(CFS!D26)</f>
        <v>10.282</v>
      </c>
      <c r="H412" s="280">
        <f>-SUM(CFS!E26)</f>
        <v>15.811999999999999</v>
      </c>
      <c r="I412" s="280">
        <f>-SUM(CFS!F26)</f>
        <v>29.045999999999999</v>
      </c>
      <c r="J412" s="280">
        <f>-SUM(CFS!G26)</f>
        <v>34.405999999999999</v>
      </c>
      <c r="K412" s="280">
        <f>-SUM(CFS!H26)</f>
        <v>51.573</v>
      </c>
      <c r="L412" s="280">
        <f>-SUM(CFS!I26)</f>
        <v>44.444000000000003</v>
      </c>
      <c r="M412" s="280">
        <f>-SUM(CFS!J26)</f>
        <v>54.46</v>
      </c>
      <c r="N412" s="280">
        <f>-SUM(CFS!K26)</f>
        <v>45.063000000000002</v>
      </c>
      <c r="O412" s="280">
        <f>-SUM(CFS!L26)</f>
        <v>46.078000000000003</v>
      </c>
      <c r="P412" s="280">
        <f>-SUM(CFS!M26)</f>
        <v>35.307000000000002</v>
      </c>
      <c r="Q412" s="280">
        <f>-SUM(CFS!N26)</f>
        <v>35.914000000000001</v>
      </c>
      <c r="R412" s="280">
        <f>-SUM(CFS!O26)</f>
        <v>42.466000000000001</v>
      </c>
      <c r="S412" s="280">
        <f>-SUM(CFS!P26)</f>
        <v>52.343000000000004</v>
      </c>
      <c r="T412" s="280">
        <f>-SUM(CFS!Q26)</f>
        <v>49.1</v>
      </c>
      <c r="U412" s="280">
        <f>-SUM(CFS!R26)</f>
        <v>54.4</v>
      </c>
      <c r="V412" s="280"/>
      <c r="W412" s="280"/>
      <c r="X412" s="280">
        <f>-SUM(CFS!S26)</f>
        <v>59.3</v>
      </c>
      <c r="Y412" s="280"/>
      <c r="Z412" s="280"/>
      <c r="AA412" s="280">
        <f>-SUM(CFS!T26)</f>
        <v>43.1</v>
      </c>
      <c r="AB412" s="280"/>
      <c r="AC412" s="280"/>
      <c r="AD412" s="280">
        <f>-SUM(CFS!U26)</f>
        <v>57.7</v>
      </c>
      <c r="AE412" s="280"/>
      <c r="AF412" s="280"/>
      <c r="AG412" s="1113">
        <f>-SUM(CFS!V26)</f>
        <v>57.6</v>
      </c>
      <c r="AH412" s="1206">
        <f>-SUM(CFS!W26)</f>
        <v>34.1</v>
      </c>
      <c r="AI412" s="1206">
        <f>AJ412-AH412</f>
        <v>37.9</v>
      </c>
      <c r="AJ412" s="1188">
        <f>-SUM(CFS!Y26)</f>
        <v>72</v>
      </c>
      <c r="AK412" s="1206">
        <f>-SUM(CFS!Z26)</f>
        <v>36.700000000000003</v>
      </c>
      <c r="AL412" s="1188">
        <f t="shared" ref="AL412" si="1772">AM412-AK412</f>
        <v>37.799999999999997</v>
      </c>
      <c r="AM412" s="1579">
        <f>-SUM(CFS!AB26)</f>
        <v>74.5</v>
      </c>
      <c r="AN412" s="1582">
        <f>-SUM(CFS!AC26)</f>
        <v>38.700000000000003</v>
      </c>
      <c r="AO412" s="280">
        <f>AP412-AN412</f>
        <v>43.599999999999994</v>
      </c>
      <c r="AP412" s="1579">
        <f>-SUM(CFS!AE26)</f>
        <v>82.3</v>
      </c>
      <c r="AQ412" s="1639">
        <f>-SUM(CFS!AF26)</f>
        <v>46.9</v>
      </c>
      <c r="AR412" s="280">
        <f t="shared" ref="AR412" si="1773">AS412-AQ412</f>
        <v>42.308009823927655</v>
      </c>
      <c r="AS412" s="201">
        <f>AS413*AS7</f>
        <v>89.208009823927654</v>
      </c>
      <c r="AT412" s="280">
        <f t="shared" ref="AT412" si="1774">0.5*AV412</f>
        <v>49.381378820547326</v>
      </c>
      <c r="AU412" s="280">
        <f t="shared" ref="AU412" si="1775">AV412-AT412</f>
        <v>49.381378820547326</v>
      </c>
      <c r="AV412" s="201">
        <f>AV413*AV7</f>
        <v>98.762757641094652</v>
      </c>
      <c r="AW412" s="280">
        <f t="shared" ref="AW412" si="1776">0.5*AY412</f>
        <v>51.456429662202247</v>
      </c>
      <c r="AX412" s="280">
        <f t="shared" ref="AX412" si="1777">AY412-AW412</f>
        <v>51.456429662202247</v>
      </c>
      <c r="AY412" s="201">
        <f>AY413*AY7</f>
        <v>102.91285932440449</v>
      </c>
      <c r="AZ412" s="280">
        <f t="shared" ref="AZ412" si="1778">0.5*BB412</f>
        <v>53.6212310067814</v>
      </c>
      <c r="BA412" s="280">
        <f t="shared" ref="BA412" si="1779">BB412-AZ412</f>
        <v>53.6212310067814</v>
      </c>
      <c r="BB412" s="201">
        <f>BB413*BB7</f>
        <v>107.2424620135628</v>
      </c>
      <c r="BC412" s="1206"/>
      <c r="BD412" s="360"/>
      <c r="BE412" s="360"/>
      <c r="BF412" s="360"/>
      <c r="BG412" s="360"/>
      <c r="BH412" s="323"/>
      <c r="BI412" s="325"/>
      <c r="BJ412" s="325"/>
      <c r="BK412" s="360"/>
      <c r="BL412" s="360"/>
      <c r="BM412" s="360"/>
      <c r="BN412" s="360"/>
      <c r="BO412" s="360"/>
      <c r="BP412" s="360"/>
      <c r="BQ412" s="360"/>
      <c r="BR412" s="360"/>
      <c r="BS412" s="360"/>
      <c r="BT412" s="360"/>
      <c r="BU412" s="360"/>
      <c r="BV412" s="360"/>
      <c r="BW412" s="360"/>
      <c r="BX412" s="360"/>
      <c r="BY412" s="360"/>
      <c r="BZ412" s="360"/>
      <c r="CA412" s="360"/>
      <c r="CB412" s="360"/>
      <c r="CC412" s="360"/>
      <c r="CD412" s="360"/>
      <c r="CE412" s="360"/>
      <c r="CF412" s="360"/>
      <c r="CG412" s="360"/>
      <c r="CH412" s="360"/>
      <c r="CI412" s="360"/>
      <c r="CJ412" s="360"/>
      <c r="CK412" s="360"/>
      <c r="CL412" s="360"/>
      <c r="CM412" s="360"/>
      <c r="CN412" s="360"/>
    </row>
    <row r="413" spans="1:92">
      <c r="A413" s="165"/>
      <c r="B413" s="955" t="s">
        <v>416</v>
      </c>
      <c r="C413" s="952"/>
      <c r="D413" s="266"/>
      <c r="E413" s="266"/>
      <c r="F413" s="266">
        <f>F412/'P&amp;L'!C6</f>
        <v>1.7572751415684238E-2</v>
      </c>
      <c r="G413" s="266">
        <f>G412/'P&amp;L'!F6</f>
        <v>2.2729835063898644E-2</v>
      </c>
      <c r="H413" s="266">
        <f>H412/'P&amp;L'!I6</f>
        <v>2.2785733122172858E-2</v>
      </c>
      <c r="I413" s="266">
        <f>I412/'P&amp;L'!L6</f>
        <v>3.0709827758106448E-2</v>
      </c>
      <c r="J413" s="266">
        <f>J412/'P&amp;L'!O6</f>
        <v>2.6841166232524104E-2</v>
      </c>
      <c r="K413" s="266">
        <f>K412/'P&amp;L'!R6</f>
        <v>2.8204098954152001E-2</v>
      </c>
      <c r="L413" s="266">
        <f>L412/'P&amp;L'!U6</f>
        <v>1.9097086452515528E-2</v>
      </c>
      <c r="M413" s="266">
        <f>M412/'P&amp;L'!X6</f>
        <v>1.9939077076285457E-2</v>
      </c>
      <c r="N413" s="266">
        <f>N412/'P&amp;L'!AA6</f>
        <v>1.5227829455609236E-2</v>
      </c>
      <c r="O413" s="266">
        <f>O412/'P&amp;L'!AD6</f>
        <v>1.4731798022374891E-2</v>
      </c>
      <c r="P413" s="266">
        <f>P412/'P&amp;L'!AG6</f>
        <v>1.0671926006528836E-2</v>
      </c>
      <c r="Q413" s="266">
        <f>Q412/'P&amp;L'!AJ6</f>
        <v>1.0308932121046853E-2</v>
      </c>
      <c r="R413" s="266">
        <f>R412/'P&amp;L'!AM6</f>
        <v>1.1627715944860761E-2</v>
      </c>
      <c r="S413" s="266">
        <f>S412/'P&amp;L'!AP6</f>
        <v>1.3236423518011404E-2</v>
      </c>
      <c r="T413" s="266">
        <f>T412/'P&amp;L'!AS6</f>
        <v>8.724235963041933E-3</v>
      </c>
      <c r="U413" s="266">
        <f>U412/'P&amp;L'!AV6</f>
        <v>7.9366237252527609E-3</v>
      </c>
      <c r="V413" s="266"/>
      <c r="W413" s="266"/>
      <c r="X413" s="266">
        <f>X412/'P&amp;L'!AY6</f>
        <v>8.3576452017532742E-3</v>
      </c>
      <c r="Y413" s="266"/>
      <c r="Z413" s="266"/>
      <c r="AA413" s="266">
        <f>AA412/'P&amp;L'!BB6</f>
        <v>5.442675119019056E-3</v>
      </c>
      <c r="AB413" s="266"/>
      <c r="AC413" s="266"/>
      <c r="AD413" s="266">
        <f>AD412/'P&amp;L'!BE6</f>
        <v>6.4714393064232122E-3</v>
      </c>
      <c r="AE413" s="266"/>
      <c r="AF413" s="266"/>
      <c r="AG413" s="1116">
        <f>AG412/'P&amp;L'!BH6</f>
        <v>6.2391681109185441E-3</v>
      </c>
      <c r="AH413" s="1116">
        <f>AH412/'P&amp;L'!BI6</f>
        <v>6.4601686085062043E-3</v>
      </c>
      <c r="AI413" s="1116"/>
      <c r="AJ413" s="1116">
        <f>AJ412/'P&amp;L'!BK6</f>
        <v>7.4794315632011974E-3</v>
      </c>
      <c r="AK413" s="1116">
        <f>AK412/'P&amp;L'!BL6</f>
        <v>7.1095096956664923E-3</v>
      </c>
      <c r="AL413" s="1116"/>
      <c r="AM413" s="1116">
        <f>AM412/'P&amp;L'!BN6</f>
        <v>7.7665651974479803E-3</v>
      </c>
      <c r="AN413" s="1254"/>
      <c r="AO413" s="266"/>
      <c r="AP413" s="1119">
        <f>AP412/'P&amp;L'!BQ6</f>
        <v>7.7974002349641856E-3</v>
      </c>
      <c r="AQ413" s="1119"/>
      <c r="AR413" s="266"/>
      <c r="AS413" s="198">
        <v>8.0000000000000002E-3</v>
      </c>
      <c r="AT413" s="266"/>
      <c r="AU413" s="266"/>
      <c r="AV413" s="198">
        <v>8.5000000000000006E-3</v>
      </c>
      <c r="AW413" s="266"/>
      <c r="AX413" s="266"/>
      <c r="AY413" s="198">
        <f>+AV413</f>
        <v>8.5000000000000006E-3</v>
      </c>
      <c r="AZ413" s="266"/>
      <c r="BA413" s="266"/>
      <c r="BB413" s="198">
        <f>+AY413</f>
        <v>8.5000000000000006E-3</v>
      </c>
      <c r="BC413" s="1352"/>
      <c r="BD413" s="382"/>
      <c r="BE413" s="382"/>
      <c r="BF413" s="382"/>
      <c r="BG413" s="382"/>
      <c r="BH413" s="382"/>
      <c r="BI413" s="317"/>
      <c r="BJ413" s="317"/>
      <c r="BK413" s="376"/>
      <c r="BL413" s="376"/>
      <c r="BM413" s="376"/>
      <c r="BN413" s="376"/>
      <c r="BO413" s="376"/>
      <c r="BP413" s="376"/>
      <c r="BQ413" s="376"/>
      <c r="BR413" s="376"/>
      <c r="BS413" s="376"/>
      <c r="BT413" s="376"/>
      <c r="BU413" s="376"/>
      <c r="BV413" s="376"/>
      <c r="BW413" s="376"/>
      <c r="BX413" s="376"/>
      <c r="BY413" s="376"/>
      <c r="BZ413" s="376"/>
      <c r="CA413" s="376"/>
      <c r="CB413" s="376"/>
      <c r="CC413" s="376"/>
      <c r="CD413" s="376"/>
      <c r="CE413" s="376"/>
      <c r="CF413" s="376"/>
      <c r="CG413" s="376"/>
      <c r="CH413" s="376"/>
      <c r="CI413" s="376"/>
      <c r="CJ413" s="376"/>
      <c r="CK413" s="376"/>
      <c r="CL413" s="376"/>
      <c r="CM413" s="376"/>
      <c r="CN413" s="376"/>
    </row>
    <row r="414" spans="1:92">
      <c r="A414" s="165"/>
      <c r="B414" s="782"/>
      <c r="C414" s="952"/>
      <c r="D414" s="282"/>
      <c r="E414" s="282"/>
      <c r="F414" s="282"/>
      <c r="G414" s="282"/>
      <c r="H414" s="282"/>
      <c r="I414" s="282"/>
      <c r="J414" s="282"/>
      <c r="K414" s="282"/>
      <c r="L414" s="282"/>
      <c r="M414" s="282"/>
      <c r="N414" s="282"/>
      <c r="O414" s="282"/>
      <c r="P414" s="282"/>
      <c r="Q414" s="282"/>
      <c r="R414" s="282"/>
      <c r="S414" s="282"/>
      <c r="T414" s="282"/>
      <c r="U414" s="282"/>
      <c r="V414" s="282"/>
      <c r="W414" s="282"/>
      <c r="X414" s="282"/>
      <c r="Y414" s="282"/>
      <c r="Z414" s="282"/>
      <c r="AA414" s="282"/>
      <c r="AB414" s="282"/>
      <c r="AC414" s="282"/>
      <c r="AD414" s="282"/>
      <c r="AE414" s="282"/>
      <c r="AF414" s="282"/>
      <c r="AG414" s="282"/>
      <c r="AH414" s="190"/>
      <c r="AI414" s="190"/>
      <c r="AJ414" s="190"/>
      <c r="AK414" s="190"/>
      <c r="AL414" s="282"/>
      <c r="AM414" s="190"/>
      <c r="AN414" s="190"/>
      <c r="AO414" s="282"/>
      <c r="AP414" s="190"/>
      <c r="AQ414" s="1385"/>
      <c r="AR414" s="282"/>
      <c r="AS414" s="190"/>
      <c r="AT414" s="282"/>
      <c r="AU414" s="282"/>
      <c r="AV414" s="190"/>
      <c r="AW414" s="282"/>
      <c r="AX414" s="282"/>
      <c r="AY414" s="190"/>
      <c r="AZ414" s="282"/>
      <c r="BA414" s="282"/>
      <c r="BB414" s="190"/>
      <c r="BC414" s="190"/>
      <c r="BD414" s="316"/>
      <c r="BE414" s="316"/>
      <c r="BF414" s="316"/>
      <c r="BG414" s="316"/>
      <c r="BH414" s="315"/>
      <c r="BI414" s="317"/>
      <c r="BJ414" s="317"/>
      <c r="BK414" s="316"/>
      <c r="BL414" s="316"/>
      <c r="BM414" s="316"/>
      <c r="BN414" s="316"/>
      <c r="BO414" s="316"/>
      <c r="BP414" s="316"/>
      <c r="BQ414" s="316"/>
      <c r="BR414" s="316"/>
      <c r="BS414" s="316"/>
      <c r="BT414" s="316"/>
      <c r="BU414" s="316"/>
      <c r="BV414" s="316"/>
      <c r="BW414" s="316"/>
      <c r="BX414" s="316"/>
      <c r="BY414" s="316"/>
      <c r="BZ414" s="316"/>
      <c r="CA414" s="316"/>
      <c r="CB414" s="316"/>
      <c r="CC414" s="316"/>
      <c r="CD414" s="316"/>
      <c r="CE414" s="316"/>
      <c r="CF414" s="316"/>
      <c r="CG414" s="316"/>
      <c r="CH414" s="316"/>
      <c r="CI414" s="316"/>
      <c r="CJ414" s="316"/>
      <c r="CK414" s="316"/>
      <c r="CL414" s="316"/>
      <c r="CM414" s="316"/>
      <c r="CN414" s="316"/>
    </row>
    <row r="415" spans="1:92">
      <c r="A415" s="171"/>
      <c r="B415" s="783" t="s">
        <v>633</v>
      </c>
      <c r="C415" s="965"/>
      <c r="D415" s="279"/>
      <c r="E415" s="282"/>
      <c r="F415" s="282"/>
      <c r="G415" s="282"/>
      <c r="H415" s="282"/>
      <c r="I415" s="282"/>
      <c r="J415" s="282"/>
      <c r="K415" s="282"/>
      <c r="L415" s="282"/>
      <c r="M415" s="282"/>
      <c r="N415" s="282"/>
      <c r="O415" s="282"/>
      <c r="P415" s="282"/>
      <c r="Q415" s="279">
        <v>1.6</v>
      </c>
      <c r="R415" s="279">
        <v>1.6</v>
      </c>
      <c r="S415" s="279">
        <v>1.6</v>
      </c>
      <c r="T415" s="279">
        <v>1.4</v>
      </c>
      <c r="U415" s="279">
        <v>1.4</v>
      </c>
      <c r="V415" s="282"/>
      <c r="W415" s="282"/>
      <c r="X415" s="279">
        <v>1.4</v>
      </c>
      <c r="Y415" s="282"/>
      <c r="Z415" s="282"/>
      <c r="AA415" s="279">
        <v>1.4</v>
      </c>
      <c r="AB415" s="282"/>
      <c r="AC415" s="282"/>
      <c r="AD415" s="279">
        <v>1.6</v>
      </c>
      <c r="AE415" s="282"/>
      <c r="AF415" s="282"/>
      <c r="AG415" s="279">
        <v>1.6</v>
      </c>
      <c r="AH415" s="190"/>
      <c r="AI415" s="190"/>
      <c r="AJ415" s="245"/>
      <c r="AK415" s="190"/>
      <c r="AL415" s="282"/>
      <c r="AM415" s="245"/>
      <c r="AN415" s="190"/>
      <c r="AO415" s="282"/>
      <c r="AP415" s="245"/>
      <c r="AQ415" s="1385"/>
      <c r="AR415" s="282"/>
      <c r="AS415" s="245"/>
      <c r="AT415" s="282"/>
      <c r="AU415" s="282"/>
      <c r="AV415" s="245"/>
      <c r="AW415" s="282"/>
      <c r="AX415" s="282"/>
      <c r="AY415" s="245"/>
      <c r="AZ415" s="282"/>
      <c r="BA415" s="282"/>
      <c r="BB415" s="245"/>
      <c r="BC415" s="245"/>
      <c r="BD415" s="332"/>
      <c r="BE415" s="332"/>
      <c r="BF415" s="332"/>
      <c r="BG415" s="332"/>
      <c r="BH415" s="318"/>
      <c r="BI415" s="322"/>
      <c r="BJ415" s="322"/>
      <c r="BK415" s="316"/>
      <c r="BL415" s="316"/>
      <c r="BM415" s="316"/>
      <c r="BN415" s="316"/>
      <c r="BO415" s="316"/>
      <c r="BP415" s="316"/>
      <c r="BQ415" s="316"/>
      <c r="BR415" s="316"/>
      <c r="BS415" s="316"/>
      <c r="BT415" s="316"/>
      <c r="BU415" s="316"/>
      <c r="BV415" s="316"/>
      <c r="BW415" s="316"/>
      <c r="BX415" s="316"/>
      <c r="BY415" s="316"/>
      <c r="BZ415" s="316"/>
      <c r="CA415" s="316"/>
      <c r="CB415" s="316"/>
      <c r="CC415" s="316"/>
      <c r="CD415" s="316"/>
      <c r="CE415" s="316"/>
      <c r="CF415" s="316"/>
      <c r="CG415" s="316"/>
      <c r="CH415" s="316"/>
      <c r="CI415" s="316"/>
      <c r="CJ415" s="316"/>
      <c r="CK415" s="316"/>
      <c r="CL415" s="316"/>
      <c r="CM415" s="316"/>
      <c r="CN415" s="316"/>
    </row>
    <row r="416" spans="1:92">
      <c r="A416" s="171"/>
      <c r="B416" s="783" t="s">
        <v>635</v>
      </c>
      <c r="C416" s="965"/>
      <c r="D416" s="279"/>
      <c r="E416" s="282"/>
      <c r="F416" s="282"/>
      <c r="G416" s="282"/>
      <c r="H416" s="282"/>
      <c r="I416" s="282"/>
      <c r="J416" s="282"/>
      <c r="K416" s="282"/>
      <c r="L416" s="282"/>
      <c r="M416" s="282"/>
      <c r="N416" s="282"/>
      <c r="O416" s="282"/>
      <c r="P416" s="282"/>
      <c r="Q416" s="282">
        <v>1</v>
      </c>
      <c r="R416" s="282">
        <v>1</v>
      </c>
      <c r="S416" s="282">
        <v>1</v>
      </c>
      <c r="T416" s="282">
        <v>1</v>
      </c>
      <c r="U416" s="282">
        <v>1</v>
      </c>
      <c r="V416" s="282"/>
      <c r="W416" s="282"/>
      <c r="X416" s="282">
        <v>1</v>
      </c>
      <c r="Y416" s="282"/>
      <c r="Z416" s="282"/>
      <c r="AA416" s="282">
        <v>1</v>
      </c>
      <c r="AB416" s="282"/>
      <c r="AC416" s="282"/>
      <c r="AD416" s="282">
        <v>1</v>
      </c>
      <c r="AE416" s="282"/>
      <c r="AF416" s="282"/>
      <c r="AG416" s="282">
        <v>1</v>
      </c>
      <c r="AH416" s="190"/>
      <c r="AI416" s="190"/>
      <c r="AJ416" s="245"/>
      <c r="AK416" s="190"/>
      <c r="AL416" s="282"/>
      <c r="AM416" s="245"/>
      <c r="AN416" s="190"/>
      <c r="AO416" s="282"/>
      <c r="AP416" s="245"/>
      <c r="AQ416" s="1385"/>
      <c r="AR416" s="282"/>
      <c r="AS416" s="245"/>
      <c r="AT416" s="282"/>
      <c r="AU416" s="282"/>
      <c r="AV416" s="245"/>
      <c r="AW416" s="282"/>
      <c r="AX416" s="282"/>
      <c r="AY416" s="245"/>
      <c r="AZ416" s="282"/>
      <c r="BA416" s="282"/>
      <c r="BB416" s="245"/>
      <c r="BC416" s="245"/>
      <c r="BD416" s="332"/>
      <c r="BE416" s="332"/>
      <c r="BF416" s="332"/>
      <c r="BG416" s="332"/>
      <c r="BH416" s="318"/>
      <c r="BI416" s="322"/>
      <c r="BJ416" s="322"/>
      <c r="BK416" s="316"/>
      <c r="BL416" s="316"/>
      <c r="BM416" s="316"/>
      <c r="BN416" s="316"/>
      <c r="BO416" s="316"/>
      <c r="BP416" s="316"/>
      <c r="BQ416" s="316"/>
      <c r="BR416" s="316"/>
      <c r="BS416" s="316"/>
      <c r="BT416" s="316"/>
      <c r="BU416" s="316"/>
      <c r="BV416" s="316"/>
      <c r="BW416" s="316"/>
      <c r="BX416" s="316"/>
      <c r="BY416" s="316"/>
      <c r="BZ416" s="316"/>
      <c r="CA416" s="316"/>
      <c r="CB416" s="316"/>
      <c r="CC416" s="316"/>
      <c r="CD416" s="316"/>
      <c r="CE416" s="316"/>
      <c r="CF416" s="316"/>
      <c r="CG416" s="316"/>
      <c r="CH416" s="316"/>
      <c r="CI416" s="316"/>
      <c r="CJ416" s="316"/>
      <c r="CK416" s="316"/>
      <c r="CL416" s="316"/>
      <c r="CM416" s="316"/>
      <c r="CN416" s="316"/>
    </row>
    <row r="417" spans="1:92">
      <c r="A417" s="171"/>
      <c r="B417" s="839" t="s">
        <v>632</v>
      </c>
      <c r="C417" s="965"/>
      <c r="D417" s="279"/>
      <c r="E417" s="282"/>
      <c r="F417" s="282"/>
      <c r="G417" s="282"/>
      <c r="H417" s="282"/>
      <c r="I417" s="282"/>
      <c r="J417" s="279"/>
      <c r="K417" s="279"/>
      <c r="L417" s="279"/>
      <c r="M417" s="279"/>
      <c r="N417" s="279"/>
      <c r="O417" s="279">
        <f>16.967/15</f>
        <v>1.1311333333333333</v>
      </c>
      <c r="P417" s="279">
        <f>18.72/13</f>
        <v>1.44</v>
      </c>
      <c r="Q417" s="279">
        <f>Q410/7</f>
        <v>1.3571428571428572</v>
      </c>
      <c r="R417" s="279">
        <v>1.4</v>
      </c>
      <c r="S417" s="279">
        <v>1.4</v>
      </c>
      <c r="T417" s="279">
        <v>1.4</v>
      </c>
      <c r="U417" s="279">
        <v>1.4</v>
      </c>
      <c r="V417" s="279"/>
      <c r="W417" s="279"/>
      <c r="X417" s="279">
        <v>1.4</v>
      </c>
      <c r="Y417" s="279"/>
      <c r="Z417" s="279"/>
      <c r="AA417" s="279">
        <v>1.4</v>
      </c>
      <c r="AB417" s="279"/>
      <c r="AC417" s="279"/>
      <c r="AD417" s="279">
        <v>1.4</v>
      </c>
      <c r="AE417" s="279"/>
      <c r="AF417" s="279"/>
      <c r="AG417" s="279">
        <v>1.4</v>
      </c>
      <c r="AH417" s="179"/>
      <c r="AI417" s="179"/>
      <c r="AJ417" s="245"/>
      <c r="AK417" s="179"/>
      <c r="AL417" s="279"/>
      <c r="AM417" s="251"/>
      <c r="AN417" s="179"/>
      <c r="AO417" s="279"/>
      <c r="AP417" s="245"/>
      <c r="AQ417" s="1371"/>
      <c r="AR417" s="279"/>
      <c r="AS417" s="251"/>
      <c r="AT417" s="279"/>
      <c r="AU417" s="279"/>
      <c r="AV417" s="251"/>
      <c r="AW417" s="279"/>
      <c r="AX417" s="279"/>
      <c r="AY417" s="251"/>
      <c r="AZ417" s="279"/>
      <c r="BA417" s="279"/>
      <c r="BB417" s="251"/>
      <c r="BC417" s="245"/>
      <c r="BD417" s="332"/>
      <c r="BE417" s="332"/>
      <c r="BF417" s="332"/>
      <c r="BG417" s="332"/>
      <c r="BH417" s="318"/>
      <c r="BI417" s="322"/>
      <c r="BJ417" s="322"/>
      <c r="BK417" s="320"/>
      <c r="BL417" s="320"/>
      <c r="BM417" s="320"/>
      <c r="BN417" s="320"/>
      <c r="BO417" s="320"/>
      <c r="BP417" s="320"/>
      <c r="BQ417" s="320"/>
      <c r="BR417" s="320"/>
      <c r="BS417" s="320"/>
      <c r="BT417" s="320"/>
      <c r="BU417" s="320"/>
      <c r="BV417" s="320"/>
      <c r="BW417" s="320"/>
      <c r="BX417" s="320"/>
      <c r="BY417" s="320"/>
      <c r="BZ417" s="320"/>
      <c r="CA417" s="320"/>
      <c r="CB417" s="320"/>
      <c r="CC417" s="320"/>
      <c r="CD417" s="320"/>
      <c r="CE417" s="320"/>
      <c r="CF417" s="320"/>
      <c r="CG417" s="320"/>
      <c r="CH417" s="320"/>
      <c r="CI417" s="320"/>
      <c r="CJ417" s="320"/>
      <c r="CK417" s="320"/>
      <c r="CL417" s="320"/>
      <c r="CM417" s="320"/>
      <c r="CN417" s="320"/>
    </row>
    <row r="418" spans="1:92">
      <c r="A418" s="171"/>
      <c r="B418" s="839"/>
      <c r="C418" s="965"/>
      <c r="D418" s="279"/>
      <c r="E418" s="282"/>
      <c r="F418" s="282"/>
      <c r="G418" s="282"/>
      <c r="H418" s="282"/>
      <c r="I418" s="282"/>
      <c r="J418" s="279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  <c r="AA418" s="279"/>
      <c r="AB418" s="279"/>
      <c r="AC418" s="279"/>
      <c r="AD418" s="279"/>
      <c r="AE418" s="279"/>
      <c r="AF418" s="279"/>
      <c r="AG418" s="279"/>
      <c r="AH418" s="179"/>
      <c r="AI418" s="179"/>
      <c r="AJ418" s="179"/>
      <c r="AK418" s="179"/>
      <c r="AL418" s="279"/>
      <c r="AM418" s="208"/>
      <c r="AN418" s="179"/>
      <c r="AO418" s="279"/>
      <c r="AP418" s="179"/>
      <c r="AQ418" s="1371"/>
      <c r="AR418" s="279"/>
      <c r="AS418" s="208"/>
      <c r="AT418" s="279"/>
      <c r="AU418" s="279"/>
      <c r="AV418" s="208"/>
      <c r="AW418" s="279"/>
      <c r="AX418" s="279"/>
      <c r="AY418" s="208"/>
      <c r="AZ418" s="279"/>
      <c r="BA418" s="279"/>
      <c r="BB418" s="208"/>
      <c r="BC418" s="179"/>
      <c r="BD418" s="320"/>
      <c r="BE418" s="320"/>
      <c r="BF418" s="320"/>
      <c r="BG418" s="320"/>
      <c r="BH418" s="318"/>
      <c r="BI418" s="322"/>
      <c r="BJ418" s="322"/>
      <c r="BK418" s="320"/>
      <c r="BL418" s="320"/>
      <c r="BM418" s="320"/>
      <c r="BN418" s="320"/>
      <c r="BO418" s="320"/>
      <c r="BP418" s="320"/>
      <c r="BQ418" s="320"/>
      <c r="BR418" s="320"/>
      <c r="BS418" s="320"/>
      <c r="BT418" s="320"/>
      <c r="BU418" s="320"/>
      <c r="BV418" s="320"/>
      <c r="BW418" s="320"/>
      <c r="BX418" s="320"/>
      <c r="BY418" s="320"/>
      <c r="BZ418" s="320"/>
      <c r="CA418" s="320"/>
      <c r="CB418" s="320"/>
      <c r="CC418" s="320"/>
      <c r="CD418" s="320"/>
      <c r="CE418" s="320"/>
      <c r="CF418" s="320"/>
      <c r="CG418" s="320"/>
      <c r="CH418" s="320"/>
      <c r="CI418" s="320"/>
      <c r="CJ418" s="320"/>
      <c r="CK418" s="320"/>
      <c r="CL418" s="320"/>
      <c r="CM418" s="320"/>
      <c r="CN418" s="320"/>
    </row>
    <row r="419" spans="1:92">
      <c r="A419" s="165"/>
      <c r="B419" s="833"/>
      <c r="C419" s="1055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2"/>
      <c r="O419" s="282"/>
      <c r="P419" s="282"/>
      <c r="Q419" s="282"/>
      <c r="R419" s="282"/>
      <c r="S419" s="282"/>
      <c r="T419" s="282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2"/>
      <c r="AG419" s="282"/>
      <c r="AH419" s="190"/>
      <c r="AI419" s="190"/>
      <c r="AJ419" s="190"/>
      <c r="AK419" s="190"/>
      <c r="AL419" s="282"/>
      <c r="AM419" s="190"/>
      <c r="AN419" s="282"/>
      <c r="AO419" s="282"/>
      <c r="AP419" s="190"/>
      <c r="AQ419" s="1375"/>
      <c r="AR419" s="282"/>
      <c r="AS419" s="190"/>
      <c r="AT419" s="282"/>
      <c r="AU419" s="282"/>
      <c r="AV419" s="190"/>
      <c r="AW419" s="282"/>
      <c r="AX419" s="282"/>
      <c r="AY419" s="190"/>
      <c r="AZ419" s="282"/>
      <c r="BA419" s="282"/>
      <c r="BB419" s="190"/>
      <c r="BC419" s="190"/>
      <c r="BD419" s="316"/>
      <c r="BE419" s="316"/>
      <c r="BF419" s="316"/>
      <c r="BG419" s="316"/>
      <c r="BH419" s="315"/>
      <c r="BI419" s="317"/>
      <c r="BJ419" s="317"/>
      <c r="BK419" s="316"/>
      <c r="BL419" s="316"/>
      <c r="BM419" s="316"/>
      <c r="BN419" s="316"/>
      <c r="BO419" s="316"/>
      <c r="BP419" s="316"/>
      <c r="BQ419" s="316"/>
      <c r="BR419" s="316"/>
      <c r="BS419" s="316"/>
      <c r="BT419" s="316"/>
      <c r="BU419" s="316"/>
      <c r="BV419" s="316"/>
      <c r="BW419" s="316"/>
      <c r="BX419" s="316"/>
      <c r="BY419" s="316"/>
      <c r="BZ419" s="316"/>
      <c r="CA419" s="316"/>
      <c r="CB419" s="316"/>
      <c r="CC419" s="316"/>
      <c r="CD419" s="316"/>
      <c r="CE419" s="316"/>
      <c r="CF419" s="316"/>
      <c r="CG419" s="316"/>
      <c r="CH419" s="316"/>
      <c r="CI419" s="316"/>
      <c r="CJ419" s="316"/>
      <c r="CK419" s="316"/>
      <c r="CL419" s="316"/>
      <c r="CM419" s="316"/>
      <c r="CN419" s="316"/>
    </row>
    <row r="420" spans="1:92">
      <c r="A420" s="174"/>
      <c r="B420" s="1068" t="s">
        <v>504</v>
      </c>
      <c r="C420" s="1067"/>
      <c r="D420" s="336"/>
      <c r="E420" s="336"/>
      <c r="F420" s="279">
        <f t="shared" ref="F420:R420" si="1780">-(F229-F25-F34)</f>
        <v>0.84300000000003905</v>
      </c>
      <c r="G420" s="279">
        <f t="shared" si="1780"/>
        <v>0.47499999999995879</v>
      </c>
      <c r="H420" s="279">
        <f t="shared" si="1780"/>
        <v>2.8959999999999582</v>
      </c>
      <c r="I420" s="279">
        <f t="shared" si="1780"/>
        <v>1.0709999999999695</v>
      </c>
      <c r="J420" s="279">
        <f t="shared" si="1780"/>
        <v>-1.2690000000000339</v>
      </c>
      <c r="K420" s="279">
        <f t="shared" si="1780"/>
        <v>-2.6810000000000542</v>
      </c>
      <c r="L420" s="279">
        <f t="shared" si="1780"/>
        <v>8.9999999999889724E-2</v>
      </c>
      <c r="M420" s="279">
        <f t="shared" si="1780"/>
        <v>0.25799999999964029</v>
      </c>
      <c r="N420" s="279">
        <f t="shared" si="1780"/>
        <v>0.16300000000001091</v>
      </c>
      <c r="O420" s="279">
        <f t="shared" si="1780"/>
        <v>4.5000000000101181E-2</v>
      </c>
      <c r="P420" s="279">
        <f t="shared" si="1780"/>
        <v>0.11499999999989541</v>
      </c>
      <c r="Q420" s="279">
        <f t="shared" si="1780"/>
        <v>-0.15700000000023806</v>
      </c>
      <c r="R420" s="279">
        <f t="shared" si="1780"/>
        <v>7.8999999999894044E-2</v>
      </c>
      <c r="S420" s="279">
        <f>R420</f>
        <v>7.8999999999894044E-2</v>
      </c>
      <c r="T420" s="279">
        <v>15.8</v>
      </c>
      <c r="U420" s="279"/>
      <c r="V420" s="279"/>
      <c r="W420" s="279"/>
      <c r="X420" s="279"/>
      <c r="Y420" s="279"/>
      <c r="Z420" s="279"/>
      <c r="AA420" s="279"/>
      <c r="AB420" s="279"/>
      <c r="AC420" s="279"/>
      <c r="AD420" s="279"/>
      <c r="AE420" s="279"/>
      <c r="AF420" s="279"/>
      <c r="AG420" s="279"/>
      <c r="AH420" s="179"/>
      <c r="AI420" s="179"/>
      <c r="AJ420" s="179"/>
      <c r="AK420" s="179"/>
      <c r="AL420" s="279"/>
      <c r="AM420" s="279"/>
      <c r="AN420" s="279"/>
      <c r="AO420" s="279"/>
      <c r="AP420" s="179"/>
      <c r="AQ420" s="1370"/>
      <c r="AR420" s="279"/>
      <c r="AS420" s="279"/>
      <c r="AT420" s="279"/>
      <c r="AU420" s="279"/>
      <c r="AV420" s="279"/>
      <c r="AW420" s="279"/>
      <c r="AX420" s="279"/>
      <c r="AY420" s="279"/>
      <c r="AZ420" s="279"/>
      <c r="BA420" s="279"/>
      <c r="BB420" s="279"/>
      <c r="BC420" s="179"/>
      <c r="BD420" s="428"/>
      <c r="BE420" s="428"/>
      <c r="BF420" s="428"/>
      <c r="BG420" s="428"/>
      <c r="BH420" s="426"/>
      <c r="BI420" s="427"/>
      <c r="BJ420" s="427"/>
      <c r="BK420" s="320"/>
      <c r="BL420" s="320"/>
      <c r="BM420" s="320"/>
      <c r="BN420" s="320"/>
      <c r="BO420" s="320"/>
      <c r="BP420" s="320"/>
      <c r="BQ420" s="320"/>
      <c r="BR420" s="320"/>
      <c r="BS420" s="320"/>
      <c r="BT420" s="320"/>
      <c r="BU420" s="320"/>
      <c r="BV420" s="320"/>
      <c r="BW420" s="320"/>
      <c r="BX420" s="320"/>
      <c r="BY420" s="320">
        <v>-0.2</v>
      </c>
      <c r="BZ420" s="320">
        <f>N420-BY420</f>
        <v>0.36300000000001093</v>
      </c>
      <c r="CA420" s="320">
        <v>0</v>
      </c>
      <c r="CB420" s="320">
        <f>O420-CA420</f>
        <v>4.5000000000101181E-2</v>
      </c>
      <c r="CC420" s="320">
        <v>0.1</v>
      </c>
      <c r="CD420" s="320"/>
      <c r="CE420" s="320">
        <v>0.1</v>
      </c>
      <c r="CF420" s="320"/>
      <c r="CG420" s="320"/>
      <c r="CH420" s="320"/>
      <c r="CI420" s="320"/>
      <c r="CJ420" s="320"/>
      <c r="CK420" s="320"/>
      <c r="CL420" s="320"/>
      <c r="CM420" s="320"/>
      <c r="CN420" s="320"/>
    </row>
    <row r="421" spans="1:92">
      <c r="A421" s="171"/>
      <c r="B421" s="783" t="s">
        <v>513</v>
      </c>
      <c r="C421" s="965"/>
      <c r="D421" s="279"/>
      <c r="E421" s="279"/>
      <c r="F421" s="842">
        <v>1.542</v>
      </c>
      <c r="G421" s="842">
        <v>1.208</v>
      </c>
      <c r="H421" s="842">
        <v>4.2480000000000002</v>
      </c>
      <c r="I421" s="842">
        <v>6.3319999999999999</v>
      </c>
      <c r="J421" s="842">
        <v>5.6989999999999998</v>
      </c>
      <c r="K421" s="842">
        <v>6.9710000000000001</v>
      </c>
      <c r="L421" s="842">
        <v>7.6079999999999997</v>
      </c>
      <c r="M421" s="842">
        <v>8.4290000000000003</v>
      </c>
      <c r="N421" s="842">
        <v>7.617</v>
      </c>
      <c r="O421" s="842">
        <v>12.226000000000001</v>
      </c>
      <c r="P421" s="842">
        <v>13.49</v>
      </c>
      <c r="Q421" s="842">
        <v>17.317</v>
      </c>
      <c r="R421" s="842"/>
      <c r="S421" s="842"/>
      <c r="T421" s="842"/>
      <c r="U421" s="842"/>
      <c r="V421" s="841"/>
      <c r="W421" s="841"/>
      <c r="X421" s="842"/>
      <c r="Y421" s="841"/>
      <c r="Z421" s="841"/>
      <c r="AA421" s="842"/>
      <c r="AB421" s="841"/>
      <c r="AC421" s="841"/>
      <c r="AD421" s="842"/>
      <c r="AE421" s="841"/>
      <c r="AF421" s="841"/>
      <c r="AG421" s="842"/>
      <c r="AH421" s="179"/>
      <c r="AI421" s="179"/>
      <c r="AJ421" s="179"/>
      <c r="AK421" s="179"/>
      <c r="AL421" s="279"/>
      <c r="AM421" s="179"/>
      <c r="AN421" s="279"/>
      <c r="AO421" s="279"/>
      <c r="AP421" s="179"/>
      <c r="AQ421" s="1370"/>
      <c r="AR421" s="279"/>
      <c r="AS421" s="179"/>
      <c r="AT421" s="279"/>
      <c r="AU421" s="279"/>
      <c r="AV421" s="179"/>
      <c r="AW421" s="279"/>
      <c r="AX421" s="279"/>
      <c r="AY421" s="179"/>
      <c r="AZ421" s="279"/>
      <c r="BA421" s="279"/>
      <c r="BB421" s="179"/>
      <c r="BC421" s="179"/>
      <c r="BD421" s="320"/>
      <c r="BE421" s="320"/>
      <c r="BF421" s="320"/>
      <c r="BG421" s="320"/>
      <c r="BH421" s="318"/>
      <c r="BI421" s="322"/>
      <c r="BJ421" s="322"/>
      <c r="BK421" s="333"/>
      <c r="BL421" s="333"/>
      <c r="BM421" s="333"/>
      <c r="BN421" s="333"/>
      <c r="BO421" s="333"/>
      <c r="BP421" s="333"/>
      <c r="BQ421" s="333"/>
      <c r="BR421" s="333"/>
      <c r="BS421" s="333"/>
      <c r="BT421" s="333"/>
      <c r="BU421" s="333"/>
      <c r="BV421" s="333"/>
      <c r="BW421" s="333"/>
      <c r="BX421" s="333"/>
      <c r="BY421" s="333"/>
      <c r="BZ421" s="333"/>
      <c r="CA421" s="333"/>
      <c r="CB421" s="333"/>
      <c r="CC421" s="333"/>
      <c r="CD421" s="333"/>
      <c r="CE421" s="333"/>
      <c r="CF421" s="333"/>
      <c r="CG421" s="333"/>
      <c r="CH421" s="333"/>
      <c r="CI421" s="333"/>
      <c r="CJ421" s="333"/>
      <c r="CK421" s="333"/>
      <c r="CL421" s="333"/>
      <c r="CM421" s="333"/>
      <c r="CN421" s="333"/>
    </row>
    <row r="422" spans="1:92">
      <c r="A422" s="171"/>
      <c r="B422" s="783" t="s">
        <v>514</v>
      </c>
      <c r="C422" s="965"/>
      <c r="D422" s="279"/>
      <c r="E422" s="279"/>
      <c r="F422" s="968">
        <f t="shared" ref="F422:S422" si="1781">F421/F90</f>
        <v>4.3334691640788568E-3</v>
      </c>
      <c r="G422" s="968">
        <f t="shared" si="1781"/>
        <v>2.670457183154013E-3</v>
      </c>
      <c r="H422" s="968">
        <f t="shared" si="1781"/>
        <v>6.1215402417777835E-3</v>
      </c>
      <c r="I422" s="968">
        <f t="shared" si="1781"/>
        <v>6.6947128473569522E-3</v>
      </c>
      <c r="J422" s="968">
        <f t="shared" si="1781"/>
        <v>4.4459630982722452E-3</v>
      </c>
      <c r="K422" s="968">
        <f t="shared" si="1781"/>
        <v>3.8122811123920191E-3</v>
      </c>
      <c r="L422" s="968">
        <f t="shared" si="1781"/>
        <v>3.2690719496611042E-3</v>
      </c>
      <c r="M422" s="968">
        <f t="shared" si="1781"/>
        <v>3.0860536297467891E-3</v>
      </c>
      <c r="N422" s="968">
        <f t="shared" si="1781"/>
        <v>2.5739603879762897E-3</v>
      </c>
      <c r="O422" s="968">
        <f t="shared" si="1781"/>
        <v>3.9088276969824086E-3</v>
      </c>
      <c r="P422" s="968">
        <f t="shared" si="1781"/>
        <v>4.0774996977390879E-3</v>
      </c>
      <c r="Q422" s="968">
        <f t="shared" si="1781"/>
        <v>4.9707572963236715E-3</v>
      </c>
      <c r="R422" s="968">
        <f t="shared" si="1781"/>
        <v>0</v>
      </c>
      <c r="S422" s="968">
        <f t="shared" si="1781"/>
        <v>0</v>
      </c>
      <c r="T422" s="968"/>
      <c r="U422" s="968"/>
      <c r="V422" s="582"/>
      <c r="W422" s="582"/>
      <c r="X422" s="968"/>
      <c r="Y422" s="582"/>
      <c r="Z422" s="582"/>
      <c r="AA422" s="968"/>
      <c r="AB422" s="582"/>
      <c r="AC422" s="582"/>
      <c r="AD422" s="968"/>
      <c r="AE422" s="582"/>
      <c r="AF422" s="582"/>
      <c r="AG422" s="1114"/>
      <c r="AH422" s="567"/>
      <c r="AI422" s="567"/>
      <c r="AJ422" s="179"/>
      <c r="AK422" s="567"/>
      <c r="AL422" s="618"/>
      <c r="AM422" s="179"/>
      <c r="AN422" s="618"/>
      <c r="AO422" s="304"/>
      <c r="AP422" s="179"/>
      <c r="AQ422" s="1379"/>
      <c r="AR422" s="304"/>
      <c r="AS422" s="179"/>
      <c r="AT422" s="304"/>
      <c r="AU422" s="304"/>
      <c r="AV422" s="179"/>
      <c r="AW422" s="304"/>
      <c r="AX422" s="304"/>
      <c r="AY422" s="179"/>
      <c r="AZ422" s="304"/>
      <c r="BA422" s="304"/>
      <c r="BB422" s="179"/>
      <c r="BC422" s="179"/>
      <c r="BD422" s="320"/>
      <c r="BE422" s="320"/>
      <c r="BF422" s="320"/>
      <c r="BG422" s="320"/>
      <c r="BH422" s="318"/>
      <c r="BI422" s="322"/>
      <c r="BJ422" s="322"/>
      <c r="BK422" s="365"/>
      <c r="BL422" s="365"/>
      <c r="BM422" s="365"/>
      <c r="BN422" s="365"/>
      <c r="BO422" s="365"/>
      <c r="BP422" s="365"/>
      <c r="BQ422" s="365"/>
      <c r="BR422" s="365"/>
      <c r="BS422" s="365"/>
      <c r="BT422" s="365"/>
      <c r="BU422" s="365"/>
      <c r="BV422" s="365"/>
      <c r="BW422" s="365"/>
      <c r="BX422" s="365"/>
      <c r="BY422" s="365"/>
      <c r="BZ422" s="365"/>
      <c r="CA422" s="365"/>
      <c r="CB422" s="365"/>
      <c r="CC422" s="365"/>
      <c r="CD422" s="365"/>
      <c r="CE422" s="365"/>
      <c r="CF422" s="365"/>
      <c r="CG422" s="365"/>
      <c r="CH422" s="365"/>
      <c r="CI422" s="365"/>
      <c r="CJ422" s="365"/>
      <c r="CK422" s="365"/>
      <c r="CL422" s="365"/>
      <c r="CM422" s="365"/>
      <c r="CN422" s="365"/>
    </row>
    <row r="423" spans="1:92">
      <c r="A423" s="171"/>
      <c r="B423" s="783" t="s">
        <v>515</v>
      </c>
      <c r="C423" s="965"/>
      <c r="D423" s="279"/>
      <c r="E423" s="279"/>
      <c r="F423" s="842">
        <v>0.3</v>
      </c>
      <c r="G423" s="842">
        <v>6.2E-2</v>
      </c>
      <c r="H423" s="842">
        <v>0.151</v>
      </c>
      <c r="I423" s="842">
        <v>0.183</v>
      </c>
      <c r="J423" s="842">
        <v>0.13200000000000001</v>
      </c>
      <c r="K423" s="842">
        <v>0.26500000000000001</v>
      </c>
      <c r="L423" s="842">
        <v>6.9000000000000006E-2</v>
      </c>
      <c r="M423" s="842">
        <v>7.6999999999999999E-2</v>
      </c>
      <c r="N423" s="842">
        <v>0.51500000000000001</v>
      </c>
      <c r="O423" s="842">
        <v>0.16200000000000001</v>
      </c>
      <c r="P423" s="842">
        <v>0</v>
      </c>
      <c r="Q423" s="842">
        <v>0</v>
      </c>
      <c r="R423" s="842">
        <v>1.119</v>
      </c>
      <c r="S423" s="842">
        <f>41.529-40.901</f>
        <v>0.62800000000000011</v>
      </c>
      <c r="T423" s="842"/>
      <c r="U423" s="842"/>
      <c r="V423" s="841"/>
      <c r="W423" s="841"/>
      <c r="X423" s="842"/>
      <c r="Y423" s="841"/>
      <c r="Z423" s="841"/>
      <c r="AA423" s="842"/>
      <c r="AB423" s="841"/>
      <c r="AC423" s="841"/>
      <c r="AD423" s="842"/>
      <c r="AE423" s="841"/>
      <c r="AF423" s="841"/>
      <c r="AG423" s="842"/>
      <c r="AH423" s="179"/>
      <c r="AI423" s="179"/>
      <c r="AJ423" s="179"/>
      <c r="AK423" s="179"/>
      <c r="AL423" s="279"/>
      <c r="AM423" s="179"/>
      <c r="AN423" s="279"/>
      <c r="AO423" s="279"/>
      <c r="AP423" s="179"/>
      <c r="AQ423" s="1370"/>
      <c r="AR423" s="279"/>
      <c r="AS423" s="179"/>
      <c r="AT423" s="279"/>
      <c r="AU423" s="279"/>
      <c r="AV423" s="179"/>
      <c r="AW423" s="279"/>
      <c r="AX423" s="279"/>
      <c r="AY423" s="179"/>
      <c r="AZ423" s="279"/>
      <c r="BA423" s="279"/>
      <c r="BB423" s="179"/>
      <c r="BC423" s="179"/>
      <c r="BD423" s="320"/>
      <c r="BE423" s="320"/>
      <c r="BF423" s="320"/>
      <c r="BG423" s="320"/>
      <c r="BH423" s="318"/>
      <c r="BI423" s="322"/>
      <c r="BJ423" s="322"/>
      <c r="BK423" s="333"/>
      <c r="BL423" s="333"/>
      <c r="BM423" s="333"/>
      <c r="BN423" s="333"/>
      <c r="BO423" s="333"/>
      <c r="BP423" s="333"/>
      <c r="BQ423" s="333"/>
      <c r="BR423" s="333"/>
      <c r="BS423" s="333"/>
      <c r="BT423" s="333"/>
      <c r="BU423" s="333"/>
      <c r="BV423" s="333"/>
      <c r="BW423" s="333"/>
      <c r="BX423" s="333"/>
      <c r="BY423" s="333"/>
      <c r="BZ423" s="333"/>
      <c r="CA423" s="333"/>
      <c r="CB423" s="333"/>
      <c r="CC423" s="333"/>
      <c r="CD423" s="333"/>
      <c r="CE423" s="333"/>
      <c r="CF423" s="333"/>
      <c r="CG423" s="333"/>
      <c r="CH423" s="333"/>
      <c r="CI423" s="333"/>
      <c r="CJ423" s="333"/>
      <c r="CK423" s="333"/>
      <c r="CL423" s="333"/>
      <c r="CM423" s="333"/>
      <c r="CN423" s="333"/>
    </row>
    <row r="424" spans="1:92">
      <c r="A424" s="171"/>
      <c r="B424" s="783" t="s">
        <v>516</v>
      </c>
      <c r="C424" s="965"/>
      <c r="D424" s="279"/>
      <c r="E424" s="279"/>
      <c r="F424" s="842" t="s">
        <v>517</v>
      </c>
      <c r="G424" s="842" t="s">
        <v>517</v>
      </c>
      <c r="H424" s="842">
        <v>77.721999999999994</v>
      </c>
      <c r="I424" s="842">
        <v>105.119</v>
      </c>
      <c r="J424" s="842">
        <v>134.471</v>
      </c>
      <c r="K424" s="842">
        <v>186.21100000000001</v>
      </c>
      <c r="L424" s="842">
        <v>225.73400000000001</v>
      </c>
      <c r="M424" s="842">
        <v>260.51400000000001</v>
      </c>
      <c r="N424" s="842">
        <v>282.82600000000002</v>
      </c>
      <c r="O424" s="842">
        <v>305.07400000000001</v>
      </c>
      <c r="P424" s="842">
        <v>334.82400000000001</v>
      </c>
      <c r="Q424" s="842">
        <v>351.41500000000002</v>
      </c>
      <c r="R424" s="842">
        <v>369.34100000000001</v>
      </c>
      <c r="S424" s="842">
        <v>399.08800000000002</v>
      </c>
      <c r="T424" s="842"/>
      <c r="U424" s="842"/>
      <c r="V424" s="841"/>
      <c r="W424" s="841"/>
      <c r="X424" s="842"/>
      <c r="Y424" s="841"/>
      <c r="Z424" s="841"/>
      <c r="AA424" s="842"/>
      <c r="AB424" s="841"/>
      <c r="AC424" s="841"/>
      <c r="AD424" s="842"/>
      <c r="AE424" s="841"/>
      <c r="AF424" s="841"/>
      <c r="AG424" s="842"/>
      <c r="AH424" s="179"/>
      <c r="AI424" s="179"/>
      <c r="AJ424" s="179"/>
      <c r="AK424" s="179"/>
      <c r="AL424" s="279"/>
      <c r="AM424" s="179"/>
      <c r="AN424" s="279"/>
      <c r="AO424" s="279"/>
      <c r="AP424" s="179"/>
      <c r="AQ424" s="1370"/>
      <c r="AR424" s="279"/>
      <c r="AS424" s="179"/>
      <c r="AT424" s="279"/>
      <c r="AU424" s="279"/>
      <c r="AV424" s="179"/>
      <c r="AW424" s="279"/>
      <c r="AX424" s="279"/>
      <c r="AY424" s="179"/>
      <c r="AZ424" s="279"/>
      <c r="BA424" s="279"/>
      <c r="BB424" s="179"/>
      <c r="BC424" s="179"/>
      <c r="BD424" s="320"/>
      <c r="BE424" s="320"/>
      <c r="BF424" s="320"/>
      <c r="BG424" s="320"/>
      <c r="BH424" s="318"/>
      <c r="BI424" s="322"/>
      <c r="BJ424" s="322"/>
      <c r="BK424" s="333"/>
      <c r="BL424" s="333"/>
      <c r="BM424" s="333"/>
      <c r="BN424" s="333"/>
      <c r="BO424" s="333"/>
      <c r="BP424" s="333"/>
      <c r="BQ424" s="333"/>
      <c r="BR424" s="333"/>
      <c r="BS424" s="333"/>
      <c r="BT424" s="333"/>
      <c r="BU424" s="333"/>
      <c r="BV424" s="333"/>
      <c r="BW424" s="333"/>
      <c r="BX424" s="333"/>
      <c r="BY424" s="333"/>
      <c r="BZ424" s="333"/>
      <c r="CA424" s="333"/>
      <c r="CB424" s="333"/>
      <c r="CC424" s="333"/>
      <c r="CD424" s="333"/>
      <c r="CE424" s="333"/>
      <c r="CF424" s="333"/>
      <c r="CG424" s="333"/>
      <c r="CH424" s="333"/>
      <c r="CI424" s="333"/>
      <c r="CJ424" s="333"/>
      <c r="CK424" s="333"/>
      <c r="CL424" s="333"/>
      <c r="CM424" s="333"/>
      <c r="CN424" s="333"/>
    </row>
    <row r="425" spans="1:92">
      <c r="A425" s="171"/>
      <c r="B425" s="783" t="s">
        <v>518</v>
      </c>
      <c r="C425" s="965"/>
      <c r="D425" s="279"/>
      <c r="E425" s="279"/>
      <c r="F425" s="842">
        <v>4.6829999999999998</v>
      </c>
      <c r="G425" s="842">
        <v>7.1390000000000002</v>
      </c>
      <c r="H425" s="842">
        <v>12.217000000000001</v>
      </c>
      <c r="I425" s="842">
        <v>16.872</v>
      </c>
      <c r="J425" s="842">
        <v>28.074000000000002</v>
      </c>
      <c r="K425" s="842">
        <v>38.511000000000003</v>
      </c>
      <c r="L425" s="842">
        <v>49.805999999999997</v>
      </c>
      <c r="M425" s="842">
        <v>58.378999999999998</v>
      </c>
      <c r="N425" s="842">
        <v>65.721999999999994</v>
      </c>
      <c r="O425" s="842">
        <v>73.224999999999994</v>
      </c>
      <c r="P425" s="842">
        <v>82.055999999999997</v>
      </c>
      <c r="Q425" s="842">
        <v>87.114000000000004</v>
      </c>
      <c r="R425" s="842">
        <v>94.671999999999997</v>
      </c>
      <c r="S425" s="842">
        <v>102.29</v>
      </c>
      <c r="T425" s="842">
        <v>152.4</v>
      </c>
      <c r="U425" s="842">
        <v>193.1</v>
      </c>
      <c r="V425" s="616"/>
      <c r="W425" s="616"/>
      <c r="X425" s="842"/>
      <c r="Y425" s="616"/>
      <c r="Z425" s="616"/>
      <c r="AA425" s="842"/>
      <c r="AB425" s="616"/>
      <c r="AC425" s="616"/>
      <c r="AD425" s="842"/>
      <c r="AE425" s="616"/>
      <c r="AF425" s="616"/>
      <c r="AG425" s="842"/>
      <c r="AH425" s="137"/>
      <c r="AI425" s="137"/>
      <c r="AJ425" s="179"/>
      <c r="AK425" s="137"/>
      <c r="AL425" s="284"/>
      <c r="AM425" s="179"/>
      <c r="AN425" s="284"/>
      <c r="AO425" s="263"/>
      <c r="AP425" s="179"/>
      <c r="AQ425" s="1376"/>
      <c r="AR425" s="263"/>
      <c r="AS425" s="179"/>
      <c r="AT425" s="263"/>
      <c r="AU425" s="263"/>
      <c r="AV425" s="179"/>
      <c r="AW425" s="263"/>
      <c r="AX425" s="263"/>
      <c r="AY425" s="179"/>
      <c r="AZ425" s="263"/>
      <c r="BA425" s="263"/>
      <c r="BB425" s="179"/>
      <c r="BC425" s="179"/>
      <c r="BD425" s="320"/>
      <c r="BE425" s="320"/>
      <c r="BF425" s="320"/>
      <c r="BG425" s="320"/>
      <c r="BH425" s="318"/>
      <c r="BI425" s="322"/>
      <c r="BJ425" s="322"/>
      <c r="BK425" s="333"/>
      <c r="BL425" s="333"/>
      <c r="BM425" s="333"/>
      <c r="BN425" s="333"/>
      <c r="BO425" s="333"/>
      <c r="BP425" s="333"/>
      <c r="BQ425" s="333"/>
      <c r="BR425" s="333"/>
      <c r="BS425" s="333"/>
      <c r="BT425" s="333"/>
      <c r="BU425" s="333"/>
      <c r="BV425" s="333"/>
      <c r="BW425" s="333"/>
      <c r="BX425" s="333"/>
      <c r="BY425" s="333"/>
      <c r="BZ425" s="333"/>
      <c r="CA425" s="333"/>
      <c r="CB425" s="333"/>
      <c r="CC425" s="333"/>
      <c r="CD425" s="333"/>
      <c r="CE425" s="333"/>
      <c r="CF425" s="333"/>
      <c r="CG425" s="333"/>
      <c r="CH425" s="333"/>
      <c r="CI425" s="333"/>
      <c r="CJ425" s="333"/>
      <c r="CK425" s="443">
        <f>315.5/297.2-1</f>
        <v>6.1574697173620407E-2</v>
      </c>
      <c r="CL425" s="443"/>
      <c r="CM425" s="443"/>
      <c r="CN425" s="443"/>
    </row>
    <row r="426" spans="1:92">
      <c r="A426" s="168"/>
      <c r="B426" s="1089" t="s">
        <v>519</v>
      </c>
      <c r="C426" s="964"/>
      <c r="D426" s="293"/>
      <c r="E426" s="293"/>
      <c r="F426" s="968"/>
      <c r="G426" s="968">
        <v>1.5800000000000002E-2</v>
      </c>
      <c r="H426" s="968">
        <v>1.7999999999999999E-2</v>
      </c>
      <c r="I426" s="968">
        <v>1.9800000000000002E-2</v>
      </c>
      <c r="J426" s="968">
        <v>2.01E-2</v>
      </c>
      <c r="K426" s="968">
        <v>1.9599999999999999E-2</v>
      </c>
      <c r="L426" s="968">
        <v>2.01E-2</v>
      </c>
      <c r="M426" s="968">
        <v>2.0199999999999999E-2</v>
      </c>
      <c r="N426" s="968">
        <v>2.1000000000000001E-2</v>
      </c>
      <c r="O426" s="968">
        <v>2.23E-2</v>
      </c>
      <c r="P426" s="968"/>
      <c r="Q426" s="968"/>
      <c r="R426" s="968"/>
      <c r="S426" s="968"/>
      <c r="T426" s="968"/>
      <c r="U426" s="968"/>
      <c r="V426" s="582"/>
      <c r="W426" s="582"/>
      <c r="X426" s="968"/>
      <c r="Y426" s="582"/>
      <c r="Z426" s="582"/>
      <c r="AA426" s="968"/>
      <c r="AB426" s="582"/>
      <c r="AC426" s="582"/>
      <c r="AD426" s="968"/>
      <c r="AE426" s="582"/>
      <c r="AF426" s="582"/>
      <c r="AG426" s="1114"/>
      <c r="AH426" s="567"/>
      <c r="AI426" s="567"/>
      <c r="AJ426" s="646"/>
      <c r="AK426" s="567"/>
      <c r="AL426" s="618"/>
      <c r="AM426" s="247"/>
      <c r="AN426" s="618"/>
      <c r="AO426" s="304"/>
      <c r="AP426" s="646"/>
      <c r="AQ426" s="1379"/>
      <c r="AR426" s="304"/>
      <c r="AS426" s="180"/>
      <c r="AT426" s="304"/>
      <c r="AU426" s="304"/>
      <c r="AV426" s="180"/>
      <c r="AW426" s="304"/>
      <c r="AX426" s="304"/>
      <c r="AY426" s="180"/>
      <c r="AZ426" s="304"/>
      <c r="BA426" s="304"/>
      <c r="BB426" s="180"/>
      <c r="BC426" s="566"/>
      <c r="BD426" s="321"/>
      <c r="BE426" s="321"/>
      <c r="BF426" s="321"/>
      <c r="BG426" s="321"/>
      <c r="BH426" s="363"/>
      <c r="BI426" s="364"/>
      <c r="BJ426" s="364"/>
      <c r="BK426" s="365"/>
      <c r="BL426" s="365"/>
      <c r="BM426" s="365"/>
      <c r="BN426" s="365"/>
      <c r="BO426" s="365"/>
      <c r="BP426" s="365"/>
      <c r="BQ426" s="365"/>
      <c r="BR426" s="365"/>
      <c r="BS426" s="365"/>
      <c r="BT426" s="365"/>
      <c r="BU426" s="365"/>
      <c r="BV426" s="365"/>
      <c r="BW426" s="365"/>
      <c r="BX426" s="365"/>
      <c r="BY426" s="365"/>
      <c r="BZ426" s="365"/>
      <c r="CA426" s="365"/>
      <c r="CB426" s="365"/>
      <c r="CC426" s="365"/>
      <c r="CD426" s="365"/>
      <c r="CE426" s="365"/>
      <c r="CF426" s="365"/>
      <c r="CG426" s="365"/>
      <c r="CH426" s="365"/>
      <c r="CI426" s="365"/>
      <c r="CJ426" s="365"/>
      <c r="CK426" s="365"/>
      <c r="CL426" s="365"/>
      <c r="CM426" s="365"/>
      <c r="CN426" s="365"/>
    </row>
    <row r="427" spans="1:92">
      <c r="A427" s="171"/>
      <c r="B427" s="783" t="s">
        <v>698</v>
      </c>
      <c r="C427" s="965"/>
      <c r="D427" s="279"/>
      <c r="E427" s="279"/>
      <c r="F427" s="841"/>
      <c r="G427" s="841"/>
      <c r="H427" s="841"/>
      <c r="I427" s="841"/>
      <c r="J427" s="841"/>
      <c r="K427" s="841"/>
      <c r="L427" s="841"/>
      <c r="M427" s="841"/>
      <c r="N427" s="841"/>
      <c r="O427" s="841"/>
      <c r="P427" s="841"/>
      <c r="Q427" s="841"/>
      <c r="R427" s="841"/>
      <c r="S427" s="841"/>
      <c r="T427" s="841"/>
      <c r="U427" s="841"/>
      <c r="V427" s="841"/>
      <c r="W427" s="841"/>
      <c r="X427" s="841"/>
      <c r="Y427" s="841"/>
      <c r="Z427" s="841"/>
      <c r="AA427" s="841"/>
      <c r="AB427" s="841"/>
      <c r="AC427" s="841"/>
      <c r="AD427" s="841"/>
      <c r="AE427" s="841"/>
      <c r="AF427" s="841"/>
      <c r="AG427" s="841"/>
      <c r="AH427" s="179"/>
      <c r="AI427" s="179"/>
      <c r="AJ427" s="179"/>
      <c r="AK427" s="179"/>
      <c r="AL427" s="279"/>
      <c r="AM427" s="179"/>
      <c r="AN427" s="279"/>
      <c r="AO427" s="279"/>
      <c r="AP427" s="179"/>
      <c r="AQ427" s="1370"/>
      <c r="AR427" s="279"/>
      <c r="AS427" s="179"/>
      <c r="AT427" s="279"/>
      <c r="AU427" s="279"/>
      <c r="AV427" s="179"/>
      <c r="AW427" s="279"/>
      <c r="AX427" s="279"/>
      <c r="AY427" s="179"/>
      <c r="AZ427" s="279"/>
      <c r="BA427" s="279"/>
      <c r="BB427" s="179"/>
      <c r="BC427" s="179"/>
      <c r="BD427" s="320"/>
      <c r="BE427" s="320"/>
      <c r="BF427" s="320"/>
      <c r="BG427" s="320"/>
      <c r="BH427" s="318"/>
      <c r="BI427" s="322"/>
      <c r="BJ427" s="322"/>
      <c r="BK427" s="333"/>
      <c r="BL427" s="333"/>
      <c r="BM427" s="333"/>
      <c r="BN427" s="333"/>
      <c r="BO427" s="333"/>
      <c r="BP427" s="333"/>
      <c r="BQ427" s="333"/>
      <c r="BR427" s="333"/>
      <c r="BS427" s="333"/>
      <c r="BT427" s="333"/>
      <c r="BU427" s="333"/>
      <c r="BV427" s="333"/>
      <c r="BW427" s="333"/>
      <c r="BX427" s="333"/>
      <c r="BY427" s="333"/>
      <c r="BZ427" s="333"/>
      <c r="CA427" s="333"/>
      <c r="CB427" s="333"/>
      <c r="CC427" s="333"/>
      <c r="CD427" s="333"/>
      <c r="CE427" s="333"/>
      <c r="CF427" s="333"/>
      <c r="CG427" s="333"/>
      <c r="CH427" s="333"/>
      <c r="CI427" s="333"/>
      <c r="CJ427" s="333"/>
      <c r="CK427" s="333"/>
      <c r="CL427" s="333"/>
      <c r="CM427" s="333"/>
      <c r="CN427" s="333"/>
    </row>
    <row r="428" spans="1:92">
      <c r="A428" s="171"/>
      <c r="B428" s="783"/>
      <c r="C428" s="965"/>
      <c r="D428" s="279"/>
      <c r="E428" s="279"/>
      <c r="F428" s="279"/>
      <c r="G428" s="279"/>
      <c r="H428" s="279"/>
      <c r="I428" s="279"/>
      <c r="J428" s="279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  <c r="AA428" s="279"/>
      <c r="AB428" s="279"/>
      <c r="AC428" s="279"/>
      <c r="AD428" s="279"/>
      <c r="AE428" s="279"/>
      <c r="AF428" s="279"/>
      <c r="AG428" s="279"/>
      <c r="AH428" s="179"/>
      <c r="AI428" s="179"/>
      <c r="AJ428" s="179"/>
      <c r="AK428" s="179"/>
      <c r="AL428" s="279"/>
      <c r="AM428" s="179"/>
      <c r="AN428" s="279"/>
      <c r="AO428" s="279"/>
      <c r="AP428" s="179"/>
      <c r="AQ428" s="1370"/>
      <c r="AR428" s="279"/>
      <c r="AS428" s="179"/>
      <c r="AT428" s="279"/>
      <c r="AU428" s="279"/>
      <c r="AV428" s="179"/>
      <c r="AW428" s="279"/>
      <c r="AX428" s="279"/>
      <c r="AY428" s="179"/>
      <c r="AZ428" s="279"/>
      <c r="BA428" s="279"/>
      <c r="BB428" s="179"/>
      <c r="BC428" s="179"/>
      <c r="BD428" s="320"/>
      <c r="BE428" s="320"/>
      <c r="BF428" s="320"/>
      <c r="BG428" s="320"/>
      <c r="BH428" s="318"/>
      <c r="BI428" s="322"/>
      <c r="BJ428" s="322"/>
      <c r="BK428" s="320"/>
      <c r="BL428" s="320"/>
      <c r="BM428" s="320"/>
      <c r="BN428" s="320"/>
      <c r="BO428" s="320"/>
      <c r="BP428" s="320"/>
      <c r="BQ428" s="320"/>
      <c r="BR428" s="320"/>
      <c r="BS428" s="320"/>
      <c r="BT428" s="320"/>
      <c r="BU428" s="320"/>
      <c r="BV428" s="320"/>
      <c r="BW428" s="320"/>
      <c r="BX428" s="320"/>
      <c r="BY428" s="320"/>
      <c r="BZ428" s="320"/>
      <c r="CA428" s="320"/>
      <c r="CB428" s="320"/>
      <c r="CC428" s="320"/>
      <c r="CD428" s="320"/>
      <c r="CE428" s="320"/>
      <c r="CF428" s="320"/>
      <c r="CG428" s="320"/>
      <c r="CH428" s="320"/>
      <c r="CI428" s="320"/>
      <c r="CJ428" s="320"/>
      <c r="CK428" s="320"/>
      <c r="CL428" s="320"/>
      <c r="CM428" s="320"/>
      <c r="CN428" s="320"/>
    </row>
    <row r="429" spans="1:92">
      <c r="A429" s="165"/>
      <c r="B429" s="782" t="s">
        <v>520</v>
      </c>
      <c r="C429" s="952"/>
      <c r="D429" s="282"/>
      <c r="E429" s="282"/>
      <c r="F429" s="1090">
        <v>822</v>
      </c>
      <c r="G429" s="1090">
        <v>1209</v>
      </c>
      <c r="H429" s="1090">
        <v>1582</v>
      </c>
      <c r="I429" s="1090"/>
      <c r="J429" s="1090"/>
      <c r="K429" s="1090"/>
      <c r="L429" s="1090"/>
      <c r="M429" s="1090"/>
      <c r="N429" s="1090">
        <f>1200/0.2</f>
        <v>6000</v>
      </c>
      <c r="O429" s="1090">
        <v>6683</v>
      </c>
      <c r="P429" s="1090">
        <v>6941</v>
      </c>
      <c r="Q429" s="1090"/>
      <c r="R429" s="1090"/>
      <c r="S429" s="1090"/>
      <c r="T429" s="1090"/>
      <c r="U429" s="1090"/>
      <c r="V429" s="1090"/>
      <c r="W429" s="1090"/>
      <c r="X429" s="1090"/>
      <c r="Y429" s="1090"/>
      <c r="Z429" s="1090"/>
      <c r="AA429" s="1090"/>
      <c r="AB429" s="1090"/>
      <c r="AC429" s="1090"/>
      <c r="AD429" s="1090"/>
      <c r="AE429" s="1090"/>
      <c r="AF429" s="1090"/>
      <c r="AG429" s="1090"/>
      <c r="AH429" s="190"/>
      <c r="AI429" s="190"/>
      <c r="AJ429" s="190"/>
      <c r="AK429" s="190"/>
      <c r="AL429" s="282"/>
      <c r="AM429" s="205"/>
      <c r="AN429" s="282"/>
      <c r="AO429" s="282"/>
      <c r="AP429" s="190"/>
      <c r="AQ429" s="1375"/>
      <c r="AR429" s="282"/>
      <c r="AS429" s="205"/>
      <c r="AT429" s="282"/>
      <c r="AU429" s="282"/>
      <c r="AV429" s="205"/>
      <c r="AW429" s="282"/>
      <c r="AX429" s="282"/>
      <c r="AY429" s="205"/>
      <c r="AZ429" s="282"/>
      <c r="BA429" s="282"/>
      <c r="BB429" s="205"/>
      <c r="BC429" s="190"/>
      <c r="BD429" s="316"/>
      <c r="BE429" s="316"/>
      <c r="BF429" s="316"/>
      <c r="BG429" s="316"/>
      <c r="BH429" s="315"/>
      <c r="BI429" s="317"/>
      <c r="BJ429" s="317"/>
      <c r="BK429" s="476"/>
      <c r="BL429" s="476"/>
      <c r="BM429" s="476"/>
      <c r="BN429" s="476"/>
      <c r="BO429" s="476"/>
      <c r="BP429" s="476"/>
      <c r="BQ429" s="476"/>
      <c r="BR429" s="476"/>
      <c r="BS429" s="476"/>
      <c r="BT429" s="476"/>
      <c r="BU429" s="476"/>
      <c r="BV429" s="476"/>
      <c r="BW429" s="476"/>
      <c r="BX429" s="476"/>
      <c r="BY429" s="476"/>
      <c r="BZ429" s="476"/>
      <c r="CA429" s="476"/>
      <c r="CB429" s="476"/>
      <c r="CC429" s="476"/>
      <c r="CD429" s="476"/>
      <c r="CE429" s="476"/>
      <c r="CF429" s="476"/>
      <c r="CG429" s="476"/>
      <c r="CH429" s="476"/>
      <c r="CI429" s="476"/>
      <c r="CJ429" s="476"/>
      <c r="CK429" s="476"/>
      <c r="CL429" s="476"/>
      <c r="CM429" s="476"/>
      <c r="CN429" s="476"/>
    </row>
    <row r="430" spans="1:92">
      <c r="A430" s="165"/>
      <c r="B430" s="782" t="s">
        <v>521</v>
      </c>
      <c r="C430" s="952"/>
      <c r="D430" s="282"/>
      <c r="E430" s="282"/>
      <c r="F430" s="841"/>
      <c r="G430" s="841"/>
      <c r="H430" s="841"/>
      <c r="I430" s="841"/>
      <c r="J430" s="841"/>
      <c r="K430" s="841"/>
      <c r="L430" s="1090"/>
      <c r="M430" s="1090"/>
      <c r="N430" s="1090"/>
      <c r="O430" s="841"/>
      <c r="P430" s="841"/>
      <c r="Q430" s="1090"/>
      <c r="R430" s="1090"/>
      <c r="S430" s="1090"/>
      <c r="T430" s="1090"/>
      <c r="U430" s="1090"/>
      <c r="V430" s="841"/>
      <c r="W430" s="841"/>
      <c r="X430" s="1090"/>
      <c r="Y430" s="841"/>
      <c r="Z430" s="841"/>
      <c r="AA430" s="1090"/>
      <c r="AB430" s="841"/>
      <c r="AC430" s="841"/>
      <c r="AD430" s="1090"/>
      <c r="AE430" s="841"/>
      <c r="AF430" s="841"/>
      <c r="AG430" s="1090"/>
      <c r="AH430" s="179"/>
      <c r="AI430" s="179"/>
      <c r="AJ430" s="190"/>
      <c r="AK430" s="179"/>
      <c r="AL430" s="279"/>
      <c r="AM430" s="205"/>
      <c r="AN430" s="279"/>
      <c r="AO430" s="279"/>
      <c r="AP430" s="190"/>
      <c r="AQ430" s="1370"/>
      <c r="AR430" s="279"/>
      <c r="AS430" s="205"/>
      <c r="AT430" s="279"/>
      <c r="AU430" s="279"/>
      <c r="AV430" s="205"/>
      <c r="AW430" s="279"/>
      <c r="AX430" s="279"/>
      <c r="AY430" s="205"/>
      <c r="AZ430" s="279"/>
      <c r="BA430" s="279"/>
      <c r="BB430" s="205"/>
      <c r="BC430" s="190"/>
      <c r="BD430" s="316"/>
      <c r="BE430" s="316"/>
      <c r="BF430" s="316"/>
      <c r="BG430" s="316"/>
      <c r="BH430" s="315"/>
      <c r="BI430" s="317"/>
      <c r="BJ430" s="317"/>
      <c r="BK430" s="333"/>
      <c r="BL430" s="333"/>
      <c r="BM430" s="333"/>
      <c r="BN430" s="333"/>
      <c r="BO430" s="333"/>
      <c r="BP430" s="333"/>
      <c r="BQ430" s="333"/>
      <c r="BR430" s="333"/>
      <c r="BS430" s="333"/>
      <c r="BT430" s="333"/>
      <c r="BU430" s="333"/>
      <c r="BV430" s="333"/>
      <c r="BW430" s="333"/>
      <c r="BX430" s="333"/>
      <c r="BY430" s="333"/>
      <c r="BZ430" s="333"/>
      <c r="CA430" s="333"/>
      <c r="CB430" s="333"/>
      <c r="CC430" s="333"/>
      <c r="CD430" s="333"/>
      <c r="CE430" s="333"/>
      <c r="CF430" s="333"/>
      <c r="CG430" s="333"/>
      <c r="CH430" s="333"/>
      <c r="CI430" s="333"/>
      <c r="CJ430" s="333"/>
      <c r="CK430" s="333"/>
      <c r="CL430" s="333"/>
      <c r="CM430" s="333"/>
      <c r="CN430" s="333"/>
    </row>
    <row r="431" spans="1:92">
      <c r="A431" s="165"/>
      <c r="B431" s="782"/>
      <c r="C431" s="952"/>
      <c r="D431" s="282"/>
      <c r="E431" s="282"/>
      <c r="F431" s="841"/>
      <c r="G431" s="841"/>
      <c r="H431" s="841"/>
      <c r="I431" s="841"/>
      <c r="J431" s="841"/>
      <c r="K431" s="841"/>
      <c r="L431" s="1090"/>
      <c r="M431" s="1090"/>
      <c r="N431" s="1090"/>
      <c r="O431" s="841"/>
      <c r="P431" s="841"/>
      <c r="Q431" s="1090"/>
      <c r="R431" s="1090"/>
      <c r="S431" s="1090"/>
      <c r="T431" s="1090"/>
      <c r="U431" s="1090"/>
      <c r="V431" s="841"/>
      <c r="W431" s="841"/>
      <c r="X431" s="1090"/>
      <c r="Y431" s="841"/>
      <c r="Z431" s="841"/>
      <c r="AA431" s="1090"/>
      <c r="AB431" s="841"/>
      <c r="AC431" s="841"/>
      <c r="AD431" s="1090"/>
      <c r="AE431" s="841"/>
      <c r="AF431" s="841"/>
      <c r="AG431" s="1090"/>
      <c r="AH431" s="179"/>
      <c r="AI431" s="179"/>
      <c r="AJ431" s="190"/>
      <c r="AK431" s="179"/>
      <c r="AL431" s="279"/>
      <c r="AM431" s="205"/>
      <c r="AN431" s="279"/>
      <c r="AO431" s="279"/>
      <c r="AP431" s="190"/>
      <c r="AQ431" s="1370"/>
      <c r="AR431" s="279"/>
      <c r="AS431" s="205"/>
      <c r="AT431" s="279"/>
      <c r="AU431" s="279"/>
      <c r="AV431" s="205"/>
      <c r="AW431" s="279"/>
      <c r="AX431" s="279"/>
      <c r="AY431" s="205"/>
      <c r="AZ431" s="279"/>
      <c r="BA431" s="279"/>
      <c r="BB431" s="205"/>
      <c r="BC431" s="190"/>
      <c r="BD431" s="316"/>
      <c r="BE431" s="316"/>
      <c r="BF431" s="316"/>
      <c r="BG431" s="316"/>
      <c r="BH431" s="315"/>
      <c r="BI431" s="317"/>
      <c r="BJ431" s="317"/>
      <c r="BK431" s="333"/>
      <c r="BL431" s="333"/>
      <c r="BM431" s="333"/>
      <c r="BN431" s="333"/>
      <c r="BO431" s="333"/>
      <c r="BP431" s="333"/>
      <c r="BQ431" s="333"/>
      <c r="BR431" s="333"/>
      <c r="BS431" s="333"/>
      <c r="BT431" s="333"/>
      <c r="BU431" s="333"/>
      <c r="BV431" s="333"/>
      <c r="BW431" s="333"/>
      <c r="BX431" s="333"/>
      <c r="BY431" s="333"/>
      <c r="BZ431" s="333"/>
      <c r="CA431" s="333"/>
      <c r="CB431" s="333"/>
      <c r="CC431" s="333"/>
      <c r="CD431" s="333"/>
      <c r="CE431" s="333"/>
      <c r="CF431" s="333"/>
      <c r="CG431" s="333"/>
      <c r="CH431" s="333"/>
      <c r="CI431" s="333"/>
      <c r="CJ431" s="333"/>
      <c r="CK431" s="333"/>
      <c r="CL431" s="333"/>
      <c r="CM431" s="333"/>
      <c r="CN431" s="333"/>
    </row>
    <row r="432" spans="1:92">
      <c r="A432" s="171"/>
      <c r="B432" s="171"/>
      <c r="C432" s="166"/>
      <c r="D432" s="166"/>
      <c r="E432" s="166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93"/>
      <c r="R432" s="193"/>
      <c r="S432" s="193"/>
      <c r="T432" s="193"/>
      <c r="U432" s="193"/>
      <c r="V432" s="179"/>
      <c r="W432" s="179"/>
      <c r="X432" s="193"/>
      <c r="Y432" s="179"/>
      <c r="Z432" s="179"/>
      <c r="AA432" s="193"/>
      <c r="AB432" s="179"/>
      <c r="AC432" s="179"/>
      <c r="AD432" s="193"/>
      <c r="AE432" s="179"/>
      <c r="AF432" s="179"/>
      <c r="AG432" s="179"/>
      <c r="AH432" s="179"/>
      <c r="AI432" s="179"/>
      <c r="AJ432" s="179"/>
      <c r="AK432" s="179"/>
      <c r="AL432" s="179"/>
      <c r="AM432" s="179"/>
      <c r="AN432" s="179"/>
      <c r="AO432" s="179"/>
      <c r="AP432" s="179"/>
      <c r="AQ432" s="1371"/>
      <c r="AR432" s="179"/>
      <c r="AS432" s="179"/>
      <c r="AT432" s="179"/>
      <c r="AU432" s="179"/>
      <c r="AV432" s="179"/>
      <c r="AW432" s="179"/>
      <c r="AX432" s="179"/>
      <c r="AY432" s="179"/>
      <c r="AZ432" s="179"/>
      <c r="BA432" s="179"/>
      <c r="BB432" s="179"/>
      <c r="BC432" s="179"/>
      <c r="BD432" s="179"/>
      <c r="BE432" s="179"/>
      <c r="BF432" s="179"/>
      <c r="BG432" s="179"/>
      <c r="BH432" s="171"/>
      <c r="BI432" s="171"/>
      <c r="BJ432" s="171"/>
      <c r="BK432" s="179"/>
      <c r="BL432" s="179"/>
      <c r="BM432" s="179"/>
      <c r="BN432" s="179"/>
      <c r="BO432" s="179"/>
      <c r="BP432" s="179"/>
      <c r="BQ432" s="179"/>
      <c r="BR432" s="179"/>
      <c r="BS432" s="179"/>
      <c r="BT432" s="179"/>
      <c r="BU432" s="179"/>
      <c r="BV432" s="179"/>
      <c r="BW432" s="179"/>
      <c r="BX432" s="179"/>
      <c r="BY432" s="179"/>
      <c r="BZ432" s="179"/>
      <c r="CA432" s="179"/>
      <c r="CB432" s="179"/>
      <c r="CC432" s="179"/>
      <c r="CD432" s="179"/>
      <c r="CE432" s="179"/>
      <c r="CF432" s="179"/>
      <c r="CG432" s="179"/>
      <c r="CH432" s="179"/>
      <c r="CI432" s="179"/>
      <c r="CJ432" s="179"/>
      <c r="CK432" s="179"/>
      <c r="CL432" s="179"/>
      <c r="CM432" s="179"/>
      <c r="CN432" s="179"/>
    </row>
    <row r="433" spans="1:92" outlineLevel="1">
      <c r="A433" s="512"/>
      <c r="B433" s="513" t="s">
        <v>808</v>
      </c>
      <c r="C433" s="514"/>
      <c r="D433" s="514"/>
      <c r="E433" s="514"/>
      <c r="F433" s="515"/>
      <c r="G433" s="515"/>
      <c r="H433" s="515"/>
      <c r="I433" s="515"/>
      <c r="J433" s="515"/>
      <c r="K433" s="515"/>
      <c r="L433" s="515"/>
      <c r="M433" s="515"/>
      <c r="N433" s="515"/>
      <c r="O433" s="515"/>
      <c r="P433" s="515"/>
      <c r="Q433" s="515">
        <f>Q434-P434</f>
        <v>33.454755312000017</v>
      </c>
      <c r="R433" s="515"/>
      <c r="S433" s="515"/>
      <c r="T433" s="515"/>
      <c r="U433" s="515"/>
      <c r="V433" s="515"/>
      <c r="W433" s="515"/>
      <c r="X433" s="515"/>
      <c r="Y433" s="515"/>
      <c r="Z433" s="515"/>
      <c r="AA433" s="515"/>
      <c r="AB433" s="515"/>
      <c r="AC433" s="515"/>
      <c r="AD433" s="515"/>
      <c r="AE433" s="515"/>
      <c r="AF433" s="515"/>
      <c r="AG433" s="515"/>
      <c r="AH433" s="515"/>
      <c r="AI433" s="515"/>
      <c r="AJ433" s="515"/>
      <c r="AK433" s="515"/>
      <c r="AL433" s="515"/>
      <c r="AM433" s="515"/>
      <c r="AN433" s="515"/>
      <c r="AO433" s="515"/>
      <c r="AP433" s="515"/>
      <c r="AQ433" s="1372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179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</row>
    <row r="434" spans="1:92" outlineLevel="1">
      <c r="A434" s="171"/>
      <c r="B434" s="171" t="s">
        <v>218</v>
      </c>
      <c r="C434" s="166"/>
      <c r="D434" s="166"/>
      <c r="E434" s="166"/>
      <c r="F434" s="179"/>
      <c r="G434" s="179"/>
      <c r="H434" s="179"/>
      <c r="I434" s="179"/>
      <c r="J434" s="179"/>
      <c r="K434" s="179"/>
      <c r="L434" s="179"/>
      <c r="M434" s="179"/>
      <c r="N434" s="179">
        <f>O434/(1+O435)</f>
        <v>35.624054669703874</v>
      </c>
      <c r="O434" s="179">
        <f>O436*O90</f>
        <v>46.916879999999999</v>
      </c>
      <c r="P434" s="179">
        <f>O434*(1+P435)</f>
        <v>79.148776560000002</v>
      </c>
      <c r="Q434" s="179">
        <f>Q439+Q449</f>
        <v>112.60353187200002</v>
      </c>
      <c r="R434" s="179">
        <f>R439+R449</f>
        <v>128.0968116528</v>
      </c>
      <c r="S434" s="179">
        <f>S439+S449</f>
        <v>140.90649281808004</v>
      </c>
      <c r="T434" s="179"/>
      <c r="U434" s="179"/>
      <c r="V434" s="179"/>
      <c r="W434" s="179"/>
      <c r="X434" s="179"/>
      <c r="Y434" s="179"/>
      <c r="Z434" s="179"/>
      <c r="AA434" s="179"/>
      <c r="AB434" s="179"/>
      <c r="AC434" s="179"/>
      <c r="AD434" s="179"/>
      <c r="AE434" s="179"/>
      <c r="AF434" s="179"/>
      <c r="AG434" s="179"/>
      <c r="AH434" s="179"/>
      <c r="AI434" s="179"/>
      <c r="AJ434" s="179"/>
      <c r="AK434" s="179"/>
      <c r="AL434" s="179"/>
      <c r="AM434" s="179"/>
      <c r="AN434" s="179"/>
      <c r="AO434" s="179"/>
      <c r="AP434" s="179"/>
      <c r="AQ434" s="1371"/>
      <c r="AR434" s="179"/>
      <c r="AS434" s="179"/>
      <c r="AT434" s="179"/>
      <c r="AU434" s="179"/>
      <c r="AV434" s="179"/>
      <c r="AW434" s="179"/>
      <c r="AX434" s="179"/>
      <c r="AY434" s="179"/>
      <c r="AZ434" s="179"/>
      <c r="BA434" s="179"/>
      <c r="BB434" s="179"/>
      <c r="BC434" s="179"/>
      <c r="BD434" s="179"/>
      <c r="BE434" s="179"/>
      <c r="BF434" s="179"/>
      <c r="BG434" s="179"/>
      <c r="BH434" s="171"/>
      <c r="BI434" s="171"/>
      <c r="BJ434" s="171"/>
      <c r="BK434" s="179"/>
      <c r="BL434" s="179"/>
      <c r="BM434" s="179"/>
      <c r="BN434" s="179"/>
      <c r="BO434" s="179"/>
      <c r="BP434" s="179"/>
      <c r="BQ434" s="179"/>
      <c r="BR434" s="179"/>
      <c r="BS434" s="179"/>
      <c r="BT434" s="179"/>
      <c r="BU434" s="179"/>
      <c r="BV434" s="179"/>
      <c r="BW434" s="179"/>
      <c r="BX434" s="179"/>
      <c r="BY434" s="179"/>
      <c r="BZ434" s="179"/>
      <c r="CA434" s="179">
        <v>20</v>
      </c>
      <c r="CB434" s="179">
        <f>O434-CA434</f>
        <v>26.916879999999999</v>
      </c>
      <c r="CC434" s="179">
        <f>CA434*(1+CC435)</f>
        <v>28.84</v>
      </c>
      <c r="CD434" s="179">
        <f>P434-CC434</f>
        <v>50.308776559999998</v>
      </c>
      <c r="CE434" s="179"/>
      <c r="CF434" s="179"/>
      <c r="CG434" s="179"/>
      <c r="CH434" s="179"/>
      <c r="CI434" s="179"/>
      <c r="CJ434" s="179"/>
      <c r="CK434" s="179"/>
      <c r="CL434" s="179"/>
      <c r="CM434" s="179"/>
      <c r="CN434" s="179"/>
    </row>
    <row r="435" spans="1:92" outlineLevel="1">
      <c r="A435" s="171"/>
      <c r="B435" s="171" t="s">
        <v>529</v>
      </c>
      <c r="C435" s="166"/>
      <c r="D435" s="166"/>
      <c r="E435" s="166"/>
      <c r="F435" s="179"/>
      <c r="G435" s="179"/>
      <c r="H435" s="179"/>
      <c r="I435" s="179"/>
      <c r="J435" s="179"/>
      <c r="K435" s="179"/>
      <c r="L435" s="179"/>
      <c r="M435" s="179"/>
      <c r="N435" s="179"/>
      <c r="O435" s="256">
        <v>0.317</v>
      </c>
      <c r="P435" s="256">
        <v>0.68700000000000006</v>
      </c>
      <c r="Q435" s="180">
        <f>Q434/P434-1</f>
        <v>0.42268190066891442</v>
      </c>
      <c r="R435" s="180"/>
      <c r="S435" s="180"/>
      <c r="T435" s="180"/>
      <c r="U435" s="180"/>
      <c r="V435" s="179"/>
      <c r="W435" s="179"/>
      <c r="X435" s="180"/>
      <c r="Y435" s="179"/>
      <c r="Z435" s="179"/>
      <c r="AA435" s="180"/>
      <c r="AB435" s="179"/>
      <c r="AC435" s="179"/>
      <c r="AD435" s="180"/>
      <c r="AE435" s="179"/>
      <c r="AF435" s="179"/>
      <c r="AG435" s="179"/>
      <c r="AH435" s="179"/>
      <c r="AI435" s="179"/>
      <c r="AJ435" s="179"/>
      <c r="AK435" s="179"/>
      <c r="AL435" s="179"/>
      <c r="AM435" s="179"/>
      <c r="AN435" s="179"/>
      <c r="AO435" s="179"/>
      <c r="AP435" s="179"/>
      <c r="AQ435" s="1371"/>
      <c r="AR435" s="179"/>
      <c r="AS435" s="179"/>
      <c r="AT435" s="179"/>
      <c r="AU435" s="179"/>
      <c r="AV435" s="179"/>
      <c r="AW435" s="179"/>
      <c r="AX435" s="179"/>
      <c r="AY435" s="179"/>
      <c r="AZ435" s="179"/>
      <c r="BA435" s="179"/>
      <c r="BB435" s="179"/>
      <c r="BC435" s="179"/>
      <c r="BD435" s="179"/>
      <c r="BE435" s="179"/>
      <c r="BF435" s="179"/>
      <c r="BG435" s="179"/>
      <c r="BH435" s="171"/>
      <c r="BI435" s="171"/>
      <c r="BJ435" s="171"/>
      <c r="BK435" s="179"/>
      <c r="BL435" s="179"/>
      <c r="BM435" s="179"/>
      <c r="BN435" s="179"/>
      <c r="BO435" s="179"/>
      <c r="BP435" s="179"/>
      <c r="BQ435" s="179"/>
      <c r="BR435" s="179"/>
      <c r="BS435" s="179"/>
      <c r="BT435" s="179"/>
      <c r="BU435" s="179"/>
      <c r="BV435" s="179"/>
      <c r="BW435" s="179"/>
      <c r="BX435" s="179"/>
      <c r="BY435" s="179"/>
      <c r="BZ435" s="179"/>
      <c r="CA435" s="179"/>
      <c r="CB435" s="179"/>
      <c r="CC435" s="179">
        <v>0.442</v>
      </c>
      <c r="CD435" s="179">
        <f>CD434/CB434-1</f>
        <v>0.86904190084437727</v>
      </c>
      <c r="CE435" s="179"/>
      <c r="CF435" s="179"/>
      <c r="CG435" s="179"/>
      <c r="CH435" s="179"/>
      <c r="CI435" s="179"/>
      <c r="CJ435" s="179"/>
      <c r="CK435" s="179"/>
      <c r="CL435" s="179"/>
      <c r="CM435" s="179"/>
      <c r="CN435" s="179"/>
    </row>
    <row r="436" spans="1:92" outlineLevel="1">
      <c r="A436" s="171"/>
      <c r="B436" s="171" t="s">
        <v>530</v>
      </c>
      <c r="C436" s="166"/>
      <c r="D436" s="166"/>
      <c r="E436" s="166"/>
      <c r="F436" s="179"/>
      <c r="G436" s="179"/>
      <c r="H436" s="179"/>
      <c r="I436" s="179"/>
      <c r="J436" s="179"/>
      <c r="K436" s="179"/>
      <c r="L436" s="179"/>
      <c r="M436" s="179"/>
      <c r="N436" s="179"/>
      <c r="O436" s="197">
        <v>1.4999999999999999E-2</v>
      </c>
      <c r="P436" s="193">
        <f>P434/P90</f>
        <v>2.3923581356546972E-2</v>
      </c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  <c r="AC436" s="179"/>
      <c r="AD436" s="179"/>
      <c r="AE436" s="179"/>
      <c r="AF436" s="179"/>
      <c r="AG436" s="179"/>
      <c r="AH436" s="179"/>
      <c r="AI436" s="179"/>
      <c r="AJ436" s="179"/>
      <c r="AK436" s="179"/>
      <c r="AL436" s="179"/>
      <c r="AM436" s="179"/>
      <c r="AN436" s="179"/>
      <c r="AO436" s="179"/>
      <c r="AP436" s="179"/>
      <c r="AQ436" s="1371"/>
      <c r="AR436" s="179"/>
      <c r="AS436" s="179"/>
      <c r="AT436" s="179"/>
      <c r="AU436" s="179"/>
      <c r="AV436" s="179"/>
      <c r="AW436" s="179"/>
      <c r="AX436" s="179"/>
      <c r="AY436" s="179"/>
      <c r="AZ436" s="179"/>
      <c r="BA436" s="179"/>
      <c r="BB436" s="179"/>
      <c r="BC436" s="179"/>
      <c r="BD436" s="179"/>
      <c r="BE436" s="179"/>
      <c r="BF436" s="179"/>
      <c r="BG436" s="179"/>
      <c r="BH436" s="171"/>
      <c r="BI436" s="171"/>
      <c r="BJ436" s="171"/>
      <c r="BK436" s="179"/>
      <c r="BL436" s="179"/>
      <c r="BM436" s="179"/>
      <c r="BN436" s="179"/>
      <c r="BO436" s="179"/>
      <c r="BP436" s="179"/>
      <c r="BQ436" s="179"/>
      <c r="BR436" s="179"/>
      <c r="BS436" s="179"/>
      <c r="BT436" s="179"/>
      <c r="BU436" s="179"/>
      <c r="BV436" s="179"/>
      <c r="BW436" s="179"/>
      <c r="BX436" s="179"/>
      <c r="BY436" s="179"/>
      <c r="BZ436" s="179"/>
      <c r="CA436" s="179"/>
      <c r="CB436" s="179"/>
      <c r="CC436" s="179"/>
      <c r="CD436" s="179"/>
      <c r="CE436" s="179"/>
      <c r="CF436" s="179"/>
      <c r="CG436" s="179"/>
      <c r="CH436" s="179"/>
      <c r="CI436" s="179"/>
      <c r="CJ436" s="179"/>
      <c r="CK436" s="179"/>
      <c r="CL436" s="179"/>
      <c r="CM436" s="179"/>
      <c r="CN436" s="179"/>
    </row>
    <row r="437" spans="1:92" outlineLevel="1">
      <c r="A437" s="171"/>
      <c r="B437" s="171"/>
      <c r="C437" s="166"/>
      <c r="D437" s="166"/>
      <c r="E437" s="166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  <c r="AC437" s="179"/>
      <c r="AD437" s="179"/>
      <c r="AE437" s="179"/>
      <c r="AF437" s="179"/>
      <c r="AG437" s="179"/>
      <c r="AH437" s="179"/>
      <c r="AI437" s="179"/>
      <c r="AJ437" s="179"/>
      <c r="AK437" s="179"/>
      <c r="AL437" s="179"/>
      <c r="AM437" s="179"/>
      <c r="AN437" s="179"/>
      <c r="AO437" s="179"/>
      <c r="AP437" s="179"/>
      <c r="AQ437" s="1371"/>
      <c r="AR437" s="179"/>
      <c r="AS437" s="179"/>
      <c r="AT437" s="179"/>
      <c r="AU437" s="179"/>
      <c r="AV437" s="179"/>
      <c r="AW437" s="179"/>
      <c r="AX437" s="179"/>
      <c r="AY437" s="179"/>
      <c r="AZ437" s="179"/>
      <c r="BA437" s="179"/>
      <c r="BB437" s="179"/>
      <c r="BC437" s="179"/>
      <c r="BD437" s="179"/>
      <c r="BE437" s="179"/>
      <c r="BF437" s="179"/>
      <c r="BG437" s="179"/>
      <c r="BH437" s="171"/>
      <c r="BI437" s="173"/>
      <c r="BJ437" s="173"/>
      <c r="BK437" s="179"/>
      <c r="BL437" s="179"/>
      <c r="BM437" s="179"/>
      <c r="BN437" s="179"/>
      <c r="BO437" s="179"/>
      <c r="BP437" s="179"/>
      <c r="BQ437" s="179"/>
      <c r="BR437" s="179"/>
      <c r="BS437" s="179"/>
      <c r="BT437" s="179"/>
      <c r="BU437" s="179"/>
      <c r="BV437" s="179"/>
      <c r="BW437" s="179"/>
      <c r="BX437" s="179"/>
      <c r="BY437" s="179"/>
      <c r="BZ437" s="179"/>
      <c r="CA437" s="179"/>
      <c r="CB437" s="179"/>
      <c r="CC437" s="179"/>
      <c r="CD437" s="179"/>
      <c r="CE437" s="179"/>
      <c r="CF437" s="179"/>
      <c r="CG437" s="179"/>
      <c r="CH437" s="179"/>
      <c r="CI437" s="179"/>
      <c r="CJ437" s="179"/>
      <c r="CK437" s="179"/>
      <c r="CL437" s="179"/>
      <c r="CM437" s="179"/>
      <c r="CN437" s="179"/>
    </row>
    <row r="438" spans="1:92" outlineLevel="1">
      <c r="A438" s="171"/>
      <c r="B438" s="183" t="s">
        <v>531</v>
      </c>
      <c r="C438" s="166"/>
      <c r="D438" s="166"/>
      <c r="E438" s="166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79"/>
      <c r="AH438" s="179"/>
      <c r="AI438" s="179"/>
      <c r="AJ438" s="179"/>
      <c r="AK438" s="179"/>
      <c r="AL438" s="179"/>
      <c r="AM438" s="179"/>
      <c r="AN438" s="179"/>
      <c r="AO438" s="179"/>
      <c r="AP438" s="179"/>
      <c r="AQ438" s="1371"/>
      <c r="AR438" s="179"/>
      <c r="AS438" s="179"/>
      <c r="AT438" s="179"/>
      <c r="AU438" s="179"/>
      <c r="AV438" s="179"/>
      <c r="AW438" s="179"/>
      <c r="AX438" s="179"/>
      <c r="AY438" s="179"/>
      <c r="AZ438" s="179"/>
      <c r="BA438" s="179"/>
      <c r="BB438" s="179"/>
      <c r="BC438" s="179"/>
      <c r="BD438" s="179"/>
      <c r="BE438" s="179"/>
      <c r="BF438" s="179"/>
      <c r="BG438" s="179"/>
      <c r="BH438" s="171"/>
      <c r="BI438" s="171"/>
      <c r="BJ438" s="171"/>
      <c r="BK438" s="179"/>
      <c r="BL438" s="179"/>
      <c r="BM438" s="179"/>
      <c r="BN438" s="179"/>
      <c r="BO438" s="179"/>
      <c r="BP438" s="179"/>
      <c r="BQ438" s="179"/>
      <c r="BR438" s="179"/>
      <c r="BS438" s="179"/>
      <c r="BT438" s="179"/>
      <c r="BU438" s="179"/>
      <c r="BV438" s="179"/>
      <c r="BW438" s="179"/>
      <c r="BX438" s="179"/>
      <c r="BY438" s="179"/>
      <c r="BZ438" s="179"/>
      <c r="CA438" s="179"/>
      <c r="CB438" s="179"/>
      <c r="CC438" s="179"/>
      <c r="CD438" s="179"/>
      <c r="CE438" s="179"/>
      <c r="CF438" s="179"/>
      <c r="CG438" s="179"/>
      <c r="CH438" s="179"/>
      <c r="CI438" s="179"/>
      <c r="CJ438" s="179"/>
      <c r="CK438" s="179"/>
      <c r="CL438" s="179"/>
      <c r="CM438" s="179"/>
      <c r="CN438" s="179"/>
    </row>
    <row r="439" spans="1:92" outlineLevel="1">
      <c r="A439" s="171"/>
      <c r="B439" s="172" t="s">
        <v>532</v>
      </c>
      <c r="C439" s="166"/>
      <c r="D439" s="166"/>
      <c r="E439" s="166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257">
        <v>24.3</v>
      </c>
      <c r="Q439" s="179">
        <f>P439*(1+Q440)</f>
        <v>27.945</v>
      </c>
      <c r="R439" s="179">
        <f>Q439*(1+R440)</f>
        <v>30.739500000000003</v>
      </c>
      <c r="S439" s="179">
        <f>R439*(1+S440)</f>
        <v>33.813450000000003</v>
      </c>
      <c r="T439" s="179"/>
      <c r="U439" s="179"/>
      <c r="V439" s="179"/>
      <c r="W439" s="179"/>
      <c r="X439" s="179"/>
      <c r="Y439" s="179"/>
      <c r="Z439" s="179"/>
      <c r="AA439" s="179"/>
      <c r="AB439" s="179"/>
      <c r="AC439" s="179"/>
      <c r="AD439" s="179"/>
      <c r="AE439" s="179"/>
      <c r="AF439" s="179"/>
      <c r="AG439" s="179"/>
      <c r="AH439" s="179"/>
      <c r="AI439" s="179"/>
      <c r="AJ439" s="179"/>
      <c r="AK439" s="179"/>
      <c r="AL439" s="179"/>
      <c r="AM439" s="179"/>
      <c r="AN439" s="179"/>
      <c r="AO439" s="179"/>
      <c r="AP439" s="179"/>
      <c r="AQ439" s="1371"/>
      <c r="AR439" s="179"/>
      <c r="AS439" s="179"/>
      <c r="AT439" s="179"/>
      <c r="AU439" s="179"/>
      <c r="AV439" s="179"/>
      <c r="AW439" s="179"/>
      <c r="AX439" s="179"/>
      <c r="AY439" s="179"/>
      <c r="AZ439" s="179"/>
      <c r="BA439" s="179"/>
      <c r="BB439" s="179"/>
      <c r="BC439" s="179"/>
      <c r="BD439" s="179"/>
      <c r="BE439" s="179"/>
      <c r="BF439" s="179"/>
      <c r="BG439" s="179"/>
      <c r="BH439" s="171"/>
      <c r="BI439" s="171"/>
      <c r="BJ439" s="171"/>
      <c r="BK439" s="179"/>
      <c r="BL439" s="179"/>
      <c r="BM439" s="179"/>
      <c r="BN439" s="179"/>
      <c r="BO439" s="179"/>
      <c r="BP439" s="179"/>
      <c r="BQ439" s="179"/>
      <c r="BR439" s="179"/>
      <c r="BS439" s="179"/>
      <c r="BT439" s="179"/>
      <c r="BU439" s="179"/>
      <c r="BV439" s="179"/>
      <c r="BW439" s="179"/>
      <c r="BX439" s="179"/>
      <c r="BY439" s="179"/>
      <c r="BZ439" s="179"/>
      <c r="CA439" s="179"/>
      <c r="CB439" s="179"/>
      <c r="CC439" s="179"/>
      <c r="CD439" s="179"/>
      <c r="CE439" s="179"/>
      <c r="CF439" s="179"/>
      <c r="CG439" s="179"/>
      <c r="CH439" s="179"/>
      <c r="CI439" s="179"/>
      <c r="CJ439" s="179"/>
      <c r="CK439" s="179"/>
      <c r="CL439" s="179"/>
      <c r="CM439" s="179"/>
      <c r="CN439" s="179"/>
    </row>
    <row r="440" spans="1:92" outlineLevel="1">
      <c r="A440" s="171"/>
      <c r="B440" s="172"/>
      <c r="C440" s="166"/>
      <c r="D440" s="166"/>
      <c r="E440" s="166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257"/>
      <c r="Q440" s="195">
        <v>0.15</v>
      </c>
      <c r="R440" s="195">
        <v>0.1</v>
      </c>
      <c r="S440" s="195">
        <v>0.1</v>
      </c>
      <c r="T440" s="195"/>
      <c r="U440" s="195"/>
      <c r="V440" s="179"/>
      <c r="W440" s="179"/>
      <c r="X440" s="195"/>
      <c r="Y440" s="179"/>
      <c r="Z440" s="179"/>
      <c r="AA440" s="195"/>
      <c r="AB440" s="179"/>
      <c r="AC440" s="179"/>
      <c r="AD440" s="195"/>
      <c r="AE440" s="179"/>
      <c r="AF440" s="179"/>
      <c r="AG440" s="179"/>
      <c r="AH440" s="179"/>
      <c r="AI440" s="179"/>
      <c r="AJ440" s="179"/>
      <c r="AK440" s="179"/>
      <c r="AL440" s="179"/>
      <c r="AM440" s="179"/>
      <c r="AN440" s="179"/>
      <c r="AO440" s="179"/>
      <c r="AP440" s="179"/>
      <c r="AQ440" s="1371"/>
      <c r="AR440" s="179"/>
      <c r="AS440" s="179"/>
      <c r="AT440" s="179"/>
      <c r="AU440" s="179"/>
      <c r="AV440" s="179"/>
      <c r="AW440" s="179"/>
      <c r="AX440" s="179"/>
      <c r="AY440" s="179"/>
      <c r="AZ440" s="179"/>
      <c r="BA440" s="179"/>
      <c r="BB440" s="179"/>
      <c r="BC440" s="179"/>
      <c r="BD440" s="179"/>
      <c r="BE440" s="179"/>
      <c r="BF440" s="179"/>
      <c r="BG440" s="179"/>
      <c r="BH440" s="171"/>
      <c r="BI440" s="171"/>
      <c r="BJ440" s="171"/>
      <c r="BK440" s="179"/>
      <c r="BL440" s="179"/>
      <c r="BM440" s="179"/>
      <c r="BN440" s="179"/>
      <c r="BO440" s="179"/>
      <c r="BP440" s="179"/>
      <c r="BQ440" s="179"/>
      <c r="BR440" s="179"/>
      <c r="BS440" s="179"/>
      <c r="BT440" s="179"/>
      <c r="BU440" s="179"/>
      <c r="BV440" s="179"/>
      <c r="BW440" s="179"/>
      <c r="BX440" s="179"/>
      <c r="BY440" s="179"/>
      <c r="BZ440" s="179"/>
      <c r="CA440" s="179"/>
      <c r="CB440" s="179"/>
      <c r="CC440" s="179"/>
      <c r="CD440" s="179"/>
      <c r="CE440" s="179"/>
      <c r="CF440" s="179"/>
      <c r="CG440" s="179"/>
      <c r="CH440" s="179"/>
      <c r="CI440" s="179"/>
      <c r="CJ440" s="179"/>
      <c r="CK440" s="179"/>
      <c r="CL440" s="179"/>
      <c r="CM440" s="179"/>
      <c r="CN440" s="179"/>
    </row>
    <row r="441" spans="1:92" outlineLevel="1">
      <c r="A441" s="171"/>
      <c r="B441" s="172" t="s">
        <v>533</v>
      </c>
      <c r="C441" s="166"/>
      <c r="D441" s="166"/>
      <c r="E441" s="166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257">
        <v>2</v>
      </c>
      <c r="Q441" s="179">
        <f>Q442*Q439</f>
        <v>2.2999999999999998</v>
      </c>
      <c r="R441" s="179">
        <f>R442*R439</f>
        <v>2.5300000000000002</v>
      </c>
      <c r="S441" s="179">
        <f>S442*S439</f>
        <v>2.7830000000000004</v>
      </c>
      <c r="T441" s="179"/>
      <c r="U441" s="179"/>
      <c r="V441" s="179"/>
      <c r="W441" s="179"/>
      <c r="X441" s="179"/>
      <c r="Y441" s="179"/>
      <c r="Z441" s="179"/>
      <c r="AA441" s="179"/>
      <c r="AB441" s="179"/>
      <c r="AC441" s="179"/>
      <c r="AD441" s="179"/>
      <c r="AE441" s="179"/>
      <c r="AF441" s="179"/>
      <c r="AG441" s="179"/>
      <c r="AH441" s="179"/>
      <c r="AI441" s="179"/>
      <c r="AJ441" s="179"/>
      <c r="AK441" s="179"/>
      <c r="AL441" s="179"/>
      <c r="AM441" s="179"/>
      <c r="AN441" s="179"/>
      <c r="AO441" s="179"/>
      <c r="AP441" s="179"/>
      <c r="AQ441" s="1371"/>
      <c r="AR441" s="179"/>
      <c r="AS441" s="179"/>
      <c r="AT441" s="179"/>
      <c r="AU441" s="179"/>
      <c r="AV441" s="179"/>
      <c r="AW441" s="179"/>
      <c r="AX441" s="179"/>
      <c r="AY441" s="179"/>
      <c r="AZ441" s="179"/>
      <c r="BA441" s="179"/>
      <c r="BB441" s="179"/>
      <c r="BC441" s="179"/>
      <c r="BD441" s="179"/>
      <c r="BE441" s="179"/>
      <c r="BF441" s="179"/>
      <c r="BG441" s="179"/>
      <c r="BH441" s="171"/>
      <c r="BI441" s="171"/>
      <c r="BJ441" s="171"/>
      <c r="BK441" s="179"/>
      <c r="BL441" s="179"/>
      <c r="BM441" s="179"/>
      <c r="BN441" s="179"/>
      <c r="BO441" s="179"/>
      <c r="BP441" s="179"/>
      <c r="BQ441" s="179"/>
      <c r="BR441" s="179"/>
      <c r="BS441" s="179"/>
      <c r="BT441" s="179"/>
      <c r="BU441" s="179"/>
      <c r="BV441" s="179"/>
      <c r="BW441" s="179"/>
      <c r="BX441" s="179"/>
      <c r="BY441" s="179"/>
      <c r="BZ441" s="179"/>
      <c r="CA441" s="179"/>
      <c r="CB441" s="179"/>
      <c r="CC441" s="179"/>
      <c r="CD441" s="179"/>
      <c r="CE441" s="179"/>
      <c r="CF441" s="179"/>
      <c r="CG441" s="179"/>
      <c r="CH441" s="179"/>
      <c r="CI441" s="179"/>
      <c r="CJ441" s="179"/>
      <c r="CK441" s="179"/>
      <c r="CL441" s="179"/>
      <c r="CM441" s="179"/>
      <c r="CN441" s="179"/>
    </row>
    <row r="442" spans="1:92" outlineLevel="1">
      <c r="A442" s="171"/>
      <c r="B442" s="172" t="s">
        <v>534</v>
      </c>
      <c r="C442" s="166"/>
      <c r="D442" s="166"/>
      <c r="E442" s="166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256">
        <f>P441/P439</f>
        <v>8.2304526748971193E-2</v>
      </c>
      <c r="Q442" s="197">
        <f>P442</f>
        <v>8.2304526748971193E-2</v>
      </c>
      <c r="R442" s="197">
        <f>Q442</f>
        <v>8.2304526748971193E-2</v>
      </c>
      <c r="S442" s="197">
        <f>R442</f>
        <v>8.2304526748971193E-2</v>
      </c>
      <c r="T442" s="197"/>
      <c r="U442" s="197"/>
      <c r="V442" s="179"/>
      <c r="W442" s="179"/>
      <c r="X442" s="197"/>
      <c r="Y442" s="179"/>
      <c r="Z442" s="179"/>
      <c r="AA442" s="197"/>
      <c r="AB442" s="179"/>
      <c r="AC442" s="179"/>
      <c r="AD442" s="197"/>
      <c r="AE442" s="179"/>
      <c r="AF442" s="179"/>
      <c r="AG442" s="179"/>
      <c r="AH442" s="179"/>
      <c r="AI442" s="179"/>
      <c r="AJ442" s="179"/>
      <c r="AK442" s="179"/>
      <c r="AL442" s="179"/>
      <c r="AM442" s="179"/>
      <c r="AN442" s="179"/>
      <c r="AO442" s="179"/>
      <c r="AP442" s="179"/>
      <c r="AQ442" s="1371"/>
      <c r="AR442" s="179"/>
      <c r="AS442" s="179"/>
      <c r="AT442" s="179"/>
      <c r="AU442" s="179"/>
      <c r="AV442" s="179"/>
      <c r="AW442" s="179"/>
      <c r="AX442" s="179"/>
      <c r="AY442" s="179"/>
      <c r="AZ442" s="179"/>
      <c r="BA442" s="179"/>
      <c r="BB442" s="179"/>
      <c r="BC442" s="179"/>
      <c r="BD442" s="179"/>
      <c r="BE442" s="179"/>
      <c r="BF442" s="179"/>
      <c r="BG442" s="179"/>
      <c r="BH442" s="171"/>
      <c r="BI442" s="171"/>
      <c r="BJ442" s="171"/>
      <c r="BK442" s="179"/>
      <c r="BL442" s="179"/>
      <c r="BM442" s="179"/>
      <c r="BN442" s="179"/>
      <c r="BO442" s="179"/>
      <c r="BP442" s="179"/>
      <c r="BQ442" s="179"/>
      <c r="BR442" s="179"/>
      <c r="BS442" s="179"/>
      <c r="BT442" s="179"/>
      <c r="BU442" s="179"/>
      <c r="BV442" s="179"/>
      <c r="BW442" s="179"/>
      <c r="BX442" s="179"/>
      <c r="BY442" s="179"/>
      <c r="BZ442" s="179"/>
      <c r="CA442" s="179"/>
      <c r="CB442" s="179"/>
      <c r="CC442" s="179"/>
      <c r="CD442" s="179"/>
      <c r="CE442" s="179"/>
      <c r="CF442" s="179"/>
      <c r="CG442" s="179"/>
      <c r="CH442" s="179"/>
      <c r="CI442" s="179"/>
      <c r="CJ442" s="179"/>
      <c r="CK442" s="179"/>
      <c r="CL442" s="179"/>
      <c r="CM442" s="179"/>
      <c r="CN442" s="179"/>
    </row>
    <row r="443" spans="1:92" outlineLevel="1">
      <c r="A443" s="171"/>
      <c r="B443" s="172"/>
      <c r="C443" s="166"/>
      <c r="D443" s="166"/>
      <c r="E443" s="166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257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  <c r="AC443" s="179"/>
      <c r="AD443" s="179"/>
      <c r="AE443" s="179"/>
      <c r="AF443" s="179"/>
      <c r="AG443" s="179"/>
      <c r="AH443" s="179"/>
      <c r="AI443" s="179"/>
      <c r="AJ443" s="179"/>
      <c r="AK443" s="179"/>
      <c r="AL443" s="179"/>
      <c r="AM443" s="179"/>
      <c r="AN443" s="179"/>
      <c r="AO443" s="179"/>
      <c r="AP443" s="179"/>
      <c r="AQ443" s="1371"/>
      <c r="AR443" s="179"/>
      <c r="AS443" s="179"/>
      <c r="AT443" s="179"/>
      <c r="AU443" s="179"/>
      <c r="AV443" s="179"/>
      <c r="AW443" s="179"/>
      <c r="AX443" s="179"/>
      <c r="AY443" s="179"/>
      <c r="AZ443" s="179"/>
      <c r="BA443" s="179"/>
      <c r="BB443" s="179"/>
      <c r="BC443" s="179"/>
      <c r="BD443" s="179"/>
      <c r="BE443" s="179"/>
      <c r="BF443" s="179"/>
      <c r="BG443" s="179"/>
      <c r="BH443" s="171"/>
      <c r="BI443" s="171"/>
      <c r="BJ443" s="171"/>
      <c r="BK443" s="179"/>
      <c r="BL443" s="179"/>
      <c r="BM443" s="179"/>
      <c r="BN443" s="179"/>
      <c r="BO443" s="179"/>
      <c r="BP443" s="179"/>
      <c r="BQ443" s="179"/>
      <c r="BR443" s="179"/>
      <c r="BS443" s="179"/>
      <c r="BT443" s="179"/>
      <c r="BU443" s="179"/>
      <c r="BV443" s="179"/>
      <c r="BW443" s="179"/>
      <c r="BX443" s="179"/>
      <c r="BY443" s="179"/>
      <c r="BZ443" s="179"/>
      <c r="CA443" s="179"/>
      <c r="CB443" s="179"/>
      <c r="CC443" s="179"/>
      <c r="CD443" s="179"/>
      <c r="CE443" s="179"/>
      <c r="CF443" s="179"/>
      <c r="CG443" s="179"/>
      <c r="CH443" s="179"/>
      <c r="CI443" s="179"/>
      <c r="CJ443" s="179"/>
      <c r="CK443" s="179"/>
      <c r="CL443" s="179"/>
      <c r="CM443" s="179"/>
      <c r="CN443" s="179"/>
    </row>
    <row r="444" spans="1:92" outlineLevel="1">
      <c r="A444" s="171"/>
      <c r="B444" s="171" t="s">
        <v>535</v>
      </c>
      <c r="C444" s="166"/>
      <c r="D444" s="166"/>
      <c r="E444" s="166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246">
        <v>0.51</v>
      </c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  <c r="AC444" s="179"/>
      <c r="AD444" s="179"/>
      <c r="AE444" s="179"/>
      <c r="AF444" s="179"/>
      <c r="AG444" s="179"/>
      <c r="AH444" s="179"/>
      <c r="AI444" s="179"/>
      <c r="AJ444" s="179"/>
      <c r="AK444" s="179"/>
      <c r="AL444" s="179"/>
      <c r="AM444" s="179"/>
      <c r="AN444" s="179"/>
      <c r="AO444" s="179"/>
      <c r="AP444" s="179"/>
      <c r="AQ444" s="1371"/>
      <c r="AR444" s="179"/>
      <c r="AS444" s="179"/>
      <c r="AT444" s="179"/>
      <c r="AU444" s="179"/>
      <c r="AV444" s="179"/>
      <c r="AW444" s="179"/>
      <c r="AX444" s="179"/>
      <c r="AY444" s="179"/>
      <c r="AZ444" s="179"/>
      <c r="BA444" s="179"/>
      <c r="BB444" s="179"/>
      <c r="BC444" s="179"/>
      <c r="BD444" s="179"/>
      <c r="BE444" s="179"/>
      <c r="BF444" s="179"/>
      <c r="BG444" s="179"/>
      <c r="BH444" s="171"/>
      <c r="BI444" s="171"/>
      <c r="BJ444" s="171"/>
      <c r="BK444" s="179"/>
      <c r="BL444" s="179"/>
      <c r="BM444" s="179"/>
      <c r="BN444" s="179"/>
      <c r="BO444" s="179"/>
      <c r="BP444" s="179"/>
      <c r="BQ444" s="179"/>
      <c r="BR444" s="179"/>
      <c r="BS444" s="179"/>
      <c r="BT444" s="179"/>
      <c r="BU444" s="179"/>
      <c r="BV444" s="179"/>
      <c r="BW444" s="179"/>
      <c r="BX444" s="179"/>
      <c r="BY444" s="179"/>
      <c r="BZ444" s="179"/>
      <c r="CA444" s="179"/>
      <c r="CB444" s="179"/>
      <c r="CC444" s="179"/>
      <c r="CD444" s="179"/>
      <c r="CE444" s="179"/>
      <c r="CF444" s="179"/>
      <c r="CG444" s="179"/>
      <c r="CH444" s="179"/>
      <c r="CI444" s="179"/>
      <c r="CJ444" s="179"/>
      <c r="CK444" s="179"/>
      <c r="CL444" s="179"/>
      <c r="CM444" s="179"/>
      <c r="CN444" s="179"/>
    </row>
    <row r="445" spans="1:92" outlineLevel="1">
      <c r="A445" s="171"/>
      <c r="B445" s="171" t="s">
        <v>536</v>
      </c>
      <c r="C445" s="166"/>
      <c r="D445" s="166"/>
      <c r="E445" s="166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257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  <c r="AC445" s="179"/>
      <c r="AD445" s="179"/>
      <c r="AE445" s="179"/>
      <c r="AF445" s="179"/>
      <c r="AG445" s="179"/>
      <c r="AH445" s="179"/>
      <c r="AI445" s="179"/>
      <c r="AJ445" s="179"/>
      <c r="AK445" s="179"/>
      <c r="AL445" s="179"/>
      <c r="AM445" s="179"/>
      <c r="AN445" s="179"/>
      <c r="AO445" s="179"/>
      <c r="AP445" s="179"/>
      <c r="AQ445" s="1371"/>
      <c r="AR445" s="179"/>
      <c r="AS445" s="179"/>
      <c r="AT445" s="179"/>
      <c r="AU445" s="179"/>
      <c r="AV445" s="179"/>
      <c r="AW445" s="179"/>
      <c r="AX445" s="179"/>
      <c r="AY445" s="179"/>
      <c r="AZ445" s="179"/>
      <c r="BA445" s="179"/>
      <c r="BB445" s="179"/>
      <c r="BC445" s="179"/>
      <c r="BD445" s="179"/>
      <c r="BE445" s="179"/>
      <c r="BF445" s="179"/>
      <c r="BG445" s="179"/>
      <c r="BH445" s="171"/>
      <c r="BI445" s="171"/>
      <c r="BJ445" s="171"/>
      <c r="BK445" s="179"/>
      <c r="BL445" s="179"/>
      <c r="BM445" s="179"/>
      <c r="BN445" s="179"/>
      <c r="BO445" s="179"/>
      <c r="BP445" s="179"/>
      <c r="BQ445" s="179"/>
      <c r="BR445" s="179"/>
      <c r="BS445" s="179"/>
      <c r="BT445" s="179"/>
      <c r="BU445" s="179"/>
      <c r="BV445" s="179"/>
      <c r="BW445" s="179"/>
      <c r="BX445" s="179"/>
      <c r="BY445" s="179"/>
      <c r="BZ445" s="179"/>
      <c r="CA445" s="179"/>
      <c r="CB445" s="179"/>
      <c r="CC445" s="179"/>
      <c r="CD445" s="179"/>
      <c r="CE445" s="179"/>
      <c r="CF445" s="179"/>
      <c r="CG445" s="179"/>
      <c r="CH445" s="179"/>
      <c r="CI445" s="179"/>
      <c r="CJ445" s="179"/>
      <c r="CK445" s="179"/>
      <c r="CL445" s="179"/>
      <c r="CM445" s="179"/>
      <c r="CN445" s="179"/>
    </row>
    <row r="446" spans="1:92" outlineLevel="1">
      <c r="A446" s="171"/>
      <c r="B446" s="172" t="s">
        <v>537</v>
      </c>
      <c r="C446" s="166"/>
      <c r="D446" s="166"/>
      <c r="E446" s="166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257">
        <v>8.6</v>
      </c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  <c r="AC446" s="179"/>
      <c r="AD446" s="179"/>
      <c r="AE446" s="179"/>
      <c r="AF446" s="179"/>
      <c r="AG446" s="179"/>
      <c r="AH446" s="179"/>
      <c r="AI446" s="179"/>
      <c r="AJ446" s="179"/>
      <c r="AK446" s="179"/>
      <c r="AL446" s="179"/>
      <c r="AM446" s="179"/>
      <c r="AN446" s="179"/>
      <c r="AO446" s="179"/>
      <c r="AP446" s="179"/>
      <c r="AQ446" s="1371"/>
      <c r="AR446" s="179"/>
      <c r="AS446" s="179"/>
      <c r="AT446" s="179"/>
      <c r="AU446" s="179"/>
      <c r="AV446" s="179"/>
      <c r="AW446" s="179"/>
      <c r="AX446" s="179"/>
      <c r="AY446" s="179"/>
      <c r="AZ446" s="179"/>
      <c r="BA446" s="179"/>
      <c r="BB446" s="179"/>
      <c r="BC446" s="179"/>
      <c r="BD446" s="179"/>
      <c r="BE446" s="179"/>
      <c r="BF446" s="179"/>
      <c r="BG446" s="179"/>
      <c r="BH446" s="171"/>
      <c r="BI446" s="171"/>
      <c r="BJ446" s="171"/>
      <c r="BK446" s="179"/>
      <c r="BL446" s="179"/>
      <c r="BM446" s="179"/>
      <c r="BN446" s="179"/>
      <c r="BO446" s="179"/>
      <c r="BP446" s="179"/>
      <c r="BQ446" s="179"/>
      <c r="BR446" s="179"/>
      <c r="BS446" s="179"/>
      <c r="BT446" s="179"/>
      <c r="BU446" s="179"/>
      <c r="BV446" s="179"/>
      <c r="BW446" s="179"/>
      <c r="BX446" s="179"/>
      <c r="BY446" s="179"/>
      <c r="BZ446" s="179"/>
      <c r="CA446" s="179"/>
      <c r="CB446" s="179"/>
      <c r="CC446" s="179"/>
      <c r="CD446" s="179">
        <f>P446</f>
        <v>8.6</v>
      </c>
      <c r="CE446" s="179"/>
      <c r="CF446" s="179"/>
      <c r="CG446" s="179"/>
      <c r="CH446" s="179"/>
      <c r="CI446" s="179"/>
      <c r="CJ446" s="179"/>
      <c r="CK446" s="179"/>
      <c r="CL446" s="179"/>
      <c r="CM446" s="179"/>
      <c r="CN446" s="179"/>
    </row>
    <row r="447" spans="1:92" outlineLevel="1">
      <c r="A447" s="171"/>
      <c r="B447" s="172" t="s">
        <v>538</v>
      </c>
      <c r="C447" s="166"/>
      <c r="D447" s="166"/>
      <c r="E447" s="166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257">
        <v>0.8</v>
      </c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  <c r="AC447" s="179"/>
      <c r="AD447" s="179"/>
      <c r="AE447" s="179"/>
      <c r="AF447" s="179"/>
      <c r="AG447" s="179"/>
      <c r="AH447" s="179"/>
      <c r="AI447" s="179"/>
      <c r="AJ447" s="179"/>
      <c r="AK447" s="179"/>
      <c r="AL447" s="179"/>
      <c r="AM447" s="179"/>
      <c r="AN447" s="179"/>
      <c r="AO447" s="179"/>
      <c r="AP447" s="179"/>
      <c r="AQ447" s="1371"/>
      <c r="AR447" s="179"/>
      <c r="AS447" s="179"/>
      <c r="AT447" s="179"/>
      <c r="AU447" s="179"/>
      <c r="AV447" s="179"/>
      <c r="AW447" s="179"/>
      <c r="AX447" s="179"/>
      <c r="AY447" s="179"/>
      <c r="AZ447" s="179"/>
      <c r="BA447" s="179"/>
      <c r="BB447" s="179"/>
      <c r="BC447" s="179"/>
      <c r="BD447" s="179"/>
      <c r="BE447" s="179"/>
      <c r="BF447" s="179"/>
      <c r="BG447" s="179"/>
      <c r="BH447" s="171"/>
      <c r="BI447" s="171"/>
      <c r="BJ447" s="171"/>
      <c r="BK447" s="179"/>
      <c r="BL447" s="179"/>
      <c r="BM447" s="179"/>
      <c r="BN447" s="179"/>
      <c r="BO447" s="179"/>
      <c r="BP447" s="179"/>
      <c r="BQ447" s="179"/>
      <c r="BR447" s="179"/>
      <c r="BS447" s="179"/>
      <c r="BT447" s="179"/>
      <c r="BU447" s="179"/>
      <c r="BV447" s="179"/>
      <c r="BW447" s="179"/>
      <c r="BX447" s="179"/>
      <c r="BY447" s="179"/>
      <c r="BZ447" s="179"/>
      <c r="CA447" s="179"/>
      <c r="CB447" s="179"/>
      <c r="CC447" s="179"/>
      <c r="CD447" s="179">
        <f>P447</f>
        <v>0.8</v>
      </c>
      <c r="CE447" s="179"/>
      <c r="CF447" s="179"/>
      <c r="CG447" s="179"/>
      <c r="CH447" s="179"/>
      <c r="CI447" s="179"/>
      <c r="CJ447" s="179"/>
      <c r="CK447" s="179"/>
      <c r="CL447" s="179"/>
      <c r="CM447" s="179"/>
      <c r="CN447" s="179"/>
    </row>
    <row r="448" spans="1:92" outlineLevel="1">
      <c r="A448" s="171"/>
      <c r="B448" s="171"/>
      <c r="C448" s="166"/>
      <c r="D448" s="166"/>
      <c r="E448" s="166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  <c r="AC448" s="179"/>
      <c r="AD448" s="179"/>
      <c r="AE448" s="179"/>
      <c r="AF448" s="179"/>
      <c r="AG448" s="179"/>
      <c r="AH448" s="179"/>
      <c r="AI448" s="179"/>
      <c r="AJ448" s="179"/>
      <c r="AK448" s="179"/>
      <c r="AL448" s="179"/>
      <c r="AM448" s="179"/>
      <c r="AN448" s="179"/>
      <c r="AO448" s="179"/>
      <c r="AP448" s="179"/>
      <c r="AQ448" s="1371"/>
      <c r="AR448" s="179"/>
      <c r="AS448" s="179"/>
      <c r="AT448" s="179"/>
      <c r="AU448" s="179"/>
      <c r="AV448" s="179"/>
      <c r="AW448" s="179"/>
      <c r="AX448" s="179"/>
      <c r="AY448" s="179"/>
      <c r="AZ448" s="179"/>
      <c r="BA448" s="179"/>
      <c r="BB448" s="179"/>
      <c r="BC448" s="179"/>
      <c r="BD448" s="179"/>
      <c r="BE448" s="179"/>
      <c r="BF448" s="179"/>
      <c r="BG448" s="179"/>
      <c r="BH448" s="171"/>
      <c r="BI448" s="173"/>
      <c r="BJ448" s="173"/>
      <c r="BK448" s="179"/>
      <c r="BL448" s="179"/>
      <c r="BM448" s="179"/>
      <c r="BN448" s="179"/>
      <c r="BO448" s="179"/>
      <c r="BP448" s="179"/>
      <c r="BQ448" s="179"/>
      <c r="BR448" s="179"/>
      <c r="BS448" s="179"/>
      <c r="BT448" s="179"/>
      <c r="BU448" s="179"/>
      <c r="BV448" s="179"/>
      <c r="BW448" s="179"/>
      <c r="BX448" s="179"/>
      <c r="BY448" s="179"/>
      <c r="BZ448" s="179"/>
      <c r="CA448" s="179"/>
      <c r="CB448" s="179"/>
      <c r="CC448" s="179"/>
      <c r="CD448" s="179"/>
      <c r="CE448" s="179"/>
      <c r="CF448" s="179"/>
      <c r="CG448" s="179"/>
      <c r="CH448" s="179"/>
      <c r="CI448" s="179"/>
      <c r="CJ448" s="179"/>
      <c r="CK448" s="179"/>
      <c r="CL448" s="179"/>
      <c r="CM448" s="179"/>
      <c r="CN448" s="179"/>
    </row>
    <row r="449" spans="1:92" outlineLevel="1">
      <c r="A449" s="171"/>
      <c r="B449" s="171" t="s">
        <v>539</v>
      </c>
      <c r="C449" s="166"/>
      <c r="D449" s="166"/>
      <c r="E449" s="166"/>
      <c r="F449" s="179"/>
      <c r="G449" s="179"/>
      <c r="H449" s="179"/>
      <c r="I449" s="179"/>
      <c r="J449" s="179"/>
      <c r="K449" s="179"/>
      <c r="L449" s="179"/>
      <c r="M449" s="179"/>
      <c r="N449" s="179">
        <f>N434-N446</f>
        <v>35.624054669703874</v>
      </c>
      <c r="O449" s="179">
        <f>O434-O446</f>
        <v>46.916879999999999</v>
      </c>
      <c r="P449" s="179">
        <f>P434-P446</f>
        <v>70.548776560000007</v>
      </c>
      <c r="Q449" s="179">
        <f>P449*(1+Q450)</f>
        <v>84.658531872000012</v>
      </c>
      <c r="R449" s="179">
        <f>Q449*(1+R450)</f>
        <v>97.357311652800007</v>
      </c>
      <c r="S449" s="179">
        <f>R449*(1+S450)</f>
        <v>107.09304281808002</v>
      </c>
      <c r="T449" s="179"/>
      <c r="U449" s="179"/>
      <c r="V449" s="179"/>
      <c r="W449" s="179"/>
      <c r="X449" s="179"/>
      <c r="Y449" s="179"/>
      <c r="Z449" s="179"/>
      <c r="AA449" s="179"/>
      <c r="AB449" s="179"/>
      <c r="AC449" s="179"/>
      <c r="AD449" s="179"/>
      <c r="AE449" s="179"/>
      <c r="AF449" s="179"/>
      <c r="AG449" s="179"/>
      <c r="AH449" s="179"/>
      <c r="AI449" s="179"/>
      <c r="AJ449" s="179"/>
      <c r="AK449" s="179"/>
      <c r="AL449" s="179"/>
      <c r="AM449" s="179"/>
      <c r="AN449" s="179"/>
      <c r="AO449" s="179"/>
      <c r="AP449" s="179"/>
      <c r="AQ449" s="1371"/>
      <c r="AR449" s="179"/>
      <c r="AS449" s="179"/>
      <c r="AT449" s="179"/>
      <c r="AU449" s="179"/>
      <c r="AV449" s="179"/>
      <c r="AW449" s="179"/>
      <c r="AX449" s="179"/>
      <c r="AY449" s="179"/>
      <c r="AZ449" s="179"/>
      <c r="BA449" s="179"/>
      <c r="BB449" s="179"/>
      <c r="BC449" s="179"/>
      <c r="BD449" s="179"/>
      <c r="BE449" s="179"/>
      <c r="BF449" s="179"/>
      <c r="BG449" s="179"/>
      <c r="BH449" s="171"/>
      <c r="BI449" s="171"/>
      <c r="BJ449" s="171"/>
      <c r="BK449" s="179"/>
      <c r="BL449" s="179"/>
      <c r="BM449" s="179"/>
      <c r="BN449" s="179"/>
      <c r="BO449" s="179"/>
      <c r="BP449" s="179"/>
      <c r="BQ449" s="179"/>
      <c r="BR449" s="179"/>
      <c r="BS449" s="179"/>
      <c r="BT449" s="179"/>
      <c r="BU449" s="179"/>
      <c r="BV449" s="179"/>
      <c r="BW449" s="179"/>
      <c r="BX449" s="179"/>
      <c r="BY449" s="179"/>
      <c r="BZ449" s="179"/>
      <c r="CA449" s="179">
        <f>CA434-CA446</f>
        <v>20</v>
      </c>
      <c r="CB449" s="179">
        <f>CB434-CB446</f>
        <v>26.916879999999999</v>
      </c>
      <c r="CC449" s="179">
        <f>CC434-CC446</f>
        <v>28.84</v>
      </c>
      <c r="CD449" s="179">
        <f>CD434-CD446</f>
        <v>41.708776559999997</v>
      </c>
      <c r="CE449" s="179"/>
      <c r="CF449" s="179"/>
      <c r="CG449" s="179"/>
      <c r="CH449" s="179"/>
      <c r="CI449" s="179"/>
      <c r="CJ449" s="179"/>
      <c r="CK449" s="179"/>
      <c r="CL449" s="179"/>
      <c r="CM449" s="179"/>
      <c r="CN449" s="179"/>
    </row>
    <row r="450" spans="1:92" outlineLevel="1">
      <c r="A450" s="171"/>
      <c r="B450" s="171"/>
      <c r="C450" s="166"/>
      <c r="D450" s="166"/>
      <c r="E450" s="166"/>
      <c r="F450" s="179"/>
      <c r="G450" s="179"/>
      <c r="H450" s="179"/>
      <c r="I450" s="179"/>
      <c r="J450" s="179"/>
      <c r="K450" s="179"/>
      <c r="L450" s="179"/>
      <c r="M450" s="179"/>
      <c r="N450" s="179"/>
      <c r="O450" s="180">
        <f>O449/N449-1</f>
        <v>0.31699999999999995</v>
      </c>
      <c r="P450" s="180">
        <f>P449/O449-1</f>
        <v>0.50369710347320651</v>
      </c>
      <c r="Q450" s="195">
        <v>0.2</v>
      </c>
      <c r="R450" s="195">
        <v>0.15</v>
      </c>
      <c r="S450" s="195">
        <f>S440</f>
        <v>0.1</v>
      </c>
      <c r="T450" s="195"/>
      <c r="U450" s="195"/>
      <c r="V450" s="179"/>
      <c r="W450" s="179"/>
      <c r="X450" s="195"/>
      <c r="Y450" s="179"/>
      <c r="Z450" s="179"/>
      <c r="AA450" s="195"/>
      <c r="AB450" s="179"/>
      <c r="AC450" s="179"/>
      <c r="AD450" s="195"/>
      <c r="AE450" s="179"/>
      <c r="AF450" s="179"/>
      <c r="AG450" s="179"/>
      <c r="AH450" s="179"/>
      <c r="AI450" s="179"/>
      <c r="AJ450" s="179"/>
      <c r="AK450" s="179"/>
      <c r="AL450" s="179"/>
      <c r="AM450" s="179"/>
      <c r="AN450" s="179"/>
      <c r="AO450" s="179"/>
      <c r="AP450" s="179"/>
      <c r="AQ450" s="1371"/>
      <c r="AR450" s="179"/>
      <c r="AS450" s="179"/>
      <c r="AT450" s="179"/>
      <c r="AU450" s="179"/>
      <c r="AV450" s="179"/>
      <c r="AW450" s="179"/>
      <c r="AX450" s="179"/>
      <c r="AY450" s="179"/>
      <c r="AZ450" s="179"/>
      <c r="BA450" s="179"/>
      <c r="BB450" s="179"/>
      <c r="BC450" s="179"/>
      <c r="BD450" s="179"/>
      <c r="BE450" s="179"/>
      <c r="BF450" s="179"/>
      <c r="BG450" s="179"/>
      <c r="BH450" s="171"/>
      <c r="BI450" s="171"/>
      <c r="BJ450" s="171"/>
      <c r="BK450" s="179"/>
      <c r="BL450" s="179"/>
      <c r="BM450" s="179"/>
      <c r="BN450" s="179"/>
      <c r="BO450" s="179"/>
      <c r="BP450" s="179"/>
      <c r="BQ450" s="179"/>
      <c r="BR450" s="179"/>
      <c r="BS450" s="179"/>
      <c r="BT450" s="179"/>
      <c r="BU450" s="179"/>
      <c r="BV450" s="179"/>
      <c r="BW450" s="179"/>
      <c r="BX450" s="179"/>
      <c r="BY450" s="179"/>
      <c r="BZ450" s="179"/>
      <c r="CA450" s="179"/>
      <c r="CB450" s="179"/>
      <c r="CC450" s="179"/>
      <c r="CD450" s="179">
        <f>CD449/CB449-1</f>
        <v>0.54953978915832735</v>
      </c>
      <c r="CE450" s="179"/>
      <c r="CF450" s="179"/>
      <c r="CG450" s="179"/>
      <c r="CH450" s="179"/>
      <c r="CI450" s="179"/>
      <c r="CJ450" s="179"/>
      <c r="CK450" s="179"/>
      <c r="CL450" s="179"/>
      <c r="CM450" s="179"/>
      <c r="CN450" s="179"/>
    </row>
    <row r="451" spans="1:92" outlineLevel="1">
      <c r="A451" s="171"/>
      <c r="B451" s="171"/>
      <c r="C451" s="166"/>
      <c r="D451" s="166"/>
      <c r="E451" s="166"/>
      <c r="F451" s="179"/>
      <c r="G451" s="179"/>
      <c r="H451" s="179"/>
      <c r="I451" s="179"/>
      <c r="J451" s="179"/>
      <c r="K451" s="179"/>
      <c r="L451" s="179"/>
      <c r="M451" s="179"/>
      <c r="N451" s="179"/>
      <c r="O451" s="180"/>
      <c r="P451" s="180"/>
      <c r="Q451" s="195"/>
      <c r="R451" s="195"/>
      <c r="S451" s="195"/>
      <c r="T451" s="195"/>
      <c r="U451" s="195"/>
      <c r="V451" s="179"/>
      <c r="W451" s="179"/>
      <c r="X451" s="195"/>
      <c r="Y451" s="179"/>
      <c r="Z451" s="179"/>
      <c r="AA451" s="195"/>
      <c r="AB451" s="179"/>
      <c r="AC451" s="179"/>
      <c r="AD451" s="195"/>
      <c r="AE451" s="179"/>
      <c r="AF451" s="179"/>
      <c r="AG451" s="179"/>
      <c r="AH451" s="179"/>
      <c r="AI451" s="179"/>
      <c r="AJ451" s="179"/>
      <c r="AK451" s="179"/>
      <c r="AL451" s="179"/>
      <c r="AM451" s="179"/>
      <c r="AN451" s="179"/>
      <c r="AO451" s="179"/>
      <c r="AP451" s="179"/>
      <c r="AQ451" s="1371"/>
      <c r="AR451" s="179"/>
      <c r="AS451" s="179"/>
      <c r="AT451" s="179"/>
      <c r="AU451" s="179"/>
      <c r="AV451" s="179"/>
      <c r="AW451" s="179"/>
      <c r="AX451" s="179"/>
      <c r="AY451" s="179"/>
      <c r="AZ451" s="179"/>
      <c r="BA451" s="179"/>
      <c r="BB451" s="179"/>
      <c r="BC451" s="179"/>
      <c r="BD451" s="179"/>
      <c r="BE451" s="179"/>
      <c r="BF451" s="179"/>
      <c r="BG451" s="179"/>
      <c r="BH451" s="171"/>
      <c r="BI451" s="171"/>
      <c r="BJ451" s="171"/>
      <c r="BK451" s="179"/>
      <c r="BL451" s="179"/>
      <c r="BM451" s="179"/>
      <c r="BN451" s="179"/>
      <c r="BO451" s="179"/>
      <c r="BP451" s="179"/>
      <c r="BQ451" s="179"/>
      <c r="BR451" s="179"/>
      <c r="BS451" s="179"/>
      <c r="BT451" s="179"/>
      <c r="BU451" s="179"/>
      <c r="BV451" s="179"/>
      <c r="BW451" s="179"/>
      <c r="BX451" s="179"/>
      <c r="BY451" s="179"/>
      <c r="BZ451" s="179"/>
      <c r="CA451" s="179"/>
      <c r="CB451" s="179"/>
      <c r="CC451" s="179"/>
      <c r="CD451" s="179"/>
      <c r="CE451" s="179"/>
      <c r="CF451" s="179"/>
      <c r="CG451" s="179"/>
      <c r="CH451" s="179"/>
      <c r="CI451" s="179"/>
      <c r="CJ451" s="179"/>
      <c r="CK451" s="179"/>
      <c r="CL451" s="179"/>
      <c r="CM451" s="179"/>
      <c r="CN451" s="179"/>
    </row>
    <row r="452" spans="1:92" outlineLevel="1">
      <c r="A452" s="171"/>
      <c r="B452" s="171" t="s">
        <v>693</v>
      </c>
      <c r="C452" s="166"/>
      <c r="D452" s="166"/>
      <c r="E452" s="166"/>
      <c r="F452" s="179"/>
      <c r="G452" s="179"/>
      <c r="H452" s="179"/>
      <c r="I452" s="179"/>
      <c r="J452" s="179"/>
      <c r="K452" s="179"/>
      <c r="L452" s="179"/>
      <c r="M452" s="179"/>
      <c r="N452" s="179"/>
      <c r="O452" s="180"/>
      <c r="P452" s="243">
        <f t="shared" ref="P452:U452" si="1782">P198-P462-P468</f>
        <v>169</v>
      </c>
      <c r="Q452" s="243">
        <f t="shared" si="1782"/>
        <v>160</v>
      </c>
      <c r="R452" s="243">
        <f t="shared" si="1782"/>
        <v>136</v>
      </c>
      <c r="S452" s="243">
        <f t="shared" si="1782"/>
        <v>129</v>
      </c>
      <c r="T452" s="243">
        <f t="shared" si="1782"/>
        <v>127</v>
      </c>
      <c r="U452" s="243">
        <f t="shared" si="1782"/>
        <v>139</v>
      </c>
      <c r="V452" s="179"/>
      <c r="W452" s="179"/>
      <c r="X452" s="243"/>
      <c r="Y452" s="179"/>
      <c r="Z452" s="179"/>
      <c r="AA452" s="243"/>
      <c r="AB452" s="179"/>
      <c r="AC452" s="179"/>
      <c r="AD452" s="243"/>
      <c r="AE452" s="179"/>
      <c r="AF452" s="179"/>
      <c r="AG452" s="179"/>
      <c r="AH452" s="179"/>
      <c r="AI452" s="179"/>
      <c r="AJ452" s="179"/>
      <c r="AK452" s="179"/>
      <c r="AL452" s="179"/>
      <c r="AM452" s="179"/>
      <c r="AN452" s="179"/>
      <c r="AO452" s="179"/>
      <c r="AP452" s="179"/>
      <c r="AQ452" s="1371"/>
      <c r="AR452" s="179"/>
      <c r="AS452" s="179"/>
      <c r="AT452" s="179"/>
      <c r="AU452" s="179"/>
      <c r="AV452" s="179"/>
      <c r="AW452" s="179"/>
      <c r="AX452" s="179"/>
      <c r="AY452" s="179"/>
      <c r="AZ452" s="179"/>
      <c r="BA452" s="179"/>
      <c r="BB452" s="179"/>
      <c r="BC452" s="179"/>
      <c r="BD452" s="179"/>
      <c r="BE452" s="179"/>
      <c r="BF452" s="179"/>
      <c r="BG452" s="179"/>
      <c r="BH452" s="171"/>
      <c r="BI452" s="171"/>
      <c r="BJ452" s="171"/>
      <c r="BK452" s="179"/>
      <c r="BL452" s="179"/>
      <c r="BM452" s="179"/>
      <c r="BN452" s="179"/>
      <c r="BO452" s="179"/>
      <c r="BP452" s="179"/>
      <c r="BQ452" s="179"/>
      <c r="BR452" s="179"/>
      <c r="BS452" s="179"/>
      <c r="BT452" s="179"/>
      <c r="BU452" s="179"/>
      <c r="BV452" s="179"/>
      <c r="BW452" s="179"/>
      <c r="BX452" s="179"/>
      <c r="BY452" s="179"/>
      <c r="BZ452" s="179"/>
      <c r="CA452" s="179"/>
      <c r="CB452" s="179"/>
      <c r="CC452" s="179"/>
      <c r="CD452" s="179"/>
      <c r="CE452" s="179"/>
      <c r="CF452" s="179"/>
      <c r="CG452" s="179"/>
      <c r="CH452" s="179"/>
      <c r="CI452" s="179"/>
      <c r="CJ452" s="179"/>
      <c r="CK452" s="179"/>
      <c r="CL452" s="179"/>
      <c r="CM452" s="179"/>
      <c r="CN452" s="179"/>
    </row>
    <row r="453" spans="1:92" outlineLevel="1">
      <c r="A453" s="171"/>
      <c r="B453" s="172" t="s">
        <v>688</v>
      </c>
      <c r="C453" s="166"/>
      <c r="D453" s="166"/>
      <c r="E453" s="166"/>
      <c r="F453" s="179"/>
      <c r="G453" s="179"/>
      <c r="H453" s="179"/>
      <c r="I453" s="179"/>
      <c r="J453" s="179"/>
      <c r="K453" s="179"/>
      <c r="L453" s="179"/>
      <c r="M453" s="179"/>
      <c r="N453" s="179"/>
      <c r="O453" s="180"/>
      <c r="P453" s="286">
        <v>950</v>
      </c>
      <c r="Q453" s="286">
        <v>950</v>
      </c>
      <c r="R453" s="286">
        <v>950</v>
      </c>
      <c r="S453" s="286">
        <v>950</v>
      </c>
      <c r="T453" s="286">
        <v>950</v>
      </c>
      <c r="U453" s="286">
        <v>950</v>
      </c>
      <c r="V453" s="179"/>
      <c r="W453" s="179"/>
      <c r="X453" s="286"/>
      <c r="Y453" s="179"/>
      <c r="Z453" s="179"/>
      <c r="AA453" s="286"/>
      <c r="AB453" s="179"/>
      <c r="AC453" s="179"/>
      <c r="AD453" s="286"/>
      <c r="AE453" s="179"/>
      <c r="AF453" s="179"/>
      <c r="AG453" s="179"/>
      <c r="AH453" s="179"/>
      <c r="AI453" s="179"/>
      <c r="AJ453" s="179"/>
      <c r="AK453" s="179"/>
      <c r="AL453" s="179"/>
      <c r="AM453" s="179"/>
      <c r="AN453" s="179"/>
      <c r="AO453" s="179"/>
      <c r="AP453" s="179"/>
      <c r="AQ453" s="1371"/>
      <c r="AR453" s="179"/>
      <c r="AS453" s="179"/>
      <c r="AT453" s="179"/>
      <c r="AU453" s="179"/>
      <c r="AV453" s="179"/>
      <c r="AW453" s="179"/>
      <c r="AX453" s="179"/>
      <c r="AY453" s="179"/>
      <c r="AZ453" s="179"/>
      <c r="BA453" s="179"/>
      <c r="BB453" s="179"/>
      <c r="BC453" s="179"/>
      <c r="BD453" s="179"/>
      <c r="BE453" s="179"/>
      <c r="BF453" s="179"/>
      <c r="BG453" s="179"/>
      <c r="BH453" s="171"/>
      <c r="BI453" s="171"/>
      <c r="BJ453" s="171"/>
      <c r="BK453" s="179"/>
      <c r="BL453" s="179"/>
      <c r="BM453" s="179"/>
      <c r="BN453" s="179"/>
      <c r="BO453" s="179"/>
      <c r="BP453" s="179"/>
      <c r="BQ453" s="179"/>
      <c r="BR453" s="179"/>
      <c r="BS453" s="179"/>
      <c r="BT453" s="179"/>
      <c r="BU453" s="179"/>
      <c r="BV453" s="179"/>
      <c r="BW453" s="179"/>
      <c r="BX453" s="179"/>
      <c r="BY453" s="179"/>
      <c r="BZ453" s="179"/>
      <c r="CA453" s="179"/>
      <c r="CB453" s="179"/>
      <c r="CC453" s="179"/>
      <c r="CD453" s="179"/>
      <c r="CE453" s="179"/>
      <c r="CF453" s="179"/>
      <c r="CG453" s="179"/>
      <c r="CH453" s="179"/>
      <c r="CI453" s="179"/>
      <c r="CJ453" s="179"/>
      <c r="CK453" s="179"/>
      <c r="CL453" s="179"/>
      <c r="CM453" s="179"/>
      <c r="CN453" s="179"/>
    </row>
    <row r="454" spans="1:92" outlineLevel="1">
      <c r="A454" s="171"/>
      <c r="B454" s="172" t="s">
        <v>689</v>
      </c>
      <c r="C454" s="166"/>
      <c r="D454" s="166"/>
      <c r="E454" s="166"/>
      <c r="F454" s="179"/>
      <c r="G454" s="179"/>
      <c r="H454" s="179"/>
      <c r="I454" s="179"/>
      <c r="J454" s="179"/>
      <c r="K454" s="179"/>
      <c r="L454" s="179"/>
      <c r="M454" s="179"/>
      <c r="N454" s="179"/>
      <c r="O454" s="180"/>
      <c r="P454" s="190">
        <f t="shared" ref="P454:U454" si="1783">P452*P453</f>
        <v>160550</v>
      </c>
      <c r="Q454" s="190">
        <f t="shared" si="1783"/>
        <v>152000</v>
      </c>
      <c r="R454" s="190">
        <f t="shared" si="1783"/>
        <v>129200</v>
      </c>
      <c r="S454" s="190">
        <f t="shared" si="1783"/>
        <v>122550</v>
      </c>
      <c r="T454" s="190">
        <f t="shared" si="1783"/>
        <v>120650</v>
      </c>
      <c r="U454" s="190">
        <f t="shared" si="1783"/>
        <v>132050</v>
      </c>
      <c r="V454" s="179"/>
      <c r="W454" s="179"/>
      <c r="X454" s="190"/>
      <c r="Y454" s="179"/>
      <c r="Z454" s="179"/>
      <c r="AA454" s="190"/>
      <c r="AB454" s="179"/>
      <c r="AC454" s="179"/>
      <c r="AD454" s="190"/>
      <c r="AE454" s="179"/>
      <c r="AF454" s="179"/>
      <c r="AG454" s="179"/>
      <c r="AH454" s="179"/>
      <c r="AI454" s="179"/>
      <c r="AJ454" s="179"/>
      <c r="AK454" s="179"/>
      <c r="AL454" s="179"/>
      <c r="AM454" s="179"/>
      <c r="AN454" s="179"/>
      <c r="AO454" s="179"/>
      <c r="AP454" s="179"/>
      <c r="AQ454" s="1371"/>
      <c r="AR454" s="179"/>
      <c r="AS454" s="179"/>
      <c r="AT454" s="179"/>
      <c r="AU454" s="179"/>
      <c r="AV454" s="179"/>
      <c r="AW454" s="179"/>
      <c r="AX454" s="179"/>
      <c r="AY454" s="179"/>
      <c r="AZ454" s="179"/>
      <c r="BA454" s="179"/>
      <c r="BB454" s="179"/>
      <c r="BC454" s="179"/>
      <c r="BD454" s="179"/>
      <c r="BE454" s="179"/>
      <c r="BF454" s="179"/>
      <c r="BG454" s="179"/>
      <c r="BH454" s="171"/>
      <c r="BI454" s="171"/>
      <c r="BJ454" s="171"/>
      <c r="BK454" s="179"/>
      <c r="BL454" s="179"/>
      <c r="BM454" s="179"/>
      <c r="BN454" s="179"/>
      <c r="BO454" s="179"/>
      <c r="BP454" s="179"/>
      <c r="BQ454" s="179"/>
      <c r="BR454" s="179"/>
      <c r="BS454" s="179"/>
      <c r="BT454" s="179"/>
      <c r="BU454" s="179"/>
      <c r="BV454" s="179"/>
      <c r="BW454" s="179"/>
      <c r="BX454" s="179"/>
      <c r="BY454" s="179"/>
      <c r="BZ454" s="179"/>
      <c r="CA454" s="179"/>
      <c r="CB454" s="179"/>
      <c r="CC454" s="179"/>
      <c r="CD454" s="179"/>
      <c r="CE454" s="179"/>
      <c r="CF454" s="179"/>
      <c r="CG454" s="179"/>
      <c r="CH454" s="179"/>
      <c r="CI454" s="179"/>
      <c r="CJ454" s="179"/>
      <c r="CK454" s="179"/>
      <c r="CL454" s="179"/>
      <c r="CM454" s="179"/>
      <c r="CN454" s="179"/>
    </row>
    <row r="455" spans="1:92" outlineLevel="1">
      <c r="A455" s="171"/>
      <c r="B455" s="171"/>
      <c r="C455" s="166"/>
      <c r="D455" s="166"/>
      <c r="E455" s="166"/>
      <c r="F455" s="179"/>
      <c r="G455" s="179"/>
      <c r="H455" s="179"/>
      <c r="I455" s="179"/>
      <c r="J455" s="179"/>
      <c r="K455" s="179"/>
      <c r="L455" s="179"/>
      <c r="M455" s="179"/>
      <c r="N455" s="179"/>
      <c r="O455" s="180"/>
      <c r="P455" s="180"/>
      <c r="Q455" s="195"/>
      <c r="R455" s="195"/>
      <c r="S455" s="195"/>
      <c r="T455" s="195"/>
      <c r="U455" s="195"/>
      <c r="V455" s="179"/>
      <c r="W455" s="179"/>
      <c r="X455" s="195"/>
      <c r="Y455" s="179"/>
      <c r="Z455" s="179"/>
      <c r="AA455" s="195"/>
      <c r="AB455" s="179"/>
      <c r="AC455" s="179"/>
      <c r="AD455" s="195"/>
      <c r="AE455" s="179"/>
      <c r="AF455" s="179"/>
      <c r="AG455" s="179"/>
      <c r="AH455" s="179"/>
      <c r="AI455" s="179"/>
      <c r="AJ455" s="179"/>
      <c r="AK455" s="179"/>
      <c r="AL455" s="179"/>
      <c r="AM455" s="179"/>
      <c r="AN455" s="179"/>
      <c r="AO455" s="179"/>
      <c r="AP455" s="179"/>
      <c r="AQ455" s="1371"/>
      <c r="AR455" s="179"/>
      <c r="AS455" s="179"/>
      <c r="AT455" s="179"/>
      <c r="AU455" s="179"/>
      <c r="AV455" s="179"/>
      <c r="AW455" s="179"/>
      <c r="AX455" s="179"/>
      <c r="AY455" s="179"/>
      <c r="AZ455" s="179"/>
      <c r="BA455" s="179"/>
      <c r="BB455" s="179"/>
      <c r="BC455" s="179"/>
      <c r="BD455" s="179"/>
      <c r="BE455" s="179"/>
      <c r="BF455" s="179"/>
      <c r="BG455" s="179"/>
      <c r="BH455" s="171"/>
      <c r="BI455" s="171"/>
      <c r="BJ455" s="171"/>
      <c r="BK455" s="179"/>
      <c r="BL455" s="179"/>
      <c r="BM455" s="179"/>
      <c r="BN455" s="179"/>
      <c r="BO455" s="179"/>
      <c r="BP455" s="179"/>
      <c r="BQ455" s="179"/>
      <c r="BR455" s="179"/>
      <c r="BS455" s="179"/>
      <c r="BT455" s="179"/>
      <c r="BU455" s="179"/>
      <c r="BV455" s="179"/>
      <c r="BW455" s="179"/>
      <c r="BX455" s="179"/>
      <c r="BY455" s="179"/>
      <c r="BZ455" s="179"/>
      <c r="CA455" s="179"/>
      <c r="CB455" s="179"/>
      <c r="CC455" s="179"/>
      <c r="CD455" s="179"/>
      <c r="CE455" s="179"/>
      <c r="CF455" s="179"/>
      <c r="CG455" s="179"/>
      <c r="CH455" s="179"/>
      <c r="CI455" s="179"/>
      <c r="CJ455" s="179"/>
      <c r="CK455" s="179"/>
      <c r="CL455" s="179"/>
      <c r="CM455" s="179"/>
      <c r="CN455" s="179"/>
    </row>
    <row r="456" spans="1:92" outlineLevel="1">
      <c r="A456" s="171"/>
      <c r="B456" s="171" t="s">
        <v>20</v>
      </c>
      <c r="C456" s="166"/>
      <c r="D456" s="166"/>
      <c r="E456" s="166"/>
      <c r="F456" s="179"/>
      <c r="G456" s="179"/>
      <c r="H456" s="179"/>
      <c r="I456" s="179"/>
      <c r="J456" s="179"/>
      <c r="K456" s="179"/>
      <c r="L456" s="179"/>
      <c r="M456" s="179"/>
      <c r="N456" s="179"/>
      <c r="O456" s="180"/>
      <c r="P456" s="190">
        <f t="shared" ref="P456:U456" si="1784">P454+P465+P470</f>
        <v>171350</v>
      </c>
      <c r="Q456" s="190">
        <f t="shared" si="1784"/>
        <v>181850</v>
      </c>
      <c r="R456" s="190">
        <f t="shared" si="1784"/>
        <v>200150</v>
      </c>
      <c r="S456" s="190">
        <f t="shared" si="1784"/>
        <v>218550</v>
      </c>
      <c r="T456" s="190">
        <f t="shared" si="1784"/>
        <v>236300</v>
      </c>
      <c r="U456" s="190">
        <f t="shared" si="1784"/>
        <v>247700</v>
      </c>
      <c r="V456" s="179"/>
      <c r="W456" s="179"/>
      <c r="X456" s="190"/>
      <c r="Y456" s="179"/>
      <c r="Z456" s="179"/>
      <c r="AA456" s="190"/>
      <c r="AB456" s="179"/>
      <c r="AC456" s="179"/>
      <c r="AD456" s="190"/>
      <c r="AE456" s="179"/>
      <c r="AF456" s="179"/>
      <c r="AG456" s="179"/>
      <c r="AH456" s="179"/>
      <c r="AI456" s="179"/>
      <c r="AJ456" s="179"/>
      <c r="AK456" s="179"/>
      <c r="AL456" s="179"/>
      <c r="AM456" s="179"/>
      <c r="AN456" s="179"/>
      <c r="AO456" s="179"/>
      <c r="AP456" s="179"/>
      <c r="AQ456" s="1371"/>
      <c r="AR456" s="179"/>
      <c r="AS456" s="179"/>
      <c r="AT456" s="179"/>
      <c r="AU456" s="179"/>
      <c r="AV456" s="179"/>
      <c r="AW456" s="179"/>
      <c r="AX456" s="179"/>
      <c r="AY456" s="179"/>
      <c r="AZ456" s="179"/>
      <c r="BA456" s="179"/>
      <c r="BB456" s="179"/>
      <c r="BC456" s="179"/>
      <c r="BD456" s="179"/>
      <c r="BE456" s="179"/>
      <c r="BF456" s="179"/>
      <c r="BG456" s="179"/>
      <c r="BH456" s="171"/>
      <c r="BI456" s="171"/>
      <c r="BJ456" s="171"/>
      <c r="BK456" s="179"/>
      <c r="BL456" s="179"/>
      <c r="BM456" s="179"/>
      <c r="BN456" s="179"/>
      <c r="BO456" s="179"/>
      <c r="BP456" s="179"/>
      <c r="BQ456" s="179"/>
      <c r="BR456" s="179"/>
      <c r="BS456" s="179"/>
      <c r="BT456" s="179"/>
      <c r="BU456" s="179"/>
      <c r="BV456" s="179"/>
      <c r="BW456" s="179"/>
      <c r="BX456" s="179"/>
      <c r="BY456" s="179"/>
      <c r="BZ456" s="179"/>
      <c r="CA456" s="179"/>
      <c r="CB456" s="179"/>
      <c r="CC456" s="179"/>
      <c r="CD456" s="179"/>
      <c r="CE456" s="179"/>
      <c r="CF456" s="179"/>
      <c r="CG456" s="179"/>
      <c r="CH456" s="179"/>
      <c r="CI456" s="179"/>
      <c r="CJ456" s="179"/>
      <c r="CK456" s="179"/>
      <c r="CL456" s="179"/>
      <c r="CM456" s="179"/>
      <c r="CN456" s="179"/>
    </row>
    <row r="457" spans="1:92" outlineLevel="1">
      <c r="A457" s="171"/>
      <c r="B457" s="171" t="s">
        <v>694</v>
      </c>
      <c r="C457" s="166"/>
      <c r="D457" s="166"/>
      <c r="E457" s="166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90">
        <f t="shared" ref="P457:U457" si="1785">P452+P462+P468</f>
        <v>177</v>
      </c>
      <c r="Q457" s="190">
        <f t="shared" si="1785"/>
        <v>182</v>
      </c>
      <c r="R457" s="190">
        <f t="shared" si="1785"/>
        <v>187</v>
      </c>
      <c r="S457" s="190">
        <f t="shared" si="1785"/>
        <v>194</v>
      </c>
      <c r="T457" s="190">
        <f t="shared" si="1785"/>
        <v>201</v>
      </c>
      <c r="U457" s="190">
        <f t="shared" si="1785"/>
        <v>208</v>
      </c>
      <c r="V457" s="179"/>
      <c r="W457" s="179"/>
      <c r="X457" s="190"/>
      <c r="Y457" s="179"/>
      <c r="Z457" s="179"/>
      <c r="AA457" s="190"/>
      <c r="AB457" s="179"/>
      <c r="AC457" s="179"/>
      <c r="AD457" s="190"/>
      <c r="AE457" s="179"/>
      <c r="AF457" s="179"/>
      <c r="AG457" s="179"/>
      <c r="AH457" s="179"/>
      <c r="AI457" s="179"/>
      <c r="AJ457" s="179"/>
      <c r="AK457" s="179"/>
      <c r="AL457" s="179"/>
      <c r="AM457" s="179"/>
      <c r="AN457" s="179"/>
      <c r="AO457" s="179"/>
      <c r="AP457" s="179"/>
      <c r="AQ457" s="1371"/>
      <c r="AR457" s="179"/>
      <c r="AS457" s="179"/>
      <c r="AT457" s="179"/>
      <c r="AU457" s="179"/>
      <c r="AV457" s="179"/>
      <c r="AW457" s="179"/>
      <c r="AX457" s="179"/>
      <c r="AY457" s="179"/>
      <c r="AZ457" s="179"/>
      <c r="BA457" s="179"/>
      <c r="BB457" s="179"/>
      <c r="BC457" s="179"/>
      <c r="BD457" s="179"/>
      <c r="BE457" s="179"/>
      <c r="BF457" s="179"/>
      <c r="BG457" s="179"/>
      <c r="BH457" s="171"/>
      <c r="BI457" s="173"/>
      <c r="BJ457" s="173"/>
      <c r="BK457" s="179"/>
      <c r="BL457" s="179"/>
      <c r="BM457" s="179"/>
      <c r="BN457" s="179"/>
      <c r="BO457" s="179"/>
      <c r="BP457" s="179"/>
      <c r="BQ457" s="179"/>
      <c r="BR457" s="179"/>
      <c r="BS457" s="179"/>
      <c r="BT457" s="179"/>
      <c r="BU457" s="179"/>
      <c r="BV457" s="179"/>
      <c r="BW457" s="179"/>
      <c r="BX457" s="179"/>
      <c r="BY457" s="179"/>
      <c r="BZ457" s="179"/>
      <c r="CA457" s="179"/>
      <c r="CB457" s="179"/>
      <c r="CC457" s="179"/>
      <c r="CD457" s="179"/>
      <c r="CE457" s="179"/>
      <c r="CF457" s="179"/>
      <c r="CG457" s="179"/>
      <c r="CH457" s="179"/>
      <c r="CI457" s="179"/>
      <c r="CJ457" s="179"/>
      <c r="CK457" s="179"/>
      <c r="CL457" s="179"/>
      <c r="CM457" s="179"/>
      <c r="CN457" s="179"/>
    </row>
    <row r="458" spans="1:92" outlineLevel="1">
      <c r="A458" s="171"/>
      <c r="B458" s="171" t="s">
        <v>695</v>
      </c>
      <c r="C458" s="166"/>
      <c r="D458" s="166"/>
      <c r="E458" s="166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90">
        <f t="shared" ref="P458:U458" si="1786">P456/P457</f>
        <v>968.07909604519773</v>
      </c>
      <c r="Q458" s="190">
        <f t="shared" si="1786"/>
        <v>999.17582417582423</v>
      </c>
      <c r="R458" s="190">
        <f t="shared" si="1786"/>
        <v>1070.3208556149732</v>
      </c>
      <c r="S458" s="190">
        <f t="shared" si="1786"/>
        <v>1126.5463917525774</v>
      </c>
      <c r="T458" s="190">
        <f t="shared" si="1786"/>
        <v>1175.6218905472638</v>
      </c>
      <c r="U458" s="190">
        <f t="shared" si="1786"/>
        <v>1190.8653846153845</v>
      </c>
      <c r="V458" s="179"/>
      <c r="W458" s="179"/>
      <c r="X458" s="190"/>
      <c r="Y458" s="179"/>
      <c r="Z458" s="179"/>
      <c r="AA458" s="190"/>
      <c r="AB458" s="179"/>
      <c r="AC458" s="179"/>
      <c r="AD458" s="190"/>
      <c r="AE458" s="179"/>
      <c r="AF458" s="179"/>
      <c r="AG458" s="179"/>
      <c r="AH458" s="179"/>
      <c r="AI458" s="179"/>
      <c r="AJ458" s="179"/>
      <c r="AK458" s="179"/>
      <c r="AL458" s="179"/>
      <c r="AM458" s="179"/>
      <c r="AN458" s="179"/>
      <c r="AO458" s="179"/>
      <c r="AP458" s="179"/>
      <c r="AQ458" s="1371"/>
      <c r="AR458" s="179"/>
      <c r="AS458" s="179"/>
      <c r="AT458" s="179"/>
      <c r="AU458" s="179"/>
      <c r="AV458" s="179"/>
      <c r="AW458" s="179"/>
      <c r="AX458" s="179"/>
      <c r="AY458" s="179"/>
      <c r="AZ458" s="179"/>
      <c r="BA458" s="179"/>
      <c r="BB458" s="179"/>
      <c r="BC458" s="179"/>
      <c r="BD458" s="179"/>
      <c r="BE458" s="179"/>
      <c r="BF458" s="179"/>
      <c r="BG458" s="179"/>
      <c r="BH458" s="171"/>
      <c r="BI458" s="173"/>
      <c r="BJ458" s="173"/>
      <c r="BK458" s="179"/>
      <c r="BL458" s="179"/>
      <c r="BM458" s="179"/>
      <c r="BN458" s="179"/>
      <c r="BO458" s="179"/>
      <c r="BP458" s="179"/>
      <c r="BQ458" s="179"/>
      <c r="BR458" s="179"/>
      <c r="BS458" s="179"/>
      <c r="BT458" s="179"/>
      <c r="BU458" s="179"/>
      <c r="BV458" s="179"/>
      <c r="BW458" s="179"/>
      <c r="BX458" s="179"/>
      <c r="BY458" s="179"/>
      <c r="BZ458" s="179"/>
      <c r="CA458" s="179"/>
      <c r="CB458" s="179"/>
      <c r="CC458" s="179"/>
      <c r="CD458" s="179"/>
      <c r="CE458" s="179"/>
      <c r="CF458" s="179"/>
      <c r="CG458" s="179"/>
      <c r="CH458" s="179"/>
      <c r="CI458" s="179"/>
      <c r="CJ458" s="179"/>
      <c r="CK458" s="179"/>
      <c r="CL458" s="179"/>
      <c r="CM458" s="179"/>
      <c r="CN458" s="179"/>
    </row>
    <row r="459" spans="1:92" outlineLevel="1">
      <c r="A459" s="171"/>
      <c r="B459" s="171"/>
      <c r="C459" s="166"/>
      <c r="D459" s="166"/>
      <c r="E459" s="166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90"/>
      <c r="Q459" s="190"/>
      <c r="R459" s="190"/>
      <c r="S459" s="190"/>
      <c r="T459" s="190"/>
      <c r="U459" s="190"/>
      <c r="V459" s="179"/>
      <c r="W459" s="179"/>
      <c r="X459" s="190"/>
      <c r="Y459" s="179"/>
      <c r="Z459" s="179"/>
      <c r="AA459" s="190"/>
      <c r="AB459" s="179"/>
      <c r="AC459" s="179"/>
      <c r="AD459" s="190"/>
      <c r="AE459" s="179"/>
      <c r="AF459" s="179"/>
      <c r="AG459" s="179"/>
      <c r="AH459" s="179"/>
      <c r="AI459" s="179"/>
      <c r="AJ459" s="179"/>
      <c r="AK459" s="179"/>
      <c r="AL459" s="179"/>
      <c r="AM459" s="179"/>
      <c r="AN459" s="179"/>
      <c r="AO459" s="179"/>
      <c r="AP459" s="179"/>
      <c r="AQ459" s="1371"/>
      <c r="AR459" s="179"/>
      <c r="AS459" s="179"/>
      <c r="AT459" s="179"/>
      <c r="AU459" s="179"/>
      <c r="AV459" s="179"/>
      <c r="AW459" s="179"/>
      <c r="AX459" s="179"/>
      <c r="AY459" s="179"/>
      <c r="AZ459" s="179"/>
      <c r="BA459" s="179"/>
      <c r="BB459" s="179"/>
      <c r="BC459" s="179"/>
      <c r="BD459" s="179"/>
      <c r="BE459" s="179"/>
      <c r="BF459" s="179"/>
      <c r="BG459" s="179"/>
      <c r="BH459" s="171"/>
      <c r="BI459" s="173"/>
      <c r="BJ459" s="173"/>
      <c r="BK459" s="179"/>
      <c r="BL459" s="179"/>
      <c r="BM459" s="179"/>
      <c r="BN459" s="179"/>
      <c r="BO459" s="179"/>
      <c r="BP459" s="179"/>
      <c r="BQ459" s="179"/>
      <c r="BR459" s="179"/>
      <c r="BS459" s="179"/>
      <c r="BT459" s="179"/>
      <c r="BU459" s="179"/>
      <c r="BV459" s="179"/>
      <c r="BW459" s="179"/>
      <c r="BX459" s="179"/>
      <c r="BY459" s="179"/>
      <c r="BZ459" s="179"/>
      <c r="CA459" s="179"/>
      <c r="CB459" s="179"/>
      <c r="CC459" s="179"/>
      <c r="CD459" s="179"/>
      <c r="CE459" s="179"/>
      <c r="CF459" s="179"/>
      <c r="CG459" s="179"/>
      <c r="CH459" s="179"/>
      <c r="CI459" s="179"/>
      <c r="CJ459" s="179"/>
      <c r="CK459" s="179"/>
      <c r="CL459" s="179"/>
      <c r="CM459" s="179"/>
      <c r="CN459" s="179"/>
    </row>
    <row r="460" spans="1:92" outlineLevel="1">
      <c r="A460" s="171"/>
      <c r="B460" s="181" t="s">
        <v>540</v>
      </c>
      <c r="C460" s="182"/>
      <c r="D460" s="182"/>
      <c r="E460" s="18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2"/>
      <c r="W460" s="242"/>
      <c r="X460" s="242"/>
      <c r="Y460" s="242"/>
      <c r="Z460" s="242"/>
      <c r="AA460" s="242"/>
      <c r="AB460" s="242"/>
      <c r="AC460" s="242"/>
      <c r="AD460" s="242"/>
      <c r="AE460" s="242"/>
      <c r="AF460" s="242"/>
      <c r="AG460" s="242"/>
      <c r="AH460" s="242"/>
      <c r="AI460" s="242"/>
      <c r="AJ460" s="242"/>
      <c r="AK460" s="242"/>
      <c r="AL460" s="242"/>
      <c r="AM460" s="242"/>
      <c r="AN460" s="242"/>
      <c r="AO460" s="242"/>
      <c r="AP460" s="179"/>
      <c r="AQ460" s="1767"/>
      <c r="AR460" s="242"/>
      <c r="AS460" s="242"/>
      <c r="AT460" s="242"/>
      <c r="AU460" s="242"/>
      <c r="AV460" s="242"/>
      <c r="AW460" s="242"/>
      <c r="AX460" s="242"/>
      <c r="AY460" s="242"/>
      <c r="AZ460" s="242"/>
      <c r="BA460" s="242"/>
      <c r="BB460" s="242"/>
      <c r="BC460" s="179"/>
      <c r="BD460" s="242"/>
      <c r="BE460" s="242"/>
      <c r="BF460" s="242"/>
      <c r="BG460" s="242"/>
      <c r="BH460" s="242"/>
      <c r="BI460" s="242"/>
      <c r="BJ460" s="242"/>
      <c r="BK460" s="242"/>
      <c r="BL460" s="242"/>
      <c r="BM460" s="242"/>
      <c r="BN460" s="242"/>
      <c r="BO460" s="242"/>
      <c r="BP460" s="242"/>
      <c r="BQ460" s="242"/>
      <c r="BR460" s="242"/>
      <c r="BS460" s="242"/>
      <c r="BT460" s="242"/>
      <c r="BU460" s="242"/>
      <c r="BV460" s="242"/>
      <c r="BW460" s="242"/>
      <c r="BX460" s="242"/>
      <c r="BY460" s="242"/>
      <c r="BZ460" s="242"/>
      <c r="CA460" s="242"/>
      <c r="CB460" s="242"/>
      <c r="CC460" s="242"/>
      <c r="CD460" s="242"/>
      <c r="CE460" s="242"/>
      <c r="CF460" s="242"/>
      <c r="CG460" s="242"/>
      <c r="CH460" s="242"/>
      <c r="CI460" s="242"/>
      <c r="CJ460" s="242"/>
      <c r="CK460" s="242"/>
      <c r="CL460" s="242"/>
      <c r="CM460" s="242"/>
      <c r="CN460" s="242"/>
    </row>
    <row r="461" spans="1:92" outlineLevel="1">
      <c r="A461" s="171" t="s">
        <v>541</v>
      </c>
      <c r="B461" s="171" t="s">
        <v>542</v>
      </c>
      <c r="C461" s="166"/>
      <c r="D461" s="166"/>
      <c r="E461" s="166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243">
        <v>8</v>
      </c>
      <c r="Q461" s="243">
        <v>22</v>
      </c>
      <c r="R461" s="243">
        <v>43</v>
      </c>
      <c r="S461" s="243">
        <v>61</v>
      </c>
      <c r="T461" s="243">
        <v>75</v>
      </c>
      <c r="U461" s="243">
        <v>75</v>
      </c>
      <c r="V461" s="179"/>
      <c r="W461" s="179"/>
      <c r="X461" s="243"/>
      <c r="Y461" s="179"/>
      <c r="Z461" s="179"/>
      <c r="AA461" s="243"/>
      <c r="AB461" s="179"/>
      <c r="AC461" s="190"/>
      <c r="AD461" s="243"/>
      <c r="AE461" s="179"/>
      <c r="AF461" s="190"/>
      <c r="AG461" s="179"/>
      <c r="AH461" s="179"/>
      <c r="AI461" s="179"/>
      <c r="AJ461" s="179"/>
      <c r="AK461" s="179"/>
      <c r="AL461" s="190"/>
      <c r="AM461" s="179"/>
      <c r="AN461" s="179"/>
      <c r="AO461" s="190"/>
      <c r="AP461" s="179"/>
      <c r="AQ461" s="1371"/>
      <c r="AR461" s="190"/>
      <c r="AS461" s="179"/>
      <c r="AT461" s="179"/>
      <c r="AU461" s="190"/>
      <c r="AV461" s="179"/>
      <c r="AW461" s="179"/>
      <c r="AX461" s="190"/>
      <c r="AY461" s="179"/>
      <c r="AZ461" s="179"/>
      <c r="BA461" s="190"/>
      <c r="BB461" s="179"/>
      <c r="BC461" s="179"/>
      <c r="BD461" s="179"/>
      <c r="BE461" s="179"/>
      <c r="BF461" s="179"/>
      <c r="BG461" s="179"/>
      <c r="BH461" s="171"/>
      <c r="BI461" s="171"/>
      <c r="BJ461" s="171"/>
      <c r="BK461" s="179"/>
      <c r="BL461" s="179"/>
      <c r="BM461" s="179"/>
      <c r="BN461" s="179"/>
      <c r="BO461" s="179"/>
      <c r="BP461" s="179"/>
      <c r="BQ461" s="179"/>
      <c r="BR461" s="179"/>
      <c r="BS461" s="179"/>
      <c r="BT461" s="179"/>
      <c r="BU461" s="179"/>
      <c r="BV461" s="179"/>
      <c r="BW461" s="179"/>
      <c r="BX461" s="179"/>
      <c r="BY461" s="179"/>
      <c r="BZ461" s="179"/>
      <c r="CA461" s="179"/>
      <c r="CB461" s="179"/>
      <c r="CC461" s="179">
        <v>4</v>
      </c>
      <c r="CD461" s="179">
        <f>P461</f>
        <v>8</v>
      </c>
      <c r="CE461" s="179">
        <v>16</v>
      </c>
      <c r="CF461" s="179">
        <f>Q461</f>
        <v>22</v>
      </c>
      <c r="CG461" s="179"/>
      <c r="CH461" s="179"/>
      <c r="CI461" s="179"/>
      <c r="CJ461" s="179"/>
      <c r="CK461" s="179"/>
      <c r="CL461" s="179"/>
      <c r="CM461" s="179"/>
      <c r="CN461" s="179"/>
    </row>
    <row r="462" spans="1:92" outlineLevel="1">
      <c r="A462" s="171"/>
      <c r="B462" s="171" t="s">
        <v>692</v>
      </c>
      <c r="C462" s="166"/>
      <c r="D462" s="166"/>
      <c r="E462" s="166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90">
        <v>0</v>
      </c>
      <c r="Q462" s="190">
        <v>1</v>
      </c>
      <c r="R462" s="190">
        <v>4</v>
      </c>
      <c r="S462" s="190">
        <v>5</v>
      </c>
      <c r="T462" s="190">
        <v>5</v>
      </c>
      <c r="U462" s="190">
        <v>0</v>
      </c>
      <c r="V462" s="179"/>
      <c r="W462" s="179"/>
      <c r="X462" s="190"/>
      <c r="Y462" s="179"/>
      <c r="Z462" s="179"/>
      <c r="AA462" s="190"/>
      <c r="AB462" s="179"/>
      <c r="AC462" s="190"/>
      <c r="AD462" s="190"/>
      <c r="AE462" s="179"/>
      <c r="AF462" s="190"/>
      <c r="AG462" s="179"/>
      <c r="AH462" s="179"/>
      <c r="AI462" s="179"/>
      <c r="AJ462" s="179"/>
      <c r="AK462" s="179"/>
      <c r="AL462" s="190"/>
      <c r="AM462" s="179"/>
      <c r="AN462" s="179"/>
      <c r="AO462" s="190"/>
      <c r="AP462" s="179"/>
      <c r="AQ462" s="1371"/>
      <c r="AR462" s="190"/>
      <c r="AS462" s="179"/>
      <c r="AT462" s="179"/>
      <c r="AU462" s="190"/>
      <c r="AV462" s="179"/>
      <c r="AW462" s="179"/>
      <c r="AX462" s="190"/>
      <c r="AY462" s="179"/>
      <c r="AZ462" s="179"/>
      <c r="BA462" s="190"/>
      <c r="BB462" s="179"/>
      <c r="BC462" s="179"/>
      <c r="BD462" s="179"/>
      <c r="BE462" s="179"/>
      <c r="BF462" s="179"/>
      <c r="BG462" s="179"/>
      <c r="BH462" s="171"/>
      <c r="BI462" s="171"/>
      <c r="BJ462" s="171"/>
      <c r="BK462" s="179"/>
      <c r="BL462" s="179"/>
      <c r="BM462" s="179"/>
      <c r="BN462" s="179"/>
      <c r="BO462" s="179"/>
      <c r="BP462" s="179"/>
      <c r="BQ462" s="179"/>
      <c r="BR462" s="179"/>
      <c r="BS462" s="179"/>
      <c r="BT462" s="179"/>
      <c r="BU462" s="179"/>
      <c r="BV462" s="179"/>
      <c r="BW462" s="179"/>
      <c r="BX462" s="179"/>
      <c r="BY462" s="179"/>
      <c r="BZ462" s="179"/>
      <c r="CA462" s="179"/>
      <c r="CB462" s="179"/>
      <c r="CC462" s="179"/>
      <c r="CD462" s="179"/>
      <c r="CE462" s="179">
        <v>1</v>
      </c>
      <c r="CF462" s="179"/>
      <c r="CG462" s="179"/>
      <c r="CH462" s="179"/>
      <c r="CI462" s="179"/>
      <c r="CJ462" s="179"/>
      <c r="CK462" s="179"/>
      <c r="CL462" s="179"/>
      <c r="CM462" s="179"/>
      <c r="CN462" s="179"/>
    </row>
    <row r="463" spans="1:92" outlineLevel="1">
      <c r="A463" s="171"/>
      <c r="B463" s="172" t="s">
        <v>691</v>
      </c>
      <c r="C463" s="166"/>
      <c r="D463" s="166"/>
      <c r="E463" s="166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90">
        <f>P462</f>
        <v>0</v>
      </c>
      <c r="Q463" s="190">
        <f>P463+Q462</f>
        <v>1</v>
      </c>
      <c r="R463" s="190">
        <f>Q463+R462</f>
        <v>5</v>
      </c>
      <c r="S463" s="190">
        <f>R463+S462</f>
        <v>10</v>
      </c>
      <c r="T463" s="190">
        <f>S463+T462</f>
        <v>15</v>
      </c>
      <c r="U463" s="190">
        <f>T463+U462</f>
        <v>15</v>
      </c>
      <c r="V463" s="179"/>
      <c r="W463" s="179"/>
      <c r="X463" s="190"/>
      <c r="Y463" s="179"/>
      <c r="Z463" s="179"/>
      <c r="AA463" s="190"/>
      <c r="AB463" s="179"/>
      <c r="AC463" s="190"/>
      <c r="AD463" s="190"/>
      <c r="AE463" s="179"/>
      <c r="AF463" s="190"/>
      <c r="AG463" s="179"/>
      <c r="AH463" s="179"/>
      <c r="AI463" s="179"/>
      <c r="AJ463" s="179"/>
      <c r="AK463" s="179"/>
      <c r="AL463" s="190"/>
      <c r="AM463" s="179"/>
      <c r="AN463" s="179"/>
      <c r="AO463" s="190"/>
      <c r="AP463" s="179"/>
      <c r="AQ463" s="1371"/>
      <c r="AR463" s="190"/>
      <c r="AS463" s="179"/>
      <c r="AT463" s="179"/>
      <c r="AU463" s="190"/>
      <c r="AV463" s="179"/>
      <c r="AW463" s="179"/>
      <c r="AX463" s="190"/>
      <c r="AY463" s="179"/>
      <c r="AZ463" s="179"/>
      <c r="BA463" s="190"/>
      <c r="BB463" s="179"/>
      <c r="BC463" s="179"/>
      <c r="BD463" s="179"/>
      <c r="BE463" s="179"/>
      <c r="BF463" s="179"/>
      <c r="BG463" s="179"/>
      <c r="BH463" s="171"/>
      <c r="BI463" s="171"/>
      <c r="BJ463" s="171"/>
      <c r="BK463" s="179"/>
      <c r="BL463" s="179"/>
      <c r="BM463" s="179"/>
      <c r="BN463" s="179"/>
      <c r="BO463" s="179"/>
      <c r="BP463" s="179"/>
      <c r="BQ463" s="179"/>
      <c r="BR463" s="179"/>
      <c r="BS463" s="179"/>
      <c r="BT463" s="179"/>
      <c r="BU463" s="179"/>
      <c r="BV463" s="179"/>
      <c r="BW463" s="179"/>
      <c r="BX463" s="179"/>
      <c r="BY463" s="179"/>
      <c r="BZ463" s="179"/>
      <c r="CA463" s="179"/>
      <c r="CB463" s="179"/>
      <c r="CC463" s="179"/>
      <c r="CD463" s="179"/>
      <c r="CE463" s="179"/>
      <c r="CF463" s="179"/>
      <c r="CG463" s="179"/>
      <c r="CH463" s="179"/>
      <c r="CI463" s="179"/>
      <c r="CJ463" s="179"/>
      <c r="CK463" s="179"/>
      <c r="CL463" s="179"/>
      <c r="CM463" s="179"/>
      <c r="CN463" s="179"/>
    </row>
    <row r="464" spans="1:92" outlineLevel="1">
      <c r="A464" s="171"/>
      <c r="B464" s="172" t="s">
        <v>688</v>
      </c>
      <c r="C464" s="166"/>
      <c r="D464" s="166"/>
      <c r="E464" s="166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286">
        <v>1500</v>
      </c>
      <c r="Q464" s="286">
        <v>1500</v>
      </c>
      <c r="R464" s="286">
        <v>1500</v>
      </c>
      <c r="S464" s="286">
        <v>1500</v>
      </c>
      <c r="T464" s="286">
        <v>1500</v>
      </c>
      <c r="U464" s="286">
        <v>1500</v>
      </c>
      <c r="V464" s="179"/>
      <c r="W464" s="179"/>
      <c r="X464" s="286"/>
      <c r="Y464" s="179"/>
      <c r="Z464" s="179"/>
      <c r="AA464" s="286"/>
      <c r="AB464" s="179"/>
      <c r="AC464" s="190"/>
      <c r="AD464" s="286"/>
      <c r="AE464" s="179"/>
      <c r="AF464" s="190"/>
      <c r="AG464" s="179"/>
      <c r="AH464" s="179"/>
      <c r="AI464" s="179"/>
      <c r="AJ464" s="179"/>
      <c r="AK464" s="179"/>
      <c r="AL464" s="190"/>
      <c r="AM464" s="179"/>
      <c r="AN464" s="179"/>
      <c r="AO464" s="190"/>
      <c r="AP464" s="179"/>
      <c r="AQ464" s="1371"/>
      <c r="AR464" s="190"/>
      <c r="AS464" s="179"/>
      <c r="AT464" s="179"/>
      <c r="AU464" s="190"/>
      <c r="AV464" s="179"/>
      <c r="AW464" s="179"/>
      <c r="AX464" s="190"/>
      <c r="AY464" s="179"/>
      <c r="AZ464" s="179"/>
      <c r="BA464" s="190"/>
      <c r="BB464" s="179"/>
      <c r="BC464" s="179"/>
      <c r="BD464" s="179"/>
      <c r="BE464" s="179"/>
      <c r="BF464" s="179"/>
      <c r="BG464" s="179"/>
      <c r="BH464" s="171"/>
      <c r="BI464" s="171"/>
      <c r="BJ464" s="171"/>
      <c r="BK464" s="179"/>
      <c r="BL464" s="179"/>
      <c r="BM464" s="179"/>
      <c r="BN464" s="179"/>
      <c r="BO464" s="179"/>
      <c r="BP464" s="179"/>
      <c r="BQ464" s="179"/>
      <c r="BR464" s="179"/>
      <c r="BS464" s="179"/>
      <c r="BT464" s="179"/>
      <c r="BU464" s="179"/>
      <c r="BV464" s="179"/>
      <c r="BW464" s="179"/>
      <c r="BX464" s="179"/>
      <c r="BY464" s="179"/>
      <c r="BZ464" s="179"/>
      <c r="CA464" s="179"/>
      <c r="CB464" s="179"/>
      <c r="CC464" s="179"/>
      <c r="CD464" s="179"/>
      <c r="CE464" s="179"/>
      <c r="CF464" s="179"/>
      <c r="CG464" s="179"/>
      <c r="CH464" s="179"/>
      <c r="CI464" s="179"/>
      <c r="CJ464" s="179"/>
      <c r="CK464" s="179"/>
      <c r="CL464" s="179"/>
      <c r="CM464" s="179"/>
      <c r="CN464" s="179"/>
    </row>
    <row r="465" spans="1:92" outlineLevel="1">
      <c r="A465" s="171"/>
      <c r="B465" s="172" t="s">
        <v>689</v>
      </c>
      <c r="C465" s="166"/>
      <c r="D465" s="166"/>
      <c r="E465" s="166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90">
        <f t="shared" ref="P465:U465" si="1787">P463*P464</f>
        <v>0</v>
      </c>
      <c r="Q465" s="190">
        <f t="shared" si="1787"/>
        <v>1500</v>
      </c>
      <c r="R465" s="190">
        <f t="shared" si="1787"/>
        <v>7500</v>
      </c>
      <c r="S465" s="190">
        <f t="shared" si="1787"/>
        <v>15000</v>
      </c>
      <c r="T465" s="190">
        <f t="shared" si="1787"/>
        <v>22500</v>
      </c>
      <c r="U465" s="190">
        <f t="shared" si="1787"/>
        <v>22500</v>
      </c>
      <c r="V465" s="179"/>
      <c r="W465" s="179"/>
      <c r="X465" s="190"/>
      <c r="Y465" s="179"/>
      <c r="Z465" s="179"/>
      <c r="AA465" s="190"/>
      <c r="AB465" s="179"/>
      <c r="AC465" s="190"/>
      <c r="AD465" s="190"/>
      <c r="AE465" s="179"/>
      <c r="AF465" s="190"/>
      <c r="AG465" s="179"/>
      <c r="AH465" s="179"/>
      <c r="AI465" s="179"/>
      <c r="AJ465" s="179"/>
      <c r="AK465" s="179"/>
      <c r="AL465" s="190"/>
      <c r="AM465" s="179"/>
      <c r="AN465" s="179"/>
      <c r="AO465" s="190"/>
      <c r="AP465" s="179"/>
      <c r="AQ465" s="1371"/>
      <c r="AR465" s="190"/>
      <c r="AS465" s="179"/>
      <c r="AT465" s="179"/>
      <c r="AU465" s="190"/>
      <c r="AV465" s="179"/>
      <c r="AW465" s="179"/>
      <c r="AX465" s="190"/>
      <c r="AY465" s="179"/>
      <c r="AZ465" s="179"/>
      <c r="BA465" s="190"/>
      <c r="BB465" s="179"/>
      <c r="BC465" s="179"/>
      <c r="BD465" s="179"/>
      <c r="BE465" s="179"/>
      <c r="BF465" s="179"/>
      <c r="BG465" s="179"/>
      <c r="BH465" s="171"/>
      <c r="BI465" s="171"/>
      <c r="BJ465" s="171"/>
      <c r="BK465" s="179"/>
      <c r="BL465" s="179"/>
      <c r="BM465" s="179"/>
      <c r="BN465" s="179"/>
      <c r="BO465" s="179"/>
      <c r="BP465" s="179"/>
      <c r="BQ465" s="179"/>
      <c r="BR465" s="179"/>
      <c r="BS465" s="179"/>
      <c r="BT465" s="179"/>
      <c r="BU465" s="179"/>
      <c r="BV465" s="179"/>
      <c r="BW465" s="179"/>
      <c r="BX465" s="179"/>
      <c r="BY465" s="179"/>
      <c r="BZ465" s="179"/>
      <c r="CA465" s="179"/>
      <c r="CB465" s="179"/>
      <c r="CC465" s="179"/>
      <c r="CD465" s="179"/>
      <c r="CE465" s="179"/>
      <c r="CF465" s="179"/>
      <c r="CG465" s="179"/>
      <c r="CH465" s="179"/>
      <c r="CI465" s="179"/>
      <c r="CJ465" s="179"/>
      <c r="CK465" s="179"/>
      <c r="CL465" s="179"/>
      <c r="CM465" s="179"/>
      <c r="CN465" s="179"/>
    </row>
    <row r="466" spans="1:92" outlineLevel="1">
      <c r="A466" s="171"/>
      <c r="B466" s="172"/>
      <c r="C466" s="166"/>
      <c r="D466" s="166"/>
      <c r="E466" s="166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90"/>
      <c r="Q466" s="190"/>
      <c r="R466" s="190"/>
      <c r="S466" s="190"/>
      <c r="T466" s="190"/>
      <c r="U466" s="190"/>
      <c r="V466" s="179"/>
      <c r="W466" s="179"/>
      <c r="X466" s="190"/>
      <c r="Y466" s="179"/>
      <c r="Z466" s="179"/>
      <c r="AA466" s="190"/>
      <c r="AB466" s="179"/>
      <c r="AC466" s="190"/>
      <c r="AD466" s="190"/>
      <c r="AE466" s="179"/>
      <c r="AF466" s="190"/>
      <c r="AG466" s="179"/>
      <c r="AH466" s="179"/>
      <c r="AI466" s="179"/>
      <c r="AJ466" s="179"/>
      <c r="AK466" s="179"/>
      <c r="AL466" s="190"/>
      <c r="AM466" s="179"/>
      <c r="AN466" s="179"/>
      <c r="AO466" s="190"/>
      <c r="AP466" s="179"/>
      <c r="AQ466" s="1371"/>
      <c r="AR466" s="190"/>
      <c r="AS466" s="179"/>
      <c r="AT466" s="179"/>
      <c r="AU466" s="190"/>
      <c r="AV466" s="179"/>
      <c r="AW466" s="179"/>
      <c r="AX466" s="190"/>
      <c r="AY466" s="179"/>
      <c r="AZ466" s="179"/>
      <c r="BA466" s="190"/>
      <c r="BB466" s="179"/>
      <c r="BC466" s="179"/>
      <c r="BD466" s="179"/>
      <c r="BE466" s="179"/>
      <c r="BF466" s="179"/>
      <c r="BG466" s="179"/>
      <c r="BH466" s="171"/>
      <c r="BI466" s="171"/>
      <c r="BJ466" s="171"/>
      <c r="BK466" s="179"/>
      <c r="BL466" s="179"/>
      <c r="BM466" s="179"/>
      <c r="BN466" s="179"/>
      <c r="BO466" s="179"/>
      <c r="BP466" s="179"/>
      <c r="BQ466" s="179"/>
      <c r="BR466" s="179"/>
      <c r="BS466" s="179"/>
      <c r="BT466" s="179"/>
      <c r="BU466" s="179"/>
      <c r="BV466" s="179"/>
      <c r="BW466" s="179"/>
      <c r="BX466" s="179"/>
      <c r="BY466" s="179"/>
      <c r="BZ466" s="179"/>
      <c r="CA466" s="179"/>
      <c r="CB466" s="179"/>
      <c r="CC466" s="179"/>
      <c r="CD466" s="179"/>
      <c r="CE466" s="179"/>
      <c r="CF466" s="179"/>
      <c r="CG466" s="179"/>
      <c r="CH466" s="179"/>
      <c r="CI466" s="179"/>
      <c r="CJ466" s="179"/>
      <c r="CK466" s="179"/>
      <c r="CL466" s="179"/>
      <c r="CM466" s="179"/>
      <c r="CN466" s="179"/>
    </row>
    <row r="467" spans="1:92" outlineLevel="1">
      <c r="A467" s="171"/>
      <c r="B467" s="171" t="s">
        <v>690</v>
      </c>
      <c r="C467" s="166"/>
      <c r="D467" s="166"/>
      <c r="E467" s="166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90">
        <v>8</v>
      </c>
      <c r="Q467" s="190">
        <v>13</v>
      </c>
      <c r="R467" s="190">
        <v>26</v>
      </c>
      <c r="S467" s="190">
        <v>13</v>
      </c>
      <c r="T467" s="190">
        <f>T475-T462</f>
        <v>9</v>
      </c>
      <c r="U467" s="190">
        <f>U475-U462</f>
        <v>0</v>
      </c>
      <c r="V467" s="179"/>
      <c r="W467" s="179"/>
      <c r="X467" s="190"/>
      <c r="Y467" s="179"/>
      <c r="Z467" s="179"/>
      <c r="AA467" s="190"/>
      <c r="AB467" s="179"/>
      <c r="AC467" s="190"/>
      <c r="AD467" s="190"/>
      <c r="AE467" s="179"/>
      <c r="AF467" s="190"/>
      <c r="AG467" s="179"/>
      <c r="AH467" s="179"/>
      <c r="AI467" s="179"/>
      <c r="AJ467" s="179"/>
      <c r="AK467" s="179"/>
      <c r="AL467" s="190"/>
      <c r="AM467" s="179"/>
      <c r="AN467" s="179"/>
      <c r="AO467" s="190"/>
      <c r="AP467" s="179"/>
      <c r="AQ467" s="1371"/>
      <c r="AR467" s="190"/>
      <c r="AS467" s="179"/>
      <c r="AT467" s="179"/>
      <c r="AU467" s="190"/>
      <c r="AV467" s="179"/>
      <c r="AW467" s="179"/>
      <c r="AX467" s="190"/>
      <c r="AY467" s="179"/>
      <c r="AZ467" s="179"/>
      <c r="BA467" s="190"/>
      <c r="BB467" s="179"/>
      <c r="BC467" s="179"/>
      <c r="BD467" s="179"/>
      <c r="BE467" s="179"/>
      <c r="BF467" s="179"/>
      <c r="BG467" s="179"/>
      <c r="BH467" s="171"/>
      <c r="BI467" s="171"/>
      <c r="BJ467" s="171"/>
      <c r="BK467" s="179"/>
      <c r="BL467" s="179"/>
      <c r="BM467" s="179"/>
      <c r="BN467" s="179"/>
      <c r="BO467" s="179"/>
      <c r="BP467" s="179"/>
      <c r="BQ467" s="179"/>
      <c r="BR467" s="179"/>
      <c r="BS467" s="179"/>
      <c r="BT467" s="179"/>
      <c r="BU467" s="179"/>
      <c r="BV467" s="179"/>
      <c r="BW467" s="179"/>
      <c r="BX467" s="179"/>
      <c r="BY467" s="179"/>
      <c r="BZ467" s="179"/>
      <c r="CA467" s="179"/>
      <c r="CB467" s="179"/>
      <c r="CC467" s="179"/>
      <c r="CD467" s="179"/>
      <c r="CE467" s="179">
        <v>1</v>
      </c>
      <c r="CF467" s="179">
        <f>Q467-CE467</f>
        <v>12</v>
      </c>
      <c r="CG467" s="179"/>
      <c r="CH467" s="179"/>
      <c r="CI467" s="179"/>
      <c r="CJ467" s="179"/>
      <c r="CK467" s="179"/>
      <c r="CL467" s="179"/>
      <c r="CM467" s="179"/>
      <c r="CN467" s="179"/>
    </row>
    <row r="468" spans="1:92" outlineLevel="1">
      <c r="A468" s="171"/>
      <c r="B468" s="172" t="s">
        <v>691</v>
      </c>
      <c r="C468" s="166"/>
      <c r="D468" s="166"/>
      <c r="E468" s="166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90">
        <f>P467</f>
        <v>8</v>
      </c>
      <c r="Q468" s="190">
        <f>P468+Q467</f>
        <v>21</v>
      </c>
      <c r="R468" s="190">
        <f>Q468+R467</f>
        <v>47</v>
      </c>
      <c r="S468" s="190">
        <f>R468+S467</f>
        <v>60</v>
      </c>
      <c r="T468" s="190">
        <f>S468+T467</f>
        <v>69</v>
      </c>
      <c r="U468" s="190">
        <f>T468+U467</f>
        <v>69</v>
      </c>
      <c r="V468" s="179"/>
      <c r="W468" s="179"/>
      <c r="X468" s="190"/>
      <c r="Y468" s="179"/>
      <c r="Z468" s="179"/>
      <c r="AA468" s="190"/>
      <c r="AB468" s="179"/>
      <c r="AC468" s="190"/>
      <c r="AD468" s="190"/>
      <c r="AE468" s="179"/>
      <c r="AF468" s="190"/>
      <c r="AG468" s="179"/>
      <c r="AH468" s="179"/>
      <c r="AI468" s="179"/>
      <c r="AJ468" s="179"/>
      <c r="AK468" s="179"/>
      <c r="AL468" s="190"/>
      <c r="AM468" s="179"/>
      <c r="AN468" s="179"/>
      <c r="AO468" s="190"/>
      <c r="AP468" s="179"/>
      <c r="AQ468" s="1371"/>
      <c r="AR468" s="190"/>
      <c r="AS468" s="179"/>
      <c r="AT468" s="179"/>
      <c r="AU468" s="190"/>
      <c r="AV468" s="179"/>
      <c r="AW468" s="179"/>
      <c r="AX468" s="190"/>
      <c r="AY468" s="179"/>
      <c r="AZ468" s="179"/>
      <c r="BA468" s="190"/>
      <c r="BB468" s="179"/>
      <c r="BC468" s="179"/>
      <c r="BD468" s="179"/>
      <c r="BE468" s="179"/>
      <c r="BF468" s="179"/>
      <c r="BG468" s="179"/>
      <c r="BH468" s="171"/>
      <c r="BI468" s="171"/>
      <c r="BJ468" s="171"/>
      <c r="BK468" s="179"/>
      <c r="BL468" s="179"/>
      <c r="BM468" s="179"/>
      <c r="BN468" s="179"/>
      <c r="BO468" s="179"/>
      <c r="BP468" s="179"/>
      <c r="BQ468" s="179"/>
      <c r="BR468" s="179"/>
      <c r="BS468" s="179"/>
      <c r="BT468" s="179"/>
      <c r="BU468" s="179"/>
      <c r="BV468" s="179"/>
      <c r="BW468" s="179"/>
      <c r="BX468" s="179"/>
      <c r="BY468" s="179"/>
      <c r="BZ468" s="179"/>
      <c r="CA468" s="179"/>
      <c r="CB468" s="179"/>
      <c r="CC468" s="179"/>
      <c r="CD468" s="179"/>
      <c r="CE468" s="179"/>
      <c r="CF468" s="179"/>
      <c r="CG468" s="179"/>
      <c r="CH468" s="179"/>
      <c r="CI468" s="179"/>
      <c r="CJ468" s="179"/>
      <c r="CK468" s="179"/>
      <c r="CL468" s="179"/>
      <c r="CM468" s="179"/>
      <c r="CN468" s="179"/>
    </row>
    <row r="469" spans="1:92" outlineLevel="1">
      <c r="A469" s="171"/>
      <c r="B469" s="172" t="s">
        <v>688</v>
      </c>
      <c r="C469" s="166"/>
      <c r="D469" s="166"/>
      <c r="E469" s="166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286">
        <v>1350</v>
      </c>
      <c r="Q469" s="286">
        <v>1350</v>
      </c>
      <c r="R469" s="286">
        <v>1350</v>
      </c>
      <c r="S469" s="286">
        <v>1350</v>
      </c>
      <c r="T469" s="286">
        <v>1350</v>
      </c>
      <c r="U469" s="286">
        <v>1350</v>
      </c>
      <c r="V469" s="179"/>
      <c r="W469" s="179"/>
      <c r="X469" s="286"/>
      <c r="Y469" s="179"/>
      <c r="Z469" s="179"/>
      <c r="AA469" s="286"/>
      <c r="AB469" s="179"/>
      <c r="AC469" s="190"/>
      <c r="AD469" s="286"/>
      <c r="AE469" s="179"/>
      <c r="AF469" s="190"/>
      <c r="AG469" s="179"/>
      <c r="AH469" s="179"/>
      <c r="AI469" s="179"/>
      <c r="AJ469" s="179"/>
      <c r="AK469" s="179"/>
      <c r="AL469" s="190"/>
      <c r="AM469" s="179"/>
      <c r="AN469" s="179"/>
      <c r="AO469" s="190"/>
      <c r="AP469" s="179"/>
      <c r="AQ469" s="1371"/>
      <c r="AR469" s="190"/>
      <c r="AS469" s="179"/>
      <c r="AT469" s="179"/>
      <c r="AU469" s="190"/>
      <c r="AV469" s="179"/>
      <c r="AW469" s="179"/>
      <c r="AX469" s="190"/>
      <c r="AY469" s="179"/>
      <c r="AZ469" s="179"/>
      <c r="BA469" s="190"/>
      <c r="BB469" s="179"/>
      <c r="BC469" s="179"/>
      <c r="BD469" s="179"/>
      <c r="BE469" s="179"/>
      <c r="BF469" s="179"/>
      <c r="BG469" s="179"/>
      <c r="BH469" s="171"/>
      <c r="BI469" s="171"/>
      <c r="BJ469" s="171"/>
      <c r="BK469" s="179"/>
      <c r="BL469" s="179"/>
      <c r="BM469" s="179"/>
      <c r="BN469" s="179"/>
      <c r="BO469" s="179"/>
      <c r="BP469" s="179"/>
      <c r="BQ469" s="179"/>
      <c r="BR469" s="179"/>
      <c r="BS469" s="179"/>
      <c r="BT469" s="179"/>
      <c r="BU469" s="179"/>
      <c r="BV469" s="179"/>
      <c r="BW469" s="179"/>
      <c r="BX469" s="179"/>
      <c r="BY469" s="179"/>
      <c r="BZ469" s="179"/>
      <c r="CA469" s="179"/>
      <c r="CB469" s="179"/>
      <c r="CC469" s="179"/>
      <c r="CD469" s="179"/>
      <c r="CE469" s="179"/>
      <c r="CF469" s="179"/>
      <c r="CG469" s="179"/>
      <c r="CH469" s="179"/>
      <c r="CI469" s="179"/>
      <c r="CJ469" s="179"/>
      <c r="CK469" s="179"/>
      <c r="CL469" s="179"/>
      <c r="CM469" s="179"/>
      <c r="CN469" s="179"/>
    </row>
    <row r="470" spans="1:92" outlineLevel="1">
      <c r="A470" s="171"/>
      <c r="B470" s="172" t="s">
        <v>689</v>
      </c>
      <c r="C470" s="166"/>
      <c r="D470" s="166"/>
      <c r="E470" s="166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90">
        <f t="shared" ref="P470:U470" si="1788">P468*P469</f>
        <v>10800</v>
      </c>
      <c r="Q470" s="190">
        <f>Q468*Q469</f>
        <v>28350</v>
      </c>
      <c r="R470" s="190">
        <f t="shared" si="1788"/>
        <v>63450</v>
      </c>
      <c r="S470" s="190">
        <f t="shared" si="1788"/>
        <v>81000</v>
      </c>
      <c r="T470" s="190">
        <f t="shared" si="1788"/>
        <v>93150</v>
      </c>
      <c r="U470" s="190">
        <f t="shared" si="1788"/>
        <v>93150</v>
      </c>
      <c r="V470" s="179"/>
      <c r="W470" s="179"/>
      <c r="X470" s="190"/>
      <c r="Y470" s="179"/>
      <c r="Z470" s="179"/>
      <c r="AA470" s="190"/>
      <c r="AB470" s="179"/>
      <c r="AC470" s="190"/>
      <c r="AD470" s="190"/>
      <c r="AE470" s="179"/>
      <c r="AF470" s="190"/>
      <c r="AG470" s="179"/>
      <c r="AH470" s="179"/>
      <c r="AI470" s="179"/>
      <c r="AJ470" s="179"/>
      <c r="AK470" s="179"/>
      <c r="AL470" s="190"/>
      <c r="AM470" s="179"/>
      <c r="AN470" s="179"/>
      <c r="AO470" s="190"/>
      <c r="AP470" s="179"/>
      <c r="AQ470" s="1371"/>
      <c r="AR470" s="190"/>
      <c r="AS470" s="179"/>
      <c r="AT470" s="179"/>
      <c r="AU470" s="190"/>
      <c r="AV470" s="179"/>
      <c r="AW470" s="179"/>
      <c r="AX470" s="190"/>
      <c r="AY470" s="179"/>
      <c r="AZ470" s="179"/>
      <c r="BA470" s="190"/>
      <c r="BB470" s="179"/>
      <c r="BC470" s="179"/>
      <c r="BD470" s="179"/>
      <c r="BE470" s="179"/>
      <c r="BF470" s="179"/>
      <c r="BG470" s="179"/>
      <c r="BH470" s="171"/>
      <c r="BI470" s="171"/>
      <c r="BJ470" s="171"/>
      <c r="BK470" s="179"/>
      <c r="BL470" s="179"/>
      <c r="BM470" s="179"/>
      <c r="BN470" s="179"/>
      <c r="BO470" s="179"/>
      <c r="BP470" s="179"/>
      <c r="BQ470" s="179"/>
      <c r="BR470" s="179"/>
      <c r="BS470" s="179"/>
      <c r="BT470" s="179"/>
      <c r="BU470" s="179"/>
      <c r="BV470" s="179"/>
      <c r="BW470" s="179"/>
      <c r="BX470" s="179"/>
      <c r="BY470" s="179"/>
      <c r="BZ470" s="179"/>
      <c r="CA470" s="179"/>
      <c r="CB470" s="179"/>
      <c r="CC470" s="179"/>
      <c r="CD470" s="179"/>
      <c r="CE470" s="179"/>
      <c r="CF470" s="179"/>
      <c r="CG470" s="179"/>
      <c r="CH470" s="179"/>
      <c r="CI470" s="179"/>
      <c r="CJ470" s="179"/>
      <c r="CK470" s="179"/>
      <c r="CL470" s="179"/>
      <c r="CM470" s="179"/>
      <c r="CN470" s="179"/>
    </row>
    <row r="471" spans="1:92" outlineLevel="1">
      <c r="A471" s="171"/>
      <c r="B471" s="172"/>
      <c r="C471" s="166"/>
      <c r="D471" s="166"/>
      <c r="E471" s="166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90"/>
      <c r="Q471" s="190"/>
      <c r="R471" s="190"/>
      <c r="S471" s="190"/>
      <c r="T471" s="190"/>
      <c r="U471" s="190"/>
      <c r="V471" s="179"/>
      <c r="W471" s="179"/>
      <c r="X471" s="190"/>
      <c r="Y471" s="179"/>
      <c r="Z471" s="179"/>
      <c r="AA471" s="190"/>
      <c r="AB471" s="179"/>
      <c r="AC471" s="190"/>
      <c r="AD471" s="190"/>
      <c r="AE471" s="179"/>
      <c r="AF471" s="190"/>
      <c r="AG471" s="179"/>
      <c r="AH471" s="179"/>
      <c r="AI471" s="179"/>
      <c r="AJ471" s="179"/>
      <c r="AK471" s="179"/>
      <c r="AL471" s="190"/>
      <c r="AM471" s="179"/>
      <c r="AN471" s="179"/>
      <c r="AO471" s="190"/>
      <c r="AP471" s="179"/>
      <c r="AQ471" s="1371"/>
      <c r="AR471" s="190"/>
      <c r="AS471" s="179"/>
      <c r="AT471" s="179"/>
      <c r="AU471" s="190"/>
      <c r="AV471" s="179"/>
      <c r="AW471" s="179"/>
      <c r="AX471" s="190"/>
      <c r="AY471" s="179"/>
      <c r="AZ471" s="179"/>
      <c r="BA471" s="190"/>
      <c r="BB471" s="179"/>
      <c r="BC471" s="179"/>
      <c r="BD471" s="179"/>
      <c r="BE471" s="179"/>
      <c r="BF471" s="179"/>
      <c r="BG471" s="179"/>
      <c r="BH471" s="171"/>
      <c r="BI471" s="171"/>
      <c r="BJ471" s="171"/>
      <c r="BK471" s="179"/>
      <c r="BL471" s="179"/>
      <c r="BM471" s="179"/>
      <c r="BN471" s="179"/>
      <c r="BO471" s="179"/>
      <c r="BP471" s="179"/>
      <c r="BQ471" s="179"/>
      <c r="BR471" s="179"/>
      <c r="BS471" s="179"/>
      <c r="BT471" s="179"/>
      <c r="BU471" s="179"/>
      <c r="BV471" s="179"/>
      <c r="BW471" s="179"/>
      <c r="BX471" s="179"/>
      <c r="BY471" s="179"/>
      <c r="BZ471" s="179"/>
      <c r="CA471" s="179"/>
      <c r="CB471" s="179"/>
      <c r="CC471" s="179"/>
      <c r="CD471" s="179"/>
      <c r="CE471" s="179"/>
      <c r="CF471" s="179"/>
      <c r="CG471" s="179"/>
      <c r="CH471" s="179"/>
      <c r="CI471" s="179"/>
      <c r="CJ471" s="179"/>
      <c r="CK471" s="179"/>
      <c r="CL471" s="179"/>
      <c r="CM471" s="179"/>
      <c r="CN471" s="179"/>
    </row>
    <row r="472" spans="1:92" outlineLevel="1">
      <c r="A472" s="171"/>
      <c r="B472" s="172"/>
      <c r="C472" s="166"/>
      <c r="D472" s="166"/>
      <c r="E472" s="166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90"/>
      <c r="Q472" s="190"/>
      <c r="R472" s="190"/>
      <c r="S472" s="190"/>
      <c r="T472" s="190"/>
      <c r="U472" s="190"/>
      <c r="V472" s="179"/>
      <c r="W472" s="179"/>
      <c r="X472" s="190"/>
      <c r="Y472" s="179"/>
      <c r="Z472" s="179"/>
      <c r="AA472" s="190"/>
      <c r="AB472" s="179"/>
      <c r="AC472" s="190"/>
      <c r="AD472" s="190"/>
      <c r="AE472" s="179"/>
      <c r="AF472" s="190"/>
      <c r="AG472" s="179"/>
      <c r="AH472" s="179"/>
      <c r="AI472" s="179"/>
      <c r="AJ472" s="179"/>
      <c r="AK472" s="179"/>
      <c r="AL472" s="190"/>
      <c r="AM472" s="179"/>
      <c r="AN472" s="179"/>
      <c r="AO472" s="190"/>
      <c r="AP472" s="179"/>
      <c r="AQ472" s="1371"/>
      <c r="AR472" s="190"/>
      <c r="AS472" s="179"/>
      <c r="AT472" s="179"/>
      <c r="AU472" s="190"/>
      <c r="AV472" s="179"/>
      <c r="AW472" s="179"/>
      <c r="AX472" s="190"/>
      <c r="AY472" s="179"/>
      <c r="AZ472" s="179"/>
      <c r="BA472" s="190"/>
      <c r="BB472" s="179"/>
      <c r="BC472" s="179"/>
      <c r="BD472" s="179"/>
      <c r="BE472" s="179"/>
      <c r="BF472" s="179"/>
      <c r="BG472" s="179"/>
      <c r="BH472" s="171"/>
      <c r="BI472" s="171"/>
      <c r="BJ472" s="171"/>
      <c r="BK472" s="179"/>
      <c r="BL472" s="179"/>
      <c r="BM472" s="179"/>
      <c r="BN472" s="179"/>
      <c r="BO472" s="179"/>
      <c r="BP472" s="179"/>
      <c r="BQ472" s="179"/>
      <c r="BR472" s="179"/>
      <c r="BS472" s="179"/>
      <c r="BT472" s="179"/>
      <c r="BU472" s="179"/>
      <c r="BV472" s="179"/>
      <c r="BW472" s="179"/>
      <c r="BX472" s="179"/>
      <c r="BY472" s="179"/>
      <c r="BZ472" s="179"/>
      <c r="CA472" s="179"/>
      <c r="CB472" s="179"/>
      <c r="CC472" s="179"/>
      <c r="CD472" s="179"/>
      <c r="CE472" s="179"/>
      <c r="CF472" s="179"/>
      <c r="CG472" s="179"/>
      <c r="CH472" s="179"/>
      <c r="CI472" s="179"/>
      <c r="CJ472" s="179"/>
      <c r="CK472" s="179"/>
      <c r="CL472" s="179"/>
      <c r="CM472" s="179"/>
      <c r="CN472" s="179"/>
    </row>
    <row r="473" spans="1:92" outlineLevel="1">
      <c r="A473" s="171"/>
      <c r="B473" s="172"/>
      <c r="C473" s="166"/>
      <c r="D473" s="166"/>
      <c r="E473" s="166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90"/>
      <c r="Q473" s="190"/>
      <c r="R473" s="190"/>
      <c r="S473" s="190"/>
      <c r="T473" s="190"/>
      <c r="U473" s="190"/>
      <c r="V473" s="179"/>
      <c r="W473" s="179"/>
      <c r="X473" s="190"/>
      <c r="Y473" s="179"/>
      <c r="Z473" s="179"/>
      <c r="AA473" s="190"/>
      <c r="AB473" s="179"/>
      <c r="AC473" s="190"/>
      <c r="AD473" s="190"/>
      <c r="AE473" s="179"/>
      <c r="AF473" s="190"/>
      <c r="AG473" s="179"/>
      <c r="AH473" s="179"/>
      <c r="AI473" s="179"/>
      <c r="AJ473" s="179"/>
      <c r="AK473" s="179"/>
      <c r="AL473" s="190"/>
      <c r="AM473" s="179"/>
      <c r="AN473" s="179"/>
      <c r="AO473" s="190"/>
      <c r="AP473" s="179"/>
      <c r="AQ473" s="1371"/>
      <c r="AR473" s="190"/>
      <c r="AS473" s="179"/>
      <c r="AT473" s="179"/>
      <c r="AU473" s="190"/>
      <c r="AV473" s="179"/>
      <c r="AW473" s="179"/>
      <c r="AX473" s="190"/>
      <c r="AY473" s="179"/>
      <c r="AZ473" s="179"/>
      <c r="BA473" s="190"/>
      <c r="BB473" s="179"/>
      <c r="BC473" s="179"/>
      <c r="BD473" s="179"/>
      <c r="BE473" s="179"/>
      <c r="BF473" s="179"/>
      <c r="BG473" s="179"/>
      <c r="BH473" s="171"/>
      <c r="BI473" s="171"/>
      <c r="BJ473" s="171"/>
      <c r="BK473" s="179"/>
      <c r="BL473" s="179"/>
      <c r="BM473" s="179"/>
      <c r="BN473" s="179"/>
      <c r="BO473" s="179"/>
      <c r="BP473" s="179"/>
      <c r="BQ473" s="179"/>
      <c r="BR473" s="179"/>
      <c r="BS473" s="179"/>
      <c r="BT473" s="179"/>
      <c r="BU473" s="179"/>
      <c r="BV473" s="179"/>
      <c r="BW473" s="179"/>
      <c r="BX473" s="179"/>
      <c r="BY473" s="179"/>
      <c r="BZ473" s="179"/>
      <c r="CA473" s="179"/>
      <c r="CB473" s="179"/>
      <c r="CC473" s="179"/>
      <c r="CD473" s="179"/>
      <c r="CE473" s="179"/>
      <c r="CF473" s="179"/>
      <c r="CG473" s="179"/>
      <c r="CH473" s="179"/>
      <c r="CI473" s="179"/>
      <c r="CJ473" s="179"/>
      <c r="CK473" s="179"/>
      <c r="CL473" s="179"/>
      <c r="CM473" s="179"/>
      <c r="CN473" s="179"/>
    </row>
    <row r="474" spans="1:92" outlineLevel="1">
      <c r="A474" s="171"/>
      <c r="B474" s="172"/>
      <c r="C474" s="166"/>
      <c r="D474" s="166"/>
      <c r="E474" s="166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90"/>
      <c r="Q474" s="190"/>
      <c r="R474" s="190"/>
      <c r="S474" s="190"/>
      <c r="T474" s="190"/>
      <c r="U474" s="190"/>
      <c r="V474" s="179"/>
      <c r="W474" s="179"/>
      <c r="X474" s="190"/>
      <c r="Y474" s="179"/>
      <c r="Z474" s="179"/>
      <c r="AA474" s="190"/>
      <c r="AB474" s="179"/>
      <c r="AC474" s="190"/>
      <c r="AD474" s="190"/>
      <c r="AE474" s="179"/>
      <c r="AF474" s="190"/>
      <c r="AG474" s="179"/>
      <c r="AH474" s="179"/>
      <c r="AI474" s="179"/>
      <c r="AJ474" s="179"/>
      <c r="AK474" s="179"/>
      <c r="AL474" s="190"/>
      <c r="AM474" s="179"/>
      <c r="AN474" s="179"/>
      <c r="AO474" s="190"/>
      <c r="AP474" s="179"/>
      <c r="AQ474" s="1371"/>
      <c r="AR474" s="190"/>
      <c r="AS474" s="179"/>
      <c r="AT474" s="179"/>
      <c r="AU474" s="190"/>
      <c r="AV474" s="179"/>
      <c r="AW474" s="179"/>
      <c r="AX474" s="190"/>
      <c r="AY474" s="179"/>
      <c r="AZ474" s="179"/>
      <c r="BA474" s="190"/>
      <c r="BB474" s="179"/>
      <c r="BC474" s="179"/>
      <c r="BD474" s="179"/>
      <c r="BE474" s="179"/>
      <c r="BF474" s="179"/>
      <c r="BG474" s="179"/>
      <c r="BH474" s="171"/>
      <c r="BI474" s="171"/>
      <c r="BJ474" s="171"/>
      <c r="BK474" s="179"/>
      <c r="BL474" s="179"/>
      <c r="BM474" s="179"/>
      <c r="BN474" s="179"/>
      <c r="BO474" s="179"/>
      <c r="BP474" s="179"/>
      <c r="BQ474" s="179"/>
      <c r="BR474" s="179"/>
      <c r="BS474" s="179"/>
      <c r="BT474" s="179"/>
      <c r="BU474" s="179"/>
      <c r="BV474" s="179"/>
      <c r="BW474" s="179"/>
      <c r="BX474" s="179"/>
      <c r="BY474" s="179"/>
      <c r="BZ474" s="179"/>
      <c r="CA474" s="179"/>
      <c r="CB474" s="179"/>
      <c r="CC474" s="179"/>
      <c r="CD474" s="179"/>
      <c r="CE474" s="179"/>
      <c r="CF474" s="179"/>
      <c r="CG474" s="179"/>
      <c r="CH474" s="179"/>
      <c r="CI474" s="179"/>
      <c r="CJ474" s="179"/>
      <c r="CK474" s="179"/>
      <c r="CL474" s="179"/>
      <c r="CM474" s="179"/>
      <c r="CN474" s="179"/>
    </row>
    <row r="475" spans="1:92" outlineLevel="1">
      <c r="A475" s="171"/>
      <c r="B475" s="171" t="s">
        <v>543</v>
      </c>
      <c r="C475" s="166"/>
      <c r="D475" s="166"/>
      <c r="E475" s="166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90">
        <f t="shared" ref="P475:U475" si="1789">P461-O461</f>
        <v>8</v>
      </c>
      <c r="Q475" s="190">
        <f t="shared" si="1789"/>
        <v>14</v>
      </c>
      <c r="R475" s="190">
        <f t="shared" si="1789"/>
        <v>21</v>
      </c>
      <c r="S475" s="190">
        <f t="shared" si="1789"/>
        <v>18</v>
      </c>
      <c r="T475" s="190">
        <f t="shared" si="1789"/>
        <v>14</v>
      </c>
      <c r="U475" s="190">
        <f t="shared" si="1789"/>
        <v>0</v>
      </c>
      <c r="V475" s="179"/>
      <c r="W475" s="179"/>
      <c r="X475" s="190"/>
      <c r="Y475" s="179"/>
      <c r="Z475" s="179"/>
      <c r="AA475" s="190"/>
      <c r="AB475" s="179"/>
      <c r="AC475" s="190"/>
      <c r="AD475" s="190"/>
      <c r="AE475" s="179"/>
      <c r="AF475" s="190"/>
      <c r="AG475" s="179"/>
      <c r="AH475" s="179"/>
      <c r="AI475" s="179"/>
      <c r="AJ475" s="179"/>
      <c r="AK475" s="179"/>
      <c r="AL475" s="190"/>
      <c r="AM475" s="179"/>
      <c r="AN475" s="179"/>
      <c r="AO475" s="190"/>
      <c r="AP475" s="179"/>
      <c r="AQ475" s="1371"/>
      <c r="AR475" s="190"/>
      <c r="AS475" s="179"/>
      <c r="AT475" s="179"/>
      <c r="AU475" s="190"/>
      <c r="AV475" s="179"/>
      <c r="AW475" s="179"/>
      <c r="AX475" s="190"/>
      <c r="AY475" s="179"/>
      <c r="AZ475" s="179"/>
      <c r="BA475" s="190"/>
      <c r="BB475" s="179"/>
      <c r="BC475" s="179"/>
      <c r="BD475" s="179"/>
      <c r="BE475" s="179"/>
      <c r="BF475" s="179"/>
      <c r="BG475" s="179"/>
      <c r="BH475" s="171"/>
      <c r="BI475" s="171"/>
      <c r="BJ475" s="171"/>
      <c r="BK475" s="179"/>
      <c r="BL475" s="179"/>
      <c r="BM475" s="179"/>
      <c r="BN475" s="179"/>
      <c r="BO475" s="179"/>
      <c r="BP475" s="179"/>
      <c r="BQ475" s="179"/>
      <c r="BR475" s="179"/>
      <c r="BS475" s="179"/>
      <c r="BT475" s="179"/>
      <c r="BU475" s="179"/>
      <c r="BV475" s="179"/>
      <c r="BW475" s="179"/>
      <c r="BX475" s="179"/>
      <c r="BY475" s="179"/>
      <c r="BZ475" s="179"/>
      <c r="CA475" s="179"/>
      <c r="CB475" s="179"/>
      <c r="CC475" s="179">
        <f>CC461-CB461</f>
        <v>4</v>
      </c>
      <c r="CD475" s="179">
        <f>CD461-CC461</f>
        <v>4</v>
      </c>
      <c r="CE475" s="179">
        <f>CE461-CD461</f>
        <v>8</v>
      </c>
      <c r="CF475" s="179">
        <f>CF461-CE461</f>
        <v>6</v>
      </c>
      <c r="CG475" s="179"/>
      <c r="CH475" s="179"/>
      <c r="CI475" s="179"/>
      <c r="CJ475" s="179"/>
      <c r="CK475" s="179"/>
      <c r="CL475" s="179"/>
      <c r="CM475" s="179"/>
      <c r="CN475" s="179"/>
    </row>
    <row r="476" spans="1:92" outlineLevel="1">
      <c r="A476" s="171"/>
      <c r="B476" s="172" t="s">
        <v>544</v>
      </c>
      <c r="C476" s="166"/>
      <c r="D476" s="166"/>
      <c r="E476" s="166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90">
        <f>P475/2</f>
        <v>4</v>
      </c>
      <c r="Q476" s="190">
        <f>P461+Q475/2</f>
        <v>15</v>
      </c>
      <c r="R476" s="190">
        <f>Q461+R475/2</f>
        <v>32.5</v>
      </c>
      <c r="S476" s="190">
        <f>R461+S475/2</f>
        <v>52</v>
      </c>
      <c r="T476" s="190">
        <f>S461+T475/2</f>
        <v>68</v>
      </c>
      <c r="U476" s="190">
        <f>T461+U475/2</f>
        <v>75</v>
      </c>
      <c r="V476" s="179"/>
      <c r="W476" s="179"/>
      <c r="X476" s="190"/>
      <c r="Y476" s="179"/>
      <c r="Z476" s="179"/>
      <c r="AA476" s="190"/>
      <c r="AB476" s="179"/>
      <c r="AC476" s="179"/>
      <c r="AD476" s="190"/>
      <c r="AE476" s="179"/>
      <c r="AF476" s="179"/>
      <c r="AG476" s="179"/>
      <c r="AH476" s="179"/>
      <c r="AI476" s="179"/>
      <c r="AJ476" s="179"/>
      <c r="AK476" s="179"/>
      <c r="AL476" s="179"/>
      <c r="AM476" s="179"/>
      <c r="AN476" s="179"/>
      <c r="AO476" s="179"/>
      <c r="AP476" s="179"/>
      <c r="AQ476" s="1371"/>
      <c r="AR476" s="179"/>
      <c r="AS476" s="179"/>
      <c r="AT476" s="179"/>
      <c r="AU476" s="179"/>
      <c r="AV476" s="179"/>
      <c r="AW476" s="179"/>
      <c r="AX476" s="179"/>
      <c r="AY476" s="179"/>
      <c r="AZ476" s="179"/>
      <c r="BA476" s="179"/>
      <c r="BB476" s="179"/>
      <c r="BC476" s="179"/>
      <c r="BD476" s="179"/>
      <c r="BE476" s="179"/>
      <c r="BF476" s="179"/>
      <c r="BG476" s="179"/>
      <c r="BH476" s="171"/>
      <c r="BI476" s="171"/>
      <c r="BJ476" s="171"/>
      <c r="BK476" s="179"/>
      <c r="BL476" s="179"/>
      <c r="BM476" s="179"/>
      <c r="BN476" s="179"/>
      <c r="BO476" s="179"/>
      <c r="BP476" s="179"/>
      <c r="BQ476" s="179"/>
      <c r="BR476" s="179"/>
      <c r="BS476" s="179"/>
      <c r="BT476" s="179"/>
      <c r="BU476" s="179"/>
      <c r="BV476" s="179"/>
      <c r="BW476" s="179"/>
      <c r="BX476" s="179"/>
      <c r="BY476" s="179"/>
      <c r="BZ476" s="179"/>
      <c r="CA476" s="179"/>
      <c r="CB476" s="179"/>
      <c r="CC476" s="179"/>
      <c r="CD476" s="179"/>
      <c r="CE476" s="179"/>
      <c r="CF476" s="179"/>
      <c r="CG476" s="179"/>
      <c r="CH476" s="179"/>
      <c r="CI476" s="179"/>
      <c r="CJ476" s="179"/>
      <c r="CK476" s="179"/>
      <c r="CL476" s="179"/>
      <c r="CM476" s="179"/>
      <c r="CN476" s="179"/>
    </row>
    <row r="477" spans="1:92" outlineLevel="1">
      <c r="A477" s="171"/>
      <c r="B477" s="172" t="s">
        <v>545</v>
      </c>
      <c r="C477" s="166"/>
      <c r="D477" s="166"/>
      <c r="E477" s="166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90"/>
      <c r="Q477" s="190">
        <f>P476</f>
        <v>4</v>
      </c>
      <c r="R477" s="190">
        <f t="shared" ref="R477:U478" si="1790">P475</f>
        <v>8</v>
      </c>
      <c r="S477" s="190">
        <f t="shared" si="1790"/>
        <v>14</v>
      </c>
      <c r="T477" s="190">
        <f t="shared" si="1790"/>
        <v>21</v>
      </c>
      <c r="U477" s="190">
        <f t="shared" si="1790"/>
        <v>18</v>
      </c>
      <c r="V477" s="179"/>
      <c r="W477" s="179"/>
      <c r="X477" s="190"/>
      <c r="Y477" s="179"/>
      <c r="Z477" s="179"/>
      <c r="AA477" s="190"/>
      <c r="AB477" s="179"/>
      <c r="AC477" s="179"/>
      <c r="AD477" s="190"/>
      <c r="AE477" s="179"/>
      <c r="AF477" s="179"/>
      <c r="AG477" s="179"/>
      <c r="AH477" s="179"/>
      <c r="AI477" s="179"/>
      <c r="AJ477" s="179"/>
      <c r="AK477" s="179"/>
      <c r="AL477" s="179"/>
      <c r="AM477" s="179"/>
      <c r="AN477" s="179"/>
      <c r="AO477" s="179"/>
      <c r="AP477" s="179"/>
      <c r="AQ477" s="1371"/>
      <c r="AR477" s="179"/>
      <c r="AS477" s="179"/>
      <c r="AT477" s="179"/>
      <c r="AU477" s="179"/>
      <c r="AV477" s="179"/>
      <c r="AW477" s="179"/>
      <c r="AX477" s="179"/>
      <c r="AY477" s="179"/>
      <c r="AZ477" s="179"/>
      <c r="BA477" s="179"/>
      <c r="BB477" s="179"/>
      <c r="BC477" s="179"/>
      <c r="BD477" s="179"/>
      <c r="BE477" s="179"/>
      <c r="BF477" s="179"/>
      <c r="BG477" s="179"/>
      <c r="BH477" s="171"/>
      <c r="BI477" s="171"/>
      <c r="BJ477" s="171"/>
      <c r="BK477" s="179"/>
      <c r="BL477" s="179"/>
      <c r="BM477" s="179"/>
      <c r="BN477" s="179"/>
      <c r="BO477" s="179"/>
      <c r="BP477" s="179"/>
      <c r="BQ477" s="179"/>
      <c r="BR477" s="179"/>
      <c r="BS477" s="179"/>
      <c r="BT477" s="179"/>
      <c r="BU477" s="179"/>
      <c r="BV477" s="179"/>
      <c r="BW477" s="179"/>
      <c r="BX477" s="179"/>
      <c r="BY477" s="179"/>
      <c r="BZ477" s="179"/>
      <c r="CA477" s="179"/>
      <c r="CB477" s="179"/>
      <c r="CC477" s="179"/>
      <c r="CD477" s="179"/>
      <c r="CE477" s="179"/>
      <c r="CF477" s="179"/>
      <c r="CG477" s="179"/>
      <c r="CH477" s="179"/>
      <c r="CI477" s="179"/>
      <c r="CJ477" s="179"/>
      <c r="CK477" s="179"/>
      <c r="CL477" s="179"/>
      <c r="CM477" s="179"/>
      <c r="CN477" s="179"/>
    </row>
    <row r="478" spans="1:92" outlineLevel="1">
      <c r="A478" s="171"/>
      <c r="B478" s="172" t="s">
        <v>687</v>
      </c>
      <c r="C478" s="166"/>
      <c r="D478" s="166"/>
      <c r="E478" s="166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90"/>
      <c r="Q478" s="190">
        <f>O476</f>
        <v>0</v>
      </c>
      <c r="R478" s="190">
        <f t="shared" si="1790"/>
        <v>4</v>
      </c>
      <c r="S478" s="190">
        <f t="shared" si="1790"/>
        <v>15</v>
      </c>
      <c r="T478" s="190">
        <f t="shared" si="1790"/>
        <v>32.5</v>
      </c>
      <c r="U478" s="190">
        <f t="shared" si="1790"/>
        <v>52</v>
      </c>
      <c r="V478" s="179"/>
      <c r="W478" s="179"/>
      <c r="X478" s="190"/>
      <c r="Y478" s="179"/>
      <c r="Z478" s="179"/>
      <c r="AA478" s="190"/>
      <c r="AB478" s="179"/>
      <c r="AC478" s="179"/>
      <c r="AD478" s="190"/>
      <c r="AE478" s="179"/>
      <c r="AF478" s="179"/>
      <c r="AG478" s="179"/>
      <c r="AH478" s="179"/>
      <c r="AI478" s="179"/>
      <c r="AJ478" s="179"/>
      <c r="AK478" s="179"/>
      <c r="AL478" s="179"/>
      <c r="AM478" s="179"/>
      <c r="AN478" s="179"/>
      <c r="AO478" s="179"/>
      <c r="AP478" s="179"/>
      <c r="AQ478" s="1371"/>
      <c r="AR478" s="179"/>
      <c r="AS478" s="179"/>
      <c r="AT478" s="179"/>
      <c r="AU478" s="179"/>
      <c r="AV478" s="179"/>
      <c r="AW478" s="179"/>
      <c r="AX478" s="179"/>
      <c r="AY478" s="179"/>
      <c r="AZ478" s="179"/>
      <c r="BA478" s="179"/>
      <c r="BB478" s="179"/>
      <c r="BC478" s="179"/>
      <c r="BD478" s="179"/>
      <c r="BE478" s="179"/>
      <c r="BF478" s="179"/>
      <c r="BG478" s="179"/>
      <c r="BH478" s="171"/>
      <c r="BI478" s="171"/>
      <c r="BJ478" s="171"/>
      <c r="BK478" s="179"/>
      <c r="BL478" s="179"/>
      <c r="BM478" s="179"/>
      <c r="BN478" s="179"/>
      <c r="BO478" s="179"/>
      <c r="BP478" s="179"/>
      <c r="BQ478" s="179"/>
      <c r="BR478" s="179"/>
      <c r="BS478" s="179"/>
      <c r="BT478" s="179"/>
      <c r="BU478" s="179"/>
      <c r="BV478" s="179"/>
      <c r="BW478" s="179"/>
      <c r="BX478" s="179"/>
      <c r="BY478" s="179"/>
      <c r="BZ478" s="179"/>
      <c r="CA478" s="179"/>
      <c r="CB478" s="179"/>
      <c r="CC478" s="179"/>
      <c r="CD478" s="179"/>
      <c r="CE478" s="179"/>
      <c r="CF478" s="179"/>
      <c r="CG478" s="179"/>
      <c r="CH478" s="179"/>
      <c r="CI478" s="179"/>
      <c r="CJ478" s="179"/>
      <c r="CK478" s="179"/>
      <c r="CL478" s="179"/>
      <c r="CM478" s="179"/>
      <c r="CN478" s="179"/>
    </row>
    <row r="479" spans="1:92" outlineLevel="1">
      <c r="A479" s="171"/>
      <c r="B479" s="172"/>
      <c r="C479" s="166"/>
      <c r="D479" s="166"/>
      <c r="E479" s="166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  <c r="AC479" s="179"/>
      <c r="AD479" s="179"/>
      <c r="AE479" s="179"/>
      <c r="AF479" s="179"/>
      <c r="AG479" s="179"/>
      <c r="AH479" s="179"/>
      <c r="AI479" s="179"/>
      <c r="AJ479" s="179"/>
      <c r="AK479" s="179"/>
      <c r="AL479" s="179"/>
      <c r="AM479" s="179"/>
      <c r="AN479" s="179"/>
      <c r="AO479" s="179"/>
      <c r="AP479" s="179"/>
      <c r="AQ479" s="1371"/>
      <c r="AR479" s="179"/>
      <c r="AS479" s="179"/>
      <c r="AT479" s="179"/>
      <c r="AU479" s="179"/>
      <c r="AV479" s="179"/>
      <c r="AW479" s="179"/>
      <c r="AX479" s="179"/>
      <c r="AY479" s="179"/>
      <c r="AZ479" s="179"/>
      <c r="BA479" s="179"/>
      <c r="BB479" s="179"/>
      <c r="BC479" s="179"/>
      <c r="BD479" s="179"/>
      <c r="BE479" s="179"/>
      <c r="BF479" s="179"/>
      <c r="BG479" s="179"/>
      <c r="BH479" s="171"/>
      <c r="BI479" s="171"/>
      <c r="BJ479" s="171"/>
      <c r="BK479" s="179"/>
      <c r="BL479" s="179"/>
      <c r="BM479" s="179"/>
      <c r="BN479" s="179"/>
      <c r="BO479" s="179"/>
      <c r="BP479" s="179"/>
      <c r="BQ479" s="179"/>
      <c r="BR479" s="179"/>
      <c r="BS479" s="179"/>
      <c r="BT479" s="179"/>
      <c r="BU479" s="179"/>
      <c r="BV479" s="179"/>
      <c r="BW479" s="179"/>
      <c r="BX479" s="179"/>
      <c r="BY479" s="179"/>
      <c r="BZ479" s="179"/>
      <c r="CA479" s="179"/>
      <c r="CB479" s="179"/>
      <c r="CC479" s="179"/>
      <c r="CD479" s="179"/>
      <c r="CE479" s="179"/>
      <c r="CF479" s="179"/>
      <c r="CG479" s="179"/>
      <c r="CH479" s="179"/>
      <c r="CI479" s="179"/>
      <c r="CJ479" s="179"/>
      <c r="CK479" s="179"/>
      <c r="CL479" s="179"/>
      <c r="CM479" s="179"/>
      <c r="CN479" s="179"/>
    </row>
    <row r="480" spans="1:92" outlineLevel="1">
      <c r="A480" s="171" t="s">
        <v>546</v>
      </c>
      <c r="B480" s="171" t="s">
        <v>218</v>
      </c>
      <c r="C480" s="166"/>
      <c r="D480" s="166"/>
      <c r="E480" s="166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90">
        <f t="shared" ref="P480:U480" si="1791">P482+P483</f>
        <v>12</v>
      </c>
      <c r="Q480" s="190">
        <f t="shared" si="1791"/>
        <v>61</v>
      </c>
      <c r="R480" s="190">
        <f>R482+R483</f>
        <v>129.5</v>
      </c>
      <c r="S480" s="190">
        <f t="shared" si="1791"/>
        <v>212</v>
      </c>
      <c r="T480" s="190">
        <f t="shared" si="1791"/>
        <v>288</v>
      </c>
      <c r="U480" s="190">
        <f t="shared" si="1791"/>
        <v>297</v>
      </c>
      <c r="V480" s="179"/>
      <c r="W480" s="179"/>
      <c r="X480" s="190"/>
      <c r="Y480" s="179"/>
      <c r="Z480" s="179"/>
      <c r="AA480" s="190"/>
      <c r="AB480" s="179"/>
      <c r="AC480" s="179"/>
      <c r="AD480" s="190"/>
      <c r="AE480" s="179"/>
      <c r="AF480" s="179"/>
      <c r="AG480" s="179"/>
      <c r="AH480" s="179"/>
      <c r="AI480" s="179"/>
      <c r="AJ480" s="179"/>
      <c r="AK480" s="179"/>
      <c r="AL480" s="179"/>
      <c r="AM480" s="179"/>
      <c r="AN480" s="179"/>
      <c r="AO480" s="179"/>
      <c r="AP480" s="179"/>
      <c r="AQ480" s="1371"/>
      <c r="AR480" s="179"/>
      <c r="AS480" s="179"/>
      <c r="AT480" s="179"/>
      <c r="AU480" s="179"/>
      <c r="AV480" s="179"/>
      <c r="AW480" s="179"/>
      <c r="AX480" s="179"/>
      <c r="AY480" s="179"/>
      <c r="AZ480" s="179"/>
      <c r="BA480" s="179"/>
      <c r="BB480" s="179"/>
      <c r="BC480" s="179"/>
      <c r="BD480" s="179"/>
      <c r="BE480" s="179"/>
      <c r="BF480" s="179"/>
      <c r="BG480" s="179"/>
      <c r="BH480" s="171"/>
      <c r="BI480" s="171"/>
      <c r="BJ480" s="171"/>
      <c r="BK480" s="179"/>
      <c r="BL480" s="179"/>
      <c r="BM480" s="179"/>
      <c r="BN480" s="179"/>
      <c r="BO480" s="179"/>
      <c r="BP480" s="179"/>
      <c r="BQ480" s="179"/>
      <c r="BR480" s="179"/>
      <c r="BS480" s="179"/>
      <c r="BT480" s="179"/>
      <c r="BU480" s="179"/>
      <c r="BV480" s="179"/>
      <c r="BW480" s="179"/>
      <c r="BX480" s="179"/>
      <c r="BY480" s="179"/>
      <c r="BZ480" s="179"/>
      <c r="CA480" s="179"/>
      <c r="CB480" s="179"/>
      <c r="CC480" s="179">
        <v>1</v>
      </c>
      <c r="CD480" s="179">
        <f>P480-CC480</f>
        <v>11</v>
      </c>
      <c r="CE480" s="179"/>
      <c r="CF480" s="179"/>
      <c r="CG480" s="179"/>
      <c r="CH480" s="179"/>
      <c r="CI480" s="179"/>
      <c r="CJ480" s="179"/>
      <c r="CK480" s="179"/>
      <c r="CL480" s="179"/>
      <c r="CM480" s="179"/>
      <c r="CN480" s="179"/>
    </row>
    <row r="481" spans="1:92" outlineLevel="1">
      <c r="A481" s="171"/>
      <c r="B481" s="171"/>
      <c r="C481" s="166"/>
      <c r="D481" s="166"/>
      <c r="E481" s="166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90"/>
      <c r="Q481" s="180">
        <f>Q480/P480-1</f>
        <v>4.083333333333333</v>
      </c>
      <c r="R481" s="180">
        <f>R480/Q480-1</f>
        <v>1.122950819672131</v>
      </c>
      <c r="S481" s="180">
        <f>S480/R480-1</f>
        <v>0.63706563706563712</v>
      </c>
      <c r="T481" s="180">
        <f>T480/S480-1</f>
        <v>0.35849056603773577</v>
      </c>
      <c r="U481" s="180">
        <f>U480/T480-1</f>
        <v>3.125E-2</v>
      </c>
      <c r="V481" s="179"/>
      <c r="W481" s="179"/>
      <c r="X481" s="180"/>
      <c r="Y481" s="179"/>
      <c r="Z481" s="179"/>
      <c r="AA481" s="180"/>
      <c r="AB481" s="179"/>
      <c r="AC481" s="179"/>
      <c r="AD481" s="180"/>
      <c r="AE481" s="179"/>
      <c r="AF481" s="179"/>
      <c r="AG481" s="179"/>
      <c r="AH481" s="179"/>
      <c r="AI481" s="179"/>
      <c r="AJ481" s="179"/>
      <c r="AK481" s="179"/>
      <c r="AL481" s="179"/>
      <c r="AM481" s="179"/>
      <c r="AN481" s="179"/>
      <c r="AO481" s="179"/>
      <c r="AP481" s="179"/>
      <c r="AQ481" s="1371"/>
      <c r="AR481" s="179"/>
      <c r="AS481" s="179"/>
      <c r="AT481" s="179"/>
      <c r="AU481" s="179"/>
      <c r="AV481" s="179"/>
      <c r="AW481" s="179"/>
      <c r="AX481" s="179"/>
      <c r="AY481" s="179"/>
      <c r="AZ481" s="179"/>
      <c r="BA481" s="179"/>
      <c r="BB481" s="179"/>
      <c r="BC481" s="179"/>
      <c r="BD481" s="179"/>
      <c r="BE481" s="179"/>
      <c r="BF481" s="179"/>
      <c r="BG481" s="179"/>
      <c r="BH481" s="171"/>
      <c r="BI481" s="166"/>
      <c r="BJ481" s="166"/>
      <c r="BK481" s="179"/>
      <c r="BL481" s="179"/>
      <c r="BM481" s="179"/>
      <c r="BN481" s="179"/>
      <c r="BO481" s="179"/>
      <c r="BP481" s="179"/>
      <c r="BQ481" s="179"/>
      <c r="BR481" s="179"/>
      <c r="BS481" s="179"/>
      <c r="BT481" s="179"/>
      <c r="BU481" s="179"/>
      <c r="BV481" s="179"/>
      <c r="BW481" s="179"/>
      <c r="BX481" s="179"/>
      <c r="BY481" s="179"/>
      <c r="BZ481" s="179"/>
      <c r="CA481" s="179"/>
      <c r="CB481" s="179"/>
      <c r="CC481" s="179"/>
      <c r="CD481" s="179"/>
      <c r="CE481" s="179"/>
      <c r="CF481" s="179"/>
      <c r="CG481" s="179"/>
      <c r="CH481" s="179"/>
      <c r="CI481" s="179"/>
      <c r="CJ481" s="179"/>
      <c r="CK481" s="179"/>
      <c r="CL481" s="179"/>
      <c r="CM481" s="179"/>
      <c r="CN481" s="179"/>
    </row>
    <row r="482" spans="1:92" outlineLevel="1">
      <c r="A482" s="171"/>
      <c r="B482" s="172" t="s">
        <v>547</v>
      </c>
      <c r="C482" s="166"/>
      <c r="D482" s="166"/>
      <c r="E482" s="166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90">
        <f t="shared" ref="P482:U484" si="1792">P476*P487</f>
        <v>12</v>
      </c>
      <c r="Q482" s="190">
        <f t="shared" si="1792"/>
        <v>45</v>
      </c>
      <c r="R482" s="190">
        <f t="shared" si="1792"/>
        <v>97.5</v>
      </c>
      <c r="S482" s="190">
        <f t="shared" si="1792"/>
        <v>156</v>
      </c>
      <c r="T482" s="190">
        <f t="shared" si="1792"/>
        <v>204</v>
      </c>
      <c r="U482" s="190">
        <f t="shared" si="1792"/>
        <v>225</v>
      </c>
      <c r="V482" s="179"/>
      <c r="W482" s="179"/>
      <c r="X482" s="190"/>
      <c r="Y482" s="179"/>
      <c r="Z482" s="179"/>
      <c r="AA482" s="190"/>
      <c r="AB482" s="179"/>
      <c r="AC482" s="179"/>
      <c r="AD482" s="190"/>
      <c r="AE482" s="179"/>
      <c r="AF482" s="179"/>
      <c r="AG482" s="179"/>
      <c r="AH482" s="179"/>
      <c r="AI482" s="179"/>
      <c r="AJ482" s="179"/>
      <c r="AK482" s="179"/>
      <c r="AL482" s="179"/>
      <c r="AM482" s="179"/>
      <c r="AN482" s="179"/>
      <c r="AO482" s="179"/>
      <c r="AP482" s="179"/>
      <c r="AQ482" s="1371"/>
      <c r="AR482" s="179"/>
      <c r="AS482" s="179"/>
      <c r="AT482" s="179"/>
      <c r="AU482" s="179"/>
      <c r="AV482" s="179"/>
      <c r="AW482" s="179"/>
      <c r="AX482" s="179"/>
      <c r="AY482" s="179"/>
      <c r="AZ482" s="179"/>
      <c r="BA482" s="179"/>
      <c r="BB482" s="179"/>
      <c r="BC482" s="179"/>
      <c r="BD482" s="179"/>
      <c r="BE482" s="179"/>
      <c r="BF482" s="179"/>
      <c r="BG482" s="179"/>
      <c r="BH482" s="171"/>
      <c r="BI482" s="166"/>
      <c r="BJ482" s="166"/>
      <c r="BK482" s="179"/>
      <c r="BL482" s="179"/>
      <c r="BM482" s="179"/>
      <c r="BN482" s="179"/>
      <c r="BO482" s="179"/>
      <c r="BP482" s="179"/>
      <c r="BQ482" s="179"/>
      <c r="BR482" s="179"/>
      <c r="BS482" s="179"/>
      <c r="BT482" s="179"/>
      <c r="BU482" s="179"/>
      <c r="BV482" s="179"/>
      <c r="BW482" s="179"/>
      <c r="BX482" s="179"/>
      <c r="BY482" s="179"/>
      <c r="BZ482" s="179"/>
      <c r="CA482" s="179"/>
      <c r="CB482" s="179"/>
      <c r="CC482" s="179"/>
      <c r="CD482" s="179"/>
      <c r="CE482" s="179"/>
      <c r="CF482" s="179"/>
      <c r="CG482" s="179"/>
      <c r="CH482" s="179"/>
      <c r="CI482" s="179"/>
      <c r="CJ482" s="179"/>
      <c r="CK482" s="179"/>
      <c r="CL482" s="179"/>
      <c r="CM482" s="179"/>
      <c r="CN482" s="179"/>
    </row>
    <row r="483" spans="1:92" outlineLevel="1">
      <c r="A483" s="171"/>
      <c r="B483" s="172" t="s">
        <v>548</v>
      </c>
      <c r="C483" s="166"/>
      <c r="D483" s="166"/>
      <c r="E483" s="166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90">
        <f t="shared" si="1792"/>
        <v>0</v>
      </c>
      <c r="Q483" s="190">
        <f t="shared" si="1792"/>
        <v>16</v>
      </c>
      <c r="R483" s="190">
        <f t="shared" si="1792"/>
        <v>32</v>
      </c>
      <c r="S483" s="190">
        <f t="shared" si="1792"/>
        <v>56</v>
      </c>
      <c r="T483" s="190">
        <f t="shared" si="1792"/>
        <v>84</v>
      </c>
      <c r="U483" s="190">
        <f t="shared" si="1792"/>
        <v>72</v>
      </c>
      <c r="V483" s="179"/>
      <c r="W483" s="179"/>
      <c r="X483" s="190"/>
      <c r="Y483" s="179"/>
      <c r="Z483" s="179"/>
      <c r="AA483" s="190"/>
      <c r="AB483" s="179"/>
      <c r="AC483" s="179"/>
      <c r="AD483" s="190"/>
      <c r="AE483" s="179"/>
      <c r="AF483" s="179"/>
      <c r="AG483" s="179"/>
      <c r="AH483" s="179"/>
      <c r="AI483" s="179"/>
      <c r="AJ483" s="179"/>
      <c r="AK483" s="179"/>
      <c r="AL483" s="179"/>
      <c r="AM483" s="179"/>
      <c r="AN483" s="179"/>
      <c r="AO483" s="179"/>
      <c r="AP483" s="179"/>
      <c r="AQ483" s="1371"/>
      <c r="AR483" s="179"/>
      <c r="AS483" s="179"/>
      <c r="AT483" s="179"/>
      <c r="AU483" s="179"/>
      <c r="AV483" s="179"/>
      <c r="AW483" s="179"/>
      <c r="AX483" s="179"/>
      <c r="AY483" s="179"/>
      <c r="AZ483" s="179"/>
      <c r="BA483" s="179"/>
      <c r="BB483" s="179"/>
      <c r="BC483" s="179"/>
      <c r="BD483" s="179"/>
      <c r="BE483" s="179"/>
      <c r="BF483" s="179"/>
      <c r="BG483" s="179"/>
      <c r="BH483" s="171"/>
      <c r="BI483" s="166"/>
      <c r="BJ483" s="166"/>
      <c r="BK483" s="179"/>
      <c r="BL483" s="179"/>
      <c r="BM483" s="179"/>
      <c r="BN483" s="179"/>
      <c r="BO483" s="179"/>
      <c r="BP483" s="179"/>
      <c r="BQ483" s="179"/>
      <c r="BR483" s="179"/>
      <c r="BS483" s="179"/>
      <c r="BT483" s="179"/>
      <c r="BU483" s="179"/>
      <c r="BV483" s="179"/>
      <c r="BW483" s="179"/>
      <c r="BX483" s="179"/>
      <c r="BY483" s="179"/>
      <c r="BZ483" s="179"/>
      <c r="CA483" s="179"/>
      <c r="CB483" s="179"/>
      <c r="CC483" s="179"/>
      <c r="CD483" s="179"/>
      <c r="CE483" s="179"/>
      <c r="CF483" s="179"/>
      <c r="CG483" s="179"/>
      <c r="CH483" s="179"/>
      <c r="CI483" s="179"/>
      <c r="CJ483" s="179"/>
      <c r="CK483" s="179"/>
      <c r="CL483" s="179"/>
      <c r="CM483" s="179"/>
      <c r="CN483" s="179"/>
    </row>
    <row r="484" spans="1:92" outlineLevel="1">
      <c r="A484" s="171"/>
      <c r="B484" s="172" t="s">
        <v>686</v>
      </c>
      <c r="C484" s="166"/>
      <c r="D484" s="166"/>
      <c r="E484" s="166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90">
        <f t="shared" si="1792"/>
        <v>0</v>
      </c>
      <c r="Q484" s="190">
        <f t="shared" si="1792"/>
        <v>0</v>
      </c>
      <c r="R484" s="190">
        <f t="shared" si="1792"/>
        <v>20</v>
      </c>
      <c r="S484" s="190">
        <f t="shared" si="1792"/>
        <v>75</v>
      </c>
      <c r="T484" s="190">
        <f t="shared" si="1792"/>
        <v>162.5</v>
      </c>
      <c r="U484" s="190">
        <f t="shared" si="1792"/>
        <v>260</v>
      </c>
      <c r="V484" s="179"/>
      <c r="W484" s="179"/>
      <c r="X484" s="190"/>
      <c r="Y484" s="179"/>
      <c r="Z484" s="179"/>
      <c r="AA484" s="190"/>
      <c r="AB484" s="179"/>
      <c r="AC484" s="179"/>
      <c r="AD484" s="190"/>
      <c r="AE484" s="179"/>
      <c r="AF484" s="179"/>
      <c r="AG484" s="179"/>
      <c r="AH484" s="179"/>
      <c r="AI484" s="179"/>
      <c r="AJ484" s="179"/>
      <c r="AK484" s="179"/>
      <c r="AL484" s="179"/>
      <c r="AM484" s="179"/>
      <c r="AN484" s="179"/>
      <c r="AO484" s="179"/>
      <c r="AP484" s="179"/>
      <c r="AQ484" s="1371"/>
      <c r="AR484" s="179"/>
      <c r="AS484" s="179"/>
      <c r="AT484" s="179"/>
      <c r="AU484" s="179"/>
      <c r="AV484" s="179"/>
      <c r="AW484" s="179"/>
      <c r="AX484" s="179"/>
      <c r="AY484" s="179"/>
      <c r="AZ484" s="179"/>
      <c r="BA484" s="179"/>
      <c r="BB484" s="179"/>
      <c r="BC484" s="179"/>
      <c r="BD484" s="179"/>
      <c r="BE484" s="179"/>
      <c r="BF484" s="179"/>
      <c r="BG484" s="179"/>
      <c r="BH484" s="171"/>
      <c r="BI484" s="166"/>
      <c r="BJ484" s="166"/>
      <c r="BK484" s="179"/>
      <c r="BL484" s="179"/>
      <c r="BM484" s="179"/>
      <c r="BN484" s="179"/>
      <c r="BO484" s="179"/>
      <c r="BP484" s="179"/>
      <c r="BQ484" s="179"/>
      <c r="BR484" s="179"/>
      <c r="BS484" s="179"/>
      <c r="BT484" s="179"/>
      <c r="BU484" s="179"/>
      <c r="BV484" s="179"/>
      <c r="BW484" s="179"/>
      <c r="BX484" s="179"/>
      <c r="BY484" s="179"/>
      <c r="BZ484" s="179"/>
      <c r="CA484" s="179"/>
      <c r="CB484" s="179"/>
      <c r="CC484" s="179"/>
      <c r="CD484" s="179"/>
      <c r="CE484" s="179"/>
      <c r="CF484" s="179"/>
      <c r="CG484" s="179"/>
      <c r="CH484" s="179"/>
      <c r="CI484" s="179"/>
      <c r="CJ484" s="179"/>
      <c r="CK484" s="179"/>
      <c r="CL484" s="179"/>
      <c r="CM484" s="179"/>
      <c r="CN484" s="179"/>
    </row>
    <row r="485" spans="1:92" outlineLevel="1">
      <c r="A485" s="171"/>
      <c r="B485" s="171"/>
      <c r="C485" s="166"/>
      <c r="D485" s="166"/>
      <c r="E485" s="166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  <c r="AC485" s="179"/>
      <c r="AD485" s="179"/>
      <c r="AE485" s="179"/>
      <c r="AF485" s="179"/>
      <c r="AG485" s="179"/>
      <c r="AH485" s="179"/>
      <c r="AI485" s="179"/>
      <c r="AJ485" s="179"/>
      <c r="AK485" s="179"/>
      <c r="AL485" s="179"/>
      <c r="AM485" s="179"/>
      <c r="AN485" s="179"/>
      <c r="AO485" s="179"/>
      <c r="AP485" s="179"/>
      <c r="AQ485" s="1371"/>
      <c r="AR485" s="179"/>
      <c r="AS485" s="179"/>
      <c r="AT485" s="179"/>
      <c r="AU485" s="179"/>
      <c r="AV485" s="179"/>
      <c r="AW485" s="179"/>
      <c r="AX485" s="179"/>
      <c r="AY485" s="179"/>
      <c r="AZ485" s="179"/>
      <c r="BA485" s="179"/>
      <c r="BB485" s="179"/>
      <c r="BC485" s="179"/>
      <c r="BD485" s="179"/>
      <c r="BE485" s="179"/>
      <c r="BF485" s="179"/>
      <c r="BG485" s="179"/>
      <c r="BH485" s="171"/>
      <c r="BI485" s="173"/>
      <c r="BJ485" s="173"/>
      <c r="BK485" s="179"/>
      <c r="BL485" s="179"/>
      <c r="BM485" s="179"/>
      <c r="BN485" s="179"/>
      <c r="BO485" s="179"/>
      <c r="BP485" s="179"/>
      <c r="BQ485" s="179"/>
      <c r="BR485" s="179"/>
      <c r="BS485" s="179"/>
      <c r="BT485" s="179"/>
      <c r="BU485" s="179"/>
      <c r="BV485" s="179"/>
      <c r="BW485" s="179"/>
      <c r="BX485" s="179"/>
      <c r="BY485" s="179"/>
      <c r="BZ485" s="179"/>
      <c r="CA485" s="179"/>
      <c r="CB485" s="179"/>
      <c r="CC485" s="179"/>
      <c r="CD485" s="179"/>
      <c r="CE485" s="179"/>
      <c r="CF485" s="179"/>
      <c r="CG485" s="179"/>
      <c r="CH485" s="179"/>
      <c r="CI485" s="179"/>
      <c r="CJ485" s="179"/>
      <c r="CK485" s="179"/>
      <c r="CL485" s="179"/>
      <c r="CM485" s="179"/>
      <c r="CN485" s="179"/>
    </row>
    <row r="486" spans="1:92" outlineLevel="1">
      <c r="A486" s="171"/>
      <c r="B486" s="171" t="s">
        <v>549</v>
      </c>
      <c r="C486" s="166"/>
      <c r="D486" s="166"/>
      <c r="E486" s="166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  <c r="AC486" s="179"/>
      <c r="AD486" s="179"/>
      <c r="AE486" s="179"/>
      <c r="AF486" s="179"/>
      <c r="AG486" s="179"/>
      <c r="AH486" s="179"/>
      <c r="AI486" s="179"/>
      <c r="AJ486" s="179"/>
      <c r="AK486" s="179"/>
      <c r="AL486" s="179"/>
      <c r="AM486" s="179"/>
      <c r="AN486" s="179"/>
      <c r="AO486" s="179"/>
      <c r="AP486" s="179"/>
      <c r="AQ486" s="1371"/>
      <c r="AR486" s="179"/>
      <c r="AS486" s="179"/>
      <c r="AT486" s="179"/>
      <c r="AU486" s="179"/>
      <c r="AV486" s="179"/>
      <c r="AW486" s="179"/>
      <c r="AX486" s="179"/>
      <c r="AY486" s="179"/>
      <c r="AZ486" s="179"/>
      <c r="BA486" s="179"/>
      <c r="BB486" s="179"/>
      <c r="BC486" s="179"/>
      <c r="BD486" s="179"/>
      <c r="BE486" s="179"/>
      <c r="BF486" s="179"/>
      <c r="BG486" s="179"/>
      <c r="BH486" s="171"/>
      <c r="BI486" s="166"/>
      <c r="BJ486" s="166"/>
      <c r="BK486" s="179"/>
      <c r="BL486" s="179"/>
      <c r="BM486" s="179"/>
      <c r="BN486" s="179"/>
      <c r="BO486" s="179"/>
      <c r="BP486" s="179"/>
      <c r="BQ486" s="179"/>
      <c r="BR486" s="179"/>
      <c r="BS486" s="179"/>
      <c r="BT486" s="179"/>
      <c r="BU486" s="179"/>
      <c r="BV486" s="179"/>
      <c r="BW486" s="179"/>
      <c r="BX486" s="179"/>
      <c r="BY486" s="179"/>
      <c r="BZ486" s="179"/>
      <c r="CA486" s="179"/>
      <c r="CB486" s="179"/>
      <c r="CC486" s="179"/>
      <c r="CD486" s="179"/>
      <c r="CE486" s="179"/>
      <c r="CF486" s="179"/>
      <c r="CG486" s="179"/>
      <c r="CH486" s="179"/>
      <c r="CI486" s="179"/>
      <c r="CJ486" s="179"/>
      <c r="CK486" s="179"/>
      <c r="CL486" s="179"/>
      <c r="CM486" s="179"/>
      <c r="CN486" s="179"/>
    </row>
    <row r="487" spans="1:92" outlineLevel="1">
      <c r="A487" s="171"/>
      <c r="B487" s="172" t="s">
        <v>547</v>
      </c>
      <c r="C487" s="166"/>
      <c r="D487" s="166"/>
      <c r="E487" s="166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244">
        <v>3</v>
      </c>
      <c r="Q487" s="245">
        <f t="shared" ref="Q487:U488" si="1793">P487</f>
        <v>3</v>
      </c>
      <c r="R487" s="245">
        <f t="shared" si="1793"/>
        <v>3</v>
      </c>
      <c r="S487" s="245">
        <f t="shared" si="1793"/>
        <v>3</v>
      </c>
      <c r="T487" s="245">
        <f t="shared" si="1793"/>
        <v>3</v>
      </c>
      <c r="U487" s="245">
        <f t="shared" si="1793"/>
        <v>3</v>
      </c>
      <c r="V487" s="179"/>
      <c r="W487" s="179"/>
      <c r="X487" s="245"/>
      <c r="Y487" s="179"/>
      <c r="Z487" s="179"/>
      <c r="AA487" s="245"/>
      <c r="AB487" s="179"/>
      <c r="AC487" s="179"/>
      <c r="AD487" s="245"/>
      <c r="AE487" s="179"/>
      <c r="AF487" s="179"/>
      <c r="AG487" s="179"/>
      <c r="AH487" s="179"/>
      <c r="AI487" s="179"/>
      <c r="AJ487" s="179"/>
      <c r="AK487" s="179"/>
      <c r="AL487" s="179"/>
      <c r="AM487" s="179"/>
      <c r="AN487" s="179"/>
      <c r="AO487" s="179"/>
      <c r="AP487" s="179"/>
      <c r="AQ487" s="1371"/>
      <c r="AR487" s="179"/>
      <c r="AS487" s="179"/>
      <c r="AT487" s="179"/>
      <c r="AU487" s="179"/>
      <c r="AV487" s="179"/>
      <c r="AW487" s="179"/>
      <c r="AX487" s="179"/>
      <c r="AY487" s="179"/>
      <c r="AZ487" s="179"/>
      <c r="BA487" s="179"/>
      <c r="BB487" s="179"/>
      <c r="BC487" s="179"/>
      <c r="BD487" s="179"/>
      <c r="BE487" s="179"/>
      <c r="BF487" s="179"/>
      <c r="BG487" s="179"/>
      <c r="BH487" s="171"/>
      <c r="BI487" s="166"/>
      <c r="BJ487" s="166"/>
      <c r="BK487" s="179"/>
      <c r="BL487" s="179"/>
      <c r="BM487" s="179"/>
      <c r="BN487" s="179"/>
      <c r="BO487" s="179"/>
      <c r="BP487" s="179"/>
      <c r="BQ487" s="179"/>
      <c r="BR487" s="179"/>
      <c r="BS487" s="179"/>
      <c r="BT487" s="179"/>
      <c r="BU487" s="179"/>
      <c r="BV487" s="179"/>
      <c r="BW487" s="179"/>
      <c r="BX487" s="179"/>
      <c r="BY487" s="179"/>
      <c r="BZ487" s="179"/>
      <c r="CA487" s="179"/>
      <c r="CB487" s="179"/>
      <c r="CC487" s="179"/>
      <c r="CD487" s="179"/>
      <c r="CE487" s="179"/>
      <c r="CF487" s="179"/>
      <c r="CG487" s="179"/>
      <c r="CH487" s="179"/>
      <c r="CI487" s="179"/>
      <c r="CJ487" s="179"/>
      <c r="CK487" s="179"/>
      <c r="CL487" s="179"/>
      <c r="CM487" s="179"/>
      <c r="CN487" s="179"/>
    </row>
    <row r="488" spans="1:92" outlineLevel="1">
      <c r="A488" s="171"/>
      <c r="B488" s="172" t="s">
        <v>548</v>
      </c>
      <c r="C488" s="166"/>
      <c r="D488" s="166"/>
      <c r="E488" s="166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244">
        <v>4</v>
      </c>
      <c r="Q488" s="245">
        <f t="shared" si="1793"/>
        <v>4</v>
      </c>
      <c r="R488" s="245">
        <f t="shared" si="1793"/>
        <v>4</v>
      </c>
      <c r="S488" s="245">
        <f t="shared" si="1793"/>
        <v>4</v>
      </c>
      <c r="T488" s="245">
        <f t="shared" si="1793"/>
        <v>4</v>
      </c>
      <c r="U488" s="245">
        <f t="shared" si="1793"/>
        <v>4</v>
      </c>
      <c r="V488" s="179"/>
      <c r="W488" s="179"/>
      <c r="X488" s="245"/>
      <c r="Y488" s="179"/>
      <c r="Z488" s="179"/>
      <c r="AA488" s="245"/>
      <c r="AB488" s="179"/>
      <c r="AC488" s="179"/>
      <c r="AD488" s="245"/>
      <c r="AE488" s="179"/>
      <c r="AF488" s="179"/>
      <c r="AG488" s="179"/>
      <c r="AH488" s="179"/>
      <c r="AI488" s="179"/>
      <c r="AJ488" s="179"/>
      <c r="AK488" s="179"/>
      <c r="AL488" s="179"/>
      <c r="AM488" s="179"/>
      <c r="AN488" s="179"/>
      <c r="AO488" s="179"/>
      <c r="AP488" s="179"/>
      <c r="AQ488" s="1371"/>
      <c r="AR488" s="179"/>
      <c r="AS488" s="179"/>
      <c r="AT488" s="179"/>
      <c r="AU488" s="179"/>
      <c r="AV488" s="179"/>
      <c r="AW488" s="179"/>
      <c r="AX488" s="179"/>
      <c r="AY488" s="179"/>
      <c r="AZ488" s="179"/>
      <c r="BA488" s="179"/>
      <c r="BB488" s="179"/>
      <c r="BC488" s="179"/>
      <c r="BD488" s="179"/>
      <c r="BE488" s="179"/>
      <c r="BF488" s="179"/>
      <c r="BG488" s="179"/>
      <c r="BH488" s="171"/>
      <c r="BI488" s="166"/>
      <c r="BJ488" s="166"/>
      <c r="BK488" s="179"/>
      <c r="BL488" s="179"/>
      <c r="BM488" s="179"/>
      <c r="BN488" s="179"/>
      <c r="BO488" s="179"/>
      <c r="BP488" s="179"/>
      <c r="BQ488" s="179"/>
      <c r="BR488" s="179"/>
      <c r="BS488" s="179"/>
      <c r="BT488" s="179"/>
      <c r="BU488" s="179"/>
      <c r="BV488" s="179"/>
      <c r="BW488" s="179"/>
      <c r="BX488" s="179"/>
      <c r="BY488" s="179"/>
      <c r="BZ488" s="179"/>
      <c r="CA488" s="179"/>
      <c r="CB488" s="179"/>
      <c r="CC488" s="179"/>
      <c r="CD488" s="179"/>
      <c r="CE488" s="179"/>
      <c r="CF488" s="179"/>
      <c r="CG488" s="179"/>
      <c r="CH488" s="179"/>
      <c r="CI488" s="179"/>
      <c r="CJ488" s="179"/>
      <c r="CK488" s="179"/>
      <c r="CL488" s="179"/>
      <c r="CM488" s="179"/>
      <c r="CN488" s="179"/>
    </row>
    <row r="489" spans="1:92" outlineLevel="1">
      <c r="A489" s="171"/>
      <c r="B489" s="172" t="s">
        <v>686</v>
      </c>
      <c r="C489" s="166"/>
      <c r="D489" s="166"/>
      <c r="E489" s="166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244">
        <v>5</v>
      </c>
      <c r="Q489" s="245">
        <f>P489</f>
        <v>5</v>
      </c>
      <c r="R489" s="245">
        <f>Q489</f>
        <v>5</v>
      </c>
      <c r="S489" s="245">
        <f>R489</f>
        <v>5</v>
      </c>
      <c r="T489" s="245">
        <f>S489</f>
        <v>5</v>
      </c>
      <c r="U489" s="245">
        <f>T489</f>
        <v>5</v>
      </c>
      <c r="V489" s="179"/>
      <c r="W489" s="179"/>
      <c r="X489" s="245"/>
      <c r="Y489" s="179"/>
      <c r="Z489" s="179"/>
      <c r="AA489" s="245"/>
      <c r="AB489" s="179"/>
      <c r="AC489" s="179"/>
      <c r="AD489" s="245"/>
      <c r="AE489" s="179"/>
      <c r="AF489" s="179"/>
      <c r="AG489" s="179"/>
      <c r="AH489" s="179"/>
      <c r="AI489" s="179"/>
      <c r="AJ489" s="179"/>
      <c r="AK489" s="179"/>
      <c r="AL489" s="179"/>
      <c r="AM489" s="179"/>
      <c r="AN489" s="179"/>
      <c r="AO489" s="179"/>
      <c r="AP489" s="179"/>
      <c r="AQ489" s="1371"/>
      <c r="AR489" s="179"/>
      <c r="AS489" s="179"/>
      <c r="AT489" s="179"/>
      <c r="AU489" s="179"/>
      <c r="AV489" s="179"/>
      <c r="AW489" s="179"/>
      <c r="AX489" s="179"/>
      <c r="AY489" s="179"/>
      <c r="AZ489" s="179"/>
      <c r="BA489" s="179"/>
      <c r="BB489" s="179"/>
      <c r="BC489" s="179"/>
      <c r="BD489" s="179"/>
      <c r="BE489" s="179"/>
      <c r="BF489" s="179"/>
      <c r="BG489" s="179"/>
      <c r="BH489" s="171"/>
      <c r="BI489" s="166"/>
      <c r="BJ489" s="166"/>
      <c r="BK489" s="179"/>
      <c r="BL489" s="179"/>
      <c r="BM489" s="179"/>
      <c r="BN489" s="179"/>
      <c r="BO489" s="179"/>
      <c r="BP489" s="179"/>
      <c r="BQ489" s="179"/>
      <c r="BR489" s="179"/>
      <c r="BS489" s="179"/>
      <c r="BT489" s="179"/>
      <c r="BU489" s="179"/>
      <c r="BV489" s="179"/>
      <c r="BW489" s="179"/>
      <c r="BX489" s="179"/>
      <c r="BY489" s="179"/>
      <c r="BZ489" s="179"/>
      <c r="CA489" s="179"/>
      <c r="CB489" s="179"/>
      <c r="CC489" s="179"/>
      <c r="CD489" s="179"/>
      <c r="CE489" s="179"/>
      <c r="CF489" s="179"/>
      <c r="CG489" s="179"/>
      <c r="CH489" s="179"/>
      <c r="CI489" s="179"/>
      <c r="CJ489" s="179"/>
      <c r="CK489" s="179"/>
      <c r="CL489" s="179"/>
      <c r="CM489" s="179"/>
      <c r="CN489" s="179"/>
    </row>
    <row r="490" spans="1:92" outlineLevel="1">
      <c r="A490" s="171"/>
      <c r="B490" s="171"/>
      <c r="C490" s="166"/>
      <c r="D490" s="166"/>
      <c r="E490" s="166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79"/>
      <c r="AH490" s="179"/>
      <c r="AI490" s="179"/>
      <c r="AJ490" s="179"/>
      <c r="AK490" s="179"/>
      <c r="AL490" s="179"/>
      <c r="AM490" s="179"/>
      <c r="AN490" s="179"/>
      <c r="AO490" s="179"/>
      <c r="AP490" s="179"/>
      <c r="AQ490" s="1371"/>
      <c r="AR490" s="179"/>
      <c r="AS490" s="179"/>
      <c r="AT490" s="179"/>
      <c r="AU490" s="179"/>
      <c r="AV490" s="179"/>
      <c r="AW490" s="179"/>
      <c r="AX490" s="179"/>
      <c r="AY490" s="179"/>
      <c r="AZ490" s="179"/>
      <c r="BA490" s="179"/>
      <c r="BB490" s="179"/>
      <c r="BC490" s="179"/>
      <c r="BD490" s="179"/>
      <c r="BE490" s="179"/>
      <c r="BF490" s="179"/>
      <c r="BG490" s="179"/>
      <c r="BH490" s="171"/>
      <c r="BI490" s="173"/>
      <c r="BJ490" s="173"/>
      <c r="BK490" s="179"/>
      <c r="BL490" s="179"/>
      <c r="BM490" s="179"/>
      <c r="BN490" s="179"/>
      <c r="BO490" s="179"/>
      <c r="BP490" s="179"/>
      <c r="BQ490" s="179"/>
      <c r="BR490" s="179"/>
      <c r="BS490" s="179"/>
      <c r="BT490" s="179"/>
      <c r="BU490" s="179"/>
      <c r="BV490" s="179"/>
      <c r="BW490" s="179"/>
      <c r="BX490" s="179"/>
      <c r="BY490" s="179"/>
      <c r="BZ490" s="179"/>
      <c r="CA490" s="179"/>
      <c r="CB490" s="179"/>
      <c r="CC490" s="179"/>
      <c r="CD490" s="179"/>
      <c r="CE490" s="179"/>
      <c r="CF490" s="179"/>
      <c r="CG490" s="179"/>
      <c r="CH490" s="179"/>
      <c r="CI490" s="179"/>
      <c r="CJ490" s="179"/>
      <c r="CK490" s="179"/>
      <c r="CL490" s="179"/>
      <c r="CM490" s="179"/>
      <c r="CN490" s="179"/>
    </row>
    <row r="491" spans="1:92" outlineLevel="1">
      <c r="A491" s="171" t="s">
        <v>550</v>
      </c>
      <c r="B491" s="171" t="s">
        <v>165</v>
      </c>
      <c r="C491" s="166"/>
      <c r="D491" s="166"/>
      <c r="E491" s="166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244">
        <v>0</v>
      </c>
      <c r="R491" s="244">
        <f>R492*R480</f>
        <v>1.2949999999999999</v>
      </c>
      <c r="S491" s="244">
        <f>S492*S480</f>
        <v>4.24</v>
      </c>
      <c r="T491" s="244">
        <f>T492*T480</f>
        <v>8.64</v>
      </c>
      <c r="U491" s="244">
        <f>U492*U480</f>
        <v>11.88</v>
      </c>
      <c r="V491" s="179"/>
      <c r="W491" s="179"/>
      <c r="X491" s="244"/>
      <c r="Y491" s="179"/>
      <c r="Z491" s="179"/>
      <c r="AA491" s="244"/>
      <c r="AB491" s="179"/>
      <c r="AC491" s="179"/>
      <c r="AD491" s="244"/>
      <c r="AE491" s="179"/>
      <c r="AF491" s="179"/>
      <c r="AG491" s="179"/>
      <c r="AH491" s="179"/>
      <c r="AI491" s="179"/>
      <c r="AJ491" s="179"/>
      <c r="AK491" s="179"/>
      <c r="AL491" s="179"/>
      <c r="AM491" s="179"/>
      <c r="AN491" s="179"/>
      <c r="AO491" s="179"/>
      <c r="AP491" s="179"/>
      <c r="AQ491" s="1371"/>
      <c r="AR491" s="179"/>
      <c r="AS491" s="179"/>
      <c r="AT491" s="179"/>
      <c r="AU491" s="179"/>
      <c r="AV491" s="179"/>
      <c r="AW491" s="179"/>
      <c r="AX491" s="179"/>
      <c r="AY491" s="179"/>
      <c r="AZ491" s="179"/>
      <c r="BA491" s="179"/>
      <c r="BB491" s="179"/>
      <c r="BC491" s="179"/>
      <c r="BD491" s="179"/>
      <c r="BE491" s="179"/>
      <c r="BF491" s="179"/>
      <c r="BG491" s="179"/>
      <c r="BH491" s="171"/>
      <c r="BI491" s="166"/>
      <c r="BJ491" s="166"/>
      <c r="BK491" s="179"/>
      <c r="BL491" s="179"/>
      <c r="BM491" s="179"/>
      <c r="BN491" s="179"/>
      <c r="BO491" s="179"/>
      <c r="BP491" s="179"/>
      <c r="BQ491" s="179"/>
      <c r="BR491" s="179"/>
      <c r="BS491" s="179"/>
      <c r="BT491" s="179"/>
      <c r="BU491" s="179"/>
      <c r="BV491" s="179"/>
      <c r="BW491" s="179"/>
      <c r="BX491" s="179"/>
      <c r="BY491" s="179"/>
      <c r="BZ491" s="179"/>
      <c r="CA491" s="179"/>
      <c r="CB491" s="179"/>
      <c r="CC491" s="179"/>
      <c r="CD491" s="179"/>
      <c r="CE491" s="179"/>
      <c r="CF491" s="179"/>
      <c r="CG491" s="179"/>
      <c r="CH491" s="179"/>
      <c r="CI491" s="179"/>
      <c r="CJ491" s="179"/>
      <c r="CK491" s="179"/>
      <c r="CL491" s="179"/>
      <c r="CM491" s="179"/>
      <c r="CN491" s="179"/>
    </row>
    <row r="492" spans="1:92" outlineLevel="1">
      <c r="A492" s="171"/>
      <c r="B492" s="171" t="s">
        <v>249</v>
      </c>
      <c r="C492" s="166"/>
      <c r="D492" s="166"/>
      <c r="E492" s="166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93">
        <f>Q491/Q480</f>
        <v>0</v>
      </c>
      <c r="R492" s="193">
        <v>0.01</v>
      </c>
      <c r="S492" s="193">
        <v>0.02</v>
      </c>
      <c r="T492" s="193">
        <v>0.03</v>
      </c>
      <c r="U492" s="193">
        <v>0.04</v>
      </c>
      <c r="V492" s="179"/>
      <c r="W492" s="179"/>
      <c r="X492" s="193"/>
      <c r="Y492" s="179"/>
      <c r="Z492" s="179"/>
      <c r="AA492" s="193"/>
      <c r="AB492" s="179"/>
      <c r="AC492" s="179"/>
      <c r="AD492" s="193"/>
      <c r="AE492" s="179"/>
      <c r="AF492" s="179"/>
      <c r="AG492" s="179"/>
      <c r="AH492" s="179"/>
      <c r="AI492" s="179"/>
      <c r="AJ492" s="179"/>
      <c r="AK492" s="179"/>
      <c r="AL492" s="179"/>
      <c r="AM492" s="179"/>
      <c r="AN492" s="179"/>
      <c r="AO492" s="179"/>
      <c r="AP492" s="179"/>
      <c r="AQ492" s="1371"/>
      <c r="AR492" s="179"/>
      <c r="AS492" s="179"/>
      <c r="AT492" s="179"/>
      <c r="AU492" s="179"/>
      <c r="AV492" s="179"/>
      <c r="AW492" s="179"/>
      <c r="AX492" s="179"/>
      <c r="AY492" s="179"/>
      <c r="AZ492" s="179"/>
      <c r="BA492" s="179"/>
      <c r="BB492" s="179"/>
      <c r="BC492" s="179"/>
      <c r="BD492" s="179"/>
      <c r="BE492" s="179"/>
      <c r="BF492" s="179"/>
      <c r="BG492" s="179"/>
      <c r="BH492" s="171"/>
      <c r="BI492" s="166"/>
      <c r="BJ492" s="166"/>
      <c r="BK492" s="179"/>
      <c r="BL492" s="179"/>
      <c r="BM492" s="179"/>
      <c r="BN492" s="179"/>
      <c r="BO492" s="179"/>
      <c r="BP492" s="179"/>
      <c r="BQ492" s="179"/>
      <c r="BR492" s="179"/>
      <c r="BS492" s="179"/>
      <c r="BT492" s="179"/>
      <c r="BU492" s="179"/>
      <c r="BV492" s="179"/>
      <c r="BW492" s="179"/>
      <c r="BX492" s="179"/>
      <c r="BY492" s="179"/>
      <c r="BZ492" s="179"/>
      <c r="CA492" s="179"/>
      <c r="CB492" s="179"/>
      <c r="CC492" s="179"/>
      <c r="CD492" s="179"/>
      <c r="CE492" s="179"/>
      <c r="CF492" s="179"/>
      <c r="CG492" s="179"/>
      <c r="CH492" s="179"/>
      <c r="CI492" s="179"/>
      <c r="CJ492" s="179"/>
      <c r="CK492" s="179"/>
      <c r="CL492" s="179"/>
      <c r="CM492" s="179"/>
      <c r="CN492" s="179"/>
    </row>
    <row r="493" spans="1:92" outlineLevel="1">
      <c r="A493" s="171"/>
      <c r="B493" s="171"/>
      <c r="C493" s="166"/>
      <c r="D493" s="166"/>
      <c r="E493" s="166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  <c r="AC493" s="179"/>
      <c r="AD493" s="179"/>
      <c r="AE493" s="179"/>
      <c r="AF493" s="179"/>
      <c r="AG493" s="179"/>
      <c r="AH493" s="179"/>
      <c r="AI493" s="179"/>
      <c r="AJ493" s="179"/>
      <c r="AK493" s="179"/>
      <c r="AL493" s="179"/>
      <c r="AM493" s="179"/>
      <c r="AN493" s="179"/>
      <c r="AO493" s="179"/>
      <c r="AP493" s="179"/>
      <c r="AQ493" s="1371"/>
      <c r="AR493" s="179"/>
      <c r="AS493" s="179"/>
      <c r="AT493" s="179"/>
      <c r="AU493" s="179"/>
      <c r="AV493" s="179"/>
      <c r="AW493" s="179"/>
      <c r="AX493" s="179"/>
      <c r="AY493" s="179"/>
      <c r="AZ493" s="179"/>
      <c r="BA493" s="179"/>
      <c r="BB493" s="179"/>
      <c r="BC493" s="179"/>
      <c r="BD493" s="179"/>
      <c r="BE493" s="179"/>
      <c r="BF493" s="179"/>
      <c r="BG493" s="179"/>
      <c r="BH493" s="171"/>
      <c r="BI493" s="173"/>
      <c r="BJ493" s="173"/>
      <c r="BK493" s="179"/>
      <c r="BL493" s="179"/>
      <c r="BM493" s="179"/>
      <c r="BN493" s="179"/>
      <c r="BO493" s="179"/>
      <c r="BP493" s="179"/>
      <c r="BQ493" s="179"/>
      <c r="BR493" s="179"/>
      <c r="BS493" s="179"/>
      <c r="BT493" s="179"/>
      <c r="BU493" s="179"/>
      <c r="BV493" s="179"/>
      <c r="BW493" s="179"/>
      <c r="BX493" s="179"/>
      <c r="BY493" s="179"/>
      <c r="BZ493" s="179"/>
      <c r="CA493" s="179"/>
      <c r="CB493" s="179"/>
      <c r="CC493" s="179"/>
      <c r="CD493" s="179"/>
      <c r="CE493" s="179"/>
      <c r="CF493" s="179"/>
      <c r="CG493" s="179"/>
      <c r="CH493" s="179"/>
      <c r="CI493" s="179"/>
      <c r="CJ493" s="179"/>
      <c r="CK493" s="179"/>
      <c r="CL493" s="179"/>
      <c r="CM493" s="179"/>
      <c r="CN493" s="179"/>
    </row>
    <row r="494" spans="1:92" outlineLevel="1">
      <c r="A494" s="171"/>
      <c r="B494" s="171" t="s">
        <v>551</v>
      </c>
      <c r="C494" s="166"/>
      <c r="D494" s="166"/>
      <c r="E494" s="166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246">
        <v>0.05</v>
      </c>
      <c r="Q494" s="246">
        <v>0.12</v>
      </c>
      <c r="R494" s="246">
        <v>0.27</v>
      </c>
      <c r="S494" s="246">
        <v>0.38</v>
      </c>
      <c r="T494" s="246"/>
      <c r="U494" s="246"/>
      <c r="V494" s="179"/>
      <c r="W494" s="179"/>
      <c r="X494" s="246"/>
      <c r="Y494" s="179"/>
      <c r="Z494" s="179"/>
      <c r="AA494" s="246"/>
      <c r="AB494" s="179"/>
      <c r="AC494" s="179"/>
      <c r="AD494" s="246"/>
      <c r="AE494" s="179"/>
      <c r="AF494" s="179"/>
      <c r="AG494" s="179"/>
      <c r="AH494" s="179"/>
      <c r="AI494" s="179"/>
      <c r="AJ494" s="179"/>
      <c r="AK494" s="179"/>
      <c r="AL494" s="179"/>
      <c r="AM494" s="179"/>
      <c r="AN494" s="179"/>
      <c r="AO494" s="179"/>
      <c r="AP494" s="179"/>
      <c r="AQ494" s="1371"/>
      <c r="AR494" s="179"/>
      <c r="AS494" s="179"/>
      <c r="AT494" s="179"/>
      <c r="AU494" s="179"/>
      <c r="AV494" s="179"/>
      <c r="AW494" s="179"/>
      <c r="AX494" s="179"/>
      <c r="AY494" s="179"/>
      <c r="AZ494" s="179"/>
      <c r="BA494" s="179"/>
      <c r="BB494" s="179"/>
      <c r="BC494" s="179"/>
      <c r="BD494" s="179"/>
      <c r="BE494" s="179"/>
      <c r="BF494" s="179"/>
      <c r="BG494" s="179"/>
      <c r="BH494" s="171"/>
      <c r="BI494" s="166"/>
      <c r="BJ494" s="166"/>
      <c r="BK494" s="179"/>
      <c r="BL494" s="179"/>
      <c r="BM494" s="179"/>
      <c r="BN494" s="179"/>
      <c r="BO494" s="179"/>
      <c r="BP494" s="179"/>
      <c r="BQ494" s="179"/>
      <c r="BR494" s="179"/>
      <c r="BS494" s="179"/>
      <c r="BT494" s="179"/>
      <c r="BU494" s="179"/>
      <c r="BV494" s="179"/>
      <c r="BW494" s="179"/>
      <c r="BX494" s="179"/>
      <c r="BY494" s="179"/>
      <c r="BZ494" s="179"/>
      <c r="CA494" s="179"/>
      <c r="CB494" s="179"/>
      <c r="CC494" s="179"/>
      <c r="CD494" s="179"/>
      <c r="CE494" s="179"/>
      <c r="CF494" s="179"/>
      <c r="CG494" s="179"/>
      <c r="CH494" s="179"/>
      <c r="CI494" s="179"/>
      <c r="CJ494" s="179"/>
      <c r="CK494" s="179"/>
      <c r="CL494" s="179"/>
      <c r="CM494" s="179"/>
      <c r="CN494" s="179"/>
    </row>
    <row r="495" spans="1:92" outlineLevel="1">
      <c r="A495" s="171"/>
      <c r="B495" s="171"/>
      <c r="C495" s="166"/>
      <c r="D495" s="166"/>
      <c r="E495" s="166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80"/>
      <c r="Q495" s="180"/>
      <c r="R495" s="180"/>
      <c r="S495" s="180"/>
      <c r="T495" s="180"/>
      <c r="U495" s="180"/>
      <c r="V495" s="179"/>
      <c r="W495" s="179"/>
      <c r="X495" s="180"/>
      <c r="Y495" s="179"/>
      <c r="Z495" s="179"/>
      <c r="AA495" s="180"/>
      <c r="AB495" s="179"/>
      <c r="AC495" s="179"/>
      <c r="AD495" s="180"/>
      <c r="AE495" s="179"/>
      <c r="AF495" s="179"/>
      <c r="AG495" s="179"/>
      <c r="AH495" s="179"/>
      <c r="AI495" s="179"/>
      <c r="AJ495" s="179"/>
      <c r="AK495" s="179"/>
      <c r="AL495" s="179"/>
      <c r="AM495" s="179"/>
      <c r="AN495" s="179"/>
      <c r="AO495" s="179"/>
      <c r="AP495" s="179"/>
      <c r="AQ495" s="1371"/>
      <c r="AR495" s="179"/>
      <c r="AS495" s="179"/>
      <c r="AT495" s="179"/>
      <c r="AU495" s="179"/>
      <c r="AV495" s="179"/>
      <c r="AW495" s="179"/>
      <c r="AX495" s="179"/>
      <c r="AY495" s="179"/>
      <c r="AZ495" s="179"/>
      <c r="BA495" s="179"/>
      <c r="BB495" s="179"/>
      <c r="BC495" s="179"/>
      <c r="BD495" s="179"/>
      <c r="BE495" s="179"/>
      <c r="BF495" s="179"/>
      <c r="BG495" s="179"/>
      <c r="BH495" s="171"/>
      <c r="BI495" s="166"/>
      <c r="BJ495" s="166"/>
      <c r="BK495" s="179"/>
      <c r="BL495" s="179"/>
      <c r="BM495" s="179"/>
      <c r="BN495" s="179"/>
      <c r="BO495" s="179"/>
      <c r="BP495" s="179"/>
      <c r="BQ495" s="179"/>
      <c r="BR495" s="179"/>
      <c r="BS495" s="179"/>
      <c r="BT495" s="179"/>
      <c r="BU495" s="179"/>
      <c r="BV495" s="179"/>
      <c r="BW495" s="179"/>
      <c r="BX495" s="179"/>
      <c r="BY495" s="179"/>
      <c r="BZ495" s="179"/>
      <c r="CA495" s="179"/>
      <c r="CB495" s="179"/>
      <c r="CC495" s="179"/>
      <c r="CD495" s="179"/>
      <c r="CE495" s="179"/>
      <c r="CF495" s="179"/>
      <c r="CG495" s="179"/>
      <c r="CH495" s="179"/>
      <c r="CI495" s="179"/>
      <c r="CJ495" s="179"/>
      <c r="CK495" s="179"/>
      <c r="CL495" s="179"/>
      <c r="CM495" s="179"/>
      <c r="CN495" s="179"/>
    </row>
    <row r="496" spans="1:92" outlineLevel="1">
      <c r="A496" s="171"/>
      <c r="B496" s="171"/>
      <c r="C496" s="166"/>
      <c r="D496" s="166"/>
      <c r="E496" s="166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  <c r="AC496" s="179"/>
      <c r="AD496" s="179"/>
      <c r="AE496" s="179"/>
      <c r="AF496" s="179"/>
      <c r="AG496" s="179"/>
      <c r="AH496" s="179"/>
      <c r="AI496" s="179"/>
      <c r="AJ496" s="179"/>
      <c r="AK496" s="179"/>
      <c r="AL496" s="179"/>
      <c r="AM496" s="179"/>
      <c r="AN496" s="179"/>
      <c r="AO496" s="179"/>
      <c r="AP496" s="179"/>
      <c r="AQ496" s="1371"/>
      <c r="AR496" s="179"/>
      <c r="AS496" s="179"/>
      <c r="AT496" s="179"/>
      <c r="AU496" s="179"/>
      <c r="AV496" s="179"/>
      <c r="AW496" s="179"/>
      <c r="AX496" s="179"/>
      <c r="AY496" s="179"/>
      <c r="AZ496" s="179"/>
      <c r="BA496" s="179"/>
      <c r="BB496" s="179"/>
      <c r="BC496" s="179"/>
      <c r="BD496" s="179"/>
      <c r="BE496" s="179"/>
      <c r="BF496" s="179"/>
      <c r="BG496" s="179"/>
      <c r="BH496" s="171"/>
      <c r="BI496" s="173"/>
      <c r="BJ496" s="173"/>
      <c r="BK496" s="179"/>
      <c r="BL496" s="179"/>
      <c r="BM496" s="179"/>
      <c r="BN496" s="179"/>
      <c r="BO496" s="179"/>
      <c r="BP496" s="179"/>
      <c r="BQ496" s="179"/>
      <c r="BR496" s="179"/>
      <c r="BS496" s="179"/>
      <c r="BT496" s="179"/>
      <c r="BU496" s="179"/>
      <c r="BV496" s="179"/>
      <c r="BW496" s="179"/>
      <c r="BX496" s="179"/>
      <c r="BY496" s="179"/>
      <c r="BZ496" s="179"/>
      <c r="CA496" s="179"/>
      <c r="CB496" s="179"/>
      <c r="CC496" s="179"/>
      <c r="CD496" s="179"/>
      <c r="CE496" s="179"/>
      <c r="CF496" s="179"/>
      <c r="CG496" s="179"/>
      <c r="CH496" s="179"/>
      <c r="CI496" s="179"/>
      <c r="CJ496" s="179"/>
      <c r="CK496" s="179"/>
      <c r="CL496" s="179"/>
      <c r="CM496" s="179"/>
      <c r="CN496" s="179"/>
    </row>
    <row r="497" spans="1:92" outlineLevel="1">
      <c r="A497" s="171"/>
      <c r="B497" s="171"/>
      <c r="C497" s="166"/>
      <c r="D497" s="166"/>
      <c r="E497" s="166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  <c r="AC497" s="179"/>
      <c r="AD497" s="179"/>
      <c r="AE497" s="179"/>
      <c r="AF497" s="179"/>
      <c r="AG497" s="179"/>
      <c r="AH497" s="179"/>
      <c r="AI497" s="179"/>
      <c r="AJ497" s="179"/>
      <c r="AK497" s="179"/>
      <c r="AL497" s="179"/>
      <c r="AM497" s="179"/>
      <c r="AN497" s="179"/>
      <c r="AO497" s="179"/>
      <c r="AP497" s="179"/>
      <c r="AQ497" s="1371"/>
      <c r="AR497" s="179"/>
      <c r="AS497" s="179"/>
      <c r="AT497" s="179"/>
      <c r="AU497" s="179"/>
      <c r="AV497" s="179"/>
      <c r="AW497" s="179"/>
      <c r="AX497" s="179"/>
      <c r="AY497" s="179"/>
      <c r="AZ497" s="179"/>
      <c r="BA497" s="179"/>
      <c r="BB497" s="179"/>
      <c r="BC497" s="179"/>
      <c r="BD497" s="179"/>
      <c r="BE497" s="179"/>
      <c r="BF497" s="179"/>
      <c r="BG497" s="179"/>
      <c r="BH497" s="171"/>
      <c r="BI497" s="173"/>
      <c r="BJ497" s="173"/>
      <c r="BK497" s="179"/>
      <c r="BL497" s="179"/>
      <c r="BM497" s="179"/>
      <c r="BN497" s="179"/>
      <c r="BO497" s="179"/>
      <c r="BP497" s="179"/>
      <c r="BQ497" s="179"/>
      <c r="BR497" s="179"/>
      <c r="BS497" s="179"/>
      <c r="BT497" s="179"/>
      <c r="BU497" s="179"/>
      <c r="BV497" s="179"/>
      <c r="BW497" s="179"/>
      <c r="BX497" s="179"/>
      <c r="BY497" s="179"/>
      <c r="BZ497" s="179"/>
      <c r="CA497" s="179"/>
      <c r="CB497" s="179"/>
      <c r="CC497" s="179"/>
      <c r="CD497" s="179"/>
      <c r="CE497" s="179"/>
      <c r="CF497" s="179"/>
      <c r="CG497" s="179"/>
      <c r="CH497" s="179"/>
      <c r="CI497" s="179"/>
      <c r="CJ497" s="179"/>
      <c r="CK497" s="179"/>
      <c r="CL497" s="179"/>
      <c r="CM497" s="179"/>
      <c r="CN497" s="179"/>
    </row>
    <row r="498" spans="1:92" outlineLevel="1">
      <c r="A498" s="171"/>
      <c r="B498" s="171"/>
      <c r="C498" s="166"/>
      <c r="D498" s="166"/>
      <c r="E498" s="166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>
        <f>R480-Q480</f>
        <v>68.5</v>
      </c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  <c r="AC498" s="179"/>
      <c r="AD498" s="179"/>
      <c r="AE498" s="179"/>
      <c r="AF498" s="179"/>
      <c r="AG498" s="179"/>
      <c r="AH498" s="179"/>
      <c r="AI498" s="179"/>
      <c r="AJ498" s="179"/>
      <c r="AK498" s="179"/>
      <c r="AL498" s="179"/>
      <c r="AM498" s="179"/>
      <c r="AN498" s="179"/>
      <c r="AO498" s="179"/>
      <c r="AP498" s="179"/>
      <c r="AQ498" s="1371"/>
      <c r="AR498" s="179"/>
      <c r="AS498" s="179"/>
      <c r="AT498" s="179"/>
      <c r="AU498" s="179"/>
      <c r="AV498" s="179"/>
      <c r="AW498" s="179"/>
      <c r="AX498" s="179"/>
      <c r="AY498" s="179"/>
      <c r="AZ498" s="179"/>
      <c r="BA498" s="179"/>
      <c r="BB498" s="179"/>
      <c r="BC498" s="179"/>
      <c r="BD498" s="179"/>
      <c r="BE498" s="179"/>
      <c r="BF498" s="179"/>
      <c r="BG498" s="179"/>
      <c r="BH498" s="171"/>
      <c r="BI498" s="166"/>
      <c r="BJ498" s="166"/>
      <c r="BK498" s="179"/>
      <c r="BL498" s="179"/>
      <c r="BM498" s="179"/>
      <c r="BN498" s="179"/>
      <c r="BO498" s="179"/>
      <c r="BP498" s="179"/>
      <c r="BQ498" s="179"/>
      <c r="BR498" s="179"/>
      <c r="BS498" s="179"/>
      <c r="BT498" s="179"/>
      <c r="BU498" s="179"/>
      <c r="BV498" s="179"/>
      <c r="BW498" s="179"/>
      <c r="BX498" s="179"/>
      <c r="BY498" s="179"/>
      <c r="BZ498" s="179"/>
      <c r="CA498" s="179"/>
      <c r="CB498" s="179"/>
      <c r="CC498" s="179"/>
      <c r="CD498" s="179"/>
      <c r="CE498" s="179"/>
      <c r="CF498" s="179"/>
      <c r="CG498" s="179"/>
      <c r="CH498" s="179"/>
      <c r="CI498" s="179"/>
      <c r="CJ498" s="179"/>
      <c r="CK498" s="179"/>
      <c r="CL498" s="179"/>
      <c r="CM498" s="179"/>
      <c r="CN498" s="179"/>
    </row>
    <row r="499" spans="1:92" outlineLevel="1">
      <c r="A499" s="171"/>
      <c r="B499" s="171" t="s">
        <v>796</v>
      </c>
      <c r="C499" s="166"/>
      <c r="D499" s="166"/>
      <c r="E499" s="166"/>
      <c r="F499" s="179"/>
      <c r="G499" s="179"/>
      <c r="H499" s="179"/>
      <c r="I499" s="193"/>
      <c r="J499" s="193">
        <f t="shared" ref="J499:U499" si="1794">J31/(J4+J5)</f>
        <v>0</v>
      </c>
      <c r="K499" s="193">
        <f t="shared" si="1794"/>
        <v>6.3979166165362547E-2</v>
      </c>
      <c r="L499" s="193">
        <f t="shared" si="1794"/>
        <v>6.9057426181622555E-2</v>
      </c>
      <c r="M499" s="193">
        <f t="shared" si="1794"/>
        <v>7.2634110979306707E-2</v>
      </c>
      <c r="N499" s="193">
        <f t="shared" si="1794"/>
        <v>7.5458232195760214E-2</v>
      </c>
      <c r="O499" s="193">
        <f t="shared" si="1794"/>
        <v>6.1453255203670835E-2</v>
      </c>
      <c r="P499" s="193">
        <f t="shared" si="1794"/>
        <v>6.3772518437915607E-2</v>
      </c>
      <c r="Q499" s="193">
        <f t="shared" si="1794"/>
        <v>6.505873657167871E-2</v>
      </c>
      <c r="R499" s="193">
        <f t="shared" si="1794"/>
        <v>6.5723456081591705E-2</v>
      </c>
      <c r="S499" s="193">
        <f t="shared" si="1794"/>
        <v>6.6273406757471995E-2</v>
      </c>
      <c r="T499" s="193">
        <f t="shared" si="1794"/>
        <v>6.9251190040278285E-2</v>
      </c>
      <c r="U499" s="193">
        <f t="shared" si="1794"/>
        <v>7.0355564906374929E-2</v>
      </c>
      <c r="V499" s="179"/>
      <c r="W499" s="179"/>
      <c r="X499" s="193">
        <f>X31/(X4+X5)</f>
        <v>6.9450620527954088E-2</v>
      </c>
      <c r="Y499" s="179"/>
      <c r="Z499" s="179"/>
      <c r="AA499" s="193">
        <f>AA31/(AA4+AA5)</f>
        <v>9.5929549194408784E-2</v>
      </c>
      <c r="AB499" s="179"/>
      <c r="AC499" s="179"/>
      <c r="AD499" s="193">
        <f>AD31/(AD4+AD5)</f>
        <v>0.10804141668279467</v>
      </c>
      <c r="AE499" s="179"/>
      <c r="AF499" s="179"/>
      <c r="AG499" s="229"/>
      <c r="AH499" s="179"/>
      <c r="AI499" s="179"/>
      <c r="AJ499" s="229"/>
      <c r="AK499" s="179"/>
      <c r="AL499" s="179"/>
      <c r="AM499" s="229"/>
      <c r="AN499" s="179"/>
      <c r="AO499" s="179"/>
      <c r="AP499" s="137"/>
      <c r="AQ499" s="1371"/>
      <c r="AR499" s="179"/>
      <c r="AS499" s="193"/>
      <c r="AT499" s="179"/>
      <c r="AU499" s="179"/>
      <c r="AV499" s="193"/>
      <c r="AW499" s="179"/>
      <c r="AX499" s="179"/>
      <c r="AY499" s="193"/>
      <c r="AZ499" s="179"/>
      <c r="BA499" s="179"/>
      <c r="BB499" s="193"/>
      <c r="BC499" s="564"/>
      <c r="BD499" s="179"/>
      <c r="BE499" s="179"/>
      <c r="BF499" s="179"/>
      <c r="BG499" s="179"/>
      <c r="BH499" s="171"/>
      <c r="BI499" s="173"/>
      <c r="BJ499" s="173"/>
      <c r="BK499" s="179"/>
      <c r="BL499" s="179"/>
      <c r="BM499" s="179"/>
      <c r="BN499" s="179"/>
      <c r="BO499" s="179"/>
      <c r="BP499" s="179"/>
      <c r="BQ499" s="179"/>
      <c r="BR499" s="179"/>
      <c r="BS499" s="179"/>
      <c r="BT499" s="179"/>
      <c r="BU499" s="179"/>
      <c r="BV499" s="179"/>
      <c r="BW499" s="179"/>
      <c r="BX499" s="179"/>
      <c r="BY499" s="179"/>
      <c r="BZ499" s="179"/>
      <c r="CA499" s="179"/>
      <c r="CB499" s="179"/>
      <c r="CC499" s="179"/>
      <c r="CD499" s="179"/>
      <c r="CE499" s="179"/>
      <c r="CF499" s="179"/>
      <c r="CG499" s="179"/>
      <c r="CH499" s="179"/>
      <c r="CI499" s="179"/>
      <c r="CJ499" s="179"/>
      <c r="CK499" s="179"/>
      <c r="CL499" s="179"/>
      <c r="CM499" s="179"/>
      <c r="CN499" s="179"/>
    </row>
    <row r="500" spans="1:92" outlineLevel="1">
      <c r="A500" s="171"/>
      <c r="B500" s="171"/>
      <c r="C500" s="166"/>
      <c r="D500" s="166"/>
      <c r="E500" s="166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  <c r="AC500" s="179"/>
      <c r="AD500" s="179"/>
      <c r="AE500" s="179"/>
      <c r="AF500" s="179"/>
      <c r="AG500" s="179"/>
      <c r="AH500" s="179"/>
      <c r="AI500" s="179"/>
      <c r="AJ500" s="179"/>
      <c r="AK500" s="179"/>
      <c r="AL500" s="179"/>
      <c r="AM500" s="179"/>
      <c r="AN500" s="179"/>
      <c r="AO500" s="179"/>
      <c r="AP500" s="179"/>
      <c r="AQ500" s="1371"/>
      <c r="AR500" s="179"/>
      <c r="AS500" s="179"/>
      <c r="AT500" s="179"/>
      <c r="AU500" s="179"/>
      <c r="AV500" s="179"/>
      <c r="AW500" s="179"/>
      <c r="AX500" s="179"/>
      <c r="AY500" s="179"/>
      <c r="AZ500" s="179"/>
      <c r="BA500" s="179"/>
      <c r="BB500" s="179"/>
      <c r="BC500" s="179"/>
      <c r="BD500" s="179"/>
      <c r="BE500" s="179"/>
      <c r="BF500" s="179"/>
      <c r="BG500" s="179"/>
      <c r="BH500" s="171"/>
      <c r="BI500" s="166"/>
      <c r="BJ500" s="166"/>
      <c r="BK500" s="179"/>
      <c r="BL500" s="179"/>
      <c r="BM500" s="179"/>
      <c r="BN500" s="179"/>
      <c r="BO500" s="179"/>
      <c r="BP500" s="179"/>
      <c r="BQ500" s="179"/>
      <c r="BR500" s="179"/>
      <c r="BS500" s="179"/>
      <c r="BT500" s="179"/>
      <c r="BU500" s="179"/>
      <c r="BV500" s="179"/>
      <c r="BW500" s="179"/>
      <c r="BX500" s="179"/>
      <c r="BY500" s="179"/>
      <c r="BZ500" s="179"/>
      <c r="CA500" s="179"/>
      <c r="CB500" s="179"/>
      <c r="CC500" s="179"/>
      <c r="CD500" s="179"/>
      <c r="CE500" s="179"/>
      <c r="CF500" s="179"/>
      <c r="CG500" s="179"/>
      <c r="CH500" s="179"/>
      <c r="CI500" s="179"/>
      <c r="CJ500" s="179"/>
      <c r="CK500" s="179"/>
      <c r="CL500" s="179"/>
      <c r="CM500" s="179"/>
      <c r="CN500" s="179"/>
    </row>
    <row r="501" spans="1:92" outlineLevel="1">
      <c r="A501" s="171"/>
      <c r="B501" s="171"/>
      <c r="C501" s="166"/>
      <c r="D501" s="166"/>
      <c r="E501" s="166"/>
      <c r="F501" s="179"/>
      <c r="G501" s="179"/>
      <c r="H501" s="179"/>
      <c r="I501" s="179"/>
      <c r="J501" s="179"/>
      <c r="K501" s="179"/>
      <c r="L501" s="179"/>
      <c r="M501" s="179"/>
      <c r="N501" s="241" t="str">
        <f t="shared" ref="N501:U501" si="1795">N2</f>
        <v>FY11</v>
      </c>
      <c r="O501" s="241" t="str">
        <f t="shared" si="1795"/>
        <v>FY12</v>
      </c>
      <c r="P501" s="241" t="str">
        <f t="shared" si="1795"/>
        <v>FY13</v>
      </c>
      <c r="Q501" s="241" t="str">
        <f t="shared" si="1795"/>
        <v>FY14</v>
      </c>
      <c r="R501" s="241" t="str">
        <f t="shared" si="1795"/>
        <v>FY15</v>
      </c>
      <c r="S501" s="241" t="str">
        <f t="shared" si="1795"/>
        <v>FY16</v>
      </c>
      <c r="T501" s="241" t="str">
        <f t="shared" si="1795"/>
        <v>FY17</v>
      </c>
      <c r="U501" s="241" t="str">
        <f t="shared" si="1795"/>
        <v>FY18</v>
      </c>
      <c r="V501" s="179"/>
      <c r="W501" s="179"/>
      <c r="X501" s="241"/>
      <c r="Y501" s="179"/>
      <c r="Z501" s="179"/>
      <c r="AA501" s="241"/>
      <c r="AB501" s="179"/>
      <c r="AC501" s="179"/>
      <c r="AD501" s="241"/>
      <c r="AE501" s="179"/>
      <c r="AF501" s="179"/>
      <c r="AG501" s="179"/>
      <c r="AH501" s="179"/>
      <c r="AI501" s="179"/>
      <c r="AJ501" s="179"/>
      <c r="AK501" s="179"/>
      <c r="AL501" s="179"/>
      <c r="AM501" s="179"/>
      <c r="AN501" s="179"/>
      <c r="AO501" s="179"/>
      <c r="AP501" s="179"/>
      <c r="AQ501" s="1371"/>
      <c r="AR501" s="179"/>
      <c r="AS501" s="179"/>
      <c r="AT501" s="179"/>
      <c r="AU501" s="179"/>
      <c r="AV501" s="179"/>
      <c r="AW501" s="179"/>
      <c r="AX501" s="179"/>
      <c r="AY501" s="179"/>
      <c r="AZ501" s="179"/>
      <c r="BA501" s="179"/>
      <c r="BB501" s="179"/>
      <c r="BC501" s="179"/>
      <c r="BD501" s="179"/>
      <c r="BE501" s="179"/>
      <c r="BF501" s="179"/>
      <c r="BG501" s="179"/>
      <c r="BH501" s="171"/>
      <c r="BI501" s="166"/>
      <c r="BJ501" s="166"/>
      <c r="BK501" s="179"/>
      <c r="BL501" s="179"/>
      <c r="BM501" s="179"/>
      <c r="BN501" s="179"/>
      <c r="BO501" s="179"/>
      <c r="BP501" s="179"/>
      <c r="BQ501" s="179"/>
      <c r="BR501" s="179"/>
      <c r="BS501" s="179"/>
      <c r="BT501" s="179"/>
      <c r="BU501" s="179"/>
      <c r="BV501" s="179"/>
      <c r="BW501" s="179"/>
      <c r="BX501" s="179"/>
      <c r="BY501" s="179"/>
      <c r="BZ501" s="179"/>
      <c r="CA501" s="179"/>
      <c r="CB501" s="179"/>
      <c r="CC501" s="179"/>
      <c r="CD501" s="179"/>
      <c r="CE501" s="179"/>
      <c r="CF501" s="179"/>
      <c r="CG501" s="179"/>
      <c r="CH501" s="179"/>
      <c r="CI501" s="179"/>
      <c r="CJ501" s="179"/>
      <c r="CK501" s="179"/>
      <c r="CL501" s="179"/>
      <c r="CM501" s="179"/>
      <c r="CN501" s="179"/>
    </row>
    <row r="502" spans="1:92" outlineLevel="1">
      <c r="A502" s="171"/>
      <c r="B502" s="171"/>
      <c r="C502" s="166"/>
      <c r="D502" s="166"/>
      <c r="E502" s="166"/>
      <c r="F502" s="179"/>
      <c r="G502" s="179"/>
      <c r="H502" s="179"/>
      <c r="I502" s="179"/>
      <c r="J502" s="179"/>
      <c r="K502" s="179"/>
      <c r="L502" s="179"/>
      <c r="M502" s="190" t="s">
        <v>219</v>
      </c>
      <c r="N502" s="190">
        <f t="shared" ref="N502:U502" si="1796">N72</f>
        <v>2814.627</v>
      </c>
      <c r="O502" s="190">
        <f t="shared" si="1796"/>
        <v>2954.6320000000001</v>
      </c>
      <c r="P502" s="190">
        <f t="shared" si="1796"/>
        <v>3140.817</v>
      </c>
      <c r="Q502" s="190">
        <f t="shared" si="1796"/>
        <v>3292.848</v>
      </c>
      <c r="R502" s="190">
        <f t="shared" si="1796"/>
        <v>3456.0160000000001</v>
      </c>
      <c r="S502" s="190">
        <f t="shared" si="1796"/>
        <v>3739.3580000000002</v>
      </c>
      <c r="T502" s="190">
        <f t="shared" si="1796"/>
        <v>4148.6000000000004</v>
      </c>
      <c r="U502" s="190">
        <f t="shared" si="1796"/>
        <v>4539.7</v>
      </c>
      <c r="V502" s="179"/>
      <c r="W502" s="179"/>
      <c r="X502" s="190"/>
      <c r="Y502" s="179"/>
      <c r="Z502" s="179"/>
      <c r="AA502" s="190"/>
      <c r="AB502" s="179"/>
      <c r="AC502" s="179"/>
      <c r="AD502" s="190"/>
      <c r="AE502" s="179"/>
      <c r="AF502" s="179"/>
      <c r="AG502" s="179"/>
      <c r="AH502" s="179"/>
      <c r="AI502" s="179"/>
      <c r="AJ502" s="179"/>
      <c r="AK502" s="179"/>
      <c r="AL502" s="179"/>
      <c r="AM502" s="179"/>
      <c r="AN502" s="179"/>
      <c r="AO502" s="179"/>
      <c r="AP502" s="179"/>
      <c r="AQ502" s="1371"/>
      <c r="AR502" s="179"/>
      <c r="AS502" s="179"/>
      <c r="AT502" s="179"/>
      <c r="AU502" s="179"/>
      <c r="AV502" s="179"/>
      <c r="AW502" s="179"/>
      <c r="AX502" s="179"/>
      <c r="AY502" s="179"/>
      <c r="AZ502" s="179"/>
      <c r="BA502" s="179"/>
      <c r="BB502" s="179"/>
      <c r="BC502" s="179"/>
      <c r="BD502" s="179"/>
      <c r="BE502" s="179"/>
      <c r="BF502" s="179"/>
      <c r="BG502" s="179"/>
      <c r="BH502" s="171"/>
      <c r="BI502" s="166"/>
      <c r="BJ502" s="166"/>
      <c r="BK502" s="179"/>
      <c r="BL502" s="179"/>
      <c r="BM502" s="179"/>
      <c r="BN502" s="179"/>
      <c r="BO502" s="179"/>
      <c r="BP502" s="179"/>
      <c r="BQ502" s="179"/>
      <c r="BR502" s="179"/>
      <c r="BS502" s="179"/>
      <c r="BT502" s="179"/>
      <c r="BU502" s="179"/>
      <c r="BV502" s="179"/>
      <c r="BW502" s="179"/>
      <c r="BX502" s="179"/>
      <c r="BY502" s="179"/>
      <c r="BZ502" s="179"/>
      <c r="CA502" s="179"/>
      <c r="CB502" s="179"/>
      <c r="CC502" s="179"/>
      <c r="CD502" s="179"/>
      <c r="CE502" s="179"/>
      <c r="CF502" s="179"/>
      <c r="CG502" s="179"/>
      <c r="CH502" s="179"/>
      <c r="CI502" s="179"/>
      <c r="CJ502" s="179"/>
      <c r="CK502" s="179"/>
      <c r="CL502" s="179"/>
      <c r="CM502" s="179"/>
      <c r="CN502" s="179"/>
    </row>
    <row r="503" spans="1:92" outlineLevel="1">
      <c r="A503" s="171"/>
      <c r="B503" s="171"/>
      <c r="C503" s="166"/>
      <c r="D503" s="166"/>
      <c r="E503" s="166"/>
      <c r="F503" s="179"/>
      <c r="G503" s="179"/>
      <c r="H503" s="179"/>
      <c r="I503" s="179"/>
      <c r="J503" s="179"/>
      <c r="K503" s="179"/>
      <c r="L503" s="179"/>
      <c r="M503" s="190" t="s">
        <v>540</v>
      </c>
      <c r="N503" s="190">
        <f t="shared" ref="N503:U503" si="1797">N480</f>
        <v>0</v>
      </c>
      <c r="O503" s="190">
        <f t="shared" si="1797"/>
        <v>0</v>
      </c>
      <c r="P503" s="190">
        <f t="shared" si="1797"/>
        <v>12</v>
      </c>
      <c r="Q503" s="190">
        <f t="shared" si="1797"/>
        <v>61</v>
      </c>
      <c r="R503" s="190">
        <f t="shared" si="1797"/>
        <v>129.5</v>
      </c>
      <c r="S503" s="190">
        <f t="shared" si="1797"/>
        <v>212</v>
      </c>
      <c r="T503" s="190">
        <f t="shared" si="1797"/>
        <v>288</v>
      </c>
      <c r="U503" s="190">
        <f t="shared" si="1797"/>
        <v>297</v>
      </c>
      <c r="V503" s="179"/>
      <c r="W503" s="179"/>
      <c r="X503" s="190"/>
      <c r="Y503" s="179"/>
      <c r="Z503" s="179"/>
      <c r="AA503" s="190"/>
      <c r="AB503" s="179"/>
      <c r="AC503" s="179"/>
      <c r="AD503" s="190"/>
      <c r="AE503" s="179"/>
      <c r="AF503" s="179"/>
      <c r="AG503" s="179"/>
      <c r="AH503" s="179"/>
      <c r="AI503" s="179"/>
      <c r="AJ503" s="179"/>
      <c r="AK503" s="179"/>
      <c r="AL503" s="179"/>
      <c r="AM503" s="179"/>
      <c r="AN503" s="179"/>
      <c r="AO503" s="179"/>
      <c r="AP503" s="179"/>
      <c r="AQ503" s="1371"/>
      <c r="AR503" s="179"/>
      <c r="AS503" s="179"/>
      <c r="AT503" s="179"/>
      <c r="AU503" s="179"/>
      <c r="AV503" s="179"/>
      <c r="AW503" s="179"/>
      <c r="AX503" s="179"/>
      <c r="AY503" s="179"/>
      <c r="AZ503" s="179"/>
      <c r="BA503" s="179"/>
      <c r="BB503" s="179"/>
      <c r="BC503" s="179"/>
      <c r="BD503" s="179"/>
      <c r="BE503" s="179"/>
      <c r="BF503" s="179"/>
      <c r="BG503" s="179"/>
      <c r="BH503" s="171"/>
      <c r="BI503" s="166"/>
      <c r="BJ503" s="166"/>
      <c r="BK503" s="179"/>
      <c r="BL503" s="179"/>
      <c r="BM503" s="179"/>
      <c r="BN503" s="179"/>
      <c r="BO503" s="179"/>
      <c r="BP503" s="179"/>
      <c r="BQ503" s="179"/>
      <c r="BR503" s="179"/>
      <c r="BS503" s="179"/>
      <c r="BT503" s="179"/>
      <c r="BU503" s="179"/>
      <c r="BV503" s="179"/>
      <c r="BW503" s="179"/>
      <c r="BX503" s="179"/>
      <c r="BY503" s="179"/>
      <c r="BZ503" s="179"/>
      <c r="CA503" s="179"/>
      <c r="CB503" s="179"/>
      <c r="CC503" s="179"/>
      <c r="CD503" s="179"/>
      <c r="CE503" s="179"/>
      <c r="CF503" s="179"/>
      <c r="CG503" s="179"/>
      <c r="CH503" s="179"/>
      <c r="CI503" s="179"/>
      <c r="CJ503" s="179"/>
      <c r="CK503" s="179"/>
      <c r="CL503" s="179"/>
      <c r="CM503" s="179"/>
      <c r="CN503" s="179"/>
    </row>
    <row r="504" spans="1:92" outlineLevel="1">
      <c r="A504" s="171"/>
      <c r="B504" s="171"/>
      <c r="C504" s="166"/>
      <c r="D504" s="166"/>
      <c r="E504" s="166"/>
      <c r="F504" s="179"/>
      <c r="G504" s="179"/>
      <c r="H504" s="179"/>
      <c r="I504" s="179"/>
      <c r="J504" s="179"/>
      <c r="K504" s="179"/>
      <c r="L504" s="179"/>
      <c r="M504" s="190" t="s">
        <v>552</v>
      </c>
      <c r="N504" s="190">
        <f t="shared" ref="N504:U504" si="1798">N143</f>
        <v>28.652002256063167</v>
      </c>
      <c r="O504" s="190">
        <f t="shared" si="1798"/>
        <v>50.8</v>
      </c>
      <c r="P504" s="190">
        <f t="shared" si="1798"/>
        <v>65.900000000000006</v>
      </c>
      <c r="Q504" s="190">
        <f t="shared" si="1798"/>
        <v>75</v>
      </c>
      <c r="R504" s="190">
        <f t="shared" si="1798"/>
        <v>87.7</v>
      </c>
      <c r="S504" s="190">
        <f t="shared" si="1798"/>
        <v>119.1</v>
      </c>
      <c r="T504" s="190">
        <f t="shared" si="1798"/>
        <v>163.52777777777777</v>
      </c>
      <c r="U504" s="190">
        <f t="shared" si="1798"/>
        <v>217.57150000000001</v>
      </c>
      <c r="V504" s="179"/>
      <c r="W504" s="179"/>
      <c r="X504" s="190"/>
      <c r="Y504" s="179"/>
      <c r="Z504" s="179"/>
      <c r="AA504" s="190"/>
      <c r="AB504" s="179"/>
      <c r="AC504" s="179"/>
      <c r="AD504" s="190"/>
      <c r="AE504" s="179"/>
      <c r="AF504" s="179"/>
      <c r="AG504" s="179"/>
      <c r="AH504" s="179"/>
      <c r="AI504" s="179"/>
      <c r="AJ504" s="179"/>
      <c r="AK504" s="179"/>
      <c r="AL504" s="179"/>
      <c r="AM504" s="179"/>
      <c r="AN504" s="179"/>
      <c r="AO504" s="179"/>
      <c r="AP504" s="179"/>
      <c r="AQ504" s="1371"/>
      <c r="AR504" s="179"/>
      <c r="AS504" s="179"/>
      <c r="AT504" s="179"/>
      <c r="AU504" s="179"/>
      <c r="AV504" s="179"/>
      <c r="AW504" s="179"/>
      <c r="AX504" s="179"/>
      <c r="AY504" s="179"/>
      <c r="AZ504" s="179"/>
      <c r="BA504" s="179"/>
      <c r="BB504" s="179"/>
      <c r="BC504" s="179"/>
      <c r="BD504" s="179"/>
      <c r="BE504" s="179"/>
      <c r="BF504" s="179"/>
      <c r="BG504" s="179"/>
      <c r="BH504" s="171"/>
      <c r="BI504" s="166"/>
      <c r="BJ504" s="166"/>
      <c r="BK504" s="179"/>
      <c r="BL504" s="179"/>
      <c r="BM504" s="179"/>
      <c r="BN504" s="179"/>
      <c r="BO504" s="179"/>
      <c r="BP504" s="179"/>
      <c r="BQ504" s="179"/>
      <c r="BR504" s="179"/>
      <c r="BS504" s="179"/>
      <c r="BT504" s="179"/>
      <c r="BU504" s="179"/>
      <c r="BV504" s="179"/>
      <c r="BW504" s="179"/>
      <c r="BX504" s="179"/>
      <c r="BY504" s="179"/>
      <c r="BZ504" s="179"/>
      <c r="CA504" s="179"/>
      <c r="CB504" s="179"/>
      <c r="CC504" s="179"/>
      <c r="CD504" s="179"/>
      <c r="CE504" s="179"/>
      <c r="CF504" s="179"/>
      <c r="CG504" s="179"/>
      <c r="CH504" s="179"/>
      <c r="CI504" s="179"/>
      <c r="CJ504" s="179"/>
      <c r="CK504" s="179"/>
      <c r="CL504" s="179"/>
      <c r="CM504" s="179"/>
      <c r="CN504" s="179"/>
    </row>
    <row r="505" spans="1:92" outlineLevel="1">
      <c r="A505" s="171"/>
      <c r="B505" s="171"/>
      <c r="C505" s="166"/>
      <c r="D505" s="166"/>
      <c r="E505" s="166"/>
      <c r="F505" s="179"/>
      <c r="G505" s="179"/>
      <c r="H505" s="179"/>
      <c r="I505" s="179"/>
      <c r="J505" s="179"/>
      <c r="K505" s="179"/>
      <c r="L505" s="179"/>
      <c r="M505" s="190" t="s">
        <v>553</v>
      </c>
      <c r="N505" s="190">
        <f t="shared" ref="N505:U505" si="1799">N502-N503-N504</f>
        <v>2785.9749977439369</v>
      </c>
      <c r="O505" s="190">
        <f t="shared" si="1799"/>
        <v>2903.8319999999999</v>
      </c>
      <c r="P505" s="190">
        <f t="shared" si="1799"/>
        <v>3062.9169999999999</v>
      </c>
      <c r="Q505" s="190">
        <f t="shared" si="1799"/>
        <v>3156.848</v>
      </c>
      <c r="R505" s="190">
        <f t="shared" si="1799"/>
        <v>3238.8160000000003</v>
      </c>
      <c r="S505" s="190">
        <f t="shared" si="1799"/>
        <v>3408.2580000000003</v>
      </c>
      <c r="T505" s="190">
        <f t="shared" si="1799"/>
        <v>3697.0722222222225</v>
      </c>
      <c r="U505" s="190">
        <f t="shared" si="1799"/>
        <v>4025.1284999999998</v>
      </c>
      <c r="V505" s="179"/>
      <c r="W505" s="179"/>
      <c r="X505" s="190"/>
      <c r="Y505" s="179"/>
      <c r="Z505" s="179"/>
      <c r="AA505" s="190"/>
      <c r="AB505" s="179"/>
      <c r="AC505" s="179"/>
      <c r="AD505" s="190"/>
      <c r="AE505" s="179"/>
      <c r="AF505" s="179"/>
      <c r="AG505" s="179"/>
      <c r="AH505" s="179"/>
      <c r="AI505" s="179"/>
      <c r="AJ505" s="179"/>
      <c r="AK505" s="179"/>
      <c r="AL505" s="179"/>
      <c r="AM505" s="179"/>
      <c r="AN505" s="179"/>
      <c r="AO505" s="179"/>
      <c r="AP505" s="179"/>
      <c r="AQ505" s="1371"/>
      <c r="AR505" s="179"/>
      <c r="AS505" s="179"/>
      <c r="AT505" s="179"/>
      <c r="AU505" s="179"/>
      <c r="AV505" s="179"/>
      <c r="AW505" s="179"/>
      <c r="AX505" s="179"/>
      <c r="AY505" s="179"/>
      <c r="AZ505" s="179"/>
      <c r="BA505" s="179"/>
      <c r="BB505" s="179"/>
      <c r="BC505" s="179"/>
      <c r="BD505" s="179"/>
      <c r="BE505" s="179"/>
      <c r="BF505" s="179"/>
      <c r="BG505" s="179"/>
      <c r="BH505" s="171"/>
      <c r="BI505" s="166"/>
      <c r="BJ505" s="166"/>
      <c r="BK505" s="179"/>
      <c r="BL505" s="179"/>
      <c r="BM505" s="179"/>
      <c r="BN505" s="179"/>
      <c r="BO505" s="179"/>
      <c r="BP505" s="179"/>
      <c r="BQ505" s="179"/>
      <c r="BR505" s="179"/>
      <c r="BS505" s="179"/>
      <c r="BT505" s="179"/>
      <c r="BU505" s="179"/>
      <c r="BV505" s="179"/>
      <c r="BW505" s="179"/>
      <c r="BX505" s="179"/>
      <c r="BY505" s="179"/>
      <c r="BZ505" s="179"/>
      <c r="CA505" s="179"/>
      <c r="CB505" s="179"/>
      <c r="CC505" s="179"/>
      <c r="CD505" s="179"/>
      <c r="CE505" s="179"/>
      <c r="CF505" s="179"/>
      <c r="CG505" s="179"/>
      <c r="CH505" s="179"/>
      <c r="CI505" s="179"/>
      <c r="CJ505" s="179"/>
      <c r="CK505" s="179"/>
      <c r="CL505" s="179"/>
      <c r="CM505" s="179"/>
      <c r="CN505" s="179"/>
    </row>
    <row r="506" spans="1:92" outlineLevel="1">
      <c r="A506" s="171"/>
      <c r="B506" s="171"/>
      <c r="C506" s="166"/>
      <c r="D506" s="166"/>
      <c r="E506" s="166"/>
      <c r="F506" s="179"/>
      <c r="G506" s="179"/>
      <c r="H506" s="179"/>
      <c r="I506" s="179"/>
      <c r="J506" s="179"/>
      <c r="K506" s="179"/>
      <c r="L506" s="179"/>
      <c r="M506" s="258" t="s">
        <v>452</v>
      </c>
      <c r="N506" s="229"/>
      <c r="O506" s="229">
        <f t="shared" ref="O506:U506" si="1800">O505/N505-1</f>
        <v>4.2303682678955346E-2</v>
      </c>
      <c r="P506" s="229">
        <f t="shared" si="1800"/>
        <v>5.4784505439708697E-2</v>
      </c>
      <c r="Q506" s="229">
        <f t="shared" si="1800"/>
        <v>3.0667171196607779E-2</v>
      </c>
      <c r="R506" s="229">
        <f t="shared" si="1800"/>
        <v>2.5965139911709567E-2</v>
      </c>
      <c r="S506" s="229">
        <f t="shared" si="1800"/>
        <v>5.231603153745068E-2</v>
      </c>
      <c r="T506" s="229">
        <f t="shared" si="1800"/>
        <v>8.4739542083440256E-2</v>
      </c>
      <c r="U506" s="229">
        <f t="shared" si="1800"/>
        <v>8.8734073358347931E-2</v>
      </c>
      <c r="V506" s="179"/>
      <c r="W506" s="179"/>
      <c r="X506" s="229"/>
      <c r="Y506" s="179"/>
      <c r="Z506" s="179"/>
      <c r="AA506" s="229"/>
      <c r="AB506" s="179"/>
      <c r="AC506" s="179"/>
      <c r="AD506" s="229"/>
      <c r="AE506" s="179"/>
      <c r="AF506" s="179"/>
      <c r="AG506" s="179"/>
      <c r="AH506" s="1182" t="s">
        <v>920</v>
      </c>
      <c r="AI506" s="1182" t="s">
        <v>926</v>
      </c>
      <c r="AJ506" s="1182" t="s">
        <v>866</v>
      </c>
      <c r="AK506" s="1182" t="s">
        <v>932</v>
      </c>
      <c r="AL506" t="s">
        <v>946</v>
      </c>
      <c r="AM506" t="s">
        <v>887</v>
      </c>
      <c r="AN506" t="s">
        <v>968</v>
      </c>
      <c r="AO506" s="179"/>
      <c r="AP506" s="179"/>
      <c r="AQ506" s="1371" t="s">
        <v>976</v>
      </c>
      <c r="AR506" s="179"/>
      <c r="AS506" s="179"/>
      <c r="AT506" s="179"/>
      <c r="AU506" s="179"/>
      <c r="AV506" s="179"/>
      <c r="AW506" s="179"/>
      <c r="AX506" s="179"/>
      <c r="AY506" s="179"/>
      <c r="AZ506" s="179"/>
      <c r="BA506" s="179"/>
      <c r="BB506" s="179"/>
      <c r="BC506" s="179"/>
      <c r="BD506" s="179"/>
      <c r="BE506" s="179"/>
      <c r="BF506" s="179"/>
      <c r="BG506" s="179"/>
      <c r="BH506" s="171"/>
      <c r="BI506" s="166"/>
      <c r="BJ506" s="166"/>
      <c r="BK506" s="179"/>
      <c r="BL506" s="179"/>
      <c r="BM506" s="179"/>
      <c r="BN506" s="179"/>
      <c r="BO506" s="179"/>
      <c r="BP506" s="179"/>
      <c r="BQ506" s="179"/>
      <c r="BR506" s="179"/>
      <c r="BS506" s="179"/>
      <c r="BT506" s="179"/>
      <c r="BU506" s="179"/>
      <c r="BV506" s="179"/>
      <c r="BW506" s="179"/>
      <c r="BX506" s="179"/>
      <c r="BY506" s="179"/>
      <c r="BZ506" s="179"/>
      <c r="CA506" s="179"/>
      <c r="CB506" s="179"/>
      <c r="CC506" s="179"/>
      <c r="CD506" s="179"/>
      <c r="CE506" s="179"/>
      <c r="CF506" s="179"/>
      <c r="CG506" s="179"/>
      <c r="CH506" s="179"/>
      <c r="CI506" s="179"/>
      <c r="CJ506" s="179"/>
      <c r="CK506" s="179"/>
      <c r="CL506" s="179"/>
      <c r="CM506" s="179"/>
      <c r="CN506" s="179"/>
    </row>
    <row r="507" spans="1:92" outlineLevel="1">
      <c r="A507" s="171"/>
      <c r="B507" s="171"/>
      <c r="C507" s="166"/>
      <c r="D507" s="166"/>
      <c r="E507" s="166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  <c r="AC507" s="179"/>
      <c r="AD507" s="179"/>
      <c r="AE507" s="179"/>
      <c r="AF507" s="179"/>
      <c r="AG507" s="179"/>
      <c r="AH507" s="179"/>
      <c r="AI507" s="179"/>
      <c r="AJ507" s="179"/>
      <c r="AK507" s="179"/>
      <c r="AL507" s="179"/>
      <c r="AM507" s="179"/>
      <c r="AN507" s="179"/>
      <c r="AO507" s="179"/>
      <c r="AP507" s="179"/>
      <c r="AQ507" s="1371"/>
      <c r="AR507" s="179"/>
      <c r="AS507" s="179"/>
      <c r="AT507" s="179"/>
      <c r="AU507" s="179"/>
      <c r="AV507" s="179"/>
      <c r="AW507" s="179"/>
      <c r="AX507" s="179"/>
      <c r="AY507" s="179"/>
      <c r="AZ507" s="179"/>
      <c r="BA507" s="179"/>
      <c r="BB507" s="179"/>
      <c r="BC507" s="179"/>
      <c r="BD507" s="179"/>
      <c r="BE507" s="179"/>
      <c r="BF507" s="179"/>
      <c r="BG507" s="179"/>
      <c r="BH507" s="171"/>
      <c r="BI507" s="166"/>
      <c r="BJ507" s="166"/>
      <c r="BK507" s="179"/>
      <c r="BL507" s="179"/>
      <c r="BM507" s="179"/>
      <c r="BN507" s="179"/>
      <c r="BO507" s="179"/>
      <c r="BP507" s="179"/>
      <c r="BQ507" s="179"/>
      <c r="BR507" s="179"/>
      <c r="BS507" s="179"/>
      <c r="BT507" s="179"/>
      <c r="BU507" s="179"/>
      <c r="BV507" s="179"/>
      <c r="BW507" s="179"/>
      <c r="BX507" s="179"/>
      <c r="BY507" s="179"/>
      <c r="BZ507" s="179"/>
      <c r="CA507" s="179"/>
      <c r="CB507" s="179"/>
      <c r="CC507" s="179"/>
      <c r="CD507" s="179"/>
      <c r="CE507" s="179"/>
      <c r="CF507" s="179"/>
      <c r="CG507" s="179"/>
      <c r="CH507" s="179"/>
      <c r="CI507" s="179"/>
      <c r="CJ507" s="179"/>
      <c r="CK507" s="179"/>
      <c r="CL507" s="179"/>
      <c r="CM507" s="179"/>
      <c r="CN507" s="179"/>
    </row>
    <row r="508" spans="1:92">
      <c r="A508" s="171"/>
      <c r="B508" s="171"/>
      <c r="C508" s="166"/>
      <c r="D508" s="166"/>
      <c r="E508" s="166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  <c r="AC508" s="179"/>
      <c r="AD508" s="179"/>
      <c r="AE508" s="179"/>
      <c r="AF508" s="179"/>
      <c r="AG508" s="179"/>
      <c r="AH508" s="179"/>
      <c r="AI508" s="179"/>
      <c r="AJ508" s="179"/>
      <c r="AK508" s="179"/>
      <c r="AL508" s="179"/>
      <c r="AM508" s="179"/>
      <c r="AN508" s="179"/>
      <c r="AO508" s="179"/>
      <c r="AP508" s="179"/>
      <c r="AQ508" s="1371"/>
      <c r="AR508" s="179"/>
      <c r="AS508" s="179"/>
      <c r="AT508" s="179"/>
      <c r="AU508" s="179"/>
      <c r="AV508" s="179"/>
      <c r="AW508" s="179"/>
      <c r="AX508" s="179"/>
      <c r="AY508" s="179"/>
      <c r="AZ508" s="179"/>
      <c r="BA508" s="179"/>
      <c r="BB508" s="179"/>
      <c r="BC508" s="179"/>
      <c r="BD508" s="179"/>
      <c r="BE508" s="179"/>
      <c r="BF508" s="179"/>
      <c r="BG508" s="179"/>
      <c r="BH508" s="171"/>
      <c r="BI508" s="166"/>
      <c r="BJ508" s="166"/>
      <c r="BK508" s="179"/>
      <c r="BL508" s="179"/>
      <c r="BM508" s="179"/>
      <c r="BN508" s="179"/>
      <c r="BO508" s="179"/>
      <c r="BP508" s="179"/>
      <c r="BQ508" s="179"/>
      <c r="BR508" s="179"/>
      <c r="BS508" s="179"/>
      <c r="BT508" s="179"/>
      <c r="BU508" s="179"/>
      <c r="BV508" s="179"/>
      <c r="BW508" s="179"/>
      <c r="BX508" s="179"/>
      <c r="BY508" s="179"/>
      <c r="BZ508" s="179"/>
      <c r="CA508" s="179"/>
      <c r="CB508" s="179"/>
      <c r="CC508" s="179"/>
      <c r="CD508" s="179"/>
      <c r="CE508" s="179"/>
      <c r="CF508" s="179"/>
      <c r="CG508" s="179"/>
      <c r="CH508" s="179"/>
      <c r="CI508" s="179"/>
      <c r="CJ508" s="179"/>
      <c r="CK508" s="179"/>
      <c r="CL508" s="179"/>
      <c r="CM508" s="179"/>
      <c r="CN508" s="179"/>
    </row>
    <row r="509" spans="1:92">
      <c r="A509" s="171"/>
      <c r="B509" s="171"/>
      <c r="C509" s="166"/>
      <c r="D509" s="166"/>
      <c r="E509" s="166"/>
      <c r="F509" s="179"/>
      <c r="G509" s="179"/>
      <c r="H509" s="179"/>
      <c r="I509" s="179"/>
      <c r="J509" s="179"/>
      <c r="K509" s="179">
        <f t="shared" ref="K509:T509" si="1801">K256/K165</f>
        <v>2.8344193548387095</v>
      </c>
      <c r="L509" s="179">
        <f t="shared" si="1801"/>
        <v>2.6510413223140503</v>
      </c>
      <c r="M509" s="179">
        <f t="shared" si="1801"/>
        <v>2.8489083969465674</v>
      </c>
      <c r="N509" s="179">
        <f t="shared" si="1801"/>
        <v>2.8078402777777773</v>
      </c>
      <c r="O509" s="179">
        <f t="shared" si="1801"/>
        <v>2.8497870967741927</v>
      </c>
      <c r="P509" s="179">
        <f t="shared" si="1801"/>
        <v>2.898908536585366</v>
      </c>
      <c r="Q509" s="179">
        <f t="shared" si="1801"/>
        <v>2.9581715976331378</v>
      </c>
      <c r="R509" s="179">
        <f t="shared" si="1801"/>
        <v>3.0426416184971097</v>
      </c>
      <c r="S509" s="179">
        <f t="shared" si="1801"/>
        <v>3.1708659217877089</v>
      </c>
      <c r="T509" s="179">
        <f t="shared" si="1801"/>
        <v>3.3556756756756756</v>
      </c>
      <c r="U509" s="179"/>
      <c r="V509" s="179"/>
      <c r="W509" s="179"/>
      <c r="X509" s="179"/>
      <c r="Y509" s="179"/>
      <c r="Z509" s="179"/>
      <c r="AA509" s="179"/>
      <c r="AB509" s="179"/>
      <c r="AC509" s="179"/>
      <c r="AD509" s="179"/>
      <c r="AE509" s="179"/>
      <c r="AF509" s="179"/>
      <c r="AG509" s="179"/>
      <c r="AH509" s="179"/>
      <c r="AI509" s="179"/>
      <c r="AJ509" s="179"/>
      <c r="AK509" s="179"/>
      <c r="AL509" s="179"/>
      <c r="AM509" s="179"/>
      <c r="AN509" s="179"/>
      <c r="AO509" s="179"/>
      <c r="AP509" s="179"/>
      <c r="AQ509" s="1371"/>
      <c r="AR509" s="179"/>
      <c r="AS509" s="179"/>
      <c r="AT509" s="179"/>
      <c r="AU509" s="179"/>
      <c r="AV509" s="179"/>
      <c r="AW509" s="179"/>
      <c r="AX509" s="179"/>
      <c r="AY509" s="179"/>
      <c r="AZ509" s="179"/>
      <c r="BA509" s="179"/>
      <c r="BB509" s="179"/>
      <c r="BC509" s="179"/>
      <c r="BD509" s="179"/>
      <c r="BE509" s="179"/>
      <c r="BF509" s="179"/>
      <c r="BG509" s="179"/>
      <c r="BH509" s="171"/>
      <c r="BI509" s="166"/>
      <c r="BJ509" s="166"/>
      <c r="BK509" s="179"/>
      <c r="BL509" s="179"/>
      <c r="BM509" s="179"/>
      <c r="BN509" s="179">
        <f t="shared" ref="BN509:CL509" si="1802">BN256/BN165</f>
        <v>0</v>
      </c>
      <c r="BO509" s="179">
        <f t="shared" si="1802"/>
        <v>0</v>
      </c>
      <c r="BP509" s="179">
        <f t="shared" si="1802"/>
        <v>0</v>
      </c>
      <c r="BQ509" s="179">
        <f t="shared" si="1802"/>
        <v>0</v>
      </c>
      <c r="BR509" s="179">
        <f t="shared" si="1802"/>
        <v>0</v>
      </c>
      <c r="BS509" s="179">
        <f t="shared" si="1802"/>
        <v>1.4921348314606739</v>
      </c>
      <c r="BT509" s="179">
        <f t="shared" si="1802"/>
        <v>1.4064623655913984</v>
      </c>
      <c r="BU509" s="179">
        <f t="shared" si="1802"/>
        <v>1.5226857142857149</v>
      </c>
      <c r="BV509" s="179">
        <f t="shared" si="1802"/>
        <v>1.329702479338843</v>
      </c>
      <c r="BW509" s="179">
        <f t="shared" si="1802"/>
        <v>1.5540322580645161</v>
      </c>
      <c r="BX509" s="179">
        <f t="shared" si="1802"/>
        <v>1.3779160305343539</v>
      </c>
      <c r="BY509" s="179">
        <f t="shared" si="1802"/>
        <v>1.5641791044776119</v>
      </c>
      <c r="BZ509" s="179">
        <f t="shared" si="1802"/>
        <v>1.3522847222222221</v>
      </c>
      <c r="CA509" s="179">
        <f t="shared" si="1802"/>
        <v>1.4953947368421052</v>
      </c>
      <c r="CB509" s="179">
        <f t="shared" si="1802"/>
        <v>1.3833354838709673</v>
      </c>
      <c r="CC509" s="179">
        <f t="shared" si="1802"/>
        <v>1.4619631901840491</v>
      </c>
      <c r="CD509" s="179">
        <f t="shared" si="1802"/>
        <v>1.4458597560975615</v>
      </c>
      <c r="CE509" s="179">
        <f t="shared" si="1802"/>
        <v>1.5059171597633136</v>
      </c>
      <c r="CF509" s="179">
        <f t="shared" si="1802"/>
        <v>1.4522544378698239</v>
      </c>
      <c r="CG509" s="179">
        <f t="shared" si="1802"/>
        <v>1.5397660818713448</v>
      </c>
      <c r="CH509" s="179">
        <f t="shared" si="1802"/>
        <v>1.5206763005780346</v>
      </c>
      <c r="CI509" s="179">
        <f t="shared" si="1802"/>
        <v>1.5858268156424584</v>
      </c>
      <c r="CJ509" s="179">
        <f t="shared" si="1802"/>
        <v>1.5850391061452507</v>
      </c>
      <c r="CK509" s="179">
        <f t="shared" si="1802"/>
        <v>1.7005464480874317</v>
      </c>
      <c r="CL509" s="179">
        <f t="shared" si="1802"/>
        <v>1.6735135135135133</v>
      </c>
      <c r="CM509" s="179"/>
      <c r="CN509" s="179"/>
    </row>
    <row r="510" spans="1:92">
      <c r="A510" s="171"/>
      <c r="B510" s="171"/>
      <c r="C510" s="166"/>
      <c r="D510" s="166"/>
      <c r="E510" s="166"/>
      <c r="F510" s="179"/>
      <c r="G510" s="179"/>
      <c r="H510" s="179"/>
      <c r="I510" s="179"/>
      <c r="J510" s="179"/>
      <c r="K510" s="179"/>
      <c r="L510" s="193">
        <f>L509/K509-1</f>
        <v>-6.4696860121142619E-2</v>
      </c>
      <c r="M510" s="193">
        <f t="shared" ref="M510:T510" si="1803">M509/L509-1</f>
        <v>7.4637491678101187E-2</v>
      </c>
      <c r="N510" s="193">
        <f t="shared" si="1803"/>
        <v>-1.4415387736863128E-2</v>
      </c>
      <c r="O510" s="193">
        <f t="shared" si="1803"/>
        <v>1.4939175610663158E-2</v>
      </c>
      <c r="P510" s="193">
        <f t="shared" si="1803"/>
        <v>1.7236880560928869E-2</v>
      </c>
      <c r="Q510" s="193">
        <f t="shared" si="1803"/>
        <v>2.0443232444159021E-2</v>
      </c>
      <c r="R510" s="193">
        <f t="shared" si="1803"/>
        <v>2.8554807615473354E-2</v>
      </c>
      <c r="S510" s="193">
        <f t="shared" si="1803"/>
        <v>4.2142427327321874E-2</v>
      </c>
      <c r="T510" s="193">
        <f t="shared" si="1803"/>
        <v>5.8283686048690608E-2</v>
      </c>
      <c r="U510" s="193"/>
      <c r="V510" s="193"/>
      <c r="W510" s="193"/>
      <c r="X510" s="193"/>
      <c r="Y510" s="193"/>
      <c r="Z510" s="193"/>
      <c r="AA510" s="193"/>
      <c r="AB510" s="193"/>
      <c r="AC510" s="179"/>
      <c r="AD510" s="193"/>
      <c r="AE510" s="193"/>
      <c r="AF510" s="179"/>
      <c r="AG510" s="179"/>
      <c r="AH510" s="137"/>
      <c r="AI510" s="137"/>
      <c r="AJ510" s="179"/>
      <c r="AK510" s="137"/>
      <c r="AL510" s="179"/>
      <c r="AM510" s="179"/>
      <c r="AN510" s="229"/>
      <c r="AO510" s="179"/>
      <c r="AP510" s="179"/>
      <c r="AQ510" s="1768"/>
      <c r="AR510" s="179"/>
      <c r="AS510" s="179"/>
      <c r="AT510" s="193"/>
      <c r="AU510" s="179"/>
      <c r="AV510" s="179"/>
      <c r="AW510" s="193"/>
      <c r="AX510" s="179"/>
      <c r="AY510" s="179"/>
      <c r="AZ510" s="193"/>
      <c r="BA510" s="179"/>
      <c r="BB510" s="179"/>
      <c r="BC510" s="179"/>
      <c r="BD510" s="179"/>
      <c r="BE510" s="179"/>
      <c r="BF510" s="179"/>
      <c r="BG510" s="179"/>
      <c r="BH510" s="171"/>
      <c r="BI510" s="166"/>
      <c r="BJ510" s="166"/>
      <c r="BK510" s="179"/>
      <c r="BL510" s="179"/>
      <c r="BM510" s="179"/>
      <c r="BN510" s="193"/>
      <c r="BO510" s="193"/>
      <c r="BP510" s="193"/>
      <c r="BQ510" s="193"/>
      <c r="BR510" s="193"/>
      <c r="BS510" s="193"/>
      <c r="BT510" s="193">
        <f t="shared" ref="BT510:CL510" si="1804">BT509/BS509-1</f>
        <v>-5.7416035108174168E-2</v>
      </c>
      <c r="BU510" s="193">
        <f t="shared" si="1804"/>
        <v>8.2635235423058173E-2</v>
      </c>
      <c r="BV510" s="193">
        <f t="shared" si="1804"/>
        <v>-0.12673871773821654</v>
      </c>
      <c r="BW510" s="193">
        <f t="shared" si="1804"/>
        <v>0.16870674621680393</v>
      </c>
      <c r="BX510" s="193">
        <f t="shared" si="1804"/>
        <v>-0.11332855326279245</v>
      </c>
      <c r="BY510" s="193">
        <f t="shared" si="1804"/>
        <v>0.13517737642621475</v>
      </c>
      <c r="BZ510" s="193">
        <f t="shared" si="1804"/>
        <v>-0.13546682835029689</v>
      </c>
      <c r="CA510" s="193">
        <f t="shared" si="1804"/>
        <v>0.10582831578893326</v>
      </c>
      <c r="CB510" s="193">
        <f t="shared" si="1804"/>
        <v>-7.4936236038772419E-2</v>
      </c>
      <c r="CC510" s="193">
        <f t="shared" si="1804"/>
        <v>5.6839217405931786E-2</v>
      </c>
      <c r="CD510" s="193">
        <f t="shared" si="1804"/>
        <v>-1.1014938128818597E-2</v>
      </c>
      <c r="CE510" s="193">
        <f t="shared" si="1804"/>
        <v>4.1537502798922654E-2</v>
      </c>
      <c r="CF510" s="193">
        <f t="shared" si="1804"/>
        <v>-3.5634577603142481E-2</v>
      </c>
      <c r="CG510" s="193">
        <f t="shared" si="1804"/>
        <v>6.025916789752328E-2</v>
      </c>
      <c r="CH510" s="193">
        <f t="shared" si="1804"/>
        <v>-1.2397845048066958E-2</v>
      </c>
      <c r="CI510" s="193">
        <f t="shared" si="1804"/>
        <v>4.2843118578003159E-2</v>
      </c>
      <c r="CJ510" s="193">
        <f t="shared" si="1804"/>
        <v>-4.9671848744003988E-4</v>
      </c>
      <c r="CK510" s="193">
        <f t="shared" si="1804"/>
        <v>7.2873496618698574E-2</v>
      </c>
      <c r="CL510" s="193">
        <f t="shared" si="1804"/>
        <v>-1.5896616410755349E-2</v>
      </c>
      <c r="CM510" s="193"/>
      <c r="CN510" s="193"/>
    </row>
    <row r="511" spans="1:92">
      <c r="A511" s="171"/>
      <c r="B511" s="171"/>
      <c r="C511" s="166"/>
      <c r="D511" s="166"/>
      <c r="E511" s="166"/>
      <c r="F511" s="179"/>
      <c r="G511" s="179"/>
      <c r="H511" s="179"/>
      <c r="I511" s="179"/>
      <c r="J511" s="179"/>
      <c r="K511" s="179"/>
      <c r="L511" s="179"/>
      <c r="M511" s="179"/>
      <c r="N511" s="179"/>
      <c r="O511" s="190"/>
      <c r="P511" s="247"/>
      <c r="Q511" s="247"/>
      <c r="R511" s="247"/>
      <c r="S511" s="247"/>
      <c r="T511" s="247"/>
      <c r="U511" s="247"/>
      <c r="V511" s="179"/>
      <c r="W511" s="179"/>
      <c r="X511" s="247"/>
      <c r="Y511" s="179"/>
      <c r="Z511" s="179"/>
      <c r="AA511" s="247"/>
      <c r="AB511" s="179"/>
      <c r="AC511" s="179"/>
      <c r="AD511" s="247"/>
      <c r="AE511" s="179"/>
      <c r="AF511" s="179"/>
      <c r="AG511" s="179"/>
      <c r="AH511" s="179"/>
      <c r="AI511" s="179"/>
      <c r="AJ511" s="179"/>
      <c r="AK511" s="179"/>
      <c r="AL511" s="179"/>
      <c r="AM511" s="179"/>
      <c r="AN511" s="179"/>
      <c r="AO511" s="179"/>
      <c r="AP511" s="179"/>
      <c r="AQ511" s="1371"/>
      <c r="AR511" s="179"/>
      <c r="AS511" s="179"/>
      <c r="AT511" s="179"/>
      <c r="AU511" s="179"/>
      <c r="AV511" s="179"/>
      <c r="AW511" s="179"/>
      <c r="AX511" s="179"/>
      <c r="AY511" s="179"/>
      <c r="AZ511" s="179"/>
      <c r="BA511" s="179"/>
      <c r="BB511" s="179"/>
      <c r="BC511" s="179"/>
      <c r="BD511" s="179"/>
      <c r="BE511" s="179"/>
      <c r="BF511" s="179"/>
      <c r="BG511" s="179"/>
      <c r="BH511" s="171"/>
      <c r="BI511" s="166"/>
      <c r="BJ511" s="166"/>
      <c r="BK511" s="179"/>
      <c r="BL511" s="179"/>
      <c r="BM511" s="179"/>
      <c r="BN511" s="179"/>
      <c r="BO511" s="179"/>
      <c r="BP511" s="179"/>
      <c r="BQ511" s="179"/>
      <c r="BR511" s="179"/>
      <c r="BS511" s="179"/>
      <c r="BT511" s="179"/>
      <c r="BU511" s="179"/>
      <c r="BV511" s="179"/>
      <c r="BW511" s="179"/>
      <c r="BX511" s="179"/>
      <c r="BY511" s="179"/>
      <c r="BZ511" s="179"/>
      <c r="CA511" s="179"/>
      <c r="CB511" s="179"/>
      <c r="CC511" s="179"/>
      <c r="CD511" s="179"/>
      <c r="CE511" s="179"/>
      <c r="CF511" s="179"/>
      <c r="CG511" s="179"/>
      <c r="CH511" s="179"/>
      <c r="CI511" s="179"/>
      <c r="CJ511" s="179"/>
      <c r="CK511" s="179"/>
      <c r="CL511" s="179"/>
      <c r="CM511" s="179"/>
      <c r="CN511" s="179"/>
    </row>
    <row r="512" spans="1:92">
      <c r="A512" s="171"/>
      <c r="B512" s="171"/>
      <c r="C512" s="166"/>
      <c r="D512" s="166"/>
      <c r="E512" s="166"/>
      <c r="F512" s="179"/>
      <c r="G512" s="179"/>
      <c r="H512" s="179"/>
      <c r="I512" s="179"/>
      <c r="J512" s="179"/>
      <c r="K512" s="179"/>
      <c r="L512" s="179"/>
      <c r="M512" s="179"/>
      <c r="N512" s="179"/>
      <c r="O512" s="190"/>
      <c r="P512" s="247"/>
      <c r="Q512" s="247"/>
      <c r="R512" s="247"/>
      <c r="S512" s="247"/>
      <c r="T512" s="247"/>
      <c r="U512" s="247"/>
      <c r="V512" s="179"/>
      <c r="W512" s="179"/>
      <c r="X512" s="247"/>
      <c r="Y512" s="179"/>
      <c r="Z512" s="179"/>
      <c r="AA512" s="247"/>
      <c r="AB512" s="179"/>
      <c r="AC512" s="179"/>
      <c r="AD512" s="247"/>
      <c r="AE512" s="179"/>
      <c r="AF512" s="179"/>
      <c r="AG512" s="179"/>
      <c r="AH512" s="179"/>
      <c r="AI512" s="179"/>
      <c r="AJ512" s="179"/>
      <c r="AK512" s="179"/>
      <c r="AL512" s="179"/>
      <c r="AM512" s="179"/>
      <c r="AN512" s="179"/>
      <c r="AO512" s="179"/>
      <c r="AP512" s="179"/>
      <c r="AQ512" s="1371"/>
      <c r="AR512" s="179"/>
      <c r="AS512" s="179"/>
      <c r="AT512" s="179"/>
      <c r="AU512" s="179"/>
      <c r="AV512" s="179"/>
      <c r="AW512" s="179"/>
      <c r="AX512" s="179"/>
      <c r="AY512" s="179"/>
      <c r="AZ512" s="179"/>
      <c r="BA512" s="179"/>
      <c r="BB512" s="179"/>
      <c r="BC512" s="179"/>
      <c r="BD512" s="179"/>
      <c r="BE512" s="179"/>
      <c r="BF512" s="179"/>
      <c r="BG512" s="179"/>
      <c r="BH512" s="171"/>
      <c r="BI512" s="166"/>
      <c r="BJ512" s="166"/>
      <c r="BK512" s="179"/>
      <c r="BL512" s="179"/>
      <c r="BM512" s="179"/>
      <c r="BN512" s="179"/>
      <c r="BO512" s="179"/>
      <c r="BP512" s="179"/>
      <c r="BQ512" s="179"/>
      <c r="BR512" s="179"/>
      <c r="BS512" s="179"/>
      <c r="BT512" s="179"/>
      <c r="BU512" s="179"/>
      <c r="BV512" s="179"/>
      <c r="BW512" s="179"/>
      <c r="BX512" s="179"/>
      <c r="BY512" s="179"/>
      <c r="BZ512" s="179"/>
      <c r="CA512" s="179"/>
      <c r="CB512" s="179"/>
      <c r="CC512" s="179"/>
      <c r="CD512" s="179"/>
      <c r="CE512" s="179"/>
      <c r="CF512" s="179"/>
      <c r="CG512" s="179"/>
      <c r="CH512" s="179"/>
      <c r="CI512" s="179"/>
      <c r="CJ512" s="179"/>
      <c r="CK512" s="179"/>
      <c r="CL512" s="179"/>
      <c r="CM512" s="179"/>
      <c r="CN512" s="179"/>
    </row>
    <row r="513" spans="1:92">
      <c r="A513" s="171"/>
      <c r="B513" s="171"/>
      <c r="C513" s="166"/>
      <c r="D513" s="166"/>
      <c r="E513" s="166"/>
      <c r="F513" s="179"/>
      <c r="G513" s="179"/>
      <c r="H513" s="179"/>
      <c r="I513" s="179"/>
      <c r="J513" s="179"/>
      <c r="K513" s="179"/>
      <c r="L513" s="179"/>
      <c r="M513" s="179"/>
      <c r="N513" s="179"/>
      <c r="O513" s="190"/>
      <c r="P513" s="247"/>
      <c r="Q513" s="247"/>
      <c r="R513" s="247"/>
      <c r="S513" s="247"/>
      <c r="T513" s="247"/>
      <c r="U513" s="247"/>
      <c r="V513" s="179"/>
      <c r="W513" s="179"/>
      <c r="X513" s="247"/>
      <c r="Y513" s="179"/>
      <c r="Z513" s="179"/>
      <c r="AA513" s="247"/>
      <c r="AB513" s="179"/>
      <c r="AC513" s="179"/>
      <c r="AD513" s="247"/>
      <c r="AE513" s="179"/>
      <c r="AF513" s="179"/>
      <c r="AG513" s="179"/>
      <c r="AH513" s="179"/>
      <c r="AI513" s="179"/>
      <c r="AJ513" s="179"/>
      <c r="AK513" s="179"/>
      <c r="AL513" s="179"/>
      <c r="AM513" s="179"/>
      <c r="AN513" s="179"/>
      <c r="AO513" s="179"/>
      <c r="AP513" s="179"/>
      <c r="AQ513" s="1371"/>
      <c r="AR513" s="179"/>
      <c r="AS513" s="179"/>
      <c r="AT513" s="179"/>
      <c r="AU513" s="179"/>
      <c r="AV513" s="179"/>
      <c r="AW513" s="179"/>
      <c r="AX513" s="179"/>
      <c r="AY513" s="179"/>
      <c r="AZ513" s="179"/>
      <c r="BA513" s="179"/>
      <c r="BB513" s="179"/>
      <c r="BC513" s="179"/>
      <c r="BD513" s="179"/>
      <c r="BE513" s="179"/>
      <c r="BF513" s="179"/>
      <c r="BG513" s="179"/>
      <c r="BH513" s="171"/>
      <c r="BI513" s="166"/>
      <c r="BJ513" s="166"/>
      <c r="BK513" s="179"/>
      <c r="BL513" s="179"/>
      <c r="BM513" s="179"/>
      <c r="BN513" s="179"/>
      <c r="BO513" s="179"/>
      <c r="BP513" s="179"/>
      <c r="BQ513" s="179"/>
      <c r="BR513" s="179"/>
      <c r="BS513" s="179"/>
      <c r="BT513" s="179"/>
      <c r="BU513" s="179"/>
      <c r="BV513" s="179"/>
      <c r="BW513" s="179"/>
      <c r="BX513" s="179"/>
      <c r="BY513" s="179"/>
      <c r="BZ513" s="179"/>
      <c r="CA513" s="179"/>
      <c r="CB513" s="179"/>
      <c r="CC513" s="179"/>
      <c r="CD513" s="179"/>
      <c r="CE513" s="179"/>
      <c r="CF513" s="179"/>
      <c r="CG513" s="179"/>
      <c r="CH513" s="179"/>
      <c r="CI513" s="179"/>
      <c r="CJ513" s="179"/>
      <c r="CK513" s="179"/>
      <c r="CL513" s="179"/>
      <c r="CM513" s="179"/>
      <c r="CN513" s="179"/>
    </row>
    <row r="514" spans="1:92">
      <c r="A514" s="171"/>
      <c r="B514" s="171"/>
      <c r="C514" s="166"/>
      <c r="D514" s="166"/>
      <c r="E514" s="166"/>
      <c r="F514" s="179"/>
      <c r="G514" s="179"/>
      <c r="H514" s="179"/>
      <c r="I514" s="179"/>
      <c r="J514" s="179"/>
      <c r="K514" s="179"/>
      <c r="L514" s="179"/>
      <c r="M514" s="179"/>
      <c r="N514" s="179"/>
      <c r="O514" s="190"/>
      <c r="P514" s="247"/>
      <c r="Q514" s="247"/>
      <c r="R514" s="247"/>
      <c r="S514" s="247"/>
      <c r="T514" s="247"/>
      <c r="U514" s="247"/>
      <c r="V514" s="179"/>
      <c r="W514" s="179"/>
      <c r="X514" s="247"/>
      <c r="Y514" s="179"/>
      <c r="Z514" s="179"/>
      <c r="AA514" s="247"/>
      <c r="AB514" s="179"/>
      <c r="AC514" s="179"/>
      <c r="AD514" s="247"/>
      <c r="AE514" s="179"/>
      <c r="AF514" s="179"/>
      <c r="AG514" s="179"/>
      <c r="AH514" s="179"/>
      <c r="AI514" s="179"/>
      <c r="AJ514" s="179"/>
      <c r="AK514" s="179"/>
      <c r="AL514" s="179"/>
      <c r="AM514" s="179"/>
      <c r="AN514" s="179"/>
      <c r="AO514" s="179"/>
      <c r="AP514" s="179"/>
      <c r="AQ514" s="1371"/>
      <c r="AR514" s="179"/>
      <c r="AS514" s="179"/>
      <c r="AT514" s="179"/>
      <c r="AU514" s="179"/>
      <c r="AV514" s="179"/>
      <c r="AW514" s="179"/>
      <c r="AX514" s="179"/>
      <c r="AY514" s="179"/>
      <c r="AZ514" s="179"/>
      <c r="BA514" s="179"/>
      <c r="BB514" s="179"/>
      <c r="BC514" s="179"/>
      <c r="BD514" s="179"/>
      <c r="BE514" s="179"/>
      <c r="BF514" s="179"/>
      <c r="BG514" s="179"/>
      <c r="BH514" s="171"/>
      <c r="BI514" s="166"/>
      <c r="BJ514" s="166"/>
      <c r="BK514" s="179"/>
      <c r="BL514" s="179"/>
      <c r="BM514" s="179"/>
      <c r="BN514" s="179"/>
      <c r="BO514" s="179"/>
      <c r="BP514" s="179"/>
      <c r="BQ514" s="179"/>
      <c r="BR514" s="179"/>
      <c r="BS514" s="179"/>
      <c r="BT514" s="179"/>
      <c r="BU514" s="179"/>
      <c r="BV514" s="179"/>
      <c r="BW514" s="179"/>
      <c r="BX514" s="179"/>
      <c r="BY514" s="179"/>
      <c r="BZ514" s="179"/>
      <c r="CA514" s="179"/>
      <c r="CB514" s="179"/>
      <c r="CC514" s="179"/>
      <c r="CD514" s="179"/>
      <c r="CE514" s="179"/>
      <c r="CF514" s="179"/>
      <c r="CG514" s="179"/>
      <c r="CH514" s="179"/>
      <c r="CI514" s="179"/>
      <c r="CJ514" s="179"/>
      <c r="CK514" s="179"/>
      <c r="CL514" s="179"/>
      <c r="CM514" s="179"/>
      <c r="CN514" s="179"/>
    </row>
    <row r="515" spans="1:92">
      <c r="A515" s="1"/>
      <c r="B515" s="1"/>
      <c r="C515" s="2"/>
      <c r="D515" s="2"/>
      <c r="E515" s="2"/>
      <c r="F515" s="134" t="s">
        <v>167</v>
      </c>
      <c r="G515" s="134" t="s">
        <v>168</v>
      </c>
      <c r="H515" s="134" t="s">
        <v>169</v>
      </c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  <c r="AC515" s="134"/>
      <c r="AD515" s="134"/>
      <c r="AE515" s="134"/>
      <c r="AF515" s="134"/>
      <c r="AG515" s="134"/>
      <c r="AH515" s="134"/>
      <c r="AI515" s="134"/>
      <c r="AJ515" s="134"/>
      <c r="AK515" s="134"/>
      <c r="AL515" s="134"/>
      <c r="AM515" s="134"/>
      <c r="AN515" s="134"/>
      <c r="AO515" s="134"/>
      <c r="AP515" s="13"/>
      <c r="AQ515" s="1325"/>
      <c r="AR515" s="134"/>
      <c r="AS515" s="134"/>
      <c r="AT515" s="134"/>
      <c r="AU515" s="134"/>
      <c r="AV515" s="134"/>
      <c r="AW515" s="134"/>
      <c r="AX515" s="134"/>
      <c r="AY515" s="134"/>
      <c r="AZ515" s="134"/>
      <c r="BA515" s="134"/>
      <c r="BB515" s="134"/>
      <c r="BC515" s="13"/>
      <c r="BD515" s="134"/>
      <c r="BE515" s="134"/>
      <c r="BF515" s="134"/>
      <c r="BG515" s="134"/>
      <c r="BH515" s="1"/>
      <c r="BI515" s="2"/>
      <c r="BJ515" s="2"/>
      <c r="BK515" s="134" t="s">
        <v>35</v>
      </c>
      <c r="BL515" s="134" t="s">
        <v>36</v>
      </c>
      <c r="BM515" s="134" t="s">
        <v>37</v>
      </c>
      <c r="BN515" s="134" t="s">
        <v>38</v>
      </c>
      <c r="BO515" s="134" t="s">
        <v>39</v>
      </c>
      <c r="BP515" s="134" t="s">
        <v>40</v>
      </c>
      <c r="BQ515" s="134" t="s">
        <v>41</v>
      </c>
      <c r="BR515" s="134" t="s">
        <v>42</v>
      </c>
      <c r="BS515" s="134" t="s">
        <v>43</v>
      </c>
      <c r="BT515" s="134" t="s">
        <v>44</v>
      </c>
      <c r="BU515" s="134" t="s">
        <v>45</v>
      </c>
      <c r="BV515" s="134" t="s">
        <v>46</v>
      </c>
      <c r="BW515" s="134" t="s">
        <v>47</v>
      </c>
      <c r="BX515" s="134" t="s">
        <v>48</v>
      </c>
      <c r="BY515" s="134" t="s">
        <v>49</v>
      </c>
      <c r="BZ515" s="134" t="s">
        <v>50</v>
      </c>
      <c r="CA515" s="134" t="s">
        <v>51</v>
      </c>
      <c r="CB515" s="134" t="s">
        <v>52</v>
      </c>
      <c r="CC515" s="134" t="s">
        <v>53</v>
      </c>
      <c r="CD515" s="134" t="s">
        <v>54</v>
      </c>
      <c r="CE515" s="134" t="s">
        <v>55</v>
      </c>
      <c r="CF515" s="134" t="s">
        <v>56</v>
      </c>
      <c r="CG515" s="134" t="s">
        <v>57</v>
      </c>
      <c r="CH515" s="134" t="s">
        <v>58</v>
      </c>
      <c r="CI515" s="134"/>
      <c r="CJ515" s="134"/>
      <c r="CK515" s="134"/>
      <c r="CL515" s="134"/>
      <c r="CM515" s="134"/>
      <c r="CN515" s="134"/>
    </row>
    <row r="516" spans="1:92">
      <c r="A516" s="171"/>
      <c r="B516" s="171"/>
      <c r="C516" s="166"/>
      <c r="D516" s="166"/>
      <c r="E516" s="166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  <c r="AC516" s="179"/>
      <c r="AD516" s="179"/>
      <c r="AE516" s="179"/>
      <c r="AF516" s="179"/>
      <c r="AG516" s="179"/>
      <c r="AH516" s="179"/>
      <c r="AI516" s="179"/>
      <c r="AJ516" s="179"/>
      <c r="AK516" s="179"/>
      <c r="AL516" s="179"/>
      <c r="AM516" s="179"/>
      <c r="AN516" s="179"/>
      <c r="AO516" s="179"/>
      <c r="AP516" s="179"/>
      <c r="AQ516" s="1371"/>
      <c r="AR516" s="179"/>
      <c r="AS516" s="179"/>
      <c r="AT516" s="179"/>
      <c r="AU516" s="179"/>
      <c r="AV516" s="179"/>
      <c r="AW516" s="179"/>
      <c r="AX516" s="179"/>
      <c r="AY516" s="179"/>
      <c r="AZ516" s="179"/>
      <c r="BA516" s="179"/>
      <c r="BB516" s="179"/>
      <c r="BC516" s="179"/>
      <c r="BD516" s="179"/>
      <c r="BE516" s="179"/>
      <c r="BF516" s="179"/>
      <c r="BG516" s="179"/>
      <c r="BH516" s="171"/>
      <c r="BI516" s="166"/>
      <c r="BJ516" s="166"/>
      <c r="BK516" s="179"/>
      <c r="BL516" s="179"/>
      <c r="BM516" s="179"/>
      <c r="BN516" s="179"/>
      <c r="BO516" s="179"/>
      <c r="BP516" s="179"/>
      <c r="BQ516" s="179"/>
      <c r="BR516" s="179"/>
      <c r="BS516" s="179"/>
      <c r="BT516" s="179"/>
      <c r="BU516" s="179"/>
      <c r="BV516" s="179"/>
      <c r="BW516" s="179"/>
      <c r="BX516" s="179"/>
      <c r="BY516" s="179"/>
      <c r="BZ516" s="179"/>
      <c r="CA516" s="179"/>
      <c r="CB516" s="179"/>
      <c r="CC516" s="179"/>
      <c r="CD516" s="179"/>
      <c r="CE516" s="179"/>
      <c r="CF516" s="179"/>
      <c r="CG516" s="179"/>
      <c r="CH516" s="179"/>
      <c r="CI516" s="179"/>
      <c r="CJ516" s="179"/>
      <c r="CK516" s="179"/>
      <c r="CL516" s="179"/>
      <c r="CM516" s="179"/>
      <c r="CN516" s="179"/>
    </row>
    <row r="517" spans="1:92">
      <c r="A517" s="171"/>
      <c r="B517" s="171"/>
      <c r="C517" s="166"/>
      <c r="D517" s="166"/>
      <c r="E517" s="166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  <c r="AC517" s="179"/>
      <c r="AD517" s="179"/>
      <c r="AE517" s="179"/>
      <c r="AF517" s="179"/>
      <c r="AG517" s="179"/>
      <c r="AH517" s="179"/>
      <c r="AI517" s="179"/>
      <c r="AJ517" s="179"/>
      <c r="AK517" s="179"/>
      <c r="AL517" s="179"/>
      <c r="AM517" s="179"/>
      <c r="AN517" s="179"/>
      <c r="AO517" s="179"/>
      <c r="AP517" s="179"/>
      <c r="AQ517" s="1371"/>
      <c r="AR517" s="179"/>
      <c r="AS517" s="179"/>
      <c r="AT517" s="179"/>
      <c r="AU517" s="179"/>
      <c r="AV517" s="179"/>
      <c r="AW517" s="179"/>
      <c r="AX517" s="179"/>
      <c r="AY517" s="179"/>
      <c r="AZ517" s="179"/>
      <c r="BA517" s="179"/>
      <c r="BB517" s="179"/>
      <c r="BC517" s="179"/>
      <c r="BD517" s="179"/>
      <c r="BE517" s="179"/>
      <c r="BF517" s="179"/>
      <c r="BG517" s="179"/>
      <c r="BH517" s="171"/>
      <c r="BI517" s="173"/>
      <c r="BJ517" s="173"/>
      <c r="BK517" s="179"/>
      <c r="BL517" s="179"/>
      <c r="BM517" s="179"/>
      <c r="BN517" s="179"/>
      <c r="BO517" s="179"/>
      <c r="BP517" s="179"/>
      <c r="BQ517" s="179"/>
      <c r="BR517" s="179"/>
      <c r="BS517" s="179"/>
      <c r="BT517" s="179"/>
      <c r="BU517" s="179"/>
      <c r="BV517" s="179"/>
      <c r="BW517" s="179"/>
      <c r="BX517" s="179"/>
      <c r="BY517" s="179"/>
      <c r="BZ517" s="179"/>
      <c r="CA517" s="179"/>
      <c r="CB517" s="179"/>
      <c r="CC517" s="179"/>
      <c r="CD517" s="179"/>
      <c r="CE517" s="179"/>
      <c r="CF517" s="179"/>
      <c r="CG517" s="179"/>
      <c r="CH517" s="179"/>
      <c r="CI517" s="179"/>
      <c r="CJ517" s="179"/>
      <c r="CK517" s="179"/>
      <c r="CL517" s="179"/>
      <c r="CM517" s="179"/>
      <c r="CN517" s="179"/>
    </row>
    <row r="518" spans="1:92">
      <c r="A518" s="171"/>
      <c r="B518" s="171"/>
      <c r="C518" s="166"/>
      <c r="D518" s="166"/>
      <c r="E518" s="166"/>
      <c r="F518" s="226" t="s">
        <v>209</v>
      </c>
      <c r="G518" s="226" t="s">
        <v>210</v>
      </c>
      <c r="H518" s="226" t="s">
        <v>211</v>
      </c>
      <c r="I518" s="226" t="s">
        <v>212</v>
      </c>
      <c r="J518" s="226" t="s">
        <v>213</v>
      </c>
      <c r="K518" s="226" t="s">
        <v>214</v>
      </c>
      <c r="L518" s="226" t="s">
        <v>215</v>
      </c>
      <c r="M518" s="226" t="s">
        <v>216</v>
      </c>
      <c r="N518" s="226" t="s">
        <v>217</v>
      </c>
      <c r="O518" s="226" t="s">
        <v>199</v>
      </c>
      <c r="P518" s="226" t="s">
        <v>200</v>
      </c>
      <c r="Q518" s="226" t="s">
        <v>201</v>
      </c>
      <c r="R518" s="226" t="s">
        <v>251</v>
      </c>
      <c r="S518" s="226" t="s">
        <v>683</v>
      </c>
      <c r="T518" s="226"/>
      <c r="U518" s="179"/>
      <c r="V518" s="179"/>
      <c r="W518" s="179"/>
      <c r="X518" s="179"/>
      <c r="Y518" s="179"/>
      <c r="Z518" s="179"/>
      <c r="AA518" s="179"/>
      <c r="AB518" s="179"/>
      <c r="AC518" s="179"/>
      <c r="AD518" s="179"/>
      <c r="AE518" s="179"/>
      <c r="AF518" s="179"/>
      <c r="AG518" s="179"/>
      <c r="AH518" s="179"/>
      <c r="AI518" s="179"/>
      <c r="AJ518" s="179"/>
      <c r="AK518" s="179"/>
      <c r="AL518" s="179"/>
      <c r="AM518" s="179"/>
      <c r="AN518" s="179"/>
      <c r="AO518" s="179"/>
      <c r="AP518" s="179"/>
      <c r="AQ518" s="1371"/>
      <c r="AR518" s="179"/>
      <c r="AS518" s="179"/>
      <c r="AT518" s="179"/>
      <c r="AU518" s="179"/>
      <c r="AV518" s="179"/>
      <c r="AW518" s="179"/>
      <c r="AX518" s="179"/>
      <c r="AY518" s="179"/>
      <c r="AZ518" s="179"/>
      <c r="BA518" s="179"/>
      <c r="BB518" s="179"/>
      <c r="BC518" s="179"/>
      <c r="BD518" s="179"/>
      <c r="BE518" s="179"/>
      <c r="BF518" s="179"/>
      <c r="BG518" s="179"/>
      <c r="BH518" s="171"/>
      <c r="BI518" s="173"/>
      <c r="BJ518" s="173"/>
      <c r="BK518" s="179"/>
      <c r="BL518" s="179"/>
      <c r="BM518" s="179"/>
      <c r="BN518" s="179"/>
      <c r="BO518" s="179"/>
      <c r="BP518" s="179"/>
      <c r="BQ518" s="179"/>
      <c r="BR518" s="179"/>
      <c r="BS518" s="179"/>
      <c r="BT518" s="179"/>
      <c r="BU518" s="179"/>
      <c r="BV518" s="179"/>
      <c r="BW518" s="179"/>
      <c r="BX518" s="179"/>
      <c r="BY518" s="179"/>
      <c r="BZ518" s="179"/>
      <c r="CA518" s="179"/>
      <c r="CB518" s="179"/>
      <c r="CC518" s="179"/>
      <c r="CD518" s="179"/>
      <c r="CE518" s="179"/>
      <c r="CF518" s="179"/>
      <c r="CG518" s="179"/>
      <c r="CH518" s="179"/>
      <c r="CI518" s="179"/>
      <c r="CJ518" s="179"/>
      <c r="CK518" s="179"/>
      <c r="CL518" s="179"/>
      <c r="CM518" s="179"/>
      <c r="CN518" s="179"/>
    </row>
    <row r="519" spans="1:92">
      <c r="A519" s="171"/>
      <c r="B519" s="171"/>
      <c r="C519" s="166"/>
      <c r="D519" s="166"/>
      <c r="E519" s="166" t="s">
        <v>700</v>
      </c>
      <c r="F519" s="180">
        <f t="shared" ref="F519:S519" si="1805">100%-F520</f>
        <v>0.65999999999999992</v>
      </c>
      <c r="G519" s="180">
        <f t="shared" si="1805"/>
        <v>0.65999999999999992</v>
      </c>
      <c r="H519" s="180">
        <f t="shared" si="1805"/>
        <v>0.66999999999999993</v>
      </c>
      <c r="I519" s="180">
        <f t="shared" si="1805"/>
        <v>0.67</v>
      </c>
      <c r="J519" s="180">
        <f t="shared" si="1805"/>
        <v>0.69500000000000006</v>
      </c>
      <c r="K519" s="180">
        <f t="shared" si="1805"/>
        <v>0.72</v>
      </c>
      <c r="L519" s="180">
        <f t="shared" si="1805"/>
        <v>0.74</v>
      </c>
      <c r="M519" s="180">
        <f t="shared" si="1805"/>
        <v>0.747</v>
      </c>
      <c r="N519" s="180">
        <f t="shared" si="1805"/>
        <v>0.75</v>
      </c>
      <c r="O519" s="180">
        <f t="shared" si="1805"/>
        <v>0.76500000000000001</v>
      </c>
      <c r="P519" s="180">
        <f t="shared" si="1805"/>
        <v>0.78500000000000003</v>
      </c>
      <c r="Q519" s="180">
        <f t="shared" si="1805"/>
        <v>0.81299999999999994</v>
      </c>
      <c r="R519" s="180">
        <f t="shared" si="1805"/>
        <v>0.83399999999999996</v>
      </c>
      <c r="S519" s="180">
        <f t="shared" si="1805"/>
        <v>0.84</v>
      </c>
      <c r="T519" s="180"/>
      <c r="U519" s="180"/>
      <c r="V519" s="179"/>
      <c r="W519" s="179"/>
      <c r="X519" s="180"/>
      <c r="Y519" s="179"/>
      <c r="Z519" s="179"/>
      <c r="AA519" s="180"/>
      <c r="AB519" s="179"/>
      <c r="AC519" s="179"/>
      <c r="AD519" s="180"/>
      <c r="AE519" s="179"/>
      <c r="AF519" s="179"/>
      <c r="AG519" s="179"/>
      <c r="AH519" s="179"/>
      <c r="AI519" s="179"/>
      <c r="AJ519" s="179"/>
      <c r="AK519" s="179"/>
      <c r="AL519" s="179"/>
      <c r="AM519" s="179"/>
      <c r="AN519" s="179"/>
      <c r="AO519" s="179"/>
      <c r="AP519" s="179"/>
      <c r="AQ519" s="1371"/>
      <c r="AR519" s="179"/>
      <c r="AS519" s="179"/>
      <c r="AT519" s="179"/>
      <c r="AU519" s="179"/>
      <c r="AV519" s="179"/>
      <c r="AW519" s="179"/>
      <c r="AX519" s="179"/>
      <c r="AY519" s="179"/>
      <c r="AZ519" s="179"/>
      <c r="BA519" s="179"/>
      <c r="BB519" s="179"/>
      <c r="BC519" s="179"/>
      <c r="BD519" s="179"/>
      <c r="BE519" s="179"/>
      <c r="BF519" s="179"/>
      <c r="BG519" s="179"/>
      <c r="BH519" s="171"/>
      <c r="BI519" s="173"/>
      <c r="BJ519" s="173"/>
      <c r="BK519" s="179"/>
      <c r="BL519" s="179"/>
      <c r="BM519" s="179"/>
      <c r="BN519" s="179"/>
      <c r="BO519" s="179"/>
      <c r="BP519" s="179"/>
      <c r="BQ519" s="179"/>
      <c r="BR519" s="179"/>
      <c r="BS519" s="179"/>
      <c r="BT519" s="179"/>
      <c r="BU519" s="179"/>
      <c r="BV519" s="179"/>
      <c r="BW519" s="179"/>
      <c r="BX519" s="179"/>
      <c r="BY519" s="179"/>
      <c r="BZ519" s="179"/>
      <c r="CA519" s="179"/>
      <c r="CB519" s="179"/>
      <c r="CC519" s="179"/>
      <c r="CD519" s="179"/>
      <c r="CE519" s="179"/>
      <c r="CF519" s="179"/>
      <c r="CG519" s="179"/>
      <c r="CH519" s="179"/>
      <c r="CI519" s="179"/>
      <c r="CJ519" s="179"/>
      <c r="CK519" s="179"/>
      <c r="CL519" s="179"/>
      <c r="CM519" s="179"/>
      <c r="CN519" s="179"/>
    </row>
    <row r="520" spans="1:92">
      <c r="A520" s="171"/>
      <c r="B520" s="171"/>
      <c r="C520" s="166"/>
      <c r="D520" s="166"/>
      <c r="E520" s="166" t="s">
        <v>699</v>
      </c>
      <c r="F520" s="180">
        <f t="shared" ref="F520:R520" si="1806">F109</f>
        <v>0.34</v>
      </c>
      <c r="G520" s="180">
        <f t="shared" si="1806"/>
        <v>0.34</v>
      </c>
      <c r="H520" s="180">
        <f t="shared" si="1806"/>
        <v>0.33</v>
      </c>
      <c r="I520" s="180">
        <f t="shared" si="1806"/>
        <v>0.32999999999999996</v>
      </c>
      <c r="J520" s="180">
        <f t="shared" si="1806"/>
        <v>0.30499999999999999</v>
      </c>
      <c r="K520" s="180">
        <f t="shared" si="1806"/>
        <v>0.28000000000000003</v>
      </c>
      <c r="L520" s="180">
        <f t="shared" si="1806"/>
        <v>0.26</v>
      </c>
      <c r="M520" s="180">
        <f t="shared" si="1806"/>
        <v>0.253</v>
      </c>
      <c r="N520" s="180">
        <f t="shared" si="1806"/>
        <v>0.25</v>
      </c>
      <c r="O520" s="180">
        <f t="shared" si="1806"/>
        <v>0.23499999999999999</v>
      </c>
      <c r="P520" s="180">
        <f t="shared" si="1806"/>
        <v>0.215</v>
      </c>
      <c r="Q520" s="180">
        <f t="shared" si="1806"/>
        <v>0.187</v>
      </c>
      <c r="R520" s="180">
        <f t="shared" si="1806"/>
        <v>0.16600000000000001</v>
      </c>
      <c r="S520" s="180">
        <v>0.16</v>
      </c>
      <c r="T520" s="180"/>
      <c r="U520" s="180"/>
      <c r="V520" s="179"/>
      <c r="W520" s="179"/>
      <c r="X520" s="180"/>
      <c r="Y520" s="179"/>
      <c r="Z520" s="179"/>
      <c r="AA520" s="180"/>
      <c r="AB520" s="179"/>
      <c r="AC520" s="179"/>
      <c r="AD520" s="180"/>
      <c r="AE520" s="179"/>
      <c r="AF520" s="179"/>
      <c r="AG520" s="179"/>
      <c r="AH520" s="179"/>
      <c r="AI520" s="179"/>
      <c r="AJ520" s="179"/>
      <c r="AK520" s="179"/>
      <c r="AL520" s="179"/>
      <c r="AM520" s="179"/>
      <c r="AN520" s="179"/>
      <c r="AO520" s="179"/>
      <c r="AP520" s="179"/>
      <c r="AQ520" s="1371"/>
      <c r="AR520" s="179"/>
      <c r="AS520" s="179"/>
      <c r="AT520" s="179"/>
      <c r="AU520" s="179"/>
      <c r="AV520" s="179"/>
      <c r="AW520" s="179"/>
      <c r="AX520" s="179"/>
      <c r="AY520" s="179"/>
      <c r="AZ520" s="179"/>
      <c r="BA520" s="179"/>
      <c r="BB520" s="179"/>
      <c r="BC520" s="179"/>
      <c r="BD520" s="179"/>
      <c r="BE520" s="179"/>
      <c r="BF520" s="179"/>
      <c r="BG520" s="179"/>
      <c r="BH520" s="171"/>
      <c r="BI520" s="173"/>
      <c r="BJ520" s="173"/>
      <c r="BK520" s="179"/>
      <c r="BL520" s="179"/>
      <c r="BM520" s="179"/>
      <c r="BN520" s="179"/>
      <c r="BO520" s="179"/>
      <c r="BP520" s="179"/>
      <c r="BQ520" s="179"/>
      <c r="BR520" s="179"/>
      <c r="BS520" s="179"/>
      <c r="BT520" s="179"/>
      <c r="BU520" s="179"/>
      <c r="BV520" s="179"/>
      <c r="BW520" s="179"/>
      <c r="BX520" s="179"/>
      <c r="BY520" s="179"/>
      <c r="BZ520" s="179"/>
      <c r="CA520" s="179"/>
      <c r="CB520" s="179"/>
      <c r="CC520" s="179"/>
      <c r="CD520" s="179"/>
      <c r="CE520" s="179"/>
      <c r="CF520" s="179"/>
      <c r="CG520" s="179"/>
      <c r="CH520" s="179"/>
      <c r="CI520" s="179"/>
      <c r="CJ520" s="179"/>
      <c r="CK520" s="179"/>
      <c r="CL520" s="179"/>
      <c r="CM520" s="179"/>
      <c r="CN520" s="179"/>
    </row>
  </sheetData>
  <phoneticPr fontId="61" type="noConversion"/>
  <pageMargins left="0.44" right="0.41" top="0.5" bottom="1" header="0.5" footer="0.5"/>
  <pageSetup paperSize="9" scale="95" orientation="portrait" r:id="rId1"/>
  <headerFooter alignWithMargins="0"/>
  <ignoredErrors>
    <ignoredError sqref="U196:AG197 X210:AG210 AE229:AF229 AI280 AU277:AV277 AU290:AV290 AI298:AJ298 AC294:AI294 AG302 AI304 Z321:AG321 AJ320 AI353:AJ353 AC75 AI59 AA91:AA95 AD91:AD95 AG91:AG95 AF72:AG72 AL90 AL72 AL78 AI143 AE145 AL144 V167:AD169 V166:X166 AA166 AD166:AI166 V171:AD172 V170:X170 AA170:AG170 AL170 V174:AD188 V173:X173 AG173 AF157 AG186 AL186 U201:AG205 U199:AD200 AL274:AL276 AI307 AI316:AI317 Z322:AD322 Z323:AG323 AG322 AG325:AH325 AG199:AG200 AG169 AG73 AF74:AG75 AR84:AT84 AA85:AF85 AR85 AG159:AI159 AG153 AO173 AG195 AL59 AL254 AO254 AI266:AI267 AO267 AR267 AU267 AI282 AL281 AO281 AR281 AU281 AL286 AO286 AR286 AU286 AC296:AG296 AL296 AO296 AR296 AU296 AA89:AG90 AR82:AV82 AI313:AI314 AO37 AR254 Z334:AG337 AO335 AU335 AL340 AO340 AR340 AU340 AL348 AO348 AR348 AU348 AU83:AV86 AL82:AL86 AR86:AT86 AA86:AG86 W256:AD264 X226:AB229 AI272 AO81:AO86 AO210 AF252:AG256 X31:AG41 AO72 AI31:AI40 AI72 AA76:AG84 AI76:AI78 AI89:AI90 AH145 AI201:AI205 AI195:AJ198 AI210 AC293:AG293 AI293 AC295:AF295 AH311 AI321:AI324 AI326:AI334 AI336:AI339 AL312 AL79 AO79 AI253:AI256 AO256 AJ36:AJ37 AI82:AI86 AL89 AL166 U198:AF198 AL199:AL205 AL252:AL253 AL256 AG264:AH264 AI270 AL270 AL266:AL267 AL280 AI284:AI288 AL282 AL284:AL285 AL287:AL289 AL292:AL295 AI295:AI297 AI299 AI301:AI302 AL302 AL307:AL308 AL315:AL317 AL338:AL339 AL333:AL334 AI341:AI349 AL342:AL347 AL349 AJ41 AL76 AO76 AL335:AL337 AO337 AO80 AO186 AR81 AU81 AO229 AR335 AR79 AI268:AJ269 AL299 AL319:AL324 AL353 AL268:AL269 AK145 AK25 AK311 AK264 AR312:AV312 AR270:AV270 AR266 AR59:AU59 AR90:AV90 AU254 AL255 AR256 AM36:AM41 AO59 AL77 AO77:AP77 AO78 AO89 AO90 AL143 AO143 AO144 AO153 AU153:AV153 AL153 AO159 AJ157:AL158 AJ159:AL159 AW159:BB159 AJ153:AK153 AM153 AW153:BB153 AS153:AT153 AJ154:AL154 AO156 AO158 AO170 AO172 AO166 AL195:AL198 AO195:AO198 AM195:AM197 AO199:AO205 AO252:AO253 AO255 AO268:AO269 AO274:AO276 AO270 AL279 AO278:AO279 AO280 AO282 AO284:AO285 AO289 AL291 AQ291:AV291 AO295 AL297:AL298 AO297:AP298 AL301 AO301 AO299 AO302 AL304:AL306 AO304:AP306 AO312 AO307:AP307 AL313:AL314 AO313:AO314 AO316 AL326:AL332 AO330:AO332 AO319:AV320 AO333:AO334 AO338:AO339 AL341 AO341 AO347 AO349 AO353 AX72:BB72 AX82:BB84 AX81 BA81 AX252:BA253 AX280:BB280 AX332:BA339 AU363:BB363 AO369 AR369 AU369:BB369 AO366 AR366:BB367 AO372 AR372:BB373 AO375:AP375 AP376 AR375:BB376 AO378:BB379 AR394:BB394 AO381 AR382:BB382 AO386 AR387:BB387 AO389 AO393 AO388:AP388 AR393:BA393 AO391:AP392 AR389:BA389 AO397:AP398 AN63 AN145 AO155 AO157 AQ292:AV292 AO315 AO317:AV317 AO326:AP329 AO390 AR381 AR386 AS287:AV287 AJ156:AL156 AJ155 AL155 AN391:AN392 AN388 AN316 AN313:AN314 AN312 AN158 AN37 AR37:AU37 AP36:AP37 AR72:AV72 AQ173:AV173 AR210:AV210 AR80:AV80 AR186:AV186 AR229:AU229 AR78:AV78 AR89:AV89 AR143:AV143 AR144:AV144 AQ153:AR153 AQ159:AV159 AS156:BB156 AQ158:BB158 AR170:AV170 AR172:AV172 AQ166:AV166 AR195:AV196 AR199:AV205 AQ155:BB155 AQ157:BB157 AR253:AU253 AR255:AV255 AR269:AV269 AR274:AV276 AR278:AV279 AR280:AV280 AR282:AV282 AR284:AV285 AO288 AR288:AV288 AR294:AV294 AR289:AV289 AR295:AV295 AO308 AR308:AV308 AR313:AV313 AR316:AV316 AR315:AV315 AR330:AV332 AO336 AR336:AV336 AR334:AV334 AR337:AV337 AR338:AV339 AR341:AV341 AO342:AO346 AR343:AV346 AR347 AR349:AV349 AR353:AV353 AR390:BA390 AQ301:AV301 AR299:AV299 AR302:AV302 AP44 AS154:BB154 AX269:BA270 AX267 BA267 AR314 AU314:AV314 AT76:AV76 AX74:BB78 AX73 BA73 AX80:BB80 AX79 BA79 AX258:BA266 AX257 BA257 AT266:AU266 AR268 AT347:AU347 AT256:AV256 AX255:BA256 AX254 AZ254:BA254 AX341:BA345 AX340 BA340 AR77:AV77 AR83:AT83 AR197:AV198 AR252:AU252 AR293:AV293 AR297:AV298 AR304:AV306 AR307:AV307 AO321:AP324 AR321:AV324 AR326:AV329 AR333:AV333 AR342:AV342 AR388:BA388 AR391:BA392 AR398:BB398 AR397:AS397 AU397:BB397 AX282:BB295 AX281 AZ281:BB281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51E0-7202-48AE-912A-F95F4C5EA318}">
  <dimension ref="A1:B44"/>
  <sheetViews>
    <sheetView workbookViewId="0"/>
  </sheetViews>
  <sheetFormatPr defaultRowHeight="13.2"/>
  <cols>
    <col min="1" max="1" width="29.109375" customWidth="1"/>
  </cols>
  <sheetData>
    <row r="1" spans="1:2">
      <c r="A1" s="1881" t="s">
        <v>1311</v>
      </c>
      <c r="B1" s="1889" t="s">
        <v>1312</v>
      </c>
    </row>
    <row r="2" spans="1:2">
      <c r="A2" s="1881" t="s">
        <v>1313</v>
      </c>
      <c r="B2" s="1881" t="s">
        <v>1314</v>
      </c>
    </row>
    <row r="3" spans="1:2">
      <c r="A3" s="1881" t="s">
        <v>1315</v>
      </c>
      <c r="B3" s="1881" t="s">
        <v>1316</v>
      </c>
    </row>
    <row r="4" spans="1:2">
      <c r="A4" s="1881" t="s">
        <v>1317</v>
      </c>
      <c r="B4" s="1881" t="s">
        <v>1318</v>
      </c>
    </row>
    <row r="5" spans="1:2">
      <c r="A5" s="1881" t="s">
        <v>1319</v>
      </c>
      <c r="B5" s="1881" t="s">
        <v>1320</v>
      </c>
    </row>
    <row r="6" spans="1:2">
      <c r="A6" s="1881" t="s">
        <v>1321</v>
      </c>
      <c r="B6" s="1881"/>
    </row>
    <row r="7" spans="1:2">
      <c r="A7" s="1881" t="s">
        <v>1322</v>
      </c>
      <c r="B7" s="1881" t="s">
        <v>1323</v>
      </c>
    </row>
    <row r="8" spans="1:2">
      <c r="A8" s="1881" t="s">
        <v>1324</v>
      </c>
      <c r="B8" s="1881" t="s">
        <v>1325</v>
      </c>
    </row>
    <row r="9" spans="1:2">
      <c r="A9" s="1881" t="s">
        <v>1326</v>
      </c>
      <c r="B9" s="1881" t="s">
        <v>1327</v>
      </c>
    </row>
    <row r="10" spans="1:2">
      <c r="A10" s="1881" t="s">
        <v>1328</v>
      </c>
      <c r="B10" s="1881"/>
    </row>
    <row r="11" spans="1:2">
      <c r="A11" s="1881" t="s">
        <v>1329</v>
      </c>
      <c r="B11" s="1881"/>
    </row>
    <row r="12" spans="1:2">
      <c r="A12" s="1881" t="s">
        <v>1330</v>
      </c>
      <c r="B12" s="1881"/>
    </row>
    <row r="13" spans="1:2">
      <c r="A13" s="1881" t="s">
        <v>1331</v>
      </c>
      <c r="B13" s="1881"/>
    </row>
    <row r="14" spans="1:2">
      <c r="A14" s="1881" t="s">
        <v>1332</v>
      </c>
      <c r="B14" s="1881"/>
    </row>
    <row r="15" spans="1:2">
      <c r="A15" s="1881" t="s">
        <v>1333</v>
      </c>
      <c r="B15" s="1881"/>
    </row>
    <row r="16" spans="1:2">
      <c r="A16" s="1881" t="s">
        <v>1334</v>
      </c>
      <c r="B16" s="1881"/>
    </row>
    <row r="17" spans="1:2">
      <c r="A17" s="1881" t="s">
        <v>1335</v>
      </c>
      <c r="B17" s="1881" t="s">
        <v>1336</v>
      </c>
    </row>
    <row r="18" spans="1:2">
      <c r="A18" s="1881" t="s">
        <v>1337</v>
      </c>
      <c r="B18" s="1881" t="s">
        <v>1338</v>
      </c>
    </row>
    <row r="19" spans="1:2">
      <c r="A19" s="1881" t="s">
        <v>1339</v>
      </c>
      <c r="B19" s="1881" t="s">
        <v>660</v>
      </c>
    </row>
    <row r="20" spans="1:2">
      <c r="A20" s="1881" t="s">
        <v>1340</v>
      </c>
      <c r="B20" s="1881"/>
    </row>
    <row r="21" spans="1:2">
      <c r="A21" s="1881" t="s">
        <v>1341</v>
      </c>
      <c r="B21" s="1881" t="s">
        <v>660</v>
      </c>
    </row>
    <row r="22" spans="1:2">
      <c r="A22" s="1881" t="s">
        <v>1342</v>
      </c>
      <c r="B22" s="1881" t="s">
        <v>0</v>
      </c>
    </row>
    <row r="23" spans="1:2">
      <c r="A23" s="1881" t="s">
        <v>1343</v>
      </c>
      <c r="B23" s="1889" t="s">
        <v>1344</v>
      </c>
    </row>
    <row r="24" spans="1:2">
      <c r="A24" s="1881" t="s">
        <v>1345</v>
      </c>
      <c r="B24" s="1881" t="s">
        <v>432</v>
      </c>
    </row>
    <row r="25" spans="1:2">
      <c r="A25" s="1881" t="s">
        <v>1346</v>
      </c>
      <c r="B25" s="1881" t="s">
        <v>1347</v>
      </c>
    </row>
    <row r="26" spans="1:2">
      <c r="A26" s="1881" t="s">
        <v>1348</v>
      </c>
      <c r="B26" s="1881" t="s">
        <v>1349</v>
      </c>
    </row>
    <row r="27" spans="1:2">
      <c r="A27" s="1881" t="s">
        <v>1350</v>
      </c>
      <c r="B27" s="1881" t="s">
        <v>1351</v>
      </c>
    </row>
    <row r="28" spans="1:2">
      <c r="A28" s="1881" t="s">
        <v>1352</v>
      </c>
      <c r="B28" s="1881" t="s">
        <v>1353</v>
      </c>
    </row>
    <row r="29" spans="1:2">
      <c r="A29" s="1881" t="s">
        <v>1354</v>
      </c>
      <c r="B29" s="1881"/>
    </row>
    <row r="30" spans="1:2">
      <c r="A30" s="1881" t="s">
        <v>1355</v>
      </c>
      <c r="B30" s="1881"/>
    </row>
    <row r="31" spans="1:2">
      <c r="A31" s="1881" t="s">
        <v>1356</v>
      </c>
      <c r="B31" s="1881"/>
    </row>
    <row r="32" spans="1:2">
      <c r="A32" s="1881" t="s">
        <v>1357</v>
      </c>
      <c r="B32" s="1881"/>
    </row>
    <row r="33" spans="1:2">
      <c r="A33" s="1881" t="s">
        <v>1358</v>
      </c>
      <c r="B33" s="1881"/>
    </row>
    <row r="34" spans="1:2">
      <c r="A34" s="1881" t="s">
        <v>1359</v>
      </c>
      <c r="B34" s="1881"/>
    </row>
    <row r="35" spans="1:2">
      <c r="A35" s="1881" t="s">
        <v>1360</v>
      </c>
      <c r="B35" s="1881" t="s">
        <v>1361</v>
      </c>
    </row>
    <row r="36" spans="1:2">
      <c r="A36" s="1881" t="s">
        <v>1362</v>
      </c>
      <c r="B36" s="1881" t="s">
        <v>1363</v>
      </c>
    </row>
    <row r="37" spans="1:2">
      <c r="A37" s="1881" t="s">
        <v>1364</v>
      </c>
      <c r="B37" s="1881" t="s">
        <v>1365</v>
      </c>
    </row>
    <row r="38" spans="1:2">
      <c r="A38" s="1881" t="s">
        <v>1366</v>
      </c>
      <c r="B38" s="1881" t="s">
        <v>1367</v>
      </c>
    </row>
    <row r="39" spans="1:2">
      <c r="A39" s="1881" t="s">
        <v>1368</v>
      </c>
      <c r="B39" s="1881" t="s">
        <v>1369</v>
      </c>
    </row>
    <row r="40" spans="1:2">
      <c r="A40" s="1881" t="s">
        <v>1370</v>
      </c>
      <c r="B40" s="1881" t="s">
        <v>1371</v>
      </c>
    </row>
    <row r="41" spans="1:2">
      <c r="A41" s="1881" t="s">
        <v>1372</v>
      </c>
      <c r="B41" s="1881" t="s">
        <v>1373</v>
      </c>
    </row>
    <row r="42" spans="1:2">
      <c r="A42" s="1881" t="s">
        <v>1374</v>
      </c>
      <c r="B42" s="1881"/>
    </row>
    <row r="43" spans="1:2">
      <c r="A43" s="1881" t="s">
        <v>1375</v>
      </c>
      <c r="B43" s="1881"/>
    </row>
    <row r="44" spans="1:2">
      <c r="A44" s="1881" t="s">
        <v>1376</v>
      </c>
      <c r="B44" s="1881" t="s">
        <v>1377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144B-F609-401C-A2AE-29718FC89CAC}">
  <dimension ref="A1:A13"/>
  <sheetViews>
    <sheetView workbookViewId="0"/>
  </sheetViews>
  <sheetFormatPr defaultRowHeight="13.2"/>
  <cols>
    <col min="1" max="1" width="28.33203125" customWidth="1"/>
  </cols>
  <sheetData>
    <row r="1" spans="1:1">
      <c r="A1" s="1881" t="s">
        <v>1378</v>
      </c>
    </row>
    <row r="2" spans="1:1">
      <c r="A2" s="1881" t="s">
        <v>1379</v>
      </c>
    </row>
    <row r="3" spans="1:1">
      <c r="A3" s="1881" t="s">
        <v>1380</v>
      </c>
    </row>
    <row r="4" spans="1:1">
      <c r="A4" s="1881" t="s">
        <v>1381</v>
      </c>
    </row>
    <row r="5" spans="1:1">
      <c r="A5" s="1881" t="s">
        <v>1382</v>
      </c>
    </row>
    <row r="6" spans="1:1">
      <c r="A6" s="1881" t="s">
        <v>1383</v>
      </c>
    </row>
    <row r="7" spans="1:1">
      <c r="A7" s="1881" t="s">
        <v>1384</v>
      </c>
    </row>
    <row r="8" spans="1:1">
      <c r="A8" s="1881" t="s">
        <v>1385</v>
      </c>
    </row>
    <row r="9" spans="1:1">
      <c r="A9" s="1881" t="s">
        <v>1386</v>
      </c>
    </row>
    <row r="10" spans="1:1">
      <c r="A10" s="1881" t="s">
        <v>1387</v>
      </c>
    </row>
    <row r="11" spans="1:1">
      <c r="A11" s="1881" t="s">
        <v>1388</v>
      </c>
    </row>
    <row r="12" spans="1:1">
      <c r="A12" s="1881" t="s">
        <v>1389</v>
      </c>
    </row>
    <row r="13" spans="1:1">
      <c r="A13" s="1881" t="s">
        <v>1390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lkmtd:Metadata xmlns:lkmtd="thomsonreuters.linking.metadatachange">
  <MetadataChanged>0</MetadataChanged>
</lkmtd:Metadata>
</file>

<file path=customXml/item2.xml><?xml version="1.0" encoding="utf-8"?>
<lk:Links xmlns:lk="thomsonreuters.linking.metadata"/>
</file>

<file path=customXml/itemProps1.xml><?xml version="1.0" encoding="utf-8"?>
<ds:datastoreItem xmlns:ds="http://schemas.openxmlformats.org/officeDocument/2006/customXml" ds:itemID="{1C3966A6-147E-4014-BF32-317CBCEFF65B}">
  <ds:schemaRefs>
    <ds:schemaRef ds:uri="thomsonreuters.linking.metadatachange"/>
  </ds:schemaRefs>
</ds:datastoreItem>
</file>

<file path=customXml/itemProps2.xml><?xml version="1.0" encoding="utf-8"?>
<ds:datastoreItem xmlns:ds="http://schemas.openxmlformats.org/officeDocument/2006/customXml" ds:itemID="{38BE3271-269B-48CB-9411-7901FA8D682C}">
  <ds:schemaRefs>
    <ds:schemaRef ds:uri="thomsonreuters.linking.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27</vt:i4>
      </vt:variant>
    </vt:vector>
  </HeadingPairs>
  <TitlesOfParts>
    <vt:vector size="37" baseType="lpstr">
      <vt:lpstr>CircularReferenceAlert</vt:lpstr>
      <vt:lpstr>ImportantDisclosures</vt:lpstr>
      <vt:lpstr>Content</vt:lpstr>
      <vt:lpstr>Summary</vt:lpstr>
      <vt:lpstr>P&amp;L</vt:lpstr>
      <vt:lpstr>CFS</vt:lpstr>
      <vt:lpstr>BS</vt:lpstr>
      <vt:lpstr>Drivers</vt:lpstr>
      <vt:lpstr>IndexInformation</vt:lpstr>
      <vt:lpstr>ModPubIndex</vt:lpstr>
      <vt:lpstr>Linking_13</vt:lpstr>
      <vt:lpstr>Linking_15</vt:lpstr>
      <vt:lpstr>Linking_21</vt:lpstr>
      <vt:lpstr>Linking_24</vt:lpstr>
      <vt:lpstr>Linking_29</vt:lpstr>
      <vt:lpstr>Linking_38</vt:lpstr>
      <vt:lpstr>Linking_39</vt:lpstr>
      <vt:lpstr>Linking_4</vt:lpstr>
      <vt:lpstr>Linking_46</vt:lpstr>
      <vt:lpstr>Linking_51</vt:lpstr>
      <vt:lpstr>Linking_52</vt:lpstr>
      <vt:lpstr>Linking_55</vt:lpstr>
      <vt:lpstr>Linking_57</vt:lpstr>
      <vt:lpstr>Linking_7</vt:lpstr>
      <vt:lpstr>Linking_9</vt:lpstr>
      <vt:lpstr>Summary!Linking_Range_1</vt:lpstr>
      <vt:lpstr>Drivers!Linking_Range_10</vt:lpstr>
      <vt:lpstr>Summary!Linking_Range_10</vt:lpstr>
      <vt:lpstr>Summary!Linking_Range_14</vt:lpstr>
      <vt:lpstr>Linking_Range_18</vt:lpstr>
      <vt:lpstr>Drivers!Linking_Range_7</vt:lpstr>
      <vt:lpstr>Drivers!Linking_Range_8</vt:lpstr>
      <vt:lpstr>Drivers!Linking_Range_9</vt:lpstr>
      <vt:lpstr>Drivers!Print_Area</vt:lpstr>
      <vt:lpstr>Summary!Print_Area</vt:lpstr>
      <vt:lpstr>BS!Year2_FY</vt:lpstr>
      <vt:lpstr>BS!Year3_FY</vt:lpstr>
    </vt:vector>
  </TitlesOfParts>
  <Company>Morgan Stanley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Rooney, Monique (Research)</dc:creator>
  <cp:lastModifiedBy>Ross, Mac (Research)</cp:lastModifiedBy>
  <cp:lastPrinted>2026-02-15T22:27:17Z</cp:lastPrinted>
  <dcterms:created xsi:type="dcterms:W3CDTF">2014-09-24T06:27:01Z</dcterms:created>
  <dcterms:modified xsi:type="dcterms:W3CDTF">2026-02-16T23:56:32Z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T_EQUIP" linkTarget="PROP_PLANT_EQUIP">
    <vt:r8>0</vt:r8>
  </property>
  <property fmtid="{D5CDD505-2E9C-101B-9397-08002B2CF9AE}" pid="3" name="LinkingAutoNameNumberLinking_Range_">
    <vt:lpwstr>25</vt:lpwstr>
  </property>
  <property fmtid="{D5CDD505-2E9C-101B-9397-08002B2CF9AE}" pid="4" name="MSIP_Label_07f119e6-c6cd-44b0-a5ee-ac1aff68c56e_Enabled">
    <vt:lpwstr>true</vt:lpwstr>
  </property>
  <property fmtid="{D5CDD505-2E9C-101B-9397-08002B2CF9AE}" pid="5" name="MSIP_Label_07f119e6-c6cd-44b0-a5ee-ac1aff68c56e_SetDate">
    <vt:lpwstr>2022-06-06T04:15:31Z</vt:lpwstr>
  </property>
  <property fmtid="{D5CDD505-2E9C-101B-9397-08002B2CF9AE}" pid="6" name="MSIP_Label_07f119e6-c6cd-44b0-a5ee-ac1aff68c56e_Method">
    <vt:lpwstr>Standard</vt:lpwstr>
  </property>
  <property fmtid="{D5CDD505-2E9C-101B-9397-08002B2CF9AE}" pid="7" name="MSIP_Label_07f119e6-c6cd-44b0-a5ee-ac1aff68c56e_Name">
    <vt:lpwstr>Confidential v1</vt:lpwstr>
  </property>
  <property fmtid="{D5CDD505-2E9C-101B-9397-08002B2CF9AE}" pid="8" name="MSIP_Label_07f119e6-c6cd-44b0-a5ee-ac1aff68c56e_SiteId">
    <vt:lpwstr>e29b8111-49f8-418d-ac2a-935335a52614</vt:lpwstr>
  </property>
  <property fmtid="{D5CDD505-2E9C-101B-9397-08002B2CF9AE}" pid="9" name="MSIP_Label_07f119e6-c6cd-44b0-a5ee-ac1aff68c56e_ActionId">
    <vt:lpwstr>f7e0605c-c524-4f59-919c-697ade6547f5</vt:lpwstr>
  </property>
  <property fmtid="{D5CDD505-2E9C-101B-9397-08002B2CF9AE}" pid="10" name="MSIP_Label_07f119e6-c6cd-44b0-a5ee-ac1aff68c56e_ContentBits">
    <vt:lpwstr>0</vt:lpwstr>
  </property>
  <property fmtid="{D5CDD505-2E9C-101B-9397-08002B2CF9AE}" pid="11" name="ERModPubTicket">
    <vt:lpwstr>NA</vt:lpwstr>
  </property>
  <property fmtid="{D5CDD505-2E9C-101B-9397-08002B2CF9AE}" pid="12" name="ERModPubConfirmEmail">
    <vt:bool>false</vt:bool>
  </property>
  <property fmtid="{D5CDD505-2E9C-101B-9397-08002B2CF9AE}" pid="13" name="ERModPubUserEmail">
    <vt:lpwstr>macr@ms.com</vt:lpwstr>
  </property>
  <property fmtid="{D5CDD505-2E9C-101B-9397-08002B2CF9AE}" pid="14" name="ERModPubGCIMTagged">
    <vt:bool>true</vt:bool>
  </property>
  <property fmtid="{D5CDD505-2E9C-101B-9397-08002B2CF9AE}" pid="15" name="ERCompanyUploadState">
    <vt:lpwstr>P</vt:lpwstr>
  </property>
  <property fmtid="{D5CDD505-2E9C-101B-9397-08002B2CF9AE}" pid="16" name="ERModPubCurrentYear">
    <vt:i4>2026</vt:i4>
  </property>
  <property fmtid="{D5CDD505-2E9C-101B-9397-08002B2CF9AE}" pid="17" name="ModelId">
    <vt:lpwstr>9786577</vt:lpwstr>
  </property>
  <property fmtid="{D5CDD505-2E9C-101B-9397-08002B2CF9AE}" pid="18" name="ERModPubCompanyName">
    <vt:lpwstr>JB Hi-Fi</vt:lpwstr>
  </property>
</Properties>
</file>