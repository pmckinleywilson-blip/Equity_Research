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/>
  <workbookPr codeName="ThisWorkbook"/>
  <mc:AlternateContent xmlns:mc="http://schemas.openxmlformats.org/markup-compatibility/2006">
    <mc:Choice Requires="x15">
      <x15ac:absPath xmlns:x15ac="http://schemas.microsoft.com/office/spreadsheetml/2010/11/ac" url="C:\SysAdmin\Log\Research2\prime8_temp_downloads\model_checkouts\"/>
    </mc:Choice>
  </mc:AlternateContent>
  <xr:revisionPtr revIDLastSave="0" documentId="13_ncr:1_{7C17F3F7-F4F3-4C02-A912-8BCAFB24C20E}" xr6:coauthVersionLast="47" xr6:coauthVersionMax="47" xr10:uidLastSave="{00000000-0000-0000-0000-000000000000}"/>
  <bookViews>
    <workbookView xWindow="-120" yWindow="-120" windowWidth="38640" windowHeight="15720" firstSheet="1" activeTab="1" xr2:uid="{00000000-000D-0000-FFFF-FFFF00000000}"/>
  </bookViews>
  <sheets>
    <sheet name="CircularReferenceAlert" sheetId="25" state="hidden" r:id="rId1"/>
    <sheet name="ImportantDisclosures" sheetId="22" r:id="rId2"/>
    <sheet name="Group" sheetId="3" r:id="rId3"/>
    <sheet name="Debt" sheetId="11" r:id="rId4"/>
    <sheet name="Residential" sheetId="5" r:id="rId5"/>
    <sheet name="Land lease" sheetId="15" r:id="rId6"/>
    <sheet name="Logistics" sheetId="12" r:id="rId7"/>
    <sheet name="Workplace" sheetId="13" r:id="rId8"/>
    <sheet name="Town Centres" sheetId="14" r:id="rId9"/>
    <sheet name="IndexInformation" sheetId="23" r:id="rId10"/>
    <sheet name="ModPubIndex" sheetId="24" r:id="rId11"/>
  </sheets>
  <definedNames>
    <definedName name="Linking_1">#REF!</definedName>
    <definedName name="Linking_10">#REF!</definedName>
    <definedName name="Linking_11">#REF!</definedName>
    <definedName name="Linking_12">#REF!</definedName>
    <definedName name="Linking_2">#REF!</definedName>
    <definedName name="Linking_3">#REF!</definedName>
    <definedName name="Linking_4">#REF!</definedName>
    <definedName name="Linking_5">#REF!</definedName>
    <definedName name="Linking_6">#REF!</definedName>
    <definedName name="Linking_7">#REF!</definedName>
    <definedName name="Linking_8">#REF!</definedName>
    <definedName name="Linking_9">#REF!</definedName>
    <definedName name="ValidDateTable">#REF!</definedName>
  </definedNames>
  <calcPr calcId="191029" calcMode="manual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J23" i="5" l="1"/>
  <c r="AH23" i="5" l="1"/>
  <c r="AH30" i="5"/>
  <c r="AK79" i="5"/>
  <c r="AI79" i="5"/>
  <c r="AJ79" i="5"/>
  <c r="AH79" i="5"/>
  <c r="AH74" i="5"/>
  <c r="AH14" i="3"/>
  <c r="AG52" i="11"/>
  <c r="AG72" i="11"/>
  <c r="AG73" i="11"/>
  <c r="AG65" i="11"/>
  <c r="AG66" i="11"/>
  <c r="AG63" i="11"/>
  <c r="AG62" i="11"/>
  <c r="AI35" i="11"/>
  <c r="AG21" i="11"/>
  <c r="AG18" i="11"/>
  <c r="AG17" i="11"/>
  <c r="AG16" i="11"/>
  <c r="AG15" i="11"/>
  <c r="AG13" i="11"/>
  <c r="AG12" i="11"/>
  <c r="AG48" i="15"/>
  <c r="AG80" i="5"/>
  <c r="AG77" i="5"/>
  <c r="AH37" i="5"/>
  <c r="AH16" i="5"/>
  <c r="AG20" i="15"/>
  <c r="AG16" i="15"/>
  <c r="AG38" i="15"/>
  <c r="AG35" i="15"/>
  <c r="AG28" i="15"/>
  <c r="AG39" i="14"/>
  <c r="AG26" i="13"/>
  <c r="AG40" i="12"/>
  <c r="AH34" i="3"/>
  <c r="AG135" i="3"/>
  <c r="AG130" i="3"/>
  <c r="AG127" i="3"/>
  <c r="AG117" i="3"/>
  <c r="AG105" i="3"/>
  <c r="AG98" i="3"/>
  <c r="AG89" i="3"/>
  <c r="AG82" i="3"/>
  <c r="AG80" i="3"/>
  <c r="AG74" i="3"/>
  <c r="AL79" i="5" l="1"/>
  <c r="AM79" i="5" s="1"/>
  <c r="AN79" i="5" s="1"/>
  <c r="AO79" i="5" s="1"/>
  <c r="AP79" i="5" s="1"/>
  <c r="AH49" i="3" l="1"/>
  <c r="AH161" i="3" l="1"/>
  <c r="AF13" i="3"/>
  <c r="AF46" i="11"/>
  <c r="AF40" i="15"/>
  <c r="AF82" i="5"/>
  <c r="AF76" i="11"/>
  <c r="AF60" i="11"/>
  <c r="AF53" i="11"/>
  <c r="AF18" i="11"/>
  <c r="AF13" i="11"/>
  <c r="AF12" i="11"/>
  <c r="AF35" i="3"/>
  <c r="AF34" i="3"/>
  <c r="AF21" i="3"/>
  <c r="AH21" i="3" s="1"/>
  <c r="AF49" i="15"/>
  <c r="AF22" i="15"/>
  <c r="AF20" i="15" s="1"/>
  <c r="AF39" i="15"/>
  <c r="AF36" i="15"/>
  <c r="AF33" i="15"/>
  <c r="AF32" i="15"/>
  <c r="AF31" i="15"/>
  <c r="AF30" i="15"/>
  <c r="AF26" i="15"/>
  <c r="AI30" i="5"/>
  <c r="AI23" i="5"/>
  <c r="AI16" i="5"/>
  <c r="AE87" i="5"/>
  <c r="AF81" i="5"/>
  <c r="AF78" i="5"/>
  <c r="AF74" i="5"/>
  <c r="AF73" i="5"/>
  <c r="AF72" i="5"/>
  <c r="AF71" i="5"/>
  <c r="AF44" i="5"/>
  <c r="AW44" i="5" s="1"/>
  <c r="AF37" i="5"/>
  <c r="AW37" i="5" s="1"/>
  <c r="AV38" i="5" s="1"/>
  <c r="AF30" i="5"/>
  <c r="AW30" i="5" s="1"/>
  <c r="AF23" i="5"/>
  <c r="AW23" i="5" s="1"/>
  <c r="AV46" i="5"/>
  <c r="AV44" i="5"/>
  <c r="AV39" i="5"/>
  <c r="AV37" i="5"/>
  <c r="AV32" i="5"/>
  <c r="AV30" i="5"/>
  <c r="AV25" i="5"/>
  <c r="AV23" i="5"/>
  <c r="AV18" i="5"/>
  <c r="AV16" i="5"/>
  <c r="AF16" i="5"/>
  <c r="AW16" i="5" s="1"/>
  <c r="AV17" i="5" s="1"/>
  <c r="AF26" i="3"/>
  <c r="AI14" i="3"/>
  <c r="AK14" i="3" s="1"/>
  <c r="AM14" i="3" s="1"/>
  <c r="AO14" i="3" s="1"/>
  <c r="AF14" i="3"/>
  <c r="AJ14" i="3" s="1"/>
  <c r="AL14" i="3" s="1"/>
  <c r="AN14" i="3" s="1"/>
  <c r="AP14" i="3" s="1"/>
  <c r="AF40" i="14"/>
  <c r="AF27" i="13"/>
  <c r="AH38" i="12"/>
  <c r="AI38" i="12" s="1"/>
  <c r="AJ38" i="12" s="1"/>
  <c r="AK38" i="12" s="1"/>
  <c r="AL38" i="12" s="1"/>
  <c r="AM38" i="12" s="1"/>
  <c r="AN38" i="12" s="1"/>
  <c r="AO38" i="12" s="1"/>
  <c r="AP38" i="12" s="1"/>
  <c r="AF41" i="12"/>
  <c r="AI49" i="3"/>
  <c r="AF49" i="3"/>
  <c r="AF40" i="3" s="1"/>
  <c r="AF62" i="3"/>
  <c r="AF64" i="3"/>
  <c r="AF136" i="3"/>
  <c r="AF134" i="3"/>
  <c r="AF130" i="3"/>
  <c r="AF128" i="3"/>
  <c r="AF17" i="11" s="1"/>
  <c r="AF121" i="3"/>
  <c r="AF120" i="3"/>
  <c r="AF119" i="3"/>
  <c r="AF118" i="3"/>
  <c r="AF15" i="11" s="1"/>
  <c r="AF73" i="11"/>
  <c r="AF98" i="3"/>
  <c r="AF89" i="3"/>
  <c r="AF105" i="3" s="1"/>
  <c r="AF82" i="3"/>
  <c r="AF21" i="11" s="1"/>
  <c r="AF80" i="3"/>
  <c r="AF74" i="3"/>
  <c r="AV45" i="5" l="1"/>
  <c r="AF71" i="3"/>
  <c r="AF77" i="3" s="1"/>
  <c r="AF87" i="5"/>
  <c r="AK49" i="3"/>
  <c r="AF63" i="11"/>
  <c r="AF28" i="15"/>
  <c r="AV31" i="5"/>
  <c r="AW31" i="5" s="1"/>
  <c r="AW32" i="5" s="1"/>
  <c r="AV24" i="5"/>
  <c r="AW24" i="5" s="1"/>
  <c r="AW25" i="5" s="1"/>
  <c r="AW45" i="5"/>
  <c r="AW46" i="5" s="1"/>
  <c r="AW38" i="5"/>
  <c r="AW39" i="5" s="1"/>
  <c r="AW17" i="5"/>
  <c r="AW18" i="5" s="1"/>
  <c r="AJ49" i="3" l="1"/>
  <c r="AL49" i="3" l="1"/>
  <c r="AP150" i="3"/>
  <c r="AO150" i="3"/>
  <c r="AP149" i="3"/>
  <c r="AO149" i="3"/>
  <c r="AP118" i="3"/>
  <c r="AO118" i="3"/>
  <c r="AP59" i="11"/>
  <c r="AO59" i="11"/>
  <c r="AO28" i="11"/>
  <c r="AO27" i="11"/>
  <c r="AP107" i="14"/>
  <c r="AO107" i="14"/>
  <c r="AO83" i="14" s="1"/>
  <c r="AP93" i="14"/>
  <c r="AP82" i="14" s="1"/>
  <c r="AO93" i="14"/>
  <c r="AO82" i="14" s="1"/>
  <c r="AP83" i="14"/>
  <c r="AP73" i="13"/>
  <c r="AO73" i="13"/>
  <c r="AO56" i="13" s="1"/>
  <c r="AP66" i="13"/>
  <c r="AP55" i="13" s="1"/>
  <c r="AO66" i="13"/>
  <c r="AO55" i="13" s="1"/>
  <c r="AP56" i="13"/>
  <c r="AP101" i="12"/>
  <c r="AP83" i="12" s="1"/>
  <c r="AO101" i="12"/>
  <c r="AO83" i="12" s="1"/>
  <c r="AP93" i="12"/>
  <c r="AP82" i="12" s="1"/>
  <c r="AO93" i="12"/>
  <c r="AO82" i="12" s="1"/>
  <c r="AP127" i="3" l="1"/>
  <c r="AO127" i="3"/>
  <c r="AG60" i="5"/>
  <c r="AO16" i="11" l="1"/>
  <c r="AP16" i="11"/>
  <c r="AH83" i="13"/>
  <c r="AF83" i="13"/>
  <c r="AJ19" i="3" l="1"/>
  <c r="AF36" i="12" l="1"/>
  <c r="AG36" i="12" s="1"/>
  <c r="AF113" i="14"/>
  <c r="AH13" i="3"/>
  <c r="AH36" i="12"/>
  <c r="AI36" i="12" s="1"/>
  <c r="AJ36" i="12" s="1"/>
  <c r="AK36" i="12" s="1"/>
  <c r="AL36" i="12" s="1"/>
  <c r="AM36" i="12" s="1"/>
  <c r="AN36" i="12" s="1"/>
  <c r="AO36" i="12" s="1"/>
  <c r="AP36" i="12" s="1"/>
  <c r="AF97" i="12"/>
  <c r="AE16" i="12"/>
  <c r="AF16" i="12" s="1"/>
  <c r="AE86" i="11"/>
  <c r="AE66" i="11"/>
  <c r="AF66" i="11" s="1"/>
  <c r="AM28" i="11"/>
  <c r="AM27" i="11"/>
  <c r="AK28" i="11"/>
  <c r="AK27" i="11"/>
  <c r="AI28" i="11"/>
  <c r="AI27" i="11"/>
  <c r="AE17" i="11"/>
  <c r="AE15" i="11"/>
  <c r="AE18" i="3"/>
  <c r="AE45" i="15"/>
  <c r="AF45" i="15"/>
  <c r="AE28" i="15"/>
  <c r="AE20" i="15"/>
  <c r="AE135" i="3"/>
  <c r="AF135" i="3" s="1"/>
  <c r="AE127" i="3"/>
  <c r="AF127" i="3" s="1"/>
  <c r="AF16" i="11" s="1"/>
  <c r="AE117" i="3"/>
  <c r="AF117" i="3" s="1"/>
  <c r="AE98" i="3"/>
  <c r="AE89" i="3"/>
  <c r="AE105" i="3" s="1"/>
  <c r="AE82" i="3"/>
  <c r="AE21" i="11" s="1"/>
  <c r="AE80" i="3"/>
  <c r="AE74" i="3"/>
  <c r="AE72" i="3"/>
  <c r="AE73" i="11" s="1"/>
  <c r="AE71" i="3"/>
  <c r="AE77" i="3" s="1"/>
  <c r="AE16" i="11" l="1"/>
  <c r="AE63" i="11"/>
  <c r="AI13" i="3"/>
  <c r="AJ13" i="3" s="1"/>
  <c r="AK13" i="3" s="1"/>
  <c r="AL13" i="3" s="1"/>
  <c r="AM13" i="3" s="1"/>
  <c r="AN13" i="3" s="1"/>
  <c r="AO13" i="3" s="1"/>
  <c r="AP13" i="3" s="1"/>
  <c r="AL19" i="3" l="1"/>
  <c r="AM19" i="3" s="1"/>
  <c r="AN19" i="3" s="1"/>
  <c r="AO19" i="3" s="1"/>
  <c r="AP19" i="3" s="1"/>
  <c r="AD53" i="5" l="1"/>
  <c r="AE53" i="5" s="1"/>
  <c r="AF53" i="5" s="1"/>
  <c r="AH53" i="5"/>
  <c r="AI53" i="5"/>
  <c r="AJ53" i="5"/>
  <c r="AL53" i="5"/>
  <c r="AM53" i="5"/>
  <c r="AN53" i="5" s="1"/>
  <c r="AO53" i="5" s="1"/>
  <c r="AP53" i="5" s="1"/>
  <c r="AF55" i="5"/>
  <c r="AG55" i="5" s="1"/>
  <c r="AH55" i="5" s="1"/>
  <c r="AI55" i="5" s="1"/>
  <c r="AJ55" i="5" s="1"/>
  <c r="AK55" i="5" s="1"/>
  <c r="AL55" i="5" s="1"/>
  <c r="AM55" i="5" s="1"/>
  <c r="AN55" i="5" s="1"/>
  <c r="AO55" i="5" s="1"/>
  <c r="AP55" i="5" s="1"/>
  <c r="AD56" i="5"/>
  <c r="AE56" i="5"/>
  <c r="AD57" i="5"/>
  <c r="AD58" i="5" s="1"/>
  <c r="AE57" i="5"/>
  <c r="AE60" i="5"/>
  <c r="AH60" i="5" s="1"/>
  <c r="AE63" i="5"/>
  <c r="AF63" i="5" s="1"/>
  <c r="AD64" i="5"/>
  <c r="AD66" i="5"/>
  <c r="AD67" i="5"/>
  <c r="AE67" i="5"/>
  <c r="AE64" i="5" l="1"/>
  <c r="AI60" i="5"/>
  <c r="AJ60" i="5" s="1"/>
  <c r="AK60" i="5" s="1"/>
  <c r="AL60" i="5" s="1"/>
  <c r="AM60" i="5" s="1"/>
  <c r="AN60" i="5" s="1"/>
  <c r="AO60" i="5" s="1"/>
  <c r="AP60" i="5" s="1"/>
  <c r="AF56" i="5"/>
  <c r="AG54" i="5"/>
  <c r="AF64" i="5"/>
  <c r="AG63" i="5"/>
  <c r="AD59" i="5"/>
  <c r="AD61" i="5" s="1"/>
  <c r="AE58" i="5"/>
  <c r="AE59" i="5" s="1"/>
  <c r="AE61" i="5" s="1"/>
  <c r="AE65" i="5" s="1"/>
  <c r="AF57" i="5" l="1"/>
  <c r="AF58" i="5" s="1"/>
  <c r="AF67" i="5"/>
  <c r="AG64" i="5"/>
  <c r="AH63" i="5"/>
  <c r="AG56" i="5"/>
  <c r="AH54" i="5"/>
  <c r="AF59" i="5" l="1"/>
  <c r="AF61" i="5" s="1"/>
  <c r="AF65" i="5" s="1"/>
  <c r="AF66" i="5" s="1"/>
  <c r="AG57" i="5"/>
  <c r="AG58" i="5" s="1"/>
  <c r="AG67" i="5"/>
  <c r="AG59" i="5"/>
  <c r="AG61" i="5" s="1"/>
  <c r="AG65" i="5" s="1"/>
  <c r="AG66" i="5" s="1"/>
  <c r="AI63" i="5"/>
  <c r="AH64" i="5"/>
  <c r="AI54" i="5"/>
  <c r="AH56" i="5"/>
  <c r="AJ54" i="5" l="1"/>
  <c r="AI56" i="5"/>
  <c r="AJ63" i="5"/>
  <c r="AI64" i="5"/>
  <c r="AH57" i="5"/>
  <c r="AH58" i="5" s="1"/>
  <c r="AH67" i="5"/>
  <c r="AH59" i="5" l="1"/>
  <c r="AH61" i="5" s="1"/>
  <c r="AH65" i="5" s="1"/>
  <c r="AH66" i="5" s="1"/>
  <c r="AK63" i="5"/>
  <c r="AJ64" i="5"/>
  <c r="AI57" i="5"/>
  <c r="AI58" i="5" s="1"/>
  <c r="AI67" i="5"/>
  <c r="AK54" i="5"/>
  <c r="AJ56" i="5"/>
  <c r="AI59" i="5" l="1"/>
  <c r="AI61" i="5" s="1"/>
  <c r="AI65" i="5" s="1"/>
  <c r="AI66" i="5" s="1"/>
  <c r="AJ67" i="5"/>
  <c r="AJ57" i="5"/>
  <c r="AJ58" i="5" s="1"/>
  <c r="AK64" i="5"/>
  <c r="AL63" i="5"/>
  <c r="AL54" i="5"/>
  <c r="AK56" i="5"/>
  <c r="AL64" i="5" l="1"/>
  <c r="AM63" i="5"/>
  <c r="AJ59" i="5"/>
  <c r="AJ61" i="5" s="1"/>
  <c r="AJ65" i="5" s="1"/>
  <c r="AJ66" i="5" s="1"/>
  <c r="AK57" i="5"/>
  <c r="AK58" i="5" s="1"/>
  <c r="AK67" i="5"/>
  <c r="AM54" i="5"/>
  <c r="AL56" i="5"/>
  <c r="AK59" i="5" l="1"/>
  <c r="AK61" i="5" s="1"/>
  <c r="AK65" i="5" s="1"/>
  <c r="AK66" i="5" s="1"/>
  <c r="AN54" i="5"/>
  <c r="AM56" i="5"/>
  <c r="AN63" i="5"/>
  <c r="AM64" i="5"/>
  <c r="AL57" i="5"/>
  <c r="AL58" i="5" s="1"/>
  <c r="AL67" i="5"/>
  <c r="AN64" i="5" l="1"/>
  <c r="AO63" i="5"/>
  <c r="AN56" i="5"/>
  <c r="AO54" i="5"/>
  <c r="AN57" i="5"/>
  <c r="AN58" i="5" s="1"/>
  <c r="AN67" i="5"/>
  <c r="AL59" i="5"/>
  <c r="AL61" i="5" s="1"/>
  <c r="AL65" i="5" s="1"/>
  <c r="AL66" i="5" s="1"/>
  <c r="AM57" i="5"/>
  <c r="AM58" i="5" s="1"/>
  <c r="AM67" i="5"/>
  <c r="AP54" i="5" l="1"/>
  <c r="AP56" i="5" s="1"/>
  <c r="AO56" i="5"/>
  <c r="AO64" i="5"/>
  <c r="AP63" i="5"/>
  <c r="AP64" i="5" s="1"/>
  <c r="AN59" i="5"/>
  <c r="AN61" i="5" s="1"/>
  <c r="AN65" i="5" s="1"/>
  <c r="AN66" i="5" s="1"/>
  <c r="AM59" i="5"/>
  <c r="AM61" i="5" s="1"/>
  <c r="AM65" i="5" s="1"/>
  <c r="AM66" i="5" s="1"/>
  <c r="AO57" i="5" l="1"/>
  <c r="AO58" i="5" s="1"/>
  <c r="AO67" i="5"/>
  <c r="AO59" i="5"/>
  <c r="AO61" i="5" s="1"/>
  <c r="AO65" i="5" s="1"/>
  <c r="AO66" i="5" s="1"/>
  <c r="AP57" i="5"/>
  <c r="AP58" i="5" s="1"/>
  <c r="AP67" i="5"/>
  <c r="AP59" i="5"/>
  <c r="AP61" i="5" s="1"/>
  <c r="AP65" i="5" s="1"/>
  <c r="AP66" i="5" s="1"/>
  <c r="AD21" i="3"/>
  <c r="AD46" i="11"/>
  <c r="AD78" i="11"/>
  <c r="AD76" i="11"/>
  <c r="AD82" i="5"/>
  <c r="AD53" i="11"/>
  <c r="AD19" i="11"/>
  <c r="AD18" i="11"/>
  <c r="AD17" i="11"/>
  <c r="AD16" i="11"/>
  <c r="AD13" i="11"/>
  <c r="AD12" i="11"/>
  <c r="AD81" i="5"/>
  <c r="AD78" i="5"/>
  <c r="AD74" i="5"/>
  <c r="AD73" i="5"/>
  <c r="AD72" i="5"/>
  <c r="AD71" i="5"/>
  <c r="AD44" i="5"/>
  <c r="AD37" i="5"/>
  <c r="AU37" i="5" s="1"/>
  <c r="AD30" i="5"/>
  <c r="AD23" i="5"/>
  <c r="AT46" i="5"/>
  <c r="AT44" i="5"/>
  <c r="AT39" i="5"/>
  <c r="AT37" i="5"/>
  <c r="AT32" i="5"/>
  <c r="AT30" i="5"/>
  <c r="AT25" i="5"/>
  <c r="AT23" i="5"/>
  <c r="AT18" i="5"/>
  <c r="AT16" i="5"/>
  <c r="AD16" i="5"/>
  <c r="AU16" i="5" s="1"/>
  <c r="AD22" i="15"/>
  <c r="AD20" i="15" s="1"/>
  <c r="AD49" i="15"/>
  <c r="AD50" i="15" s="1"/>
  <c r="AD39" i="15"/>
  <c r="AD36" i="15"/>
  <c r="AD34" i="15"/>
  <c r="AD26" i="15"/>
  <c r="AD40" i="14"/>
  <c r="AD27" i="13"/>
  <c r="AD41" i="12"/>
  <c r="AD13" i="3"/>
  <c r="AD14" i="3"/>
  <c r="AD26" i="3"/>
  <c r="AD35" i="3"/>
  <c r="AD34" i="3"/>
  <c r="AD62" i="3"/>
  <c r="AD64" i="3"/>
  <c r="AD89" i="3"/>
  <c r="AD105" i="3" s="1"/>
  <c r="AD136" i="3"/>
  <c r="AD134" i="3"/>
  <c r="AD128" i="3"/>
  <c r="AC127" i="3"/>
  <c r="AD127" i="3" s="1"/>
  <c r="AD120" i="3"/>
  <c r="AD119" i="3"/>
  <c r="AD118" i="3"/>
  <c r="AD15" i="11" s="1"/>
  <c r="AD98" i="3"/>
  <c r="AD82" i="3"/>
  <c r="AD22" i="11" s="1"/>
  <c r="AD80" i="3"/>
  <c r="AD74" i="3"/>
  <c r="AD72" i="3"/>
  <c r="AD71" i="3" s="1"/>
  <c r="AD63" i="11" s="1"/>
  <c r="AD73" i="11" l="1"/>
  <c r="AD77" i="3"/>
  <c r="AD21" i="11"/>
  <c r="AD38" i="15"/>
  <c r="AD87" i="5"/>
  <c r="AD35" i="15"/>
  <c r="AD37" i="15"/>
  <c r="AT38" i="5"/>
  <c r="AU38" i="5" s="1"/>
  <c r="AU39" i="5" s="1"/>
  <c r="AT17" i="5"/>
  <c r="AU17" i="5" s="1"/>
  <c r="AU18" i="5" s="1"/>
  <c r="AB20" i="3" l="1"/>
  <c r="AB13" i="3"/>
  <c r="AB14" i="3"/>
  <c r="AB21" i="3"/>
  <c r="AE36" i="11" l="1"/>
  <c r="AM118" i="3"/>
  <c r="AN118" i="3"/>
  <c r="AM149" i="3"/>
  <c r="AN149" i="3"/>
  <c r="AM150" i="3"/>
  <c r="AN150" i="3"/>
  <c r="AM59" i="11"/>
  <c r="AN59" i="11"/>
  <c r="AM93" i="14"/>
  <c r="AM82" i="14" s="1"/>
  <c r="AN93" i="14"/>
  <c r="AN82" i="14" s="1"/>
  <c r="AM107" i="14"/>
  <c r="AM83" i="14" s="1"/>
  <c r="AN107" i="14"/>
  <c r="AN83" i="14" s="1"/>
  <c r="AN56" i="13"/>
  <c r="AM66" i="13"/>
  <c r="AM55" i="13" s="1"/>
  <c r="AN66" i="13"/>
  <c r="AN55" i="13" s="1"/>
  <c r="AM73" i="13"/>
  <c r="AM56" i="13" s="1"/>
  <c r="AN73" i="13"/>
  <c r="AM93" i="12"/>
  <c r="AM82" i="12" s="1"/>
  <c r="AN93" i="12"/>
  <c r="AN82" i="12" s="1"/>
  <c r="AM101" i="12"/>
  <c r="AM83" i="12" s="1"/>
  <c r="AN101" i="12"/>
  <c r="AN83" i="12" s="1"/>
  <c r="AN127" i="3" l="1"/>
  <c r="AN16" i="11" s="1"/>
  <c r="AM127" i="3"/>
  <c r="AM16" i="11" l="1"/>
  <c r="AU23" i="5" l="1"/>
  <c r="AT24" i="5" s="1"/>
  <c r="AU24" i="5" l="1"/>
  <c r="AU25" i="5" s="1"/>
  <c r="AD103" i="14"/>
  <c r="AC66" i="11"/>
  <c r="AD66" i="11" s="1"/>
  <c r="AC35" i="11"/>
  <c r="AC28" i="11"/>
  <c r="AC16" i="11"/>
  <c r="AC15" i="11"/>
  <c r="AC13" i="11"/>
  <c r="AC12" i="11"/>
  <c r="AC19" i="11" s="1"/>
  <c r="AC38" i="15"/>
  <c r="AC35" i="15"/>
  <c r="AC37" i="15" s="1"/>
  <c r="AC20" i="15"/>
  <c r="AI35" i="3"/>
  <c r="AK35" i="3" s="1"/>
  <c r="AM35" i="3" s="1"/>
  <c r="AI34" i="3"/>
  <c r="AK34" i="3" s="1"/>
  <c r="AM34" i="3" s="1"/>
  <c r="AC135" i="3"/>
  <c r="AD135" i="3" s="1"/>
  <c r="AC17" i="11"/>
  <c r="AC117" i="3"/>
  <c r="AC98" i="3"/>
  <c r="AC89" i="3"/>
  <c r="AC105" i="3" s="1"/>
  <c r="AC82" i="3"/>
  <c r="AC21" i="11" s="1"/>
  <c r="AC80" i="3"/>
  <c r="AC72" i="3"/>
  <c r="AC71" i="3" s="1"/>
  <c r="AC63" i="11" s="1"/>
  <c r="AC124" i="3" l="1"/>
  <c r="AD117" i="3"/>
  <c r="AM122" i="3"/>
  <c r="AO34" i="3"/>
  <c r="AO122" i="3" s="1"/>
  <c r="AM123" i="3"/>
  <c r="AO35" i="3"/>
  <c r="AO123" i="3" s="1"/>
  <c r="AC73" i="11"/>
  <c r="AM12" i="11" l="1"/>
  <c r="AO12" i="11"/>
  <c r="AC40" i="3"/>
  <c r="AU44" i="5"/>
  <c r="AT45" i="5" s="1"/>
  <c r="AU30" i="5"/>
  <c r="AT31" i="5" s="1"/>
  <c r="AD96" i="5"/>
  <c r="AU45" i="5" l="1"/>
  <c r="AU46" i="5"/>
  <c r="AU31" i="5"/>
  <c r="AU32" i="5" s="1"/>
  <c r="AB66" i="11" l="1"/>
  <c r="AB46" i="11"/>
  <c r="AB76" i="11"/>
  <c r="AB53" i="11"/>
  <c r="AB35" i="11"/>
  <c r="AB28" i="11"/>
  <c r="AB35" i="3"/>
  <c r="AH35" i="3" s="1"/>
  <c r="AJ35" i="3" s="1"/>
  <c r="AL35" i="3" s="1"/>
  <c r="AN35" i="3" s="1"/>
  <c r="AB34" i="3"/>
  <c r="AJ34" i="3" s="1"/>
  <c r="AL34" i="3" s="1"/>
  <c r="AN34" i="3" s="1"/>
  <c r="AB30" i="3"/>
  <c r="AB26" i="3"/>
  <c r="Z26" i="3"/>
  <c r="AB49" i="15"/>
  <c r="AB50" i="15" s="1"/>
  <c r="AB40" i="15"/>
  <c r="AB39" i="15"/>
  <c r="AB36" i="15"/>
  <c r="AB34" i="15"/>
  <c r="AS28" i="15"/>
  <c r="AS26" i="15"/>
  <c r="AB26" i="15"/>
  <c r="AT26" i="15" s="1"/>
  <c r="AB22" i="15"/>
  <c r="AB20" i="15" s="1"/>
  <c r="AB11" i="15"/>
  <c r="AB81" i="5"/>
  <c r="Z12" i="3"/>
  <c r="Z18" i="3"/>
  <c r="Z14" i="3"/>
  <c r="Z13" i="3"/>
  <c r="AB19" i="3"/>
  <c r="Z19" i="3"/>
  <c r="AC79" i="13"/>
  <c r="AD79" i="13" s="1"/>
  <c r="AE79" i="13" s="1"/>
  <c r="AF79" i="13" s="1"/>
  <c r="AG79" i="13" s="1"/>
  <c r="AB40" i="14"/>
  <c r="Z11" i="3"/>
  <c r="AB27" i="13"/>
  <c r="Z10" i="3"/>
  <c r="AB41" i="12"/>
  <c r="AB82" i="5"/>
  <c r="Z81" i="5"/>
  <c r="Z76" i="5"/>
  <c r="AB76" i="5"/>
  <c r="AB74" i="5"/>
  <c r="AB73" i="5"/>
  <c r="AB71" i="5"/>
  <c r="AB72" i="5"/>
  <c r="AB44" i="5"/>
  <c r="AB37" i="5"/>
  <c r="AB30" i="5"/>
  <c r="AB23" i="5"/>
  <c r="AB16" i="5"/>
  <c r="AB18" i="11"/>
  <c r="AB13" i="11"/>
  <c r="AB12" i="11"/>
  <c r="AB19" i="11" s="1"/>
  <c r="AB138" i="3"/>
  <c r="AB136" i="3"/>
  <c r="AB134" i="3"/>
  <c r="AB131" i="3"/>
  <c r="AB125" i="3"/>
  <c r="AB120" i="3"/>
  <c r="AB119" i="3"/>
  <c r="AB118" i="3"/>
  <c r="AB15" i="11" s="1"/>
  <c r="AB98" i="3"/>
  <c r="AB89" i="3"/>
  <c r="AB105" i="3" s="1"/>
  <c r="AB82" i="3"/>
  <c r="AB80" i="3"/>
  <c r="AB73" i="3"/>
  <c r="AB72" i="3"/>
  <c r="AB71" i="3" s="1"/>
  <c r="AN123" i="3" l="1"/>
  <c r="AP35" i="3"/>
  <c r="AN122" i="3"/>
  <c r="AP34" i="3"/>
  <c r="AB38" i="15"/>
  <c r="AN12" i="11"/>
  <c r="AB35" i="15"/>
  <c r="AS27" i="15"/>
  <c r="AT27" i="15" s="1"/>
  <c r="AT28" i="15" s="1"/>
  <c r="AB75" i="5"/>
  <c r="AB80" i="5"/>
  <c r="Z80" i="5"/>
  <c r="AB63" i="11"/>
  <c r="AB77" i="3"/>
  <c r="AB73" i="11"/>
  <c r="AP123" i="3" l="1"/>
  <c r="AP122" i="3"/>
  <c r="AB37" i="15"/>
  <c r="Z206" i="3"/>
  <c r="AP12" i="11" l="1"/>
  <c r="AH21" i="15" l="1"/>
  <c r="AI21" i="15" s="1"/>
  <c r="AJ21" i="15" s="1"/>
  <c r="AK21" i="15" s="1"/>
  <c r="AL21" i="15" s="1"/>
  <c r="AM21" i="15" s="1"/>
  <c r="AN21" i="15" s="1"/>
  <c r="AO21" i="15" s="1"/>
  <c r="AP21" i="15" s="1"/>
  <c r="AB45" i="14"/>
  <c r="AJ26" i="3"/>
  <c r="AL26" i="3" s="1"/>
  <c r="AN26" i="3" s="1"/>
  <c r="AP26" i="3" s="1"/>
  <c r="AI26" i="3"/>
  <c r="AK26" i="3" s="1"/>
  <c r="AM26" i="3" s="1"/>
  <c r="AO26" i="3" s="1"/>
  <c r="AA46" i="15"/>
  <c r="AJ33" i="15"/>
  <c r="AB30" i="15"/>
  <c r="AA30" i="15"/>
  <c r="Z47" i="15"/>
  <c r="Y47" i="15"/>
  <c r="AA37" i="15"/>
  <c r="Y37" i="15"/>
  <c r="Z37" i="15" s="1"/>
  <c r="Y36" i="15"/>
  <c r="Z30" i="15"/>
  <c r="Z34" i="15" s="1"/>
  <c r="Y30" i="15"/>
  <c r="AJ29" i="15"/>
  <c r="AK29" i="15" s="1"/>
  <c r="AL29" i="15" s="1"/>
  <c r="AM29" i="15" s="1"/>
  <c r="AN29" i="15" s="1"/>
  <c r="AO29" i="15" s="1"/>
  <c r="AP29" i="15" s="1"/>
  <c r="AB16" i="15"/>
  <c r="AC11" i="15"/>
  <c r="AD11" i="15"/>
  <c r="AE11" i="15"/>
  <c r="AC27" i="15"/>
  <c r="AD27" i="15" s="1"/>
  <c r="AE27" i="15" s="1"/>
  <c r="AF27" i="15" s="1"/>
  <c r="Z11" i="15"/>
  <c r="AF19" i="15"/>
  <c r="AG19" i="15" s="1"/>
  <c r="AH19" i="15" s="1"/>
  <c r="AI19" i="15" s="1"/>
  <c r="AJ19" i="15" s="1"/>
  <c r="AK19" i="15" s="1"/>
  <c r="AL19" i="15" s="1"/>
  <c r="AM19" i="15" s="1"/>
  <c r="AN19" i="15" s="1"/>
  <c r="AO19" i="15" s="1"/>
  <c r="AP19" i="15" s="1"/>
  <c r="AA20" i="15"/>
  <c r="AA17" i="15"/>
  <c r="AA14" i="15"/>
  <c r="AB10" i="15" s="1"/>
  <c r="R5" i="15"/>
  <c r="T5" i="15" s="1"/>
  <c r="V5" i="15" s="1"/>
  <c r="X5" i="15" s="1"/>
  <c r="Z5" i="15" s="1"/>
  <c r="AB5" i="15" s="1"/>
  <c r="AD5" i="15" s="1"/>
  <c r="AF5" i="15" s="1"/>
  <c r="AH5" i="15" s="1"/>
  <c r="AJ5" i="15" s="1"/>
  <c r="AL5" i="15" s="1"/>
  <c r="AN5" i="15" s="1"/>
  <c r="AP5" i="15" s="1"/>
  <c r="Q5" i="15"/>
  <c r="S5" i="15" s="1"/>
  <c r="U5" i="15" s="1"/>
  <c r="W5" i="15" s="1"/>
  <c r="Y5" i="15" s="1"/>
  <c r="AA5" i="15" s="1"/>
  <c r="AC5" i="15" s="1"/>
  <c r="AE5" i="15" s="1"/>
  <c r="AG5" i="15" s="1"/>
  <c r="AI5" i="15" s="1"/>
  <c r="AK5" i="15" s="1"/>
  <c r="AM5" i="15" s="1"/>
  <c r="AO5" i="15" s="1"/>
  <c r="G4" i="15"/>
  <c r="I4" i="15" s="1"/>
  <c r="F4" i="15"/>
  <c r="F3" i="15" s="1"/>
  <c r="E3" i="15"/>
  <c r="F2" i="15"/>
  <c r="G2" i="15" s="1"/>
  <c r="H2" i="15" s="1"/>
  <c r="I2" i="15" s="1"/>
  <c r="J2" i="15" s="1"/>
  <c r="K2" i="15" s="1"/>
  <c r="L2" i="15" s="1"/>
  <c r="M2" i="15" s="1"/>
  <c r="N2" i="15" s="1"/>
  <c r="O2" i="15" s="1"/>
  <c r="P2" i="15" s="1"/>
  <c r="Q2" i="15" s="1"/>
  <c r="R2" i="15" s="1"/>
  <c r="S2" i="15" s="1"/>
  <c r="T2" i="15" s="1"/>
  <c r="U2" i="15" s="1"/>
  <c r="V2" i="15" s="1"/>
  <c r="W2" i="15" s="1"/>
  <c r="X2" i="15" s="1"/>
  <c r="Y2" i="15" s="1"/>
  <c r="Z2" i="15" s="1"/>
  <c r="AA2" i="15" s="1"/>
  <c r="AB2" i="15" s="1"/>
  <c r="AC2" i="15" s="1"/>
  <c r="AD2" i="15" s="1"/>
  <c r="AE2" i="15" s="1"/>
  <c r="AF2" i="15" s="1"/>
  <c r="AG2" i="15" s="1"/>
  <c r="AH2" i="15" s="1"/>
  <c r="AI2" i="15" s="1"/>
  <c r="AJ2" i="15" s="1"/>
  <c r="AK2" i="15" s="1"/>
  <c r="AL2" i="15" s="1"/>
  <c r="AM2" i="15" s="1"/>
  <c r="AN2" i="15" s="1"/>
  <c r="AO2" i="15" s="1"/>
  <c r="AP2" i="15" s="1"/>
  <c r="A1" i="15"/>
  <c r="AA37" i="12"/>
  <c r="AF47" i="5"/>
  <c r="AG47" i="5" s="1"/>
  <c r="AH47" i="5" s="1"/>
  <c r="AI47" i="5" s="1"/>
  <c r="AJ47" i="5" s="1"/>
  <c r="AK47" i="5" s="1"/>
  <c r="AL47" i="5" s="1"/>
  <c r="AM47" i="5" s="1"/>
  <c r="AC47" i="5"/>
  <c r="AH40" i="5"/>
  <c r="AI40" i="5" s="1"/>
  <c r="AJ40" i="5" s="1"/>
  <c r="AK40" i="5" s="1"/>
  <c r="AL40" i="5" s="1"/>
  <c r="AM40" i="5" s="1"/>
  <c r="AN40" i="5" s="1"/>
  <c r="AO40" i="5" s="1"/>
  <c r="AP40" i="5" s="1"/>
  <c r="AF33" i="5"/>
  <c r="AG33" i="5" s="1"/>
  <c r="AH33" i="5" s="1"/>
  <c r="AI33" i="5" s="1"/>
  <c r="AJ33" i="5" s="1"/>
  <c r="AK33" i="5" s="1"/>
  <c r="AL33" i="5" s="1"/>
  <c r="AM33" i="5" s="1"/>
  <c r="AN33" i="5" s="1"/>
  <c r="AO33" i="5" s="1"/>
  <c r="AP33" i="5" s="1"/>
  <c r="AH26" i="5"/>
  <c r="AI26" i="5" s="1"/>
  <c r="AJ26" i="5" s="1"/>
  <c r="AK26" i="5" s="1"/>
  <c r="AL26" i="5" s="1"/>
  <c r="AM26" i="5" s="1"/>
  <c r="AN47" i="5" l="1"/>
  <c r="AO47" i="5" s="1"/>
  <c r="AP47" i="5" s="1"/>
  <c r="AN26" i="5"/>
  <c r="AO26" i="5" s="1"/>
  <c r="AP26" i="5" s="1"/>
  <c r="AA31" i="15"/>
  <c r="AA33" i="15"/>
  <c r="AB31" i="15"/>
  <c r="AB33" i="15" s="1"/>
  <c r="AH46" i="5"/>
  <c r="AI46" i="5" s="1"/>
  <c r="AJ46" i="5" s="1"/>
  <c r="AK46" i="5" s="1"/>
  <c r="AL46" i="5" s="1"/>
  <c r="AM46" i="5" s="1"/>
  <c r="AN46" i="5" s="1"/>
  <c r="AO46" i="5" s="1"/>
  <c r="AH25" i="5"/>
  <c r="AH39" i="5"/>
  <c r="AI39" i="5" s="1"/>
  <c r="AJ39" i="5" s="1"/>
  <c r="AK39" i="5" s="1"/>
  <c r="AL39" i="5" s="1"/>
  <c r="AM39" i="5" s="1"/>
  <c r="AN39" i="5" s="1"/>
  <c r="AO39" i="5" s="1"/>
  <c r="AH32" i="5"/>
  <c r="AI32" i="5" s="1"/>
  <c r="AJ32" i="5" s="1"/>
  <c r="AK32" i="5" s="1"/>
  <c r="AL32" i="5" s="1"/>
  <c r="AM32" i="5" s="1"/>
  <c r="AN32" i="5" s="1"/>
  <c r="AO32" i="5" s="1"/>
  <c r="AB45" i="15"/>
  <c r="AA45" i="15"/>
  <c r="Z38" i="15"/>
  <c r="Z35" i="15" s="1"/>
  <c r="Z36" i="15" s="1"/>
  <c r="AA18" i="15"/>
  <c r="Y40" i="15"/>
  <c r="AK33" i="15"/>
  <c r="AA10" i="15"/>
  <c r="Z14" i="15" s="1"/>
  <c r="Z10" i="15" s="1"/>
  <c r="AC16" i="15"/>
  <c r="AB14" i="15"/>
  <c r="AC10" i="15" s="1"/>
  <c r="AC14" i="15" s="1"/>
  <c r="AD10" i="15" s="1"/>
  <c r="AE10" i="15" s="1"/>
  <c r="AE14" i="15" s="1"/>
  <c r="AF11" i="15"/>
  <c r="AG27" i="15"/>
  <c r="AH27" i="15" s="1"/>
  <c r="AI27" i="15" s="1"/>
  <c r="AJ27" i="15" s="1"/>
  <c r="AL27" i="15" s="1"/>
  <c r="AM27" i="15" s="1"/>
  <c r="AN27" i="15" s="1"/>
  <c r="AO27" i="15" s="1"/>
  <c r="AP27" i="15" s="1"/>
  <c r="K4" i="15"/>
  <c r="M4" i="15" s="1"/>
  <c r="I3" i="15"/>
  <c r="G3" i="15"/>
  <c r="H4" i="15"/>
  <c r="AI35" i="15" l="1"/>
  <c r="AJ35" i="15" s="1"/>
  <c r="AK35" i="15" s="1"/>
  <c r="AL35" i="15" s="1"/>
  <c r="AM35" i="15" s="1"/>
  <c r="AN35" i="15" s="1"/>
  <c r="AO35" i="15" s="1"/>
  <c r="AP35" i="15" s="1"/>
  <c r="AP46" i="5"/>
  <c r="AP39" i="5"/>
  <c r="AP32" i="5"/>
  <c r="AF10" i="15"/>
  <c r="AF14" i="15" s="1"/>
  <c r="AE16" i="15"/>
  <c r="AI25" i="5"/>
  <c r="AJ25" i="5" s="1"/>
  <c r="AK25" i="5" s="1"/>
  <c r="AL25" i="5" s="1"/>
  <c r="AM25" i="5" s="1"/>
  <c r="AN25" i="5" s="1"/>
  <c r="AO25" i="5" s="1"/>
  <c r="AC30" i="15"/>
  <c r="AA44" i="15"/>
  <c r="AA47" i="15" s="1"/>
  <c r="AA48" i="15" s="1"/>
  <c r="AB18" i="3"/>
  <c r="Z40" i="15"/>
  <c r="AL33" i="15"/>
  <c r="AM33" i="15" s="1"/>
  <c r="AB15" i="15"/>
  <c r="AB17" i="15" s="1"/>
  <c r="AC15" i="15"/>
  <c r="AC17" i="15" s="1"/>
  <c r="AC18" i="15" s="1"/>
  <c r="K3" i="15"/>
  <c r="H3" i="15"/>
  <c r="J4" i="15"/>
  <c r="M3" i="15"/>
  <c r="O4" i="15"/>
  <c r="AG10" i="15" l="1"/>
  <c r="AF16" i="15"/>
  <c r="AP25" i="5"/>
  <c r="AN33" i="15"/>
  <c r="AO33" i="15" s="1"/>
  <c r="AM128" i="3"/>
  <c r="AC45" i="15"/>
  <c r="AC31" i="15"/>
  <c r="AB12" i="3"/>
  <c r="AB18" i="15"/>
  <c r="AB44" i="15" s="1"/>
  <c r="AD30" i="15"/>
  <c r="AE17" i="15"/>
  <c r="AE18" i="15" s="1"/>
  <c r="AD17" i="15"/>
  <c r="AD18" i="15" s="1"/>
  <c r="AG11" i="15"/>
  <c r="AG14" i="15" s="1"/>
  <c r="AH10" i="15" s="1"/>
  <c r="Q4" i="15"/>
  <c r="O3" i="15"/>
  <c r="J3" i="15"/>
  <c r="L4" i="15"/>
  <c r="AP33" i="15" l="1"/>
  <c r="AP128" i="3" s="1"/>
  <c r="AO128" i="3"/>
  <c r="AC33" i="15"/>
  <c r="AD31" i="15"/>
  <c r="AD33" i="15" s="1"/>
  <c r="AM17" i="11"/>
  <c r="AN128" i="3"/>
  <c r="AN17" i="11" s="1"/>
  <c r="AD45" i="15"/>
  <c r="AE34" i="15"/>
  <c r="AF17" i="15"/>
  <c r="AD12" i="3"/>
  <c r="AC44" i="15"/>
  <c r="AC12" i="3"/>
  <c r="AH11" i="15"/>
  <c r="AH14" i="15" s="1"/>
  <c r="AI10" i="15" s="1"/>
  <c r="Q3" i="15"/>
  <c r="S4" i="15"/>
  <c r="L3" i="15"/>
  <c r="N4" i="15"/>
  <c r="AE38" i="15" l="1"/>
  <c r="AE35" i="15"/>
  <c r="AE37" i="15" s="1"/>
  <c r="AO17" i="11"/>
  <c r="AP17" i="11"/>
  <c r="AF34" i="15"/>
  <c r="AG17" i="15"/>
  <c r="AD44" i="15"/>
  <c r="AC18" i="3"/>
  <c r="AI11" i="15"/>
  <c r="AI14" i="15" s="1"/>
  <c r="AJ10" i="15" s="1"/>
  <c r="U4" i="15"/>
  <c r="S3" i="15"/>
  <c r="N3" i="15"/>
  <c r="P4" i="15"/>
  <c r="AH28" i="15" l="1"/>
  <c r="AH30" i="15" s="1"/>
  <c r="AH45" i="15" s="1"/>
  <c r="AF38" i="15"/>
  <c r="AF35" i="15"/>
  <c r="AH32" i="15"/>
  <c r="AG45" i="15"/>
  <c r="AD18" i="3"/>
  <c r="AH31" i="15"/>
  <c r="AH34" i="15" s="1"/>
  <c r="AH36" i="15" s="1"/>
  <c r="AG34" i="15"/>
  <c r="AH16" i="15"/>
  <c r="AH15" i="15" s="1"/>
  <c r="AH17" i="15" s="1"/>
  <c r="AE44" i="15"/>
  <c r="AE12" i="3"/>
  <c r="AH37" i="15"/>
  <c r="AI28" i="15"/>
  <c r="AI30" i="15" s="1"/>
  <c r="AI45" i="15" s="1"/>
  <c r="AJ11" i="15"/>
  <c r="AJ14" i="15" s="1"/>
  <c r="AK10" i="15" s="1"/>
  <c r="P3" i="15"/>
  <c r="R4" i="15"/>
  <c r="U3" i="15"/>
  <c r="W4" i="15"/>
  <c r="AF37" i="15" l="1"/>
  <c r="AI32" i="15"/>
  <c r="AI31" i="15"/>
  <c r="AF18" i="3"/>
  <c r="AI16" i="15"/>
  <c r="AI15" i="15" s="1"/>
  <c r="AI17" i="15" s="1"/>
  <c r="AI37" i="15"/>
  <c r="AH38" i="15"/>
  <c r="AH39" i="15" s="1"/>
  <c r="AH40" i="15" s="1"/>
  <c r="AJ28" i="15"/>
  <c r="AJ30" i="15" s="1"/>
  <c r="AJ45" i="15" s="1"/>
  <c r="AL26" i="15"/>
  <c r="AM26" i="15" s="1"/>
  <c r="AK11" i="15"/>
  <c r="AK14" i="15" s="1"/>
  <c r="AL10" i="15" s="1"/>
  <c r="R3" i="15"/>
  <c r="T4" i="15"/>
  <c r="Y4" i="15"/>
  <c r="W3" i="15"/>
  <c r="AI34" i="15" l="1"/>
  <c r="AI36" i="15" s="1"/>
  <c r="AJ32" i="15"/>
  <c r="AM11" i="15"/>
  <c r="AN26" i="15"/>
  <c r="AG18" i="3"/>
  <c r="AJ16" i="15"/>
  <c r="AK16" i="15" s="1"/>
  <c r="AJ31" i="15"/>
  <c r="AL11" i="15"/>
  <c r="AL14" i="15" s="1"/>
  <c r="AM10" i="15" s="1"/>
  <c r="AM14" i="15" s="1"/>
  <c r="AH18" i="3"/>
  <c r="AJ37" i="15"/>
  <c r="AI38" i="15"/>
  <c r="AI39" i="15" s="1"/>
  <c r="AI40" i="15" s="1"/>
  <c r="AK28" i="15"/>
  <c r="AK30" i="15" s="1"/>
  <c r="AK45" i="15" s="1"/>
  <c r="T3" i="15"/>
  <c r="V4" i="15"/>
  <c r="Y3" i="15"/>
  <c r="AA4" i="15"/>
  <c r="AN11" i="15" l="1"/>
  <c r="AO26" i="15"/>
  <c r="AJ34" i="15"/>
  <c r="AJ36" i="15" s="1"/>
  <c r="AK32" i="15"/>
  <c r="AJ15" i="15"/>
  <c r="AJ17" i="15" s="1"/>
  <c r="AN10" i="15"/>
  <c r="AN14" i="15" s="1"/>
  <c r="AO10" i="15" s="1"/>
  <c r="AK31" i="15"/>
  <c r="AI18" i="3"/>
  <c r="AK37" i="15"/>
  <c r="AJ38" i="15"/>
  <c r="AL28" i="15"/>
  <c r="AK15" i="15"/>
  <c r="AK17" i="15" s="1"/>
  <c r="AL16" i="15"/>
  <c r="AM16" i="15" s="1"/>
  <c r="AC4" i="15"/>
  <c r="AA3" i="15"/>
  <c r="V3" i="15"/>
  <c r="X4" i="15"/>
  <c r="AP26" i="15" l="1"/>
  <c r="AP11" i="15" s="1"/>
  <c r="AO11" i="15"/>
  <c r="AO14" i="15" s="1"/>
  <c r="AP10" i="15" s="1"/>
  <c r="AP14" i="15" s="1"/>
  <c r="AK34" i="15"/>
  <c r="AK36" i="15" s="1"/>
  <c r="AJ39" i="15"/>
  <c r="AJ40" i="15" s="1"/>
  <c r="AM28" i="15"/>
  <c r="AM30" i="15" s="1"/>
  <c r="AM45" i="15" s="1"/>
  <c r="AL30" i="15"/>
  <c r="AL45" i="15" s="1"/>
  <c r="AN28" i="15"/>
  <c r="AN16" i="15"/>
  <c r="AM15" i="15"/>
  <c r="AM17" i="15" s="1"/>
  <c r="AL37" i="15"/>
  <c r="AK38" i="15"/>
  <c r="AL15" i="15"/>
  <c r="AL17" i="15" s="1"/>
  <c r="X3" i="15"/>
  <c r="Z4" i="15"/>
  <c r="AC3" i="15"/>
  <c r="AE4" i="15"/>
  <c r="AJ18" i="3" l="1"/>
  <c r="AK39" i="15"/>
  <c r="AK40" i="15" s="1"/>
  <c r="AN30" i="15"/>
  <c r="AN45" i="15" s="1"/>
  <c r="AO28" i="15"/>
  <c r="AL32" i="15"/>
  <c r="AM32" i="15" s="1"/>
  <c r="AN15" i="15"/>
  <c r="AN17" i="15" s="1"/>
  <c r="AO16" i="15"/>
  <c r="AL38" i="15"/>
  <c r="AM37" i="15"/>
  <c r="AM31" i="15"/>
  <c r="AN31" i="15"/>
  <c r="AL31" i="15"/>
  <c r="AG4" i="15"/>
  <c r="AE3" i="15"/>
  <c r="Z3" i="15"/>
  <c r="AB4" i="15"/>
  <c r="AL34" i="15" l="1"/>
  <c r="AL36" i="15" s="1"/>
  <c r="AM34" i="15"/>
  <c r="AK18" i="3"/>
  <c r="AN32" i="15"/>
  <c r="AN34" i="15" s="1"/>
  <c r="AN36" i="15" s="1"/>
  <c r="AP28" i="15"/>
  <c r="AP30" i="15" s="1"/>
  <c r="AO30" i="15"/>
  <c r="AP16" i="15"/>
  <c r="AO15" i="15"/>
  <c r="AO17" i="15" s="1"/>
  <c r="AN37" i="15"/>
  <c r="AM38" i="15"/>
  <c r="AM39" i="15" s="1"/>
  <c r="AM18" i="3" s="1"/>
  <c r="AM36" i="15"/>
  <c r="AG3" i="15"/>
  <c r="AI4" i="15"/>
  <c r="AB3" i="15"/>
  <c r="AD4" i="15"/>
  <c r="AL39" i="15" l="1"/>
  <c r="AL18" i="3" s="1"/>
  <c r="AO32" i="15"/>
  <c r="AP32" i="15" s="1"/>
  <c r="AN38" i="15"/>
  <c r="AN39" i="15" s="1"/>
  <c r="AN18" i="3" s="1"/>
  <c r="AO37" i="15"/>
  <c r="AP45" i="15"/>
  <c r="AP31" i="15"/>
  <c r="AO31" i="15"/>
  <c r="AO45" i="15"/>
  <c r="AP15" i="15"/>
  <c r="AP17" i="15" s="1"/>
  <c r="AM40" i="15"/>
  <c r="AD3" i="15"/>
  <c r="AF4" i="15"/>
  <c r="AK4" i="15"/>
  <c r="AI3" i="15"/>
  <c r="AL40" i="15" l="1"/>
  <c r="AO34" i="15"/>
  <c r="AO36" i="15" s="1"/>
  <c r="AP34" i="15"/>
  <c r="AP36" i="15" s="1"/>
  <c r="AP37" i="15"/>
  <c r="AP38" i="15" s="1"/>
  <c r="AO38" i="15"/>
  <c r="AO39" i="15" s="1"/>
  <c r="AN40" i="15"/>
  <c r="AK3" i="15"/>
  <c r="AM4" i="15"/>
  <c r="AF3" i="15"/>
  <c r="AH4" i="15"/>
  <c r="AP39" i="15" l="1"/>
  <c r="AP18" i="3" s="1"/>
  <c r="AM3" i="15"/>
  <c r="AO4" i="15"/>
  <c r="AO3" i="15" s="1"/>
  <c r="AP40" i="15"/>
  <c r="AO18" i="3"/>
  <c r="AO40" i="15"/>
  <c r="AH3" i="15"/>
  <c r="AJ4" i="15"/>
  <c r="AJ3" i="15" l="1"/>
  <c r="AL4" i="15"/>
  <c r="AL3" i="15" l="1"/>
  <c r="AN4" i="15"/>
  <c r="AA112" i="12"/>
  <c r="Z40" i="14"/>
  <c r="Z21" i="3"/>
  <c r="Z20" i="3"/>
  <c r="Z17" i="3"/>
  <c r="AN3" i="15" l="1"/>
  <c r="AP4" i="15"/>
  <c r="AP3" i="15" s="1"/>
  <c r="AA42" i="14"/>
  <c r="V41" i="14"/>
  <c r="V42" i="14" s="1"/>
  <c r="W42" i="14"/>
  <c r="X42" i="14"/>
  <c r="Z42" i="14"/>
  <c r="Y42" i="14"/>
  <c r="AA119" i="14"/>
  <c r="AB117" i="14"/>
  <c r="AC117" i="14" s="1"/>
  <c r="AD117" i="14" s="1"/>
  <c r="AE117" i="14" s="1"/>
  <c r="AG117" i="14" s="1"/>
  <c r="AH117" i="14" s="1"/>
  <c r="AI117" i="14" s="1"/>
  <c r="AJ117" i="14" s="1"/>
  <c r="AK117" i="14" s="1"/>
  <c r="AL117" i="14" s="1"/>
  <c r="AM117" i="14" s="1"/>
  <c r="AN117" i="14" s="1"/>
  <c r="AO117" i="14" s="1"/>
  <c r="AP117" i="14" s="1"/>
  <c r="AB116" i="14"/>
  <c r="AC116" i="14" s="1"/>
  <c r="AD116" i="14" s="1"/>
  <c r="AE116" i="14" s="1"/>
  <c r="AG116" i="14" s="1"/>
  <c r="AH116" i="14" s="1"/>
  <c r="AI116" i="14" s="1"/>
  <c r="AJ116" i="14" s="1"/>
  <c r="AK116" i="14" s="1"/>
  <c r="AL116" i="14" s="1"/>
  <c r="AM116" i="14" s="1"/>
  <c r="AN116" i="14" s="1"/>
  <c r="AO116" i="14" s="1"/>
  <c r="AP116" i="14" s="1"/>
  <c r="AC114" i="14"/>
  <c r="AB113" i="14"/>
  <c r="AC113" i="14" s="1"/>
  <c r="AA112" i="14"/>
  <c r="AA115" i="14" s="1"/>
  <c r="AB112" i="14" s="1"/>
  <c r="AL107" i="14"/>
  <c r="AK107" i="14"/>
  <c r="AJ107" i="14"/>
  <c r="AJ83" i="14" s="1"/>
  <c r="AI107" i="14"/>
  <c r="AH107" i="14"/>
  <c r="AG107" i="14"/>
  <c r="AF107" i="14"/>
  <c r="AF83" i="14" s="1"/>
  <c r="AE107" i="14"/>
  <c r="AD107" i="14"/>
  <c r="AC107" i="14"/>
  <c r="AB107" i="14"/>
  <c r="AB83" i="14" s="1"/>
  <c r="AA107" i="14"/>
  <c r="AA83" i="14" s="1"/>
  <c r="Z107" i="14"/>
  <c r="AL93" i="14"/>
  <c r="AK93" i="14"/>
  <c r="AK82" i="14" s="1"/>
  <c r="AJ93" i="14"/>
  <c r="AJ82" i="14" s="1"/>
  <c r="AI93" i="14"/>
  <c r="AI82" i="14" s="1"/>
  <c r="AH93" i="14"/>
  <c r="AG93" i="14"/>
  <c r="AF93" i="14"/>
  <c r="AF82" i="14" s="1"/>
  <c r="AE93" i="14"/>
  <c r="AE82" i="14" s="1"/>
  <c r="AD93" i="14"/>
  <c r="AC93" i="14"/>
  <c r="AB93" i="14"/>
  <c r="AB82" i="14" s="1"/>
  <c r="AA93" i="14"/>
  <c r="AA82" i="14" s="1"/>
  <c r="Z93" i="14"/>
  <c r="Z86" i="14"/>
  <c r="AB84" i="14"/>
  <c r="AA84" i="14"/>
  <c r="AA81" i="14"/>
  <c r="AA76" i="14"/>
  <c r="Z76" i="14"/>
  <c r="Z77" i="14" s="1"/>
  <c r="AA73" i="14"/>
  <c r="C73" i="14"/>
  <c r="AA72" i="14"/>
  <c r="C72" i="14"/>
  <c r="C71" i="14"/>
  <c r="AA70" i="14"/>
  <c r="C70" i="14"/>
  <c r="AA69" i="14"/>
  <c r="C69" i="14"/>
  <c r="AA68" i="14"/>
  <c r="C68" i="14"/>
  <c r="AA67" i="14"/>
  <c r="C67" i="14"/>
  <c r="AA66" i="14"/>
  <c r="C66" i="14"/>
  <c r="AA65" i="14"/>
  <c r="C65" i="14"/>
  <c r="AA64" i="14"/>
  <c r="C64" i="14"/>
  <c r="AA63" i="14"/>
  <c r="C63" i="14"/>
  <c r="AA62" i="14"/>
  <c r="C62" i="14"/>
  <c r="AA61" i="14"/>
  <c r="C61" i="14"/>
  <c r="AA60" i="14"/>
  <c r="C60" i="14"/>
  <c r="AA59" i="14"/>
  <c r="C59" i="14"/>
  <c r="AA58" i="14"/>
  <c r="C58" i="14"/>
  <c r="AA57" i="14"/>
  <c r="C57" i="14"/>
  <c r="AA56" i="14"/>
  <c r="C56" i="14"/>
  <c r="AA55" i="14"/>
  <c r="C55" i="14"/>
  <c r="AA54" i="14"/>
  <c r="C54" i="14"/>
  <c r="AA53" i="14"/>
  <c r="C53" i="14"/>
  <c r="AA52" i="14"/>
  <c r="C52" i="14"/>
  <c r="AA51" i="14"/>
  <c r="C51" i="14"/>
  <c r="AE46" i="14"/>
  <c r="AF46" i="14" s="1"/>
  <c r="AG46" i="14" s="1"/>
  <c r="AH46" i="14" s="1"/>
  <c r="AI46" i="14" s="1"/>
  <c r="AJ46" i="14" s="1"/>
  <c r="AK46" i="14" s="1"/>
  <c r="AL46" i="14" s="1"/>
  <c r="AM46" i="14" s="1"/>
  <c r="AB32" i="14"/>
  <c r="R5" i="14"/>
  <c r="T5" i="14" s="1"/>
  <c r="V5" i="14" s="1"/>
  <c r="X5" i="14" s="1"/>
  <c r="Z5" i="14" s="1"/>
  <c r="AB5" i="14" s="1"/>
  <c r="AD5" i="14" s="1"/>
  <c r="AF5" i="14" s="1"/>
  <c r="AH5" i="14" s="1"/>
  <c r="AJ5" i="14" s="1"/>
  <c r="AL5" i="14" s="1"/>
  <c r="AN5" i="14" s="1"/>
  <c r="AP5" i="14" s="1"/>
  <c r="Q5" i="14"/>
  <c r="S5" i="14" s="1"/>
  <c r="U5" i="14" s="1"/>
  <c r="W5" i="14" s="1"/>
  <c r="Y5" i="14" s="1"/>
  <c r="AA5" i="14" s="1"/>
  <c r="AC5" i="14" s="1"/>
  <c r="AE5" i="14" s="1"/>
  <c r="AG5" i="14" s="1"/>
  <c r="AI5" i="14" s="1"/>
  <c r="AK5" i="14" s="1"/>
  <c r="AM5" i="14" s="1"/>
  <c r="AO5" i="14" s="1"/>
  <c r="G4" i="14"/>
  <c r="I4" i="14" s="1"/>
  <c r="K4" i="14" s="1"/>
  <c r="K3" i="14" s="1"/>
  <c r="F4" i="14"/>
  <c r="H4" i="14" s="1"/>
  <c r="E3" i="14"/>
  <c r="F2" i="14"/>
  <c r="G2" i="14" s="1"/>
  <c r="H2" i="14" s="1"/>
  <c r="I2" i="14" s="1"/>
  <c r="J2" i="14" s="1"/>
  <c r="K2" i="14" s="1"/>
  <c r="L2" i="14" s="1"/>
  <c r="M2" i="14" s="1"/>
  <c r="N2" i="14" s="1"/>
  <c r="O2" i="14" s="1"/>
  <c r="P2" i="14" s="1"/>
  <c r="Q2" i="14" s="1"/>
  <c r="R2" i="14" s="1"/>
  <c r="S2" i="14" s="1"/>
  <c r="T2" i="14" s="1"/>
  <c r="U2" i="14" s="1"/>
  <c r="V2" i="14" s="1"/>
  <c r="W2" i="14" s="1"/>
  <c r="X2" i="14" s="1"/>
  <c r="Y2" i="14" s="1"/>
  <c r="Z2" i="14" s="1"/>
  <c r="AA2" i="14" s="1"/>
  <c r="AB2" i="14" s="1"/>
  <c r="AC2" i="14" s="1"/>
  <c r="AD2" i="14" s="1"/>
  <c r="AE2" i="14" s="1"/>
  <c r="AF2" i="14" s="1"/>
  <c r="AG2" i="14" s="1"/>
  <c r="AH2" i="14" s="1"/>
  <c r="AI2" i="14" s="1"/>
  <c r="AJ2" i="14" s="1"/>
  <c r="AK2" i="14" s="1"/>
  <c r="AL2" i="14" s="1"/>
  <c r="AM2" i="14" s="1"/>
  <c r="AN2" i="14" s="1"/>
  <c r="AO2" i="14" s="1"/>
  <c r="AP2" i="14" s="1"/>
  <c r="A1" i="14"/>
  <c r="AB10" i="3"/>
  <c r="AA85" i="13"/>
  <c r="AA49" i="13" s="1"/>
  <c r="AB83" i="13"/>
  <c r="AC83" i="13" s="1"/>
  <c r="AD83" i="13" s="1"/>
  <c r="AI83" i="13" s="1"/>
  <c r="AJ83" i="13" s="1"/>
  <c r="AK83" i="13" s="1"/>
  <c r="AL83" i="13" s="1"/>
  <c r="AM83" i="13" s="1"/>
  <c r="AB82" i="13"/>
  <c r="AC82" i="13" s="1"/>
  <c r="AG82" i="13" s="1"/>
  <c r="AH82" i="13" s="1"/>
  <c r="AI82" i="13" s="1"/>
  <c r="AJ82" i="13" s="1"/>
  <c r="AK82" i="13" s="1"/>
  <c r="AL82" i="13" s="1"/>
  <c r="AM82" i="13" s="1"/>
  <c r="AN82" i="13" s="1"/>
  <c r="AO82" i="13" s="1"/>
  <c r="AP82" i="13" s="1"/>
  <c r="AC80" i="13"/>
  <c r="AA78" i="13"/>
  <c r="AB78" i="13" s="1"/>
  <c r="AL73" i="13"/>
  <c r="AL56" i="13" s="1"/>
  <c r="AK73" i="13"/>
  <c r="AK56" i="13" s="1"/>
  <c r="AJ73" i="13"/>
  <c r="AJ56" i="13" s="1"/>
  <c r="AI73" i="13"/>
  <c r="AI56" i="13" s="1"/>
  <c r="AH73" i="13"/>
  <c r="AH56" i="13" s="1"/>
  <c r="AG73" i="13"/>
  <c r="AG56" i="13" s="1"/>
  <c r="AF73" i="13"/>
  <c r="AF56" i="13" s="1"/>
  <c r="AE73" i="13"/>
  <c r="AE56" i="13" s="1"/>
  <c r="AD73" i="13"/>
  <c r="AD56" i="13" s="1"/>
  <c r="AC73" i="13"/>
  <c r="AC56" i="13" s="1"/>
  <c r="AB73" i="13"/>
  <c r="AB56" i="13" s="1"/>
  <c r="AA73" i="13"/>
  <c r="AA56" i="13" s="1"/>
  <c r="Z73" i="13"/>
  <c r="AL66" i="13"/>
  <c r="AL55" i="13" s="1"/>
  <c r="AK66" i="13"/>
  <c r="AK55" i="13" s="1"/>
  <c r="AJ66" i="13"/>
  <c r="AJ55" i="13" s="1"/>
  <c r="AI66" i="13"/>
  <c r="AI55" i="13" s="1"/>
  <c r="AH66" i="13"/>
  <c r="AG66" i="13"/>
  <c r="AG55" i="13" s="1"/>
  <c r="AF66" i="13"/>
  <c r="AF55" i="13" s="1"/>
  <c r="AE66" i="13"/>
  <c r="AE55" i="13" s="1"/>
  <c r="AD66" i="13"/>
  <c r="AD55" i="13" s="1"/>
  <c r="AC66" i="13"/>
  <c r="AC55" i="13" s="1"/>
  <c r="AB66" i="13"/>
  <c r="AB55" i="13" s="1"/>
  <c r="AA66" i="13"/>
  <c r="AA55" i="13" s="1"/>
  <c r="Z66" i="13"/>
  <c r="Z59" i="13"/>
  <c r="AB57" i="13"/>
  <c r="AA57" i="13"/>
  <c r="AH55" i="13"/>
  <c r="AA54" i="13"/>
  <c r="Z49" i="13"/>
  <c r="Z50" i="13" s="1"/>
  <c r="AA46" i="13"/>
  <c r="C46" i="13"/>
  <c r="AA45" i="13"/>
  <c r="C45" i="13"/>
  <c r="AA44" i="13"/>
  <c r="C44" i="13"/>
  <c r="AA43" i="13"/>
  <c r="C43" i="13"/>
  <c r="AA42" i="13"/>
  <c r="C42" i="13"/>
  <c r="AA41" i="13"/>
  <c r="AB41" i="13" s="1"/>
  <c r="C41" i="13"/>
  <c r="AA40" i="13"/>
  <c r="C40" i="13"/>
  <c r="AA39" i="13"/>
  <c r="C39" i="13"/>
  <c r="AA38" i="13"/>
  <c r="C38" i="13"/>
  <c r="AA37" i="13"/>
  <c r="C37" i="13"/>
  <c r="AE32" i="13"/>
  <c r="AF32" i="13" s="1"/>
  <c r="AG32" i="13" s="1"/>
  <c r="AH32" i="13" s="1"/>
  <c r="AI32" i="13" s="1"/>
  <c r="AJ32" i="13" s="1"/>
  <c r="AK32" i="13" s="1"/>
  <c r="AL32" i="13" s="1"/>
  <c r="AM32" i="13" s="1"/>
  <c r="AN32" i="13" s="1"/>
  <c r="AO32" i="13" s="1"/>
  <c r="AP32" i="13" s="1"/>
  <c r="Z25" i="13"/>
  <c r="Z26" i="13" s="1"/>
  <c r="Y25" i="13"/>
  <c r="Y26" i="13" s="1"/>
  <c r="AA19" i="13"/>
  <c r="AA18" i="13"/>
  <c r="AA17" i="13"/>
  <c r="AA16" i="13"/>
  <c r="AA15" i="13"/>
  <c r="AA14" i="13"/>
  <c r="AA13" i="13"/>
  <c r="AA12" i="13"/>
  <c r="AA11" i="13"/>
  <c r="AA10" i="13"/>
  <c r="R5" i="13"/>
  <c r="T5" i="13" s="1"/>
  <c r="V5" i="13" s="1"/>
  <c r="X5" i="13" s="1"/>
  <c r="Z5" i="13" s="1"/>
  <c r="AB5" i="13" s="1"/>
  <c r="AD5" i="13" s="1"/>
  <c r="AF5" i="13" s="1"/>
  <c r="AH5" i="13" s="1"/>
  <c r="AJ5" i="13" s="1"/>
  <c r="AL5" i="13" s="1"/>
  <c r="AN5" i="13" s="1"/>
  <c r="AP5" i="13" s="1"/>
  <c r="Q5" i="13"/>
  <c r="S5" i="13" s="1"/>
  <c r="U5" i="13" s="1"/>
  <c r="W5" i="13" s="1"/>
  <c r="Y5" i="13" s="1"/>
  <c r="AA5" i="13" s="1"/>
  <c r="AC5" i="13" s="1"/>
  <c r="AE5" i="13" s="1"/>
  <c r="AG5" i="13" s="1"/>
  <c r="AI5" i="13" s="1"/>
  <c r="AK5" i="13" s="1"/>
  <c r="AM5" i="13" s="1"/>
  <c r="AO5" i="13" s="1"/>
  <c r="G4" i="13"/>
  <c r="F4" i="13"/>
  <c r="H4" i="13" s="1"/>
  <c r="J4" i="13" s="1"/>
  <c r="J3" i="13" s="1"/>
  <c r="E3" i="13"/>
  <c r="F2" i="13"/>
  <c r="G2" i="13" s="1"/>
  <c r="H2" i="13" s="1"/>
  <c r="I2" i="13" s="1"/>
  <c r="J2" i="13" s="1"/>
  <c r="K2" i="13" s="1"/>
  <c r="L2" i="13" s="1"/>
  <c r="M2" i="13" s="1"/>
  <c r="N2" i="13" s="1"/>
  <c r="O2" i="13" s="1"/>
  <c r="P2" i="13" s="1"/>
  <c r="Q2" i="13" s="1"/>
  <c r="R2" i="13" s="1"/>
  <c r="S2" i="13" s="1"/>
  <c r="T2" i="13" s="1"/>
  <c r="U2" i="13" s="1"/>
  <c r="V2" i="13" s="1"/>
  <c r="W2" i="13" s="1"/>
  <c r="X2" i="13" s="1"/>
  <c r="Y2" i="13" s="1"/>
  <c r="Z2" i="13" s="1"/>
  <c r="AA2" i="13" s="1"/>
  <c r="AB2" i="13" s="1"/>
  <c r="AC2" i="13" s="1"/>
  <c r="AD2" i="13" s="1"/>
  <c r="AE2" i="13" s="1"/>
  <c r="AF2" i="13" s="1"/>
  <c r="AG2" i="13" s="1"/>
  <c r="AH2" i="13" s="1"/>
  <c r="AI2" i="13" s="1"/>
  <c r="AJ2" i="13" s="1"/>
  <c r="AK2" i="13" s="1"/>
  <c r="AL2" i="13" s="1"/>
  <c r="AM2" i="13" s="1"/>
  <c r="AN2" i="13" s="1"/>
  <c r="AO2" i="13" s="1"/>
  <c r="AP2" i="13" s="1"/>
  <c r="A1" i="13"/>
  <c r="AC84" i="12"/>
  <c r="AB84" i="12"/>
  <c r="AA84" i="12"/>
  <c r="Z76" i="12"/>
  <c r="Z77" i="12" s="1"/>
  <c r="AA113" i="12"/>
  <c r="AA76" i="12" s="1"/>
  <c r="AA106" i="12"/>
  <c r="AA109" i="12" s="1"/>
  <c r="AB106" i="12" s="1"/>
  <c r="AB111" i="12"/>
  <c r="AC111" i="12" s="1"/>
  <c r="AD111" i="12" s="1"/>
  <c r="AE111" i="12" s="1"/>
  <c r="AF111" i="12" s="1"/>
  <c r="AG111" i="12" s="1"/>
  <c r="AH111" i="12" s="1"/>
  <c r="AI111" i="12" s="1"/>
  <c r="AJ111" i="12" s="1"/>
  <c r="AK111" i="12" s="1"/>
  <c r="AL111" i="12" s="1"/>
  <c r="AM111" i="12" s="1"/>
  <c r="AN111" i="12" s="1"/>
  <c r="AO111" i="12" s="1"/>
  <c r="AP111" i="12" s="1"/>
  <c r="AB110" i="12"/>
  <c r="AA13" i="12"/>
  <c r="AA12" i="12"/>
  <c r="AA11" i="12"/>
  <c r="AA10" i="12"/>
  <c r="AA15" i="12"/>
  <c r="AA16" i="12"/>
  <c r="AA17" i="12"/>
  <c r="AA18" i="12"/>
  <c r="AA19" i="12"/>
  <c r="AA20" i="12"/>
  <c r="AA21" i="12"/>
  <c r="AA22" i="12"/>
  <c r="AA23" i="12"/>
  <c r="AA24" i="12"/>
  <c r="AA25" i="12"/>
  <c r="AA26" i="12"/>
  <c r="AA27" i="12"/>
  <c r="AA28" i="12"/>
  <c r="AA29" i="12"/>
  <c r="AA30" i="12"/>
  <c r="AA31" i="12"/>
  <c r="AA32" i="12"/>
  <c r="AA14" i="12"/>
  <c r="AD46" i="12"/>
  <c r="AE46" i="12" s="1"/>
  <c r="AF46" i="12" s="1"/>
  <c r="AG46" i="12" s="1"/>
  <c r="AH46" i="12" s="1"/>
  <c r="AI46" i="12" s="1"/>
  <c r="AJ46" i="12" s="1"/>
  <c r="AK46" i="12" s="1"/>
  <c r="AL46" i="12" s="1"/>
  <c r="AM46" i="12" s="1"/>
  <c r="AB45" i="12"/>
  <c r="AA53" i="12"/>
  <c r="AA52" i="12"/>
  <c r="AA54" i="12"/>
  <c r="AA55" i="12"/>
  <c r="AA56" i="12"/>
  <c r="AA57" i="12"/>
  <c r="AA58" i="12"/>
  <c r="AA59" i="12"/>
  <c r="AA60" i="12"/>
  <c r="AA61" i="12"/>
  <c r="AA62" i="12"/>
  <c r="AA63" i="12"/>
  <c r="AA64" i="12"/>
  <c r="AA65" i="12"/>
  <c r="AA66" i="12"/>
  <c r="AA67" i="12"/>
  <c r="AA68" i="12"/>
  <c r="AA69" i="12"/>
  <c r="AA70" i="12"/>
  <c r="AA71" i="12"/>
  <c r="AA72" i="12"/>
  <c r="AA73" i="12"/>
  <c r="AA51" i="12"/>
  <c r="Z86" i="12"/>
  <c r="AA93" i="12"/>
  <c r="AA82" i="12" s="1"/>
  <c r="AB93" i="12"/>
  <c r="AB82" i="12" s="1"/>
  <c r="AC93" i="12"/>
  <c r="AC82" i="12" s="1"/>
  <c r="AD93" i="12"/>
  <c r="AD82" i="12" s="1"/>
  <c r="AE93" i="12"/>
  <c r="AE82" i="12" s="1"/>
  <c r="AF93" i="12"/>
  <c r="AF82" i="12" s="1"/>
  <c r="AG93" i="12"/>
  <c r="AG82" i="12" s="1"/>
  <c r="AH93" i="12"/>
  <c r="AH82" i="12" s="1"/>
  <c r="AI93" i="12"/>
  <c r="AI82" i="12" s="1"/>
  <c r="AJ93" i="12"/>
  <c r="AJ82" i="12" s="1"/>
  <c r="AK93" i="12"/>
  <c r="AK82" i="12" s="1"/>
  <c r="AL93" i="12"/>
  <c r="AL82" i="12" s="1"/>
  <c r="AA101" i="12"/>
  <c r="AA83" i="12" s="1"/>
  <c r="AB101" i="12"/>
  <c r="AB83" i="12" s="1"/>
  <c r="AC101" i="12"/>
  <c r="AC83" i="12" s="1"/>
  <c r="AD101" i="12"/>
  <c r="AD83" i="12" s="1"/>
  <c r="AE101" i="12"/>
  <c r="AE83" i="12" s="1"/>
  <c r="AF101" i="12"/>
  <c r="AF83" i="12" s="1"/>
  <c r="AG101" i="12"/>
  <c r="AG83" i="12" s="1"/>
  <c r="AH101" i="12"/>
  <c r="AI101" i="12"/>
  <c r="AI83" i="12" s="1"/>
  <c r="AJ101" i="12"/>
  <c r="AJ83" i="12" s="1"/>
  <c r="AK101" i="12"/>
  <c r="AK83" i="12" s="1"/>
  <c r="AL101" i="12"/>
  <c r="AL83" i="12" s="1"/>
  <c r="Z101" i="12"/>
  <c r="Z93" i="12"/>
  <c r="Z39" i="12"/>
  <c r="Z40" i="12" s="1"/>
  <c r="Y39" i="12"/>
  <c r="Y40" i="12" s="1"/>
  <c r="AH83" i="12" l="1"/>
  <c r="AH128" i="3"/>
  <c r="AC71" i="11"/>
  <c r="AN83" i="13"/>
  <c r="AN46" i="12"/>
  <c r="AO46" i="12" s="1"/>
  <c r="AN46" i="14"/>
  <c r="AO46" i="14" s="1"/>
  <c r="F3" i="13"/>
  <c r="AB79" i="13"/>
  <c r="AB81" i="13" s="1"/>
  <c r="AC78" i="13" s="1"/>
  <c r="AC81" i="13" s="1"/>
  <c r="AD78" i="13" s="1"/>
  <c r="AJ128" i="3"/>
  <c r="AL127" i="3"/>
  <c r="AK128" i="3"/>
  <c r="AC110" i="12"/>
  <c r="AD110" i="12" s="1"/>
  <c r="AE110" i="12" s="1"/>
  <c r="AF110" i="12" s="1"/>
  <c r="AG110" i="12" s="1"/>
  <c r="AH110" i="12" s="1"/>
  <c r="AI110" i="12" s="1"/>
  <c r="AJ110" i="12" s="1"/>
  <c r="AK110" i="12" s="1"/>
  <c r="AL110" i="12" s="1"/>
  <c r="AM110" i="12" s="1"/>
  <c r="AN110" i="12" s="1"/>
  <c r="AO110" i="12" s="1"/>
  <c r="AP110" i="12" s="1"/>
  <c r="AB112" i="12"/>
  <c r="AB116" i="12" s="1"/>
  <c r="AH127" i="3"/>
  <c r="G3" i="14"/>
  <c r="AL83" i="14"/>
  <c r="AL128" i="3"/>
  <c r="AK83" i="14"/>
  <c r="AG82" i="14"/>
  <c r="AE83" i="14"/>
  <c r="AH82" i="14"/>
  <c r="AI83" i="14"/>
  <c r="AI128" i="3"/>
  <c r="AD83" i="14"/>
  <c r="AD57" i="13"/>
  <c r="AC82" i="14"/>
  <c r="AB115" i="14"/>
  <c r="AC112" i="14" s="1"/>
  <c r="AC115" i="14" s="1"/>
  <c r="AD112" i="14" s="1"/>
  <c r="AL82" i="14"/>
  <c r="AG83" i="14"/>
  <c r="AD82" i="14"/>
  <c r="AH83" i="14"/>
  <c r="AB14" i="14"/>
  <c r="AB18" i="14"/>
  <c r="AC83" i="14"/>
  <c r="AI127" i="3"/>
  <c r="AJ127" i="3"/>
  <c r="F3" i="14"/>
  <c r="AK127" i="3"/>
  <c r="AB11" i="14"/>
  <c r="AB15" i="14"/>
  <c r="AB12" i="14"/>
  <c r="AB16" i="14"/>
  <c r="AB20" i="14"/>
  <c r="AB24" i="14"/>
  <c r="AB28" i="14"/>
  <c r="AB13" i="14"/>
  <c r="AB17" i="14"/>
  <c r="AD114" i="14"/>
  <c r="AD84" i="14" s="1"/>
  <c r="AB19" i="14"/>
  <c r="AB23" i="14"/>
  <c r="AB27" i="14"/>
  <c r="AB31" i="14"/>
  <c r="AB21" i="14"/>
  <c r="AB25" i="14"/>
  <c r="AB29" i="14"/>
  <c r="AB22" i="14"/>
  <c r="AB26" i="14"/>
  <c r="AA38" i="14"/>
  <c r="AA39" i="14" s="1"/>
  <c r="I3" i="14"/>
  <c r="M4" i="14"/>
  <c r="H3" i="14"/>
  <c r="J4" i="14"/>
  <c r="AB10" i="14"/>
  <c r="AD45" i="14"/>
  <c r="AF45" i="14" s="1"/>
  <c r="AG45" i="14" s="1"/>
  <c r="AH45" i="14" s="1"/>
  <c r="AI45" i="14" s="1"/>
  <c r="AJ45" i="14" s="1"/>
  <c r="AK45" i="14" s="1"/>
  <c r="AL45" i="14" s="1"/>
  <c r="AM45" i="14" s="1"/>
  <c r="AC118" i="14"/>
  <c r="AC84" i="14"/>
  <c r="AB119" i="14"/>
  <c r="AA86" i="14"/>
  <c r="AA77" i="14"/>
  <c r="AD113" i="14"/>
  <c r="AE114" i="14"/>
  <c r="AB12" i="13"/>
  <c r="AB16" i="13"/>
  <c r="AB13" i="13"/>
  <c r="AB17" i="13"/>
  <c r="AB10" i="13"/>
  <c r="AB14" i="13"/>
  <c r="AB18" i="13"/>
  <c r="AB11" i="13"/>
  <c r="AB15" i="13"/>
  <c r="AB19" i="13"/>
  <c r="AB40" i="13"/>
  <c r="AB37" i="13"/>
  <c r="AB46" i="13"/>
  <c r="AB38" i="13"/>
  <c r="AB45" i="13"/>
  <c r="AD84" i="13"/>
  <c r="G3" i="13"/>
  <c r="I4" i="13"/>
  <c r="H3" i="13"/>
  <c r="L4" i="13"/>
  <c r="AB39" i="13"/>
  <c r="AC31" i="13"/>
  <c r="AA25" i="13"/>
  <c r="AA26" i="13" s="1"/>
  <c r="AB42" i="13"/>
  <c r="AB44" i="13"/>
  <c r="AA50" i="13"/>
  <c r="AB43" i="13"/>
  <c r="AC84" i="13"/>
  <c r="AC57" i="13"/>
  <c r="AB85" i="13"/>
  <c r="AC86" i="13" s="1"/>
  <c r="AA59" i="13"/>
  <c r="AB109" i="12"/>
  <c r="AC106" i="12" s="1"/>
  <c r="AC109" i="12" s="1"/>
  <c r="AD106" i="12" s="1"/>
  <c r="AB14" i="12"/>
  <c r="AB28" i="12"/>
  <c r="AB19" i="12"/>
  <c r="AB20" i="12"/>
  <c r="AB12" i="12"/>
  <c r="AB73" i="12"/>
  <c r="AB69" i="12"/>
  <c r="AB65" i="12"/>
  <c r="AB61" i="12"/>
  <c r="AB57" i="12"/>
  <c r="AB52" i="12"/>
  <c r="AB27" i="12"/>
  <c r="AB64" i="12"/>
  <c r="AB30" i="12"/>
  <c r="AB26" i="12"/>
  <c r="AB22" i="12"/>
  <c r="AB18" i="12"/>
  <c r="AB71" i="12"/>
  <c r="AB67" i="12"/>
  <c r="AB63" i="12"/>
  <c r="AB59" i="12"/>
  <c r="AB55" i="12"/>
  <c r="AB17" i="12"/>
  <c r="AB51" i="12"/>
  <c r="AB70" i="12"/>
  <c r="AB66" i="12"/>
  <c r="AB62" i="12"/>
  <c r="AB58" i="12"/>
  <c r="AB54" i="12"/>
  <c r="AB29" i="12"/>
  <c r="AB21" i="12"/>
  <c r="AB11" i="12"/>
  <c r="AB32" i="12"/>
  <c r="AB24" i="12"/>
  <c r="AB16" i="12"/>
  <c r="AB25" i="12"/>
  <c r="AB72" i="12"/>
  <c r="AB68" i="12"/>
  <c r="AB60" i="12"/>
  <c r="AB56" i="12"/>
  <c r="AB31" i="12"/>
  <c r="AB23" i="12"/>
  <c r="AB15" i="12"/>
  <c r="AB13" i="12"/>
  <c r="AA39" i="12"/>
  <c r="AA40" i="12" s="1"/>
  <c r="AB10" i="12"/>
  <c r="AA77" i="12"/>
  <c r="AB53" i="12"/>
  <c r="AO83" i="13" l="1"/>
  <c r="AP83" i="13" s="1"/>
  <c r="AP46" i="14"/>
  <c r="AP46" i="12"/>
  <c r="AN45" i="14"/>
  <c r="AO45" i="14" s="1"/>
  <c r="AP45" i="14" s="1"/>
  <c r="AC112" i="12"/>
  <c r="AB113" i="12"/>
  <c r="AB76" i="12" s="1"/>
  <c r="AB77" i="12" s="1"/>
  <c r="AB114" i="12"/>
  <c r="AB37" i="12" s="1"/>
  <c r="AB39" i="12" s="1"/>
  <c r="AD71" i="11"/>
  <c r="AC53" i="14"/>
  <c r="AD115" i="14"/>
  <c r="AE112" i="14" s="1"/>
  <c r="AC59" i="14"/>
  <c r="AD59" i="14" s="1"/>
  <c r="AE59" i="14" s="1"/>
  <c r="AF59" i="14" s="1"/>
  <c r="AG59" i="14" s="1"/>
  <c r="AH59" i="14" s="1"/>
  <c r="AI59" i="14" s="1"/>
  <c r="AJ59" i="14" s="1"/>
  <c r="AK59" i="14" s="1"/>
  <c r="AL59" i="14" s="1"/>
  <c r="AM59" i="14" s="1"/>
  <c r="AC60" i="14"/>
  <c r="AD60" i="14" s="1"/>
  <c r="AE60" i="14" s="1"/>
  <c r="AF60" i="14" s="1"/>
  <c r="AG60" i="14" s="1"/>
  <c r="AH60" i="14" s="1"/>
  <c r="AI60" i="14" s="1"/>
  <c r="AJ60" i="14" s="1"/>
  <c r="AK60" i="14" s="1"/>
  <c r="AL60" i="14" s="1"/>
  <c r="AM60" i="14" s="1"/>
  <c r="AC63" i="14"/>
  <c r="AD63" i="14" s="1"/>
  <c r="AE63" i="14" s="1"/>
  <c r="AF63" i="14" s="1"/>
  <c r="AG63" i="14" s="1"/>
  <c r="AH63" i="14" s="1"/>
  <c r="AI63" i="14" s="1"/>
  <c r="AJ63" i="14" s="1"/>
  <c r="AK63" i="14" s="1"/>
  <c r="AL63" i="14" s="1"/>
  <c r="AM63" i="14" s="1"/>
  <c r="AC66" i="14"/>
  <c r="AD66" i="14" s="1"/>
  <c r="AE66" i="14" s="1"/>
  <c r="AF66" i="14" s="1"/>
  <c r="AG66" i="14" s="1"/>
  <c r="AH66" i="14" s="1"/>
  <c r="AI66" i="14" s="1"/>
  <c r="AJ66" i="14" s="1"/>
  <c r="AK66" i="14" s="1"/>
  <c r="AL66" i="14" s="1"/>
  <c r="AM66" i="14" s="1"/>
  <c r="AN66" i="14" s="1"/>
  <c r="AO66" i="14" s="1"/>
  <c r="AP66" i="14" s="1"/>
  <c r="AC69" i="14"/>
  <c r="AD69" i="14" s="1"/>
  <c r="AE69" i="14" s="1"/>
  <c r="AF69" i="14" s="1"/>
  <c r="AG69" i="14" s="1"/>
  <c r="AH69" i="14" s="1"/>
  <c r="AI69" i="14" s="1"/>
  <c r="AJ69" i="14" s="1"/>
  <c r="AK69" i="14" s="1"/>
  <c r="AL69" i="14" s="1"/>
  <c r="AM69" i="14" s="1"/>
  <c r="AN69" i="14" s="1"/>
  <c r="AO69" i="14" s="1"/>
  <c r="AP69" i="14" s="1"/>
  <c r="AD118" i="14"/>
  <c r="AC72" i="14"/>
  <c r="AD72" i="14" s="1"/>
  <c r="AE72" i="14" s="1"/>
  <c r="AF72" i="14" s="1"/>
  <c r="AG72" i="14" s="1"/>
  <c r="AH72" i="14" s="1"/>
  <c r="AI72" i="14" s="1"/>
  <c r="AJ72" i="14" s="1"/>
  <c r="AK72" i="14" s="1"/>
  <c r="AL72" i="14" s="1"/>
  <c r="AM72" i="14" s="1"/>
  <c r="AC21" i="14"/>
  <c r="AD21" i="14" s="1"/>
  <c r="AE21" i="14" s="1"/>
  <c r="AF21" i="14" s="1"/>
  <c r="AG21" i="14" s="1"/>
  <c r="AH21" i="14" s="1"/>
  <c r="AI21" i="14" s="1"/>
  <c r="AJ21" i="14" s="1"/>
  <c r="AK21" i="14" s="1"/>
  <c r="AL21" i="14" s="1"/>
  <c r="AM21" i="14" s="1"/>
  <c r="AC13" i="14"/>
  <c r="AD13" i="14" s="1"/>
  <c r="AE13" i="14" s="1"/>
  <c r="AF13" i="14" s="1"/>
  <c r="AG13" i="14" s="1"/>
  <c r="AH13" i="14" s="1"/>
  <c r="AI13" i="14" s="1"/>
  <c r="AJ13" i="14" s="1"/>
  <c r="AK13" i="14" s="1"/>
  <c r="AL13" i="14" s="1"/>
  <c r="AM13" i="14" s="1"/>
  <c r="AC29" i="14"/>
  <c r="AD29" i="14" s="1"/>
  <c r="AE29" i="14" s="1"/>
  <c r="AF29" i="14" s="1"/>
  <c r="AG29" i="14" s="1"/>
  <c r="AH29" i="14" s="1"/>
  <c r="AI29" i="14" s="1"/>
  <c r="AJ29" i="14" s="1"/>
  <c r="AK29" i="14" s="1"/>
  <c r="AL29" i="14" s="1"/>
  <c r="AM29" i="14" s="1"/>
  <c r="AN29" i="14" s="1"/>
  <c r="AO29" i="14" s="1"/>
  <c r="AP29" i="14" s="1"/>
  <c r="AC17" i="14"/>
  <c r="AD17" i="14" s="1"/>
  <c r="AE17" i="14" s="1"/>
  <c r="AF17" i="14" s="1"/>
  <c r="AG17" i="14" s="1"/>
  <c r="AH17" i="14" s="1"/>
  <c r="AI17" i="14" s="1"/>
  <c r="AJ17" i="14" s="1"/>
  <c r="AK17" i="14" s="1"/>
  <c r="AL17" i="14" s="1"/>
  <c r="AM17" i="14" s="1"/>
  <c r="AC25" i="14"/>
  <c r="AD25" i="14" s="1"/>
  <c r="AE25" i="14" s="1"/>
  <c r="AF25" i="14" s="1"/>
  <c r="AG25" i="14" s="1"/>
  <c r="AH25" i="14" s="1"/>
  <c r="AI25" i="14" s="1"/>
  <c r="AJ25" i="14" s="1"/>
  <c r="AK25" i="14" s="1"/>
  <c r="AL25" i="14" s="1"/>
  <c r="AM25" i="14" s="1"/>
  <c r="AC61" i="14"/>
  <c r="AD61" i="14" s="1"/>
  <c r="AE61" i="14" s="1"/>
  <c r="AF61" i="14" s="1"/>
  <c r="AG61" i="14" s="1"/>
  <c r="AH61" i="14" s="1"/>
  <c r="AI61" i="14" s="1"/>
  <c r="AJ61" i="14" s="1"/>
  <c r="AK61" i="14" s="1"/>
  <c r="AL61" i="14" s="1"/>
  <c r="AM61" i="14" s="1"/>
  <c r="AC57" i="14"/>
  <c r="AD57" i="14" s="1"/>
  <c r="AE57" i="14" s="1"/>
  <c r="AF57" i="14" s="1"/>
  <c r="AG57" i="14" s="1"/>
  <c r="AH57" i="14" s="1"/>
  <c r="AI57" i="14" s="1"/>
  <c r="AJ57" i="14" s="1"/>
  <c r="AK57" i="14" s="1"/>
  <c r="AL57" i="14" s="1"/>
  <c r="AM57" i="14" s="1"/>
  <c r="AC28" i="14"/>
  <c r="AD28" i="14" s="1"/>
  <c r="AE28" i="14" s="1"/>
  <c r="AF28" i="14" s="1"/>
  <c r="AG28" i="14" s="1"/>
  <c r="AH28" i="14" s="1"/>
  <c r="AI28" i="14" s="1"/>
  <c r="AJ28" i="14" s="1"/>
  <c r="AK28" i="14" s="1"/>
  <c r="AL28" i="14" s="1"/>
  <c r="AM28" i="14" s="1"/>
  <c r="AC24" i="14"/>
  <c r="AD24" i="14" s="1"/>
  <c r="AE24" i="14" s="1"/>
  <c r="AF24" i="14" s="1"/>
  <c r="AG24" i="14" s="1"/>
  <c r="AH24" i="14" s="1"/>
  <c r="AI24" i="14" s="1"/>
  <c r="AJ24" i="14" s="1"/>
  <c r="AK24" i="14" s="1"/>
  <c r="AL24" i="14" s="1"/>
  <c r="AM24" i="14" s="1"/>
  <c r="AC20" i="14"/>
  <c r="AD20" i="14" s="1"/>
  <c r="AE20" i="14" s="1"/>
  <c r="AF20" i="14" s="1"/>
  <c r="AG20" i="14" s="1"/>
  <c r="AH20" i="14" s="1"/>
  <c r="AI20" i="14" s="1"/>
  <c r="AJ20" i="14" s="1"/>
  <c r="AK20" i="14" s="1"/>
  <c r="AL20" i="14" s="1"/>
  <c r="AM20" i="14" s="1"/>
  <c r="AN20" i="14" s="1"/>
  <c r="AO20" i="14" s="1"/>
  <c r="AP20" i="14" s="1"/>
  <c r="AC16" i="14"/>
  <c r="AD16" i="14" s="1"/>
  <c r="AE16" i="14" s="1"/>
  <c r="AF16" i="14" s="1"/>
  <c r="AG16" i="14" s="1"/>
  <c r="AH16" i="14" s="1"/>
  <c r="AI16" i="14" s="1"/>
  <c r="AJ16" i="14" s="1"/>
  <c r="AK16" i="14" s="1"/>
  <c r="AL16" i="14" s="1"/>
  <c r="AM16" i="14" s="1"/>
  <c r="AN16" i="14" s="1"/>
  <c r="AO16" i="14" s="1"/>
  <c r="AP16" i="14" s="1"/>
  <c r="AC52" i="14"/>
  <c r="AD52" i="14" s="1"/>
  <c r="AC62" i="14"/>
  <c r="AD62" i="14" s="1"/>
  <c r="AE62" i="14" s="1"/>
  <c r="AF62" i="14" s="1"/>
  <c r="AG62" i="14" s="1"/>
  <c r="AH62" i="14" s="1"/>
  <c r="AI62" i="14" s="1"/>
  <c r="AJ62" i="14" s="1"/>
  <c r="AK62" i="14" s="1"/>
  <c r="AL62" i="14" s="1"/>
  <c r="AM62" i="14" s="1"/>
  <c r="AN62" i="14" s="1"/>
  <c r="AO62" i="14" s="1"/>
  <c r="AP62" i="14" s="1"/>
  <c r="AB76" i="14"/>
  <c r="AB81" i="14" s="1"/>
  <c r="AB86" i="14" s="1"/>
  <c r="AC119" i="14"/>
  <c r="AC54" i="14"/>
  <c r="AD54" i="14" s="1"/>
  <c r="AE54" i="14" s="1"/>
  <c r="AF54" i="14" s="1"/>
  <c r="AG54" i="14" s="1"/>
  <c r="AH54" i="14" s="1"/>
  <c r="AI54" i="14" s="1"/>
  <c r="AJ54" i="14" s="1"/>
  <c r="AK54" i="14" s="1"/>
  <c r="AL54" i="14" s="1"/>
  <c r="AM54" i="14" s="1"/>
  <c r="AC70" i="14"/>
  <c r="AD70" i="14" s="1"/>
  <c r="AE70" i="14" s="1"/>
  <c r="AF70" i="14" s="1"/>
  <c r="AG70" i="14" s="1"/>
  <c r="AH70" i="14" s="1"/>
  <c r="AI70" i="14" s="1"/>
  <c r="AJ70" i="14" s="1"/>
  <c r="AK70" i="14" s="1"/>
  <c r="AL70" i="14" s="1"/>
  <c r="AM70" i="14" s="1"/>
  <c r="AC68" i="14"/>
  <c r="AD68" i="14" s="1"/>
  <c r="AE68" i="14" s="1"/>
  <c r="AF68" i="14" s="1"/>
  <c r="AG68" i="14" s="1"/>
  <c r="AH68" i="14" s="1"/>
  <c r="AI68" i="14" s="1"/>
  <c r="AJ68" i="14" s="1"/>
  <c r="AK68" i="14" s="1"/>
  <c r="AL68" i="14" s="1"/>
  <c r="AM68" i="14" s="1"/>
  <c r="AC31" i="14"/>
  <c r="AD31" i="14" s="1"/>
  <c r="AE31" i="14" s="1"/>
  <c r="AF31" i="14" s="1"/>
  <c r="AG31" i="14" s="1"/>
  <c r="AH31" i="14" s="1"/>
  <c r="AI31" i="14" s="1"/>
  <c r="AJ31" i="14" s="1"/>
  <c r="AK31" i="14" s="1"/>
  <c r="AL31" i="14" s="1"/>
  <c r="AM31" i="14" s="1"/>
  <c r="AC27" i="14"/>
  <c r="AD27" i="14" s="1"/>
  <c r="AE27" i="14" s="1"/>
  <c r="AF27" i="14" s="1"/>
  <c r="AG27" i="14" s="1"/>
  <c r="AH27" i="14" s="1"/>
  <c r="AI27" i="14" s="1"/>
  <c r="AJ27" i="14" s="1"/>
  <c r="AK27" i="14" s="1"/>
  <c r="AL27" i="14" s="1"/>
  <c r="AM27" i="14" s="1"/>
  <c r="AC19" i="14"/>
  <c r="AD19" i="14" s="1"/>
  <c r="AE19" i="14" s="1"/>
  <c r="AF19" i="14" s="1"/>
  <c r="AG19" i="14" s="1"/>
  <c r="AH19" i="14" s="1"/>
  <c r="AI19" i="14" s="1"/>
  <c r="AJ19" i="14" s="1"/>
  <c r="AK19" i="14" s="1"/>
  <c r="AL19" i="14" s="1"/>
  <c r="AM19" i="14" s="1"/>
  <c r="AN19" i="14" s="1"/>
  <c r="AO19" i="14" s="1"/>
  <c r="AP19" i="14" s="1"/>
  <c r="AC15" i="14"/>
  <c r="AD15" i="14" s="1"/>
  <c r="AC11" i="14"/>
  <c r="AD11" i="14" s="1"/>
  <c r="AE11" i="14" s="1"/>
  <c r="AF11" i="14" s="1"/>
  <c r="AG11" i="14" s="1"/>
  <c r="AH11" i="14" s="1"/>
  <c r="AI11" i="14" s="1"/>
  <c r="AJ11" i="14" s="1"/>
  <c r="AK11" i="14" s="1"/>
  <c r="AL11" i="14" s="1"/>
  <c r="AM11" i="14" s="1"/>
  <c r="AC58" i="14"/>
  <c r="AD58" i="14" s="1"/>
  <c r="AE58" i="14" s="1"/>
  <c r="AF58" i="14" s="1"/>
  <c r="AG58" i="14" s="1"/>
  <c r="AH58" i="14" s="1"/>
  <c r="AI58" i="14" s="1"/>
  <c r="AJ58" i="14" s="1"/>
  <c r="AK58" i="14" s="1"/>
  <c r="AL58" i="14" s="1"/>
  <c r="AM58" i="14" s="1"/>
  <c r="AF114" i="14"/>
  <c r="AE113" i="14"/>
  <c r="J3" i="14"/>
  <c r="L4" i="14"/>
  <c r="AC12" i="14"/>
  <c r="AD12" i="14" s="1"/>
  <c r="AE118" i="14"/>
  <c r="AE84" i="14"/>
  <c r="AC55" i="14"/>
  <c r="AD55" i="14" s="1"/>
  <c r="AE55" i="14" s="1"/>
  <c r="AF55" i="14" s="1"/>
  <c r="AG55" i="14" s="1"/>
  <c r="AH55" i="14" s="1"/>
  <c r="AI55" i="14" s="1"/>
  <c r="AJ55" i="14" s="1"/>
  <c r="AK55" i="14" s="1"/>
  <c r="AL55" i="14" s="1"/>
  <c r="AM55" i="14" s="1"/>
  <c r="AC65" i="14"/>
  <c r="AD65" i="14" s="1"/>
  <c r="AE65" i="14" s="1"/>
  <c r="AF65" i="14" s="1"/>
  <c r="AG65" i="14" s="1"/>
  <c r="AH65" i="14" s="1"/>
  <c r="AI65" i="14" s="1"/>
  <c r="AJ65" i="14" s="1"/>
  <c r="AK65" i="14" s="1"/>
  <c r="AL65" i="14" s="1"/>
  <c r="AM65" i="14" s="1"/>
  <c r="AC51" i="14"/>
  <c r="AC10" i="14"/>
  <c r="AD10" i="14" s="1"/>
  <c r="AB38" i="14"/>
  <c r="AC56" i="14"/>
  <c r="AC26" i="14"/>
  <c r="AC22" i="14"/>
  <c r="AD22" i="14" s="1"/>
  <c r="AE22" i="14" s="1"/>
  <c r="AF22" i="14" s="1"/>
  <c r="AG22" i="14" s="1"/>
  <c r="AH22" i="14" s="1"/>
  <c r="AI22" i="14" s="1"/>
  <c r="AJ22" i="14" s="1"/>
  <c r="AK22" i="14" s="1"/>
  <c r="AL22" i="14" s="1"/>
  <c r="AM22" i="14" s="1"/>
  <c r="AC18" i="14"/>
  <c r="AD18" i="14" s="1"/>
  <c r="AE18" i="14" s="1"/>
  <c r="AF18" i="14" s="1"/>
  <c r="AG18" i="14" s="1"/>
  <c r="AH18" i="14" s="1"/>
  <c r="AI18" i="14" s="1"/>
  <c r="AJ18" i="14" s="1"/>
  <c r="AK18" i="14" s="1"/>
  <c r="AL18" i="14" s="1"/>
  <c r="AM18" i="14" s="1"/>
  <c r="AC14" i="14"/>
  <c r="AD14" i="14" s="1"/>
  <c r="AE14" i="14" s="1"/>
  <c r="AF14" i="14" s="1"/>
  <c r="AG14" i="14" s="1"/>
  <c r="AH14" i="14" s="1"/>
  <c r="AI14" i="14" s="1"/>
  <c r="AJ14" i="14" s="1"/>
  <c r="AK14" i="14" s="1"/>
  <c r="AL14" i="14" s="1"/>
  <c r="AM14" i="14" s="1"/>
  <c r="O4" i="14"/>
  <c r="M3" i="14"/>
  <c r="AC15" i="13"/>
  <c r="AB25" i="13"/>
  <c r="AB26" i="13" s="1"/>
  <c r="AC46" i="13"/>
  <c r="AC10" i="13"/>
  <c r="AC43" i="13"/>
  <c r="AC42" i="13"/>
  <c r="AC39" i="13"/>
  <c r="AC41" i="13"/>
  <c r="AC40" i="13"/>
  <c r="AC12" i="13"/>
  <c r="AC13" i="13"/>
  <c r="AC44" i="13"/>
  <c r="AC16" i="13"/>
  <c r="AC17" i="13"/>
  <c r="AE84" i="13"/>
  <c r="AE57" i="13"/>
  <c r="N4" i="13"/>
  <c r="L3" i="13"/>
  <c r="AB49" i="13"/>
  <c r="AB54" i="13" s="1"/>
  <c r="AB59" i="13" s="1"/>
  <c r="AC85" i="13"/>
  <c r="AD86" i="13" s="1"/>
  <c r="K4" i="13"/>
  <c r="I3" i="13"/>
  <c r="AD31" i="13"/>
  <c r="AE31" i="13" s="1"/>
  <c r="AF31" i="13" s="1"/>
  <c r="AG31" i="13" s="1"/>
  <c r="AH31" i="13" s="1"/>
  <c r="AI31" i="13" s="1"/>
  <c r="AJ31" i="13" s="1"/>
  <c r="AK31" i="13" s="1"/>
  <c r="AL31" i="13" s="1"/>
  <c r="AM31" i="13" s="1"/>
  <c r="AN31" i="13" s="1"/>
  <c r="AC19" i="13"/>
  <c r="AC11" i="13"/>
  <c r="AD81" i="13"/>
  <c r="AE78" i="13" s="1"/>
  <c r="AC45" i="13"/>
  <c r="AC37" i="13"/>
  <c r="AC38" i="13"/>
  <c r="AC14" i="13"/>
  <c r="AC18" i="13"/>
  <c r="AE112" i="12"/>
  <c r="AE84" i="12"/>
  <c r="AD112" i="12"/>
  <c r="AD84" i="12"/>
  <c r="AE107" i="12"/>
  <c r="AC16" i="12"/>
  <c r="AC21" i="12"/>
  <c r="AD109" i="12"/>
  <c r="AE106" i="12" s="1"/>
  <c r="AC54" i="12"/>
  <c r="AC26" i="12"/>
  <c r="AC71" i="12"/>
  <c r="AC70" i="12"/>
  <c r="AC19" i="12"/>
  <c r="AC15" i="12"/>
  <c r="AC24" i="12"/>
  <c r="AC29" i="12"/>
  <c r="AC67" i="12"/>
  <c r="AC61" i="12"/>
  <c r="AC51" i="12"/>
  <c r="AC27" i="12"/>
  <c r="AC23" i="12"/>
  <c r="AC32" i="12"/>
  <c r="AC18" i="12"/>
  <c r="AC53" i="12"/>
  <c r="AC65" i="12"/>
  <c r="AC59" i="12"/>
  <c r="AC31" i="12"/>
  <c r="AC11" i="12"/>
  <c r="AC22" i="12"/>
  <c r="AC20" i="12"/>
  <c r="AC10" i="12"/>
  <c r="AD45" i="12"/>
  <c r="AC12" i="12"/>
  <c r="AC64" i="12"/>
  <c r="AC56" i="12"/>
  <c r="AC55" i="12"/>
  <c r="AC14" i="12"/>
  <c r="AC13" i="12"/>
  <c r="AC25" i="12"/>
  <c r="AC17" i="12"/>
  <c r="AC28" i="12"/>
  <c r="AC30" i="12"/>
  <c r="AC52" i="12"/>
  <c r="AC69" i="12"/>
  <c r="AD69" i="12" s="1"/>
  <c r="AC62" i="12"/>
  <c r="AC60" i="12"/>
  <c r="AC58" i="12"/>
  <c r="AC63" i="12"/>
  <c r="AC57" i="12"/>
  <c r="AC73" i="12"/>
  <c r="AC66" i="12"/>
  <c r="AC72" i="12"/>
  <c r="AC68" i="12"/>
  <c r="AB81" i="12"/>
  <c r="AB86" i="12" s="1"/>
  <c r="AN65" i="14" l="1"/>
  <c r="AO65" i="14" s="1"/>
  <c r="AP65" i="14" s="1"/>
  <c r="AN24" i="14"/>
  <c r="AO24" i="14" s="1"/>
  <c r="AP24" i="14" s="1"/>
  <c r="AN21" i="14"/>
  <c r="AO21" i="14" s="1"/>
  <c r="AP21" i="14" s="1"/>
  <c r="AN58" i="14"/>
  <c r="AO58" i="14" s="1"/>
  <c r="AP58" i="14" s="1"/>
  <c r="AN72" i="14"/>
  <c r="AO72" i="14" s="1"/>
  <c r="AP72" i="14" s="1"/>
  <c r="AN22" i="14"/>
  <c r="AO22" i="14" s="1"/>
  <c r="AP22" i="14" s="1"/>
  <c r="AE52" i="14"/>
  <c r="AF52" i="14" s="1"/>
  <c r="AG52" i="14" s="1"/>
  <c r="AH52" i="14" s="1"/>
  <c r="AI52" i="14" s="1"/>
  <c r="AJ52" i="14" s="1"/>
  <c r="AK52" i="14" s="1"/>
  <c r="AL52" i="14" s="1"/>
  <c r="AM52" i="14" s="1"/>
  <c r="AN52" i="14" s="1"/>
  <c r="AO52" i="14" s="1"/>
  <c r="AP52" i="14" s="1"/>
  <c r="AN27" i="14"/>
  <c r="AO27" i="14" s="1"/>
  <c r="AP27" i="14" s="1"/>
  <c r="AN28" i="14"/>
  <c r="AO28" i="14" s="1"/>
  <c r="AP28" i="14" s="1"/>
  <c r="AN63" i="14"/>
  <c r="AO63" i="14" s="1"/>
  <c r="AP63" i="14" s="1"/>
  <c r="AN57" i="14"/>
  <c r="AO57" i="14" s="1"/>
  <c r="AP57" i="14" s="1"/>
  <c r="AN60" i="14"/>
  <c r="AO60" i="14" s="1"/>
  <c r="AP60" i="14" s="1"/>
  <c r="AN55" i="14"/>
  <c r="AO55" i="14" s="1"/>
  <c r="AP55" i="14" s="1"/>
  <c r="AN61" i="14"/>
  <c r="AO61" i="14" s="1"/>
  <c r="AP61" i="14" s="1"/>
  <c r="AN59" i="14"/>
  <c r="AO59" i="14" s="1"/>
  <c r="AP59" i="14" s="1"/>
  <c r="AO31" i="13"/>
  <c r="AN70" i="14"/>
  <c r="AO70" i="14" s="1"/>
  <c r="AP70" i="14" s="1"/>
  <c r="AN31" i="14"/>
  <c r="AO31" i="14" s="1"/>
  <c r="AP31" i="14" s="1"/>
  <c r="AN68" i="14"/>
  <c r="AO68" i="14" s="1"/>
  <c r="AP68" i="14" s="1"/>
  <c r="AN14" i="14"/>
  <c r="AO14" i="14" s="1"/>
  <c r="AP14" i="14" s="1"/>
  <c r="AN25" i="14"/>
  <c r="AO25" i="14" s="1"/>
  <c r="AP25" i="14" s="1"/>
  <c r="AN18" i="14"/>
  <c r="AO18" i="14" s="1"/>
  <c r="AP18" i="14" s="1"/>
  <c r="AN54" i="14"/>
  <c r="AO54" i="14" s="1"/>
  <c r="AP54" i="14" s="1"/>
  <c r="AN17" i="14"/>
  <c r="AO17" i="14" s="1"/>
  <c r="AP17" i="14" s="1"/>
  <c r="AI21" i="3"/>
  <c r="AJ21" i="3" s="1"/>
  <c r="AK21" i="3" s="1"/>
  <c r="AL21" i="3" s="1"/>
  <c r="AM21" i="3" s="1"/>
  <c r="AN21" i="3" s="1"/>
  <c r="AO21" i="3" s="1"/>
  <c r="AN11" i="14"/>
  <c r="AO11" i="14" s="1"/>
  <c r="AP11" i="14" s="1"/>
  <c r="AN13" i="14"/>
  <c r="AO13" i="14" s="1"/>
  <c r="AP13" i="14" s="1"/>
  <c r="AB50" i="13"/>
  <c r="AD63" i="12"/>
  <c r="AD55" i="12"/>
  <c r="AD72" i="12"/>
  <c r="AD17" i="12"/>
  <c r="AC114" i="12"/>
  <c r="AC37" i="12" s="1"/>
  <c r="AC39" i="12" s="1"/>
  <c r="AC113" i="12"/>
  <c r="AC76" i="12" s="1"/>
  <c r="AC77" i="12" s="1"/>
  <c r="AE71" i="11"/>
  <c r="AB77" i="14"/>
  <c r="AB11" i="3"/>
  <c r="AB39" i="14"/>
  <c r="AD116" i="12"/>
  <c r="AB9" i="3"/>
  <c r="AB40" i="12"/>
  <c r="AB62" i="3"/>
  <c r="O3" i="14"/>
  <c r="Q4" i="14"/>
  <c r="AF118" i="14"/>
  <c r="AF84" i="14"/>
  <c r="AG114" i="14"/>
  <c r="L3" i="14"/>
  <c r="N4" i="14"/>
  <c r="AC120" i="14"/>
  <c r="AC36" i="14" s="1"/>
  <c r="AC38" i="14" s="1"/>
  <c r="AD119" i="14"/>
  <c r="AC76" i="14"/>
  <c r="AC77" i="14" s="1"/>
  <c r="AE115" i="14"/>
  <c r="AF112" i="14" s="1"/>
  <c r="AD38" i="13"/>
  <c r="AE38" i="13" s="1"/>
  <c r="AF38" i="13" s="1"/>
  <c r="AG38" i="13" s="1"/>
  <c r="AH38" i="13" s="1"/>
  <c r="AI38" i="13" s="1"/>
  <c r="AJ38" i="13" s="1"/>
  <c r="AK38" i="13" s="1"/>
  <c r="AL38" i="13" s="1"/>
  <c r="AM38" i="13" s="1"/>
  <c r="AN38" i="13" s="1"/>
  <c r="AD14" i="13"/>
  <c r="AE14" i="13" s="1"/>
  <c r="AF14" i="13" s="1"/>
  <c r="AG14" i="13" s="1"/>
  <c r="AH14" i="13" s="1"/>
  <c r="AI14" i="13" s="1"/>
  <c r="AJ14" i="13" s="1"/>
  <c r="AK14" i="13" s="1"/>
  <c r="AL14" i="13" s="1"/>
  <c r="AM14" i="13" s="1"/>
  <c r="AN14" i="13" s="1"/>
  <c r="AD46" i="13"/>
  <c r="AE46" i="13" s="1"/>
  <c r="AF46" i="13" s="1"/>
  <c r="AG46" i="13" s="1"/>
  <c r="AH46" i="13" s="1"/>
  <c r="AI46" i="13" s="1"/>
  <c r="AJ46" i="13" s="1"/>
  <c r="AK46" i="13" s="1"/>
  <c r="AL46" i="13" s="1"/>
  <c r="AM46" i="13" s="1"/>
  <c r="AN46" i="13" s="1"/>
  <c r="AO46" i="13" s="1"/>
  <c r="AD17" i="13"/>
  <c r="AE17" i="13" s="1"/>
  <c r="AF17" i="13" s="1"/>
  <c r="AG17" i="13" s="1"/>
  <c r="AH17" i="13" s="1"/>
  <c r="AI17" i="13" s="1"/>
  <c r="AJ17" i="13" s="1"/>
  <c r="AK17" i="13" s="1"/>
  <c r="AL17" i="13" s="1"/>
  <c r="AM17" i="13" s="1"/>
  <c r="AN17" i="13" s="1"/>
  <c r="K3" i="13"/>
  <c r="M4" i="13"/>
  <c r="AC23" i="13"/>
  <c r="AC25" i="13" s="1"/>
  <c r="AD85" i="13"/>
  <c r="AE86" i="13" s="1"/>
  <c r="AC49" i="13"/>
  <c r="AC54" i="13" s="1"/>
  <c r="AC59" i="13" s="1"/>
  <c r="N3" i="13"/>
  <c r="P4" i="13"/>
  <c r="AD37" i="13"/>
  <c r="AD40" i="13"/>
  <c r="AE40" i="13" s="1"/>
  <c r="AF40" i="13" s="1"/>
  <c r="AG40" i="13" s="1"/>
  <c r="AH40" i="13" s="1"/>
  <c r="AI40" i="13" s="1"/>
  <c r="AJ40" i="13" s="1"/>
  <c r="AK40" i="13" s="1"/>
  <c r="AL40" i="13" s="1"/>
  <c r="AM40" i="13" s="1"/>
  <c r="AN40" i="13" s="1"/>
  <c r="AD16" i="13"/>
  <c r="AE16" i="13" s="1"/>
  <c r="AF16" i="13" s="1"/>
  <c r="AG16" i="13" s="1"/>
  <c r="AH16" i="13" s="1"/>
  <c r="AI16" i="13" s="1"/>
  <c r="AJ16" i="13" s="1"/>
  <c r="AK16" i="13" s="1"/>
  <c r="AL16" i="13" s="1"/>
  <c r="AM16" i="13" s="1"/>
  <c r="AN16" i="13" s="1"/>
  <c r="AD13" i="13"/>
  <c r="AE13" i="13" s="1"/>
  <c r="AF13" i="13" s="1"/>
  <c r="AG13" i="13" s="1"/>
  <c r="AH13" i="13" s="1"/>
  <c r="AI13" i="13" s="1"/>
  <c r="AJ13" i="13" s="1"/>
  <c r="AK13" i="13" s="1"/>
  <c r="AL13" i="13" s="1"/>
  <c r="AM13" i="13" s="1"/>
  <c r="AN13" i="13" s="1"/>
  <c r="AD39" i="13"/>
  <c r="AE39" i="13" s="1"/>
  <c r="AF39" i="13" s="1"/>
  <c r="AG39" i="13" s="1"/>
  <c r="AH39" i="13" s="1"/>
  <c r="AI39" i="13" s="1"/>
  <c r="AJ39" i="13" s="1"/>
  <c r="AK39" i="13" s="1"/>
  <c r="AL39" i="13" s="1"/>
  <c r="AM39" i="13" s="1"/>
  <c r="AN39" i="13" s="1"/>
  <c r="AE81" i="13"/>
  <c r="AF78" i="13" s="1"/>
  <c r="AD15" i="13"/>
  <c r="AE15" i="13" s="1"/>
  <c r="AF15" i="13" s="1"/>
  <c r="AG15" i="13" s="1"/>
  <c r="AH15" i="13" s="1"/>
  <c r="AI15" i="13" s="1"/>
  <c r="AJ15" i="13" s="1"/>
  <c r="AK15" i="13" s="1"/>
  <c r="AL15" i="13" s="1"/>
  <c r="AM15" i="13" s="1"/>
  <c r="AN15" i="13" s="1"/>
  <c r="AF84" i="13"/>
  <c r="AF57" i="13"/>
  <c r="AD10" i="13"/>
  <c r="AD44" i="13"/>
  <c r="AE44" i="13" s="1"/>
  <c r="AF44" i="13" s="1"/>
  <c r="AG44" i="13" s="1"/>
  <c r="AH44" i="13" s="1"/>
  <c r="AI44" i="13" s="1"/>
  <c r="AJ44" i="13" s="1"/>
  <c r="AK44" i="13" s="1"/>
  <c r="AL44" i="13" s="1"/>
  <c r="AM44" i="13" s="1"/>
  <c r="AN44" i="13" s="1"/>
  <c r="AD11" i="13"/>
  <c r="AE11" i="13" s="1"/>
  <c r="AF11" i="13" s="1"/>
  <c r="AG11" i="13" s="1"/>
  <c r="AH11" i="13" s="1"/>
  <c r="AI11" i="13" s="1"/>
  <c r="AJ11" i="13" s="1"/>
  <c r="AK11" i="13" s="1"/>
  <c r="AL11" i="13" s="1"/>
  <c r="AM11" i="13" s="1"/>
  <c r="AN11" i="13" s="1"/>
  <c r="AD18" i="13"/>
  <c r="AE18" i="13" s="1"/>
  <c r="AF18" i="13" s="1"/>
  <c r="AG18" i="13" s="1"/>
  <c r="AH18" i="13" s="1"/>
  <c r="AI18" i="13" s="1"/>
  <c r="AJ18" i="13" s="1"/>
  <c r="AK18" i="13" s="1"/>
  <c r="AL18" i="13" s="1"/>
  <c r="AM18" i="13" s="1"/>
  <c r="AN18" i="13" s="1"/>
  <c r="AD45" i="13"/>
  <c r="AE45" i="13" s="1"/>
  <c r="AF45" i="13" s="1"/>
  <c r="AG45" i="13" s="1"/>
  <c r="AH45" i="13" s="1"/>
  <c r="AI45" i="13" s="1"/>
  <c r="AJ45" i="13" s="1"/>
  <c r="AK45" i="13" s="1"/>
  <c r="AL45" i="13" s="1"/>
  <c r="AM45" i="13" s="1"/>
  <c r="AN45" i="13" s="1"/>
  <c r="AD19" i="13"/>
  <c r="AE19" i="13" s="1"/>
  <c r="AF19" i="13" s="1"/>
  <c r="AG19" i="13" s="1"/>
  <c r="AH19" i="13" s="1"/>
  <c r="AI19" i="13" s="1"/>
  <c r="AJ19" i="13" s="1"/>
  <c r="AK19" i="13" s="1"/>
  <c r="AL19" i="13" s="1"/>
  <c r="AM19" i="13" s="1"/>
  <c r="AN19" i="13" s="1"/>
  <c r="AD42" i="13"/>
  <c r="AE42" i="13" s="1"/>
  <c r="AF42" i="13" s="1"/>
  <c r="AG42" i="13" s="1"/>
  <c r="AH42" i="13" s="1"/>
  <c r="AI42" i="13" s="1"/>
  <c r="AJ42" i="13" s="1"/>
  <c r="AK42" i="13" s="1"/>
  <c r="AL42" i="13" s="1"/>
  <c r="AM42" i="13" s="1"/>
  <c r="AN42" i="13" s="1"/>
  <c r="AO42" i="13" s="1"/>
  <c r="AD41" i="13"/>
  <c r="AE41" i="13" s="1"/>
  <c r="AF41" i="13" s="1"/>
  <c r="AG41" i="13" s="1"/>
  <c r="AH41" i="13" s="1"/>
  <c r="AI41" i="13" s="1"/>
  <c r="AJ41" i="13" s="1"/>
  <c r="AK41" i="13" s="1"/>
  <c r="AL41" i="13" s="1"/>
  <c r="AM41" i="13" s="1"/>
  <c r="AN41" i="13" s="1"/>
  <c r="AD12" i="13"/>
  <c r="AE12" i="13" s="1"/>
  <c r="AF12" i="13" s="1"/>
  <c r="AG12" i="13" s="1"/>
  <c r="AH12" i="13" s="1"/>
  <c r="AI12" i="13" s="1"/>
  <c r="AJ12" i="13" s="1"/>
  <c r="AK12" i="13" s="1"/>
  <c r="AL12" i="13" s="1"/>
  <c r="AM12" i="13" s="1"/>
  <c r="AN12" i="13" s="1"/>
  <c r="AD43" i="13"/>
  <c r="AE43" i="13" s="1"/>
  <c r="AF43" i="13" s="1"/>
  <c r="AG43" i="13" s="1"/>
  <c r="AH43" i="13" s="1"/>
  <c r="AI43" i="13" s="1"/>
  <c r="AJ43" i="13" s="1"/>
  <c r="AK43" i="13" s="1"/>
  <c r="AL43" i="13" s="1"/>
  <c r="AM43" i="13" s="1"/>
  <c r="AN43" i="13" s="1"/>
  <c r="AF112" i="12"/>
  <c r="AF116" i="12" s="1"/>
  <c r="AF84" i="12"/>
  <c r="AF107" i="12"/>
  <c r="AG108" i="12"/>
  <c r="AE109" i="12"/>
  <c r="AF106" i="12" s="1"/>
  <c r="AF45" i="12"/>
  <c r="AG45" i="12" s="1"/>
  <c r="AH45" i="12" s="1"/>
  <c r="AI45" i="12" s="1"/>
  <c r="AJ45" i="12" s="1"/>
  <c r="AK45" i="12" s="1"/>
  <c r="AL45" i="12" s="1"/>
  <c r="AM45" i="12" s="1"/>
  <c r="AD53" i="12"/>
  <c r="AD65" i="12"/>
  <c r="AD70" i="12"/>
  <c r="AD54" i="12"/>
  <c r="AE54" i="12" s="1"/>
  <c r="AD24" i="12"/>
  <c r="AD71" i="12"/>
  <c r="AD20" i="12"/>
  <c r="AD61" i="12"/>
  <c r="AE61" i="12" s="1"/>
  <c r="AD59" i="12"/>
  <c r="AD66" i="12"/>
  <c r="AD52" i="12"/>
  <c r="AD56" i="12"/>
  <c r="AE56" i="12" s="1"/>
  <c r="AF56" i="12" s="1"/>
  <c r="AG56" i="12" s="1"/>
  <c r="AH56" i="12" s="1"/>
  <c r="AI56" i="12" s="1"/>
  <c r="AJ56" i="12" s="1"/>
  <c r="AK56" i="12" s="1"/>
  <c r="AL56" i="12" s="1"/>
  <c r="AM56" i="12" s="1"/>
  <c r="AD19" i="12"/>
  <c r="AD29" i="12"/>
  <c r="AD18" i="12"/>
  <c r="AD73" i="12"/>
  <c r="AE73" i="12" s="1"/>
  <c r="AD30" i="12"/>
  <c r="AD13" i="12"/>
  <c r="AD64" i="12"/>
  <c r="AD22" i="12"/>
  <c r="AE22" i="12" s="1"/>
  <c r="AD11" i="12"/>
  <c r="AD32" i="12"/>
  <c r="AD16" i="12"/>
  <c r="AD58" i="12"/>
  <c r="AD25" i="12"/>
  <c r="AD23" i="12"/>
  <c r="AE23" i="12" s="1"/>
  <c r="AD51" i="12"/>
  <c r="AD67" i="12"/>
  <c r="AC81" i="12"/>
  <c r="AC86" i="12" s="1"/>
  <c r="AD60" i="12"/>
  <c r="AE60" i="12" s="1"/>
  <c r="AD68" i="12"/>
  <c r="AD57" i="12"/>
  <c r="AD62" i="12"/>
  <c r="AD28" i="12"/>
  <c r="AE28" i="12" s="1"/>
  <c r="AD14" i="12"/>
  <c r="AD12" i="12"/>
  <c r="AD21" i="12"/>
  <c r="AD27" i="12"/>
  <c r="AE27" i="12" s="1"/>
  <c r="AD31" i="12"/>
  <c r="AD10" i="12"/>
  <c r="AD15" i="12"/>
  <c r="AE15" i="12" s="1"/>
  <c r="AD26" i="12"/>
  <c r="AO14" i="13" l="1"/>
  <c r="AO15" i="13"/>
  <c r="AO43" i="13"/>
  <c r="AO39" i="13"/>
  <c r="AP39" i="13" s="1"/>
  <c r="AO13" i="13"/>
  <c r="AO44" i="13"/>
  <c r="AO12" i="13"/>
  <c r="AO19" i="13"/>
  <c r="AO38" i="13"/>
  <c r="AO18" i="13"/>
  <c r="AO11" i="13"/>
  <c r="AO16" i="13"/>
  <c r="AO40" i="13"/>
  <c r="AP40" i="13" s="1"/>
  <c r="AO41" i="13"/>
  <c r="AP41" i="13" s="1"/>
  <c r="AO17" i="13"/>
  <c r="AD50" i="13"/>
  <c r="AO45" i="13"/>
  <c r="AP31" i="13"/>
  <c r="AP42" i="13"/>
  <c r="AP14" i="13"/>
  <c r="AP18" i="13"/>
  <c r="AP21" i="3"/>
  <c r="AN45" i="12"/>
  <c r="AO45" i="12" s="1"/>
  <c r="AF60" i="12"/>
  <c r="AG60" i="12" s="1"/>
  <c r="AH60" i="12" s="1"/>
  <c r="AI60" i="12" s="1"/>
  <c r="AJ60" i="12" s="1"/>
  <c r="AK60" i="12" s="1"/>
  <c r="AL60" i="12" s="1"/>
  <c r="AM60" i="12" s="1"/>
  <c r="AF71" i="11"/>
  <c r="AC50" i="13"/>
  <c r="AD114" i="12"/>
  <c r="AD37" i="12" s="1"/>
  <c r="AF28" i="12"/>
  <c r="AG28" i="12" s="1"/>
  <c r="AH28" i="12" s="1"/>
  <c r="AI28" i="12" s="1"/>
  <c r="AJ28" i="12" s="1"/>
  <c r="AK28" i="12" s="1"/>
  <c r="AL28" i="12" s="1"/>
  <c r="AM28" i="12" s="1"/>
  <c r="AF73" i="12"/>
  <c r="AG73" i="12" s="1"/>
  <c r="AH73" i="12" s="1"/>
  <c r="AI73" i="12" s="1"/>
  <c r="AJ73" i="12" s="1"/>
  <c r="AK73" i="12" s="1"/>
  <c r="AL73" i="12" s="1"/>
  <c r="AM73" i="12" s="1"/>
  <c r="AF54" i="12"/>
  <c r="AG54" i="12" s="1"/>
  <c r="AH54" i="12" s="1"/>
  <c r="AI54" i="12" s="1"/>
  <c r="AJ54" i="12" s="1"/>
  <c r="AK54" i="12" s="1"/>
  <c r="AL54" i="12" s="1"/>
  <c r="AM54" i="12" s="1"/>
  <c r="AD113" i="12"/>
  <c r="AE114" i="12" s="1"/>
  <c r="AE37" i="12" s="1"/>
  <c r="AF27" i="12"/>
  <c r="AG27" i="12" s="1"/>
  <c r="AH27" i="12" s="1"/>
  <c r="AI27" i="12" s="1"/>
  <c r="AJ27" i="12" s="1"/>
  <c r="AK27" i="12" s="1"/>
  <c r="AL27" i="12" s="1"/>
  <c r="AM27" i="12" s="1"/>
  <c r="AF23" i="12"/>
  <c r="AG23" i="12" s="1"/>
  <c r="AH23" i="12" s="1"/>
  <c r="AI23" i="12" s="1"/>
  <c r="AJ23" i="12" s="1"/>
  <c r="AK23" i="12" s="1"/>
  <c r="AL23" i="12" s="1"/>
  <c r="AM23" i="12" s="1"/>
  <c r="AF22" i="12"/>
  <c r="AG22" i="12" s="1"/>
  <c r="AH22" i="12" s="1"/>
  <c r="AI22" i="12" s="1"/>
  <c r="AJ22" i="12" s="1"/>
  <c r="AK22" i="12" s="1"/>
  <c r="AL22" i="12" s="1"/>
  <c r="AM22" i="12" s="1"/>
  <c r="AF61" i="12"/>
  <c r="AG61" i="12" s="1"/>
  <c r="AH61" i="12" s="1"/>
  <c r="AI61" i="12" s="1"/>
  <c r="AJ61" i="12" s="1"/>
  <c r="AK61" i="12" s="1"/>
  <c r="AL61" i="12" s="1"/>
  <c r="AM61" i="12" s="1"/>
  <c r="AF15" i="12"/>
  <c r="AG15" i="12" s="1"/>
  <c r="AH15" i="12" s="1"/>
  <c r="AI15" i="12" s="1"/>
  <c r="AJ15" i="12" s="1"/>
  <c r="AK15" i="12" s="1"/>
  <c r="AL15" i="12" s="1"/>
  <c r="AM15" i="12" s="1"/>
  <c r="AC9" i="3"/>
  <c r="AC40" i="12"/>
  <c r="AC11" i="3"/>
  <c r="AC39" i="14"/>
  <c r="AC10" i="3"/>
  <c r="AC26" i="13"/>
  <c r="AC81" i="14"/>
  <c r="AC86" i="14" s="1"/>
  <c r="AF81" i="13"/>
  <c r="AG78" i="13" s="1"/>
  <c r="AF115" i="14"/>
  <c r="AG112" i="14" s="1"/>
  <c r="P4" i="14"/>
  <c r="N3" i="14"/>
  <c r="AG113" i="14"/>
  <c r="AG71" i="11" s="1"/>
  <c r="AH114" i="14"/>
  <c r="S4" i="14"/>
  <c r="Q3" i="14"/>
  <c r="AG118" i="14"/>
  <c r="AG84" i="14"/>
  <c r="AD120" i="14"/>
  <c r="AD36" i="14" s="1"/>
  <c r="AD38" i="14" s="1"/>
  <c r="AE119" i="14"/>
  <c r="AD76" i="14"/>
  <c r="AD77" i="14" s="1"/>
  <c r="AE77" i="14" s="1"/>
  <c r="AF77" i="14" s="1"/>
  <c r="AG77" i="14" s="1"/>
  <c r="AH77" i="14" s="1"/>
  <c r="AI77" i="14" s="1"/>
  <c r="AJ77" i="14" s="1"/>
  <c r="AK77" i="14" s="1"/>
  <c r="AL77" i="14" s="1"/>
  <c r="AM77" i="14" s="1"/>
  <c r="AN77" i="14" s="1"/>
  <c r="AO77" i="14" s="1"/>
  <c r="AP77" i="14" s="1"/>
  <c r="AE37" i="13"/>
  <c r="AD25" i="13"/>
  <c r="AD26" i="13" s="1"/>
  <c r="AE85" i="13"/>
  <c r="AF86" i="13" s="1"/>
  <c r="AD49" i="13"/>
  <c r="AD54" i="13" s="1"/>
  <c r="AD59" i="13" s="1"/>
  <c r="R4" i="13"/>
  <c r="P3" i="13"/>
  <c r="AG84" i="13"/>
  <c r="AG57" i="13"/>
  <c r="AE10" i="13"/>
  <c r="M3" i="13"/>
  <c r="O4" i="13"/>
  <c r="AG112" i="12"/>
  <c r="AG84" i="12"/>
  <c r="AE21" i="12"/>
  <c r="AF21" i="12" s="1"/>
  <c r="AG21" i="12" s="1"/>
  <c r="AH21" i="12" s="1"/>
  <c r="AI21" i="12" s="1"/>
  <c r="AJ21" i="12" s="1"/>
  <c r="AK21" i="12" s="1"/>
  <c r="AL21" i="12" s="1"/>
  <c r="AM21" i="12" s="1"/>
  <c r="AE62" i="12"/>
  <c r="AF62" i="12" s="1"/>
  <c r="AG62" i="12" s="1"/>
  <c r="AH62" i="12" s="1"/>
  <c r="AI62" i="12" s="1"/>
  <c r="AJ62" i="12" s="1"/>
  <c r="AK62" i="12" s="1"/>
  <c r="AL62" i="12" s="1"/>
  <c r="AM62" i="12" s="1"/>
  <c r="AE25" i="12"/>
  <c r="AF25" i="12" s="1"/>
  <c r="AG25" i="12" s="1"/>
  <c r="AH25" i="12" s="1"/>
  <c r="AI25" i="12" s="1"/>
  <c r="AJ25" i="12" s="1"/>
  <c r="AK25" i="12" s="1"/>
  <c r="AL25" i="12" s="1"/>
  <c r="AM25" i="12" s="1"/>
  <c r="AE72" i="12"/>
  <c r="AF72" i="12" s="1"/>
  <c r="AG72" i="12" s="1"/>
  <c r="AH72" i="12" s="1"/>
  <c r="AI72" i="12" s="1"/>
  <c r="AJ72" i="12" s="1"/>
  <c r="AK72" i="12" s="1"/>
  <c r="AL72" i="12" s="1"/>
  <c r="AM72" i="12" s="1"/>
  <c r="AE11" i="12"/>
  <c r="AF11" i="12" s="1"/>
  <c r="AG11" i="12" s="1"/>
  <c r="AH11" i="12" s="1"/>
  <c r="AI11" i="12" s="1"/>
  <c r="AJ11" i="12" s="1"/>
  <c r="AK11" i="12" s="1"/>
  <c r="AL11" i="12" s="1"/>
  <c r="AM11" i="12" s="1"/>
  <c r="AE30" i="12"/>
  <c r="AF30" i="12" s="1"/>
  <c r="AG30" i="12" s="1"/>
  <c r="AH30" i="12" s="1"/>
  <c r="AI30" i="12" s="1"/>
  <c r="AJ30" i="12" s="1"/>
  <c r="AK30" i="12" s="1"/>
  <c r="AL30" i="12" s="1"/>
  <c r="AM30" i="12" s="1"/>
  <c r="AE19" i="12"/>
  <c r="AF19" i="12" s="1"/>
  <c r="AG19" i="12" s="1"/>
  <c r="AH19" i="12" s="1"/>
  <c r="AI19" i="12" s="1"/>
  <c r="AJ19" i="12" s="1"/>
  <c r="AK19" i="12" s="1"/>
  <c r="AL19" i="12" s="1"/>
  <c r="AM19" i="12" s="1"/>
  <c r="AE59" i="12"/>
  <c r="AF59" i="12" s="1"/>
  <c r="AG59" i="12" s="1"/>
  <c r="AH59" i="12" s="1"/>
  <c r="AI59" i="12" s="1"/>
  <c r="AJ59" i="12" s="1"/>
  <c r="AK59" i="12" s="1"/>
  <c r="AL59" i="12" s="1"/>
  <c r="AM59" i="12" s="1"/>
  <c r="AN59" i="12" s="1"/>
  <c r="AO59" i="12" s="1"/>
  <c r="AE24" i="12"/>
  <c r="AF24" i="12" s="1"/>
  <c r="AG24" i="12" s="1"/>
  <c r="AH24" i="12" s="1"/>
  <c r="AI24" i="12" s="1"/>
  <c r="AJ24" i="12" s="1"/>
  <c r="AK24" i="12" s="1"/>
  <c r="AL24" i="12" s="1"/>
  <c r="AM24" i="12" s="1"/>
  <c r="AE53" i="12"/>
  <c r="AF53" i="12" s="1"/>
  <c r="AG53" i="12" s="1"/>
  <c r="AH53" i="12" s="1"/>
  <c r="AI53" i="12" s="1"/>
  <c r="AJ53" i="12" s="1"/>
  <c r="AK53" i="12" s="1"/>
  <c r="AL53" i="12" s="1"/>
  <c r="AM53" i="12" s="1"/>
  <c r="AH108" i="12"/>
  <c r="AF109" i="12"/>
  <c r="AG106" i="12" s="1"/>
  <c r="AE69" i="12"/>
  <c r="AF69" i="12" s="1"/>
  <c r="AG69" i="12" s="1"/>
  <c r="AH69" i="12" s="1"/>
  <c r="AI69" i="12" s="1"/>
  <c r="AJ69" i="12" s="1"/>
  <c r="AK69" i="12" s="1"/>
  <c r="AL69" i="12" s="1"/>
  <c r="AM69" i="12" s="1"/>
  <c r="AE26" i="12"/>
  <c r="AF26" i="12" s="1"/>
  <c r="AG26" i="12" s="1"/>
  <c r="AH26" i="12" s="1"/>
  <c r="AI26" i="12" s="1"/>
  <c r="AJ26" i="12" s="1"/>
  <c r="AK26" i="12" s="1"/>
  <c r="AL26" i="12" s="1"/>
  <c r="AM26" i="12" s="1"/>
  <c r="AE31" i="12"/>
  <c r="AF31" i="12" s="1"/>
  <c r="AG31" i="12" s="1"/>
  <c r="AH31" i="12" s="1"/>
  <c r="AI31" i="12" s="1"/>
  <c r="AJ31" i="12" s="1"/>
  <c r="AK31" i="12" s="1"/>
  <c r="AL31" i="12" s="1"/>
  <c r="AM31" i="12" s="1"/>
  <c r="AE14" i="12"/>
  <c r="AF14" i="12" s="1"/>
  <c r="AG14" i="12" s="1"/>
  <c r="AH14" i="12" s="1"/>
  <c r="AI14" i="12" s="1"/>
  <c r="AJ14" i="12" s="1"/>
  <c r="AK14" i="12" s="1"/>
  <c r="AL14" i="12" s="1"/>
  <c r="AM14" i="12" s="1"/>
  <c r="AE68" i="12"/>
  <c r="AF68" i="12" s="1"/>
  <c r="AG68" i="12" s="1"/>
  <c r="AH68" i="12" s="1"/>
  <c r="AI68" i="12" s="1"/>
  <c r="AJ68" i="12" s="1"/>
  <c r="AK68" i="12" s="1"/>
  <c r="AL68" i="12" s="1"/>
  <c r="AM68" i="12" s="1"/>
  <c r="AE51" i="12"/>
  <c r="AF51" i="12" s="1"/>
  <c r="AG51" i="12" s="1"/>
  <c r="AE17" i="12"/>
  <c r="AF17" i="12" s="1"/>
  <c r="AG17" i="12" s="1"/>
  <c r="AH17" i="12" s="1"/>
  <c r="AI17" i="12" s="1"/>
  <c r="AJ17" i="12" s="1"/>
  <c r="AK17" i="12" s="1"/>
  <c r="AL17" i="12" s="1"/>
  <c r="AM17" i="12" s="1"/>
  <c r="AE32" i="12"/>
  <c r="AF32" i="12" s="1"/>
  <c r="AG32" i="12" s="1"/>
  <c r="AH32" i="12" s="1"/>
  <c r="AI32" i="12" s="1"/>
  <c r="AJ32" i="12" s="1"/>
  <c r="AK32" i="12" s="1"/>
  <c r="AL32" i="12" s="1"/>
  <c r="AM32" i="12" s="1"/>
  <c r="AE13" i="12"/>
  <c r="AF13" i="12" s="1"/>
  <c r="AG13" i="12" s="1"/>
  <c r="AH13" i="12" s="1"/>
  <c r="AI13" i="12" s="1"/>
  <c r="AJ13" i="12" s="1"/>
  <c r="AK13" i="12" s="1"/>
  <c r="AL13" i="12" s="1"/>
  <c r="AM13" i="12" s="1"/>
  <c r="AE29" i="12"/>
  <c r="AF29" i="12" s="1"/>
  <c r="AG29" i="12" s="1"/>
  <c r="AH29" i="12" s="1"/>
  <c r="AI29" i="12" s="1"/>
  <c r="AJ29" i="12" s="1"/>
  <c r="AK29" i="12" s="1"/>
  <c r="AL29" i="12" s="1"/>
  <c r="AM29" i="12" s="1"/>
  <c r="AN29" i="12" s="1"/>
  <c r="AE66" i="12"/>
  <c r="AF66" i="12" s="1"/>
  <c r="AG66" i="12" s="1"/>
  <c r="AH66" i="12" s="1"/>
  <c r="AI66" i="12" s="1"/>
  <c r="AJ66" i="12" s="1"/>
  <c r="AK66" i="12" s="1"/>
  <c r="AL66" i="12" s="1"/>
  <c r="AM66" i="12" s="1"/>
  <c r="AE71" i="12"/>
  <c r="AF71" i="12" s="1"/>
  <c r="AG71" i="12" s="1"/>
  <c r="AH71" i="12" s="1"/>
  <c r="AI71" i="12" s="1"/>
  <c r="AJ71" i="12" s="1"/>
  <c r="AK71" i="12" s="1"/>
  <c r="AL71" i="12" s="1"/>
  <c r="AM71" i="12" s="1"/>
  <c r="AE65" i="12"/>
  <c r="AF65" i="12" s="1"/>
  <c r="AG65" i="12" s="1"/>
  <c r="AH65" i="12" s="1"/>
  <c r="AI65" i="12" s="1"/>
  <c r="AJ65" i="12" s="1"/>
  <c r="AK65" i="12" s="1"/>
  <c r="AL65" i="12" s="1"/>
  <c r="AM65" i="12" s="1"/>
  <c r="AE63" i="12"/>
  <c r="AF63" i="12" s="1"/>
  <c r="AG63" i="12" s="1"/>
  <c r="AH63" i="12" s="1"/>
  <c r="AI63" i="12" s="1"/>
  <c r="AJ63" i="12" s="1"/>
  <c r="AK63" i="12" s="1"/>
  <c r="AL63" i="12" s="1"/>
  <c r="AM63" i="12" s="1"/>
  <c r="AE10" i="12"/>
  <c r="AD39" i="12"/>
  <c r="AD40" i="12" s="1"/>
  <c r="AE12" i="12"/>
  <c r="AF12" i="12" s="1"/>
  <c r="AG12" i="12" s="1"/>
  <c r="AH12" i="12" s="1"/>
  <c r="AI12" i="12" s="1"/>
  <c r="AJ12" i="12" s="1"/>
  <c r="AK12" i="12" s="1"/>
  <c r="AL12" i="12" s="1"/>
  <c r="AM12" i="12" s="1"/>
  <c r="AE57" i="12"/>
  <c r="AF57" i="12" s="1"/>
  <c r="AG57" i="12" s="1"/>
  <c r="AH57" i="12" s="1"/>
  <c r="AI57" i="12" s="1"/>
  <c r="AJ57" i="12" s="1"/>
  <c r="AK57" i="12" s="1"/>
  <c r="AL57" i="12" s="1"/>
  <c r="AM57" i="12" s="1"/>
  <c r="AE67" i="12"/>
  <c r="AF67" i="12" s="1"/>
  <c r="AG67" i="12" s="1"/>
  <c r="AH67" i="12" s="1"/>
  <c r="AI67" i="12" s="1"/>
  <c r="AJ67" i="12" s="1"/>
  <c r="AK67" i="12" s="1"/>
  <c r="AL67" i="12" s="1"/>
  <c r="AM67" i="12" s="1"/>
  <c r="AN67" i="12" s="1"/>
  <c r="AO67" i="12" s="1"/>
  <c r="AE58" i="12"/>
  <c r="AF58" i="12" s="1"/>
  <c r="AG58" i="12" s="1"/>
  <c r="AH58" i="12" s="1"/>
  <c r="AI58" i="12" s="1"/>
  <c r="AJ58" i="12" s="1"/>
  <c r="AK58" i="12" s="1"/>
  <c r="AL58" i="12" s="1"/>
  <c r="AM58" i="12" s="1"/>
  <c r="AN58" i="12" s="1"/>
  <c r="AO58" i="12" s="1"/>
  <c r="AG16" i="12"/>
  <c r="AH16" i="12" s="1"/>
  <c r="AI16" i="12" s="1"/>
  <c r="AJ16" i="12" s="1"/>
  <c r="AK16" i="12" s="1"/>
  <c r="AL16" i="12" s="1"/>
  <c r="AM16" i="12" s="1"/>
  <c r="AE64" i="12"/>
  <c r="AF64" i="12" s="1"/>
  <c r="AG64" i="12" s="1"/>
  <c r="AH64" i="12" s="1"/>
  <c r="AI64" i="12" s="1"/>
  <c r="AJ64" i="12" s="1"/>
  <c r="AK64" i="12" s="1"/>
  <c r="AL64" i="12" s="1"/>
  <c r="AM64" i="12" s="1"/>
  <c r="AE18" i="12"/>
  <c r="AF18" i="12" s="1"/>
  <c r="AG18" i="12" s="1"/>
  <c r="AH18" i="12" s="1"/>
  <c r="AI18" i="12" s="1"/>
  <c r="AJ18" i="12" s="1"/>
  <c r="AK18" i="12" s="1"/>
  <c r="AL18" i="12" s="1"/>
  <c r="AM18" i="12" s="1"/>
  <c r="AE52" i="12"/>
  <c r="AF52" i="12" s="1"/>
  <c r="AG52" i="12" s="1"/>
  <c r="AH52" i="12" s="1"/>
  <c r="AI52" i="12" s="1"/>
  <c r="AJ52" i="12" s="1"/>
  <c r="AK52" i="12" s="1"/>
  <c r="AL52" i="12" s="1"/>
  <c r="AM52" i="12" s="1"/>
  <c r="AE20" i="12"/>
  <c r="AF20" i="12" s="1"/>
  <c r="AG20" i="12" s="1"/>
  <c r="AH20" i="12" s="1"/>
  <c r="AI20" i="12" s="1"/>
  <c r="AJ20" i="12" s="1"/>
  <c r="AK20" i="12" s="1"/>
  <c r="AL20" i="12" s="1"/>
  <c r="AM20" i="12" s="1"/>
  <c r="AE70" i="12"/>
  <c r="AF70" i="12" s="1"/>
  <c r="AG70" i="12" s="1"/>
  <c r="AH70" i="12" s="1"/>
  <c r="AI70" i="12" s="1"/>
  <c r="AJ70" i="12" s="1"/>
  <c r="AK70" i="12" s="1"/>
  <c r="AL70" i="12" s="1"/>
  <c r="AM70" i="12" s="1"/>
  <c r="AE55" i="12"/>
  <c r="AF55" i="12" s="1"/>
  <c r="AG55" i="12" s="1"/>
  <c r="AH55" i="12" s="1"/>
  <c r="AI55" i="12" s="1"/>
  <c r="AJ55" i="12" s="1"/>
  <c r="AK55" i="12" s="1"/>
  <c r="AL55" i="12" s="1"/>
  <c r="AM55" i="12" s="1"/>
  <c r="AN13" i="12" l="1"/>
  <c r="AO13" i="12" s="1"/>
  <c r="AN32" i="12"/>
  <c r="AO32" i="12" s="1"/>
  <c r="AN53" i="12"/>
  <c r="AO53" i="12" s="1"/>
  <c r="AN23" i="12"/>
  <c r="AO23" i="12" s="1"/>
  <c r="AN17" i="12"/>
  <c r="AO17" i="12" s="1"/>
  <c r="AN64" i="12"/>
  <c r="AO64" i="12" s="1"/>
  <c r="AN16" i="12"/>
  <c r="AO16" i="12" s="1"/>
  <c r="AP16" i="12" s="1"/>
  <c r="AN24" i="12"/>
  <c r="AO24" i="12" s="1"/>
  <c r="AP24" i="12" s="1"/>
  <c r="AN27" i="12"/>
  <c r="AO27" i="12" s="1"/>
  <c r="AP12" i="13"/>
  <c r="AO29" i="12"/>
  <c r="AP45" i="12"/>
  <c r="AP27" i="12"/>
  <c r="AN28" i="12"/>
  <c r="AO28" i="12" s="1"/>
  <c r="AP28" i="12" s="1"/>
  <c r="AP16" i="13"/>
  <c r="AN12" i="12"/>
  <c r="AO12" i="12" s="1"/>
  <c r="AN72" i="12"/>
  <c r="AO72" i="12" s="1"/>
  <c r="AN25" i="12"/>
  <c r="AO25" i="12" s="1"/>
  <c r="AE50" i="13"/>
  <c r="AF50" i="13" s="1"/>
  <c r="AG50" i="13" s="1"/>
  <c r="AH50" i="13" s="1"/>
  <c r="AI50" i="13" s="1"/>
  <c r="AJ50" i="13" s="1"/>
  <c r="AK50" i="13" s="1"/>
  <c r="AL50" i="13" s="1"/>
  <c r="AM50" i="13" s="1"/>
  <c r="AP45" i="13"/>
  <c r="AP43" i="13"/>
  <c r="AP53" i="12"/>
  <c r="AN63" i="12"/>
  <c r="AO63" i="12" s="1"/>
  <c r="AP44" i="13"/>
  <c r="AP46" i="13"/>
  <c r="AP59" i="12"/>
  <c r="AP67" i="12"/>
  <c r="AN73" i="12"/>
  <c r="AO73" i="12" s="1"/>
  <c r="AN14" i="12"/>
  <c r="AO14" i="12" s="1"/>
  <c r="AN70" i="12"/>
  <c r="AO70" i="12" s="1"/>
  <c r="AN65" i="12"/>
  <c r="AO65" i="12" s="1"/>
  <c r="AN15" i="12"/>
  <c r="AO15" i="12" s="1"/>
  <c r="AP11" i="13"/>
  <c r="AP17" i="13"/>
  <c r="AP32" i="12"/>
  <c r="AN54" i="12"/>
  <c r="AO54" i="12" s="1"/>
  <c r="AP54" i="12" s="1"/>
  <c r="AN57" i="12"/>
  <c r="AO57" i="12" s="1"/>
  <c r="AN68" i="12"/>
  <c r="AO68" i="12" s="1"/>
  <c r="AN55" i="12"/>
  <c r="AO55" i="12" s="1"/>
  <c r="AN62" i="12"/>
  <c r="AO62" i="12" s="1"/>
  <c r="AN21" i="12"/>
  <c r="AO21" i="12" s="1"/>
  <c r="AP21" i="12" s="1"/>
  <c r="AN71" i="12"/>
  <c r="AO71" i="12" s="1"/>
  <c r="AP71" i="12" s="1"/>
  <c r="AN60" i="12"/>
  <c r="AO60" i="12" s="1"/>
  <c r="AP60" i="12" s="1"/>
  <c r="AP19" i="13"/>
  <c r="AP15" i="13"/>
  <c r="AN30" i="12"/>
  <c r="AO30" i="12" s="1"/>
  <c r="AN11" i="12"/>
  <c r="AO11" i="12" s="1"/>
  <c r="AN26" i="12"/>
  <c r="AO26" i="12" s="1"/>
  <c r="AP26" i="12" s="1"/>
  <c r="AN20" i="12"/>
  <c r="AO20" i="12" s="1"/>
  <c r="AP20" i="12" s="1"/>
  <c r="AN69" i="12"/>
  <c r="AO69" i="12" s="1"/>
  <c r="AN52" i="12"/>
  <c r="AO52" i="12" s="1"/>
  <c r="AN18" i="12"/>
  <c r="AO18" i="12" s="1"/>
  <c r="AP18" i="12" s="1"/>
  <c r="AN66" i="12"/>
  <c r="AO66" i="12" s="1"/>
  <c r="AN56" i="12"/>
  <c r="AO56" i="12" s="1"/>
  <c r="AP13" i="13"/>
  <c r="AP38" i="13"/>
  <c r="AE113" i="12"/>
  <c r="AF113" i="12" s="1"/>
  <c r="AG114" i="12" s="1"/>
  <c r="AN61" i="12"/>
  <c r="AO61" i="12" s="1"/>
  <c r="AP61" i="12" s="1"/>
  <c r="AN31" i="12"/>
  <c r="AO31" i="12" s="1"/>
  <c r="AP31" i="12" s="1"/>
  <c r="AN19" i="12"/>
  <c r="AO19" i="12" s="1"/>
  <c r="AN22" i="12"/>
  <c r="AO22" i="12" s="1"/>
  <c r="AD76" i="12"/>
  <c r="AD11" i="3"/>
  <c r="AD39" i="14"/>
  <c r="AN50" i="13"/>
  <c r="AO50" i="13" s="1"/>
  <c r="AP50" i="13" s="1"/>
  <c r="AD81" i="14"/>
  <c r="AD86" i="14" s="1"/>
  <c r="AD10" i="3"/>
  <c r="AD9" i="3"/>
  <c r="AH113" i="14"/>
  <c r="AI114" i="14"/>
  <c r="AF119" i="14"/>
  <c r="AE76" i="14"/>
  <c r="AE78" i="14" s="1"/>
  <c r="AE81" i="14" s="1"/>
  <c r="AE86" i="14" s="1"/>
  <c r="AE120" i="14"/>
  <c r="AE36" i="14" s="1"/>
  <c r="AE38" i="14" s="1"/>
  <c r="AE39" i="14" s="1"/>
  <c r="S3" i="14"/>
  <c r="U4" i="14"/>
  <c r="P3" i="14"/>
  <c r="R4" i="14"/>
  <c r="AH118" i="14"/>
  <c r="AH84" i="14"/>
  <c r="AG115" i="14"/>
  <c r="AH112" i="14" s="1"/>
  <c r="O3" i="13"/>
  <c r="Q4" i="13"/>
  <c r="AH79" i="13"/>
  <c r="AI80" i="13"/>
  <c r="AF37" i="13"/>
  <c r="AH84" i="13"/>
  <c r="AH57" i="13"/>
  <c r="AF10" i="13"/>
  <c r="R3" i="13"/>
  <c r="T4" i="13"/>
  <c r="AF85" i="13"/>
  <c r="AG86" i="13" s="1"/>
  <c r="AE49" i="13"/>
  <c r="AE23" i="13"/>
  <c r="AE25" i="13" s="1"/>
  <c r="AG81" i="13"/>
  <c r="AH78" i="13" s="1"/>
  <c r="AH112" i="12"/>
  <c r="AH84" i="12"/>
  <c r="AI108" i="12"/>
  <c r="AG109" i="12"/>
  <c r="AH106" i="12" s="1"/>
  <c r="AF10" i="12"/>
  <c r="AE39" i="12"/>
  <c r="AH51" i="12"/>
  <c r="AE51" i="13" l="1"/>
  <c r="AE54" i="13" s="1"/>
  <c r="AE59" i="13" s="1"/>
  <c r="AP17" i="12"/>
  <c r="AP25" i="12"/>
  <c r="AP11" i="12"/>
  <c r="AP57" i="12"/>
  <c r="AP70" i="12"/>
  <c r="AP58" i="12"/>
  <c r="AP13" i="12"/>
  <c r="AP30" i="12"/>
  <c r="AP15" i="12"/>
  <c r="AP72" i="12"/>
  <c r="AP56" i="12"/>
  <c r="AP66" i="12"/>
  <c r="AP68" i="12"/>
  <c r="AP65" i="12"/>
  <c r="AP63" i="12"/>
  <c r="AP12" i="12"/>
  <c r="AP19" i="12"/>
  <c r="AE10" i="3"/>
  <c r="AE26" i="13"/>
  <c r="AP29" i="12"/>
  <c r="AP62" i="12"/>
  <c r="AP14" i="12"/>
  <c r="AP23" i="12"/>
  <c r="AF76" i="12"/>
  <c r="AP52" i="12"/>
  <c r="AP22" i="12"/>
  <c r="AP69" i="12"/>
  <c r="AP55" i="12"/>
  <c r="AP73" i="12"/>
  <c r="AP64" i="12"/>
  <c r="AH71" i="11"/>
  <c r="AG113" i="12"/>
  <c r="AG76" i="12" s="1"/>
  <c r="AE9" i="3"/>
  <c r="AE40" i="12"/>
  <c r="AD81" i="12"/>
  <c r="AD86" i="12" s="1"/>
  <c r="AD77" i="12"/>
  <c r="AE77" i="12" s="1"/>
  <c r="AF77" i="12" s="1"/>
  <c r="AG77" i="12" s="1"/>
  <c r="AH77" i="12" s="1"/>
  <c r="AI77" i="12" s="1"/>
  <c r="AJ77" i="12" s="1"/>
  <c r="AK77" i="12" s="1"/>
  <c r="AL77" i="12" s="1"/>
  <c r="AM77" i="12" s="1"/>
  <c r="AN77" i="12" s="1"/>
  <c r="AO77" i="12" s="1"/>
  <c r="AP77" i="12" s="1"/>
  <c r="AF114" i="12"/>
  <c r="AF37" i="12" s="1"/>
  <c r="AF39" i="12" s="1"/>
  <c r="AE76" i="12"/>
  <c r="AE78" i="12" s="1"/>
  <c r="AE81" i="12" s="1"/>
  <c r="AE86" i="12" s="1"/>
  <c r="AE11" i="3"/>
  <c r="AH115" i="14"/>
  <c r="AI112" i="14" s="1"/>
  <c r="AH129" i="3"/>
  <c r="AG37" i="12"/>
  <c r="AH114" i="12"/>
  <c r="R3" i="14"/>
  <c r="T4" i="14"/>
  <c r="AI118" i="14"/>
  <c r="AI84" i="14"/>
  <c r="W4" i="14"/>
  <c r="U3" i="14"/>
  <c r="AF76" i="14"/>
  <c r="AF78" i="14" s="1"/>
  <c r="AF81" i="14" s="1"/>
  <c r="AF86" i="14" s="1"/>
  <c r="AF120" i="14"/>
  <c r="AF36" i="14" s="1"/>
  <c r="AF38" i="14" s="1"/>
  <c r="AG119" i="14"/>
  <c r="AJ114" i="14"/>
  <c r="AH81" i="13"/>
  <c r="AI78" i="13" s="1"/>
  <c r="V4" i="13"/>
  <c r="T3" i="13"/>
  <c r="AI84" i="13"/>
  <c r="AI57" i="13"/>
  <c r="AJ80" i="13"/>
  <c r="AI79" i="13"/>
  <c r="AI71" i="11" s="1"/>
  <c r="AG37" i="13"/>
  <c r="S4" i="13"/>
  <c r="Q3" i="13"/>
  <c r="AF49" i="13"/>
  <c r="AF51" i="13" s="1"/>
  <c r="AF54" i="13" s="1"/>
  <c r="AF59" i="13" s="1"/>
  <c r="AF23" i="13"/>
  <c r="AF25" i="13" s="1"/>
  <c r="AG85" i="13"/>
  <c r="AH86" i="13" s="1"/>
  <c r="AG10" i="13"/>
  <c r="AI112" i="12"/>
  <c r="AI84" i="12"/>
  <c r="AJ108" i="12"/>
  <c r="AH109" i="12"/>
  <c r="AI106" i="12" s="1"/>
  <c r="AG10" i="12"/>
  <c r="AI51" i="12"/>
  <c r="AF9" i="3" l="1"/>
  <c r="AF40" i="12"/>
  <c r="AF11" i="3"/>
  <c r="AF39" i="14"/>
  <c r="AH39" i="14" s="1"/>
  <c r="AI39" i="14" s="1"/>
  <c r="AJ39" i="14" s="1"/>
  <c r="AK39" i="14" s="1"/>
  <c r="AL39" i="14" s="1"/>
  <c r="AM39" i="14" s="1"/>
  <c r="AN39" i="14" s="1"/>
  <c r="AO39" i="14" s="1"/>
  <c r="AP39" i="14" s="1"/>
  <c r="AH40" i="12"/>
  <c r="AI40" i="12" s="1"/>
  <c r="AJ40" i="12" s="1"/>
  <c r="AK40" i="12" s="1"/>
  <c r="AL40" i="12" s="1"/>
  <c r="AM40" i="12" s="1"/>
  <c r="AN40" i="12" s="1"/>
  <c r="AO40" i="12" s="1"/>
  <c r="AP40" i="12" s="1"/>
  <c r="AF10" i="3"/>
  <c r="AF26" i="13"/>
  <c r="AI26" i="13" s="1"/>
  <c r="AJ26" i="13" s="1"/>
  <c r="AK26" i="13" s="1"/>
  <c r="AL26" i="13" s="1"/>
  <c r="AM26" i="13" s="1"/>
  <c r="AN26" i="13" s="1"/>
  <c r="AO26" i="13" s="1"/>
  <c r="AP26" i="13" s="1"/>
  <c r="AH113" i="12"/>
  <c r="AI114" i="12" s="1"/>
  <c r="AG78" i="12"/>
  <c r="AF78" i="12"/>
  <c r="AF81" i="12" s="1"/>
  <c r="AF86" i="12" s="1"/>
  <c r="AI81" i="13"/>
  <c r="AJ78" i="13" s="1"/>
  <c r="AI129" i="3"/>
  <c r="AH37" i="12"/>
  <c r="AJ118" i="14"/>
  <c r="AJ84" i="14"/>
  <c r="AG120" i="14"/>
  <c r="AG36" i="14" s="1"/>
  <c r="AG38" i="14" s="1"/>
  <c r="AG76" i="14"/>
  <c r="AG78" i="14" s="1"/>
  <c r="AG81" i="14" s="1"/>
  <c r="AG86" i="14" s="1"/>
  <c r="AH119" i="14"/>
  <c r="W3" i="14"/>
  <c r="Y4" i="14"/>
  <c r="T3" i="14"/>
  <c r="V4" i="14"/>
  <c r="AJ113" i="14"/>
  <c r="AK114" i="14"/>
  <c r="AI115" i="14"/>
  <c r="AJ112" i="14" s="1"/>
  <c r="AH10" i="13"/>
  <c r="AH37" i="13"/>
  <c r="AG23" i="13"/>
  <c r="AG25" i="13" s="1"/>
  <c r="AG49" i="13"/>
  <c r="AG51" i="13" s="1"/>
  <c r="AG54" i="13" s="1"/>
  <c r="AG59" i="13" s="1"/>
  <c r="AH85" i="13"/>
  <c r="AI86" i="13" s="1"/>
  <c r="AJ79" i="13"/>
  <c r="AK80" i="13"/>
  <c r="S3" i="13"/>
  <c r="U4" i="13"/>
  <c r="AJ84" i="13"/>
  <c r="AJ57" i="13"/>
  <c r="V3" i="13"/>
  <c r="X4" i="13"/>
  <c r="AJ112" i="12"/>
  <c r="AJ84" i="12"/>
  <c r="AJ107" i="12"/>
  <c r="AK108" i="12"/>
  <c r="AI109" i="12"/>
  <c r="AJ106" i="12" s="1"/>
  <c r="AH10" i="12"/>
  <c r="AG39" i="12"/>
  <c r="AJ51" i="12"/>
  <c r="AG10" i="3" l="1"/>
  <c r="AG11" i="3"/>
  <c r="AH76" i="12"/>
  <c r="AH78" i="12" s="1"/>
  <c r="AI113" i="12"/>
  <c r="AJ114" i="12" s="1"/>
  <c r="AG9" i="3"/>
  <c r="AG81" i="12"/>
  <c r="AG86" i="12" s="1"/>
  <c r="AH81" i="12"/>
  <c r="AH86" i="12" s="1"/>
  <c r="AJ71" i="11"/>
  <c r="AJ129" i="3"/>
  <c r="AI37" i="12"/>
  <c r="AJ115" i="14"/>
  <c r="AK112" i="14" s="1"/>
  <c r="AK118" i="14"/>
  <c r="AK84" i="14"/>
  <c r="AA4" i="14"/>
  <c r="Y3" i="14"/>
  <c r="AK113" i="14"/>
  <c r="AM114" i="14" s="1"/>
  <c r="AL114" i="14"/>
  <c r="X4" i="14"/>
  <c r="V3" i="14"/>
  <c r="AH120" i="14"/>
  <c r="AH36" i="14" s="1"/>
  <c r="AH38" i="14" s="1"/>
  <c r="AH40" i="14" s="1"/>
  <c r="AH11" i="3" s="1"/>
  <c r="AI119" i="14"/>
  <c r="AH76" i="14"/>
  <c r="AH78" i="14" s="1"/>
  <c r="AH81" i="14" s="1"/>
  <c r="AH86" i="14" s="1"/>
  <c r="AK84" i="13"/>
  <c r="AK57" i="13"/>
  <c r="AI10" i="13"/>
  <c r="Z4" i="13"/>
  <c r="X3" i="13"/>
  <c r="U3" i="13"/>
  <c r="W4" i="13"/>
  <c r="AH23" i="13"/>
  <c r="AH25" i="13" s="1"/>
  <c r="AH27" i="13" s="1"/>
  <c r="AH10" i="3" s="1"/>
  <c r="AI85" i="13"/>
  <c r="AJ86" i="13" s="1"/>
  <c r="AH49" i="13"/>
  <c r="AH51" i="13" s="1"/>
  <c r="AH54" i="13" s="1"/>
  <c r="AH59" i="13" s="1"/>
  <c r="AI37" i="13"/>
  <c r="AK79" i="13"/>
  <c r="AL80" i="13"/>
  <c r="AJ81" i="13"/>
  <c r="AK78" i="13" s="1"/>
  <c r="AK112" i="12"/>
  <c r="AK84" i="12"/>
  <c r="AJ113" i="12"/>
  <c r="AI76" i="12"/>
  <c r="AI78" i="12" s="1"/>
  <c r="AI81" i="12" s="1"/>
  <c r="AI86" i="12" s="1"/>
  <c r="AK107" i="12"/>
  <c r="AM108" i="12" s="1"/>
  <c r="AL108" i="12"/>
  <c r="AJ109" i="12"/>
  <c r="AK106" i="12" s="1"/>
  <c r="AI10" i="12"/>
  <c r="AH39" i="12"/>
  <c r="AH41" i="12" s="1"/>
  <c r="AH9" i="3" s="1"/>
  <c r="AK51" i="12"/>
  <c r="AL79" i="13" l="1"/>
  <c r="AM80" i="13"/>
  <c r="AM112" i="12"/>
  <c r="AM84" i="12"/>
  <c r="AM118" i="14"/>
  <c r="AM84" i="14"/>
  <c r="AK81" i="13"/>
  <c r="AL78" i="13" s="1"/>
  <c r="AL81" i="13" s="1"/>
  <c r="AM78" i="13" s="1"/>
  <c r="AL107" i="12"/>
  <c r="AK71" i="11"/>
  <c r="AJ37" i="12"/>
  <c r="AK114" i="12"/>
  <c r="AH62" i="3"/>
  <c r="AL113" i="14"/>
  <c r="AK129" i="3"/>
  <c r="AA3" i="14"/>
  <c r="AC4" i="14"/>
  <c r="X3" i="14"/>
  <c r="Z4" i="14"/>
  <c r="AJ119" i="14"/>
  <c r="AI76" i="14"/>
  <c r="AI78" i="14" s="1"/>
  <c r="AI81" i="14" s="1"/>
  <c r="AI86" i="14" s="1"/>
  <c r="AI120" i="14"/>
  <c r="AI36" i="14" s="1"/>
  <c r="AI38" i="14" s="1"/>
  <c r="AI40" i="14" s="1"/>
  <c r="AI11" i="3" s="1"/>
  <c r="AL84" i="14"/>
  <c r="AL118" i="14"/>
  <c r="AK115" i="14"/>
  <c r="AL112" i="14" s="1"/>
  <c r="W3" i="13"/>
  <c r="Y4" i="13"/>
  <c r="AL57" i="13"/>
  <c r="AL84" i="13"/>
  <c r="AJ10" i="13"/>
  <c r="AJ85" i="13"/>
  <c r="AK86" i="13" s="1"/>
  <c r="AI49" i="13"/>
  <c r="AI51" i="13" s="1"/>
  <c r="AI54" i="13" s="1"/>
  <c r="AI59" i="13" s="1"/>
  <c r="AI23" i="13"/>
  <c r="AI25" i="13" s="1"/>
  <c r="AI27" i="13" s="1"/>
  <c r="AI10" i="3" s="1"/>
  <c r="AJ37" i="13"/>
  <c r="Z3" i="13"/>
  <c r="AB4" i="13"/>
  <c r="AL112" i="12"/>
  <c r="AL84" i="12"/>
  <c r="AK113" i="12"/>
  <c r="AJ76" i="12"/>
  <c r="AJ78" i="12" s="1"/>
  <c r="AJ81" i="12" s="1"/>
  <c r="AJ86" i="12" s="1"/>
  <c r="AK109" i="12"/>
  <c r="AL106" i="12" s="1"/>
  <c r="AJ10" i="12"/>
  <c r="AI39" i="12"/>
  <c r="AI41" i="12" s="1"/>
  <c r="AI9" i="3" s="1"/>
  <c r="AL51" i="12"/>
  <c r="AM51" i="12" s="1"/>
  <c r="AN51" i="12" s="1"/>
  <c r="AO51" i="12" s="1"/>
  <c r="AP51" i="12" s="1"/>
  <c r="AL109" i="12" l="1"/>
  <c r="AM106" i="12" s="1"/>
  <c r="AM57" i="13"/>
  <c r="AM84" i="13"/>
  <c r="AN80" i="13"/>
  <c r="AM79" i="13"/>
  <c r="AL71" i="11"/>
  <c r="AM107" i="12"/>
  <c r="AM109" i="12" s="1"/>
  <c r="AN106" i="12" s="1"/>
  <c r="AN108" i="12"/>
  <c r="AM113" i="14"/>
  <c r="AO114" i="14" s="1"/>
  <c r="AN114" i="14"/>
  <c r="AL115" i="14"/>
  <c r="AM112" i="14" s="1"/>
  <c r="AL129" i="3"/>
  <c r="AL114" i="12"/>
  <c r="AI62" i="3"/>
  <c r="AE4" i="14"/>
  <c r="AC3" i="14"/>
  <c r="Z3" i="14"/>
  <c r="AB4" i="14"/>
  <c r="AJ76" i="14"/>
  <c r="AJ78" i="14" s="1"/>
  <c r="AJ81" i="14" s="1"/>
  <c r="AJ86" i="14" s="1"/>
  <c r="AJ120" i="14"/>
  <c r="AJ36" i="14" s="1"/>
  <c r="AJ38" i="14" s="1"/>
  <c r="AJ40" i="14" s="1"/>
  <c r="AJ11" i="3" s="1"/>
  <c r="AK119" i="14"/>
  <c r="AK37" i="13"/>
  <c r="AJ49" i="13"/>
  <c r="AJ51" i="13" s="1"/>
  <c r="AJ54" i="13" s="1"/>
  <c r="AJ59" i="13" s="1"/>
  <c r="AJ23" i="13"/>
  <c r="AJ25" i="13" s="1"/>
  <c r="AJ27" i="13" s="1"/>
  <c r="AJ10" i="3" s="1"/>
  <c r="AK85" i="13"/>
  <c r="AL86" i="13" s="1"/>
  <c r="AA4" i="13"/>
  <c r="Y3" i="13"/>
  <c r="AD4" i="13"/>
  <c r="AB3" i="13"/>
  <c r="AK10" i="13"/>
  <c r="AL113" i="12"/>
  <c r="AK76" i="12"/>
  <c r="AK78" i="12" s="1"/>
  <c r="AK81" i="12" s="1"/>
  <c r="AK86" i="12" s="1"/>
  <c r="AK37" i="12"/>
  <c r="AK10" i="12"/>
  <c r="AJ39" i="12"/>
  <c r="AJ41" i="12" s="1"/>
  <c r="AJ9" i="3" s="1"/>
  <c r="AN107" i="12" l="1"/>
  <c r="AO108" i="12"/>
  <c r="AN57" i="13"/>
  <c r="AN84" i="13"/>
  <c r="AM81" i="13"/>
  <c r="AN78" i="13" s="1"/>
  <c r="AO80" i="13"/>
  <c r="AN79" i="13"/>
  <c r="AO84" i="14"/>
  <c r="AO118" i="14"/>
  <c r="AN112" i="12"/>
  <c r="AN84" i="12"/>
  <c r="AM113" i="12"/>
  <c r="AM114" i="12"/>
  <c r="AM37" i="12" s="1"/>
  <c r="AN118" i="14"/>
  <c r="AN84" i="14"/>
  <c r="AM115" i="14"/>
  <c r="AN112" i="14" s="1"/>
  <c r="AM71" i="11"/>
  <c r="AM129" i="3"/>
  <c r="AN113" i="14"/>
  <c r="AJ62" i="3"/>
  <c r="AE3" i="14"/>
  <c r="AG4" i="14"/>
  <c r="AK120" i="14"/>
  <c r="AK36" i="14" s="1"/>
  <c r="AK38" i="14" s="1"/>
  <c r="AK40" i="14" s="1"/>
  <c r="AK11" i="3" s="1"/>
  <c r="AL119" i="14"/>
  <c r="AM119" i="14" s="1"/>
  <c r="AK76" i="14"/>
  <c r="AK78" i="14" s="1"/>
  <c r="AK81" i="14" s="1"/>
  <c r="AK86" i="14" s="1"/>
  <c r="AB3" i="14"/>
  <c r="AD4" i="14"/>
  <c r="AL10" i="13"/>
  <c r="AM10" i="13" s="1"/>
  <c r="AA3" i="13"/>
  <c r="AC4" i="13"/>
  <c r="AL37" i="13"/>
  <c r="AM37" i="13" s="1"/>
  <c r="AN37" i="13" s="1"/>
  <c r="AO37" i="13" s="1"/>
  <c r="AD3" i="13"/>
  <c r="AF4" i="13"/>
  <c r="AK23" i="13"/>
  <c r="AK25" i="13" s="1"/>
  <c r="AK27" i="13" s="1"/>
  <c r="AK10" i="3" s="1"/>
  <c r="AL85" i="13"/>
  <c r="AK49" i="13"/>
  <c r="AK51" i="13" s="1"/>
  <c r="AK54" i="13" s="1"/>
  <c r="AK59" i="13" s="1"/>
  <c r="AL76" i="12"/>
  <c r="AL78" i="12" s="1"/>
  <c r="AL37" i="12"/>
  <c r="AL10" i="12"/>
  <c r="AM10" i="12" s="1"/>
  <c r="AN10" i="12" s="1"/>
  <c r="AO10" i="12" s="1"/>
  <c r="AP10" i="12" s="1"/>
  <c r="AK39" i="12"/>
  <c r="AK41" i="12" s="1"/>
  <c r="AK9" i="3" s="1"/>
  <c r="AP80" i="13" l="1"/>
  <c r="AO79" i="13"/>
  <c r="AP79" i="13" s="1"/>
  <c r="AP114" i="14"/>
  <c r="AO113" i="14"/>
  <c r="AO107" i="12"/>
  <c r="AP108" i="12"/>
  <c r="AP37" i="13"/>
  <c r="AO57" i="13"/>
  <c r="AO84" i="13"/>
  <c r="AN81" i="13"/>
  <c r="AO78" i="13" s="1"/>
  <c r="AO81" i="13" s="1"/>
  <c r="AP78" i="13" s="1"/>
  <c r="AP81" i="13" s="1"/>
  <c r="AO84" i="12"/>
  <c r="AO112" i="12"/>
  <c r="AN109" i="12"/>
  <c r="AO106" i="12" s="1"/>
  <c r="AM86" i="13"/>
  <c r="AM23" i="13" s="1"/>
  <c r="AM25" i="13" s="1"/>
  <c r="AM27" i="13" s="1"/>
  <c r="AM10" i="3" s="1"/>
  <c r="AM85" i="13"/>
  <c r="AM39" i="12"/>
  <c r="AM41" i="12" s="1"/>
  <c r="AM9" i="3" s="1"/>
  <c r="AN113" i="12"/>
  <c r="AM76" i="12"/>
  <c r="AM78" i="12" s="1"/>
  <c r="AN114" i="12"/>
  <c r="AN37" i="12" s="1"/>
  <c r="AN39" i="12" s="1"/>
  <c r="AN41" i="12" s="1"/>
  <c r="AN9" i="3" s="1"/>
  <c r="AN10" i="13"/>
  <c r="AO10" i="13" s="1"/>
  <c r="AL81" i="12"/>
  <c r="AL86" i="12" s="1"/>
  <c r="AM81" i="12"/>
  <c r="AM86" i="12" s="1"/>
  <c r="AM13" i="11"/>
  <c r="AM131" i="3"/>
  <c r="AM120" i="14"/>
  <c r="AM36" i="14" s="1"/>
  <c r="AM38" i="14" s="1"/>
  <c r="AM40" i="14" s="1"/>
  <c r="AM11" i="3" s="1"/>
  <c r="AM76" i="14"/>
  <c r="AM78" i="14" s="1"/>
  <c r="AN119" i="14"/>
  <c r="AO119" i="14" s="1"/>
  <c r="AN115" i="14"/>
  <c r="AO112" i="14" s="1"/>
  <c r="AN71" i="11"/>
  <c r="AN129" i="3"/>
  <c r="AL39" i="12"/>
  <c r="AL41" i="12" s="1"/>
  <c r="AL9" i="3" s="1"/>
  <c r="AK62" i="3"/>
  <c r="AL120" i="14"/>
  <c r="AL36" i="14" s="1"/>
  <c r="AL38" i="14" s="1"/>
  <c r="AL40" i="14" s="1"/>
  <c r="AL11" i="3" s="1"/>
  <c r="AL76" i="14"/>
  <c r="AL78" i="14" s="1"/>
  <c r="AL81" i="14" s="1"/>
  <c r="AL86" i="14" s="1"/>
  <c r="AI4" i="14"/>
  <c r="AG3" i="14"/>
  <c r="AF4" i="14"/>
  <c r="AD3" i="14"/>
  <c r="AH4" i="13"/>
  <c r="AF3" i="13"/>
  <c r="AC3" i="13"/>
  <c r="AE4" i="13"/>
  <c r="AL23" i="13"/>
  <c r="AL25" i="13" s="1"/>
  <c r="AL27" i="13" s="1"/>
  <c r="AL10" i="3" s="1"/>
  <c r="AL49" i="13"/>
  <c r="AL51" i="13" s="1"/>
  <c r="AP10" i="13" l="1"/>
  <c r="AO115" i="14"/>
  <c r="AP112" i="14" s="1"/>
  <c r="AP113" i="14"/>
  <c r="AP84" i="12"/>
  <c r="AP112" i="12"/>
  <c r="AP84" i="14"/>
  <c r="AP118" i="14"/>
  <c r="AP119" i="14" s="1"/>
  <c r="AP107" i="12"/>
  <c r="AO71" i="11"/>
  <c r="AO129" i="3"/>
  <c r="AO109" i="12"/>
  <c r="AP106" i="12" s="1"/>
  <c r="AP57" i="13"/>
  <c r="AP84" i="13"/>
  <c r="AO76" i="14"/>
  <c r="AO78" i="14" s="1"/>
  <c r="AO120" i="14"/>
  <c r="AO36" i="14" s="1"/>
  <c r="AO38" i="14" s="1"/>
  <c r="AO40" i="14" s="1"/>
  <c r="AO11" i="3" s="1"/>
  <c r="AN76" i="12"/>
  <c r="AN78" i="12" s="1"/>
  <c r="AN81" i="12" s="1"/>
  <c r="AN86" i="12" s="1"/>
  <c r="AO113" i="12"/>
  <c r="AO114" i="12"/>
  <c r="AO37" i="12" s="1"/>
  <c r="AO39" i="12" s="1"/>
  <c r="AO41" i="12" s="1"/>
  <c r="AO9" i="3" s="1"/>
  <c r="AM49" i="13"/>
  <c r="AM51" i="13" s="1"/>
  <c r="AM54" i="13" s="1"/>
  <c r="AM59" i="13" s="1"/>
  <c r="AN86" i="13"/>
  <c r="AN23" i="13" s="1"/>
  <c r="AN25" i="13" s="1"/>
  <c r="AN27" i="13" s="1"/>
  <c r="AN10" i="3" s="1"/>
  <c r="AN85" i="13"/>
  <c r="AO86" i="13" s="1"/>
  <c r="AO23" i="13" s="1"/>
  <c r="AO25" i="13" s="1"/>
  <c r="AO27" i="13" s="1"/>
  <c r="AO10" i="3" s="1"/>
  <c r="AM81" i="14"/>
  <c r="AM86" i="14" s="1"/>
  <c r="AL54" i="13"/>
  <c r="AL59" i="13" s="1"/>
  <c r="AL62" i="3" s="1"/>
  <c r="AN76" i="14"/>
  <c r="AN78" i="14" s="1"/>
  <c r="AN81" i="14" s="1"/>
  <c r="AN86" i="14" s="1"/>
  <c r="AN120" i="14"/>
  <c r="AN36" i="14" s="1"/>
  <c r="AN38" i="14" s="1"/>
  <c r="AN40" i="14" s="1"/>
  <c r="AN11" i="3" s="1"/>
  <c r="AN13" i="11"/>
  <c r="AN131" i="3"/>
  <c r="AF3" i="14"/>
  <c r="AH4" i="14"/>
  <c r="AI3" i="14"/>
  <c r="AK4" i="14"/>
  <c r="AH3" i="13"/>
  <c r="AJ4" i="13"/>
  <c r="AE3" i="13"/>
  <c r="AG4" i="13"/>
  <c r="AM62" i="3" l="1"/>
  <c r="AP120" i="14"/>
  <c r="AP36" i="14" s="1"/>
  <c r="AP38" i="14" s="1"/>
  <c r="AP40" i="14" s="1"/>
  <c r="AP11" i="3" s="1"/>
  <c r="AP76" i="14"/>
  <c r="AP78" i="14" s="1"/>
  <c r="AP81" i="14" s="1"/>
  <c r="AP86" i="14" s="1"/>
  <c r="AP71" i="11"/>
  <c r="AP129" i="3"/>
  <c r="AO81" i="14"/>
  <c r="AO86" i="14" s="1"/>
  <c r="AP115" i="14"/>
  <c r="AP109" i="12"/>
  <c r="AN49" i="13"/>
  <c r="AN51" i="13" s="1"/>
  <c r="AN54" i="13" s="1"/>
  <c r="AN59" i="13" s="1"/>
  <c r="AN62" i="3" s="1"/>
  <c r="AO85" i="13"/>
  <c r="AO13" i="11"/>
  <c r="AO131" i="3"/>
  <c r="AO76" i="12"/>
  <c r="AO78" i="12" s="1"/>
  <c r="AO81" i="12" s="1"/>
  <c r="AO86" i="12" s="1"/>
  <c r="AP114" i="12"/>
  <c r="AP37" i="12" s="1"/>
  <c r="AP39" i="12" s="1"/>
  <c r="AP41" i="12" s="1"/>
  <c r="AP9" i="3" s="1"/>
  <c r="AP113" i="12"/>
  <c r="AP76" i="12" s="1"/>
  <c r="AP78" i="12" s="1"/>
  <c r="AP81" i="12" s="1"/>
  <c r="AP86" i="12" s="1"/>
  <c r="AK3" i="14"/>
  <c r="AM4" i="14"/>
  <c r="AH3" i="14"/>
  <c r="AJ4" i="14"/>
  <c r="AI4" i="13"/>
  <c r="AG3" i="13"/>
  <c r="AL4" i="13"/>
  <c r="AJ3" i="13"/>
  <c r="AO49" i="13" l="1"/>
  <c r="AO51" i="13" s="1"/>
  <c r="AO54" i="13" s="1"/>
  <c r="AO59" i="13" s="1"/>
  <c r="AP86" i="13"/>
  <c r="AP23" i="13" s="1"/>
  <c r="AP25" i="13" s="1"/>
  <c r="AP27" i="13" s="1"/>
  <c r="AP10" i="3" s="1"/>
  <c r="AP85" i="13"/>
  <c r="AP49" i="13" s="1"/>
  <c r="AP51" i="13" s="1"/>
  <c r="AM3" i="14"/>
  <c r="AO4" i="14"/>
  <c r="AO3" i="14" s="1"/>
  <c r="AP13" i="11"/>
  <c r="AP131" i="3"/>
  <c r="AO62" i="3"/>
  <c r="AL3" i="13"/>
  <c r="AN4" i="13"/>
  <c r="AJ3" i="14"/>
  <c r="AL4" i="14"/>
  <c r="AI3" i="13"/>
  <c r="AK4" i="13"/>
  <c r="AK3" i="13" l="1"/>
  <c r="AM4" i="13"/>
  <c r="AP54" i="13"/>
  <c r="AP59" i="13" s="1"/>
  <c r="AP62" i="3" s="1"/>
  <c r="AN3" i="13"/>
  <c r="AP4" i="13"/>
  <c r="AP3" i="13" s="1"/>
  <c r="AL3" i="14"/>
  <c r="AN4" i="14"/>
  <c r="AA81" i="12"/>
  <c r="AA86" i="12" s="1"/>
  <c r="C73" i="12"/>
  <c r="C52" i="12"/>
  <c r="C53" i="12"/>
  <c r="C54" i="12"/>
  <c r="C55" i="12"/>
  <c r="C56" i="12"/>
  <c r="C57" i="12"/>
  <c r="C58" i="12"/>
  <c r="C59" i="12"/>
  <c r="C60" i="12"/>
  <c r="C61" i="12"/>
  <c r="C62" i="12"/>
  <c r="C63" i="12"/>
  <c r="C64" i="12"/>
  <c r="C65" i="12"/>
  <c r="C66" i="12"/>
  <c r="C67" i="12"/>
  <c r="C68" i="12"/>
  <c r="C69" i="12"/>
  <c r="C70" i="12"/>
  <c r="C71" i="12"/>
  <c r="C72" i="12"/>
  <c r="C51" i="12"/>
  <c r="R5" i="12"/>
  <c r="T5" i="12" s="1"/>
  <c r="V5" i="12" s="1"/>
  <c r="X5" i="12" s="1"/>
  <c r="Z5" i="12" s="1"/>
  <c r="AB5" i="12" s="1"/>
  <c r="AD5" i="12" s="1"/>
  <c r="AF5" i="12" s="1"/>
  <c r="AH5" i="12" s="1"/>
  <c r="AJ5" i="12" s="1"/>
  <c r="AL5" i="12" s="1"/>
  <c r="AN5" i="12" s="1"/>
  <c r="AP5" i="12" s="1"/>
  <c r="Q5" i="12"/>
  <c r="S5" i="12" s="1"/>
  <c r="U5" i="12" s="1"/>
  <c r="W5" i="12" s="1"/>
  <c r="Y5" i="12" s="1"/>
  <c r="AA5" i="12" s="1"/>
  <c r="AC5" i="12" s="1"/>
  <c r="AE5" i="12" s="1"/>
  <c r="AG5" i="12" s="1"/>
  <c r="AI5" i="12" s="1"/>
  <c r="AK5" i="12" s="1"/>
  <c r="AM5" i="12" s="1"/>
  <c r="AO5" i="12" s="1"/>
  <c r="G4" i="12"/>
  <c r="I4" i="12" s="1"/>
  <c r="K4" i="12" s="1"/>
  <c r="F4" i="12"/>
  <c r="F3" i="12" s="1"/>
  <c r="E3" i="12"/>
  <c r="F2" i="12"/>
  <c r="G2" i="12" s="1"/>
  <c r="H2" i="12" s="1"/>
  <c r="I2" i="12" s="1"/>
  <c r="J2" i="12" s="1"/>
  <c r="K2" i="12" s="1"/>
  <c r="L2" i="12" s="1"/>
  <c r="M2" i="12" s="1"/>
  <c r="N2" i="12" s="1"/>
  <c r="O2" i="12" s="1"/>
  <c r="P2" i="12" s="1"/>
  <c r="Q2" i="12" s="1"/>
  <c r="R2" i="12" s="1"/>
  <c r="S2" i="12" s="1"/>
  <c r="T2" i="12" s="1"/>
  <c r="U2" i="12" s="1"/>
  <c r="V2" i="12" s="1"/>
  <c r="W2" i="12" s="1"/>
  <c r="X2" i="12" s="1"/>
  <c r="Y2" i="12" s="1"/>
  <c r="Z2" i="12" s="1"/>
  <c r="AA2" i="12" s="1"/>
  <c r="AB2" i="12" s="1"/>
  <c r="AC2" i="12" s="1"/>
  <c r="AD2" i="12" s="1"/>
  <c r="AE2" i="12" s="1"/>
  <c r="AF2" i="12" s="1"/>
  <c r="AG2" i="12" s="1"/>
  <c r="AH2" i="12" s="1"/>
  <c r="AI2" i="12" s="1"/>
  <c r="AJ2" i="12" s="1"/>
  <c r="AK2" i="12" s="1"/>
  <c r="AL2" i="12" s="1"/>
  <c r="AM2" i="12" s="1"/>
  <c r="AN2" i="12" s="1"/>
  <c r="AO2" i="12" s="1"/>
  <c r="AP2" i="12" s="1"/>
  <c r="A1" i="12"/>
  <c r="AT157" i="3"/>
  <c r="AT158" i="3" s="1"/>
  <c r="AU157" i="3"/>
  <c r="AU158" i="3" s="1"/>
  <c r="AV157" i="3"/>
  <c r="AV158" i="3" s="1"/>
  <c r="AT4" i="3"/>
  <c r="AU4" i="3" s="1"/>
  <c r="AG72" i="3"/>
  <c r="AG71" i="3" s="1"/>
  <c r="AG77" i="3" s="1"/>
  <c r="Z49" i="3"/>
  <c r="Z64" i="3"/>
  <c r="Z62" i="3"/>
  <c r="Z59" i="3"/>
  <c r="Z58" i="3"/>
  <c r="Z57" i="3"/>
  <c r="Z35" i="3"/>
  <c r="Z34" i="3"/>
  <c r="Z74" i="5"/>
  <c r="Z73" i="5"/>
  <c r="Z72" i="5"/>
  <c r="Z71" i="5"/>
  <c r="Z25" i="3"/>
  <c r="X57" i="3"/>
  <c r="Y9" i="3"/>
  <c r="Z9" i="3" s="1"/>
  <c r="X10" i="3"/>
  <c r="X9" i="3"/>
  <c r="X35" i="3"/>
  <c r="X34" i="3"/>
  <c r="V64" i="3"/>
  <c r="X64" i="3"/>
  <c r="X62" i="3"/>
  <c r="V62" i="3"/>
  <c r="X59" i="3"/>
  <c r="X58" i="3"/>
  <c r="V35" i="3"/>
  <c r="V34" i="3"/>
  <c r="V59" i="3"/>
  <c r="V58" i="3"/>
  <c r="V57" i="3"/>
  <c r="X49" i="3"/>
  <c r="X26" i="3"/>
  <c r="X25" i="3"/>
  <c r="X17" i="3"/>
  <c r="X22" i="3" s="1"/>
  <c r="X14" i="3"/>
  <c r="X11" i="3"/>
  <c r="V49" i="3"/>
  <c r="V26" i="3"/>
  <c r="V25" i="3"/>
  <c r="V17" i="3"/>
  <c r="V22" i="3" s="1"/>
  <c r="V14" i="3"/>
  <c r="V11" i="3"/>
  <c r="V10" i="3"/>
  <c r="V9" i="3"/>
  <c r="U22" i="3"/>
  <c r="W22" i="3"/>
  <c r="Y22" i="3"/>
  <c r="AA22" i="3"/>
  <c r="T49" i="3"/>
  <c r="T35" i="3"/>
  <c r="T34" i="3"/>
  <c r="R35" i="3"/>
  <c r="R34" i="3"/>
  <c r="T59" i="3"/>
  <c r="T58" i="3"/>
  <c r="T57" i="3"/>
  <c r="R59" i="3"/>
  <c r="R58" i="3"/>
  <c r="R57" i="3"/>
  <c r="T62" i="3"/>
  <c r="T64" i="3"/>
  <c r="R62" i="3"/>
  <c r="R64" i="3"/>
  <c r="T26" i="3"/>
  <c r="T25" i="3"/>
  <c r="T17" i="3"/>
  <c r="T22" i="3" s="1"/>
  <c r="T14" i="3"/>
  <c r="T11" i="3"/>
  <c r="T10" i="3"/>
  <c r="T9" i="3"/>
  <c r="R26" i="3"/>
  <c r="R25" i="3"/>
  <c r="R17" i="3"/>
  <c r="R22" i="3" s="1"/>
  <c r="R14" i="3"/>
  <c r="R10" i="3"/>
  <c r="R9" i="3"/>
  <c r="R11" i="3"/>
  <c r="Q40" i="3"/>
  <c r="Q81" i="3" s="1"/>
  <c r="S40" i="3"/>
  <c r="S81" i="3" s="1"/>
  <c r="Y40" i="3"/>
  <c r="Y81" i="3" s="1"/>
  <c r="AA40" i="3"/>
  <c r="AA81" i="3" s="1"/>
  <c r="S22" i="3"/>
  <c r="Q22" i="3"/>
  <c r="P35" i="3"/>
  <c r="O35" i="3"/>
  <c r="P34" i="3"/>
  <c r="O34" i="3"/>
  <c r="P64" i="3"/>
  <c r="P62" i="3"/>
  <c r="P59" i="3"/>
  <c r="P58" i="3"/>
  <c r="P57" i="3"/>
  <c r="M34" i="3"/>
  <c r="N34" i="3"/>
  <c r="N64" i="3"/>
  <c r="N62" i="3"/>
  <c r="N59" i="3"/>
  <c r="N58" i="3"/>
  <c r="N57" i="3"/>
  <c r="P26" i="3"/>
  <c r="N26" i="3"/>
  <c r="P25" i="3"/>
  <c r="N25" i="3"/>
  <c r="P17" i="3"/>
  <c r="P22" i="3" s="1"/>
  <c r="N17" i="3"/>
  <c r="N22" i="3" s="1"/>
  <c r="P14" i="3"/>
  <c r="N14" i="3"/>
  <c r="P9" i="3"/>
  <c r="N9" i="3"/>
  <c r="P10" i="3"/>
  <c r="N10" i="3"/>
  <c r="P11" i="3"/>
  <c r="N11" i="3"/>
  <c r="P49" i="3"/>
  <c r="P40" i="3" s="1"/>
  <c r="P81" i="3" s="1"/>
  <c r="N49" i="3"/>
  <c r="N40" i="3" s="1"/>
  <c r="N81" i="3" s="1"/>
  <c r="O40" i="3"/>
  <c r="O81" i="3" s="1"/>
  <c r="M40" i="3"/>
  <c r="M81" i="3" s="1"/>
  <c r="O22" i="3"/>
  <c r="M22" i="3"/>
  <c r="O15" i="3"/>
  <c r="M15" i="3"/>
  <c r="L40" i="3"/>
  <c r="L64" i="3"/>
  <c r="L62" i="3"/>
  <c r="L59" i="3"/>
  <c r="L58" i="3"/>
  <c r="J40" i="3"/>
  <c r="J64" i="3"/>
  <c r="J62" i="3"/>
  <c r="J59" i="3"/>
  <c r="J58" i="3"/>
  <c r="L46" i="11"/>
  <c r="L84" i="11"/>
  <c r="L66" i="11"/>
  <c r="L76" i="11"/>
  <c r="L82" i="5"/>
  <c r="J82" i="5"/>
  <c r="J84" i="11"/>
  <c r="J76" i="11"/>
  <c r="J66" i="11"/>
  <c r="J46" i="11"/>
  <c r="J53" i="11"/>
  <c r="L26" i="3"/>
  <c r="J26" i="3"/>
  <c r="L25" i="3"/>
  <c r="J25" i="3"/>
  <c r="L24" i="3"/>
  <c r="J24" i="3"/>
  <c r="L17" i="3"/>
  <c r="L22" i="3" s="1"/>
  <c r="J17" i="3"/>
  <c r="J22" i="3" s="1"/>
  <c r="L14" i="3"/>
  <c r="J14" i="3"/>
  <c r="J11" i="3"/>
  <c r="L10" i="3"/>
  <c r="J10" i="3"/>
  <c r="L9" i="3"/>
  <c r="L11" i="3"/>
  <c r="J9" i="3"/>
  <c r="K40" i="3"/>
  <c r="I40" i="3"/>
  <c r="P157" i="3"/>
  <c r="P158" i="3" s="1"/>
  <c r="O157" i="3"/>
  <c r="O158" i="3" s="1"/>
  <c r="N157" i="3"/>
  <c r="N158" i="3" s="1"/>
  <c r="M157" i="3"/>
  <c r="M158" i="3" s="1"/>
  <c r="L157" i="3"/>
  <c r="L158" i="3" s="1"/>
  <c r="K157" i="3"/>
  <c r="K158" i="3" s="1"/>
  <c r="J157" i="3"/>
  <c r="J158" i="3" s="1"/>
  <c r="I157" i="3"/>
  <c r="I158" i="3" s="1"/>
  <c r="H157" i="3"/>
  <c r="H158" i="3" s="1"/>
  <c r="G157" i="3"/>
  <c r="G158" i="3" s="1"/>
  <c r="F157" i="3"/>
  <c r="F158" i="3" s="1"/>
  <c r="E157" i="3"/>
  <c r="E158" i="3" s="1"/>
  <c r="K57" i="3"/>
  <c r="L57" i="3" s="1"/>
  <c r="I57" i="3"/>
  <c r="J57" i="3" s="1"/>
  <c r="K22" i="3"/>
  <c r="I22" i="3"/>
  <c r="K15" i="3"/>
  <c r="I15" i="3"/>
  <c r="AN3" i="14" l="1"/>
  <c r="AP4" i="14"/>
  <c r="AP3" i="14" s="1"/>
  <c r="AM3" i="13"/>
  <c r="AO4" i="13"/>
  <c r="AO3" i="13" s="1"/>
  <c r="AH72" i="3"/>
  <c r="AV4" i="3"/>
  <c r="M27" i="3"/>
  <c r="O27" i="3"/>
  <c r="G3" i="12"/>
  <c r="H4" i="12"/>
  <c r="J4" i="12" s="1"/>
  <c r="J3" i="12" s="1"/>
  <c r="I3" i="12"/>
  <c r="K3" i="12"/>
  <c r="M4" i="12"/>
  <c r="N15" i="3"/>
  <c r="N27" i="3" s="1"/>
  <c r="P15" i="3"/>
  <c r="P27" i="3" s="1"/>
  <c r="J15" i="3"/>
  <c r="J27" i="3" s="1"/>
  <c r="L15" i="3"/>
  <c r="L27" i="3" s="1"/>
  <c r="Z22" i="3"/>
  <c r="K27" i="3"/>
  <c r="I27" i="3"/>
  <c r="M61" i="11"/>
  <c r="N61" i="11"/>
  <c r="O61" i="11"/>
  <c r="P61" i="11"/>
  <c r="Q61" i="11"/>
  <c r="R61" i="11"/>
  <c r="S61" i="11"/>
  <c r="T61" i="11"/>
  <c r="U61" i="11"/>
  <c r="V61" i="11"/>
  <c r="W61" i="11"/>
  <c r="X61" i="11"/>
  <c r="Z61" i="11"/>
  <c r="AA35" i="11"/>
  <c r="AA28" i="11"/>
  <c r="AA73" i="3"/>
  <c r="AA135" i="3"/>
  <c r="AA128" i="3"/>
  <c r="AA127" i="3"/>
  <c r="AA117" i="3"/>
  <c r="Z28" i="11"/>
  <c r="Z27" i="11"/>
  <c r="Z82" i="5"/>
  <c r="Z86" i="11" s="1"/>
  <c r="Z76" i="11"/>
  <c r="Z66" i="11"/>
  <c r="Z46" i="11"/>
  <c r="AA60" i="11"/>
  <c r="AB60" i="11" s="1"/>
  <c r="Y60" i="11"/>
  <c r="Z60" i="11" s="1"/>
  <c r="Y73" i="3"/>
  <c r="X73" i="3"/>
  <c r="X73" i="11" s="1"/>
  <c r="Y70" i="11" s="1"/>
  <c r="Z73" i="3"/>
  <c r="Z73" i="11" s="1"/>
  <c r="AA70" i="11" s="1"/>
  <c r="Z134" i="3"/>
  <c r="Z136" i="3"/>
  <c r="Z128" i="3"/>
  <c r="Z17" i="11" s="1"/>
  <c r="Z120" i="3"/>
  <c r="Z119" i="3"/>
  <c r="Z118" i="3"/>
  <c r="Z15" i="11" s="1"/>
  <c r="Z59" i="11" s="1"/>
  <c r="Y28" i="11"/>
  <c r="F86" i="11"/>
  <c r="G86" i="11"/>
  <c r="H86" i="11"/>
  <c r="I86" i="11"/>
  <c r="J86" i="11"/>
  <c r="K86" i="11"/>
  <c r="L86" i="11"/>
  <c r="M86" i="11"/>
  <c r="O86" i="11"/>
  <c r="Q86" i="11"/>
  <c r="S86" i="11"/>
  <c r="U86" i="11"/>
  <c r="W86" i="11"/>
  <c r="Y86" i="11"/>
  <c r="AA86" i="11"/>
  <c r="E86" i="11"/>
  <c r="X82" i="5"/>
  <c r="X86" i="11" s="1"/>
  <c r="V82" i="5"/>
  <c r="V86" i="11" s="1"/>
  <c r="T82" i="5"/>
  <c r="T86" i="11" s="1"/>
  <c r="R82" i="5"/>
  <c r="R86" i="11" s="1"/>
  <c r="P82" i="5"/>
  <c r="P86" i="11" s="1"/>
  <c r="N82" i="5"/>
  <c r="N86" i="11" s="1"/>
  <c r="Y72" i="3"/>
  <c r="Y71" i="3" s="1"/>
  <c r="Y135" i="3"/>
  <c r="Y137" i="3" s="1"/>
  <c r="Y127" i="3"/>
  <c r="Y130" i="3" s="1"/>
  <c r="Y117" i="3"/>
  <c r="Z117" i="3" s="1"/>
  <c r="X28" i="11"/>
  <c r="X76" i="11"/>
  <c r="X66" i="11"/>
  <c r="X46" i="11"/>
  <c r="X60" i="11"/>
  <c r="X71" i="3"/>
  <c r="X63" i="11" s="1"/>
  <c r="Y57" i="11" s="1"/>
  <c r="X134" i="3"/>
  <c r="X136" i="3"/>
  <c r="X120" i="3"/>
  <c r="X119" i="3"/>
  <c r="X118" i="3"/>
  <c r="X15" i="11" s="1"/>
  <c r="X59" i="11" s="1"/>
  <c r="W28" i="11"/>
  <c r="W60" i="11"/>
  <c r="W72" i="3"/>
  <c r="W73" i="11" s="1"/>
  <c r="X70" i="11" s="1"/>
  <c r="W135" i="3"/>
  <c r="W137" i="3" s="1"/>
  <c r="W128" i="3"/>
  <c r="W17" i="11" s="1"/>
  <c r="W127" i="3"/>
  <c r="W16" i="11" s="1"/>
  <c r="W117" i="3"/>
  <c r="W124" i="3" s="1"/>
  <c r="V35" i="11"/>
  <c r="V28" i="11"/>
  <c r="V76" i="11"/>
  <c r="V66" i="11"/>
  <c r="V46" i="11"/>
  <c r="V72" i="3"/>
  <c r="V71" i="3" s="1"/>
  <c r="V134" i="3"/>
  <c r="V136" i="3"/>
  <c r="V120" i="3"/>
  <c r="V119" i="3"/>
  <c r="V118" i="3"/>
  <c r="V15" i="11" s="1"/>
  <c r="V59" i="11" s="1"/>
  <c r="U35" i="11"/>
  <c r="U28" i="11"/>
  <c r="U60" i="11"/>
  <c r="V60" i="11" s="1"/>
  <c r="U72" i="3"/>
  <c r="U73" i="11" s="1"/>
  <c r="V70" i="11" s="1"/>
  <c r="U135" i="3"/>
  <c r="V135" i="3" s="1"/>
  <c r="U128" i="3"/>
  <c r="V128" i="3" s="1"/>
  <c r="V17" i="11" s="1"/>
  <c r="U127" i="3"/>
  <c r="U117" i="3"/>
  <c r="U124" i="3" s="1"/>
  <c r="T76" i="11"/>
  <c r="T66" i="11"/>
  <c r="T35" i="11"/>
  <c r="T28" i="11"/>
  <c r="T46" i="11"/>
  <c r="T72" i="3"/>
  <c r="T71" i="3" s="1"/>
  <c r="T136" i="3"/>
  <c r="T134" i="3"/>
  <c r="T133" i="3"/>
  <c r="T18" i="11" s="1"/>
  <c r="T120" i="3"/>
  <c r="T119" i="3"/>
  <c r="T118" i="3"/>
  <c r="T15" i="11" s="1"/>
  <c r="T59" i="11" s="1"/>
  <c r="S60" i="11"/>
  <c r="T60" i="11" s="1"/>
  <c r="S72" i="3"/>
  <c r="S71" i="3" s="1"/>
  <c r="S135" i="3"/>
  <c r="S137" i="3" s="1"/>
  <c r="S128" i="3"/>
  <c r="T128" i="3" s="1"/>
  <c r="S127" i="3"/>
  <c r="T127" i="3" s="1"/>
  <c r="T16" i="11" s="1"/>
  <c r="S117" i="3"/>
  <c r="S124" i="3" s="1"/>
  <c r="R76" i="11"/>
  <c r="R66" i="11"/>
  <c r="R46" i="11"/>
  <c r="R72" i="3"/>
  <c r="R73" i="11" s="1"/>
  <c r="S70" i="11" s="1"/>
  <c r="R134" i="3"/>
  <c r="R118" i="3"/>
  <c r="R15" i="11" s="1"/>
  <c r="R59" i="11" s="1"/>
  <c r="R120" i="3"/>
  <c r="R119" i="3"/>
  <c r="Q60" i="11"/>
  <c r="R60" i="11" s="1"/>
  <c r="Q72" i="3"/>
  <c r="Q73" i="11" s="1"/>
  <c r="R70" i="11" s="1"/>
  <c r="Q135" i="3"/>
  <c r="R135" i="3" s="1"/>
  <c r="Q128" i="3"/>
  <c r="R128" i="3" s="1"/>
  <c r="R17" i="11" s="1"/>
  <c r="Q127" i="3"/>
  <c r="R127" i="3" s="1"/>
  <c r="Q117" i="3"/>
  <c r="R117" i="3" s="1"/>
  <c r="P76" i="11"/>
  <c r="P66" i="11"/>
  <c r="P46" i="11"/>
  <c r="P72" i="3"/>
  <c r="P73" i="11" s="1"/>
  <c r="Q70" i="11" s="1"/>
  <c r="P134" i="3"/>
  <c r="P136" i="3"/>
  <c r="P120" i="3"/>
  <c r="P119" i="3"/>
  <c r="P118" i="3"/>
  <c r="P15" i="11" s="1"/>
  <c r="P59" i="11" s="1"/>
  <c r="O60" i="11"/>
  <c r="P60" i="11" s="1"/>
  <c r="O135" i="3"/>
  <c r="P135" i="3" s="1"/>
  <c r="O128" i="3"/>
  <c r="O17" i="11" s="1"/>
  <c r="O127" i="3"/>
  <c r="P127" i="3" s="1"/>
  <c r="O117" i="3"/>
  <c r="O124" i="3" s="1"/>
  <c r="O72" i="3"/>
  <c r="O71" i="3" s="1"/>
  <c r="N76" i="11"/>
  <c r="N66" i="11"/>
  <c r="N84" i="11"/>
  <c r="N46" i="11"/>
  <c r="N72" i="3"/>
  <c r="N71" i="3" s="1"/>
  <c r="N134" i="3"/>
  <c r="N128" i="3"/>
  <c r="N17" i="11" s="1"/>
  <c r="N120" i="3"/>
  <c r="N119" i="3"/>
  <c r="N118" i="3"/>
  <c r="N15" i="11" s="1"/>
  <c r="N59" i="11" s="1"/>
  <c r="M60" i="11"/>
  <c r="N60" i="11" s="1"/>
  <c r="M72" i="3"/>
  <c r="M71" i="3" s="1"/>
  <c r="M135" i="3"/>
  <c r="N135" i="3" s="1"/>
  <c r="M127" i="3"/>
  <c r="M130" i="3" s="1"/>
  <c r="M117" i="3"/>
  <c r="N117" i="3" s="1"/>
  <c r="F61" i="11"/>
  <c r="G61" i="11"/>
  <c r="H61" i="11"/>
  <c r="I61" i="11"/>
  <c r="J61" i="11"/>
  <c r="K61" i="11"/>
  <c r="L61" i="11"/>
  <c r="F63" i="11"/>
  <c r="G57" i="11" s="1"/>
  <c r="G63" i="11"/>
  <c r="H57" i="11" s="1"/>
  <c r="H63" i="11"/>
  <c r="I57" i="11" s="1"/>
  <c r="I63" i="11"/>
  <c r="J63" i="11"/>
  <c r="K57" i="11" s="1"/>
  <c r="K63" i="11"/>
  <c r="L57" i="11" s="1"/>
  <c r="L63" i="11"/>
  <c r="M57" i="11" s="1"/>
  <c r="E63" i="11"/>
  <c r="F57" i="11" s="1"/>
  <c r="F14" i="11"/>
  <c r="G14" i="11"/>
  <c r="H14" i="11"/>
  <c r="E14" i="11"/>
  <c r="E12" i="11"/>
  <c r="E19" i="11" s="1"/>
  <c r="F12" i="11"/>
  <c r="F19" i="11" s="1"/>
  <c r="G12" i="11"/>
  <c r="G19" i="11" s="1"/>
  <c r="H12" i="11"/>
  <c r="I12" i="11"/>
  <c r="I19" i="11" s="1"/>
  <c r="J12" i="11"/>
  <c r="J19" i="11" s="1"/>
  <c r="K12" i="11"/>
  <c r="K19" i="11" s="1"/>
  <c r="L12" i="11"/>
  <c r="L19" i="11" s="1"/>
  <c r="M12" i="11"/>
  <c r="M19" i="11" s="1"/>
  <c r="N12" i="11"/>
  <c r="N19" i="11" s="1"/>
  <c r="O12" i="11"/>
  <c r="O19" i="11" s="1"/>
  <c r="P12" i="11"/>
  <c r="P19" i="11" s="1"/>
  <c r="Q12" i="11"/>
  <c r="Q19" i="11" s="1"/>
  <c r="R12" i="11"/>
  <c r="R19" i="11" s="1"/>
  <c r="S12" i="11"/>
  <c r="S19" i="11" s="1"/>
  <c r="T12" i="11"/>
  <c r="T19" i="11" s="1"/>
  <c r="U12" i="11"/>
  <c r="U19" i="11" s="1"/>
  <c r="V12" i="11"/>
  <c r="V19" i="11" s="1"/>
  <c r="W12" i="11"/>
  <c r="W19" i="11" s="1"/>
  <c r="X12" i="11"/>
  <c r="X19" i="11" s="1"/>
  <c r="Y12" i="11"/>
  <c r="Y19" i="11" s="1"/>
  <c r="Z12" i="11"/>
  <c r="Z19" i="11" s="1"/>
  <c r="E13" i="11"/>
  <c r="F13" i="11"/>
  <c r="G13" i="11"/>
  <c r="H13" i="11"/>
  <c r="I13" i="11"/>
  <c r="J13" i="11"/>
  <c r="K13" i="11"/>
  <c r="L13" i="11"/>
  <c r="M13" i="11"/>
  <c r="N13" i="11"/>
  <c r="O13" i="11"/>
  <c r="P13" i="11"/>
  <c r="Q13" i="11"/>
  <c r="R13" i="11"/>
  <c r="S13" i="11"/>
  <c r="T13" i="11"/>
  <c r="U13" i="11"/>
  <c r="V13" i="11"/>
  <c r="W13" i="11"/>
  <c r="X13" i="11"/>
  <c r="Y13" i="11"/>
  <c r="Z13" i="11"/>
  <c r="E15" i="11"/>
  <c r="F15" i="11"/>
  <c r="F59" i="11" s="1"/>
  <c r="G15" i="11"/>
  <c r="G59" i="11" s="1"/>
  <c r="H15" i="11"/>
  <c r="H59" i="11" s="1"/>
  <c r="I15" i="11"/>
  <c r="I59" i="11" s="1"/>
  <c r="J15" i="11"/>
  <c r="J59" i="11" s="1"/>
  <c r="K15" i="11"/>
  <c r="K59" i="11" s="1"/>
  <c r="L15" i="11"/>
  <c r="L59" i="11" s="1"/>
  <c r="M15" i="11"/>
  <c r="M59" i="11" s="1"/>
  <c r="O15" i="11"/>
  <c r="O59" i="11" s="1"/>
  <c r="Q15" i="11"/>
  <c r="Q59" i="11" s="1"/>
  <c r="S15" i="11"/>
  <c r="S59" i="11" s="1"/>
  <c r="U15" i="11"/>
  <c r="U59" i="11" s="1"/>
  <c r="W15" i="11"/>
  <c r="W59" i="11" s="1"/>
  <c r="Y15" i="11"/>
  <c r="Y59" i="11" s="1"/>
  <c r="E16" i="11"/>
  <c r="F16" i="11"/>
  <c r="G16" i="11"/>
  <c r="H16" i="11"/>
  <c r="I16" i="11"/>
  <c r="J16" i="11"/>
  <c r="K16" i="11"/>
  <c r="L16" i="11"/>
  <c r="E17" i="11"/>
  <c r="F17" i="11"/>
  <c r="G17" i="11"/>
  <c r="H17" i="11"/>
  <c r="I17" i="11"/>
  <c r="J17" i="11"/>
  <c r="K17" i="11"/>
  <c r="L17" i="11"/>
  <c r="M17" i="11"/>
  <c r="Y17" i="11"/>
  <c r="E18" i="11"/>
  <c r="F18" i="11"/>
  <c r="G18" i="11"/>
  <c r="H18" i="11"/>
  <c r="I18" i="11"/>
  <c r="J18" i="11"/>
  <c r="K18" i="11"/>
  <c r="L18" i="11"/>
  <c r="M18" i="11"/>
  <c r="N18" i="11"/>
  <c r="O18" i="11"/>
  <c r="P18" i="11"/>
  <c r="Q18" i="11"/>
  <c r="R18" i="11"/>
  <c r="S18" i="11"/>
  <c r="U18" i="11"/>
  <c r="V18" i="11"/>
  <c r="W18" i="11"/>
  <c r="X18" i="11"/>
  <c r="Y18" i="11"/>
  <c r="Z18" i="11"/>
  <c r="AE13" i="11"/>
  <c r="AH13" i="11"/>
  <c r="AI13" i="11"/>
  <c r="AJ13" i="11"/>
  <c r="AK13" i="11"/>
  <c r="AL13" i="11"/>
  <c r="AA18" i="11"/>
  <c r="AA12" i="11"/>
  <c r="AA19" i="11" s="1"/>
  <c r="AA13" i="11"/>
  <c r="AA15" i="11"/>
  <c r="AA59" i="11" s="1"/>
  <c r="F143" i="3"/>
  <c r="F144" i="3" s="1"/>
  <c r="E143" i="3"/>
  <c r="E144" i="3" s="1"/>
  <c r="P141" i="3"/>
  <c r="O141" i="3"/>
  <c r="N141" i="3"/>
  <c r="M141" i="3"/>
  <c r="L141" i="3"/>
  <c r="K141" i="3"/>
  <c r="J141" i="3"/>
  <c r="I141" i="3"/>
  <c r="H141" i="3"/>
  <c r="G141" i="3"/>
  <c r="E105" i="3"/>
  <c r="F101" i="3" s="1"/>
  <c r="P105" i="3"/>
  <c r="O105" i="3"/>
  <c r="N105" i="3"/>
  <c r="M105" i="3"/>
  <c r="L105" i="3"/>
  <c r="M101" i="3" s="1"/>
  <c r="K105" i="3"/>
  <c r="J105" i="3"/>
  <c r="I105" i="3"/>
  <c r="H105" i="3"/>
  <c r="I101" i="3" s="1"/>
  <c r="G105" i="3"/>
  <c r="F105" i="3"/>
  <c r="P103" i="3"/>
  <c r="O103" i="3"/>
  <c r="N103" i="3"/>
  <c r="M103" i="3"/>
  <c r="L103" i="3"/>
  <c r="K103" i="3"/>
  <c r="J103" i="3"/>
  <c r="I103" i="3"/>
  <c r="H103" i="3"/>
  <c r="G103" i="3"/>
  <c r="F103" i="3"/>
  <c r="P102" i="3"/>
  <c r="O102" i="3"/>
  <c r="N102" i="3"/>
  <c r="M102" i="3"/>
  <c r="L102" i="3"/>
  <c r="K102" i="3"/>
  <c r="J102" i="3"/>
  <c r="I102" i="3"/>
  <c r="H102" i="3"/>
  <c r="G102" i="3"/>
  <c r="F102" i="3"/>
  <c r="E98" i="3"/>
  <c r="F95" i="3" s="1"/>
  <c r="Q98" i="3"/>
  <c r="P98" i="3"/>
  <c r="Q95" i="3" s="1"/>
  <c r="O98" i="3"/>
  <c r="P95" i="3" s="1"/>
  <c r="N98" i="3"/>
  <c r="O95" i="3" s="1"/>
  <c r="M98" i="3"/>
  <c r="N95" i="3" s="1"/>
  <c r="L98" i="3"/>
  <c r="M95" i="3" s="1"/>
  <c r="K98" i="3"/>
  <c r="L95" i="3" s="1"/>
  <c r="J98" i="3"/>
  <c r="K95" i="3" s="1"/>
  <c r="I98" i="3"/>
  <c r="J95" i="3" s="1"/>
  <c r="H98" i="3"/>
  <c r="I95" i="3" s="1"/>
  <c r="G98" i="3"/>
  <c r="H95" i="3" s="1"/>
  <c r="F98" i="3"/>
  <c r="G95" i="3" s="1"/>
  <c r="Q96" i="3"/>
  <c r="P96" i="3"/>
  <c r="O96" i="3"/>
  <c r="N96" i="3"/>
  <c r="M96" i="3"/>
  <c r="L96" i="3"/>
  <c r="K96" i="3"/>
  <c r="J96" i="3"/>
  <c r="I96" i="3"/>
  <c r="H96" i="3"/>
  <c r="G96" i="3"/>
  <c r="F96" i="3"/>
  <c r="P90" i="3"/>
  <c r="O90" i="3"/>
  <c r="N90" i="3"/>
  <c r="M90" i="3"/>
  <c r="L90" i="3"/>
  <c r="K90" i="3"/>
  <c r="J90" i="3"/>
  <c r="I90" i="3"/>
  <c r="H90" i="3"/>
  <c r="G90" i="3"/>
  <c r="F90" i="3"/>
  <c r="E90" i="3"/>
  <c r="F113" i="3"/>
  <c r="G109" i="3"/>
  <c r="H83" i="3"/>
  <c r="K109" i="3"/>
  <c r="L83" i="3"/>
  <c r="O111" i="3"/>
  <c r="P83" i="3"/>
  <c r="Q83" i="3"/>
  <c r="S83" i="3"/>
  <c r="Y83" i="3"/>
  <c r="AA83" i="3"/>
  <c r="E83" i="3"/>
  <c r="P86" i="3"/>
  <c r="P108" i="3" s="1"/>
  <c r="O86" i="3"/>
  <c r="O108" i="3" s="1"/>
  <c r="N86" i="3"/>
  <c r="N108" i="3" s="1"/>
  <c r="M86" i="3"/>
  <c r="M108" i="3" s="1"/>
  <c r="L86" i="3"/>
  <c r="K86" i="3"/>
  <c r="K108" i="3" s="1"/>
  <c r="J86" i="3"/>
  <c r="J108" i="3" s="1"/>
  <c r="I86" i="3"/>
  <c r="I108" i="3" s="1"/>
  <c r="H86" i="3"/>
  <c r="G86" i="3"/>
  <c r="G108" i="3" s="1"/>
  <c r="F86" i="3"/>
  <c r="F108" i="3" s="1"/>
  <c r="E86" i="3"/>
  <c r="E108" i="3" s="1"/>
  <c r="F77" i="3"/>
  <c r="G77" i="3"/>
  <c r="H77" i="3"/>
  <c r="I77" i="3"/>
  <c r="J77" i="3"/>
  <c r="K77" i="3"/>
  <c r="L77" i="3"/>
  <c r="E77" i="3"/>
  <c r="Z71" i="3"/>
  <c r="AA71" i="3"/>
  <c r="AI60" i="11"/>
  <c r="AJ60" i="11" s="1"/>
  <c r="AK60" i="11" s="1"/>
  <c r="AL60" i="11" s="1"/>
  <c r="AM60" i="11" s="1"/>
  <c r="AN60" i="11" s="1"/>
  <c r="AO60" i="11" s="1"/>
  <c r="AP60" i="11" s="1"/>
  <c r="AC59" i="11"/>
  <c r="AB59" i="11"/>
  <c r="F80" i="11"/>
  <c r="G80" i="11"/>
  <c r="H80" i="11"/>
  <c r="I80" i="11"/>
  <c r="J80" i="11"/>
  <c r="K80" i="11"/>
  <c r="L80" i="11"/>
  <c r="M80" i="11"/>
  <c r="N80" i="11"/>
  <c r="O80" i="11"/>
  <c r="P80" i="11"/>
  <c r="Q80" i="11"/>
  <c r="R80" i="11"/>
  <c r="S80" i="11"/>
  <c r="T80" i="11"/>
  <c r="U80" i="11"/>
  <c r="V80" i="11"/>
  <c r="W80" i="11"/>
  <c r="X80" i="11"/>
  <c r="Y80" i="11"/>
  <c r="Z80" i="11"/>
  <c r="AA80" i="11"/>
  <c r="E80" i="11"/>
  <c r="G51" i="11"/>
  <c r="G52" i="11" s="1"/>
  <c r="H51" i="11"/>
  <c r="H52" i="11" s="1"/>
  <c r="I51" i="11"/>
  <c r="I52" i="11" s="1"/>
  <c r="J51" i="11"/>
  <c r="J52" i="11" s="1"/>
  <c r="K51" i="11"/>
  <c r="K52" i="11" s="1"/>
  <c r="L51" i="11"/>
  <c r="L52" i="11" s="1"/>
  <c r="M51" i="11"/>
  <c r="M52" i="11" s="1"/>
  <c r="N51" i="11"/>
  <c r="N52" i="11" s="1"/>
  <c r="O51" i="11"/>
  <c r="O52" i="11" s="1"/>
  <c r="P51" i="11"/>
  <c r="P52" i="11" s="1"/>
  <c r="Q51" i="11"/>
  <c r="Q52" i="11" s="1"/>
  <c r="R51" i="11"/>
  <c r="R52" i="11" s="1"/>
  <c r="S51" i="11"/>
  <c r="S52" i="11" s="1"/>
  <c r="T51" i="11"/>
  <c r="T52" i="11" s="1"/>
  <c r="U51" i="11"/>
  <c r="U52" i="11" s="1"/>
  <c r="V51" i="11"/>
  <c r="AA51" i="11"/>
  <c r="AK122" i="3"/>
  <c r="AL122" i="3"/>
  <c r="AK123" i="3"/>
  <c r="AL123" i="3"/>
  <c r="AK16" i="11"/>
  <c r="AL16" i="11"/>
  <c r="AK17" i="11"/>
  <c r="AL17" i="11"/>
  <c r="AK149" i="3"/>
  <c r="AL149" i="3"/>
  <c r="AK150" i="3"/>
  <c r="AL150" i="3"/>
  <c r="G4" i="3"/>
  <c r="I4" i="3" s="1"/>
  <c r="K4" i="3" s="1"/>
  <c r="M4" i="3" s="1"/>
  <c r="O4" i="3" s="1"/>
  <c r="Q4" i="3" s="1"/>
  <c r="S4" i="3" s="1"/>
  <c r="U4" i="3" s="1"/>
  <c r="W4" i="3" s="1"/>
  <c r="Y4" i="3" s="1"/>
  <c r="AA4" i="3" s="1"/>
  <c r="AC4" i="3" s="1"/>
  <c r="AE4" i="3" s="1"/>
  <c r="AG4" i="3" s="1"/>
  <c r="AI4" i="3" s="1"/>
  <c r="AK4" i="3" s="1"/>
  <c r="F51" i="11"/>
  <c r="F52" i="11" s="1"/>
  <c r="F4" i="3"/>
  <c r="F2" i="3"/>
  <c r="G2" i="3" s="1"/>
  <c r="H2" i="3" s="1"/>
  <c r="I2" i="3" s="1"/>
  <c r="J2" i="3" s="1"/>
  <c r="E34" i="11"/>
  <c r="E36" i="11"/>
  <c r="E37" i="11" s="1"/>
  <c r="E42" i="11" s="1"/>
  <c r="F29" i="11"/>
  <c r="F30" i="11" s="1"/>
  <c r="E30" i="11"/>
  <c r="E31" i="11" s="1"/>
  <c r="C42" i="11"/>
  <c r="R5" i="11"/>
  <c r="T5" i="11" s="1"/>
  <c r="V5" i="11" s="1"/>
  <c r="X5" i="11" s="1"/>
  <c r="Z5" i="11" s="1"/>
  <c r="AB5" i="11" s="1"/>
  <c r="AD5" i="11" s="1"/>
  <c r="AF5" i="11" s="1"/>
  <c r="AH5" i="11" s="1"/>
  <c r="AJ5" i="11" s="1"/>
  <c r="AL5" i="11" s="1"/>
  <c r="AN5" i="11" s="1"/>
  <c r="AP5" i="11" s="1"/>
  <c r="Q5" i="11"/>
  <c r="S5" i="11" s="1"/>
  <c r="U5" i="11" s="1"/>
  <c r="W5" i="11" s="1"/>
  <c r="Y5" i="11" s="1"/>
  <c r="AA5" i="11" s="1"/>
  <c r="AC5" i="11" s="1"/>
  <c r="AE5" i="11" s="1"/>
  <c r="AG5" i="11" s="1"/>
  <c r="AI5" i="11" s="1"/>
  <c r="AK5" i="11" s="1"/>
  <c r="AM5" i="11" s="1"/>
  <c r="AO5" i="11" s="1"/>
  <c r="G4" i="11"/>
  <c r="I4" i="11" s="1"/>
  <c r="F4" i="11"/>
  <c r="F3" i="11" s="1"/>
  <c r="E3" i="11"/>
  <c r="F2" i="11"/>
  <c r="G2" i="11" s="1"/>
  <c r="H2" i="11" s="1"/>
  <c r="I2" i="11" s="1"/>
  <c r="J2" i="11" s="1"/>
  <c r="K2" i="11" s="1"/>
  <c r="L2" i="11" s="1"/>
  <c r="M2" i="11" s="1"/>
  <c r="N2" i="11" s="1"/>
  <c r="O2" i="11" s="1"/>
  <c r="P2" i="11" s="1"/>
  <c r="Q2" i="11" s="1"/>
  <c r="R2" i="11" s="1"/>
  <c r="S2" i="11" s="1"/>
  <c r="T2" i="11" s="1"/>
  <c r="U2" i="11" s="1"/>
  <c r="V2" i="11" s="1"/>
  <c r="W2" i="11" s="1"/>
  <c r="X2" i="11" s="1"/>
  <c r="Y2" i="11" s="1"/>
  <c r="Z2" i="11" s="1"/>
  <c r="AA2" i="11" s="1"/>
  <c r="AB2" i="11" s="1"/>
  <c r="AC2" i="11" s="1"/>
  <c r="AD2" i="11" s="1"/>
  <c r="AE2" i="11" s="1"/>
  <c r="AF2" i="11" s="1"/>
  <c r="AG2" i="11" s="1"/>
  <c r="AH2" i="11" s="1"/>
  <c r="AI2" i="11" s="1"/>
  <c r="AJ2" i="11" s="1"/>
  <c r="AK2" i="11" s="1"/>
  <c r="AL2" i="11" s="1"/>
  <c r="AM2" i="11" s="1"/>
  <c r="AN2" i="11" s="1"/>
  <c r="AO2" i="11" s="1"/>
  <c r="AP2" i="11" s="1"/>
  <c r="A1" i="11"/>
  <c r="AA12" i="5"/>
  <c r="AA206" i="3" s="1"/>
  <c r="Y12" i="5"/>
  <c r="Y206" i="3" s="1"/>
  <c r="Y78" i="5"/>
  <c r="Z78" i="5" s="1"/>
  <c r="Z77" i="5" s="1"/>
  <c r="Z79" i="5" s="1"/>
  <c r="Y79" i="5"/>
  <c r="AB12" i="5"/>
  <c r="AB206" i="3" s="1"/>
  <c r="AA79" i="5"/>
  <c r="AA78" i="5"/>
  <c r="AB78" i="5" s="1"/>
  <c r="AB77" i="5" s="1"/>
  <c r="AB79" i="5" s="1"/>
  <c r="AJ73" i="5"/>
  <c r="AK73" i="5" s="1"/>
  <c r="AL73" i="5" s="1"/>
  <c r="AM73" i="5" s="1"/>
  <c r="AN73" i="5" s="1"/>
  <c r="AO73" i="5" s="1"/>
  <c r="AP73" i="5" s="1"/>
  <c r="F7" i="5"/>
  <c r="G7" i="5"/>
  <c r="H7" i="5"/>
  <c r="I7" i="5"/>
  <c r="J7" i="5"/>
  <c r="K7" i="5"/>
  <c r="L7" i="5"/>
  <c r="M7" i="5"/>
  <c r="N7" i="5"/>
  <c r="N205" i="3" s="1"/>
  <c r="O7" i="5"/>
  <c r="O205" i="3" s="1"/>
  <c r="P7" i="5"/>
  <c r="Q7" i="5"/>
  <c r="Q205" i="3" s="1"/>
  <c r="R7" i="5"/>
  <c r="R205" i="3" s="1"/>
  <c r="S7" i="5"/>
  <c r="T7" i="5"/>
  <c r="T205" i="3" s="1"/>
  <c r="U7" i="5"/>
  <c r="V7" i="5"/>
  <c r="V205" i="3" s="1"/>
  <c r="W7" i="5"/>
  <c r="W205" i="3" s="1"/>
  <c r="X7" i="5"/>
  <c r="Y7" i="5"/>
  <c r="Y205" i="3" s="1"/>
  <c r="Z7" i="5"/>
  <c r="Z205" i="3" s="1"/>
  <c r="AA7" i="5"/>
  <c r="AA205" i="3" s="1"/>
  <c r="AB7" i="5"/>
  <c r="AB205" i="3" s="1"/>
  <c r="E7" i="5"/>
  <c r="AA48" i="5"/>
  <c r="AA41" i="5"/>
  <c r="AA34" i="5"/>
  <c r="AA27" i="5"/>
  <c r="AB41" i="5"/>
  <c r="AB34" i="5"/>
  <c r="AB27" i="5"/>
  <c r="AC45" i="5"/>
  <c r="AD45" i="5" s="1"/>
  <c r="AE45" i="5" s="1"/>
  <c r="AF45" i="5" s="1"/>
  <c r="AH45" i="5" s="1"/>
  <c r="AJ45" i="5" s="1"/>
  <c r="AK45" i="5" s="1"/>
  <c r="AL45" i="5" s="1"/>
  <c r="AM45" i="5" s="1"/>
  <c r="AN45" i="5" s="1"/>
  <c r="AO45" i="5" s="1"/>
  <c r="AP45" i="5" s="1"/>
  <c r="AC38" i="5"/>
  <c r="AD38" i="5" s="1"/>
  <c r="AE38" i="5" s="1"/>
  <c r="AF38" i="5" s="1"/>
  <c r="AH38" i="5" s="1"/>
  <c r="AJ38" i="5" s="1"/>
  <c r="AK38" i="5" s="1"/>
  <c r="AL38" i="5" s="1"/>
  <c r="AM38" i="5" s="1"/>
  <c r="AN38" i="5" s="1"/>
  <c r="AO38" i="5" s="1"/>
  <c r="AP38" i="5" s="1"/>
  <c r="AC31" i="5"/>
  <c r="AD31" i="5" s="1"/>
  <c r="AE31" i="5" s="1"/>
  <c r="AF31" i="5" s="1"/>
  <c r="AH31" i="5" s="1"/>
  <c r="AJ31" i="5" s="1"/>
  <c r="AL31" i="5" s="1"/>
  <c r="AM31" i="5" s="1"/>
  <c r="AC24" i="5"/>
  <c r="AE24" i="5" s="1"/>
  <c r="AF24" i="5" s="1"/>
  <c r="AH24" i="5" s="1"/>
  <c r="AJ24" i="5" s="1"/>
  <c r="AB20" i="5"/>
  <c r="AC17" i="5"/>
  <c r="AD17" i="5" s="1"/>
  <c r="Z48" i="5"/>
  <c r="Y48" i="5"/>
  <c r="X48" i="5"/>
  <c r="W48" i="5"/>
  <c r="V48" i="5"/>
  <c r="U48" i="5"/>
  <c r="T48" i="5"/>
  <c r="S48" i="5"/>
  <c r="R48" i="5"/>
  <c r="Q48" i="5"/>
  <c r="Z41" i="5"/>
  <c r="Y41" i="5"/>
  <c r="X41" i="5"/>
  <c r="W41" i="5"/>
  <c r="V41" i="5"/>
  <c r="U41" i="5"/>
  <c r="T41" i="5"/>
  <c r="S41" i="5"/>
  <c r="R41" i="5"/>
  <c r="Q41" i="5"/>
  <c r="P41" i="5"/>
  <c r="O41" i="5"/>
  <c r="N41" i="5"/>
  <c r="M41" i="5"/>
  <c r="L41" i="5"/>
  <c r="K41" i="5"/>
  <c r="J41" i="5"/>
  <c r="I41" i="5"/>
  <c r="H41" i="5"/>
  <c r="G41" i="5"/>
  <c r="F41" i="5"/>
  <c r="E41" i="5"/>
  <c r="Z34" i="5"/>
  <c r="Y34" i="5"/>
  <c r="X34" i="5"/>
  <c r="W34" i="5"/>
  <c r="V34" i="5"/>
  <c r="U34" i="5"/>
  <c r="T34" i="5"/>
  <c r="S34" i="5"/>
  <c r="R34" i="5"/>
  <c r="Q34" i="5"/>
  <c r="P34" i="5"/>
  <c r="O34" i="5"/>
  <c r="N34" i="5"/>
  <c r="M34" i="5"/>
  <c r="L34" i="5"/>
  <c r="K34" i="5"/>
  <c r="J34" i="5"/>
  <c r="I34" i="5"/>
  <c r="H34" i="5"/>
  <c r="G34" i="5"/>
  <c r="F34" i="5"/>
  <c r="E34" i="5"/>
  <c r="Z27" i="5"/>
  <c r="Y27" i="5"/>
  <c r="X27" i="5"/>
  <c r="W27" i="5"/>
  <c r="V27" i="5"/>
  <c r="U27" i="5"/>
  <c r="T27" i="5"/>
  <c r="S27" i="5"/>
  <c r="R27" i="5"/>
  <c r="Q27" i="5"/>
  <c r="P27" i="5"/>
  <c r="O27" i="5"/>
  <c r="N27" i="5"/>
  <c r="M27" i="5"/>
  <c r="L27" i="5"/>
  <c r="K27" i="5"/>
  <c r="J27" i="5"/>
  <c r="I27" i="5"/>
  <c r="H27" i="5"/>
  <c r="G27" i="5"/>
  <c r="F27" i="5"/>
  <c r="E27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U20" i="5"/>
  <c r="V20" i="5"/>
  <c r="W20" i="5"/>
  <c r="X20" i="5"/>
  <c r="Y20" i="5"/>
  <c r="Y75" i="5" s="1"/>
  <c r="Z20" i="5"/>
  <c r="AA20" i="5"/>
  <c r="E20" i="5"/>
  <c r="AK24" i="5" l="1"/>
  <c r="AA87" i="11"/>
  <c r="AI72" i="3"/>
  <c r="AJ72" i="3" s="1"/>
  <c r="AK72" i="3" s="1"/>
  <c r="AL72" i="3" s="1"/>
  <c r="AM72" i="3" s="1"/>
  <c r="AN72" i="3" s="1"/>
  <c r="AO72" i="3" s="1"/>
  <c r="AP72" i="3" s="1"/>
  <c r="AN31" i="5"/>
  <c r="AO31" i="5" s="1"/>
  <c r="AP31" i="5" s="1"/>
  <c r="AM4" i="3"/>
  <c r="F8" i="5"/>
  <c r="L8" i="5"/>
  <c r="J8" i="5"/>
  <c r="V71" i="5"/>
  <c r="V11" i="5" s="1"/>
  <c r="V207" i="3" s="1"/>
  <c r="J71" i="5"/>
  <c r="J72" i="5" s="1"/>
  <c r="J75" i="5" s="1"/>
  <c r="P71" i="5"/>
  <c r="P72" i="5" s="1"/>
  <c r="P75" i="5" s="1"/>
  <c r="W71" i="5"/>
  <c r="W75" i="5" s="1"/>
  <c r="Q71" i="5"/>
  <c r="Q72" i="5" s="1"/>
  <c r="Q75" i="5" s="1"/>
  <c r="K71" i="5"/>
  <c r="K72" i="5" s="1"/>
  <c r="K75" i="5" s="1"/>
  <c r="E71" i="5"/>
  <c r="E72" i="5" s="1"/>
  <c r="E75" i="5" s="1"/>
  <c r="P8" i="5"/>
  <c r="P205" i="3"/>
  <c r="R8" i="5"/>
  <c r="I71" i="5"/>
  <c r="I72" i="5" s="1"/>
  <c r="I75" i="5" s="1"/>
  <c r="V8" i="5"/>
  <c r="U205" i="3"/>
  <c r="Z8" i="5"/>
  <c r="U71" i="5"/>
  <c r="U75" i="5" s="1"/>
  <c r="O71" i="5"/>
  <c r="O11" i="5" s="1"/>
  <c r="O207" i="3" s="1"/>
  <c r="T71" i="5"/>
  <c r="T72" i="5" s="1"/>
  <c r="T75" i="5" s="1"/>
  <c r="N71" i="5"/>
  <c r="N72" i="5" s="1"/>
  <c r="N75" i="5" s="1"/>
  <c r="H71" i="5"/>
  <c r="H72" i="5" s="1"/>
  <c r="H75" i="5" s="1"/>
  <c r="H8" i="5"/>
  <c r="S71" i="5"/>
  <c r="S72" i="5" s="1"/>
  <c r="S75" i="5" s="1"/>
  <c r="M71" i="5"/>
  <c r="M72" i="5" s="1"/>
  <c r="M75" i="5" s="1"/>
  <c r="G71" i="5"/>
  <c r="G11" i="5" s="1"/>
  <c r="T8" i="5"/>
  <c r="S205" i="3"/>
  <c r="N8" i="5"/>
  <c r="M205" i="3"/>
  <c r="AA83" i="5"/>
  <c r="AA61" i="11" s="1"/>
  <c r="X71" i="5"/>
  <c r="X75" i="5" s="1"/>
  <c r="R71" i="5"/>
  <c r="R72" i="5" s="1"/>
  <c r="R75" i="5" s="1"/>
  <c r="L71" i="5"/>
  <c r="L72" i="5" s="1"/>
  <c r="L75" i="5" s="1"/>
  <c r="F71" i="5"/>
  <c r="F11" i="5" s="1"/>
  <c r="X8" i="5"/>
  <c r="X205" i="3"/>
  <c r="Y83" i="5"/>
  <c r="Y61" i="11" s="1"/>
  <c r="AA124" i="3"/>
  <c r="AB117" i="3"/>
  <c r="AB124" i="3" s="1"/>
  <c r="AA16" i="11"/>
  <c r="AB127" i="3"/>
  <c r="AA17" i="11"/>
  <c r="AB128" i="3"/>
  <c r="AB17" i="11" s="1"/>
  <c r="AA137" i="3"/>
  <c r="AB135" i="3"/>
  <c r="AB137" i="3" s="1"/>
  <c r="AH19" i="5"/>
  <c r="AI19" i="5" s="1"/>
  <c r="AJ19" i="5" s="1"/>
  <c r="AK19" i="5" s="1"/>
  <c r="AL19" i="5" s="1"/>
  <c r="AM19" i="5" s="1"/>
  <c r="AN19" i="5" s="1"/>
  <c r="AO19" i="5" s="1"/>
  <c r="AP19" i="5" s="1"/>
  <c r="K2" i="3"/>
  <c r="L2" i="3" s="1"/>
  <c r="M2" i="3" s="1"/>
  <c r="N2" i="3" s="1"/>
  <c r="O2" i="3" s="1"/>
  <c r="P2" i="3" s="1"/>
  <c r="Q2" i="3" s="1"/>
  <c r="R2" i="3" s="1"/>
  <c r="S2" i="3" s="1"/>
  <c r="T2" i="3" s="1"/>
  <c r="U2" i="3" s="1"/>
  <c r="V2" i="3" s="1"/>
  <c r="W2" i="3" s="1"/>
  <c r="X2" i="3" s="1"/>
  <c r="Y2" i="3" s="1"/>
  <c r="Z2" i="3" s="1"/>
  <c r="AA2" i="3" s="1"/>
  <c r="AB2" i="3" s="1"/>
  <c r="AC2" i="3" s="1"/>
  <c r="AD2" i="3" s="1"/>
  <c r="AE2" i="3" s="1"/>
  <c r="AF2" i="3" s="1"/>
  <c r="AG2" i="3" s="1"/>
  <c r="AH2" i="3" s="1"/>
  <c r="AI2" i="3" s="1"/>
  <c r="AJ2" i="3" s="1"/>
  <c r="AK165" i="3" s="1"/>
  <c r="AS2" i="3"/>
  <c r="H4" i="3"/>
  <c r="AB8" i="5"/>
  <c r="H3" i="12"/>
  <c r="L4" i="12"/>
  <c r="N4" i="12" s="1"/>
  <c r="M3" i="12"/>
  <c r="O4" i="12"/>
  <c r="Y73" i="11"/>
  <c r="Z70" i="11" s="1"/>
  <c r="Z74" i="11" s="1"/>
  <c r="Z75" i="11" s="1"/>
  <c r="Z135" i="3"/>
  <c r="Z137" i="3" s="1"/>
  <c r="AA73" i="11"/>
  <c r="AB70" i="11" s="1"/>
  <c r="Z124" i="3"/>
  <c r="Z127" i="3"/>
  <c r="Z130" i="3" s="1"/>
  <c r="T73" i="11"/>
  <c r="U70" i="11" s="1"/>
  <c r="U74" i="11" s="1"/>
  <c r="U75" i="11" s="1"/>
  <c r="Z77" i="3"/>
  <c r="AL131" i="3"/>
  <c r="S16" i="11"/>
  <c r="Q16" i="11"/>
  <c r="X77" i="3"/>
  <c r="U17" i="11"/>
  <c r="AK131" i="3"/>
  <c r="AA77" i="3"/>
  <c r="Y16" i="11"/>
  <c r="U130" i="3"/>
  <c r="S73" i="11"/>
  <c r="T70" i="11" s="1"/>
  <c r="X135" i="3"/>
  <c r="X137" i="3" s="1"/>
  <c r="Q137" i="3"/>
  <c r="T117" i="3"/>
  <c r="T124" i="3" s="1"/>
  <c r="U137" i="3"/>
  <c r="R137" i="3"/>
  <c r="W71" i="3"/>
  <c r="W77" i="3" s="1"/>
  <c r="AL12" i="11"/>
  <c r="U16" i="11"/>
  <c r="P137" i="3"/>
  <c r="P71" i="3"/>
  <c r="P77" i="3" s="1"/>
  <c r="R124" i="3"/>
  <c r="Q17" i="11"/>
  <c r="T17" i="11"/>
  <c r="T130" i="3"/>
  <c r="S17" i="11"/>
  <c r="O137" i="3"/>
  <c r="S130" i="3"/>
  <c r="R71" i="3"/>
  <c r="R63" i="11" s="1"/>
  <c r="S57" i="11" s="1"/>
  <c r="M124" i="3"/>
  <c r="P128" i="3"/>
  <c r="P17" i="11" s="1"/>
  <c r="Q124" i="3"/>
  <c r="P92" i="3"/>
  <c r="N124" i="3"/>
  <c r="V127" i="3"/>
  <c r="V130" i="3" s="1"/>
  <c r="X117" i="3"/>
  <c r="X124" i="3" s="1"/>
  <c r="O63" i="11"/>
  <c r="P57" i="11" s="1"/>
  <c r="O77" i="3"/>
  <c r="V63" i="11"/>
  <c r="W57" i="11" s="1"/>
  <c r="V77" i="3"/>
  <c r="R16" i="11"/>
  <c r="R130" i="3"/>
  <c r="T77" i="3"/>
  <c r="T63" i="11"/>
  <c r="U57" i="11" s="1"/>
  <c r="P16" i="11"/>
  <c r="S63" i="11"/>
  <c r="T57" i="11" s="1"/>
  <c r="S77" i="3"/>
  <c r="Y63" i="11"/>
  <c r="Y64" i="11" s="1"/>
  <c r="Y65" i="11" s="1"/>
  <c r="Y77" i="3"/>
  <c r="T135" i="3"/>
  <c r="T137" i="3" s="1"/>
  <c r="V117" i="3"/>
  <c r="V124" i="3" s="1"/>
  <c r="E22" i="11"/>
  <c r="U71" i="3"/>
  <c r="X127" i="3"/>
  <c r="O16" i="11"/>
  <c r="V73" i="11"/>
  <c r="W70" i="11" s="1"/>
  <c r="W74" i="11" s="1"/>
  <c r="W75" i="11" s="1"/>
  <c r="O73" i="11"/>
  <c r="P70" i="11" s="1"/>
  <c r="P74" i="11" s="1"/>
  <c r="P75" i="11" s="1"/>
  <c r="O130" i="3"/>
  <c r="P117" i="3"/>
  <c r="P124" i="3" s="1"/>
  <c r="X128" i="3"/>
  <c r="X17" i="11" s="1"/>
  <c r="M73" i="11"/>
  <c r="Q71" i="3"/>
  <c r="N73" i="11"/>
  <c r="O70" i="11" s="1"/>
  <c r="Y124" i="3"/>
  <c r="Q130" i="3"/>
  <c r="AA130" i="3"/>
  <c r="W130" i="3"/>
  <c r="V137" i="3"/>
  <c r="X74" i="11"/>
  <c r="X75" i="11" s="1"/>
  <c r="N137" i="3"/>
  <c r="M77" i="3"/>
  <c r="M63" i="11"/>
  <c r="M64" i="11" s="1"/>
  <c r="M65" i="11" s="1"/>
  <c r="N63" i="11"/>
  <c r="O57" i="11" s="1"/>
  <c r="N77" i="3"/>
  <c r="G22" i="11"/>
  <c r="S22" i="11"/>
  <c r="M137" i="3"/>
  <c r="E64" i="11"/>
  <c r="H92" i="3"/>
  <c r="L92" i="3"/>
  <c r="O22" i="11"/>
  <c r="Z63" i="11"/>
  <c r="AA57" i="11" s="1"/>
  <c r="G64" i="11"/>
  <c r="N127" i="3"/>
  <c r="R74" i="11"/>
  <c r="R75" i="11" s="1"/>
  <c r="W22" i="11"/>
  <c r="AK12" i="11"/>
  <c r="M16" i="11"/>
  <c r="AA22" i="11"/>
  <c r="K22" i="11"/>
  <c r="Q74" i="11"/>
  <c r="Q75" i="11" s="1"/>
  <c r="F64" i="11"/>
  <c r="U21" i="11"/>
  <c r="I21" i="11"/>
  <c r="E21" i="11"/>
  <c r="X21" i="11"/>
  <c r="T21" i="11"/>
  <c r="P21" i="11"/>
  <c r="L21" i="11"/>
  <c r="H21" i="11"/>
  <c r="Z22" i="11"/>
  <c r="V22" i="11"/>
  <c r="R22" i="11"/>
  <c r="N22" i="11"/>
  <c r="J22" i="11"/>
  <c r="F22" i="11"/>
  <c r="I64" i="11"/>
  <c r="I65" i="11" s="1"/>
  <c r="Q21" i="11"/>
  <c r="G92" i="3"/>
  <c r="K92" i="3"/>
  <c r="O92" i="3"/>
  <c r="AA21" i="11"/>
  <c r="W21" i="11"/>
  <c r="S21" i="11"/>
  <c r="O21" i="11"/>
  <c r="K21" i="11"/>
  <c r="G21" i="11"/>
  <c r="Y22" i="11"/>
  <c r="U22" i="11"/>
  <c r="Q22" i="11"/>
  <c r="M22" i="11"/>
  <c r="I22" i="11"/>
  <c r="L64" i="11"/>
  <c r="L65" i="11" s="1"/>
  <c r="H64" i="11"/>
  <c r="J57" i="11"/>
  <c r="J64" i="11" s="1"/>
  <c r="J65" i="11" s="1"/>
  <c r="Y21" i="11"/>
  <c r="M21" i="11"/>
  <c r="Z21" i="11"/>
  <c r="V21" i="11"/>
  <c r="R21" i="11"/>
  <c r="N21" i="11"/>
  <c r="J21" i="11"/>
  <c r="F21" i="11"/>
  <c r="G11" i="11" s="1"/>
  <c r="G34" i="11" s="1"/>
  <c r="X22" i="11"/>
  <c r="T22" i="11"/>
  <c r="P22" i="11"/>
  <c r="L22" i="11"/>
  <c r="H22" i="11"/>
  <c r="AA63" i="11"/>
  <c r="AB57" i="11" s="1"/>
  <c r="K64" i="11"/>
  <c r="K65" i="11" s="1"/>
  <c r="H19" i="11"/>
  <c r="K83" i="3"/>
  <c r="G111" i="3"/>
  <c r="G83" i="3"/>
  <c r="G113" i="3"/>
  <c r="H97" i="3"/>
  <c r="L97" i="3"/>
  <c r="P97" i="3"/>
  <c r="M97" i="3"/>
  <c r="I97" i="3"/>
  <c r="Q97" i="3"/>
  <c r="O109" i="3"/>
  <c r="K111" i="3"/>
  <c r="O83" i="3"/>
  <c r="G97" i="3"/>
  <c r="K97" i="3"/>
  <c r="O97" i="3"/>
  <c r="N83" i="3"/>
  <c r="J83" i="3"/>
  <c r="F83" i="3"/>
  <c r="I104" i="3"/>
  <c r="M104" i="3"/>
  <c r="H108" i="3"/>
  <c r="L108" i="3"/>
  <c r="H109" i="3"/>
  <c r="L109" i="3"/>
  <c r="P109" i="3"/>
  <c r="H111" i="3"/>
  <c r="L111" i="3"/>
  <c r="P111" i="3"/>
  <c r="H113" i="3"/>
  <c r="M83" i="3"/>
  <c r="I83" i="3"/>
  <c r="E92" i="3"/>
  <c r="F104" i="3"/>
  <c r="E109" i="3"/>
  <c r="I109" i="3"/>
  <c r="M109" i="3"/>
  <c r="E111" i="3"/>
  <c r="I111" i="3"/>
  <c r="M111" i="3"/>
  <c r="E113" i="3"/>
  <c r="F92" i="3"/>
  <c r="J92" i="3"/>
  <c r="N92" i="3"/>
  <c r="F109" i="3"/>
  <c r="J109" i="3"/>
  <c r="N109" i="3"/>
  <c r="F111" i="3"/>
  <c r="J111" i="3"/>
  <c r="N111" i="3"/>
  <c r="F97" i="3"/>
  <c r="G140" i="3"/>
  <c r="G143" i="3" s="1"/>
  <c r="J101" i="3"/>
  <c r="J104" i="3" s="1"/>
  <c r="N101" i="3"/>
  <c r="N104" i="3" s="1"/>
  <c r="G101" i="3"/>
  <c r="G104" i="3" s="1"/>
  <c r="K101" i="3"/>
  <c r="K104" i="3" s="1"/>
  <c r="O101" i="3"/>
  <c r="O104" i="3" s="1"/>
  <c r="H101" i="3"/>
  <c r="H104" i="3" s="1"/>
  <c r="L101" i="3"/>
  <c r="L104" i="3" s="1"/>
  <c r="P101" i="3"/>
  <c r="P104" i="3" s="1"/>
  <c r="J97" i="3"/>
  <c r="N97" i="3"/>
  <c r="I92" i="3"/>
  <c r="M92" i="3"/>
  <c r="F31" i="11"/>
  <c r="F36" i="11"/>
  <c r="F37" i="11" s="1"/>
  <c r="F42" i="11" s="1"/>
  <c r="G29" i="11"/>
  <c r="E38" i="11"/>
  <c r="H4" i="11"/>
  <c r="H3" i="11" s="1"/>
  <c r="G3" i="11"/>
  <c r="K4" i="11"/>
  <c r="K3" i="11" s="1"/>
  <c r="I3" i="11"/>
  <c r="AA11" i="5"/>
  <c r="AA207" i="3" s="1"/>
  <c r="AA75" i="5"/>
  <c r="G72" i="5"/>
  <c r="G75" i="5" s="1"/>
  <c r="Z75" i="5"/>
  <c r="Z11" i="5"/>
  <c r="Z207" i="3" s="1"/>
  <c r="E11" i="5"/>
  <c r="AC48" i="5"/>
  <c r="AC7" i="5"/>
  <c r="Y11" i="5"/>
  <c r="Y207" i="3" s="1"/>
  <c r="I11" i="5"/>
  <c r="AE17" i="5"/>
  <c r="AH17" i="5" s="1"/>
  <c r="AJ17" i="5" s="1"/>
  <c r="AK17" i="5" s="1"/>
  <c r="AL17" i="5" s="1"/>
  <c r="AM17" i="5" s="1"/>
  <c r="AN17" i="5" s="1"/>
  <c r="AO17" i="5" s="1"/>
  <c r="AP17" i="5" s="1"/>
  <c r="AB48" i="5"/>
  <c r="AC27" i="5"/>
  <c r="AC34" i="5"/>
  <c r="AC41" i="5"/>
  <c r="AL24" i="5" l="1"/>
  <c r="AM24" i="5" s="1"/>
  <c r="AN24" i="5" s="1"/>
  <c r="AO24" i="5" s="1"/>
  <c r="AP24" i="5" s="1"/>
  <c r="AK23" i="5"/>
  <c r="AM23" i="5" s="1"/>
  <c r="AO23" i="5" s="1"/>
  <c r="AO27" i="5" s="1"/>
  <c r="J4" i="11"/>
  <c r="J3" i="11" s="1"/>
  <c r="AO4" i="3"/>
  <c r="Q11" i="5"/>
  <c r="Q207" i="3" s="1"/>
  <c r="AJ35" i="11"/>
  <c r="AK35" i="11" s="1"/>
  <c r="AL35" i="11" s="1"/>
  <c r="AM35" i="11" s="1"/>
  <c r="T11" i="5"/>
  <c r="T207" i="3" s="1"/>
  <c r="V75" i="5"/>
  <c r="AC205" i="3"/>
  <c r="AC9" i="5"/>
  <c r="F72" i="5"/>
  <c r="F75" i="5" s="1"/>
  <c r="J11" i="5"/>
  <c r="R11" i="5"/>
  <c r="R207" i="3" s="1"/>
  <c r="W11" i="5"/>
  <c r="W207" i="3" s="1"/>
  <c r="X11" i="5"/>
  <c r="X207" i="3" s="1"/>
  <c r="L11" i="5"/>
  <c r="P11" i="5"/>
  <c r="P207" i="3" s="1"/>
  <c r="AI18" i="5"/>
  <c r="AJ18" i="5" s="1"/>
  <c r="AK18" i="5" s="1"/>
  <c r="AL18" i="5" s="1"/>
  <c r="AM18" i="5" s="1"/>
  <c r="AN18" i="5" s="1"/>
  <c r="AO18" i="5" s="1"/>
  <c r="K11" i="5"/>
  <c r="H11" i="5"/>
  <c r="U11" i="5"/>
  <c r="U207" i="3" s="1"/>
  <c r="S11" i="5"/>
  <c r="S207" i="3" s="1"/>
  <c r="N11" i="5"/>
  <c r="N207" i="3" s="1"/>
  <c r="O72" i="5"/>
  <c r="O75" i="5" s="1"/>
  <c r="M11" i="5"/>
  <c r="M207" i="3" s="1"/>
  <c r="AB16" i="11"/>
  <c r="AB130" i="3"/>
  <c r="J4" i="3"/>
  <c r="AK2" i="3"/>
  <c r="AK174" i="3" s="1"/>
  <c r="Z16" i="11"/>
  <c r="V74" i="11"/>
  <c r="V75" i="11" s="1"/>
  <c r="AA74" i="11"/>
  <c r="AA75" i="11" s="1"/>
  <c r="AT2" i="3"/>
  <c r="Y74" i="11"/>
  <c r="Y75" i="11" s="1"/>
  <c r="AC70" i="11"/>
  <c r="AB74" i="11"/>
  <c r="AB75" i="11" s="1"/>
  <c r="L3" i="12"/>
  <c r="N3" i="12"/>
  <c r="P4" i="12"/>
  <c r="O3" i="12"/>
  <c r="Q4" i="12"/>
  <c r="N57" i="11"/>
  <c r="N64" i="11" s="1"/>
  <c r="N65" i="11" s="1"/>
  <c r="T74" i="11"/>
  <c r="T75" i="11" s="1"/>
  <c r="S64" i="11"/>
  <c r="S65" i="11" s="1"/>
  <c r="S74" i="11"/>
  <c r="S75" i="11" s="1"/>
  <c r="O74" i="11"/>
  <c r="O75" i="11" s="1"/>
  <c r="R77" i="3"/>
  <c r="W63" i="11"/>
  <c r="V16" i="11"/>
  <c r="P63" i="11"/>
  <c r="Q57" i="11" s="1"/>
  <c r="Z57" i="11"/>
  <c r="Z64" i="11" s="1"/>
  <c r="Z65" i="11" s="1"/>
  <c r="P130" i="3"/>
  <c r="O64" i="11"/>
  <c r="O65" i="11" s="1"/>
  <c r="Q63" i="11"/>
  <c r="Q77" i="3"/>
  <c r="N70" i="11"/>
  <c r="N74" i="11" s="1"/>
  <c r="N75" i="11" s="1"/>
  <c r="M74" i="11"/>
  <c r="M75" i="11" s="1"/>
  <c r="U63" i="11"/>
  <c r="V57" i="11" s="1"/>
  <c r="V64" i="11" s="1"/>
  <c r="V65" i="11" s="1"/>
  <c r="U77" i="3"/>
  <c r="X130" i="3"/>
  <c r="X16" i="11"/>
  <c r="T64" i="11"/>
  <c r="T65" i="11" s="1"/>
  <c r="AA64" i="11"/>
  <c r="AA65" i="11" s="1"/>
  <c r="N16" i="11"/>
  <c r="N130" i="3"/>
  <c r="G20" i="11"/>
  <c r="G41" i="11" s="1"/>
  <c r="H11" i="11"/>
  <c r="I11" i="11" s="1"/>
  <c r="E20" i="11"/>
  <c r="E41" i="11" s="1"/>
  <c r="E43" i="11" s="1"/>
  <c r="E81" i="11" s="1"/>
  <c r="F11" i="11"/>
  <c r="F34" i="11" s="1"/>
  <c r="F38" i="11" s="1"/>
  <c r="H140" i="3"/>
  <c r="H143" i="3" s="1"/>
  <c r="G144" i="3"/>
  <c r="AD59" i="11"/>
  <c r="H29" i="11"/>
  <c r="G36" i="11"/>
  <c r="G37" i="11" s="1"/>
  <c r="G30" i="11"/>
  <c r="G31" i="11" s="1"/>
  <c r="J11" i="11"/>
  <c r="M4" i="11"/>
  <c r="M3" i="11" s="1"/>
  <c r="AB11" i="5"/>
  <c r="AB207" i="3" s="1"/>
  <c r="AB46" i="15"/>
  <c r="AB47" i="15" s="1"/>
  <c r="AC20" i="5"/>
  <c r="AD7" i="5"/>
  <c r="AD9" i="5" s="1"/>
  <c r="AD205" i="3" s="1"/>
  <c r="AD27" i="5"/>
  <c r="AD48" i="5"/>
  <c r="AD41" i="5"/>
  <c r="AE7" i="5"/>
  <c r="AD20" i="5"/>
  <c r="AD34" i="5"/>
  <c r="AK189" i="3" l="1"/>
  <c r="AL23" i="5"/>
  <c r="AN23" i="5" s="1"/>
  <c r="AP23" i="5" s="1"/>
  <c r="AP27" i="5" s="1"/>
  <c r="AK196" i="3"/>
  <c r="L4" i="11"/>
  <c r="AP18" i="5"/>
  <c r="AN35" i="11"/>
  <c r="AO35" i="11" s="1"/>
  <c r="AD10" i="5"/>
  <c r="AE9" i="5"/>
  <c r="AE205" i="3" s="1"/>
  <c r="AB48" i="15"/>
  <c r="AK182" i="3"/>
  <c r="AK166" i="3"/>
  <c r="AK155" i="3" s="1"/>
  <c r="AL165" i="3"/>
  <c r="AL2" i="3"/>
  <c r="L4" i="3"/>
  <c r="AD8" i="5"/>
  <c r="AE6" i="5" s="1"/>
  <c r="AU2" i="3"/>
  <c r="AD70" i="11"/>
  <c r="AD72" i="11" s="1"/>
  <c r="AC74" i="11"/>
  <c r="AC75" i="11" s="1"/>
  <c r="Q3" i="12"/>
  <c r="S4" i="12"/>
  <c r="R4" i="12"/>
  <c r="P3" i="12"/>
  <c r="P64" i="11"/>
  <c r="P65" i="11" s="1"/>
  <c r="X57" i="11"/>
  <c r="X64" i="11" s="1"/>
  <c r="X65" i="11" s="1"/>
  <c r="W64" i="11"/>
  <c r="W65" i="11" s="1"/>
  <c r="H34" i="11"/>
  <c r="Q64" i="11"/>
  <c r="Q65" i="11" s="1"/>
  <c r="R57" i="11"/>
  <c r="R64" i="11" s="1"/>
  <c r="R65" i="11" s="1"/>
  <c r="U64" i="11"/>
  <c r="U65" i="11" s="1"/>
  <c r="I34" i="11"/>
  <c r="H20" i="11"/>
  <c r="H41" i="11" s="1"/>
  <c r="E47" i="11"/>
  <c r="E75" i="11" s="1"/>
  <c r="E83" i="11" s="1"/>
  <c r="F20" i="11"/>
  <c r="F41" i="11" s="1"/>
  <c r="F43" i="11" s="1"/>
  <c r="I140" i="3"/>
  <c r="I143" i="3" s="1"/>
  <c r="H144" i="3"/>
  <c r="AE59" i="11"/>
  <c r="G42" i="11"/>
  <c r="G43" i="11" s="1"/>
  <c r="G38" i="11"/>
  <c r="H36" i="11"/>
  <c r="H37" i="11" s="1"/>
  <c r="H42" i="11" s="1"/>
  <c r="I29" i="11"/>
  <c r="H30" i="11"/>
  <c r="H31" i="11" s="1"/>
  <c r="K11" i="11"/>
  <c r="J34" i="11"/>
  <c r="O4" i="11"/>
  <c r="O3" i="11" s="1"/>
  <c r="L3" i="11"/>
  <c r="N4" i="11"/>
  <c r="AC11" i="5"/>
  <c r="AC207" i="3" s="1"/>
  <c r="AE20" i="5"/>
  <c r="AE48" i="5"/>
  <c r="AE34" i="5"/>
  <c r="AE41" i="5"/>
  <c r="AE27" i="5"/>
  <c r="AP35" i="11" l="1"/>
  <c r="AM2" i="3"/>
  <c r="AM165" i="3"/>
  <c r="AC46" i="15"/>
  <c r="AC47" i="15" s="1"/>
  <c r="AK197" i="3"/>
  <c r="AL183" i="3"/>
  <c r="AL197" i="3"/>
  <c r="AL182" i="3"/>
  <c r="AK190" i="3"/>
  <c r="AL167" i="3"/>
  <c r="AK175" i="3"/>
  <c r="AL190" i="3"/>
  <c r="AK167" i="3"/>
  <c r="AK183" i="3"/>
  <c r="AL166" i="3"/>
  <c r="AL189" i="3"/>
  <c r="AL196" i="3"/>
  <c r="AL174" i="3"/>
  <c r="AL175" i="3"/>
  <c r="N4" i="3"/>
  <c r="AC76" i="5"/>
  <c r="AV2" i="3"/>
  <c r="AB83" i="5"/>
  <c r="AB61" i="11" s="1"/>
  <c r="AB17" i="3"/>
  <c r="AE70" i="11"/>
  <c r="AE72" i="11" s="1"/>
  <c r="AD74" i="11"/>
  <c r="AD75" i="11" s="1"/>
  <c r="S3" i="12"/>
  <c r="U4" i="12"/>
  <c r="R3" i="12"/>
  <c r="T4" i="12"/>
  <c r="H43" i="11"/>
  <c r="F47" i="11"/>
  <c r="F65" i="11" s="1"/>
  <c r="F81" i="11"/>
  <c r="E65" i="11"/>
  <c r="J140" i="3"/>
  <c r="J143" i="3" s="1"/>
  <c r="I144" i="3"/>
  <c r="AF59" i="11"/>
  <c r="Q4" i="11"/>
  <c r="S4" i="11" s="1"/>
  <c r="I36" i="11"/>
  <c r="I37" i="11" s="1"/>
  <c r="I30" i="11"/>
  <c r="I31" i="11" s="1"/>
  <c r="J29" i="11"/>
  <c r="H38" i="11"/>
  <c r="L11" i="11"/>
  <c r="K34" i="11"/>
  <c r="N3" i="11"/>
  <c r="P4" i="11"/>
  <c r="AF7" i="5"/>
  <c r="AF9" i="5" s="1"/>
  <c r="AD11" i="5"/>
  <c r="AD207" i="3" s="1"/>
  <c r="AF27" i="5"/>
  <c r="AF20" i="5"/>
  <c r="AF41" i="5"/>
  <c r="AF48" i="5"/>
  <c r="AF34" i="5"/>
  <c r="AL155" i="3" l="1"/>
  <c r="AF10" i="5"/>
  <c r="AF205" i="3"/>
  <c r="AN2" i="3"/>
  <c r="AM182" i="3"/>
  <c r="AM166" i="3"/>
  <c r="AN165" i="3"/>
  <c r="AN167" i="3" s="1"/>
  <c r="AM189" i="3"/>
  <c r="AM196" i="3"/>
  <c r="AM174" i="3"/>
  <c r="AC85" i="5"/>
  <c r="AC17" i="3" s="1"/>
  <c r="AC77" i="5"/>
  <c r="AC80" i="5"/>
  <c r="AC48" i="15"/>
  <c r="AE46" i="15"/>
  <c r="AE47" i="15" s="1"/>
  <c r="AE48" i="15" s="1"/>
  <c r="AD46" i="15"/>
  <c r="AD47" i="15" s="1"/>
  <c r="AD48" i="15" s="1"/>
  <c r="AF8" i="5"/>
  <c r="P4" i="3"/>
  <c r="AC86" i="11"/>
  <c r="AD76" i="5"/>
  <c r="AB22" i="3"/>
  <c r="AB86" i="11"/>
  <c r="AE74" i="11"/>
  <c r="AE75" i="11" s="1"/>
  <c r="AF70" i="11"/>
  <c r="AF72" i="11" s="1"/>
  <c r="U3" i="12"/>
  <c r="W4" i="12"/>
  <c r="V4" i="12"/>
  <c r="T3" i="12"/>
  <c r="F75" i="11"/>
  <c r="F83" i="11" s="1"/>
  <c r="Q3" i="11"/>
  <c r="E82" i="11"/>
  <c r="F58" i="11"/>
  <c r="F62" i="11" s="1"/>
  <c r="F82" i="11"/>
  <c r="G58" i="11"/>
  <c r="G62" i="11" s="1"/>
  <c r="J144" i="3"/>
  <c r="K140" i="3"/>
  <c r="K143" i="3" s="1"/>
  <c r="AG59" i="11"/>
  <c r="G81" i="11"/>
  <c r="G47" i="11"/>
  <c r="H81" i="11"/>
  <c r="H47" i="11"/>
  <c r="I42" i="11"/>
  <c r="I38" i="11"/>
  <c r="J36" i="11"/>
  <c r="J37" i="11" s="1"/>
  <c r="J30" i="11"/>
  <c r="J31" i="11" s="1"/>
  <c r="K29" i="11"/>
  <c r="L34" i="11"/>
  <c r="M11" i="11"/>
  <c r="P3" i="11"/>
  <c r="R4" i="11"/>
  <c r="U4" i="11"/>
  <c r="S3" i="11"/>
  <c r="AG7" i="5"/>
  <c r="AE11" i="5"/>
  <c r="AE207" i="3" s="1"/>
  <c r="AI44" i="5"/>
  <c r="AG48" i="5"/>
  <c r="AG20" i="5"/>
  <c r="AG34" i="5"/>
  <c r="AI37" i="5"/>
  <c r="AG41" i="5"/>
  <c r="AG27" i="5"/>
  <c r="AD77" i="5" l="1"/>
  <c r="AD80" i="5"/>
  <c r="AB87" i="11"/>
  <c r="AO165" i="3"/>
  <c r="AO2" i="3"/>
  <c r="AE13" i="5"/>
  <c r="AF13" i="5"/>
  <c r="AH73" i="3"/>
  <c r="AG6" i="5"/>
  <c r="AM155" i="3"/>
  <c r="AC22" i="3"/>
  <c r="AN190" i="3"/>
  <c r="AN196" i="3"/>
  <c r="AM183" i="3"/>
  <c r="AM175" i="3"/>
  <c r="AM167" i="3"/>
  <c r="AM190" i="3"/>
  <c r="AM197" i="3"/>
  <c r="AN189" i="3"/>
  <c r="AN182" i="3"/>
  <c r="AN197" i="3"/>
  <c r="AN175" i="3"/>
  <c r="AN174" i="3"/>
  <c r="AN183" i="3"/>
  <c r="AN166" i="3"/>
  <c r="AC79" i="5"/>
  <c r="AD79" i="5" s="1"/>
  <c r="AC12" i="5"/>
  <c r="AC206" i="3" s="1"/>
  <c r="AG9" i="5"/>
  <c r="AG205" i="3" s="1"/>
  <c r="AD20" i="3"/>
  <c r="AE76" i="5"/>
  <c r="AC83" i="5"/>
  <c r="AC61" i="11" s="1"/>
  <c r="R4" i="3"/>
  <c r="AD83" i="5"/>
  <c r="AD61" i="11" s="1"/>
  <c r="AG70" i="11"/>
  <c r="AF74" i="11"/>
  <c r="AF75" i="11" s="1"/>
  <c r="V3" i="12"/>
  <c r="X4" i="12"/>
  <c r="W3" i="12"/>
  <c r="Y4" i="12"/>
  <c r="G65" i="11"/>
  <c r="G75" i="11"/>
  <c r="G83" i="11" s="1"/>
  <c r="H65" i="11"/>
  <c r="H75" i="11"/>
  <c r="H83" i="11" s="1"/>
  <c r="L140" i="3"/>
  <c r="L143" i="3" s="1"/>
  <c r="K144" i="3"/>
  <c r="AH59" i="11"/>
  <c r="AI118" i="3"/>
  <c r="I81" i="11"/>
  <c r="K36" i="11"/>
  <c r="K37" i="11" s="1"/>
  <c r="L29" i="11"/>
  <c r="K30" i="11"/>
  <c r="K31" i="11" s="1"/>
  <c r="J42" i="11"/>
  <c r="J38" i="11"/>
  <c r="M34" i="11"/>
  <c r="N11" i="11"/>
  <c r="W4" i="11"/>
  <c r="U3" i="11"/>
  <c r="T4" i="11"/>
  <c r="R3" i="11"/>
  <c r="AH7" i="5"/>
  <c r="AH9" i="5" s="1"/>
  <c r="AH205" i="3" s="1"/>
  <c r="AF11" i="5"/>
  <c r="AF207" i="3" s="1"/>
  <c r="AH41" i="5"/>
  <c r="AH20" i="5"/>
  <c r="AH27" i="5"/>
  <c r="AH34" i="5"/>
  <c r="AH48" i="5"/>
  <c r="AO174" i="3" l="1"/>
  <c r="AO196" i="3"/>
  <c r="AO189" i="3"/>
  <c r="AP165" i="3"/>
  <c r="AO166" i="3"/>
  <c r="AP2" i="3"/>
  <c r="AV73" i="3" s="1"/>
  <c r="AO182" i="3"/>
  <c r="AE83" i="5"/>
  <c r="AE61" i="11" s="1"/>
  <c r="AE77" i="5"/>
  <c r="AE80" i="5"/>
  <c r="AI73" i="3"/>
  <c r="AJ73" i="3" s="1"/>
  <c r="AK73" i="3" s="1"/>
  <c r="AL73" i="3" s="1"/>
  <c r="AM73" i="3" s="1"/>
  <c r="AN73" i="3" s="1"/>
  <c r="AO73" i="3" s="1"/>
  <c r="AP73" i="3" s="1"/>
  <c r="AE20" i="3"/>
  <c r="AN155" i="3"/>
  <c r="AH10" i="5"/>
  <c r="AF46" i="15"/>
  <c r="AH71" i="5"/>
  <c r="AF76" i="5"/>
  <c r="AH8" i="5"/>
  <c r="T4" i="3"/>
  <c r="AJ77" i="5"/>
  <c r="AK77" i="5" s="1"/>
  <c r="AH70" i="11"/>
  <c r="AH73" i="11" s="1"/>
  <c r="AG74" i="11"/>
  <c r="AG75" i="11" s="1"/>
  <c r="AI75" i="11" s="1"/>
  <c r="AJ75" i="11" s="1"/>
  <c r="AK75" i="11" s="1"/>
  <c r="AL75" i="11" s="1"/>
  <c r="AM75" i="11" s="1"/>
  <c r="AN75" i="11" s="1"/>
  <c r="AO75" i="11" s="1"/>
  <c r="AP75" i="11" s="1"/>
  <c r="Y3" i="12"/>
  <c r="AA4" i="12"/>
  <c r="Z4" i="12"/>
  <c r="X3" i="12"/>
  <c r="G82" i="11"/>
  <c r="H58" i="11"/>
  <c r="H62" i="11" s="1"/>
  <c r="H82" i="11"/>
  <c r="I58" i="11"/>
  <c r="I62" i="11" s="1"/>
  <c r="L144" i="3"/>
  <c r="M140" i="3"/>
  <c r="M143" i="3" s="1"/>
  <c r="I47" i="11"/>
  <c r="AJ118" i="3"/>
  <c r="AI59" i="11"/>
  <c r="J81" i="11"/>
  <c r="L36" i="11"/>
  <c r="L37" i="11" s="1"/>
  <c r="L30" i="11"/>
  <c r="L31" i="11" s="1"/>
  <c r="M29" i="11"/>
  <c r="K42" i="11"/>
  <c r="K38" i="11"/>
  <c r="O11" i="11"/>
  <c r="N34" i="11"/>
  <c r="T3" i="11"/>
  <c r="V4" i="11"/>
  <c r="Y4" i="11"/>
  <c r="W3" i="11"/>
  <c r="AI7" i="5"/>
  <c r="AG11" i="5"/>
  <c r="AG207" i="3" s="1"/>
  <c r="AJ16" i="5"/>
  <c r="AI20" i="5"/>
  <c r="AJ30" i="5"/>
  <c r="AI34" i="5"/>
  <c r="AJ44" i="5"/>
  <c r="AI48" i="5"/>
  <c r="AI27" i="5"/>
  <c r="AJ37" i="5"/>
  <c r="AI41" i="5"/>
  <c r="AE79" i="5" l="1"/>
  <c r="AO155" i="3"/>
  <c r="AF77" i="5"/>
  <c r="AF80" i="5"/>
  <c r="AO175" i="3"/>
  <c r="AP189" i="3"/>
  <c r="AP196" i="3"/>
  <c r="AP166" i="3"/>
  <c r="AP190" i="3"/>
  <c r="AP174" i="3"/>
  <c r="AO183" i="3"/>
  <c r="AP175" i="3"/>
  <c r="AP197" i="3"/>
  <c r="AP183" i="3"/>
  <c r="AP167" i="3"/>
  <c r="AO197" i="3"/>
  <c r="AP182" i="3"/>
  <c r="AO167" i="3"/>
  <c r="AO190" i="3"/>
  <c r="AV80" i="3"/>
  <c r="AT71" i="3"/>
  <c r="AU80" i="3"/>
  <c r="AT89" i="3"/>
  <c r="AS72" i="3"/>
  <c r="AS151" i="3"/>
  <c r="AS82" i="3"/>
  <c r="AU81" i="3"/>
  <c r="AU82" i="3"/>
  <c r="AS80" i="3"/>
  <c r="AS75" i="3"/>
  <c r="AS73" i="3"/>
  <c r="AV88" i="3"/>
  <c r="AS83" i="3"/>
  <c r="AU70" i="3"/>
  <c r="AS110" i="3"/>
  <c r="AT73" i="3"/>
  <c r="AT74" i="3"/>
  <c r="AS88" i="3"/>
  <c r="AU77" i="3"/>
  <c r="AU75" i="3"/>
  <c r="AU76" i="3"/>
  <c r="AS70" i="3"/>
  <c r="AS81" i="3"/>
  <c r="AV82" i="3"/>
  <c r="AV72" i="3"/>
  <c r="AS89" i="3"/>
  <c r="AT76" i="3"/>
  <c r="AU206" i="3"/>
  <c r="AT88" i="3"/>
  <c r="AT75" i="3"/>
  <c r="AS77" i="3"/>
  <c r="AV77" i="3"/>
  <c r="AT151" i="3"/>
  <c r="AT83" i="3"/>
  <c r="AS76" i="3"/>
  <c r="AS71" i="3"/>
  <c r="AT110" i="3"/>
  <c r="AT82" i="3"/>
  <c r="AU88" i="3"/>
  <c r="AV75" i="3"/>
  <c r="AT72" i="3"/>
  <c r="AV83" i="3"/>
  <c r="AT80" i="3"/>
  <c r="AV76" i="3"/>
  <c r="AU74" i="3"/>
  <c r="AU83" i="3"/>
  <c r="AU71" i="3"/>
  <c r="AT77" i="3"/>
  <c r="AV71" i="3"/>
  <c r="AU151" i="3"/>
  <c r="AV206" i="3"/>
  <c r="AU89" i="3"/>
  <c r="AV89" i="3"/>
  <c r="AT70" i="3"/>
  <c r="AU72" i="3"/>
  <c r="AV74" i="3"/>
  <c r="AT81" i="3"/>
  <c r="AV81" i="3"/>
  <c r="AU73" i="3"/>
  <c r="AU110" i="3"/>
  <c r="AS74" i="3"/>
  <c r="AG87" i="5"/>
  <c r="AG46" i="15"/>
  <c r="AH13" i="5"/>
  <c r="AD12" i="5"/>
  <c r="AD206" i="3" s="1"/>
  <c r="AI9" i="5"/>
  <c r="AI205" i="3" s="1"/>
  <c r="AI71" i="5"/>
  <c r="V4" i="3"/>
  <c r="AG83" i="5"/>
  <c r="AG61" i="11" s="1"/>
  <c r="AF83" i="5"/>
  <c r="AF61" i="11" s="1"/>
  <c r="AI70" i="11"/>
  <c r="AI73" i="11" s="1"/>
  <c r="AH74" i="11"/>
  <c r="Z3" i="12"/>
  <c r="AB4" i="12"/>
  <c r="AA3" i="12"/>
  <c r="AC4" i="12"/>
  <c r="I75" i="11"/>
  <c r="I83" i="11" s="1"/>
  <c r="J47" i="11"/>
  <c r="M144" i="3"/>
  <c r="N140" i="3"/>
  <c r="N143" i="3" s="1"/>
  <c r="AK118" i="3"/>
  <c r="AJ59" i="11"/>
  <c r="M36" i="11"/>
  <c r="M37" i="11" s="1"/>
  <c r="N29" i="11"/>
  <c r="M30" i="11"/>
  <c r="M31" i="11" s="1"/>
  <c r="L42" i="11"/>
  <c r="L38" i="11"/>
  <c r="P11" i="11"/>
  <c r="O34" i="11"/>
  <c r="AA4" i="11"/>
  <c r="Y3" i="11"/>
  <c r="X4" i="11"/>
  <c r="V3" i="11"/>
  <c r="AJ7" i="5"/>
  <c r="AJ9" i="5" s="1"/>
  <c r="AJ205" i="3" s="1"/>
  <c r="AH72" i="5"/>
  <c r="AH11" i="5"/>
  <c r="AH207" i="3" s="1"/>
  <c r="AK30" i="5"/>
  <c r="AJ34" i="5"/>
  <c r="AJ27" i="5"/>
  <c r="AK37" i="5"/>
  <c r="AJ41" i="5"/>
  <c r="AK44" i="5"/>
  <c r="AJ48" i="5"/>
  <c r="AK16" i="5"/>
  <c r="AJ20" i="5"/>
  <c r="AU78" i="3" l="1"/>
  <c r="AU111" i="3" s="1"/>
  <c r="AU84" i="3"/>
  <c r="AP155" i="3"/>
  <c r="AS78" i="3"/>
  <c r="AU90" i="3"/>
  <c r="AU217" i="3" s="1"/>
  <c r="AV212" i="3" s="1"/>
  <c r="AS84" i="3"/>
  <c r="AF79" i="5"/>
  <c r="AT84" i="3"/>
  <c r="AT78" i="3"/>
  <c r="AS90" i="3"/>
  <c r="AS217" i="3" s="1"/>
  <c r="AT212" i="3" s="1"/>
  <c r="AT90" i="3"/>
  <c r="AT217" i="3" s="1"/>
  <c r="AU212" i="3" s="1"/>
  <c r="AH46" i="15"/>
  <c r="AH87" i="5"/>
  <c r="AI74" i="5"/>
  <c r="AE12" i="5"/>
  <c r="AE206" i="3" s="1"/>
  <c r="AD85" i="5"/>
  <c r="AD17" i="3" s="1"/>
  <c r="AD22" i="3" s="1"/>
  <c r="AD86" i="11"/>
  <c r="AJ10" i="5"/>
  <c r="AJ71" i="5"/>
  <c r="AJ8" i="5"/>
  <c r="X4" i="3"/>
  <c r="AH76" i="5"/>
  <c r="AL77" i="5"/>
  <c r="AM77" i="5" s="1"/>
  <c r="AI74" i="11"/>
  <c r="AJ70" i="11"/>
  <c r="AJ73" i="11" s="1"/>
  <c r="AC3" i="12"/>
  <c r="AE4" i="12"/>
  <c r="AD4" i="12"/>
  <c r="AB3" i="12"/>
  <c r="I82" i="11"/>
  <c r="I92" i="11" s="1"/>
  <c r="J58" i="11"/>
  <c r="J62" i="11" s="1"/>
  <c r="J75" i="11"/>
  <c r="J83" i="11" s="1"/>
  <c r="O140" i="3"/>
  <c r="O143" i="3" s="1"/>
  <c r="N144" i="3"/>
  <c r="AK59" i="11"/>
  <c r="AL118" i="3"/>
  <c r="K81" i="11"/>
  <c r="K47" i="11"/>
  <c r="N36" i="11"/>
  <c r="N37" i="11" s="1"/>
  <c r="O29" i="11"/>
  <c r="N30" i="11"/>
  <c r="N31" i="11" s="1"/>
  <c r="M42" i="11"/>
  <c r="M38" i="11"/>
  <c r="P34" i="11"/>
  <c r="Q11" i="11"/>
  <c r="Z4" i="11"/>
  <c r="X3" i="11"/>
  <c r="AC4" i="11"/>
  <c r="AA3" i="11"/>
  <c r="AK7" i="5"/>
  <c r="AI72" i="5"/>
  <c r="AI11" i="5"/>
  <c r="AI207" i="3" s="1"/>
  <c r="AL44" i="5"/>
  <c r="AK48" i="5"/>
  <c r="AK27" i="5"/>
  <c r="AL16" i="5"/>
  <c r="AM16" i="5" s="1"/>
  <c r="AK20" i="5"/>
  <c r="AL37" i="5"/>
  <c r="AK41" i="5"/>
  <c r="AL30" i="5"/>
  <c r="AK34" i="5"/>
  <c r="AT86" i="3" l="1"/>
  <c r="AT108" i="3" s="1"/>
  <c r="AU109" i="3"/>
  <c r="AU86" i="3"/>
  <c r="AU108" i="3" s="1"/>
  <c r="AS109" i="3"/>
  <c r="AS86" i="3"/>
  <c r="AS108" i="3" s="1"/>
  <c r="AS111" i="3"/>
  <c r="AT111" i="3"/>
  <c r="AT109" i="3"/>
  <c r="AI46" i="15"/>
  <c r="AI87" i="5"/>
  <c r="AJ13" i="5"/>
  <c r="AJ74" i="5"/>
  <c r="AN77" i="5"/>
  <c r="AO77" i="5" s="1"/>
  <c r="AP77" i="5" s="1"/>
  <c r="AL34" i="5"/>
  <c r="AM30" i="5"/>
  <c r="AL48" i="5"/>
  <c r="AM44" i="5"/>
  <c r="AL27" i="5"/>
  <c r="AL41" i="5"/>
  <c r="AM37" i="5"/>
  <c r="AN16" i="5"/>
  <c r="AO16" i="5" s="1"/>
  <c r="AM20" i="5"/>
  <c r="AF12" i="5"/>
  <c r="AF206" i="3" s="1"/>
  <c r="AF88" i="5"/>
  <c r="AE85" i="5"/>
  <c r="AE17" i="3" s="1"/>
  <c r="AK9" i="5"/>
  <c r="AK205" i="3" s="1"/>
  <c r="AK71" i="5"/>
  <c r="AI76" i="5"/>
  <c r="Z4" i="3"/>
  <c r="AH78" i="5"/>
  <c r="AK70" i="11"/>
  <c r="AK73" i="11" s="1"/>
  <c r="AJ74" i="11"/>
  <c r="AD3" i="12"/>
  <c r="AF4" i="12"/>
  <c r="AE3" i="12"/>
  <c r="AG4" i="12"/>
  <c r="I66" i="3"/>
  <c r="I85" i="11"/>
  <c r="I89" i="11" s="1"/>
  <c r="J82" i="11"/>
  <c r="J92" i="11" s="1"/>
  <c r="K58" i="11"/>
  <c r="K62" i="11" s="1"/>
  <c r="K75" i="11"/>
  <c r="K83" i="11" s="1"/>
  <c r="O144" i="3"/>
  <c r="P140" i="3"/>
  <c r="P143" i="3" s="1"/>
  <c r="AL59" i="11"/>
  <c r="L81" i="11"/>
  <c r="L47" i="11"/>
  <c r="O36" i="11"/>
  <c r="O37" i="11" s="1"/>
  <c r="P29" i="11"/>
  <c r="O30" i="11"/>
  <c r="O31" i="11" s="1"/>
  <c r="N42" i="11"/>
  <c r="N38" i="11"/>
  <c r="R11" i="11"/>
  <c r="Q34" i="11"/>
  <c r="AE4" i="11"/>
  <c r="AC3" i="11"/>
  <c r="AB4" i="11"/>
  <c r="Z3" i="11"/>
  <c r="AL20" i="5"/>
  <c r="AL7" i="5"/>
  <c r="AL9" i="5" s="1"/>
  <c r="AL205" i="3" s="1"/>
  <c r="AJ72" i="5"/>
  <c r="AJ11" i="5"/>
  <c r="AJ207" i="3" s="1"/>
  <c r="AP16" i="5" l="1"/>
  <c r="AO20" i="5"/>
  <c r="AJ46" i="15"/>
  <c r="AJ87" i="5"/>
  <c r="AM7" i="5"/>
  <c r="AM9" i="5" s="1"/>
  <c r="AM205" i="3" s="1"/>
  <c r="AE22" i="3"/>
  <c r="AK74" i="5"/>
  <c r="AL71" i="5"/>
  <c r="AL11" i="5" s="1"/>
  <c r="AL207" i="3" s="1"/>
  <c r="AM48" i="5"/>
  <c r="AN44" i="5"/>
  <c r="AN30" i="5"/>
  <c r="AM34" i="5"/>
  <c r="AN27" i="5"/>
  <c r="AM27" i="5"/>
  <c r="AM41" i="5"/>
  <c r="AN37" i="5"/>
  <c r="AN20" i="5"/>
  <c r="AH80" i="5"/>
  <c r="AG12" i="5"/>
  <c r="AG206" i="3" s="1"/>
  <c r="AF85" i="5"/>
  <c r="AF17" i="3" s="1"/>
  <c r="AF86" i="11"/>
  <c r="AL10" i="5"/>
  <c r="AI78" i="5"/>
  <c r="AL8" i="5"/>
  <c r="AJ76" i="5"/>
  <c r="AB4" i="3"/>
  <c r="AH83" i="5"/>
  <c r="AH61" i="11" s="1"/>
  <c r="I29" i="3"/>
  <c r="I112" i="3" s="1"/>
  <c r="AL70" i="11"/>
  <c r="AK74" i="11"/>
  <c r="AG3" i="12"/>
  <c r="AI4" i="12"/>
  <c r="AH4" i="12"/>
  <c r="AF3" i="12"/>
  <c r="J85" i="11"/>
  <c r="J29" i="3" s="1"/>
  <c r="J66" i="3"/>
  <c r="K82" i="11"/>
  <c r="K92" i="11" s="1"/>
  <c r="L58" i="11"/>
  <c r="L62" i="11" s="1"/>
  <c r="L75" i="11"/>
  <c r="L83" i="11" s="1"/>
  <c r="P144" i="3"/>
  <c r="Q140" i="3"/>
  <c r="M81" i="11"/>
  <c r="M47" i="11"/>
  <c r="P36" i="11"/>
  <c r="P37" i="11" s="1"/>
  <c r="Q29" i="11"/>
  <c r="P30" i="11"/>
  <c r="P31" i="11" s="1"/>
  <c r="O42" i="11"/>
  <c r="O38" i="11"/>
  <c r="S11" i="11"/>
  <c r="R34" i="11"/>
  <c r="AG4" i="11"/>
  <c r="AE3" i="11"/>
  <c r="AB3" i="11"/>
  <c r="AD4" i="11"/>
  <c r="AK72" i="5"/>
  <c r="AK11" i="5"/>
  <c r="AK207" i="3" s="1"/>
  <c r="AG17" i="3" l="1"/>
  <c r="AN48" i="5"/>
  <c r="AO44" i="5"/>
  <c r="AN41" i="5"/>
  <c r="AO37" i="5"/>
  <c r="AN34" i="5"/>
  <c r="AN71" i="5" s="1"/>
  <c r="AO30" i="5"/>
  <c r="AP20" i="5"/>
  <c r="AK46" i="15"/>
  <c r="AK87" i="5"/>
  <c r="AL72" i="5"/>
  <c r="AL74" i="5"/>
  <c r="AK76" i="5"/>
  <c r="AK78" i="5" s="1"/>
  <c r="AK83" i="5" s="1"/>
  <c r="AK61" i="11" s="1"/>
  <c r="AM71" i="5"/>
  <c r="AM11" i="5" s="1"/>
  <c r="AM207" i="3" s="1"/>
  <c r="AN7" i="5"/>
  <c r="AN9" i="5" s="1"/>
  <c r="AN10" i="5" s="1"/>
  <c r="J89" i="11"/>
  <c r="J90" i="11" s="1"/>
  <c r="AG85" i="5"/>
  <c r="AH12" i="5"/>
  <c r="AH206" i="3" s="1"/>
  <c r="AH81" i="5"/>
  <c r="AH17" i="3" s="1"/>
  <c r="AI80" i="5"/>
  <c r="AI83" i="5"/>
  <c r="AI61" i="11" s="1"/>
  <c r="AJ78" i="5"/>
  <c r="AD4" i="3"/>
  <c r="AF4" i="3" s="1"/>
  <c r="AH4" i="3" s="1"/>
  <c r="AJ4" i="3" s="1"/>
  <c r="AL4" i="3" s="1"/>
  <c r="AN4" i="3" s="1"/>
  <c r="I31" i="3"/>
  <c r="AL73" i="11"/>
  <c r="AM70" i="11" s="1"/>
  <c r="AM73" i="11" s="1"/>
  <c r="AI3" i="12"/>
  <c r="AK4" i="12"/>
  <c r="AH3" i="12"/>
  <c r="AJ4" i="12"/>
  <c r="J112" i="3"/>
  <c r="J31" i="3"/>
  <c r="J47" i="3" s="1"/>
  <c r="K66" i="3"/>
  <c r="K85" i="11"/>
  <c r="K29" i="3" s="1"/>
  <c r="L82" i="11"/>
  <c r="L92" i="11" s="1"/>
  <c r="M58" i="11"/>
  <c r="M62" i="11" s="1"/>
  <c r="M83" i="11"/>
  <c r="N81" i="11"/>
  <c r="N47" i="11"/>
  <c r="Q36" i="11"/>
  <c r="Q37" i="11" s="1"/>
  <c r="R29" i="11"/>
  <c r="Q30" i="11"/>
  <c r="Q31" i="11" s="1"/>
  <c r="P42" i="11"/>
  <c r="P38" i="11"/>
  <c r="T11" i="11"/>
  <c r="S34" i="11"/>
  <c r="AD3" i="11"/>
  <c r="AF4" i="11"/>
  <c r="AI4" i="11"/>
  <c r="AG3" i="11"/>
  <c r="AP4" i="3" l="1"/>
  <c r="AH88" i="5"/>
  <c r="AP44" i="5"/>
  <c r="AP48" i="5" s="1"/>
  <c r="AO48" i="5"/>
  <c r="AP37" i="5"/>
  <c r="AP41" i="5" s="1"/>
  <c r="AO41" i="5"/>
  <c r="AP30" i="5"/>
  <c r="AO34" i="5"/>
  <c r="AO7" i="5"/>
  <c r="AO9" i="5" s="1"/>
  <c r="AO205" i="3" s="1"/>
  <c r="AL76" i="5"/>
  <c r="AL78" i="5" s="1"/>
  <c r="AL83" i="5" s="1"/>
  <c r="AL61" i="11" s="1"/>
  <c r="AL87" i="5"/>
  <c r="AG86" i="11"/>
  <c r="AK3" i="12"/>
  <c r="AM4" i="12"/>
  <c r="AM74" i="5"/>
  <c r="AL46" i="15"/>
  <c r="AM72" i="5"/>
  <c r="AT119" i="3"/>
  <c r="AS66" i="3"/>
  <c r="AV10" i="3"/>
  <c r="AS25" i="3"/>
  <c r="AS142" i="3"/>
  <c r="AT127" i="3"/>
  <c r="AU21" i="3"/>
  <c r="AT40" i="3"/>
  <c r="AT35" i="3"/>
  <c r="AU104" i="3"/>
  <c r="AU142" i="3"/>
  <c r="AS128" i="3"/>
  <c r="AT122" i="3"/>
  <c r="AT62" i="3"/>
  <c r="AV129" i="3"/>
  <c r="AS18" i="3"/>
  <c r="AS29" i="3"/>
  <c r="AS122" i="3"/>
  <c r="AU117" i="3"/>
  <c r="AS96" i="3"/>
  <c r="AS57" i="3"/>
  <c r="AV12" i="3"/>
  <c r="AU49" i="3"/>
  <c r="AV118" i="3"/>
  <c r="AN11" i="5"/>
  <c r="AN207" i="3" s="1"/>
  <c r="AN72" i="5"/>
  <c r="AN8" i="5"/>
  <c r="AN205" i="3"/>
  <c r="AS11" i="3"/>
  <c r="AM74" i="11"/>
  <c r="AM76" i="11" s="1"/>
  <c r="AM83" i="11" s="1"/>
  <c r="AN70" i="11"/>
  <c r="AN73" i="11" s="1"/>
  <c r="AS104" i="3"/>
  <c r="AU121" i="3"/>
  <c r="AV120" i="3"/>
  <c r="AU133" i="3"/>
  <c r="AU215" i="3" s="1"/>
  <c r="AL74" i="11"/>
  <c r="AU25" i="3"/>
  <c r="AH85" i="5"/>
  <c r="AH82" i="5"/>
  <c r="AH86" i="11" s="1"/>
  <c r="AI12" i="5"/>
  <c r="AI206" i="3" s="1"/>
  <c r="AI81" i="5"/>
  <c r="AI17" i="3" s="1"/>
  <c r="AJ80" i="5"/>
  <c r="AU123" i="3"/>
  <c r="AU128" i="3"/>
  <c r="AJ83" i="5"/>
  <c r="AJ61" i="11" s="1"/>
  <c r="I60" i="3"/>
  <c r="I63" i="3" s="1"/>
  <c r="I46" i="3"/>
  <c r="I47" i="3"/>
  <c r="I39" i="3"/>
  <c r="I36" i="3"/>
  <c r="I48" i="3" s="1"/>
  <c r="I113" i="3"/>
  <c r="AU205" i="3"/>
  <c r="AV205" i="3"/>
  <c r="AU207" i="3"/>
  <c r="AV207" i="3"/>
  <c r="AU127" i="3"/>
  <c r="AS130" i="3"/>
  <c r="AS120" i="3"/>
  <c r="AU120" i="3"/>
  <c r="AU24" i="3"/>
  <c r="AV49" i="3"/>
  <c r="AT25" i="3"/>
  <c r="AU40" i="3"/>
  <c r="AS102" i="3"/>
  <c r="AS124" i="3"/>
  <c r="AT13" i="3"/>
  <c r="AS49" i="3"/>
  <c r="AT57" i="3"/>
  <c r="AT97" i="3"/>
  <c r="AV97" i="3"/>
  <c r="AV104" i="3"/>
  <c r="AT142" i="3"/>
  <c r="AV134" i="3"/>
  <c r="AV123" i="3"/>
  <c r="AU30" i="3"/>
  <c r="AT102" i="3"/>
  <c r="AU17" i="3"/>
  <c r="AT124" i="3"/>
  <c r="AU119" i="3"/>
  <c r="AS59" i="3"/>
  <c r="AV21" i="3"/>
  <c r="AT137" i="3"/>
  <c r="AU97" i="3"/>
  <c r="AU59" i="3"/>
  <c r="AV59" i="3"/>
  <c r="AS26" i="3"/>
  <c r="AV124" i="3"/>
  <c r="AU14" i="3"/>
  <c r="AS35" i="3"/>
  <c r="AS137" i="3"/>
  <c r="AV122" i="3"/>
  <c r="AT58" i="3"/>
  <c r="AT49" i="3"/>
  <c r="AT135" i="3"/>
  <c r="AS118" i="3"/>
  <c r="AS10" i="3"/>
  <c r="AS40" i="3"/>
  <c r="AV14" i="3"/>
  <c r="AT19" i="3"/>
  <c r="AV62" i="3"/>
  <c r="AU34" i="3"/>
  <c r="AU130" i="3"/>
  <c r="AU136" i="3"/>
  <c r="AS103" i="3"/>
  <c r="AV17" i="3"/>
  <c r="AT121" i="3"/>
  <c r="AS17" i="3"/>
  <c r="AT10" i="3"/>
  <c r="AU124" i="3"/>
  <c r="AS134" i="3"/>
  <c r="AT117" i="3"/>
  <c r="AV24" i="3"/>
  <c r="AS20" i="3"/>
  <c r="AU12" i="3"/>
  <c r="AU57" i="3"/>
  <c r="AS129" i="3"/>
  <c r="AS62" i="3"/>
  <c r="AS119" i="3"/>
  <c r="AT120" i="3"/>
  <c r="AT133" i="3"/>
  <c r="AS121" i="3"/>
  <c r="AV103" i="3"/>
  <c r="AV214" i="3" s="1"/>
  <c r="AT128" i="3"/>
  <c r="AU96" i="3"/>
  <c r="AU62" i="3"/>
  <c r="AT24" i="3"/>
  <c r="AS30" i="3"/>
  <c r="AS135" i="3"/>
  <c r="AT34" i="3"/>
  <c r="AT136" i="3"/>
  <c r="AT11" i="3"/>
  <c r="AS9" i="3"/>
  <c r="AU10" i="3"/>
  <c r="AU102" i="3"/>
  <c r="AU13" i="3"/>
  <c r="AU137" i="3"/>
  <c r="AV18" i="3"/>
  <c r="AS58" i="3"/>
  <c r="AT12" i="3"/>
  <c r="AU26" i="3"/>
  <c r="AT26" i="3"/>
  <c r="AS97" i="3"/>
  <c r="AU11" i="3"/>
  <c r="AU35" i="3"/>
  <c r="AT30" i="3"/>
  <c r="AS13" i="3"/>
  <c r="AS12" i="3"/>
  <c r="AU118" i="3"/>
  <c r="AV13" i="3"/>
  <c r="AT118" i="3"/>
  <c r="AS21" i="3"/>
  <c r="AT9" i="3"/>
  <c r="AS136" i="3"/>
  <c r="AS117" i="3"/>
  <c r="AT18" i="3"/>
  <c r="AT130" i="3"/>
  <c r="AV20" i="3"/>
  <c r="AT129" i="3"/>
  <c r="AU122" i="3"/>
  <c r="AT134" i="3"/>
  <c r="AV121" i="3"/>
  <c r="AU134" i="3"/>
  <c r="AV26" i="3"/>
  <c r="AV119" i="3"/>
  <c r="AS123" i="3"/>
  <c r="AT21" i="3"/>
  <c r="AU135" i="3"/>
  <c r="AS34" i="3"/>
  <c r="AS14" i="3"/>
  <c r="AU18" i="3"/>
  <c r="AT123" i="3"/>
  <c r="AS24" i="3"/>
  <c r="AV19" i="3"/>
  <c r="AV58" i="3"/>
  <c r="AS127" i="3"/>
  <c r="AT103" i="3"/>
  <c r="AT214" i="3" s="1"/>
  <c r="AS133" i="3"/>
  <c r="AV128" i="3"/>
  <c r="AV25" i="3"/>
  <c r="AV136" i="3"/>
  <c r="AV130" i="3"/>
  <c r="AT20" i="3"/>
  <c r="AU20" i="3"/>
  <c r="AU19" i="3"/>
  <c r="AV135" i="3"/>
  <c r="AU58" i="3"/>
  <c r="AV11" i="3"/>
  <c r="AU103" i="3"/>
  <c r="AU214" i="3" s="1"/>
  <c r="AU9" i="3"/>
  <c r="AT14" i="3"/>
  <c r="AS19" i="3"/>
  <c r="AT59" i="3"/>
  <c r="AT17" i="3"/>
  <c r="AT104" i="3"/>
  <c r="AU129" i="3"/>
  <c r="AV137" i="3"/>
  <c r="AL4" i="12"/>
  <c r="AJ3" i="12"/>
  <c r="L85" i="11"/>
  <c r="L29" i="3" s="1"/>
  <c r="AT29" i="3" s="1"/>
  <c r="L66" i="3"/>
  <c r="AT66" i="3" s="1"/>
  <c r="J36" i="3"/>
  <c r="J60" i="3"/>
  <c r="J63" i="3" s="1"/>
  <c r="J46" i="3"/>
  <c r="J39" i="3"/>
  <c r="J113" i="3"/>
  <c r="K89" i="11"/>
  <c r="K112" i="3"/>
  <c r="K31" i="3"/>
  <c r="K47" i="3" s="1"/>
  <c r="M82" i="11"/>
  <c r="M92" i="11" s="1"/>
  <c r="N58" i="11"/>
  <c r="N62" i="11" s="1"/>
  <c r="N83" i="11"/>
  <c r="O81" i="11"/>
  <c r="O47" i="11"/>
  <c r="R36" i="11"/>
  <c r="R37" i="11" s="1"/>
  <c r="R30" i="11"/>
  <c r="R31" i="11" s="1"/>
  <c r="Q42" i="11"/>
  <c r="Q38" i="11"/>
  <c r="T34" i="11"/>
  <c r="U11" i="11"/>
  <c r="AF3" i="11"/>
  <c r="AH4" i="11"/>
  <c r="AK4" i="11"/>
  <c r="AI3" i="11"/>
  <c r="AT96" i="3" l="1"/>
  <c r="AV57" i="3"/>
  <c r="AO71" i="5"/>
  <c r="AO72" i="5" s="1"/>
  <c r="AK3" i="11"/>
  <c r="AM4" i="11"/>
  <c r="AM3" i="12"/>
  <c r="AO4" i="12"/>
  <c r="AO3" i="12" s="1"/>
  <c r="AN74" i="11"/>
  <c r="AN76" i="11" s="1"/>
  <c r="AN83" i="11" s="1"/>
  <c r="AO70" i="11"/>
  <c r="AO73" i="11" s="1"/>
  <c r="AP34" i="5"/>
  <c r="AP71" i="5" s="1"/>
  <c r="AP7" i="5"/>
  <c r="AN74" i="5"/>
  <c r="AN87" i="5" s="1"/>
  <c r="AM87" i="5"/>
  <c r="AL3" i="12"/>
  <c r="AN4" i="12"/>
  <c r="AM76" i="5"/>
  <c r="AM78" i="5" s="1"/>
  <c r="AM46" i="15"/>
  <c r="AU54" i="3"/>
  <c r="AV54" i="3"/>
  <c r="I43" i="3"/>
  <c r="I67" i="3"/>
  <c r="I42" i="3"/>
  <c r="I14" i="11" s="1"/>
  <c r="I20" i="11" s="1"/>
  <c r="I41" i="11" s="1"/>
  <c r="I43" i="11" s="1"/>
  <c r="I45" i="11" s="1"/>
  <c r="AS63" i="3"/>
  <c r="AI85" i="5"/>
  <c r="AI82" i="5"/>
  <c r="AJ12" i="5"/>
  <c r="AJ206" i="3" s="1"/>
  <c r="AJ81" i="5"/>
  <c r="AJ17" i="3" s="1"/>
  <c r="AK80" i="5"/>
  <c r="AS131" i="3"/>
  <c r="AU125" i="3"/>
  <c r="AU138" i="3"/>
  <c r="AT131" i="3"/>
  <c r="AV22" i="3"/>
  <c r="AS125" i="3"/>
  <c r="AU22" i="3"/>
  <c r="AT22" i="3"/>
  <c r="AU15" i="3"/>
  <c r="AS15" i="3"/>
  <c r="AS138" i="3"/>
  <c r="AT215" i="3"/>
  <c r="AT138" i="3"/>
  <c r="AT15" i="3"/>
  <c r="AT125" i="3"/>
  <c r="AS22" i="3"/>
  <c r="AU131" i="3"/>
  <c r="L89" i="11"/>
  <c r="L90" i="11" s="1"/>
  <c r="J48" i="3"/>
  <c r="J43" i="3"/>
  <c r="J42" i="3"/>
  <c r="J67" i="3"/>
  <c r="L112" i="3"/>
  <c r="L31" i="3"/>
  <c r="L47" i="3" s="1"/>
  <c r="M66" i="3"/>
  <c r="M85" i="11"/>
  <c r="M89" i="11" s="1"/>
  <c r="K60" i="3"/>
  <c r="K63" i="3" s="1"/>
  <c r="K39" i="3"/>
  <c r="K46" i="3"/>
  <c r="K36" i="3"/>
  <c r="K113" i="3"/>
  <c r="N82" i="11"/>
  <c r="N92" i="11" s="1"/>
  <c r="O58" i="11"/>
  <c r="O62" i="11" s="1"/>
  <c r="O83" i="11"/>
  <c r="P81" i="11"/>
  <c r="P47" i="11"/>
  <c r="S36" i="11"/>
  <c r="S37" i="11" s="1"/>
  <c r="S30" i="11"/>
  <c r="S31" i="11" s="1"/>
  <c r="R42" i="11"/>
  <c r="R38" i="11"/>
  <c r="U34" i="11"/>
  <c r="V11" i="11"/>
  <c r="AJ4" i="11"/>
  <c r="AH3" i="11"/>
  <c r="AO11" i="5" l="1"/>
  <c r="AO207" i="3" s="1"/>
  <c r="AM3" i="11"/>
  <c r="AO4" i="11"/>
  <c r="AO3" i="11" s="1"/>
  <c r="AN3" i="12"/>
  <c r="AP4" i="12"/>
  <c r="AP3" i="12" s="1"/>
  <c r="AO74" i="5"/>
  <c r="AO87" i="5" s="1"/>
  <c r="AN46" i="15"/>
  <c r="AP70" i="11"/>
  <c r="AP73" i="11" s="1"/>
  <c r="AP74" i="11" s="1"/>
  <c r="AP76" i="11" s="1"/>
  <c r="AP83" i="11" s="1"/>
  <c r="AO74" i="11"/>
  <c r="AO76" i="11" s="1"/>
  <c r="AO83" i="11" s="1"/>
  <c r="AN76" i="5"/>
  <c r="AN78" i="5" s="1"/>
  <c r="AP9" i="5"/>
  <c r="AP8" i="5"/>
  <c r="AP11" i="5"/>
  <c r="AP207" i="3" s="1"/>
  <c r="AP72" i="5"/>
  <c r="AI86" i="11"/>
  <c r="AM83" i="5"/>
  <c r="AM61" i="11" s="1"/>
  <c r="AL80" i="5"/>
  <c r="AL12" i="5" s="1"/>
  <c r="AL206" i="3" s="1"/>
  <c r="AJ85" i="5"/>
  <c r="AJ82" i="5"/>
  <c r="AJ86" i="11" s="1"/>
  <c r="AK12" i="5"/>
  <c r="AK206" i="3" s="1"/>
  <c r="AK81" i="5"/>
  <c r="AK17" i="3" s="1"/>
  <c r="AU27" i="3"/>
  <c r="AT27" i="3"/>
  <c r="AT31" i="3" s="1"/>
  <c r="AT60" i="3" s="1"/>
  <c r="AS27" i="3"/>
  <c r="M29" i="3"/>
  <c r="M112" i="3" s="1"/>
  <c r="J14" i="11"/>
  <c r="J20" i="11" s="1"/>
  <c r="J41" i="11" s="1"/>
  <c r="J43" i="11" s="1"/>
  <c r="J45" i="11" s="1"/>
  <c r="AS42" i="3"/>
  <c r="L46" i="3"/>
  <c r="L60" i="3"/>
  <c r="L63" i="3" s="1"/>
  <c r="AT63" i="3" s="1"/>
  <c r="L36" i="3"/>
  <c r="L39" i="3"/>
  <c r="L113" i="3"/>
  <c r="N66" i="3"/>
  <c r="AU66" i="3" s="1"/>
  <c r="N85" i="11"/>
  <c r="N29" i="3" s="1"/>
  <c r="K42" i="3"/>
  <c r="K43" i="3"/>
  <c r="K48" i="3"/>
  <c r="K67" i="3"/>
  <c r="O82" i="11"/>
  <c r="O92" i="11" s="1"/>
  <c r="P58" i="11"/>
  <c r="P62" i="11" s="1"/>
  <c r="P83" i="11"/>
  <c r="S42" i="11"/>
  <c r="S38" i="11"/>
  <c r="T36" i="11"/>
  <c r="T37" i="11" s="1"/>
  <c r="T30" i="11"/>
  <c r="T31" i="11" s="1"/>
  <c r="W11" i="11"/>
  <c r="V34" i="11"/>
  <c r="AJ3" i="11"/>
  <c r="AL4" i="11"/>
  <c r="AO76" i="5" l="1"/>
  <c r="AO78" i="5" s="1"/>
  <c r="AO83" i="5" s="1"/>
  <c r="AO61" i="11" s="1"/>
  <c r="N89" i="11"/>
  <c r="N90" i="11" s="1"/>
  <c r="AO46" i="15"/>
  <c r="AL3" i="11"/>
  <c r="AN4" i="11"/>
  <c r="AP74" i="5"/>
  <c r="AP87" i="5" s="1"/>
  <c r="AN83" i="5"/>
  <c r="AN61" i="11" s="1"/>
  <c r="AP205" i="3"/>
  <c r="AP10" i="5"/>
  <c r="AL81" i="5"/>
  <c r="AL17" i="3" s="1"/>
  <c r="AM80" i="5"/>
  <c r="AK82" i="5"/>
  <c r="AK85" i="5"/>
  <c r="AT112" i="3"/>
  <c r="AT64" i="3"/>
  <c r="AT46" i="3"/>
  <c r="AT113" i="3"/>
  <c r="AT36" i="3"/>
  <c r="AT67" i="3" s="1"/>
  <c r="AT39" i="3"/>
  <c r="AT213" i="3"/>
  <c r="AT216" i="3" s="1"/>
  <c r="AT47" i="3"/>
  <c r="AS112" i="3"/>
  <c r="AS31" i="3"/>
  <c r="M31" i="3"/>
  <c r="M113" i="3" s="1"/>
  <c r="K14" i="11"/>
  <c r="K20" i="11" s="1"/>
  <c r="K41" i="11" s="1"/>
  <c r="K43" i="11" s="1"/>
  <c r="K45" i="11" s="1"/>
  <c r="AU29" i="3"/>
  <c r="N112" i="3"/>
  <c r="N31" i="3"/>
  <c r="N47" i="3" s="1"/>
  <c r="L43" i="3"/>
  <c r="L42" i="3"/>
  <c r="L14" i="11" s="1"/>
  <c r="L20" i="11" s="1"/>
  <c r="L41" i="11" s="1"/>
  <c r="L43" i="11" s="1"/>
  <c r="L45" i="11" s="1"/>
  <c r="L67" i="3"/>
  <c r="L48" i="3"/>
  <c r="O66" i="3"/>
  <c r="O85" i="11"/>
  <c r="O89" i="11" s="1"/>
  <c r="O29" i="3"/>
  <c r="P82" i="11"/>
  <c r="P92" i="11" s="1"/>
  <c r="Q58" i="11"/>
  <c r="Q62" i="11" s="1"/>
  <c r="T42" i="11"/>
  <c r="T38" i="11"/>
  <c r="U36" i="11"/>
  <c r="U37" i="11" s="1"/>
  <c r="U30" i="11"/>
  <c r="U31" i="11" s="1"/>
  <c r="X11" i="11"/>
  <c r="W34" i="11"/>
  <c r="AP76" i="5" l="1"/>
  <c r="AP46" i="15"/>
  <c r="AN3" i="11"/>
  <c r="AP4" i="11"/>
  <c r="AP3" i="11" s="1"/>
  <c r="AL85" i="5"/>
  <c r="AL82" i="5"/>
  <c r="AL86" i="11" s="1"/>
  <c r="AN80" i="5"/>
  <c r="AN81" i="5" s="1"/>
  <c r="AN17" i="3" s="1"/>
  <c r="AP78" i="5"/>
  <c r="AK86" i="11"/>
  <c r="AM12" i="5"/>
  <c r="AM206" i="3" s="1"/>
  <c r="AM81" i="5"/>
  <c r="AM17" i="3" s="1"/>
  <c r="AT43" i="3"/>
  <c r="M39" i="3"/>
  <c r="M47" i="3"/>
  <c r="M60" i="3"/>
  <c r="M63" i="3" s="1"/>
  <c r="M46" i="3"/>
  <c r="AT48" i="3"/>
  <c r="AS39" i="3"/>
  <c r="AS60" i="3"/>
  <c r="AS64" i="3"/>
  <c r="AS36" i="3"/>
  <c r="AS113" i="3"/>
  <c r="M36" i="3"/>
  <c r="M43" i="3" s="1"/>
  <c r="AU112" i="3"/>
  <c r="AU31" i="3"/>
  <c r="AT42" i="3"/>
  <c r="O112" i="3"/>
  <c r="O31" i="3"/>
  <c r="O47" i="3" s="1"/>
  <c r="N60" i="3"/>
  <c r="N63" i="3" s="1"/>
  <c r="N36" i="3"/>
  <c r="N46" i="3"/>
  <c r="N39" i="3"/>
  <c r="N113" i="3"/>
  <c r="P66" i="3"/>
  <c r="AV66" i="3" s="1"/>
  <c r="P85" i="11"/>
  <c r="V36" i="11"/>
  <c r="V37" i="11" s="1"/>
  <c r="V30" i="11"/>
  <c r="V31" i="11" s="1"/>
  <c r="U42" i="11"/>
  <c r="U38" i="11"/>
  <c r="X34" i="11"/>
  <c r="Y11" i="11"/>
  <c r="AN12" i="5" l="1"/>
  <c r="AN206" i="3" s="1"/>
  <c r="AP80" i="5"/>
  <c r="AO80" i="5"/>
  <c r="AP83" i="5"/>
  <c r="AP61" i="11" s="1"/>
  <c r="AN85" i="5"/>
  <c r="AN82" i="5"/>
  <c r="AN86" i="11" s="1"/>
  <c r="AM85" i="5"/>
  <c r="AM82" i="5"/>
  <c r="M67" i="3"/>
  <c r="AU63" i="3"/>
  <c r="AU64" i="3" s="1"/>
  <c r="M42" i="3"/>
  <c r="M14" i="11" s="1"/>
  <c r="M20" i="11" s="1"/>
  <c r="M41" i="11" s="1"/>
  <c r="M43" i="11" s="1"/>
  <c r="M45" i="11" s="1"/>
  <c r="M48" i="3"/>
  <c r="AU213" i="3"/>
  <c r="AU216" i="3" s="1"/>
  <c r="AU47" i="3"/>
  <c r="AU52" i="3" s="1"/>
  <c r="AS43" i="3"/>
  <c r="AS67" i="3"/>
  <c r="AU36" i="3"/>
  <c r="AU39" i="3"/>
  <c r="AU113" i="3"/>
  <c r="AU46" i="3"/>
  <c r="AU51" i="3" s="1"/>
  <c r="AU60" i="3"/>
  <c r="N48" i="3"/>
  <c r="N42" i="3"/>
  <c r="N14" i="11" s="1"/>
  <c r="N20" i="11" s="1"/>
  <c r="N41" i="11" s="1"/>
  <c r="N43" i="11" s="1"/>
  <c r="N45" i="11" s="1"/>
  <c r="N43" i="3"/>
  <c r="N67" i="3"/>
  <c r="O46" i="3"/>
  <c r="O36" i="3"/>
  <c r="O60" i="3"/>
  <c r="O63" i="3" s="1"/>
  <c r="O39" i="3"/>
  <c r="O113" i="3"/>
  <c r="P29" i="3"/>
  <c r="P89" i="11"/>
  <c r="P90" i="11" s="1"/>
  <c r="W36" i="11"/>
  <c r="W37" i="11" s="1"/>
  <c r="W30" i="11"/>
  <c r="W31" i="11" s="1"/>
  <c r="V42" i="11"/>
  <c r="V38" i="11"/>
  <c r="Z11" i="11"/>
  <c r="Y34" i="11"/>
  <c r="AO12" i="5" l="1"/>
  <c r="AO206" i="3" s="1"/>
  <c r="AO81" i="5"/>
  <c r="AO17" i="3" s="1"/>
  <c r="AP12" i="5"/>
  <c r="AP206" i="3" s="1"/>
  <c r="AP81" i="5"/>
  <c r="AP17" i="3" s="1"/>
  <c r="AM86" i="11"/>
  <c r="AU42" i="3"/>
  <c r="AU43" i="3"/>
  <c r="AU48" i="3"/>
  <c r="AU53" i="3" s="1"/>
  <c r="AU67" i="3"/>
  <c r="P112" i="3"/>
  <c r="P31" i="3"/>
  <c r="P47" i="3" s="1"/>
  <c r="O48" i="3"/>
  <c r="O67" i="3"/>
  <c r="O42" i="3"/>
  <c r="O14" i="11" s="1"/>
  <c r="O20" i="11" s="1"/>
  <c r="O41" i="11" s="1"/>
  <c r="O43" i="11" s="1"/>
  <c r="O45" i="11" s="1"/>
  <c r="O43" i="3"/>
  <c r="X36" i="11"/>
  <c r="X37" i="11" s="1"/>
  <c r="X30" i="11"/>
  <c r="X31" i="11" s="1"/>
  <c r="W42" i="11"/>
  <c r="W38" i="11"/>
  <c r="AA11" i="11"/>
  <c r="Z34" i="11"/>
  <c r="AP85" i="5" l="1"/>
  <c r="AP82" i="5"/>
  <c r="AP86" i="11" s="1"/>
  <c r="AO85" i="5"/>
  <c r="AO82" i="5"/>
  <c r="AO86" i="11" s="1"/>
  <c r="P36" i="3"/>
  <c r="P60" i="3"/>
  <c r="P63" i="3" s="1"/>
  <c r="AV63" i="3" s="1"/>
  <c r="P46" i="3"/>
  <c r="P39" i="3"/>
  <c r="P113" i="3"/>
  <c r="Y36" i="11"/>
  <c r="Y37" i="11" s="1"/>
  <c r="Y30" i="11"/>
  <c r="Y31" i="11" s="1"/>
  <c r="X42" i="11"/>
  <c r="X38" i="11"/>
  <c r="AB11" i="11"/>
  <c r="AA34" i="11"/>
  <c r="P48" i="3" l="1"/>
  <c r="P43" i="3"/>
  <c r="P42" i="3"/>
  <c r="P14" i="11" s="1"/>
  <c r="P20" i="11" s="1"/>
  <c r="P41" i="11" s="1"/>
  <c r="P43" i="11" s="1"/>
  <c r="P45" i="11" s="1"/>
  <c r="P67" i="3"/>
  <c r="Z36" i="11"/>
  <c r="Z37" i="11" s="1"/>
  <c r="Z30" i="11"/>
  <c r="Z31" i="11" s="1"/>
  <c r="Y42" i="11"/>
  <c r="Y38" i="11"/>
  <c r="AB34" i="11"/>
  <c r="AA36" i="11" l="1"/>
  <c r="AA37" i="11" s="1"/>
  <c r="AA30" i="11"/>
  <c r="AA31" i="11" s="1"/>
  <c r="Z42" i="11"/>
  <c r="Z38" i="11"/>
  <c r="AB36" i="11" l="1"/>
  <c r="AB37" i="11" s="1"/>
  <c r="AB30" i="11"/>
  <c r="AB31" i="11" s="1"/>
  <c r="AA42" i="11"/>
  <c r="AA38" i="11"/>
  <c r="AC36" i="11" l="1"/>
  <c r="AC37" i="11" s="1"/>
  <c r="AC30" i="11"/>
  <c r="AC31" i="11" s="1"/>
  <c r="AB42" i="11"/>
  <c r="AB38" i="11"/>
  <c r="AD36" i="11" l="1"/>
  <c r="AD37" i="11" s="1"/>
  <c r="AD30" i="11"/>
  <c r="AD31" i="11" s="1"/>
  <c r="AC42" i="11"/>
  <c r="AE37" i="11" l="1"/>
  <c r="AF29" i="11"/>
  <c r="AE30" i="11"/>
  <c r="AE31" i="11" s="1"/>
  <c r="AD42" i="11"/>
  <c r="AE42" i="11" l="1"/>
  <c r="AF36" i="11"/>
  <c r="AF37" i="11" s="1"/>
  <c r="AF30" i="11"/>
  <c r="AF31" i="11" s="1"/>
  <c r="AF42" i="11" l="1"/>
  <c r="AG36" i="11"/>
  <c r="AG37" i="11" s="1"/>
  <c r="AH29" i="11"/>
  <c r="AH36" i="11" l="1"/>
  <c r="AH37" i="11" s="1"/>
  <c r="AI29" i="11"/>
  <c r="AG42" i="11"/>
  <c r="AI36" i="11" l="1"/>
  <c r="AI37" i="11" s="1"/>
  <c r="AJ29" i="11"/>
  <c r="AI30" i="11"/>
  <c r="AI31" i="11" s="1"/>
  <c r="AH42" i="11"/>
  <c r="AJ36" i="11" l="1"/>
  <c r="AJ37" i="11" s="1"/>
  <c r="AK29" i="11"/>
  <c r="AJ30" i="11"/>
  <c r="AJ31" i="11" s="1"/>
  <c r="AI42" i="11"/>
  <c r="AK36" i="11" l="1"/>
  <c r="AK37" i="11" s="1"/>
  <c r="AL29" i="11"/>
  <c r="AM29" i="11" s="1"/>
  <c r="AK30" i="11"/>
  <c r="AK31" i="11" s="1"/>
  <c r="AJ42" i="11"/>
  <c r="AM30" i="11" l="1"/>
  <c r="AM31" i="11" s="1"/>
  <c r="AN29" i="11"/>
  <c r="AO29" i="11" s="1"/>
  <c r="AM36" i="11"/>
  <c r="AM37" i="11" s="1"/>
  <c r="AM42" i="11" s="1"/>
  <c r="AL30" i="11"/>
  <c r="AL31" i="11" s="1"/>
  <c r="AL36" i="11"/>
  <c r="AL37" i="11" s="1"/>
  <c r="AK42" i="11"/>
  <c r="AO36" i="11" l="1"/>
  <c r="AO37" i="11" s="1"/>
  <c r="AO42" i="11" s="1"/>
  <c r="AP29" i="11"/>
  <c r="AO30" i="11"/>
  <c r="AO31" i="11" s="1"/>
  <c r="AN36" i="11"/>
  <c r="AN37" i="11" s="1"/>
  <c r="AN42" i="11" s="1"/>
  <c r="AN30" i="11"/>
  <c r="AN31" i="11" s="1"/>
  <c r="AL42" i="11"/>
  <c r="AP36" i="11" l="1"/>
  <c r="AP37" i="11" s="1"/>
  <c r="AP42" i="11" s="1"/>
  <c r="AP30" i="11"/>
  <c r="AP31" i="11" s="1"/>
  <c r="G4" i="5"/>
  <c r="I4" i="5" s="1"/>
  <c r="I3" i="5" s="1"/>
  <c r="Q5" i="5"/>
  <c r="S5" i="5" s="1"/>
  <c r="U5" i="5" s="1"/>
  <c r="W5" i="5" s="1"/>
  <c r="Y5" i="5" s="1"/>
  <c r="AA5" i="5" s="1"/>
  <c r="AC5" i="5" s="1"/>
  <c r="AE5" i="5" s="1"/>
  <c r="AG5" i="5" s="1"/>
  <c r="AI5" i="5" s="1"/>
  <c r="AK5" i="5" s="1"/>
  <c r="AM5" i="5" s="1"/>
  <c r="AO5" i="5" s="1"/>
  <c r="R5" i="5"/>
  <c r="T5" i="5" s="1"/>
  <c r="V5" i="5" s="1"/>
  <c r="X5" i="5" s="1"/>
  <c r="Z5" i="5" s="1"/>
  <c r="AB5" i="5" s="1"/>
  <c r="AD5" i="5" s="1"/>
  <c r="AF5" i="5" s="1"/>
  <c r="AH5" i="5" s="1"/>
  <c r="AJ5" i="5" s="1"/>
  <c r="AL5" i="5" s="1"/>
  <c r="AN5" i="5" s="1"/>
  <c r="AP5" i="5" s="1"/>
  <c r="F4" i="5"/>
  <c r="F3" i="5" s="1"/>
  <c r="F2" i="5"/>
  <c r="G2" i="5" s="1"/>
  <c r="H2" i="5" s="1"/>
  <c r="I2" i="5" s="1"/>
  <c r="J2" i="5" s="1"/>
  <c r="K2" i="5" s="1"/>
  <c r="L2" i="5" s="1"/>
  <c r="M2" i="5" s="1"/>
  <c r="N2" i="5" s="1"/>
  <c r="O2" i="5" s="1"/>
  <c r="P2" i="5" s="1"/>
  <c r="Q2" i="5" s="1"/>
  <c r="R2" i="5" s="1"/>
  <c r="S2" i="5" s="1"/>
  <c r="T2" i="5" s="1"/>
  <c r="U2" i="5" s="1"/>
  <c r="V2" i="5" s="1"/>
  <c r="W2" i="5" s="1"/>
  <c r="X2" i="5" s="1"/>
  <c r="Y2" i="5" s="1"/>
  <c r="Z2" i="5" s="1"/>
  <c r="AA2" i="5" s="1"/>
  <c r="AB2" i="5" s="1"/>
  <c r="AC2" i="5" s="1"/>
  <c r="AD2" i="5" s="1"/>
  <c r="AE2" i="5" s="1"/>
  <c r="AF2" i="5" s="1"/>
  <c r="AG2" i="5" s="1"/>
  <c r="AH2" i="5" s="1"/>
  <c r="AI2" i="5" s="1"/>
  <c r="AJ2" i="5" s="1"/>
  <c r="AK2" i="5" s="1"/>
  <c r="AL2" i="5" s="1"/>
  <c r="AM2" i="5" s="1"/>
  <c r="AN2" i="5" s="1"/>
  <c r="AO2" i="5" s="1"/>
  <c r="AP2" i="5" s="1"/>
  <c r="E3" i="5"/>
  <c r="AA105" i="3"/>
  <c r="AA98" i="3"/>
  <c r="Z105" i="3"/>
  <c r="Z98" i="3"/>
  <c r="G3" i="5" l="1"/>
  <c r="H4" i="5"/>
  <c r="J4" i="5" s="1"/>
  <c r="J3" i="5" s="1"/>
  <c r="K4" i="5"/>
  <c r="K3" i="5" s="1"/>
  <c r="H3" i="5" l="1"/>
  <c r="L4" i="5"/>
  <c r="L3" i="5" s="1"/>
  <c r="M4" i="5"/>
  <c r="M3" i="5" s="1"/>
  <c r="O4" i="5" l="1"/>
  <c r="O3" i="5" s="1"/>
  <c r="N4" i="5"/>
  <c r="N3" i="5" s="1"/>
  <c r="Y105" i="3"/>
  <c r="Y98" i="3"/>
  <c r="Q4" i="5" l="1"/>
  <c r="Q3" i="5" s="1"/>
  <c r="P4" i="5"/>
  <c r="P3" i="5" s="1"/>
  <c r="S4" i="5"/>
  <c r="R4" i="5" l="1"/>
  <c r="R3" i="5" s="1"/>
  <c r="U4" i="5"/>
  <c r="S3" i="5"/>
  <c r="T4" i="5" l="1"/>
  <c r="T3" i="5" s="1"/>
  <c r="W4" i="5"/>
  <c r="U3" i="5"/>
  <c r="X105" i="3"/>
  <c r="X98" i="3"/>
  <c r="V4" i="5" l="1"/>
  <c r="V3" i="5" s="1"/>
  <c r="Y4" i="5"/>
  <c r="W3" i="5"/>
  <c r="Z40" i="3"/>
  <c r="Z81" i="3" s="1"/>
  <c r="Z83" i="3" s="1"/>
  <c r="X4" i="5" l="1"/>
  <c r="X3" i="5" s="1"/>
  <c r="AA4" i="5"/>
  <c r="Y3" i="5"/>
  <c r="Q15" i="3"/>
  <c r="Q27" i="3" s="1"/>
  <c r="A1" i="5"/>
  <c r="W149" i="3"/>
  <c r="W162" i="3"/>
  <c r="U162" i="3"/>
  <c r="S162" i="3"/>
  <c r="Q162" i="3"/>
  <c r="AY157" i="3"/>
  <c r="AY158" i="3" s="1"/>
  <c r="AX157" i="3"/>
  <c r="AX158" i="3" s="1"/>
  <c r="AW157" i="3"/>
  <c r="AW158" i="3" s="1"/>
  <c r="W157" i="3"/>
  <c r="W158" i="3" s="1"/>
  <c r="U157" i="3"/>
  <c r="U158" i="3" s="1"/>
  <c r="S157" i="3"/>
  <c r="S158" i="3" s="1"/>
  <c r="Q157" i="3"/>
  <c r="Q158" i="3" s="1"/>
  <c r="V157" i="3"/>
  <c r="V158" i="3" s="1"/>
  <c r="T157" i="3"/>
  <c r="T158" i="3" s="1"/>
  <c r="R157" i="3"/>
  <c r="R158" i="3" s="1"/>
  <c r="AJ150" i="3"/>
  <c r="AI150" i="3"/>
  <c r="AF150" i="3"/>
  <c r="AE150" i="3"/>
  <c r="AD150" i="3"/>
  <c r="AC150" i="3"/>
  <c r="AB150" i="3"/>
  <c r="AA150" i="3"/>
  <c r="Z150" i="3"/>
  <c r="Y150" i="3"/>
  <c r="X150" i="3"/>
  <c r="W150" i="3"/>
  <c r="V150" i="3"/>
  <c r="U150" i="3"/>
  <c r="T150" i="3"/>
  <c r="S150" i="3"/>
  <c r="R150" i="3"/>
  <c r="Q150" i="3"/>
  <c r="AJ149" i="3"/>
  <c r="AI149" i="3"/>
  <c r="AH149" i="3"/>
  <c r="AG149" i="3"/>
  <c r="AF149" i="3"/>
  <c r="AE149" i="3"/>
  <c r="AD149" i="3"/>
  <c r="AC149" i="3"/>
  <c r="AB149" i="3"/>
  <c r="AA149" i="3"/>
  <c r="Y149" i="3"/>
  <c r="X149" i="3"/>
  <c r="V149" i="3"/>
  <c r="U149" i="3"/>
  <c r="T149" i="3"/>
  <c r="S149" i="3"/>
  <c r="R149" i="3"/>
  <c r="Q149" i="3"/>
  <c r="AV148" i="3"/>
  <c r="X148" i="3"/>
  <c r="W148" i="3"/>
  <c r="V148" i="3"/>
  <c r="U148" i="3"/>
  <c r="T148" i="3"/>
  <c r="S148" i="3"/>
  <c r="R148" i="3"/>
  <c r="Q148" i="3"/>
  <c r="W141" i="3"/>
  <c r="U141" i="3"/>
  <c r="S141" i="3"/>
  <c r="Q141" i="3"/>
  <c r="Q143" i="3" s="1"/>
  <c r="X162" i="3"/>
  <c r="V162" i="3"/>
  <c r="T162" i="3"/>
  <c r="R162" i="3"/>
  <c r="T96" i="3"/>
  <c r="AJ17" i="11"/>
  <c r="AI17" i="11"/>
  <c r="AH17" i="11"/>
  <c r="AJ16" i="11"/>
  <c r="AI16" i="11"/>
  <c r="AH16" i="11"/>
  <c r="V111" i="3"/>
  <c r="U111" i="3"/>
  <c r="T111" i="3"/>
  <c r="S111" i="3"/>
  <c r="Q111" i="3"/>
  <c r="AD110" i="3"/>
  <c r="AF110" i="3" s="1"/>
  <c r="AH110" i="3" s="1"/>
  <c r="AI110" i="3" s="1"/>
  <c r="AJ110" i="3" s="1"/>
  <c r="AK110" i="3" s="1"/>
  <c r="AL110" i="3" s="1"/>
  <c r="AM110" i="3" s="1"/>
  <c r="AN110" i="3" s="1"/>
  <c r="AO110" i="3" s="1"/>
  <c r="AP110" i="3" s="1"/>
  <c r="V109" i="3"/>
  <c r="U109" i="3"/>
  <c r="T109" i="3"/>
  <c r="S109" i="3"/>
  <c r="Q109" i="3"/>
  <c r="W105" i="3"/>
  <c r="X101" i="3" s="1"/>
  <c r="V105" i="3"/>
  <c r="U105" i="3"/>
  <c r="T105" i="3"/>
  <c r="U101" i="3" s="1"/>
  <c r="S105" i="3"/>
  <c r="T101" i="3" s="1"/>
  <c r="R105" i="3"/>
  <c r="Q105" i="3"/>
  <c r="Q103" i="3"/>
  <c r="W102" i="3"/>
  <c r="U102" i="3"/>
  <c r="S102" i="3"/>
  <c r="Q102" i="3"/>
  <c r="Q101" i="3"/>
  <c r="W98" i="3"/>
  <c r="X95" i="3" s="1"/>
  <c r="V98" i="3"/>
  <c r="U98" i="3"/>
  <c r="T98" i="3"/>
  <c r="U95" i="3" s="1"/>
  <c r="S98" i="3"/>
  <c r="T95" i="3" s="1"/>
  <c r="R98" i="3"/>
  <c r="R95" i="3"/>
  <c r="W96" i="3"/>
  <c r="U96" i="3"/>
  <c r="S96" i="3"/>
  <c r="W90" i="3"/>
  <c r="V90" i="3"/>
  <c r="U90" i="3"/>
  <c r="T90" i="3"/>
  <c r="S90" i="3"/>
  <c r="R90" i="3"/>
  <c r="Q90" i="3"/>
  <c r="W86" i="3"/>
  <c r="V86" i="3"/>
  <c r="U86" i="3"/>
  <c r="U108" i="3" s="1"/>
  <c r="T86" i="3"/>
  <c r="T108" i="3" s="1"/>
  <c r="S86" i="3"/>
  <c r="R86" i="3"/>
  <c r="Q86" i="3"/>
  <c r="R109" i="3"/>
  <c r="AH76" i="3"/>
  <c r="AI76" i="3" s="1"/>
  <c r="AJ76" i="3" s="1"/>
  <c r="AK76" i="3" s="1"/>
  <c r="AL76" i="3" s="1"/>
  <c r="AM76" i="3" s="1"/>
  <c r="AN76" i="3" s="1"/>
  <c r="AO76" i="3" s="1"/>
  <c r="AP76" i="3" s="1"/>
  <c r="V102" i="3"/>
  <c r="T102" i="3"/>
  <c r="V15" i="3"/>
  <c r="V27" i="3" s="1"/>
  <c r="AW5" i="3"/>
  <c r="AX5" i="3" s="1"/>
  <c r="AY5" i="3" s="1"/>
  <c r="AZ5" i="3" s="1"/>
  <c r="BA5" i="3" s="1"/>
  <c r="BB5" i="3" s="1"/>
  <c r="BC5" i="3" s="1"/>
  <c r="BD5" i="3" s="1"/>
  <c r="BE5" i="3" s="1"/>
  <c r="BF5" i="3" s="1"/>
  <c r="BG5" i="3" s="1"/>
  <c r="BH5" i="3" s="1"/>
  <c r="BI5" i="3" s="1"/>
  <c r="AW4" i="3"/>
  <c r="Q165" i="3"/>
  <c r="AW205" i="3" l="1"/>
  <c r="AW207" i="3"/>
  <c r="AX4" i="3"/>
  <c r="AW135" i="3"/>
  <c r="AW124" i="3"/>
  <c r="AW122" i="3"/>
  <c r="AW121" i="3"/>
  <c r="AW137" i="3"/>
  <c r="AW129" i="3"/>
  <c r="AW120" i="3"/>
  <c r="AW123" i="3"/>
  <c r="AW25" i="3"/>
  <c r="AW21" i="3"/>
  <c r="AW12" i="3"/>
  <c r="AW136" i="3"/>
  <c r="AW128" i="3"/>
  <c r="AW59" i="3"/>
  <c r="AW57" i="3"/>
  <c r="AW119" i="3"/>
  <c r="AW24" i="3"/>
  <c r="AW10" i="3"/>
  <c r="AW19" i="3"/>
  <c r="AW14" i="3"/>
  <c r="AW26" i="3"/>
  <c r="AW18" i="3"/>
  <c r="AW13" i="3"/>
  <c r="AW130" i="3"/>
  <c r="AW118" i="3"/>
  <c r="AW58" i="3"/>
  <c r="AW17" i="3"/>
  <c r="AW62" i="3"/>
  <c r="AW134" i="3"/>
  <c r="AW11" i="3"/>
  <c r="AW20" i="3"/>
  <c r="AE131" i="3"/>
  <c r="T97" i="3"/>
  <c r="R140" i="3"/>
  <c r="Q144" i="3"/>
  <c r="R96" i="3"/>
  <c r="R97" i="3" s="1"/>
  <c r="AW97" i="3" s="1"/>
  <c r="W92" i="3"/>
  <c r="U15" i="3"/>
  <c r="U27" i="3" s="1"/>
  <c r="Z4" i="5"/>
  <c r="Z3" i="5" s="1"/>
  <c r="AC4" i="5"/>
  <c r="AA3" i="5"/>
  <c r="S15" i="3"/>
  <c r="S27" i="3" s="1"/>
  <c r="AG131" i="3"/>
  <c r="AH75" i="3"/>
  <c r="AI75" i="3" s="1"/>
  <c r="AJ75" i="3" s="1"/>
  <c r="AK75" i="3" s="1"/>
  <c r="AL75" i="3" s="1"/>
  <c r="AM75" i="3" s="1"/>
  <c r="AN75" i="3" s="1"/>
  <c r="AO75" i="3" s="1"/>
  <c r="AP75" i="3" s="1"/>
  <c r="Q92" i="3"/>
  <c r="V92" i="3"/>
  <c r="U92" i="3"/>
  <c r="Q108" i="3"/>
  <c r="T141" i="3"/>
  <c r="T92" i="3"/>
  <c r="V108" i="3"/>
  <c r="AJ131" i="3"/>
  <c r="R102" i="3"/>
  <c r="U97" i="3"/>
  <c r="V95" i="3"/>
  <c r="V141" i="3"/>
  <c r="R92" i="3"/>
  <c r="R108" i="3"/>
  <c r="Q104" i="3"/>
  <c r="R101" i="3"/>
  <c r="V101" i="3"/>
  <c r="S95" i="3"/>
  <c r="S97" i="3" s="1"/>
  <c r="S101" i="3"/>
  <c r="AF131" i="3"/>
  <c r="X96" i="3"/>
  <c r="X97" i="3" s="1"/>
  <c r="S92" i="3"/>
  <c r="S108" i="3"/>
  <c r="W95" i="3"/>
  <c r="W97" i="3" s="1"/>
  <c r="W101" i="3"/>
  <c r="AI131" i="3"/>
  <c r="Q166" i="3"/>
  <c r="Q174" i="3"/>
  <c r="Q196" i="3"/>
  <c r="Q182" i="3"/>
  <c r="Q189" i="3"/>
  <c r="R111" i="3"/>
  <c r="W108" i="3"/>
  <c r="R141" i="3"/>
  <c r="AH131" i="3"/>
  <c r="AY4" i="3" l="1"/>
  <c r="AY123" i="3" s="1"/>
  <c r="AX207" i="3"/>
  <c r="AX205" i="3"/>
  <c r="AW22" i="3"/>
  <c r="AX137" i="3"/>
  <c r="AX129" i="3"/>
  <c r="AX120" i="3"/>
  <c r="AX97" i="3"/>
  <c r="AX134" i="3"/>
  <c r="AX123" i="3"/>
  <c r="AX119" i="3"/>
  <c r="AX136" i="3"/>
  <c r="AX128" i="3"/>
  <c r="AX59" i="3"/>
  <c r="AX57" i="3"/>
  <c r="AX135" i="3"/>
  <c r="AX124" i="3"/>
  <c r="AX121" i="3"/>
  <c r="AX26" i="3"/>
  <c r="AX24" i="3"/>
  <c r="AX62" i="3"/>
  <c r="AX130" i="3"/>
  <c r="AX58" i="3"/>
  <c r="AX20" i="3"/>
  <c r="AX17" i="3"/>
  <c r="AX11" i="3"/>
  <c r="AX122" i="3"/>
  <c r="AX25" i="3"/>
  <c r="AX12" i="3"/>
  <c r="AX18" i="3"/>
  <c r="AX10" i="3"/>
  <c r="AX19" i="3"/>
  <c r="AX14" i="3"/>
  <c r="AX118" i="3"/>
  <c r="AX21" i="3"/>
  <c r="AX13" i="3"/>
  <c r="R143" i="3"/>
  <c r="R144" i="3" s="1"/>
  <c r="AB4" i="5"/>
  <c r="AB3" i="5" s="1"/>
  <c r="AE4" i="5"/>
  <c r="AC3" i="5"/>
  <c r="V96" i="3"/>
  <c r="V97" i="3" s="1"/>
  <c r="R165" i="3"/>
  <c r="Q155" i="3"/>
  <c r="Y95" i="3"/>
  <c r="Y148" i="3"/>
  <c r="W15" i="3"/>
  <c r="W27" i="3" s="1"/>
  <c r="AW2" i="3"/>
  <c r="AW206" i="3" s="1"/>
  <c r="AY20" i="3" l="1"/>
  <c r="AY59" i="3"/>
  <c r="AY21" i="3"/>
  <c r="AY26" i="3"/>
  <c r="AY97" i="3"/>
  <c r="AY13" i="3"/>
  <c r="AY118" i="3"/>
  <c r="AY19" i="3"/>
  <c r="AY11" i="3"/>
  <c r="AY128" i="3"/>
  <c r="AY17" i="3"/>
  <c r="AY122" i="3"/>
  <c r="AY134" i="3"/>
  <c r="AZ4" i="3"/>
  <c r="AZ130" i="3" s="1"/>
  <c r="AY57" i="3"/>
  <c r="AY58" i="3"/>
  <c r="AY62" i="3"/>
  <c r="AY130" i="3"/>
  <c r="AY24" i="3"/>
  <c r="AY18" i="3"/>
  <c r="AY120" i="3"/>
  <c r="AY121" i="3"/>
  <c r="AY136" i="3"/>
  <c r="AY14" i="3"/>
  <c r="AY12" i="3"/>
  <c r="AY129" i="3"/>
  <c r="AY124" i="3"/>
  <c r="AY119" i="3"/>
  <c r="AY10" i="3"/>
  <c r="AY25" i="3"/>
  <c r="AY137" i="3"/>
  <c r="AY135" i="3"/>
  <c r="AD4" i="5"/>
  <c r="AD3" i="5" s="1"/>
  <c r="AY207" i="3"/>
  <c r="AY205" i="3"/>
  <c r="AX22" i="3"/>
  <c r="AW80" i="3"/>
  <c r="AW76" i="3"/>
  <c r="AW89" i="3"/>
  <c r="AW82" i="3"/>
  <c r="AW73" i="3"/>
  <c r="AW75" i="3"/>
  <c r="AW74" i="3"/>
  <c r="AW72" i="3"/>
  <c r="AW88" i="3"/>
  <c r="AW77" i="3"/>
  <c r="AW71" i="3"/>
  <c r="S140" i="3"/>
  <c r="S143" i="3" s="1"/>
  <c r="S144" i="3" s="1"/>
  <c r="AG4" i="5"/>
  <c r="AE3" i="5"/>
  <c r="Q190" i="3"/>
  <c r="R197" i="3"/>
  <c r="R189" i="3"/>
  <c r="Q197" i="3"/>
  <c r="Q167" i="3"/>
  <c r="R175" i="3"/>
  <c r="Q175" i="3"/>
  <c r="R196" i="3"/>
  <c r="R167" i="3"/>
  <c r="R190" i="3"/>
  <c r="R182" i="3"/>
  <c r="R183" i="3"/>
  <c r="Q183" i="3"/>
  <c r="R174" i="3"/>
  <c r="R166" i="3"/>
  <c r="S165" i="3"/>
  <c r="T15" i="3"/>
  <c r="T27" i="3" s="1"/>
  <c r="R15" i="3"/>
  <c r="R27" i="3" s="1"/>
  <c r="AX2" i="3"/>
  <c r="AX206" i="3" s="1"/>
  <c r="AZ136" i="3" l="1"/>
  <c r="AZ57" i="3"/>
  <c r="AZ58" i="3"/>
  <c r="AZ122" i="3"/>
  <c r="AZ18" i="3"/>
  <c r="AZ123" i="3"/>
  <c r="AZ24" i="3"/>
  <c r="AZ14" i="3"/>
  <c r="AZ97" i="3"/>
  <c r="AZ62" i="3"/>
  <c r="AZ124" i="3"/>
  <c r="AY22" i="3"/>
  <c r="BA4" i="3"/>
  <c r="BA207" i="3" s="1"/>
  <c r="AZ13" i="3"/>
  <c r="AZ10" i="3"/>
  <c r="AZ21" i="3"/>
  <c r="AZ120" i="3"/>
  <c r="AZ135" i="3"/>
  <c r="AZ11" i="3"/>
  <c r="AZ12" i="3"/>
  <c r="AZ25" i="3"/>
  <c r="AZ129" i="3"/>
  <c r="AZ118" i="3"/>
  <c r="AZ207" i="3"/>
  <c r="AZ20" i="3"/>
  <c r="AZ59" i="3"/>
  <c r="AZ119" i="3"/>
  <c r="AZ137" i="3"/>
  <c r="AZ128" i="3"/>
  <c r="AZ205" i="3"/>
  <c r="AZ19" i="3"/>
  <c r="AZ26" i="3"/>
  <c r="AZ17" i="3"/>
  <c r="AZ134" i="3"/>
  <c r="AZ121" i="3"/>
  <c r="AF4" i="5"/>
  <c r="AF3" i="5" s="1"/>
  <c r="BA205" i="3"/>
  <c r="AX89" i="3"/>
  <c r="AX82" i="3"/>
  <c r="AX73" i="3"/>
  <c r="AX88" i="3"/>
  <c r="AX77" i="3"/>
  <c r="AX75" i="3"/>
  <c r="AX74" i="3"/>
  <c r="AX72" i="3"/>
  <c r="AX76" i="3"/>
  <c r="AX71" i="3"/>
  <c r="AX80" i="3"/>
  <c r="BA121" i="3"/>
  <c r="BA137" i="3"/>
  <c r="BA129" i="3"/>
  <c r="BA21" i="3"/>
  <c r="BA12" i="3"/>
  <c r="BA128" i="3"/>
  <c r="BA58" i="3"/>
  <c r="T140" i="3"/>
  <c r="T143" i="3" s="1"/>
  <c r="AI4" i="5"/>
  <c r="AG3" i="5"/>
  <c r="S174" i="3"/>
  <c r="S189" i="3"/>
  <c r="S166" i="3"/>
  <c r="S182" i="3"/>
  <c r="T165" i="3"/>
  <c r="S196" i="3"/>
  <c r="R155" i="3"/>
  <c r="Z148" i="3"/>
  <c r="Z149" i="3" s="1"/>
  <c r="AY2" i="3"/>
  <c r="AY206" i="3" s="1"/>
  <c r="BA14" i="3" l="1"/>
  <c r="BA19" i="3"/>
  <c r="AH4" i="5"/>
  <c r="AH3" i="5" s="1"/>
  <c r="BA10" i="3"/>
  <c r="BA118" i="3"/>
  <c r="BA20" i="3"/>
  <c r="BA11" i="3"/>
  <c r="BA18" i="3"/>
  <c r="BA130" i="3"/>
  <c r="BA25" i="3"/>
  <c r="BA124" i="3"/>
  <c r="BA122" i="3"/>
  <c r="BA136" i="3"/>
  <c r="BA26" i="3"/>
  <c r="BA62" i="3"/>
  <c r="BA123" i="3"/>
  <c r="BA119" i="3"/>
  <c r="BA135" i="3"/>
  <c r="BA134" i="3"/>
  <c r="BA13" i="3"/>
  <c r="BA57" i="3"/>
  <c r="BB4" i="3"/>
  <c r="BB26" i="3" s="1"/>
  <c r="BA17" i="3"/>
  <c r="BA24" i="3"/>
  <c r="BA59" i="3"/>
  <c r="BA120" i="3"/>
  <c r="AZ22" i="3"/>
  <c r="AY88" i="3"/>
  <c r="AY77" i="3"/>
  <c r="AY75" i="3"/>
  <c r="AY74" i="3"/>
  <c r="AY76" i="3"/>
  <c r="AY71" i="3"/>
  <c r="AY89" i="3"/>
  <c r="AY80" i="3"/>
  <c r="AY82" i="3"/>
  <c r="AY72" i="3"/>
  <c r="AY73" i="3"/>
  <c r="BB129" i="3"/>
  <c r="BB14" i="3"/>
  <c r="BB25" i="3"/>
  <c r="BB124" i="3"/>
  <c r="BB19" i="3"/>
  <c r="U140" i="3"/>
  <c r="U143" i="3" s="1"/>
  <c r="V140" i="3" s="1"/>
  <c r="V143" i="3" s="1"/>
  <c r="T144" i="3"/>
  <c r="S155" i="3"/>
  <c r="AI3" i="5"/>
  <c r="AK4" i="5"/>
  <c r="AJ4" i="5"/>
  <c r="S183" i="3"/>
  <c r="T197" i="3"/>
  <c r="T190" i="3"/>
  <c r="T175" i="3"/>
  <c r="T183" i="3"/>
  <c r="S167" i="3"/>
  <c r="T167" i="3"/>
  <c r="S197" i="3"/>
  <c r="T189" i="3"/>
  <c r="T196" i="3"/>
  <c r="U165" i="3"/>
  <c r="S175" i="3"/>
  <c r="T174" i="3"/>
  <c r="T182" i="3"/>
  <c r="S190" i="3"/>
  <c r="T166" i="3"/>
  <c r="X15" i="3"/>
  <c r="X27" i="3" s="1"/>
  <c r="Y15" i="3"/>
  <c r="Y27" i="3" s="1"/>
  <c r="Z15" i="3"/>
  <c r="Z27" i="3" s="1"/>
  <c r="AZ2" i="3"/>
  <c r="AZ206" i="3" s="1"/>
  <c r="AC131" i="3"/>
  <c r="BB17" i="3" l="1"/>
  <c r="BB58" i="3"/>
  <c r="BB128" i="3"/>
  <c r="BB118" i="3"/>
  <c r="BB205" i="3"/>
  <c r="BB12" i="3"/>
  <c r="BB130" i="3"/>
  <c r="BB207" i="3"/>
  <c r="BB62" i="3"/>
  <c r="BB134" i="3"/>
  <c r="BB57" i="3"/>
  <c r="BB59" i="3"/>
  <c r="BA22" i="3"/>
  <c r="AK3" i="5"/>
  <c r="AM4" i="5"/>
  <c r="BB136" i="3"/>
  <c r="BB10" i="3"/>
  <c r="BB137" i="3"/>
  <c r="BB18" i="3"/>
  <c r="BB20" i="3"/>
  <c r="BB21" i="3"/>
  <c r="BB24" i="3"/>
  <c r="BC4" i="3"/>
  <c r="BC24" i="3" s="1"/>
  <c r="BB13" i="3"/>
  <c r="BB11" i="3"/>
  <c r="AZ74" i="3"/>
  <c r="AZ80" i="3"/>
  <c r="AZ76" i="3"/>
  <c r="AZ89" i="3"/>
  <c r="AZ88" i="3"/>
  <c r="AZ77" i="3"/>
  <c r="AZ82" i="3"/>
  <c r="AZ72" i="3"/>
  <c r="AZ75" i="3"/>
  <c r="AZ71" i="3"/>
  <c r="AZ73" i="3"/>
  <c r="V144" i="3"/>
  <c r="U144" i="3"/>
  <c r="AJ3" i="5"/>
  <c r="AL4" i="5"/>
  <c r="U166" i="3"/>
  <c r="V165" i="3"/>
  <c r="U189" i="3"/>
  <c r="U182" i="3"/>
  <c r="U174" i="3"/>
  <c r="U196" i="3"/>
  <c r="T155" i="3"/>
  <c r="BB122" i="3"/>
  <c r="AD131" i="3"/>
  <c r="BB123" i="3"/>
  <c r="AA148" i="3"/>
  <c r="W140" i="3"/>
  <c r="W143" i="3" s="1"/>
  <c r="W144" i="3" s="1"/>
  <c r="BA2" i="3"/>
  <c r="BA206" i="3" s="1"/>
  <c r="BC14" i="3" l="1"/>
  <c r="BC26" i="3"/>
  <c r="AM3" i="5"/>
  <c r="AO4" i="5"/>
  <c r="AO3" i="5" s="1"/>
  <c r="BC11" i="3"/>
  <c r="AL3" i="5"/>
  <c r="AN4" i="5"/>
  <c r="BB22" i="3"/>
  <c r="BC128" i="3"/>
  <c r="BD4" i="3"/>
  <c r="BD25" i="3" s="1"/>
  <c r="BC59" i="3"/>
  <c r="BC124" i="3"/>
  <c r="BC205" i="3"/>
  <c r="BC12" i="3"/>
  <c r="BC21" i="3"/>
  <c r="BC130" i="3"/>
  <c r="BC207" i="3"/>
  <c r="BC129" i="3"/>
  <c r="BC136" i="3"/>
  <c r="BC25" i="3"/>
  <c r="BC20" i="3"/>
  <c r="BC18" i="3"/>
  <c r="BC17" i="3"/>
  <c r="BC137" i="3"/>
  <c r="BC58" i="3"/>
  <c r="BC118" i="3"/>
  <c r="BC19" i="3"/>
  <c r="BC62" i="3"/>
  <c r="BC57" i="3"/>
  <c r="BC10" i="3"/>
  <c r="BC13" i="3"/>
  <c r="BA80" i="3"/>
  <c r="BA76" i="3"/>
  <c r="BA89" i="3"/>
  <c r="BA82" i="3"/>
  <c r="BA73" i="3"/>
  <c r="BA88" i="3"/>
  <c r="BA77" i="3"/>
  <c r="BA72" i="3"/>
  <c r="BA75" i="3"/>
  <c r="BA71" i="3"/>
  <c r="BA74" i="3"/>
  <c r="BA81" i="3"/>
  <c r="BA83" i="3"/>
  <c r="BD62" i="3"/>
  <c r="BD58" i="3"/>
  <c r="BD59" i="3"/>
  <c r="BD26" i="3"/>
  <c r="BD118" i="3"/>
  <c r="BD17" i="3"/>
  <c r="Q81" i="11"/>
  <c r="Q47" i="11"/>
  <c r="U167" i="3"/>
  <c r="V196" i="3"/>
  <c r="V167" i="3"/>
  <c r="V183" i="3"/>
  <c r="V174" i="3"/>
  <c r="V182" i="3"/>
  <c r="U197" i="3"/>
  <c r="V189" i="3"/>
  <c r="V175" i="3"/>
  <c r="U175" i="3"/>
  <c r="V190" i="3"/>
  <c r="U190" i="3"/>
  <c r="V197" i="3"/>
  <c r="U183" i="3"/>
  <c r="V166" i="3"/>
  <c r="W165" i="3"/>
  <c r="U155" i="3"/>
  <c r="AA15" i="3"/>
  <c r="AB15" i="3"/>
  <c r="AB27" i="3" s="1"/>
  <c r="BB2" i="3"/>
  <c r="BB206" i="3" s="1"/>
  <c r="X140" i="3"/>
  <c r="BD14" i="3" l="1"/>
  <c r="BD207" i="3"/>
  <c r="BD124" i="3"/>
  <c r="BD10" i="3"/>
  <c r="BD57" i="3"/>
  <c r="BD128" i="3"/>
  <c r="BD130" i="3"/>
  <c r="BD18" i="3"/>
  <c r="BD13" i="3"/>
  <c r="BD11" i="3"/>
  <c r="BD129" i="3"/>
  <c r="BD205" i="3"/>
  <c r="BD137" i="3"/>
  <c r="BD136" i="3"/>
  <c r="BD24" i="3"/>
  <c r="BD21" i="3"/>
  <c r="BE4" i="3"/>
  <c r="BD19" i="3"/>
  <c r="AN3" i="5"/>
  <c r="AP4" i="5"/>
  <c r="AP3" i="5" s="1"/>
  <c r="BC22" i="3"/>
  <c r="AA27" i="3"/>
  <c r="BE205" i="3"/>
  <c r="BE207" i="3"/>
  <c r="BB73" i="3"/>
  <c r="BB75" i="3"/>
  <c r="BB72" i="3"/>
  <c r="BB80" i="3"/>
  <c r="BB76" i="3"/>
  <c r="BE124" i="3"/>
  <c r="BE137" i="3"/>
  <c r="BE129" i="3"/>
  <c r="BE136" i="3"/>
  <c r="BE128" i="3"/>
  <c r="BE59" i="3"/>
  <c r="BE57" i="3"/>
  <c r="BE24" i="3"/>
  <c r="BE18" i="3"/>
  <c r="BE13" i="3"/>
  <c r="BE58" i="3"/>
  <c r="BE130" i="3"/>
  <c r="BE62" i="3"/>
  <c r="BE118" i="3"/>
  <c r="BE17" i="3"/>
  <c r="Q83" i="11"/>
  <c r="X51" i="11"/>
  <c r="W51" i="11"/>
  <c r="W52" i="11" s="1"/>
  <c r="V155" i="3"/>
  <c r="V52" i="11"/>
  <c r="W196" i="3"/>
  <c r="W174" i="3"/>
  <c r="W189" i="3"/>
  <c r="W166" i="3"/>
  <c r="X165" i="3"/>
  <c r="W182" i="3"/>
  <c r="AB148" i="3"/>
  <c r="W109" i="3"/>
  <c r="W111" i="3"/>
  <c r="BC122" i="3"/>
  <c r="AC15" i="3"/>
  <c r="BC2" i="3"/>
  <c r="BC206" i="3" s="1"/>
  <c r="BE14" i="3" l="1"/>
  <c r="BE26" i="3"/>
  <c r="BE21" i="3"/>
  <c r="BE19" i="3"/>
  <c r="BE25" i="3"/>
  <c r="BF4" i="3"/>
  <c r="BF129" i="3" s="1"/>
  <c r="BE11" i="3"/>
  <c r="BE10" i="3"/>
  <c r="AC27" i="3"/>
  <c r="BF137" i="3"/>
  <c r="BF26" i="3"/>
  <c r="BF25" i="3"/>
  <c r="BC75" i="3"/>
  <c r="BC80" i="3"/>
  <c r="BC73" i="3"/>
  <c r="BC76" i="3"/>
  <c r="BC72" i="3"/>
  <c r="T81" i="11"/>
  <c r="T47" i="11"/>
  <c r="R47" i="11"/>
  <c r="R81" i="11"/>
  <c r="S47" i="11"/>
  <c r="S81" i="11"/>
  <c r="R58" i="11"/>
  <c r="R62" i="11" s="1"/>
  <c r="Q82" i="11"/>
  <c r="Q92" i="11" s="1"/>
  <c r="W155" i="3"/>
  <c r="W183" i="3"/>
  <c r="AY155" i="3" s="1"/>
  <c r="X196" i="3"/>
  <c r="X197" i="3"/>
  <c r="W197" i="3"/>
  <c r="X174" i="3"/>
  <c r="X166" i="3"/>
  <c r="X190" i="3"/>
  <c r="Y165" i="3"/>
  <c r="X175" i="3"/>
  <c r="X182" i="3"/>
  <c r="X183" i="3"/>
  <c r="X189" i="3"/>
  <c r="W175" i="3"/>
  <c r="W190" i="3"/>
  <c r="W167" i="3"/>
  <c r="X167" i="3"/>
  <c r="BC35" i="3"/>
  <c r="AV117" i="3"/>
  <c r="AZ149" i="3"/>
  <c r="AY142" i="3"/>
  <c r="AX35" i="3"/>
  <c r="AY102" i="3"/>
  <c r="AV42" i="3"/>
  <c r="BC150" i="3"/>
  <c r="BD150" i="3"/>
  <c r="BA30" i="3"/>
  <c r="BB34" i="3"/>
  <c r="BA150" i="3"/>
  <c r="BB9" i="3"/>
  <c r="AZ133" i="3"/>
  <c r="AZ215" i="3" s="1"/>
  <c r="AW30" i="3"/>
  <c r="AZ34" i="3"/>
  <c r="AV29" i="3"/>
  <c r="AV35" i="3"/>
  <c r="AX133" i="3"/>
  <c r="AX215" i="3" s="1"/>
  <c r="BA35" i="3"/>
  <c r="AZ127" i="3"/>
  <c r="BC127" i="3"/>
  <c r="BA34" i="3"/>
  <c r="AW35" i="3"/>
  <c r="AV150" i="3"/>
  <c r="AX150" i="3"/>
  <c r="BB150" i="3"/>
  <c r="AY127" i="3"/>
  <c r="AV127" i="3"/>
  <c r="AW117" i="3"/>
  <c r="AY9" i="3"/>
  <c r="AZ9" i="3"/>
  <c r="AX127" i="3"/>
  <c r="AV149" i="3"/>
  <c r="AV40" i="3"/>
  <c r="AW133" i="3"/>
  <c r="AW215" i="3" s="1"/>
  <c r="BD149" i="3"/>
  <c r="AZ30" i="3"/>
  <c r="AW34" i="3"/>
  <c r="AX102" i="3"/>
  <c r="BA149" i="3"/>
  <c r="AY149" i="3"/>
  <c r="BB127" i="3"/>
  <c r="BB35" i="3"/>
  <c r="AV142" i="3"/>
  <c r="AY133" i="3"/>
  <c r="AY215" i="3" s="1"/>
  <c r="AW9" i="3"/>
  <c r="AW142" i="3"/>
  <c r="AX96" i="3"/>
  <c r="BD127" i="3"/>
  <c r="BD142" i="3"/>
  <c r="BB149" i="3"/>
  <c r="AD15" i="3"/>
  <c r="AD27" i="3" s="1"/>
  <c r="AY30" i="3"/>
  <c r="AZ117" i="3"/>
  <c r="AW96" i="3"/>
  <c r="AH80" i="3"/>
  <c r="BE142" i="3"/>
  <c r="AV30" i="3"/>
  <c r="AX117" i="3"/>
  <c r="AW155" i="3"/>
  <c r="BD2" i="3"/>
  <c r="BD206" i="3" s="1"/>
  <c r="BC149" i="3"/>
  <c r="BA127" i="3"/>
  <c r="BB142" i="3"/>
  <c r="AX30" i="3"/>
  <c r="BC9" i="3"/>
  <c r="BF118" i="3" l="1"/>
  <c r="BF58" i="3"/>
  <c r="BF57" i="3"/>
  <c r="BG4" i="3"/>
  <c r="BH4" i="3" s="1"/>
  <c r="BI4" i="3" s="1"/>
  <c r="BF13" i="3"/>
  <c r="BF63" i="3"/>
  <c r="BF207" i="3"/>
  <c r="BF21" i="3"/>
  <c r="BF14" i="3"/>
  <c r="BF128" i="3"/>
  <c r="BF205" i="3"/>
  <c r="BF19" i="3"/>
  <c r="BF62" i="3"/>
  <c r="BF136" i="3"/>
  <c r="BF10" i="3"/>
  <c r="BF130" i="3"/>
  <c r="BF97" i="3"/>
  <c r="BF17" i="3"/>
  <c r="BF11" i="3"/>
  <c r="BF124" i="3"/>
  <c r="BF59" i="3"/>
  <c r="BF18" i="3"/>
  <c r="BF24" i="3"/>
  <c r="BI129" i="3"/>
  <c r="BI127" i="3"/>
  <c r="BI118" i="3"/>
  <c r="BI59" i="3"/>
  <c r="BI57" i="3"/>
  <c r="BI97" i="3"/>
  <c r="BI142" i="3"/>
  <c r="BI19" i="3"/>
  <c r="BI128" i="3"/>
  <c r="BI124" i="3"/>
  <c r="BI150" i="3"/>
  <c r="BI155" i="3"/>
  <c r="BI13" i="3"/>
  <c r="BI34" i="3"/>
  <c r="BI35" i="3"/>
  <c r="BI18" i="3"/>
  <c r="BI21" i="3"/>
  <c r="BI10" i="3"/>
  <c r="BI11" i="3"/>
  <c r="BI62" i="3"/>
  <c r="BI205" i="3"/>
  <c r="BI17" i="3"/>
  <c r="BH155" i="3"/>
  <c r="BH63" i="3"/>
  <c r="BH97" i="3"/>
  <c r="BH136" i="3"/>
  <c r="BH142" i="3"/>
  <c r="BH137" i="3"/>
  <c r="BH24" i="3"/>
  <c r="BH34" i="3"/>
  <c r="BH122" i="3"/>
  <c r="BH149" i="3"/>
  <c r="BH123" i="3"/>
  <c r="BH150" i="3"/>
  <c r="BH35" i="3"/>
  <c r="BH26" i="3"/>
  <c r="BH19" i="3"/>
  <c r="BH21" i="3"/>
  <c r="BH9" i="3"/>
  <c r="BH129" i="3"/>
  <c r="BH11" i="3"/>
  <c r="BH62" i="3"/>
  <c r="BH205" i="3"/>
  <c r="BH17" i="3"/>
  <c r="BG205" i="3"/>
  <c r="BG207" i="3"/>
  <c r="BG97" i="3"/>
  <c r="BG118" i="3"/>
  <c r="BG127" i="3"/>
  <c r="BG136" i="3"/>
  <c r="BG149" i="3"/>
  <c r="BG17" i="3"/>
  <c r="BG21" i="3"/>
  <c r="BG58" i="3"/>
  <c r="BG122" i="3"/>
  <c r="BG128" i="3"/>
  <c r="BG137" i="3"/>
  <c r="BG150" i="3"/>
  <c r="BG9" i="3"/>
  <c r="BG25" i="3"/>
  <c r="BG123" i="3"/>
  <c r="BG11" i="3"/>
  <c r="BG18" i="3"/>
  <c r="BG26" i="3"/>
  <c r="BG130" i="3"/>
  <c r="BG155" i="3"/>
  <c r="BG24" i="3"/>
  <c r="BG62" i="3"/>
  <c r="BG57" i="3"/>
  <c r="BG14" i="3"/>
  <c r="AB40" i="3"/>
  <c r="AB81" i="3" s="1"/>
  <c r="BD80" i="3"/>
  <c r="BD76" i="3"/>
  <c r="BD73" i="3"/>
  <c r="BD75" i="3"/>
  <c r="BD72" i="3"/>
  <c r="BC123" i="3"/>
  <c r="Q66" i="3"/>
  <c r="Q85" i="11"/>
  <c r="Q29" i="3" s="1"/>
  <c r="AB83" i="11"/>
  <c r="R83" i="11"/>
  <c r="T83" i="11"/>
  <c r="S83" i="11"/>
  <c r="AW127" i="3"/>
  <c r="BF127" i="3"/>
  <c r="AX149" i="3"/>
  <c r="BF149" i="3"/>
  <c r="BF150" i="3"/>
  <c r="AY138" i="3"/>
  <c r="BC15" i="3"/>
  <c r="X155" i="3"/>
  <c r="X157" i="3" s="1"/>
  <c r="X158" i="3" s="1"/>
  <c r="Z165" i="3"/>
  <c r="Y196" i="3"/>
  <c r="Y189" i="3"/>
  <c r="Y174" i="3"/>
  <c r="Y182" i="3"/>
  <c r="Y166" i="3"/>
  <c r="AW15" i="3"/>
  <c r="AE15" i="3"/>
  <c r="AI80" i="3"/>
  <c r="BD131" i="3"/>
  <c r="AZ15" i="3"/>
  <c r="BB15" i="3"/>
  <c r="AV125" i="3"/>
  <c r="AY15" i="3"/>
  <c r="AX138" i="3"/>
  <c r="BE2" i="3"/>
  <c r="BE206" i="3" s="1"/>
  <c r="BB131" i="3"/>
  <c r="AX131" i="3"/>
  <c r="AV133" i="3"/>
  <c r="AV215" i="3" s="1"/>
  <c r="AW150" i="3"/>
  <c r="AV9" i="3"/>
  <c r="AY150" i="3"/>
  <c r="AV96" i="3"/>
  <c r="AZ142" i="3"/>
  <c r="AY96" i="3"/>
  <c r="AV102" i="3"/>
  <c r="AZ150" i="3"/>
  <c r="BC142" i="3"/>
  <c r="AZ35" i="3"/>
  <c r="AX9" i="3"/>
  <c r="AW149" i="3"/>
  <c r="BA142" i="3"/>
  <c r="AY35" i="3"/>
  <c r="BA9" i="3"/>
  <c r="AX34" i="3"/>
  <c r="AY34" i="3"/>
  <c r="BE149" i="3"/>
  <c r="BE127" i="3"/>
  <c r="AX142" i="3"/>
  <c r="AW102" i="3"/>
  <c r="AX155" i="3"/>
  <c r="BC34" i="3"/>
  <c r="BA117" i="3"/>
  <c r="AV34" i="3"/>
  <c r="AY117" i="3"/>
  <c r="BC131" i="3"/>
  <c r="BF142" i="3"/>
  <c r="AC148" i="3"/>
  <c r="BH207" i="3" l="1"/>
  <c r="BH18" i="3"/>
  <c r="BH57" i="3"/>
  <c r="BH10" i="3"/>
  <c r="BH130" i="3"/>
  <c r="BI207" i="3"/>
  <c r="BI26" i="3"/>
  <c r="BI137" i="3"/>
  <c r="BI63" i="3"/>
  <c r="BI136" i="3"/>
  <c r="BG10" i="3"/>
  <c r="BG124" i="3"/>
  <c r="BG142" i="3"/>
  <c r="BG13" i="3"/>
  <c r="BG34" i="3"/>
  <c r="BH14" i="3"/>
  <c r="BH128" i="3"/>
  <c r="BH124" i="3"/>
  <c r="BH118" i="3"/>
  <c r="BH59" i="3"/>
  <c r="BI14" i="3"/>
  <c r="BI122" i="3"/>
  <c r="BI130" i="3"/>
  <c r="BI131" i="3" s="1"/>
  <c r="BI25" i="3"/>
  <c r="BI149" i="3"/>
  <c r="BG35" i="3"/>
  <c r="BG63" i="3"/>
  <c r="BG59" i="3"/>
  <c r="BG129" i="3"/>
  <c r="BG131" i="3" s="1"/>
  <c r="BG19" i="3"/>
  <c r="BH13" i="3"/>
  <c r="BH127" i="3"/>
  <c r="BH131" i="3" s="1"/>
  <c r="BH58" i="3"/>
  <c r="BH25" i="3"/>
  <c r="BI9" i="3"/>
  <c r="BI123" i="3"/>
  <c r="BI58" i="3"/>
  <c r="BI24" i="3"/>
  <c r="AE27" i="3"/>
  <c r="AY27" i="3"/>
  <c r="AW27" i="3"/>
  <c r="AZ27" i="3"/>
  <c r="Q89" i="11"/>
  <c r="BC27" i="3"/>
  <c r="BB27" i="3"/>
  <c r="AB83" i="3"/>
  <c r="BD122" i="3"/>
  <c r="BE80" i="3"/>
  <c r="BE76" i="3"/>
  <c r="BE73" i="3"/>
  <c r="BE75" i="3"/>
  <c r="BE72" i="3"/>
  <c r="BD123" i="3"/>
  <c r="BB74" i="3"/>
  <c r="Q112" i="3"/>
  <c r="Q31" i="3"/>
  <c r="Q47" i="3" s="1"/>
  <c r="U81" i="11"/>
  <c r="AE12" i="11"/>
  <c r="AW131" i="3"/>
  <c r="BF131" i="3"/>
  <c r="S82" i="11"/>
  <c r="S92" i="11" s="1"/>
  <c r="T58" i="11"/>
  <c r="T62" i="11" s="1"/>
  <c r="T82" i="11"/>
  <c r="T92" i="11" s="1"/>
  <c r="U58" i="11"/>
  <c r="U62" i="11" s="1"/>
  <c r="R82" i="11"/>
  <c r="R92" i="11" s="1"/>
  <c r="S58" i="11"/>
  <c r="S62" i="11" s="1"/>
  <c r="AC83" i="11"/>
  <c r="AC74" i="3" s="1"/>
  <c r="AC77" i="3" s="1"/>
  <c r="AW138" i="3"/>
  <c r="Z189" i="3"/>
  <c r="Z166" i="3"/>
  <c r="Z183" i="3"/>
  <c r="Y190" i="3"/>
  <c r="Z196" i="3"/>
  <c r="Y183" i="3"/>
  <c r="Z182" i="3"/>
  <c r="Y175" i="3"/>
  <c r="AZ155" i="3" s="1"/>
  <c r="Y167" i="3"/>
  <c r="Z190" i="3"/>
  <c r="Z175" i="3"/>
  <c r="Z167" i="3"/>
  <c r="Z197" i="3"/>
  <c r="Y197" i="3"/>
  <c r="Z174" i="3"/>
  <c r="AA165" i="3"/>
  <c r="Y155" i="3"/>
  <c r="Y157" i="3" s="1"/>
  <c r="Y158" i="3" s="1"/>
  <c r="AV15" i="3"/>
  <c r="BD34" i="3"/>
  <c r="BD35" i="3"/>
  <c r="AV131" i="3"/>
  <c r="AZ131" i="3"/>
  <c r="AW125" i="3"/>
  <c r="AX125" i="3"/>
  <c r="AX141" i="3" s="1"/>
  <c r="BD9" i="3"/>
  <c r="BE131" i="3"/>
  <c r="BF2" i="3"/>
  <c r="AY131" i="3"/>
  <c r="AV138" i="3"/>
  <c r="AJ80" i="3"/>
  <c r="AK80" i="3" s="1"/>
  <c r="AL80" i="3" s="1"/>
  <c r="AM80" i="3" s="1"/>
  <c r="AN80" i="3" s="1"/>
  <c r="AO80" i="3" s="1"/>
  <c r="AP80" i="3" s="1"/>
  <c r="AX15" i="3"/>
  <c r="AY125" i="3"/>
  <c r="BA15" i="3"/>
  <c r="AX27" i="3" l="1"/>
  <c r="BG2" i="3"/>
  <c r="BF206" i="3"/>
  <c r="BB83" i="3"/>
  <c r="BF73" i="3"/>
  <c r="BF75" i="3"/>
  <c r="BF72" i="3"/>
  <c r="BF76" i="3"/>
  <c r="BF80" i="3"/>
  <c r="AV27" i="3"/>
  <c r="AV112" i="3" s="1"/>
  <c r="BA27" i="3"/>
  <c r="T66" i="3"/>
  <c r="T85" i="11"/>
  <c r="T29" i="3" s="1"/>
  <c r="Q60" i="3"/>
  <c r="Q63" i="3" s="1"/>
  <c r="Q39" i="3"/>
  <c r="R66" i="3"/>
  <c r="AW66" i="3" s="1"/>
  <c r="R85" i="11"/>
  <c r="S66" i="3"/>
  <c r="S85" i="11"/>
  <c r="S29" i="3" s="1"/>
  <c r="Q46" i="3"/>
  <c r="Q113" i="3"/>
  <c r="Q36" i="3"/>
  <c r="U47" i="11"/>
  <c r="U83" i="11" s="1"/>
  <c r="V47" i="11"/>
  <c r="V81" i="11"/>
  <c r="AD83" i="11"/>
  <c r="AW141" i="3"/>
  <c r="Z155" i="3"/>
  <c r="Z157" i="3" s="1"/>
  <c r="Z158" i="3" s="1"/>
  <c r="AA196" i="3"/>
  <c r="AA166" i="3"/>
  <c r="AA189" i="3"/>
  <c r="AA174" i="3"/>
  <c r="AA182" i="3"/>
  <c r="AB165" i="3"/>
  <c r="AV141" i="3"/>
  <c r="AH122" i="3"/>
  <c r="BE122" i="3" s="1"/>
  <c r="AD148" i="3"/>
  <c r="AY141" i="3"/>
  <c r="AH123" i="3"/>
  <c r="S89" i="11" l="1"/>
  <c r="T89" i="11"/>
  <c r="T90" i="11" s="1"/>
  <c r="BG206" i="3"/>
  <c r="BH2" i="3"/>
  <c r="BI2" i="3" s="1"/>
  <c r="BG72" i="3"/>
  <c r="BG76" i="3"/>
  <c r="BG80" i="3"/>
  <c r="BG75" i="3"/>
  <c r="BG73" i="3"/>
  <c r="BG110" i="3"/>
  <c r="BE123" i="3"/>
  <c r="AX66" i="3"/>
  <c r="AV31" i="3"/>
  <c r="AV47" i="3" s="1"/>
  <c r="AV52" i="3" s="1"/>
  <c r="BC74" i="3"/>
  <c r="Q42" i="3"/>
  <c r="Q43" i="3"/>
  <c r="R89" i="11"/>
  <c r="R90" i="11" s="1"/>
  <c r="R29" i="3"/>
  <c r="T31" i="3"/>
  <c r="T112" i="3"/>
  <c r="Q67" i="3"/>
  <c r="Q48" i="3"/>
  <c r="S31" i="3"/>
  <c r="S47" i="3" s="1"/>
  <c r="S52" i="3" s="1"/>
  <c r="S112" i="3"/>
  <c r="AX29" i="3"/>
  <c r="U82" i="11"/>
  <c r="U92" i="11" s="1"/>
  <c r="W81" i="11"/>
  <c r="AH12" i="11"/>
  <c r="V83" i="11"/>
  <c r="AA155" i="3"/>
  <c r="AA157" i="3" s="1"/>
  <c r="AA158" i="3" s="1"/>
  <c r="BE34" i="3"/>
  <c r="AI122" i="3"/>
  <c r="AA183" i="3"/>
  <c r="AB190" i="3"/>
  <c r="AA175" i="3"/>
  <c r="AB189" i="3"/>
  <c r="AB175" i="3"/>
  <c r="AB167" i="3"/>
  <c r="AA167" i="3"/>
  <c r="AA197" i="3"/>
  <c r="AB174" i="3"/>
  <c r="AB196" i="3"/>
  <c r="AB183" i="3"/>
  <c r="AB197" i="3"/>
  <c r="AA190" i="3"/>
  <c r="AC165" i="3"/>
  <c r="AB182" i="3"/>
  <c r="AB166" i="3"/>
  <c r="BE35" i="3"/>
  <c r="BE9" i="3"/>
  <c r="AD151" i="3"/>
  <c r="BI72" i="3" l="1"/>
  <c r="BI73" i="3"/>
  <c r="BI206" i="3"/>
  <c r="BI76" i="3"/>
  <c r="BI110" i="3"/>
  <c r="BI75" i="3"/>
  <c r="BI80" i="3"/>
  <c r="BH75" i="3"/>
  <c r="BH72" i="3"/>
  <c r="BH206" i="3"/>
  <c r="BH73" i="3"/>
  <c r="BH110" i="3"/>
  <c r="BH76" i="3"/>
  <c r="BH80" i="3"/>
  <c r="T60" i="3"/>
  <c r="T63" i="3" s="1"/>
  <c r="T47" i="3"/>
  <c r="AV46" i="3"/>
  <c r="AV51" i="3" s="1"/>
  <c r="AV213" i="3"/>
  <c r="AV64" i="3"/>
  <c r="AV39" i="3"/>
  <c r="AV36" i="3"/>
  <c r="AV48" i="3" s="1"/>
  <c r="AV53" i="3" s="1"/>
  <c r="AV60" i="3"/>
  <c r="U66" i="3"/>
  <c r="U85" i="11"/>
  <c r="U29" i="3" s="1"/>
  <c r="S60" i="3"/>
  <c r="S63" i="3" s="1"/>
  <c r="S39" i="3"/>
  <c r="AX112" i="3"/>
  <c r="AX31" i="3"/>
  <c r="T113" i="3"/>
  <c r="T36" i="3"/>
  <c r="T46" i="3"/>
  <c r="R112" i="3"/>
  <c r="R31" i="3"/>
  <c r="AW29" i="3"/>
  <c r="S36" i="3"/>
  <c r="S46" i="3"/>
  <c r="S51" i="3" s="1"/>
  <c r="S113" i="3"/>
  <c r="Q14" i="11"/>
  <c r="Q20" i="11" s="1"/>
  <c r="Q41" i="11" s="1"/>
  <c r="Q43" i="11" s="1"/>
  <c r="Q45" i="11" s="1"/>
  <c r="W47" i="11"/>
  <c r="V58" i="11"/>
  <c r="V62" i="11" s="1"/>
  <c r="AF83" i="11"/>
  <c r="AE83" i="11"/>
  <c r="W83" i="11"/>
  <c r="W58" i="11"/>
  <c r="W62" i="11" s="1"/>
  <c r="V82" i="11"/>
  <c r="V92" i="11" s="1"/>
  <c r="BA155" i="3"/>
  <c r="AB155" i="3"/>
  <c r="AB157" i="3" s="1"/>
  <c r="AB158" i="3" s="1"/>
  <c r="AC196" i="3"/>
  <c r="AC174" i="3"/>
  <c r="AC182" i="3"/>
  <c r="AD165" i="3"/>
  <c r="AC166" i="3"/>
  <c r="AC189" i="3"/>
  <c r="AJ122" i="3"/>
  <c r="BF122" i="3" s="1"/>
  <c r="AE148" i="3"/>
  <c r="AJ123" i="3"/>
  <c r="AI123" i="3"/>
  <c r="U89" i="11" l="1"/>
  <c r="AX63" i="3"/>
  <c r="AX64" i="3" s="1"/>
  <c r="R60" i="3"/>
  <c r="R63" i="3" s="1"/>
  <c r="AW63" i="3" s="1"/>
  <c r="R47" i="3"/>
  <c r="T52" i="3" s="1"/>
  <c r="AX213" i="3"/>
  <c r="AX47" i="3"/>
  <c r="AI12" i="11"/>
  <c r="BF123" i="3"/>
  <c r="AV43" i="3"/>
  <c r="AV67" i="3"/>
  <c r="AX60" i="3"/>
  <c r="V66" i="3"/>
  <c r="AY66" i="3" s="1"/>
  <c r="V85" i="11"/>
  <c r="S42" i="3"/>
  <c r="S43" i="3"/>
  <c r="S48" i="3"/>
  <c r="S53" i="3" s="1"/>
  <c r="S67" i="3"/>
  <c r="U112" i="3"/>
  <c r="U31" i="3"/>
  <c r="S103" i="3"/>
  <c r="AW112" i="3"/>
  <c r="AW31" i="3"/>
  <c r="AX46" i="3"/>
  <c r="AX36" i="3"/>
  <c r="AX67" i="3" s="1"/>
  <c r="R46" i="3"/>
  <c r="T51" i="3" s="1"/>
  <c r="R113" i="3"/>
  <c r="R36" i="3"/>
  <c r="T48" i="3"/>
  <c r="T67" i="3"/>
  <c r="W82" i="11"/>
  <c r="W92" i="11" s="1"/>
  <c r="X58" i="11"/>
  <c r="X62" i="11" s="1"/>
  <c r="AJ12" i="11"/>
  <c r="AG83" i="11"/>
  <c r="AD197" i="3"/>
  <c r="AC197" i="3"/>
  <c r="AD167" i="3"/>
  <c r="AD174" i="3"/>
  <c r="AD183" i="3"/>
  <c r="AD189" i="3"/>
  <c r="AD196" i="3"/>
  <c r="AD175" i="3"/>
  <c r="AC167" i="3"/>
  <c r="AD190" i="3"/>
  <c r="AD182" i="3"/>
  <c r="AD166" i="3"/>
  <c r="AC175" i="3"/>
  <c r="AC183" i="3"/>
  <c r="AC190" i="3"/>
  <c r="AE165" i="3"/>
  <c r="AC155" i="3"/>
  <c r="AC157" i="3" s="1"/>
  <c r="AC158" i="3" s="1"/>
  <c r="BF34" i="3"/>
  <c r="BF35" i="3"/>
  <c r="BF9" i="3"/>
  <c r="AE151" i="3"/>
  <c r="AE40" i="3" l="1"/>
  <c r="AF156" i="3"/>
  <c r="U60" i="3"/>
  <c r="U63" i="3" s="1"/>
  <c r="U47" i="3"/>
  <c r="U52" i="3" s="1"/>
  <c r="AW213" i="3"/>
  <c r="AW47" i="3"/>
  <c r="AF148" i="3"/>
  <c r="BD74" i="3"/>
  <c r="AW60" i="3"/>
  <c r="AW64" i="3"/>
  <c r="W66" i="3"/>
  <c r="W85" i="11"/>
  <c r="W89" i="11" s="1"/>
  <c r="AX48" i="3"/>
  <c r="S14" i="11"/>
  <c r="S20" i="11" s="1"/>
  <c r="S41" i="11" s="1"/>
  <c r="S43" i="11" s="1"/>
  <c r="S45" i="11" s="1"/>
  <c r="U46" i="3"/>
  <c r="U51" i="3" s="1"/>
  <c r="U36" i="3"/>
  <c r="U113" i="3"/>
  <c r="R67" i="3"/>
  <c r="R48" i="3"/>
  <c r="T53" i="3" s="1"/>
  <c r="S104" i="3"/>
  <c r="V89" i="11"/>
  <c r="V90" i="11" s="1"/>
  <c r="V29" i="3"/>
  <c r="AW36" i="3"/>
  <c r="AW46" i="3"/>
  <c r="S54" i="3"/>
  <c r="BB155" i="3"/>
  <c r="AE182" i="3"/>
  <c r="AF165" i="3"/>
  <c r="AE174" i="3"/>
  <c r="AE166" i="3"/>
  <c r="AE189" i="3"/>
  <c r="AE196" i="3"/>
  <c r="AD155" i="3"/>
  <c r="AD156" i="3" s="1"/>
  <c r="AD157" i="3" s="1"/>
  <c r="AD158" i="3" s="1"/>
  <c r="W29" i="3" l="1"/>
  <c r="AX52" i="3"/>
  <c r="AW52" i="3"/>
  <c r="AX51" i="3"/>
  <c r="AW51" i="3"/>
  <c r="AW67" i="3"/>
  <c r="U67" i="3"/>
  <c r="U48" i="3"/>
  <c r="U53" i="3" s="1"/>
  <c r="AW48" i="3"/>
  <c r="V31" i="3"/>
  <c r="V112" i="3"/>
  <c r="AY29" i="3"/>
  <c r="W31" i="3"/>
  <c r="W112" i="3"/>
  <c r="AI76" i="11"/>
  <c r="AI83" i="11" s="1"/>
  <c r="AH76" i="11"/>
  <c r="AH83" i="11" s="1"/>
  <c r="AH74" i="3" s="1"/>
  <c r="AE183" i="3"/>
  <c r="AF189" i="3"/>
  <c r="AF196" i="3"/>
  <c r="AF183" i="3"/>
  <c r="AF175" i="3"/>
  <c r="AF166" i="3"/>
  <c r="AF197" i="3"/>
  <c r="AE175" i="3"/>
  <c r="AE197" i="3"/>
  <c r="AF174" i="3"/>
  <c r="AF190" i="3"/>
  <c r="AF182" i="3"/>
  <c r="AE190" i="3"/>
  <c r="AG165" i="3"/>
  <c r="AE167" i="3"/>
  <c r="AF167" i="3"/>
  <c r="AE155" i="3"/>
  <c r="AE157" i="3" s="1"/>
  <c r="AE158" i="3" s="1"/>
  <c r="AG148" i="3"/>
  <c r="AX53" i="3" l="1"/>
  <c r="AW53" i="3"/>
  <c r="W60" i="3"/>
  <c r="W63" i="3" s="1"/>
  <c r="W47" i="3"/>
  <c r="W52" i="3" s="1"/>
  <c r="V60" i="3"/>
  <c r="V63" i="3" s="1"/>
  <c r="AY63" i="3" s="1"/>
  <c r="V47" i="3"/>
  <c r="V52" i="3" s="1"/>
  <c r="AI74" i="3"/>
  <c r="BE74" i="3"/>
  <c r="AY112" i="3"/>
  <c r="AY31" i="3"/>
  <c r="W46" i="3"/>
  <c r="W51" i="3" s="1"/>
  <c r="W36" i="3"/>
  <c r="W113" i="3"/>
  <c r="V46" i="3"/>
  <c r="V51" i="3" s="1"/>
  <c r="V113" i="3"/>
  <c r="V36" i="3"/>
  <c r="AJ76" i="11"/>
  <c r="AJ83" i="11" s="1"/>
  <c r="BC155" i="3"/>
  <c r="AF155" i="3"/>
  <c r="AF157" i="3" s="1"/>
  <c r="AF158" i="3" s="1"/>
  <c r="AG174" i="3"/>
  <c r="AG189" i="3"/>
  <c r="AG196" i="3"/>
  <c r="AG182" i="3"/>
  <c r="AH165" i="3"/>
  <c r="AY213" i="3" l="1"/>
  <c r="AY47" i="3"/>
  <c r="AY52" i="3" s="1"/>
  <c r="AJ74" i="3"/>
  <c r="AY64" i="3"/>
  <c r="AY60" i="3"/>
  <c r="AY36" i="3"/>
  <c r="AY67" i="3" s="1"/>
  <c r="AY46" i="3"/>
  <c r="AY51" i="3" s="1"/>
  <c r="V67" i="3"/>
  <c r="V48" i="3"/>
  <c r="V53" i="3" s="1"/>
  <c r="W67" i="3"/>
  <c r="W48" i="3"/>
  <c r="W53" i="3" s="1"/>
  <c r="AK76" i="11"/>
  <c r="AK83" i="11" s="1"/>
  <c r="AH182" i="3"/>
  <c r="AH183" i="3"/>
  <c r="AH174" i="3"/>
  <c r="AH190" i="3"/>
  <c r="AH175" i="3"/>
  <c r="AG175" i="3"/>
  <c r="AH189" i="3"/>
  <c r="AH196" i="3"/>
  <c r="AI165" i="3"/>
  <c r="AG190" i="3"/>
  <c r="AH197" i="3"/>
  <c r="AG183" i="3"/>
  <c r="AG197" i="3"/>
  <c r="AK74" i="3" l="1"/>
  <c r="BF74" i="3"/>
  <c r="AY48" i="3"/>
  <c r="AY53" i="3" s="1"/>
  <c r="AL76" i="11"/>
  <c r="AL83" i="11" s="1"/>
  <c r="BD155" i="3"/>
  <c r="AI182" i="3"/>
  <c r="AJ165" i="3"/>
  <c r="AI189" i="3"/>
  <c r="AI166" i="3"/>
  <c r="AI196" i="3"/>
  <c r="AI174" i="3"/>
  <c r="AW70" i="3"/>
  <c r="AY143" i="3"/>
  <c r="AZ140" i="3" s="1"/>
  <c r="AV110" i="3"/>
  <c r="AZ110" i="3"/>
  <c r="BE110" i="3"/>
  <c r="AV70" i="3"/>
  <c r="AW110" i="3"/>
  <c r="BB151" i="3"/>
  <c r="BC148" i="3" s="1"/>
  <c r="BC157" i="3" s="1"/>
  <c r="BC158" i="3" s="1"/>
  <c r="AL74" i="3" l="1"/>
  <c r="BC151" i="3"/>
  <c r="BD148" i="3" s="1"/>
  <c r="BD157" i="3" s="1"/>
  <c r="BD158" i="3" s="1"/>
  <c r="BA110" i="3"/>
  <c r="AY70" i="3"/>
  <c r="AV113" i="3"/>
  <c r="BB110" i="3"/>
  <c r="AW113" i="3"/>
  <c r="AV151" i="3"/>
  <c r="AW148" i="3" s="1"/>
  <c r="AW143" i="3"/>
  <c r="AX140" i="3" s="1"/>
  <c r="AX110" i="3"/>
  <c r="AX143" i="3"/>
  <c r="AY140" i="3" s="1"/>
  <c r="AX151" i="3"/>
  <c r="AY148" i="3" s="1"/>
  <c r="AZ151" i="3"/>
  <c r="BA148" i="3" s="1"/>
  <c r="BA157" i="3" s="1"/>
  <c r="BA158" i="3" s="1"/>
  <c r="BA151" i="3"/>
  <c r="BB148" i="3" s="1"/>
  <c r="BB157" i="3" s="1"/>
  <c r="BB158" i="3" s="1"/>
  <c r="BC110" i="3"/>
  <c r="BF110" i="3"/>
  <c r="AY110" i="3"/>
  <c r="AW151" i="3"/>
  <c r="AX148" i="3" s="1"/>
  <c r="AV143" i="3"/>
  <c r="AW140" i="3" s="1"/>
  <c r="AX113" i="3"/>
  <c r="AY151" i="3"/>
  <c r="AZ148" i="3" s="1"/>
  <c r="AZ157" i="3" s="1"/>
  <c r="AZ158" i="3" s="1"/>
  <c r="BD110" i="3"/>
  <c r="AY113" i="3"/>
  <c r="AI183" i="3"/>
  <c r="AJ183" i="3"/>
  <c r="AI175" i="3"/>
  <c r="AI167" i="3"/>
  <c r="AJ175" i="3"/>
  <c r="AJ189" i="3"/>
  <c r="AJ167" i="3"/>
  <c r="AI197" i="3"/>
  <c r="AJ174" i="3"/>
  <c r="AJ166" i="3"/>
  <c r="AJ190" i="3"/>
  <c r="AI190" i="3"/>
  <c r="AJ197" i="3"/>
  <c r="AJ182" i="3"/>
  <c r="AJ196" i="3"/>
  <c r="BD151" i="3"/>
  <c r="BE148" i="3" s="1"/>
  <c r="AY90" i="3"/>
  <c r="AY217" i="3" s="1"/>
  <c r="AI155" i="3"/>
  <c r="AX70" i="3"/>
  <c r="AX90" i="3"/>
  <c r="AX217" i="3" s="1"/>
  <c r="BG74" i="3" l="1"/>
  <c r="AM74" i="3"/>
  <c r="AN74" i="3" s="1"/>
  <c r="AZ212" i="3"/>
  <c r="AY212" i="3"/>
  <c r="AW90" i="3"/>
  <c r="AW217" i="3" s="1"/>
  <c r="AY78" i="3"/>
  <c r="AY109" i="3" s="1"/>
  <c r="AV78" i="3"/>
  <c r="AV111" i="3" s="1"/>
  <c r="AW78" i="3"/>
  <c r="AV84" i="3"/>
  <c r="AV90" i="3"/>
  <c r="AV217" i="3" s="1"/>
  <c r="BF155" i="3"/>
  <c r="AJ155" i="3"/>
  <c r="AX78" i="3"/>
  <c r="BH74" i="3" l="1"/>
  <c r="AO74" i="3"/>
  <c r="AP74" i="3" s="1"/>
  <c r="BI74" i="3" s="1"/>
  <c r="AX212" i="3"/>
  <c r="AW212" i="3"/>
  <c r="AV216" i="3"/>
  <c r="AV109" i="3"/>
  <c r="AY111" i="3"/>
  <c r="AV86" i="3"/>
  <c r="AV92" i="3" s="1"/>
  <c r="AW109" i="3"/>
  <c r="AW111" i="3"/>
  <c r="AX109" i="3"/>
  <c r="AX111" i="3"/>
  <c r="AZ70" i="3"/>
  <c r="AV108" i="3" l="1"/>
  <c r="AZ78" i="3"/>
  <c r="Y162" i="3" l="1"/>
  <c r="Y96" i="3" l="1"/>
  <c r="Y97" i="3" l="1"/>
  <c r="AZ96" i="3"/>
  <c r="Z95" i="3"/>
  <c r="X86" i="3"/>
  <c r="X108" i="3" s="1"/>
  <c r="X109" i="3"/>
  <c r="X111" i="3"/>
  <c r="AZ109" i="3" l="1"/>
  <c r="AZ111" i="3"/>
  <c r="AZ90" i="3" l="1"/>
  <c r="AZ217" i="3" s="1"/>
  <c r="X90" i="3"/>
  <c r="X92" i="3" s="1"/>
  <c r="Y101" i="3"/>
  <c r="X141" i="3"/>
  <c r="X143" i="3" s="1"/>
  <c r="BA212" i="3" l="1"/>
  <c r="AZ143" i="3"/>
  <c r="BA140" i="3" s="1"/>
  <c r="X144" i="3"/>
  <c r="Y140" i="3"/>
  <c r="AZ138" i="3"/>
  <c r="X102" i="3" l="1"/>
  <c r="X47" i="11" l="1"/>
  <c r="X49" i="11" s="1"/>
  <c r="X81" i="11" l="1"/>
  <c r="X83" i="11"/>
  <c r="BA49" i="3"/>
  <c r="X82" i="11" l="1"/>
  <c r="Y58" i="11"/>
  <c r="Y62" i="11" s="1"/>
  <c r="Y103" i="3"/>
  <c r="X66" i="3" l="1"/>
  <c r="AZ66" i="3" s="1"/>
  <c r="X92" i="11"/>
  <c r="X85" i="11"/>
  <c r="Z162" i="3"/>
  <c r="Z96" i="3" s="1"/>
  <c r="Z97" i="3" s="1"/>
  <c r="BA97" i="3" s="1"/>
  <c r="X29" i="3" l="1"/>
  <c r="X89" i="11"/>
  <c r="X90" i="11" s="1"/>
  <c r="BA133" i="3"/>
  <c r="BA215" i="3" l="1"/>
  <c r="X31" i="3"/>
  <c r="X112" i="3"/>
  <c r="AA95" i="3"/>
  <c r="X60" i="3" l="1"/>
  <c r="X63" i="3" s="1"/>
  <c r="AZ63" i="3" s="1"/>
  <c r="X47" i="3"/>
  <c r="X52" i="3" s="1"/>
  <c r="X113" i="3"/>
  <c r="X46" i="3"/>
  <c r="X51" i="3" s="1"/>
  <c r="X36" i="3"/>
  <c r="BA40" i="3"/>
  <c r="AA162" i="3"/>
  <c r="AA96" i="3" s="1"/>
  <c r="Z103" i="3"/>
  <c r="BA103" i="3" s="1"/>
  <c r="BA214" i="3" s="1"/>
  <c r="X48" i="3" l="1"/>
  <c r="X53" i="3" s="1"/>
  <c r="X67" i="3"/>
  <c r="AA97" i="3"/>
  <c r="BA96" i="3"/>
  <c r="AB95" i="3" l="1"/>
  <c r="Y86" i="3" l="1"/>
  <c r="Y108" i="3" s="1"/>
  <c r="Y90" i="3"/>
  <c r="Z101" i="3"/>
  <c r="AZ29" i="3"/>
  <c r="AZ31" i="3" l="1"/>
  <c r="AZ112" i="3"/>
  <c r="Y92" i="3"/>
  <c r="AZ213" i="3" l="1"/>
  <c r="AZ47" i="3"/>
  <c r="AZ52" i="3" s="1"/>
  <c r="AZ64" i="3"/>
  <c r="AZ60" i="3"/>
  <c r="AZ36" i="3"/>
  <c r="AZ67" i="3" s="1"/>
  <c r="AZ46" i="3"/>
  <c r="AZ113" i="3"/>
  <c r="Y102" i="3"/>
  <c r="AZ102" i="3" s="1"/>
  <c r="AZ51" i="3" l="1"/>
  <c r="AZ48" i="3"/>
  <c r="Y104" i="3"/>
  <c r="AZ53" i="3" l="1"/>
  <c r="Y81" i="11" l="1"/>
  <c r="BA70" i="3"/>
  <c r="BB77" i="3"/>
  <c r="Y47" i="11" l="1"/>
  <c r="Y49" i="11" s="1"/>
  <c r="Y83" i="11"/>
  <c r="BA78" i="3"/>
  <c r="Y82" i="11" l="1"/>
  <c r="Y92" i="11" s="1"/>
  <c r="Z58" i="11"/>
  <c r="Z62" i="11" s="1"/>
  <c r="BC77" i="3" l="1"/>
  <c r="Y66" i="3"/>
  <c r="Y85" i="11"/>
  <c r="Y29" i="3"/>
  <c r="Y89" i="11"/>
  <c r="Y112" i="3" l="1"/>
  <c r="Y31" i="3"/>
  <c r="Y47" i="3" s="1"/>
  <c r="Y52" i="3" s="1"/>
  <c r="AH77" i="3" l="1"/>
  <c r="AI77" i="3" s="1"/>
  <c r="AJ77" i="3" s="1"/>
  <c r="BF77" i="3" s="1"/>
  <c r="BD77" i="3"/>
  <c r="Y60" i="3"/>
  <c r="Y63" i="3" s="1"/>
  <c r="Y39" i="3"/>
  <c r="Y36" i="3"/>
  <c r="Y113" i="3"/>
  <c r="Y46" i="3"/>
  <c r="Y51" i="3" s="1"/>
  <c r="Z86" i="3"/>
  <c r="Z108" i="3" s="1"/>
  <c r="Z109" i="3"/>
  <c r="Z111" i="3"/>
  <c r="BE77" i="3" l="1"/>
  <c r="Y42" i="3"/>
  <c r="Y14" i="11" s="1"/>
  <c r="Y20" i="11" s="1"/>
  <c r="Y41" i="11" s="1"/>
  <c r="Y43" i="11" s="1"/>
  <c r="Y45" i="11" s="1"/>
  <c r="Y43" i="3"/>
  <c r="Y48" i="3"/>
  <c r="Y53" i="3" s="1"/>
  <c r="Y67" i="3"/>
  <c r="AK77" i="3"/>
  <c r="AL77" i="3" s="1"/>
  <c r="BA84" i="3"/>
  <c r="BA109" i="3"/>
  <c r="BA111" i="3"/>
  <c r="BG77" i="3" l="1"/>
  <c r="AM77" i="3"/>
  <c r="AN77" i="3" s="1"/>
  <c r="BA86" i="3"/>
  <c r="BA108" i="3" s="1"/>
  <c r="BA90" i="3"/>
  <c r="BA217" i="3" s="1"/>
  <c r="Z90" i="3"/>
  <c r="Z92" i="3" s="1"/>
  <c r="AA101" i="3"/>
  <c r="BH77" i="3" l="1"/>
  <c r="AO77" i="3"/>
  <c r="AP77" i="3" s="1"/>
  <c r="BI77" i="3" s="1"/>
  <c r="BB212" i="3"/>
  <c r="BA92" i="3"/>
  <c r="BA131" i="3" l="1"/>
  <c r="Z141" i="3" l="1"/>
  <c r="BA138" i="3"/>
  <c r="Z102" i="3" l="1"/>
  <c r="Z104" i="3" l="1"/>
  <c r="BA104" i="3" s="1"/>
  <c r="AA54" i="3" l="1"/>
  <c r="Z81" i="11" l="1"/>
  <c r="AA103" i="3"/>
  <c r="AB162" i="3"/>
  <c r="Z47" i="11" l="1"/>
  <c r="Z49" i="11" s="1"/>
  <c r="Z83" i="11"/>
  <c r="AB96" i="3"/>
  <c r="AB97" i="3" s="1"/>
  <c r="BB97" i="3" s="1"/>
  <c r="Z82" i="11" l="1"/>
  <c r="Z92" i="11" s="1"/>
  <c r="AA58" i="11"/>
  <c r="AA62" i="11" s="1"/>
  <c r="Z66" i="3" l="1"/>
  <c r="BA66" i="3" s="1"/>
  <c r="Z85" i="11"/>
  <c r="BB88" i="3"/>
  <c r="AC95" i="3"/>
  <c r="Z89" i="11" l="1"/>
  <c r="Z90" i="11" s="1"/>
  <c r="Z29" i="3"/>
  <c r="Z31" i="3" l="1"/>
  <c r="Z47" i="3" s="1"/>
  <c r="Z52" i="3" s="1"/>
  <c r="Z112" i="3"/>
  <c r="Z60" i="3" l="1"/>
  <c r="Z63" i="3" s="1"/>
  <c r="BA63" i="3" s="1"/>
  <c r="Z39" i="3"/>
  <c r="Z46" i="3"/>
  <c r="Z51" i="3" s="1"/>
  <c r="Z36" i="3"/>
  <c r="Z113" i="3"/>
  <c r="BB133" i="3"/>
  <c r="BB215" i="3" l="1"/>
  <c r="Z42" i="3"/>
  <c r="Z14" i="11" s="1"/>
  <c r="Z20" i="11" s="1"/>
  <c r="Z41" i="11" s="1"/>
  <c r="Z43" i="11" s="1"/>
  <c r="Z45" i="11" s="1"/>
  <c r="Z43" i="3"/>
  <c r="Z67" i="3"/>
  <c r="Z48" i="3"/>
  <c r="Z53" i="3" s="1"/>
  <c r="AA86" i="3" l="1"/>
  <c r="AA108" i="3" s="1"/>
  <c r="AA109" i="3"/>
  <c r="AA111" i="3"/>
  <c r="AA90" i="3" l="1"/>
  <c r="AA92" i="3" s="1"/>
  <c r="AB101" i="3"/>
  <c r="AA141" i="3"/>
  <c r="BA29" i="3"/>
  <c r="BA31" i="3" l="1"/>
  <c r="BA112" i="3"/>
  <c r="BA47" i="3" l="1"/>
  <c r="BA52" i="3" s="1"/>
  <c r="BA213" i="3"/>
  <c r="BA216" i="3" s="1"/>
  <c r="BA60" i="3"/>
  <c r="BA64" i="3"/>
  <c r="BA39" i="3"/>
  <c r="BA46" i="3"/>
  <c r="BA113" i="3"/>
  <c r="BA36" i="3"/>
  <c r="AA102" i="3"/>
  <c r="BA102" i="3" s="1"/>
  <c r="BA67" i="3" l="1"/>
  <c r="BA51" i="3"/>
  <c r="BA43" i="3"/>
  <c r="BA48" i="3"/>
  <c r="AA104" i="3"/>
  <c r="BA53" i="3" l="1"/>
  <c r="BA42" i="3"/>
  <c r="AA81" i="11" l="1"/>
  <c r="AA47" i="11" l="1"/>
  <c r="AA49" i="11" s="1"/>
  <c r="AA83" i="11"/>
  <c r="BC117" i="3"/>
  <c r="AA82" i="11" l="1"/>
  <c r="AA92" i="11" s="1"/>
  <c r="AB58" i="11"/>
  <c r="AB62" i="11" s="1"/>
  <c r="AA66" i="3" l="1"/>
  <c r="AA85" i="11"/>
  <c r="AA29" i="3" s="1"/>
  <c r="AB29" i="3" s="1"/>
  <c r="AB64" i="11"/>
  <c r="AB65" i="11" s="1"/>
  <c r="AC57" i="11"/>
  <c r="BB117" i="3"/>
  <c r="AA89" i="11" l="1"/>
  <c r="AA31" i="3"/>
  <c r="AA112" i="3"/>
  <c r="AC58" i="11"/>
  <c r="AC62" i="11" s="1"/>
  <c r="AB82" i="11"/>
  <c r="AB92" i="11" s="1"/>
  <c r="BD117" i="3"/>
  <c r="AA47" i="3" l="1"/>
  <c r="AA52" i="3" s="1"/>
  <c r="AB66" i="3"/>
  <c r="BB66" i="3" s="1"/>
  <c r="AA60" i="3"/>
  <c r="AA63" i="3" s="1"/>
  <c r="BB63" i="3" s="1"/>
  <c r="AA39" i="3"/>
  <c r="AA113" i="3"/>
  <c r="AA36" i="3"/>
  <c r="AA46" i="3"/>
  <c r="AA51" i="3" s="1"/>
  <c r="AD57" i="11"/>
  <c r="AC64" i="11"/>
  <c r="AC65" i="11" s="1"/>
  <c r="BB71" i="3" l="1"/>
  <c r="AA43" i="3"/>
  <c r="AA42" i="3"/>
  <c r="AA14" i="11" s="1"/>
  <c r="AA20" i="11" s="1"/>
  <c r="AA41" i="11" s="1"/>
  <c r="AA43" i="11" s="1"/>
  <c r="AA45" i="11" s="1"/>
  <c r="AA48" i="3"/>
  <c r="AA53" i="3" s="1"/>
  <c r="AA67" i="3"/>
  <c r="AC82" i="11"/>
  <c r="AD58" i="11"/>
  <c r="AE57" i="11" s="1"/>
  <c r="AC66" i="3" l="1"/>
  <c r="AC92" i="11"/>
  <c r="AD62" i="11"/>
  <c r="AD64" i="11"/>
  <c r="AD65" i="11" s="1"/>
  <c r="AD82" i="11" l="1"/>
  <c r="AE58" i="11"/>
  <c r="AE62" i="11" s="1"/>
  <c r="AD66" i="3" l="1"/>
  <c r="BC66" i="3" s="1"/>
  <c r="AD92" i="11"/>
  <c r="AF57" i="11"/>
  <c r="AE64" i="11"/>
  <c r="AE65" i="11" s="1"/>
  <c r="BC71" i="3" l="1"/>
  <c r="AE82" i="11"/>
  <c r="AF58" i="11"/>
  <c r="AG57" i="11" s="1"/>
  <c r="AF62" i="11" l="1"/>
  <c r="AE66" i="3"/>
  <c r="AE92" i="11"/>
  <c r="AF64" i="11"/>
  <c r="AF82" i="11" l="1"/>
  <c r="AF65" i="11"/>
  <c r="AI65" i="11" s="1"/>
  <c r="AJ65" i="11" s="1"/>
  <c r="AK65" i="11" s="1"/>
  <c r="AL65" i="11" s="1"/>
  <c r="AM65" i="11" s="1"/>
  <c r="AN65" i="11" s="1"/>
  <c r="AO65" i="11" s="1"/>
  <c r="AP65" i="11" s="1"/>
  <c r="AF66" i="3"/>
  <c r="BD66" i="3" s="1"/>
  <c r="AF92" i="11"/>
  <c r="AG58" i="11"/>
  <c r="AH57" i="11" s="1"/>
  <c r="BD71" i="3" l="1"/>
  <c r="AG64" i="11"/>
  <c r="AG82" i="11" s="1"/>
  <c r="AG66" i="3" l="1"/>
  <c r="AG92" i="11"/>
  <c r="AH58" i="11"/>
  <c r="AH63" i="11" s="1"/>
  <c r="AI57" i="11" s="1"/>
  <c r="AH64" i="11" l="1"/>
  <c r="AH66" i="11" s="1"/>
  <c r="AI58" i="11" s="1"/>
  <c r="AI63" i="11" s="1"/>
  <c r="AJ57" i="11" s="1"/>
  <c r="AH82" i="11" l="1"/>
  <c r="AH92" i="11" s="1"/>
  <c r="AI64" i="11"/>
  <c r="AI66" i="11" s="1"/>
  <c r="AH66" i="3" l="1"/>
  <c r="BE66" i="3" s="1"/>
  <c r="AH71" i="3"/>
  <c r="AJ58" i="11"/>
  <c r="AJ63" i="11" s="1"/>
  <c r="AI82" i="11"/>
  <c r="AI66" i="3" l="1"/>
  <c r="AI92" i="11"/>
  <c r="AI71" i="3"/>
  <c r="BE71" i="3"/>
  <c r="AK57" i="11"/>
  <c r="AJ64" i="11"/>
  <c r="AJ66" i="11" s="1"/>
  <c r="AK58" i="11" l="1"/>
  <c r="AK63" i="11" s="1"/>
  <c r="AL57" i="11" s="1"/>
  <c r="AJ82" i="11"/>
  <c r="AJ66" i="3" l="1"/>
  <c r="BF66" i="3" s="1"/>
  <c r="AJ92" i="11"/>
  <c r="AJ71" i="3"/>
  <c r="AK64" i="11"/>
  <c r="AK66" i="11" s="1"/>
  <c r="BF71" i="3" l="1"/>
  <c r="AK82" i="11"/>
  <c r="AL58" i="11"/>
  <c r="AL63" i="11" s="1"/>
  <c r="AM57" i="11" s="1"/>
  <c r="AK66" i="3" l="1"/>
  <c r="AK92" i="11"/>
  <c r="AL64" i="11"/>
  <c r="AL66" i="11" s="1"/>
  <c r="AM58" i="11" s="1"/>
  <c r="AM63" i="11" s="1"/>
  <c r="AK71" i="3"/>
  <c r="AZ125" i="3"/>
  <c r="AN57" i="11" l="1"/>
  <c r="AM64" i="11"/>
  <c r="AM66" i="11" s="1"/>
  <c r="AL82" i="11"/>
  <c r="AZ141" i="3"/>
  <c r="AL66" i="3" l="1"/>
  <c r="BG66" i="3" s="1"/>
  <c r="AL92" i="11"/>
  <c r="AM82" i="11"/>
  <c r="AN58" i="11"/>
  <c r="AN63" i="11" s="1"/>
  <c r="AL71" i="3"/>
  <c r="X52" i="11"/>
  <c r="AA52" i="11"/>
  <c r="Y51" i="11"/>
  <c r="Y52" i="11" s="1"/>
  <c r="Z51" i="11"/>
  <c r="Z52" i="11" s="1"/>
  <c r="Y109" i="3"/>
  <c r="Y111" i="3"/>
  <c r="AN64" i="11" l="1"/>
  <c r="AN66" i="11" s="1"/>
  <c r="AO57" i="11"/>
  <c r="AM66" i="3"/>
  <c r="AM92" i="11"/>
  <c r="BG71" i="3"/>
  <c r="AM71" i="3"/>
  <c r="BA125" i="3"/>
  <c r="Y141" i="3"/>
  <c r="Y143" i="3" s="1"/>
  <c r="Y144" i="3" s="1"/>
  <c r="AN82" i="11" l="1"/>
  <c r="AO58" i="11"/>
  <c r="AO63" i="11" s="1"/>
  <c r="Z140" i="3"/>
  <c r="Z143" i="3" s="1"/>
  <c r="Z144" i="3" s="1"/>
  <c r="BA141" i="3"/>
  <c r="AP57" i="11" l="1"/>
  <c r="AO64" i="11"/>
  <c r="AO66" i="11" s="1"/>
  <c r="AP58" i="11" s="1"/>
  <c r="AN92" i="11"/>
  <c r="AN66" i="3"/>
  <c r="BH66" i="3" s="1"/>
  <c r="AN71" i="3"/>
  <c r="BA143" i="3"/>
  <c r="BB140" i="3" s="1"/>
  <c r="AA140" i="3"/>
  <c r="AA143" i="3" s="1"/>
  <c r="AA144" i="3" s="1"/>
  <c r="AP63" i="11" l="1"/>
  <c r="AP64" i="11" s="1"/>
  <c r="AP66" i="11" s="1"/>
  <c r="AP82" i="11" s="1"/>
  <c r="AP92" i="11" s="1"/>
  <c r="AO82" i="11"/>
  <c r="AO92" i="11" s="1"/>
  <c r="BH71" i="3"/>
  <c r="AB140" i="3"/>
  <c r="AO66" i="3" l="1"/>
  <c r="AO71" i="3"/>
  <c r="AP71" i="3" s="1"/>
  <c r="BI71" i="3" s="1"/>
  <c r="AP66" i="3"/>
  <c r="T40" i="3"/>
  <c r="AX40" i="3" s="1"/>
  <c r="AX39" i="3" s="1"/>
  <c r="AX49" i="3"/>
  <c r="BI66" i="3" l="1"/>
  <c r="T39" i="3"/>
  <c r="T81" i="3"/>
  <c r="T43" i="3"/>
  <c r="AX43" i="3"/>
  <c r="T103" i="3"/>
  <c r="AX103" i="3" s="1"/>
  <c r="AX214" i="3" s="1"/>
  <c r="AX216" i="3" s="1"/>
  <c r="T42" i="3"/>
  <c r="T14" i="11" s="1"/>
  <c r="T20" i="11" s="1"/>
  <c r="T41" i="11" s="1"/>
  <c r="T43" i="11" s="1"/>
  <c r="T45" i="11" s="1"/>
  <c r="T83" i="3" l="1"/>
  <c r="AX83" i="3" s="1"/>
  <c r="AX81" i="3"/>
  <c r="T104" i="3"/>
  <c r="AX104" i="3" s="1"/>
  <c r="AX42" i="3"/>
  <c r="R40" i="3"/>
  <c r="AW49" i="3"/>
  <c r="T54" i="3"/>
  <c r="AX54" i="3" l="1"/>
  <c r="AW54" i="3"/>
  <c r="AX84" i="3"/>
  <c r="AX86" i="3" s="1"/>
  <c r="R39" i="3"/>
  <c r="R81" i="3"/>
  <c r="R103" i="3"/>
  <c r="AW103" i="3" s="1"/>
  <c r="AW214" i="3" s="1"/>
  <c r="AW216" i="3" s="1"/>
  <c r="R43" i="3"/>
  <c r="R42" i="3"/>
  <c r="R14" i="11" s="1"/>
  <c r="R20" i="11" s="1"/>
  <c r="R41" i="11" s="1"/>
  <c r="R43" i="11" s="1"/>
  <c r="R45" i="11" s="1"/>
  <c r="AW40" i="3"/>
  <c r="R83" i="3" l="1"/>
  <c r="AW83" i="3" s="1"/>
  <c r="AW81" i="3"/>
  <c r="AX92" i="3"/>
  <c r="AX108" i="3"/>
  <c r="AW42" i="3"/>
  <c r="R104" i="3"/>
  <c r="AW104" i="3" s="1"/>
  <c r="AW39" i="3"/>
  <c r="AW43" i="3"/>
  <c r="W40" i="3"/>
  <c r="Y54" i="3"/>
  <c r="W39" i="3" l="1"/>
  <c r="W81" i="3"/>
  <c r="AW84" i="3"/>
  <c r="AW86" i="3" s="1"/>
  <c r="W42" i="3"/>
  <c r="W14" i="11" s="1"/>
  <c r="W20" i="11" s="1"/>
  <c r="W41" i="11" s="1"/>
  <c r="W43" i="11" s="1"/>
  <c r="W45" i="11" s="1"/>
  <c r="W43" i="3"/>
  <c r="W103" i="3"/>
  <c r="U40" i="3"/>
  <c r="U54" i="3"/>
  <c r="W54" i="3"/>
  <c r="U39" i="3" l="1"/>
  <c r="U81" i="3"/>
  <c r="U83" i="3" s="1"/>
  <c r="U103" i="3"/>
  <c r="AW108" i="3"/>
  <c r="AW92" i="3"/>
  <c r="W104" i="3"/>
  <c r="W83" i="3"/>
  <c r="U43" i="3"/>
  <c r="U42" i="3"/>
  <c r="U14" i="11" s="1"/>
  <c r="U20" i="11" s="1"/>
  <c r="U41" i="11" s="1"/>
  <c r="U43" i="11" s="1"/>
  <c r="U45" i="11" s="1"/>
  <c r="V40" i="3"/>
  <c r="AY49" i="3"/>
  <c r="AY54" i="3" s="1"/>
  <c r="V54" i="3"/>
  <c r="AY40" i="3" l="1"/>
  <c r="AY39" i="3" s="1"/>
  <c r="V81" i="3"/>
  <c r="U104" i="3"/>
  <c r="V103" i="3"/>
  <c r="AY103" i="3" s="1"/>
  <c r="AY214" i="3" s="1"/>
  <c r="AY216" i="3" s="1"/>
  <c r="V43" i="3"/>
  <c r="V42" i="3"/>
  <c r="V14" i="11" s="1"/>
  <c r="V20" i="11" s="1"/>
  <c r="V41" i="11" s="1"/>
  <c r="V43" i="11" s="1"/>
  <c r="V45" i="11" s="1"/>
  <c r="V39" i="3"/>
  <c r="AY43" i="3" l="1"/>
  <c r="V83" i="3"/>
  <c r="AY83" i="3" s="1"/>
  <c r="AY81" i="3"/>
  <c r="V104" i="3"/>
  <c r="AY104" i="3" s="1"/>
  <c r="AY42" i="3"/>
  <c r="X40" i="3"/>
  <c r="AZ49" i="3"/>
  <c r="X54" i="3"/>
  <c r="Z54" i="3"/>
  <c r="AZ54" i="3" l="1"/>
  <c r="AY84" i="3"/>
  <c r="AY86" i="3" s="1"/>
  <c r="X39" i="3"/>
  <c r="X81" i="3"/>
  <c r="X103" i="3"/>
  <c r="AZ103" i="3" s="1"/>
  <c r="AZ214" i="3" s="1"/>
  <c r="AZ216" i="3" s="1"/>
  <c r="X43" i="3"/>
  <c r="X42" i="3"/>
  <c r="X14" i="11" s="1"/>
  <c r="X20" i="11" s="1"/>
  <c r="X41" i="11" s="1"/>
  <c r="X43" i="11" s="1"/>
  <c r="X45" i="11" s="1"/>
  <c r="BA54" i="3"/>
  <c r="AZ40" i="3"/>
  <c r="AZ39" i="3" s="1"/>
  <c r="AZ42" i="3" l="1"/>
  <c r="X83" i="3"/>
  <c r="AZ83" i="3" s="1"/>
  <c r="AZ81" i="3"/>
  <c r="AY92" i="3"/>
  <c r="AY108" i="3"/>
  <c r="X104" i="3"/>
  <c r="AZ104" i="3" s="1"/>
  <c r="AZ43" i="3"/>
  <c r="BB96" i="3"/>
  <c r="AZ84" i="3" l="1"/>
  <c r="AZ86" i="3" l="1"/>
  <c r="AZ108" i="3" s="1"/>
  <c r="BB49" i="3"/>
  <c r="AB54" i="3"/>
  <c r="BB54" i="3" l="1"/>
  <c r="AZ92" i="3"/>
  <c r="BB40" i="3" l="1"/>
  <c r="BB81" i="3"/>
  <c r="AB103" i="3"/>
  <c r="BB103" i="3" s="1"/>
  <c r="BB214" i="3" s="1"/>
  <c r="AC162" i="3" l="1"/>
  <c r="AC18" i="11" s="1"/>
  <c r="AC96" i="3" l="1"/>
  <c r="AC97" i="3" s="1"/>
  <c r="AD95" i="3" l="1"/>
  <c r="AB51" i="11" l="1"/>
  <c r="AB52" i="11" s="1"/>
  <c r="AB80" i="11"/>
  <c r="BB119" i="3" s="1"/>
  <c r="BB70" i="3"/>
  <c r="BB78" i="3" l="1"/>
  <c r="AB22" i="11"/>
  <c r="BB82" i="3"/>
  <c r="AB86" i="3"/>
  <c r="AB109" i="3"/>
  <c r="AB111" i="3"/>
  <c r="BB84" i="3" l="1"/>
  <c r="BB109" i="3"/>
  <c r="BB111" i="3"/>
  <c r="AB108" i="3"/>
  <c r="BB86" i="3" l="1"/>
  <c r="BB108" i="3" s="1"/>
  <c r="BB89" i="3"/>
  <c r="BB90" i="3" s="1"/>
  <c r="AB90" i="3"/>
  <c r="AB92" i="3" s="1"/>
  <c r="BB92" i="3" l="1"/>
  <c r="BB217" i="3"/>
  <c r="BC212" i="3" l="1"/>
  <c r="AC101" i="3"/>
  <c r="BB120" i="3"/>
  <c r="BB121" i="3"/>
  <c r="BB125" i="3" l="1"/>
  <c r="BB135" i="3"/>
  <c r="AB141" i="3"/>
  <c r="AB143" i="3" s="1"/>
  <c r="BB138" i="3" l="1"/>
  <c r="AC140" i="3"/>
  <c r="AB144" i="3"/>
  <c r="BB143" i="3"/>
  <c r="BC140" i="3" s="1"/>
  <c r="BB141" i="3" l="1"/>
  <c r="BB30" i="3" l="1"/>
  <c r="AB32" i="3"/>
  <c r="AB81" i="11" l="1"/>
  <c r="AB85" i="11" s="1"/>
  <c r="AB89" i="11" s="1"/>
  <c r="AB90" i="11" s="1"/>
  <c r="BB29" i="3" l="1"/>
  <c r="AB31" i="3"/>
  <c r="AB47" i="3" s="1"/>
  <c r="AB52" i="3" s="1"/>
  <c r="AB112" i="3"/>
  <c r="AB60" i="3" l="1"/>
  <c r="AB36" i="3"/>
  <c r="AB64" i="3"/>
  <c r="AB102" i="3" s="1"/>
  <c r="AB39" i="3"/>
  <c r="AB46" i="3"/>
  <c r="AB51" i="3" s="1"/>
  <c r="AB113" i="3"/>
  <c r="BB31" i="3"/>
  <c r="BB112" i="3"/>
  <c r="BB47" i="3" l="1"/>
  <c r="BB52" i="3" s="1"/>
  <c r="BB36" i="3"/>
  <c r="BB64" i="3"/>
  <c r="BB46" i="3"/>
  <c r="BB39" i="3"/>
  <c r="BB60" i="3"/>
  <c r="BB113" i="3"/>
  <c r="BB213" i="3"/>
  <c r="BB216" i="3" s="1"/>
  <c r="BB102" i="3"/>
  <c r="AB104" i="3"/>
  <c r="BB104" i="3" s="1"/>
  <c r="AB42" i="3"/>
  <c r="AB43" i="3"/>
  <c r="AB67" i="3"/>
  <c r="AB48" i="3"/>
  <c r="AB53" i="3" s="1"/>
  <c r="BB51" i="3" l="1"/>
  <c r="AB14" i="11"/>
  <c r="BB42" i="3"/>
  <c r="BB43" i="3"/>
  <c r="BB67" i="3"/>
  <c r="BB48" i="3"/>
  <c r="BB53" i="3" l="1"/>
  <c r="AC54" i="3" l="1"/>
  <c r="AC81" i="3"/>
  <c r="AC83" i="3" s="1"/>
  <c r="AC103" i="3"/>
  <c r="BC134" i="3" l="1"/>
  <c r="AD162" i="3"/>
  <c r="BC133" i="3" l="1"/>
  <c r="AD96" i="3"/>
  <c r="AD97" i="3" s="1"/>
  <c r="BC97" i="3" s="1"/>
  <c r="BC96" i="3" l="1"/>
  <c r="BC215" i="3"/>
  <c r="BC88" i="3" l="1"/>
  <c r="AE95" i="3"/>
  <c r="AC51" i="11" l="1"/>
  <c r="AC80" i="11" l="1"/>
  <c r="AC52" i="11"/>
  <c r="AC22" i="11"/>
  <c r="AC86" i="3"/>
  <c r="AC108" i="3" s="1"/>
  <c r="AC109" i="3"/>
  <c r="AC111" i="3"/>
  <c r="AC90" i="3" l="1"/>
  <c r="AC92" i="3" s="1"/>
  <c r="AC93" i="3" s="1"/>
  <c r="AD101" i="3"/>
  <c r="AC138" i="3"/>
  <c r="AC141" i="3" s="1"/>
  <c r="AC143" i="3" s="1"/>
  <c r="AD140" i="3" l="1"/>
  <c r="AC144" i="3"/>
  <c r="AC102" i="3"/>
  <c r="AC104" i="3"/>
  <c r="AD11" i="11"/>
  <c r="AD34" i="11" s="1"/>
  <c r="AD38" i="11" s="1"/>
  <c r="AC24" i="11"/>
  <c r="AD24" i="11" s="1"/>
  <c r="AC81" i="11"/>
  <c r="AC85" i="11" s="1"/>
  <c r="AC89" i="11" s="1"/>
  <c r="AC112" i="3" l="1"/>
  <c r="AC32" i="3" l="1"/>
  <c r="AC31" i="3"/>
  <c r="AC36" i="3" l="1"/>
  <c r="AC39" i="3"/>
  <c r="AC113" i="3"/>
  <c r="AC46" i="3"/>
  <c r="AC51" i="3" s="1"/>
  <c r="AC47" i="3"/>
  <c r="AC52" i="3" s="1"/>
  <c r="AC60" i="3"/>
  <c r="AC63" i="3" s="1"/>
  <c r="AC42" i="3" l="1"/>
  <c r="AC48" i="3"/>
  <c r="AC53" i="3" s="1"/>
  <c r="AC43" i="3"/>
  <c r="AC67" i="3"/>
  <c r="AC14" i="11" l="1"/>
  <c r="BC49" i="3" l="1"/>
  <c r="AD54" i="3"/>
  <c r="BC54" i="3" l="1"/>
  <c r="AD51" i="11" l="1"/>
  <c r="AD52" i="11" s="1"/>
  <c r="AD80" i="11"/>
  <c r="BC70" i="3"/>
  <c r="BC119" i="3"/>
  <c r="BC78" i="3" l="1"/>
  <c r="BC82" i="3"/>
  <c r="AD109" i="3"/>
  <c r="AD111" i="3"/>
  <c r="AD86" i="3"/>
  <c r="BC111" i="3" l="1"/>
  <c r="BC109" i="3"/>
  <c r="AD108" i="3"/>
  <c r="BC89" i="3"/>
  <c r="BC90" i="3" s="1"/>
  <c r="BC217" i="3" s="1"/>
  <c r="BD212" i="3" s="1"/>
  <c r="AD90" i="3"/>
  <c r="AD92" i="3" s="1"/>
  <c r="AD93" i="3" s="1"/>
  <c r="AE101" i="3"/>
  <c r="BC120" i="3"/>
  <c r="BC121" i="3"/>
  <c r="AD125" i="3"/>
  <c r="BC125" i="3" l="1"/>
  <c r="BC135" i="3" l="1"/>
  <c r="AD138" i="3"/>
  <c r="AD141" i="3" s="1"/>
  <c r="AD143" i="3" s="1"/>
  <c r="BC138" i="3" l="1"/>
  <c r="BC141" i="3" s="1"/>
  <c r="AE140" i="3"/>
  <c r="BC143" i="3"/>
  <c r="BD140" i="3" s="1"/>
  <c r="AD144" i="3"/>
  <c r="AD102" i="3"/>
  <c r="BC102" i="3" s="1"/>
  <c r="BC30" i="3"/>
  <c r="AE11" i="11" l="1"/>
  <c r="AE34" i="11"/>
  <c r="AE38" i="11" s="1"/>
  <c r="AD47" i="11"/>
  <c r="AD49" i="11" s="1"/>
  <c r="AD50" i="11"/>
  <c r="AD81" i="11"/>
  <c r="AD85" i="11"/>
  <c r="AD29" i="3" s="1"/>
  <c r="AD112" i="3" s="1"/>
  <c r="AD31" i="3" l="1"/>
  <c r="AD33" i="3" s="1"/>
  <c r="AD32" i="3"/>
  <c r="BC29" i="3"/>
  <c r="AD89" i="11"/>
  <c r="AD90" i="11" s="1"/>
  <c r="BC31" i="3" l="1"/>
  <c r="BC112" i="3"/>
  <c r="AD46" i="3"/>
  <c r="AD51" i="3" s="1"/>
  <c r="AD47" i="3"/>
  <c r="AD40" i="3"/>
  <c r="AD113" i="3"/>
  <c r="AD60" i="3"/>
  <c r="AD63" i="3" s="1"/>
  <c r="BC63" i="3" s="1"/>
  <c r="AD36" i="3"/>
  <c r="BC33" i="3" l="1"/>
  <c r="BC40" i="3"/>
  <c r="AD103" i="3"/>
  <c r="AD43" i="3"/>
  <c r="AD81" i="3"/>
  <c r="AD42" i="3"/>
  <c r="AD52" i="3"/>
  <c r="AC55" i="3"/>
  <c r="AD67" i="3"/>
  <c r="AD48" i="3"/>
  <c r="AD53" i="3" s="1"/>
  <c r="BC60" i="3"/>
  <c r="BC36" i="3"/>
  <c r="BC64" i="3"/>
  <c r="BC46" i="3"/>
  <c r="BC113" i="3"/>
  <c r="BC47" i="3"/>
  <c r="BC52" i="3" s="1"/>
  <c r="BC213" i="3"/>
  <c r="BC67" i="3" l="1"/>
  <c r="BC48" i="3"/>
  <c r="BC51" i="3"/>
  <c r="BC42" i="3"/>
  <c r="AD14" i="11"/>
  <c r="BC81" i="3"/>
  <c r="AD83" i="3"/>
  <c r="AD104" i="3"/>
  <c r="BC104" i="3" s="1"/>
  <c r="BC103" i="3"/>
  <c r="BC214" i="3" s="1"/>
  <c r="BC216" i="3" s="1"/>
  <c r="BC43" i="3"/>
  <c r="BC39" i="3"/>
  <c r="AD20" i="11" l="1"/>
  <c r="AD41" i="11" s="1"/>
  <c r="AD43" i="11" s="1"/>
  <c r="AD45" i="11" s="1"/>
  <c r="AE162" i="3"/>
  <c r="BC83" i="3"/>
  <c r="BC84" i="3" s="1"/>
  <c r="BC53" i="3"/>
  <c r="BC86" i="3" l="1"/>
  <c r="AE18" i="11"/>
  <c r="AE96" i="3"/>
  <c r="AE97" i="3" s="1"/>
  <c r="BC108" i="3" l="1"/>
  <c r="BC92" i="3"/>
  <c r="AF95" i="3" l="1"/>
  <c r="AE54" i="3" l="1"/>
  <c r="AE51" i="11" l="1"/>
  <c r="AE22" i="11"/>
  <c r="AE109" i="3"/>
  <c r="AE111" i="3"/>
  <c r="AE86" i="3"/>
  <c r="AE108" i="3" s="1"/>
  <c r="AE80" i="11" l="1"/>
  <c r="AE52" i="11"/>
  <c r="AE90" i="3"/>
  <c r="AE92" i="3"/>
  <c r="AE93" i="3"/>
  <c r="AF101" i="3"/>
  <c r="AE125" i="3"/>
  <c r="AE138" i="3"/>
  <c r="AE141" i="3" l="1"/>
  <c r="AE143" i="3" s="1"/>
  <c r="AE144" i="3"/>
  <c r="AF140" i="3"/>
  <c r="AE102" i="3"/>
  <c r="AF11" i="11"/>
  <c r="AF34" i="11"/>
  <c r="AF38" i="11" s="1"/>
  <c r="AG28" i="11"/>
  <c r="AG30" i="11" s="1"/>
  <c r="AH30" i="11"/>
  <c r="AH31" i="11" s="1"/>
  <c r="AE47" i="11"/>
  <c r="AE49" i="11" s="1"/>
  <c r="AE81" i="11"/>
  <c r="AE85" i="11"/>
  <c r="AG31" i="11" l="1"/>
  <c r="AE89" i="11"/>
  <c r="AE29" i="3"/>
  <c r="AE31" i="3" l="1"/>
  <c r="AE112" i="3"/>
  <c r="AE32" i="3"/>
  <c r="AE39" i="3" l="1"/>
  <c r="AE46" i="3"/>
  <c r="AE33" i="3"/>
  <c r="AE60" i="3"/>
  <c r="AE63" i="3" s="1"/>
  <c r="AE47" i="3"/>
  <c r="AE52" i="3" s="1"/>
  <c r="AE36" i="3"/>
  <c r="AE113" i="3"/>
  <c r="AE51" i="3" l="1"/>
  <c r="AE43" i="3"/>
  <c r="AE81" i="3"/>
  <c r="AE42" i="3"/>
  <c r="AE103" i="3"/>
  <c r="AE67" i="3"/>
  <c r="AE48" i="3"/>
  <c r="AE53" i="3" s="1"/>
  <c r="AE83" i="3" l="1"/>
  <c r="AE14" i="11"/>
  <c r="AE104" i="3"/>
  <c r="AE20" i="11" l="1"/>
  <c r="AE41" i="11" s="1"/>
  <c r="AE43" i="11" s="1"/>
  <c r="AE45" i="11" s="1"/>
  <c r="BD134" i="3"/>
  <c r="AF162" i="3"/>
  <c r="AF96" i="3" l="1"/>
  <c r="AF97" i="3" s="1"/>
  <c r="BD97" i="3" s="1"/>
  <c r="BD133" i="3"/>
  <c r="BD215" i="3" l="1"/>
  <c r="BD96" i="3"/>
  <c r="AG95" i="3" l="1"/>
  <c r="BD88" i="3" l="1"/>
  <c r="AF51" i="11" l="1"/>
  <c r="BD70" i="3"/>
  <c r="BD78" i="3" s="1"/>
  <c r="AF80" i="11" l="1"/>
  <c r="AF52" i="11"/>
  <c r="AH52" i="11" s="1"/>
  <c r="AI52" i="11" s="1"/>
  <c r="AJ52" i="11" s="1"/>
  <c r="AK52" i="11" s="1"/>
  <c r="AL52" i="11" s="1"/>
  <c r="AM52" i="11" s="1"/>
  <c r="AN52" i="11" s="1"/>
  <c r="AO52" i="11" s="1"/>
  <c r="AP52" i="11" s="1"/>
  <c r="BD119" i="3"/>
  <c r="AF22" i="11" l="1"/>
  <c r="BD82" i="3"/>
  <c r="BD109" i="3" s="1"/>
  <c r="AF109" i="3"/>
  <c r="AF111" i="3"/>
  <c r="BD111" i="3"/>
  <c r="AF86" i="3" l="1"/>
  <c r="AF108" i="3"/>
  <c r="BD89" i="3"/>
  <c r="AF90" i="3"/>
  <c r="AF92" i="3" s="1"/>
  <c r="AF93" i="3" s="1"/>
  <c r="BD90" i="3"/>
  <c r="BD217" i="3" s="1"/>
  <c r="BE212" i="3" l="1"/>
  <c r="AG101" i="3"/>
  <c r="BD120" i="3"/>
  <c r="BD121" i="3"/>
  <c r="BD125" i="3" s="1"/>
  <c r="AF125" i="3"/>
  <c r="BD135" i="3" l="1"/>
  <c r="AF138" i="3"/>
  <c r="BD138" i="3"/>
  <c r="BD141" i="3" s="1"/>
  <c r="AF141" i="3"/>
  <c r="AF143" i="3" s="1"/>
  <c r="AF144" i="3" l="1"/>
  <c r="AG140" i="3"/>
  <c r="BD143" i="3"/>
  <c r="BE140" i="3" s="1"/>
  <c r="AF102" i="3"/>
  <c r="BD102" i="3" s="1"/>
  <c r="BD49" i="3"/>
  <c r="BD54" i="3" s="1"/>
  <c r="AF54" i="3"/>
  <c r="AG54" i="3" l="1"/>
  <c r="BE49" i="3"/>
  <c r="AH54" i="3"/>
  <c r="AF12" i="3"/>
  <c r="AF18" i="15"/>
  <c r="AF44" i="15" s="1"/>
  <c r="AF47" i="15" s="1"/>
  <c r="AF48" i="15" s="1"/>
  <c r="AI48" i="15" s="1"/>
  <c r="AJ48" i="15" s="1"/>
  <c r="AK48" i="15" s="1"/>
  <c r="AL48" i="15" s="1"/>
  <c r="AM48" i="15" s="1"/>
  <c r="AN48" i="15" s="1"/>
  <c r="AO48" i="15" s="1"/>
  <c r="AP48" i="15" s="1"/>
  <c r="BD12" i="3" l="1"/>
  <c r="AF15" i="3"/>
  <c r="BE54" i="3"/>
  <c r="AF20" i="3"/>
  <c r="AF50" i="15"/>
  <c r="BD15" i="3" l="1"/>
  <c r="BD20" i="3"/>
  <c r="AF22" i="3"/>
  <c r="AF27" i="3" l="1"/>
  <c r="BD22" i="3"/>
  <c r="AG15" i="3"/>
  <c r="BD27" i="3" l="1"/>
  <c r="AG11" i="11" l="1"/>
  <c r="AG34" i="11" s="1"/>
  <c r="AG38" i="11" s="1"/>
  <c r="AF45" i="11"/>
  <c r="AF47" i="11" l="1"/>
  <c r="AF49" i="11" s="1"/>
  <c r="AF81" i="11"/>
  <c r="AF85" i="11" s="1"/>
  <c r="AF89" i="11" l="1"/>
  <c r="AF90" i="11" s="1"/>
  <c r="AF29" i="3"/>
  <c r="AF112" i="3" l="1"/>
  <c r="BD29" i="3"/>
  <c r="BD112" i="3" l="1"/>
  <c r="AF32" i="3"/>
  <c r="BD30" i="3"/>
  <c r="BD31" i="3" s="1"/>
  <c r="AF31" i="3"/>
  <c r="AF39" i="3" l="1"/>
  <c r="AF44" i="3"/>
  <c r="BD36" i="3"/>
  <c r="BD47" i="3"/>
  <c r="BD52" i="3" s="1"/>
  <c r="BD60" i="3"/>
  <c r="BD46" i="3"/>
  <c r="BD113" i="3"/>
  <c r="BD213" i="3"/>
  <c r="AF46" i="3"/>
  <c r="AF36" i="3"/>
  <c r="AF47" i="3"/>
  <c r="AF52" i="3" s="1"/>
  <c r="AF60" i="3"/>
  <c r="AF63" i="3" s="1"/>
  <c r="BD63" i="3" s="1"/>
  <c r="BD64" i="3" s="1"/>
  <c r="AF113" i="3"/>
  <c r="BD33" i="3"/>
  <c r="AF33" i="3"/>
  <c r="AF48" i="3" l="1"/>
  <c r="AF53" i="3" s="1"/>
  <c r="AF67" i="3"/>
  <c r="AF51" i="3"/>
  <c r="AE45" i="3"/>
  <c r="AF103" i="3"/>
  <c r="AF42" i="3"/>
  <c r="AF81" i="3"/>
  <c r="AF43" i="3"/>
  <c r="BD40" i="3"/>
  <c r="BD51" i="3"/>
  <c r="BD48" i="3"/>
  <c r="BD67" i="3"/>
  <c r="AF83" i="3" l="1"/>
  <c r="BD81" i="3"/>
  <c r="AG162" i="3"/>
  <c r="BD43" i="3"/>
  <c r="BD39" i="3"/>
  <c r="AF14" i="11"/>
  <c r="BD42" i="3"/>
  <c r="AF104" i="3"/>
  <c r="BD104" i="3" s="1"/>
  <c r="BD103" i="3"/>
  <c r="BD214" i="3" s="1"/>
  <c r="BD216" i="3" s="1"/>
  <c r="BD53" i="3"/>
  <c r="AG150" i="3" l="1"/>
  <c r="AG166" i="3"/>
  <c r="AG155" i="3" s="1"/>
  <c r="AG157" i="3" s="1"/>
  <c r="AG158" i="3" s="1"/>
  <c r="AG167" i="3"/>
  <c r="AF20" i="11"/>
  <c r="AF41" i="11" s="1"/>
  <c r="BD83" i="3"/>
  <c r="BD84" i="3" s="1"/>
  <c r="AG40" i="3" l="1"/>
  <c r="AH148" i="3"/>
  <c r="BD86" i="3"/>
  <c r="AG96" i="3"/>
  <c r="AG97" i="3" s="1"/>
  <c r="BE97" i="3" s="1"/>
  <c r="BD108" i="3" l="1"/>
  <c r="BD92" i="3"/>
  <c r="AH95" i="3" l="1"/>
  <c r="AI54" i="3" l="1"/>
  <c r="BF49" i="3"/>
  <c r="AJ54" i="3"/>
  <c r="BF54" i="3" l="1"/>
  <c r="AK54" i="3" l="1"/>
  <c r="BG49" i="3"/>
  <c r="BG54" i="3" s="1"/>
  <c r="AL54" i="3"/>
  <c r="AG81" i="3"/>
  <c r="AG83" i="3" s="1"/>
  <c r="AH83" i="3" s="1"/>
  <c r="AG103" i="3"/>
  <c r="AH134" i="3"/>
  <c r="AH162" i="3" s="1"/>
  <c r="AH164" i="3" s="1"/>
  <c r="BE134" i="3"/>
  <c r="BE83" i="3" l="1"/>
  <c r="AI83" i="3"/>
  <c r="AJ83" i="3" s="1"/>
  <c r="AH133" i="3"/>
  <c r="BE133" i="3" s="1"/>
  <c r="AH150" i="3"/>
  <c r="AH166" i="3"/>
  <c r="AH155" i="3" s="1"/>
  <c r="AH156" i="3" s="1"/>
  <c r="AH157" i="3" s="1"/>
  <c r="AH158" i="3" s="1"/>
  <c r="AH167" i="3"/>
  <c r="BE155" i="3" s="1"/>
  <c r="BE156" i="3" s="1"/>
  <c r="BE157" i="3" s="1"/>
  <c r="BE158" i="3" s="1"/>
  <c r="BE215" i="3"/>
  <c r="AH18" i="11"/>
  <c r="AH96" i="3"/>
  <c r="BF83" i="3" l="1"/>
  <c r="AK83" i="3"/>
  <c r="AL83" i="3" s="1"/>
  <c r="BE150" i="3"/>
  <c r="AH151" i="3"/>
  <c r="AH40" i="3" s="1"/>
  <c r="BE96" i="3"/>
  <c r="AH98" i="3"/>
  <c r="BG83" i="3" l="1"/>
  <c r="AM83" i="3"/>
  <c r="AN83" i="3" s="1"/>
  <c r="AI148" i="3"/>
  <c r="BE151" i="3"/>
  <c r="BF148" i="3" s="1"/>
  <c r="BF156" i="3" s="1"/>
  <c r="BF157" i="3" s="1"/>
  <c r="BF158" i="3" s="1"/>
  <c r="AH88" i="3"/>
  <c r="AI95" i="3"/>
  <c r="BH83" i="3" l="1"/>
  <c r="AO83" i="3"/>
  <c r="AP83" i="3" s="1"/>
  <c r="BI83" i="3" s="1"/>
  <c r="AI151" i="3"/>
  <c r="AI152" i="3" s="1"/>
  <c r="AI153" i="3" s="1"/>
  <c r="AI156" i="3"/>
  <c r="AI157" i="3" s="1"/>
  <c r="AI158" i="3" s="1"/>
  <c r="BE88" i="3"/>
  <c r="AJ148" i="3" l="1"/>
  <c r="AI40" i="3"/>
  <c r="AJ151" i="3"/>
  <c r="AJ40" i="3" s="1"/>
  <c r="AJ156" i="3"/>
  <c r="AJ157" i="3" s="1"/>
  <c r="AJ158" i="3" s="1"/>
  <c r="BF151" i="3" l="1"/>
  <c r="BG148" i="3" s="1"/>
  <c r="BG156" i="3" s="1"/>
  <c r="BG157" i="3" s="1"/>
  <c r="BG158" i="3" s="1"/>
  <c r="AK148" i="3"/>
  <c r="AK156" i="3" l="1"/>
  <c r="AK157" i="3" s="1"/>
  <c r="AK158" i="3" s="1"/>
  <c r="AK151" i="3"/>
  <c r="AL148" i="3" l="1"/>
  <c r="AK40" i="3"/>
  <c r="AL151" i="3"/>
  <c r="AL40" i="3" s="1"/>
  <c r="AL156" i="3"/>
  <c r="AL157" i="3" s="1"/>
  <c r="AL158" i="3" s="1"/>
  <c r="BG151" i="3" l="1"/>
  <c r="BH148" i="3" s="1"/>
  <c r="BH156" i="3" s="1"/>
  <c r="BH157" i="3" s="1"/>
  <c r="BH158" i="3" s="1"/>
  <c r="AM148" i="3"/>
  <c r="AM151" i="3" l="1"/>
  <c r="AN148" i="3" s="1"/>
  <c r="AM156" i="3"/>
  <c r="AM157" i="3" s="1"/>
  <c r="AM158" i="3" s="1"/>
  <c r="AN151" i="3" l="1"/>
  <c r="AN156" i="3"/>
  <c r="AN157" i="3" s="1"/>
  <c r="AN158" i="3" s="1"/>
  <c r="BH151" i="3" l="1"/>
  <c r="BI148" i="3" s="1"/>
  <c r="BI156" i="3" s="1"/>
  <c r="BI157" i="3" s="1"/>
  <c r="BI158" i="3" s="1"/>
  <c r="AO148" i="3"/>
  <c r="AO151" i="3" l="1"/>
  <c r="AP148" i="3" s="1"/>
  <c r="AO156" i="3"/>
  <c r="AO157" i="3" s="1"/>
  <c r="AO158" i="3" s="1"/>
  <c r="AP151" i="3" l="1"/>
  <c r="BI151" i="3" s="1"/>
  <c r="AP156" i="3"/>
  <c r="AP157" i="3" s="1"/>
  <c r="AP158" i="3" s="1"/>
  <c r="BE40" i="3"/>
  <c r="AH81" i="3"/>
  <c r="BE81" i="3"/>
  <c r="AH103" i="3"/>
  <c r="BE103" i="3" s="1"/>
  <c r="BE214" i="3" s="1"/>
  <c r="AI134" i="3"/>
  <c r="AI162" i="3" l="1"/>
  <c r="AI133" i="3" s="1"/>
  <c r="AI18" i="11" l="1"/>
  <c r="AI96" i="3"/>
  <c r="AI98" i="3" l="1"/>
  <c r="AI88" i="3" l="1"/>
  <c r="AJ95" i="3"/>
  <c r="BF40" i="3"/>
  <c r="AI81" i="3"/>
  <c r="AJ81" i="3"/>
  <c r="AK134" i="3" s="1"/>
  <c r="BF81" i="3"/>
  <c r="AI103" i="3"/>
  <c r="AJ103" i="3"/>
  <c r="BF103" i="3" l="1"/>
  <c r="BF214" i="3" s="1"/>
  <c r="AK162" i="3"/>
  <c r="AK133" i="3" s="1"/>
  <c r="AJ134" i="3"/>
  <c r="AJ162" i="3" l="1"/>
  <c r="AJ133" i="3" s="1"/>
  <c r="BF134" i="3"/>
  <c r="AK18" i="11"/>
  <c r="AK96" i="3"/>
  <c r="AJ18" i="11" l="1"/>
  <c r="AJ96" i="3"/>
  <c r="BF133" i="3"/>
  <c r="BF215" i="3" l="1"/>
  <c r="BF96" i="3"/>
  <c r="AJ98" i="3"/>
  <c r="AK95" i="3" l="1"/>
  <c r="AK98" i="3" s="1"/>
  <c r="AJ88" i="3"/>
  <c r="BF88" i="3" l="1"/>
  <c r="AL95" i="3"/>
  <c r="AK88" i="3"/>
  <c r="BG40" i="3"/>
  <c r="AK81" i="3"/>
  <c r="AL134" i="3" s="1"/>
  <c r="AL162" i="3" s="1"/>
  <c r="AL133" i="3" s="1"/>
  <c r="AL81" i="3"/>
  <c r="AM134" i="3" s="1"/>
  <c r="AM162" i="3" s="1"/>
  <c r="AM133" i="3" s="1"/>
  <c r="AM18" i="11" s="1"/>
  <c r="AK103" i="3"/>
  <c r="AL103" i="3"/>
  <c r="BG103" i="3" l="1"/>
  <c r="BG214" i="3" s="1"/>
  <c r="BG81" i="3"/>
  <c r="BG134" i="3"/>
  <c r="AL96" i="3"/>
  <c r="AL18" i="11"/>
  <c r="BG133" i="3"/>
  <c r="AM96" i="3"/>
  <c r="BG215" i="3" l="1"/>
  <c r="AL98" i="3"/>
  <c r="BG96" i="3"/>
  <c r="AM95" i="3" l="1"/>
  <c r="AM98" i="3" s="1"/>
  <c r="AL88" i="3"/>
  <c r="BG88" i="3" l="1"/>
  <c r="AM88" i="3"/>
  <c r="AN95" i="3"/>
  <c r="AN39" i="3"/>
  <c r="AO39" i="3" s="1"/>
  <c r="AP39" i="3" s="1"/>
  <c r="AG51" i="11" l="1"/>
  <c r="AG80" i="11" s="1"/>
  <c r="AG22" i="11" l="1"/>
  <c r="AG86" i="3"/>
  <c r="AG108" i="3" s="1"/>
  <c r="AG109" i="3"/>
  <c r="AG111" i="3"/>
  <c r="AG90" i="3"/>
  <c r="AG92" i="3" s="1"/>
  <c r="AG93" i="3" s="1"/>
  <c r="AH101" i="3"/>
  <c r="AG125" i="3"/>
  <c r="AG138" i="3"/>
  <c r="AG141" i="3" s="1"/>
  <c r="AG143" i="3" s="1"/>
  <c r="AH140" i="3" l="1"/>
  <c r="AG144" i="3"/>
  <c r="AG102" i="3"/>
  <c r="AG104" i="3" l="1"/>
  <c r="AG12" i="3"/>
  <c r="AG18" i="15"/>
  <c r="AH18" i="15" s="1"/>
  <c r="AG44" i="15"/>
  <c r="AG47" i="15" s="1"/>
  <c r="AG20" i="3" l="1"/>
  <c r="AH20" i="15"/>
  <c r="AH22" i="15" s="1"/>
  <c r="AH12" i="3" s="1"/>
  <c r="AI18" i="15"/>
  <c r="AH44" i="15"/>
  <c r="AH47" i="15" s="1"/>
  <c r="AH49" i="15" s="1"/>
  <c r="AH20" i="3" s="1"/>
  <c r="AH22" i="3" s="1"/>
  <c r="AI20" i="15" l="1"/>
  <c r="AI22" i="15" s="1"/>
  <c r="AI12" i="3" s="1"/>
  <c r="AJ18" i="15"/>
  <c r="AI44" i="15"/>
  <c r="AI47" i="15" s="1"/>
  <c r="AI49" i="15" s="1"/>
  <c r="AH15" i="3"/>
  <c r="AH27" i="3" s="1"/>
  <c r="BE12" i="3"/>
  <c r="BE15" i="3" s="1"/>
  <c r="AH50" i="15"/>
  <c r="BE20" i="3"/>
  <c r="BE22" i="3" s="1"/>
  <c r="AG22" i="3"/>
  <c r="AG27" i="3" l="1"/>
  <c r="BE27" i="3"/>
  <c r="AH117" i="3"/>
  <c r="AI20" i="3"/>
  <c r="AJ20" i="15"/>
  <c r="AJ22" i="15" s="1"/>
  <c r="AJ12" i="3" s="1"/>
  <c r="AJ15" i="3" s="1"/>
  <c r="AK18" i="15"/>
  <c r="AJ44" i="15"/>
  <c r="AJ47" i="15" s="1"/>
  <c r="AJ49" i="15" s="1"/>
  <c r="AJ20" i="3" s="1"/>
  <c r="AI15" i="3"/>
  <c r="BF12" i="3"/>
  <c r="BF15" i="3" s="1"/>
  <c r="AJ22" i="3" l="1"/>
  <c r="AK20" i="15"/>
  <c r="AK22" i="15" s="1"/>
  <c r="AK12" i="3" s="1"/>
  <c r="AL18" i="15"/>
  <c r="AK44" i="15"/>
  <c r="AK47" i="15" s="1"/>
  <c r="AK49" i="15" s="1"/>
  <c r="AJ27" i="3"/>
  <c r="AJ50" i="15"/>
  <c r="BF20" i="3"/>
  <c r="BF22" i="3" s="1"/>
  <c r="AI22" i="3"/>
  <c r="BE117" i="3"/>
  <c r="AK15" i="3" l="1"/>
  <c r="AI27" i="3"/>
  <c r="AJ117" i="3"/>
  <c r="AK20" i="3"/>
  <c r="AM18" i="15"/>
  <c r="AL44" i="15"/>
  <c r="AL47" i="15" s="1"/>
  <c r="AL49" i="15" s="1"/>
  <c r="AL20" i="3" s="1"/>
  <c r="AL22" i="3" s="1"/>
  <c r="AL20" i="15"/>
  <c r="AL22" i="15" s="1"/>
  <c r="AL12" i="3" s="1"/>
  <c r="AL15" i="3" s="1"/>
  <c r="BF27" i="3"/>
  <c r="AL27" i="3" l="1"/>
  <c r="AI117" i="3"/>
  <c r="AL117" i="3"/>
  <c r="AM44" i="15"/>
  <c r="AM47" i="15" s="1"/>
  <c r="AM49" i="15" s="1"/>
  <c r="AM20" i="15"/>
  <c r="AM22" i="15" s="1"/>
  <c r="AM12" i="3" s="1"/>
  <c r="AN18" i="15"/>
  <c r="AL50" i="15"/>
  <c r="BG20" i="3"/>
  <c r="BG22" i="3" s="1"/>
  <c r="AK22" i="3"/>
  <c r="AK27" i="3" s="1"/>
  <c r="BG12" i="3"/>
  <c r="BG15" i="3" s="1"/>
  <c r="AM20" i="3" l="1"/>
  <c r="AK117" i="3"/>
  <c r="BF117" i="3"/>
  <c r="BG27" i="3"/>
  <c r="AO18" i="15"/>
  <c r="AN44" i="15"/>
  <c r="AN47" i="15" s="1"/>
  <c r="AN49" i="15" s="1"/>
  <c r="AN20" i="3" s="1"/>
  <c r="AN22" i="3" s="1"/>
  <c r="AN20" i="15"/>
  <c r="AN22" i="15" s="1"/>
  <c r="AN12" i="3" s="1"/>
  <c r="AN15" i="3" s="1"/>
  <c r="AM15" i="3"/>
  <c r="BH12" i="3"/>
  <c r="BH15" i="3" s="1"/>
  <c r="AN27" i="3" l="1"/>
  <c r="AN117" i="3" s="1"/>
  <c r="BG117" i="3"/>
  <c r="AN50" i="15"/>
  <c r="AP18" i="15"/>
  <c r="AO44" i="15"/>
  <c r="AO47" i="15" s="1"/>
  <c r="AO49" i="15" s="1"/>
  <c r="AO20" i="15"/>
  <c r="AO22" i="15" s="1"/>
  <c r="AO12" i="3" s="1"/>
  <c r="BH20" i="3"/>
  <c r="BH22" i="3" s="1"/>
  <c r="BH27" i="3" s="1"/>
  <c r="AM22" i="3"/>
  <c r="AM27" i="3" l="1"/>
  <c r="AO15" i="3"/>
  <c r="AO20" i="3"/>
  <c r="AP20" i="15"/>
  <c r="AP22" i="15" s="1"/>
  <c r="AP12" i="3" s="1"/>
  <c r="AP15" i="3" s="1"/>
  <c r="AP44" i="15"/>
  <c r="AP47" i="15" s="1"/>
  <c r="AP49" i="15" s="1"/>
  <c r="AP20" i="3" s="1"/>
  <c r="AP22" i="3" s="1"/>
  <c r="AP27" i="3" l="1"/>
  <c r="AO22" i="3"/>
  <c r="BI20" i="3"/>
  <c r="BI22" i="3" s="1"/>
  <c r="AP50" i="15"/>
  <c r="BI12" i="3"/>
  <c r="BI15" i="3" s="1"/>
  <c r="AO27" i="3"/>
  <c r="AM117" i="3"/>
  <c r="BI27" i="3" l="1"/>
  <c r="BH117" i="3"/>
  <c r="AO117" i="3"/>
  <c r="AP117" i="3"/>
  <c r="BI117" i="3" l="1"/>
  <c r="AH11" i="11"/>
  <c r="AH34" i="11"/>
  <c r="AH38" i="11" s="1"/>
  <c r="AG47" i="11"/>
  <c r="AG49" i="11"/>
  <c r="AG81" i="11"/>
  <c r="AG85" i="11" s="1"/>
  <c r="AG89" i="11" l="1"/>
  <c r="AG29" i="3"/>
  <c r="AG32" i="3" l="1"/>
  <c r="AG31" i="3"/>
  <c r="AG112" i="3"/>
  <c r="AG39" i="3" l="1"/>
  <c r="AG46" i="3"/>
  <c r="AG113" i="3"/>
  <c r="AG36" i="3"/>
  <c r="AG60" i="3"/>
  <c r="AG63" i="3" s="1"/>
  <c r="BE63" i="3" s="1"/>
  <c r="AG47" i="3"/>
  <c r="AG52" i="3" s="1"/>
  <c r="AG33" i="3"/>
  <c r="AG43" i="3" l="1"/>
  <c r="AG48" i="3"/>
  <c r="AG53" i="3" s="1"/>
  <c r="AG42" i="3"/>
  <c r="AG67" i="3"/>
  <c r="AG51" i="3"/>
  <c r="AG14" i="11" l="1"/>
  <c r="AG20" i="11" l="1"/>
  <c r="AG41" i="11"/>
  <c r="AG43" i="11" s="1"/>
  <c r="AG45" i="11" s="1"/>
  <c r="AC11" i="11" l="1"/>
  <c r="AI11" i="11"/>
  <c r="AJ11" i="11"/>
  <c r="AK11" i="11"/>
  <c r="AL11" i="11"/>
  <c r="AM11" i="11"/>
  <c r="AN11" i="11"/>
  <c r="AO11" i="11"/>
  <c r="AP11" i="11"/>
  <c r="AH14" i="11"/>
  <c r="AI14" i="11"/>
  <c r="AJ14" i="11"/>
  <c r="AK14" i="11"/>
  <c r="AL14" i="11"/>
  <c r="AM14" i="11"/>
  <c r="AN14" i="11"/>
  <c r="AO14" i="11"/>
  <c r="AP14" i="11"/>
  <c r="AN18" i="11"/>
  <c r="AO18" i="11"/>
  <c r="AP18" i="11"/>
  <c r="AB20" i="11"/>
  <c r="AC20" i="11"/>
  <c r="AB21" i="11"/>
  <c r="AH21" i="11"/>
  <c r="AI21" i="11"/>
  <c r="AJ21" i="11"/>
  <c r="AK21" i="11"/>
  <c r="AL21" i="11"/>
  <c r="AM21" i="11"/>
  <c r="AN21" i="11"/>
  <c r="AO21" i="11"/>
  <c r="AP21" i="11"/>
  <c r="AH22" i="11"/>
  <c r="AI22" i="11"/>
  <c r="AJ22" i="11"/>
  <c r="AK22" i="11"/>
  <c r="AL22" i="11"/>
  <c r="AM22" i="11"/>
  <c r="AN22" i="11"/>
  <c r="AO22" i="11"/>
  <c r="AP22" i="11"/>
  <c r="AB24" i="11"/>
  <c r="AC34" i="11"/>
  <c r="AI34" i="11"/>
  <c r="AJ34" i="11"/>
  <c r="AK34" i="11"/>
  <c r="AL34" i="11"/>
  <c r="AM34" i="11"/>
  <c r="AN34" i="11"/>
  <c r="AO34" i="11"/>
  <c r="AP34" i="11"/>
  <c r="AC38" i="11"/>
  <c r="AI38" i="11"/>
  <c r="AJ38" i="11"/>
  <c r="AK38" i="11"/>
  <c r="AL38" i="11"/>
  <c r="AM38" i="11"/>
  <c r="AN38" i="11"/>
  <c r="AO38" i="11"/>
  <c r="AP38" i="11"/>
  <c r="AB41" i="11"/>
  <c r="AC41" i="11"/>
  <c r="AH41" i="11"/>
  <c r="AI41" i="11"/>
  <c r="AJ41" i="11"/>
  <c r="AK41" i="11"/>
  <c r="AL41" i="11"/>
  <c r="AM41" i="11"/>
  <c r="AN41" i="11"/>
  <c r="AO41" i="11"/>
  <c r="AP41" i="11"/>
  <c r="AB43" i="11"/>
  <c r="AC43" i="11"/>
  <c r="AH43" i="11"/>
  <c r="AI43" i="11"/>
  <c r="AJ43" i="11"/>
  <c r="AK43" i="11"/>
  <c r="AL43" i="11"/>
  <c r="AM43" i="11"/>
  <c r="AN43" i="11"/>
  <c r="AO43" i="11"/>
  <c r="AP43" i="11"/>
  <c r="AB45" i="11"/>
  <c r="AC45" i="11"/>
  <c r="AH45" i="11"/>
  <c r="AI45" i="11"/>
  <c r="AJ45" i="11"/>
  <c r="AK45" i="11"/>
  <c r="AL45" i="11"/>
  <c r="AM45" i="11"/>
  <c r="AN45" i="11"/>
  <c r="AO45" i="11"/>
  <c r="AP45" i="11"/>
  <c r="AH46" i="11"/>
  <c r="AI46" i="11"/>
  <c r="AJ46" i="11"/>
  <c r="AK46" i="11"/>
  <c r="AL46" i="11"/>
  <c r="AM46" i="11"/>
  <c r="AN46" i="11"/>
  <c r="AO46" i="11"/>
  <c r="AP46" i="11"/>
  <c r="AB47" i="11"/>
  <c r="AC47" i="11"/>
  <c r="AH47" i="11"/>
  <c r="AI47" i="11"/>
  <c r="AJ47" i="11"/>
  <c r="AK47" i="11"/>
  <c r="AL47" i="11"/>
  <c r="AM47" i="11"/>
  <c r="AN47" i="11"/>
  <c r="AO47" i="11"/>
  <c r="AP47" i="11"/>
  <c r="AB49" i="11"/>
  <c r="AC49" i="11"/>
  <c r="AH49" i="11"/>
  <c r="AI49" i="11"/>
  <c r="AJ49" i="11"/>
  <c r="AK49" i="11"/>
  <c r="AL49" i="11"/>
  <c r="AM49" i="11"/>
  <c r="AN49" i="11"/>
  <c r="AO49" i="11"/>
  <c r="AP49" i="11"/>
  <c r="AH51" i="11"/>
  <c r="AI51" i="11"/>
  <c r="AJ51" i="11"/>
  <c r="AK51" i="11"/>
  <c r="AL51" i="11"/>
  <c r="AM51" i="11"/>
  <c r="AN51" i="11"/>
  <c r="AO51" i="11"/>
  <c r="AP51" i="11"/>
  <c r="AH53" i="11"/>
  <c r="AI53" i="11"/>
  <c r="AJ53" i="11"/>
  <c r="AK53" i="11"/>
  <c r="AL53" i="11"/>
  <c r="AM53" i="11"/>
  <c r="AN53" i="11"/>
  <c r="AO53" i="11"/>
  <c r="AP53" i="11"/>
  <c r="AH80" i="11"/>
  <c r="AI80" i="11"/>
  <c r="AJ80" i="11"/>
  <c r="AK80" i="11"/>
  <c r="AL80" i="11"/>
  <c r="AM80" i="11"/>
  <c r="AN80" i="11"/>
  <c r="AO80" i="11"/>
  <c r="AP80" i="11"/>
  <c r="AH81" i="11"/>
  <c r="AI81" i="11"/>
  <c r="AJ81" i="11"/>
  <c r="AK81" i="11"/>
  <c r="AL81" i="11"/>
  <c r="AM81" i="11"/>
  <c r="AN81" i="11"/>
  <c r="AO81" i="11"/>
  <c r="AP81" i="11"/>
  <c r="AH85" i="11"/>
  <c r="AI85" i="11"/>
  <c r="AJ85" i="11"/>
  <c r="AK85" i="11"/>
  <c r="AL85" i="11"/>
  <c r="AM85" i="11"/>
  <c r="AN85" i="11"/>
  <c r="AO85" i="11"/>
  <c r="AP85" i="11"/>
  <c r="AH89" i="11"/>
  <c r="AI89" i="11"/>
  <c r="AJ89" i="11"/>
  <c r="AK89" i="11"/>
  <c r="AL89" i="11"/>
  <c r="AM89" i="11"/>
  <c r="AN89" i="11"/>
  <c r="AO89" i="11"/>
  <c r="AP89" i="11"/>
  <c r="AH90" i="11"/>
  <c r="AJ90" i="11"/>
  <c r="AL90" i="11"/>
  <c r="AN90" i="11"/>
  <c r="AP90" i="11"/>
  <c r="AH29" i="3"/>
  <c r="AI29" i="3"/>
  <c r="AJ29" i="3"/>
  <c r="AK29" i="3"/>
  <c r="AL29" i="3"/>
  <c r="AM29" i="3"/>
  <c r="AN29" i="3"/>
  <c r="AO29" i="3"/>
  <c r="AP29" i="3"/>
  <c r="BE29" i="3"/>
  <c r="BF29" i="3"/>
  <c r="BG29" i="3"/>
  <c r="BH29" i="3"/>
  <c r="BI29" i="3"/>
  <c r="AH30" i="3"/>
  <c r="AI30" i="3"/>
  <c r="AJ30" i="3"/>
  <c r="AK30" i="3"/>
  <c r="AL30" i="3"/>
  <c r="AM30" i="3"/>
  <c r="AN30" i="3"/>
  <c r="AO30" i="3"/>
  <c r="AP30" i="3"/>
  <c r="BE30" i="3"/>
  <c r="BF30" i="3"/>
  <c r="BG30" i="3"/>
  <c r="BH30" i="3"/>
  <c r="BI30" i="3"/>
  <c r="AH31" i="3"/>
  <c r="AI31" i="3"/>
  <c r="AJ31" i="3"/>
  <c r="AK31" i="3"/>
  <c r="AL31" i="3"/>
  <c r="AM31" i="3"/>
  <c r="AN31" i="3"/>
  <c r="AO31" i="3"/>
  <c r="AP31" i="3"/>
  <c r="BE31" i="3"/>
  <c r="BF31" i="3"/>
  <c r="BG31" i="3"/>
  <c r="BH31" i="3"/>
  <c r="BI31" i="3"/>
  <c r="AH32" i="3"/>
  <c r="AI32" i="3"/>
  <c r="AJ32" i="3"/>
  <c r="AK32" i="3"/>
  <c r="AL32" i="3"/>
  <c r="AM32" i="3"/>
  <c r="AN32" i="3"/>
  <c r="AO32" i="3"/>
  <c r="AP32" i="3"/>
  <c r="AH33" i="3"/>
  <c r="AI33" i="3"/>
  <c r="AJ33" i="3"/>
  <c r="AK33" i="3"/>
  <c r="AL33" i="3"/>
  <c r="AM33" i="3"/>
  <c r="AN33" i="3"/>
  <c r="AO33" i="3"/>
  <c r="AP33" i="3"/>
  <c r="BE33" i="3"/>
  <c r="BF33" i="3"/>
  <c r="AH36" i="3"/>
  <c r="AI36" i="3"/>
  <c r="AJ36" i="3"/>
  <c r="AK36" i="3"/>
  <c r="AL36" i="3"/>
  <c r="AM36" i="3"/>
  <c r="AN36" i="3"/>
  <c r="AO36" i="3"/>
  <c r="AP36" i="3"/>
  <c r="BE36" i="3"/>
  <c r="BF36" i="3"/>
  <c r="BG36" i="3"/>
  <c r="BH36" i="3"/>
  <c r="BI36" i="3"/>
  <c r="AH39" i="3"/>
  <c r="AI39" i="3"/>
  <c r="AJ39" i="3"/>
  <c r="AK39" i="3"/>
  <c r="AL39" i="3"/>
  <c r="BE39" i="3"/>
  <c r="BF39" i="3"/>
  <c r="BG39" i="3"/>
  <c r="BH39" i="3"/>
  <c r="BI39" i="3"/>
  <c r="AM40" i="3"/>
  <c r="AN40" i="3"/>
  <c r="AO40" i="3"/>
  <c r="AP40" i="3"/>
  <c r="BH40" i="3"/>
  <c r="BI40" i="3"/>
  <c r="AH42" i="3"/>
  <c r="AI42" i="3"/>
  <c r="AJ42" i="3"/>
  <c r="AK42" i="3"/>
  <c r="AL42" i="3"/>
  <c r="AM42" i="3"/>
  <c r="AN42" i="3"/>
  <c r="AO42" i="3"/>
  <c r="AP42" i="3"/>
  <c r="BE42" i="3"/>
  <c r="BF42" i="3"/>
  <c r="BG42" i="3"/>
  <c r="BH42" i="3"/>
  <c r="BI42" i="3"/>
  <c r="AH43" i="3"/>
  <c r="AI43" i="3"/>
  <c r="AJ43" i="3"/>
  <c r="AK43" i="3"/>
  <c r="AL43" i="3"/>
  <c r="AM43" i="3"/>
  <c r="AN43" i="3"/>
  <c r="AO43" i="3"/>
  <c r="AP43" i="3"/>
  <c r="BE43" i="3"/>
  <c r="BF43" i="3"/>
  <c r="BG43" i="3"/>
  <c r="BH43" i="3"/>
  <c r="BI43" i="3"/>
  <c r="AH44" i="3"/>
  <c r="AJ44" i="3"/>
  <c r="AL44" i="3"/>
  <c r="AH46" i="3"/>
  <c r="AI46" i="3"/>
  <c r="AJ46" i="3"/>
  <c r="AK46" i="3"/>
  <c r="AL46" i="3"/>
  <c r="AM46" i="3"/>
  <c r="AN46" i="3"/>
  <c r="AO46" i="3"/>
  <c r="AP46" i="3"/>
  <c r="BE46" i="3"/>
  <c r="BF46" i="3"/>
  <c r="BG46" i="3"/>
  <c r="BH46" i="3"/>
  <c r="BI46" i="3"/>
  <c r="AH47" i="3"/>
  <c r="AI47" i="3"/>
  <c r="AJ47" i="3"/>
  <c r="AK47" i="3"/>
  <c r="AL47" i="3"/>
  <c r="AM47" i="3"/>
  <c r="AN47" i="3"/>
  <c r="AO47" i="3"/>
  <c r="AP47" i="3"/>
  <c r="BE47" i="3"/>
  <c r="BF47" i="3"/>
  <c r="BG47" i="3"/>
  <c r="BH47" i="3"/>
  <c r="BI47" i="3"/>
  <c r="AH48" i="3"/>
  <c r="AI48" i="3"/>
  <c r="AJ48" i="3"/>
  <c r="AK48" i="3"/>
  <c r="AL48" i="3"/>
  <c r="AM48" i="3"/>
  <c r="AN48" i="3"/>
  <c r="AO48" i="3"/>
  <c r="AP48" i="3"/>
  <c r="BE48" i="3"/>
  <c r="BF48" i="3"/>
  <c r="BG48" i="3"/>
  <c r="BH48" i="3"/>
  <c r="BI48" i="3"/>
  <c r="AM49" i="3"/>
  <c r="AN49" i="3"/>
  <c r="AO49" i="3"/>
  <c r="AP49" i="3"/>
  <c r="BH49" i="3"/>
  <c r="BI49" i="3"/>
  <c r="AH51" i="3"/>
  <c r="AI51" i="3"/>
  <c r="AJ51" i="3"/>
  <c r="AK51" i="3"/>
  <c r="AL51" i="3"/>
  <c r="AM51" i="3"/>
  <c r="AN51" i="3"/>
  <c r="AO51" i="3"/>
  <c r="AP51" i="3"/>
  <c r="BE51" i="3"/>
  <c r="BF51" i="3"/>
  <c r="BG51" i="3"/>
  <c r="BH51" i="3"/>
  <c r="BI51" i="3"/>
  <c r="AH52" i="3"/>
  <c r="AI52" i="3"/>
  <c r="AJ52" i="3"/>
  <c r="AK52" i="3"/>
  <c r="AL52" i="3"/>
  <c r="AM52" i="3"/>
  <c r="AN52" i="3"/>
  <c r="AO52" i="3"/>
  <c r="AP52" i="3"/>
  <c r="BE52" i="3"/>
  <c r="BF52" i="3"/>
  <c r="BG52" i="3"/>
  <c r="BH52" i="3"/>
  <c r="BI52" i="3"/>
  <c r="AH53" i="3"/>
  <c r="AI53" i="3"/>
  <c r="AJ53" i="3"/>
  <c r="AK53" i="3"/>
  <c r="AL53" i="3"/>
  <c r="AM53" i="3"/>
  <c r="AN53" i="3"/>
  <c r="AO53" i="3"/>
  <c r="AP53" i="3"/>
  <c r="BE53" i="3"/>
  <c r="BF53" i="3"/>
  <c r="BG53" i="3"/>
  <c r="BH53" i="3"/>
  <c r="BI53" i="3"/>
  <c r="AM54" i="3"/>
  <c r="AN54" i="3"/>
  <c r="AO54" i="3"/>
  <c r="AP54" i="3"/>
  <c r="BH54" i="3"/>
  <c r="BI54" i="3"/>
  <c r="AH60" i="3"/>
  <c r="AI60" i="3"/>
  <c r="AJ60" i="3"/>
  <c r="AK60" i="3"/>
  <c r="AL60" i="3"/>
  <c r="AM60" i="3"/>
  <c r="AN60" i="3"/>
  <c r="AO60" i="3"/>
  <c r="AP60" i="3"/>
  <c r="BE60" i="3"/>
  <c r="BF60" i="3"/>
  <c r="BG60" i="3"/>
  <c r="BH60" i="3"/>
  <c r="BI60" i="3"/>
  <c r="AH64" i="3"/>
  <c r="AI64" i="3"/>
  <c r="AJ64" i="3"/>
  <c r="AK64" i="3"/>
  <c r="AL64" i="3"/>
  <c r="AM64" i="3"/>
  <c r="AN64" i="3"/>
  <c r="AO64" i="3"/>
  <c r="AP64" i="3"/>
  <c r="BE64" i="3"/>
  <c r="BF64" i="3"/>
  <c r="BG64" i="3"/>
  <c r="BH64" i="3"/>
  <c r="BI64" i="3"/>
  <c r="AH67" i="3"/>
  <c r="AI67" i="3"/>
  <c r="AJ67" i="3"/>
  <c r="AK67" i="3"/>
  <c r="AL67" i="3"/>
  <c r="AM67" i="3"/>
  <c r="AN67" i="3"/>
  <c r="AO67" i="3"/>
  <c r="AP67" i="3"/>
  <c r="BE67" i="3"/>
  <c r="BF67" i="3"/>
  <c r="BG67" i="3"/>
  <c r="BH67" i="3"/>
  <c r="BI67" i="3"/>
  <c r="AH70" i="3"/>
  <c r="AI70" i="3"/>
  <c r="AJ70" i="3"/>
  <c r="AK70" i="3"/>
  <c r="AL70" i="3"/>
  <c r="AM70" i="3"/>
  <c r="AN70" i="3"/>
  <c r="AO70" i="3"/>
  <c r="AP70" i="3"/>
  <c r="BE70" i="3"/>
  <c r="BF70" i="3"/>
  <c r="BG70" i="3"/>
  <c r="BH70" i="3"/>
  <c r="BI70" i="3"/>
  <c r="AH78" i="3"/>
  <c r="AI78" i="3"/>
  <c r="AJ78" i="3"/>
  <c r="AK78" i="3"/>
  <c r="AL78" i="3"/>
  <c r="AM78" i="3"/>
  <c r="AN78" i="3"/>
  <c r="AO78" i="3"/>
  <c r="AP78" i="3"/>
  <c r="BE78" i="3"/>
  <c r="BF78" i="3"/>
  <c r="BG78" i="3"/>
  <c r="BH78" i="3"/>
  <c r="BI78" i="3"/>
  <c r="AM81" i="3"/>
  <c r="AN81" i="3"/>
  <c r="AO81" i="3"/>
  <c r="AP81" i="3"/>
  <c r="BH81" i="3"/>
  <c r="BI81" i="3"/>
  <c r="AH82" i="3"/>
  <c r="AI82" i="3"/>
  <c r="AJ82" i="3"/>
  <c r="AK82" i="3"/>
  <c r="AL82" i="3"/>
  <c r="AM82" i="3"/>
  <c r="AN82" i="3"/>
  <c r="AO82" i="3"/>
  <c r="AP82" i="3"/>
  <c r="BE82" i="3"/>
  <c r="BF82" i="3"/>
  <c r="BG82" i="3"/>
  <c r="BH82" i="3"/>
  <c r="BI82" i="3"/>
  <c r="AH84" i="3"/>
  <c r="AI84" i="3"/>
  <c r="AJ84" i="3"/>
  <c r="AK84" i="3"/>
  <c r="AL84" i="3"/>
  <c r="AM84" i="3"/>
  <c r="AN84" i="3"/>
  <c r="AO84" i="3"/>
  <c r="AP84" i="3"/>
  <c r="BE84" i="3"/>
  <c r="BF84" i="3"/>
  <c r="BG84" i="3"/>
  <c r="BH84" i="3"/>
  <c r="BI84" i="3"/>
  <c r="AH86" i="3"/>
  <c r="AI86" i="3"/>
  <c r="AJ86" i="3"/>
  <c r="AK86" i="3"/>
  <c r="AL86" i="3"/>
  <c r="AM86" i="3"/>
  <c r="AN86" i="3"/>
  <c r="AO86" i="3"/>
  <c r="AP86" i="3"/>
  <c r="BE86" i="3"/>
  <c r="BF86" i="3"/>
  <c r="BG86" i="3"/>
  <c r="BH86" i="3"/>
  <c r="BI86" i="3"/>
  <c r="AN88" i="3"/>
  <c r="AO88" i="3"/>
  <c r="AP88" i="3"/>
  <c r="BH88" i="3"/>
  <c r="BI88" i="3"/>
  <c r="AH89" i="3"/>
  <c r="AI89" i="3"/>
  <c r="AJ89" i="3"/>
  <c r="AK89" i="3"/>
  <c r="AL89" i="3"/>
  <c r="AM89" i="3"/>
  <c r="AN89" i="3"/>
  <c r="AO89" i="3"/>
  <c r="AP89" i="3"/>
  <c r="BE89" i="3"/>
  <c r="BF89" i="3"/>
  <c r="BG89" i="3"/>
  <c r="BH89" i="3"/>
  <c r="BI89" i="3"/>
  <c r="AH90" i="3"/>
  <c r="AI90" i="3"/>
  <c r="AJ90" i="3"/>
  <c r="AK90" i="3"/>
  <c r="AL90" i="3"/>
  <c r="AM90" i="3"/>
  <c r="AN90" i="3"/>
  <c r="AO90" i="3"/>
  <c r="AP90" i="3"/>
  <c r="BE90" i="3"/>
  <c r="BF90" i="3"/>
  <c r="BG90" i="3"/>
  <c r="BH90" i="3"/>
  <c r="BI90" i="3"/>
  <c r="AH92" i="3"/>
  <c r="AI92" i="3"/>
  <c r="AJ92" i="3"/>
  <c r="AK92" i="3"/>
  <c r="AL92" i="3"/>
  <c r="AM92" i="3"/>
  <c r="AN92" i="3"/>
  <c r="AO92" i="3"/>
  <c r="AP92" i="3"/>
  <c r="BE92" i="3"/>
  <c r="BF92" i="3"/>
  <c r="BG92" i="3"/>
  <c r="BH92" i="3"/>
  <c r="BI92" i="3"/>
  <c r="AH93" i="3"/>
  <c r="AI93" i="3"/>
  <c r="AJ93" i="3"/>
  <c r="AK93" i="3"/>
  <c r="AL93" i="3"/>
  <c r="AM93" i="3"/>
  <c r="AN93" i="3"/>
  <c r="AO93" i="3"/>
  <c r="AP93" i="3"/>
  <c r="AO95" i="3"/>
  <c r="AP95" i="3"/>
  <c r="AN96" i="3"/>
  <c r="AO96" i="3"/>
  <c r="AP96" i="3"/>
  <c r="BH96" i="3"/>
  <c r="BI96" i="3"/>
  <c r="AN98" i="3"/>
  <c r="AO98" i="3"/>
  <c r="AP98" i="3"/>
  <c r="AI101" i="3"/>
  <c r="AJ101" i="3"/>
  <c r="AK101" i="3"/>
  <c r="AL101" i="3"/>
  <c r="AM101" i="3"/>
  <c r="AN101" i="3"/>
  <c r="AO101" i="3"/>
  <c r="AP101" i="3"/>
  <c r="AH102" i="3"/>
  <c r="AI102" i="3"/>
  <c r="AJ102" i="3"/>
  <c r="AK102" i="3"/>
  <c r="AL102" i="3"/>
  <c r="AM102" i="3"/>
  <c r="AN102" i="3"/>
  <c r="AO102" i="3"/>
  <c r="AP102" i="3"/>
  <c r="BE102" i="3"/>
  <c r="BF102" i="3"/>
  <c r="BG102" i="3"/>
  <c r="BH102" i="3"/>
  <c r="BI102" i="3"/>
  <c r="AM103" i="3"/>
  <c r="AN103" i="3"/>
  <c r="AO103" i="3"/>
  <c r="AP103" i="3"/>
  <c r="BH103" i="3"/>
  <c r="BI103" i="3"/>
  <c r="AH104" i="3"/>
  <c r="AI104" i="3"/>
  <c r="AJ104" i="3"/>
  <c r="AK104" i="3"/>
  <c r="AL104" i="3"/>
  <c r="AM104" i="3"/>
  <c r="AN104" i="3"/>
  <c r="AO104" i="3"/>
  <c r="AP104" i="3"/>
  <c r="BE104" i="3"/>
  <c r="BF104" i="3"/>
  <c r="BG104" i="3"/>
  <c r="BH104" i="3"/>
  <c r="BI104" i="3"/>
  <c r="AH105" i="3"/>
  <c r="AI105" i="3"/>
  <c r="AJ105" i="3"/>
  <c r="AK105" i="3"/>
  <c r="AL105" i="3"/>
  <c r="AM105" i="3"/>
  <c r="AN105" i="3"/>
  <c r="AO105" i="3"/>
  <c r="AP105" i="3"/>
  <c r="AH108" i="3"/>
  <c r="AI108" i="3"/>
  <c r="AJ108" i="3"/>
  <c r="AK108" i="3"/>
  <c r="AL108" i="3"/>
  <c r="AM108" i="3"/>
  <c r="AN108" i="3"/>
  <c r="AO108" i="3"/>
  <c r="AP108" i="3"/>
  <c r="BE108" i="3"/>
  <c r="BF108" i="3"/>
  <c r="BG108" i="3"/>
  <c r="BH108" i="3"/>
  <c r="BI108" i="3"/>
  <c r="AH109" i="3"/>
  <c r="AI109" i="3"/>
  <c r="AJ109" i="3"/>
  <c r="AK109" i="3"/>
  <c r="AL109" i="3"/>
  <c r="AM109" i="3"/>
  <c r="AN109" i="3"/>
  <c r="AO109" i="3"/>
  <c r="AP109" i="3"/>
  <c r="BE109" i="3"/>
  <c r="BF109" i="3"/>
  <c r="BG109" i="3"/>
  <c r="BH109" i="3"/>
  <c r="BI109" i="3"/>
  <c r="AH111" i="3"/>
  <c r="AI111" i="3"/>
  <c r="AJ111" i="3"/>
  <c r="AK111" i="3"/>
  <c r="AL111" i="3"/>
  <c r="AM111" i="3"/>
  <c r="AN111" i="3"/>
  <c r="AO111" i="3"/>
  <c r="AP111" i="3"/>
  <c r="BE111" i="3"/>
  <c r="BF111" i="3"/>
  <c r="BG111" i="3"/>
  <c r="BH111" i="3"/>
  <c r="BI111" i="3"/>
  <c r="AH112" i="3"/>
  <c r="AI112" i="3"/>
  <c r="AJ112" i="3"/>
  <c r="AK112" i="3"/>
  <c r="AL112" i="3"/>
  <c r="AM112" i="3"/>
  <c r="AN112" i="3"/>
  <c r="AO112" i="3"/>
  <c r="AP112" i="3"/>
  <c r="BE112" i="3"/>
  <c r="BF112" i="3"/>
  <c r="BG112" i="3"/>
  <c r="BH112" i="3"/>
  <c r="BI112" i="3"/>
  <c r="AH113" i="3"/>
  <c r="AI113" i="3"/>
  <c r="AJ113" i="3"/>
  <c r="AK113" i="3"/>
  <c r="AL113" i="3"/>
  <c r="AM113" i="3"/>
  <c r="AN113" i="3"/>
  <c r="AO113" i="3"/>
  <c r="AP113" i="3"/>
  <c r="BE113" i="3"/>
  <c r="BF113" i="3"/>
  <c r="BG113" i="3"/>
  <c r="BH113" i="3"/>
  <c r="BI113" i="3"/>
  <c r="AH119" i="3"/>
  <c r="AI119" i="3"/>
  <c r="AJ119" i="3"/>
  <c r="AK119" i="3"/>
  <c r="AL119" i="3"/>
  <c r="AM119" i="3"/>
  <c r="AN119" i="3"/>
  <c r="AO119" i="3"/>
  <c r="AP119" i="3"/>
  <c r="BE119" i="3"/>
  <c r="BF119" i="3"/>
  <c r="BG119" i="3"/>
  <c r="BH119" i="3"/>
  <c r="BI119" i="3"/>
  <c r="AH120" i="3"/>
  <c r="AI120" i="3"/>
  <c r="AJ120" i="3"/>
  <c r="AK120" i="3"/>
  <c r="AL120" i="3"/>
  <c r="AM120" i="3"/>
  <c r="AN120" i="3"/>
  <c r="AO120" i="3"/>
  <c r="AP120" i="3"/>
  <c r="BE120" i="3"/>
  <c r="BF120" i="3"/>
  <c r="BG120" i="3"/>
  <c r="BH120" i="3"/>
  <c r="BI120" i="3"/>
  <c r="AH121" i="3"/>
  <c r="AI121" i="3"/>
  <c r="AJ121" i="3"/>
  <c r="AK121" i="3"/>
  <c r="AL121" i="3"/>
  <c r="AM121" i="3"/>
  <c r="AN121" i="3"/>
  <c r="AO121" i="3"/>
  <c r="AP121" i="3"/>
  <c r="BE121" i="3"/>
  <c r="BF121" i="3"/>
  <c r="BG121" i="3"/>
  <c r="BH121" i="3"/>
  <c r="BI121" i="3"/>
  <c r="AH125" i="3"/>
  <c r="AI125" i="3"/>
  <c r="AJ125" i="3"/>
  <c r="AK125" i="3"/>
  <c r="AL125" i="3"/>
  <c r="AM125" i="3"/>
  <c r="AN125" i="3"/>
  <c r="AO125" i="3"/>
  <c r="AP125" i="3"/>
  <c r="BE125" i="3"/>
  <c r="BF125" i="3"/>
  <c r="BG125" i="3"/>
  <c r="BH125" i="3"/>
  <c r="BI125" i="3"/>
  <c r="AN133" i="3"/>
  <c r="AO133" i="3"/>
  <c r="AP133" i="3"/>
  <c r="BH133" i="3"/>
  <c r="BI133" i="3"/>
  <c r="AN134" i="3"/>
  <c r="AO134" i="3"/>
  <c r="AP134" i="3"/>
  <c r="BH134" i="3"/>
  <c r="BI134" i="3"/>
  <c r="AH135" i="3"/>
  <c r="AI135" i="3"/>
  <c r="AJ135" i="3"/>
  <c r="AK135" i="3"/>
  <c r="AL135" i="3"/>
  <c r="AM135" i="3"/>
  <c r="AN135" i="3"/>
  <c r="AO135" i="3"/>
  <c r="AP135" i="3"/>
  <c r="BE135" i="3"/>
  <c r="BF135" i="3"/>
  <c r="BG135" i="3"/>
  <c r="BH135" i="3"/>
  <c r="BI135" i="3"/>
  <c r="AH138" i="3"/>
  <c r="AI138" i="3"/>
  <c r="AJ138" i="3"/>
  <c r="AK138" i="3"/>
  <c r="AL138" i="3"/>
  <c r="AM138" i="3"/>
  <c r="AN138" i="3"/>
  <c r="AO138" i="3"/>
  <c r="AP138" i="3"/>
  <c r="BE138" i="3"/>
  <c r="BF138" i="3"/>
  <c r="BG138" i="3"/>
  <c r="BH138" i="3"/>
  <c r="BI138" i="3"/>
  <c r="AI140" i="3"/>
  <c r="AJ140" i="3"/>
  <c r="AK140" i="3"/>
  <c r="AL140" i="3"/>
  <c r="AM140" i="3"/>
  <c r="AN140" i="3"/>
  <c r="AO140" i="3"/>
  <c r="AP140" i="3"/>
  <c r="BF140" i="3"/>
  <c r="BG140" i="3"/>
  <c r="BH140" i="3"/>
  <c r="BI140" i="3"/>
  <c r="AH141" i="3"/>
  <c r="AI141" i="3"/>
  <c r="AJ141" i="3"/>
  <c r="AK141" i="3"/>
  <c r="AL141" i="3"/>
  <c r="AM141" i="3"/>
  <c r="AN141" i="3"/>
  <c r="AO141" i="3"/>
  <c r="AP141" i="3"/>
  <c r="BE141" i="3"/>
  <c r="BF141" i="3"/>
  <c r="BG141" i="3"/>
  <c r="BH141" i="3"/>
  <c r="BI141" i="3"/>
  <c r="AH143" i="3"/>
  <c r="AI143" i="3"/>
  <c r="AJ143" i="3"/>
  <c r="AK143" i="3"/>
  <c r="AL143" i="3"/>
  <c r="AM143" i="3"/>
  <c r="AN143" i="3"/>
  <c r="AO143" i="3"/>
  <c r="AP143" i="3"/>
  <c r="BE143" i="3"/>
  <c r="BF143" i="3"/>
  <c r="BG143" i="3"/>
  <c r="BH143" i="3"/>
  <c r="BI143" i="3"/>
  <c r="AH144" i="3"/>
  <c r="AI144" i="3"/>
  <c r="AJ144" i="3"/>
  <c r="AK144" i="3"/>
  <c r="AL144" i="3"/>
  <c r="AM144" i="3"/>
  <c r="AN144" i="3"/>
  <c r="AO144" i="3"/>
  <c r="AP144" i="3"/>
  <c r="AN162" i="3"/>
  <c r="AO162" i="3"/>
  <c r="AP162" i="3"/>
  <c r="BF212" i="3"/>
  <c r="BG212" i="3"/>
  <c r="BH212" i="3"/>
  <c r="BI212" i="3"/>
  <c r="BE213" i="3"/>
  <c r="BF213" i="3"/>
  <c r="BG213" i="3"/>
  <c r="BH213" i="3"/>
  <c r="BI213" i="3"/>
  <c r="BH214" i="3"/>
  <c r="BI214" i="3"/>
  <c r="BH215" i="3"/>
  <c r="BI215" i="3"/>
  <c r="BE216" i="3"/>
  <c r="BF216" i="3"/>
  <c r="BG216" i="3"/>
  <c r="BH216" i="3"/>
  <c r="BI216" i="3"/>
  <c r="BE217" i="3"/>
  <c r="BF217" i="3"/>
  <c r="BG217" i="3"/>
  <c r="BH217" i="3"/>
  <c r="BI217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Berry, Lauren (Research)</author>
  </authors>
  <commentList>
    <comment ref="AF13" authorId="0" shapeId="0" xr:uid="{158466B7-1610-4201-AE52-91FD9F015871}">
      <text>
        <r>
          <rPr>
            <b/>
            <sz val="9"/>
            <color indexed="81"/>
            <rFont val="Tahoma"/>
            <family val="2"/>
          </rPr>
          <t>Berry, Lauren (Research):</t>
        </r>
        <r>
          <rPr>
            <sz val="9"/>
            <color indexed="81"/>
            <rFont val="Tahoma"/>
            <family val="2"/>
          </rPr>
          <t xml:space="preserve">
KKR etc</t>
        </r>
      </text>
    </comment>
    <comment ref="AC14" authorId="0" shapeId="0" xr:uid="{CC8C961E-C88F-4B31-82F5-71D0C6D0BFBA}">
      <text>
        <r>
          <rPr>
            <b/>
            <sz val="9"/>
            <color indexed="81"/>
            <rFont val="Tahoma"/>
            <family val="2"/>
          </rPr>
          <t>Berry, Lauren (Research):</t>
        </r>
        <r>
          <rPr>
            <sz val="9"/>
            <color indexed="81"/>
            <rFont val="Tahoma"/>
            <family val="2"/>
          </rPr>
          <t xml:space="preserve">
Overheads flattish next yr</t>
        </r>
      </text>
    </comment>
    <comment ref="Y19" authorId="0" shapeId="0" xr:uid="{61AC071A-B288-44A2-9ADC-B025B2D6B46A}">
      <text>
        <r>
          <rPr>
            <b/>
            <sz val="9"/>
            <color indexed="81"/>
            <rFont val="Tahoma"/>
            <family val="2"/>
          </rPr>
          <t>Berry, Lauren (Research):</t>
        </r>
        <r>
          <rPr>
            <sz val="9"/>
            <color indexed="81"/>
            <rFont val="Tahoma"/>
            <family val="2"/>
          </rPr>
          <t xml:space="preserve">
Gregory Hills</t>
        </r>
      </text>
    </comment>
    <comment ref="AA19" authorId="0" shapeId="0" xr:uid="{82C81688-9161-4B19-96C3-1509F5F88153}">
      <text>
        <r>
          <rPr>
            <b/>
            <sz val="9"/>
            <color indexed="81"/>
            <rFont val="Tahoma"/>
            <family val="2"/>
          </rPr>
          <t>Berry, Lauren (Research):</t>
        </r>
        <r>
          <rPr>
            <sz val="9"/>
            <color indexed="81"/>
            <rFont val="Tahoma"/>
            <family val="2"/>
          </rPr>
          <t xml:space="preserve">
M_Park and Melbourne business park
</t>
        </r>
      </text>
    </comment>
    <comment ref="AB19" authorId="0" shapeId="0" xr:uid="{ACD1A09C-F5EC-43CA-8722-98F3B40C3430}">
      <text>
        <r>
          <rPr>
            <b/>
            <sz val="9"/>
            <color indexed="81"/>
            <rFont val="Tahoma"/>
            <family val="2"/>
          </rPr>
          <t>Berry, Lauren (Research):</t>
        </r>
        <r>
          <rPr>
            <sz val="9"/>
            <color indexed="81"/>
            <rFont val="Tahoma"/>
            <family val="2"/>
          </rPr>
          <t xml:space="preserve">
M_Park stage 1</t>
        </r>
      </text>
    </comment>
    <comment ref="AC19" authorId="0" shapeId="0" xr:uid="{7C271205-F5BC-4AB1-B9DA-AECF16B8DABB}">
      <text>
        <r>
          <rPr>
            <b/>
            <sz val="9"/>
            <color indexed="81"/>
            <rFont val="Tahoma"/>
            <family val="2"/>
          </rPr>
          <t>Berry, Lauren (Research):</t>
        </r>
        <r>
          <rPr>
            <sz val="9"/>
            <color indexed="81"/>
            <rFont val="Tahoma"/>
            <family val="2"/>
          </rPr>
          <t xml:space="preserve">
M_Park stage 1</t>
        </r>
      </text>
    </comment>
    <comment ref="AD19" authorId="0" shapeId="0" xr:uid="{19792E4D-B46A-4F43-9039-5B6D2B6C159D}">
      <text>
        <r>
          <rPr>
            <b/>
            <sz val="9"/>
            <color indexed="81"/>
            <rFont val="Tahoma"/>
            <family val="2"/>
          </rPr>
          <t>Berry, Lauren (Research):</t>
        </r>
        <r>
          <rPr>
            <sz val="9"/>
            <color indexed="81"/>
            <rFont val="Tahoma"/>
            <family val="2"/>
          </rPr>
          <t xml:space="preserve">
M_Park stage 1</t>
        </r>
      </text>
    </comment>
    <comment ref="C72" authorId="0" shapeId="0" xr:uid="{BA08D408-0B4E-4C38-9235-7DB80E4F925E}">
      <text>
        <r>
          <rPr>
            <b/>
            <sz val="9"/>
            <color indexed="81"/>
            <rFont val="Tahoma"/>
            <family val="2"/>
          </rPr>
          <t>Berry, Lauren (Research):</t>
        </r>
        <r>
          <rPr>
            <sz val="9"/>
            <color indexed="81"/>
            <rFont val="Tahoma"/>
            <family val="2"/>
          </rPr>
          <t xml:space="preserve">
In notes to accounts 
Inventories</t>
        </r>
      </text>
    </comment>
    <comment ref="Y127" authorId="0" shapeId="0" xr:uid="{C67F54BC-B279-4196-BCCE-DC1B207EF713}">
      <text>
        <r>
          <rPr>
            <b/>
            <sz val="9"/>
            <color indexed="81"/>
            <rFont val="Tahoma"/>
            <family val="2"/>
          </rPr>
          <t>Berry, Lauren (Research):</t>
        </r>
        <r>
          <rPr>
            <sz val="9"/>
            <color indexed="81"/>
            <rFont val="Tahoma"/>
            <family val="2"/>
          </rPr>
          <t xml:space="preserve">
Halcyon</t>
        </r>
      </text>
    </comment>
    <comment ref="AA128" authorId="0" shapeId="0" xr:uid="{F62DE867-3293-4EE2-ABF5-6839C899F8D2}">
      <text>
        <r>
          <rPr>
            <b/>
            <sz val="9"/>
            <color indexed="81"/>
            <rFont val="Tahoma"/>
            <family val="2"/>
          </rPr>
          <t>Berry, Lauren (Research):</t>
        </r>
        <r>
          <rPr>
            <sz val="9"/>
            <color indexed="81"/>
            <rFont val="Tahoma"/>
            <family val="2"/>
          </rPr>
          <t xml:space="preserve">
Retirement living</t>
        </r>
      </text>
    </comment>
    <comment ref="AH128" authorId="0" shapeId="0" xr:uid="{9B2A366B-CE90-4FFE-9906-91E3E293E61C}">
      <text>
        <r>
          <rPr>
            <b/>
            <sz val="9"/>
            <color indexed="81"/>
            <rFont val="Tahoma"/>
            <family val="2"/>
          </rPr>
          <t>Berry, Lauren (Research):</t>
        </r>
        <r>
          <rPr>
            <sz val="9"/>
            <color indexed="81"/>
            <rFont val="Tahoma"/>
            <family val="2"/>
          </rPr>
          <t xml:space="preserve">
BTS industrial</t>
        </r>
      </text>
    </comment>
    <comment ref="AC130" authorId="0" shapeId="0" xr:uid="{EEFD9555-3C3A-4D3F-A4AE-0ABA6B8876AB}">
      <text>
        <r>
          <rPr>
            <b/>
            <sz val="9"/>
            <color indexed="81"/>
            <rFont val="Tahoma"/>
            <family val="2"/>
          </rPr>
          <t>Berry, Lauren (Research):</t>
        </r>
        <r>
          <rPr>
            <sz val="9"/>
            <color indexed="81"/>
            <rFont val="Tahoma"/>
            <family val="2"/>
          </rPr>
          <t xml:space="preserve">
Little gems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Berry, Lauren (Research)</author>
  </authors>
  <commentList>
    <comment ref="C60" authorId="0" shapeId="0" xr:uid="{6A228977-3946-48C1-B711-6C0E74653258}">
      <text>
        <r>
          <rPr>
            <b/>
            <sz val="9"/>
            <color indexed="81"/>
            <rFont val="Tahoma"/>
            <family val="2"/>
          </rPr>
          <t>Berry, Lauren (Research):</t>
        </r>
        <r>
          <rPr>
            <sz val="9"/>
            <color indexed="81"/>
            <rFont val="Tahoma"/>
            <family val="2"/>
          </rPr>
          <t xml:space="preserve">
Operating cash flows in presentation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Berry, Lauren (Research)</author>
  </authors>
  <commentList>
    <comment ref="AC12" authorId="0" shapeId="0" xr:uid="{A923EEB8-D244-48A3-AE1B-69F9BC99B1BC}">
      <text>
        <r>
          <rPr>
            <b/>
            <sz val="9"/>
            <color indexed="81"/>
            <rFont val="Tahoma"/>
            <family val="2"/>
          </rPr>
          <t>Berry, Lauren (Research):</t>
        </r>
        <r>
          <rPr>
            <sz val="9"/>
            <color indexed="81"/>
            <rFont val="Tahoma"/>
            <family val="2"/>
          </rPr>
          <t xml:space="preserve">
Living gems
</t>
        </r>
      </text>
    </comment>
    <comment ref="AA22" authorId="0" shapeId="0" xr:uid="{5587EA58-B5E1-49B0-BB50-E091FA6C2F40}">
      <text>
        <r>
          <rPr>
            <b/>
            <sz val="9"/>
            <color indexed="81"/>
            <rFont val="Tahoma"/>
            <family val="2"/>
          </rPr>
          <t>Berry, Lauren (Research):</t>
        </r>
        <r>
          <rPr>
            <sz val="9"/>
            <color indexed="81"/>
            <rFont val="Tahoma"/>
            <family val="2"/>
          </rPr>
          <t xml:space="preserve">
4.7m land lease
1.7m medical/childcare</t>
        </r>
      </text>
    </comment>
    <comment ref="AB28" authorId="0" shapeId="0" xr:uid="{93F49532-7612-436B-8DF0-08DA14B3C357}">
      <text>
        <r>
          <rPr>
            <b/>
            <sz val="9"/>
            <color indexed="81"/>
            <rFont val="Tahoma"/>
            <family val="2"/>
          </rPr>
          <t>Berry, Lauren (Research):</t>
        </r>
        <r>
          <rPr>
            <sz val="9"/>
            <color indexed="81"/>
            <rFont val="Tahoma"/>
            <family val="2"/>
          </rPr>
          <t xml:space="preserve">
707k for full year</t>
        </r>
      </text>
    </comment>
    <comment ref="AC28" authorId="0" shapeId="0" xr:uid="{61CE46B7-5C24-4374-B60D-1FE0C37229A8}">
      <text>
        <r>
          <rPr>
            <b/>
            <sz val="9"/>
            <color indexed="81"/>
            <rFont val="Tahoma"/>
            <family val="2"/>
          </rPr>
          <t>Berry, Lauren (Research):</t>
        </r>
        <r>
          <rPr>
            <sz val="9"/>
            <color indexed="81"/>
            <rFont val="Tahoma"/>
            <family val="2"/>
          </rPr>
          <t xml:space="preserve">
contracts on hand 7% above FY23</t>
        </r>
      </text>
    </comment>
    <comment ref="AB29" authorId="0" shapeId="0" xr:uid="{6EBA0928-DB36-4BB3-979F-08CDF5A16C10}">
      <text>
        <r>
          <rPr>
            <b/>
            <sz val="9"/>
            <color indexed="81"/>
            <rFont val="Tahoma"/>
            <family val="2"/>
          </rPr>
          <t>Berry, Lauren (Research):</t>
        </r>
        <r>
          <rPr>
            <sz val="9"/>
            <color indexed="81"/>
            <rFont val="Tahoma"/>
            <family val="2"/>
          </rPr>
          <t xml:space="preserve">
Contracts on hand price 15% above 1H23 settlements</t>
        </r>
      </text>
    </comment>
    <comment ref="AB38" authorId="0" shapeId="0" xr:uid="{8CAA4932-118F-4CCD-8711-1DDC762D0DEB}">
      <text>
        <r>
          <rPr>
            <b/>
            <sz val="9"/>
            <color indexed="81"/>
            <rFont val="Tahoma"/>
            <family val="2"/>
          </rPr>
          <t>Berry, Lauren (Research):</t>
        </r>
        <r>
          <rPr>
            <sz val="9"/>
            <color indexed="81"/>
            <rFont val="Tahoma"/>
            <family val="2"/>
          </rPr>
          <t xml:space="preserve">
Guidance 22-77% for FY23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Berry, Lauren (Research)</author>
  </authors>
  <commentList>
    <comment ref="AG38" authorId="0" shapeId="0" xr:uid="{4B39E0F5-77D4-422C-ADC2-4F76072411A0}">
      <text>
        <r>
          <rPr>
            <b/>
            <sz val="9"/>
            <color indexed="81"/>
            <rFont val="Tahoma"/>
            <family val="2"/>
          </rPr>
          <t>Berry, Lauren (Research):</t>
        </r>
        <r>
          <rPr>
            <sz val="9"/>
            <color indexed="81"/>
            <rFont val="Tahoma"/>
            <family val="2"/>
          </rPr>
          <t xml:space="preserve">
Yennora brownfields</t>
        </r>
      </text>
    </comment>
    <comment ref="AA112" authorId="0" shapeId="0" xr:uid="{307CDFED-AAB2-49CA-A10F-F3BA768225DC}">
      <text>
        <r>
          <rPr>
            <b/>
            <sz val="9"/>
            <color indexed="81"/>
            <rFont val="Tahoma"/>
            <family val="2"/>
          </rPr>
          <t>Berry, Lauren (Research):</t>
        </r>
        <r>
          <rPr>
            <sz val="9"/>
            <color indexed="81"/>
            <rFont val="Tahoma"/>
            <family val="2"/>
          </rPr>
          <t xml:space="preserve">
Amherst Dr Truganina</t>
        </r>
      </text>
    </comment>
    <comment ref="AB112" authorId="0" shapeId="0" xr:uid="{EC560304-8000-4E9A-A0B7-FFD0F3AF086D}">
      <text>
        <r>
          <rPr>
            <b/>
            <sz val="9"/>
            <color indexed="81"/>
            <rFont val="Tahoma"/>
            <family val="2"/>
          </rPr>
          <t>Berry, Lauren (Research):</t>
        </r>
        <r>
          <rPr>
            <sz val="9"/>
            <color indexed="81"/>
            <rFont val="Tahoma"/>
            <family val="2"/>
          </rPr>
          <t xml:space="preserve">
Guidance of 530m completions in FY23</t>
        </r>
      </text>
    </comment>
    <comment ref="AD112" authorId="0" shapeId="0" xr:uid="{06D28CF5-F14A-4DE4-9AE4-B4C21E70980F}">
      <text>
        <r>
          <rPr>
            <b/>
            <sz val="9"/>
            <color indexed="81"/>
            <rFont val="Tahoma"/>
            <family val="2"/>
          </rPr>
          <t>Berry, Lauren (Research):</t>
        </r>
        <r>
          <rPr>
            <sz val="9"/>
            <color indexed="81"/>
            <rFont val="Tahoma"/>
            <family val="2"/>
          </rPr>
          <t xml:space="preserve">
Guidance 670m FY24</t>
        </r>
      </text>
    </comment>
    <comment ref="AF112" authorId="0" shapeId="0" xr:uid="{ACAC7445-1B1C-477E-83A0-A1E0F5A1B71E}">
      <text>
        <r>
          <rPr>
            <b/>
            <sz val="9"/>
            <color indexed="81"/>
            <rFont val="Tahoma"/>
            <family val="2"/>
          </rPr>
          <t>Berry, Lauren (Research):</t>
        </r>
        <r>
          <rPr>
            <sz val="9"/>
            <color indexed="81"/>
            <rFont val="Tahoma"/>
            <family val="2"/>
          </rPr>
          <t xml:space="preserve">
400-500m medium term target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Berry, Lauren (Research)</author>
  </authors>
  <commentList>
    <comment ref="V41" authorId="0" shapeId="0" xr:uid="{F4E965ED-9F89-47B8-A29C-17A7CD870592}">
      <text>
        <r>
          <rPr>
            <b/>
            <sz val="9"/>
            <color indexed="81"/>
            <rFont val="Tahoma"/>
            <family val="2"/>
          </rPr>
          <t>Berry, Lauren (Research):</t>
        </r>
        <r>
          <rPr>
            <sz val="9"/>
            <color indexed="81"/>
            <rFont val="Tahoma"/>
            <family val="2"/>
          </rPr>
          <t xml:space="preserve">
27m abatement 36m ECL</t>
        </r>
      </text>
    </comment>
    <comment ref="Y41" authorId="0" shapeId="0" xr:uid="{09BE48A8-B716-4E65-87FD-C6A04A3AED44}">
      <text>
        <r>
          <rPr>
            <b/>
            <sz val="9"/>
            <color indexed="81"/>
            <rFont val="Tahoma"/>
            <family val="2"/>
          </rPr>
          <t>Berry, Lauren (Research):</t>
        </r>
        <r>
          <rPr>
            <sz val="9"/>
            <color indexed="81"/>
            <rFont val="Tahoma"/>
            <family val="2"/>
          </rPr>
          <t xml:space="preserve">
COVID impact</t>
        </r>
      </text>
    </comment>
    <comment ref="AC45" authorId="0" shapeId="0" xr:uid="{CB01B635-D701-43F8-866F-264274F44EDF}">
      <text>
        <r>
          <rPr>
            <b/>
            <sz val="9"/>
            <color indexed="81"/>
            <rFont val="Tahoma"/>
            <family val="2"/>
          </rPr>
          <t>Berry, Lauren (Research):</t>
        </r>
        <r>
          <rPr>
            <sz val="9"/>
            <color indexed="81"/>
            <rFont val="Tahoma"/>
            <family val="2"/>
          </rPr>
          <t xml:space="preserve">
Growth offset by cost increases</t>
        </r>
      </text>
    </comment>
    <comment ref="Y96" authorId="0" shapeId="0" xr:uid="{D536216E-8407-43B6-B382-0AEDC96152B7}">
      <text>
        <r>
          <rPr>
            <b/>
            <sz val="9"/>
            <color indexed="81"/>
            <rFont val="Tahoma"/>
            <family val="2"/>
          </rPr>
          <t>Berry, Lauren (Research):</t>
        </r>
        <r>
          <rPr>
            <sz val="9"/>
            <color indexed="81"/>
            <rFont val="Tahoma"/>
            <family val="2"/>
          </rPr>
          <t xml:space="preserve">
Sep 21
</t>
        </r>
      </text>
    </comment>
    <comment ref="Y97" authorId="0" shapeId="0" xr:uid="{A086F3D0-C878-469F-94E7-97624FFF3428}">
      <text>
        <r>
          <rPr>
            <b/>
            <sz val="9"/>
            <color indexed="81"/>
            <rFont val="Tahoma"/>
            <family val="2"/>
          </rPr>
          <t>Berry, Lauren (Research):</t>
        </r>
        <r>
          <rPr>
            <sz val="9"/>
            <color indexed="81"/>
            <rFont val="Tahoma"/>
            <family val="2"/>
          </rPr>
          <t xml:space="preserve">
Dec 21
</t>
        </r>
      </text>
    </comment>
    <comment ref="Z98" authorId="0" shapeId="0" xr:uid="{BFA0B8E9-D69F-4BFF-B4B6-8A694223EB67}">
      <text>
        <r>
          <rPr>
            <b/>
            <sz val="9"/>
            <color indexed="81"/>
            <rFont val="Tahoma"/>
            <family val="2"/>
          </rPr>
          <t>Berry, Lauren (Research):</t>
        </r>
        <r>
          <rPr>
            <sz val="9"/>
            <color indexed="81"/>
            <rFont val="Tahoma"/>
            <family val="2"/>
          </rPr>
          <t xml:space="preserve">
March 22</t>
        </r>
      </text>
    </comment>
    <comment ref="AA99" authorId="0" shapeId="0" xr:uid="{18999F62-726D-44BE-B251-D02A78AFE10C}">
      <text>
        <r>
          <rPr>
            <b/>
            <sz val="9"/>
            <color indexed="81"/>
            <rFont val="Tahoma"/>
            <family val="2"/>
          </rPr>
          <t>Berry, Lauren (Research):</t>
        </r>
        <r>
          <rPr>
            <sz val="9"/>
            <color indexed="81"/>
            <rFont val="Tahoma"/>
            <family val="2"/>
          </rPr>
          <t xml:space="preserve">
Aug 22</t>
        </r>
      </text>
    </comment>
    <comment ref="AB100" authorId="0" shapeId="0" xr:uid="{BBB7A33C-483D-49FA-AC84-B123C1BA8901}">
      <text>
        <r>
          <rPr>
            <b/>
            <sz val="9"/>
            <color indexed="81"/>
            <rFont val="Tahoma"/>
            <family val="2"/>
          </rPr>
          <t>Berry, Lauren (Research):</t>
        </r>
        <r>
          <rPr>
            <sz val="9"/>
            <color indexed="81"/>
            <rFont val="Tahoma"/>
            <family val="2"/>
          </rPr>
          <t xml:space="preserve">
Settled in 3Q</t>
        </r>
      </text>
    </comment>
    <comment ref="AB101" authorId="0" shapeId="0" xr:uid="{29188786-77E5-430F-BAD3-9EBA2270ED36}">
      <text>
        <r>
          <rPr>
            <b/>
            <sz val="9"/>
            <color indexed="81"/>
            <rFont val="Tahoma"/>
            <family val="2"/>
          </rPr>
          <t>Berry, Lauren (Research):</t>
        </r>
        <r>
          <rPr>
            <sz val="9"/>
            <color indexed="81"/>
            <rFont val="Tahoma"/>
            <family val="2"/>
          </rPr>
          <t xml:space="preserve">
settled June 23</t>
        </r>
      </text>
    </comment>
  </commentList>
</comments>
</file>

<file path=xl/sharedStrings.xml><?xml version="1.0" encoding="utf-8"?>
<sst xmlns="http://schemas.openxmlformats.org/spreadsheetml/2006/main" count="1543" uniqueCount="809">
  <si>
    <t>FFOps</t>
  </si>
  <si>
    <t>Other income</t>
  </si>
  <si>
    <t>AFFOps</t>
  </si>
  <si>
    <t>EBITDA</t>
  </si>
  <si>
    <t>DPS</t>
  </si>
  <si>
    <t>Tax expense</t>
  </si>
  <si>
    <t>Funds from operations</t>
  </si>
  <si>
    <t>Maintenance capex</t>
  </si>
  <si>
    <t>Adjusted funds from operations</t>
  </si>
  <si>
    <t>EBIT</t>
  </si>
  <si>
    <t>ICR</t>
  </si>
  <si>
    <t>Other</t>
  </si>
  <si>
    <t>FFO/Debt</t>
  </si>
  <si>
    <t>Development capex</t>
  </si>
  <si>
    <t>Proceeds from equity raise</t>
  </si>
  <si>
    <t>Distributions paid</t>
  </si>
  <si>
    <t>Net cash flows</t>
  </si>
  <si>
    <t>Cash</t>
  </si>
  <si>
    <t>Other assets</t>
  </si>
  <si>
    <t>Total assets</t>
  </si>
  <si>
    <t>Investment properties</t>
  </si>
  <si>
    <t>Borrowings</t>
  </si>
  <si>
    <t>Other liabilities</t>
  </si>
  <si>
    <t>Total liabilities</t>
  </si>
  <si>
    <t>Net assets</t>
  </si>
  <si>
    <t>Shares outstanding</t>
  </si>
  <si>
    <t>NTA/share</t>
  </si>
  <si>
    <t>Change</t>
  </si>
  <si>
    <t>H1</t>
  </si>
  <si>
    <t>H2</t>
  </si>
  <si>
    <t>FY</t>
  </si>
  <si>
    <t>Income Statement</t>
  </si>
  <si>
    <t>A$m</t>
  </si>
  <si>
    <t>Net finance expense</t>
  </si>
  <si>
    <t>Maintenance Capex</t>
  </si>
  <si>
    <t>Lease incentives</t>
  </si>
  <si>
    <t>Distribution</t>
  </si>
  <si>
    <t>Payout (% of FFO)</t>
  </si>
  <si>
    <t>%</t>
  </si>
  <si>
    <t>Shortfall (debt funded)</t>
  </si>
  <si>
    <t>Payout % of AFFO</t>
  </si>
  <si>
    <t>Earnings per share</t>
  </si>
  <si>
    <t>A$ c</t>
  </si>
  <si>
    <t>AFFOps growth</t>
  </si>
  <si>
    <t>DPS growth</t>
  </si>
  <si>
    <t>Other earnings measures</t>
  </si>
  <si>
    <t>Fair value movement on investments</t>
  </si>
  <si>
    <t>Statutory net profit</t>
  </si>
  <si>
    <t>Capitalised interest</t>
  </si>
  <si>
    <t>MS cash flow</t>
  </si>
  <si>
    <t>Balance Sheet</t>
  </si>
  <si>
    <t>Equity accounted properties</t>
  </si>
  <si>
    <t>Intangible assets</t>
  </si>
  <si>
    <t>Contributed equity</t>
  </si>
  <si>
    <t>Retained profits</t>
  </si>
  <si>
    <t>Total equity</t>
  </si>
  <si>
    <t>Balance check</t>
  </si>
  <si>
    <t>Equity</t>
  </si>
  <si>
    <t>Opening equity</t>
  </si>
  <si>
    <t>Capital raisings</t>
  </si>
  <si>
    <t>Closing equity</t>
  </si>
  <si>
    <t>Retained earnings</t>
  </si>
  <si>
    <t>Opening retained earnings</t>
  </si>
  <si>
    <t>Net profit</t>
  </si>
  <si>
    <t>Distributions declared</t>
  </si>
  <si>
    <t>Closing retained earnings</t>
  </si>
  <si>
    <t>Metrics</t>
  </si>
  <si>
    <t>A$</t>
  </si>
  <si>
    <t>Gearing (Net debt / TTA less cash)</t>
  </si>
  <si>
    <t>adjustment</t>
  </si>
  <si>
    <t>Gearing as reported</t>
  </si>
  <si>
    <t>x</t>
  </si>
  <si>
    <t>Cash flow statement</t>
  </si>
  <si>
    <t>Interest received</t>
  </si>
  <si>
    <t>Interest expense</t>
  </si>
  <si>
    <t>Net cash flows from operating activities</t>
  </si>
  <si>
    <t>Payments for acquisition of investment properties</t>
  </si>
  <si>
    <t>Proceeds from sale of investment properties</t>
  </si>
  <si>
    <t>Net cash flows from investing activities</t>
  </si>
  <si>
    <t>Drawdown/repayment of borrowings</t>
  </si>
  <si>
    <t>Net cash flows from financing activities</t>
  </si>
  <si>
    <t>Cash at start of period</t>
  </si>
  <si>
    <t>Foreign exchange adjustment</t>
  </si>
  <si>
    <t>Cash at end of period</t>
  </si>
  <si>
    <t>Debt</t>
  </si>
  <si>
    <t>Acquisitions</t>
  </si>
  <si>
    <t>Divestments</t>
  </si>
  <si>
    <t>Interest rate</t>
  </si>
  <si>
    <t>Average cash balance</t>
  </si>
  <si>
    <t>Interest income</t>
  </si>
  <si>
    <t>Opening balance</t>
  </si>
  <si>
    <t>Shares from equity issuance</t>
  </si>
  <si>
    <t>DRP</t>
  </si>
  <si>
    <t>Closing balance (for DPS)</t>
  </si>
  <si>
    <t>Current balance (for Modelware)</t>
  </si>
  <si>
    <t>Weighted shares from equity issuance</t>
  </si>
  <si>
    <t>Weighted average shares outstanding (for EPS)</t>
  </si>
  <si>
    <t>Weighted average shares outstanding (for Modelware)</t>
  </si>
  <si>
    <t>ND</t>
  </si>
  <si>
    <t>DRP take-up</t>
  </si>
  <si>
    <t>Total amount raised</t>
  </si>
  <si>
    <t>Price per share</t>
  </si>
  <si>
    <t>Number of shares</t>
  </si>
  <si>
    <t>#</t>
  </si>
  <si>
    <t>Record date</t>
  </si>
  <si>
    <t>Weighted average # shares (half period)</t>
  </si>
  <si>
    <t>Weighted average # shares (full year)</t>
  </si>
  <si>
    <t>Equity issuance #1</t>
  </si>
  <si>
    <t>Amount raised</t>
  </si>
  <si>
    <t>Additional equity issuance</t>
  </si>
  <si>
    <t>Modelware</t>
  </si>
  <si>
    <t>Unrecorded Goodwill</t>
  </si>
  <si>
    <t>Statutory Tax rate</t>
  </si>
  <si>
    <t>Depreciation CFS</t>
  </si>
  <si>
    <t>Key Earnings Inputs (for Modelware RR2.0)</t>
  </si>
  <si>
    <t>Adjustment</t>
  </si>
  <si>
    <t>NOI</t>
  </si>
  <si>
    <t xml:space="preserve">Property </t>
  </si>
  <si>
    <t>Revaluation</t>
  </si>
  <si>
    <t>Occupancy</t>
  </si>
  <si>
    <t>WACR</t>
  </si>
  <si>
    <t>WALE</t>
  </si>
  <si>
    <t>berrylau</t>
  </si>
  <si>
    <t>AUD</t>
  </si>
  <si>
    <t>Resi</t>
  </si>
  <si>
    <t>NSW</t>
  </si>
  <si>
    <t>Total lots (half year)</t>
  </si>
  <si>
    <t>Total lots (full year)</t>
  </si>
  <si>
    <t>ASP</t>
  </si>
  <si>
    <t>Margin</t>
  </si>
  <si>
    <t>Lots</t>
  </si>
  <si>
    <t>Price</t>
  </si>
  <si>
    <t>Implied revenue</t>
  </si>
  <si>
    <t>Completed product</t>
  </si>
  <si>
    <t>WA</t>
  </si>
  <si>
    <t>VIC</t>
  </si>
  <si>
    <t>QLD</t>
  </si>
  <si>
    <t>A$000</t>
  </si>
  <si>
    <t>Revenue</t>
  </si>
  <si>
    <t>Total implied revenue</t>
  </si>
  <si>
    <t>Minus GST</t>
  </si>
  <si>
    <t>Plus superlot sales</t>
  </si>
  <si>
    <t>Minus non-SGP revenue (JVs)</t>
  </si>
  <si>
    <t>Total resi revenue</t>
  </si>
  <si>
    <t>Development EBIT</t>
  </si>
  <si>
    <t>Operating profit margin</t>
  </si>
  <si>
    <t>EBIT margin</t>
  </si>
  <si>
    <t>Development FFO</t>
  </si>
  <si>
    <t>Drawdowns/repayments</t>
  </si>
  <si>
    <t>+ Maintenance capex</t>
  </si>
  <si>
    <t>+ Development capex</t>
  </si>
  <si>
    <t>+ Distribution shortfall</t>
  </si>
  <si>
    <t>+ Land payments</t>
  </si>
  <si>
    <t>+ Property acquisitions</t>
  </si>
  <si>
    <t>- Asset sales</t>
  </si>
  <si>
    <t>- Equity issance</t>
  </si>
  <si>
    <t>- Cash funded op capex</t>
  </si>
  <si>
    <t>- Other</t>
  </si>
  <si>
    <t>Closing balance</t>
  </si>
  <si>
    <t>Check balance sheet debt</t>
  </si>
  <si>
    <t>Fixed debt</t>
  </si>
  <si>
    <t>Total fixed facilities</t>
  </si>
  <si>
    <t>Base rate</t>
  </si>
  <si>
    <t>All-in fixed debt rate</t>
  </si>
  <si>
    <t>Floating debt</t>
  </si>
  <si>
    <t>Total floating facilities</t>
  </si>
  <si>
    <t>All-in floating debt rate</t>
  </si>
  <si>
    <t>Base rate (BBSW)</t>
  </si>
  <si>
    <t>Total drawdown</t>
  </si>
  <si>
    <t>Interest on drawn down debt</t>
  </si>
  <si>
    <t>Interest on floating debt</t>
  </si>
  <si>
    <t>Interest on fixed debt</t>
  </si>
  <si>
    <t>TOTAL CASH INTEREST EXPENSE</t>
  </si>
  <si>
    <t>Cash interest rate</t>
  </si>
  <si>
    <t>Interest capitalised to inventory</t>
  </si>
  <si>
    <t>Interest capitalised to IPUD</t>
  </si>
  <si>
    <t>Net interest calculation</t>
  </si>
  <si>
    <t>Capitalised interest expensed in P&amp;L (resi)</t>
  </si>
  <si>
    <t>Share of interest expense in equity accounted</t>
  </si>
  <si>
    <t>TOTAL NET INTEREST EXPENSE</t>
  </si>
  <si>
    <t>WACD</t>
  </si>
  <si>
    <t>Opening inventories</t>
  </si>
  <si>
    <t>Closing inventories</t>
  </si>
  <si>
    <t>Averaging inventories for capitalisation</t>
  </si>
  <si>
    <t>+ Cap interest</t>
  </si>
  <si>
    <t>+ Capex</t>
  </si>
  <si>
    <t>- COGS rolloff</t>
  </si>
  <si>
    <t xml:space="preserve">COGs </t>
  </si>
  <si>
    <t>Opening IPUD</t>
  </si>
  <si>
    <t>Closing IPUD</t>
  </si>
  <si>
    <t>Average IPUD</t>
  </si>
  <si>
    <t>Inventories (resi)</t>
  </si>
  <si>
    <t>Inventories (commercial)</t>
  </si>
  <si>
    <t>Provisions</t>
  </si>
  <si>
    <t>Check</t>
  </si>
  <si>
    <t xml:space="preserve">Payments for land </t>
  </si>
  <si>
    <t>Payments for treasury securities</t>
  </si>
  <si>
    <t>+ Capex (MPC costs / stage costs)</t>
  </si>
  <si>
    <t>Capital works in progress</t>
  </si>
  <si>
    <t>WACD as reported</t>
  </si>
  <si>
    <t>Total cash interest expense</t>
  </si>
  <si>
    <t>Logistics</t>
  </si>
  <si>
    <t>Workplace</t>
  </si>
  <si>
    <t>Town Centres</t>
  </si>
  <si>
    <t>Net overheads</t>
  </si>
  <si>
    <t>MPC Development FFO</t>
  </si>
  <si>
    <t>Land lease Development FFO</t>
  </si>
  <si>
    <t>Discontinued operations (Retirement)</t>
  </si>
  <si>
    <t>Unallocated overheads</t>
  </si>
  <si>
    <t>NET INTEREST EXPENSE IN P&amp;L</t>
  </si>
  <si>
    <t>Amortisation of incentives</t>
  </si>
  <si>
    <t>Tax benefit</t>
  </si>
  <si>
    <t>Underlying profit</t>
  </si>
  <si>
    <t>Straight-line rent</t>
  </si>
  <si>
    <t>Capitalised interest expensed in P&amp;L (other)</t>
  </si>
  <si>
    <t>23 Wonderland Drive, Eastern Creek</t>
  </si>
  <si>
    <t>89 Quarry Road, Erskine Park</t>
  </si>
  <si>
    <t>96-112 Gow Street, Padstow</t>
  </si>
  <si>
    <t>Coopers Paddock, Warwick Farm</t>
  </si>
  <si>
    <t>Forrester Distribution Centre, St Marys</t>
  </si>
  <si>
    <t>Granville Industrial Estate</t>
  </si>
  <si>
    <t>Ingleburn Logistics Park</t>
  </si>
  <si>
    <t>Leppington Business Park</t>
  </si>
  <si>
    <t>Smeg Distribution Centre, Botany</t>
  </si>
  <si>
    <t>Wetherill Park Distribution Centre</t>
  </si>
  <si>
    <t>Yennora Distribution Centre</t>
  </si>
  <si>
    <t>787 Boundary Road, Richlands</t>
  </si>
  <si>
    <t>Carole Park Distribution Centre</t>
  </si>
  <si>
    <t>Hendra Industrial Estate</t>
  </si>
  <si>
    <t>Willawong Distribution Centre</t>
  </si>
  <si>
    <t>Yatala Distribution Centre</t>
  </si>
  <si>
    <t>72-76 Cherry Lane, Laverton North</t>
  </si>
  <si>
    <t>Altona Distribution Centre</t>
  </si>
  <si>
    <t>Altona Industrial Estate</t>
  </si>
  <si>
    <t>Brooklyn Distribution Centre</t>
  </si>
  <si>
    <t>KeyWest Distribution Centre, Truganina</t>
  </si>
  <si>
    <t>Oakleigh Industrial Estate</t>
  </si>
  <si>
    <t>Somerton Distribution Centre</t>
  </si>
  <si>
    <t>Development</t>
  </si>
  <si>
    <t>Book values</t>
  </si>
  <si>
    <t>Total Logistics book value</t>
  </si>
  <si>
    <t>FFO as reported</t>
  </si>
  <si>
    <t>Total Logistics FFO</t>
  </si>
  <si>
    <t>Property FFO</t>
  </si>
  <si>
    <t>NOI growth rate</t>
  </si>
  <si>
    <t>Total acquisitions</t>
  </si>
  <si>
    <t>Total divestments</t>
  </si>
  <si>
    <t>Total revaluation</t>
  </si>
  <si>
    <t>Increase/(decrease) in portfolio value</t>
  </si>
  <si>
    <t>Disposals</t>
  </si>
  <si>
    <t>Development completions</t>
  </si>
  <si>
    <t>Developments</t>
  </si>
  <si>
    <t>92 Gow St, Padstow</t>
  </si>
  <si>
    <t>yrs</t>
  </si>
  <si>
    <t>Assumptions/metrics</t>
  </si>
  <si>
    <t>Opening WIP</t>
  </si>
  <si>
    <t>Closing WIP</t>
  </si>
  <si>
    <t>- Completions</t>
  </si>
  <si>
    <t>Yield on cost</t>
  </si>
  <si>
    <t>Assumed cap rate</t>
  </si>
  <si>
    <t>End value of completions</t>
  </si>
  <si>
    <t>Cumulative completions</t>
  </si>
  <si>
    <t>Development assumptions (if needed)</t>
  </si>
  <si>
    <t>601 Pacific Highway, St Leonards</t>
  </si>
  <si>
    <t>Piccadilly Complex, Sydney*</t>
  </si>
  <si>
    <t>Walker Street Complex, North Sydney†</t>
  </si>
  <si>
    <t>Durack Centre</t>
  </si>
  <si>
    <t>16 Giffnock Avenue, Macquarie Park</t>
  </si>
  <si>
    <t>60-66 Waterloo Road, Macquarie Park</t>
  </si>
  <si>
    <t xml:space="preserve">Macquarie Technology Park, Macquarie Park†† </t>
  </si>
  <si>
    <t>Optus Centre, Macquarie Park‡</t>
  </si>
  <si>
    <t>Triniti Business Park, North Ryde</t>
  </si>
  <si>
    <t>Mulgrave Corporate Park</t>
  </si>
  <si>
    <t>Stockland Balgowlah</t>
  </si>
  <si>
    <t>Stockland Forster</t>
  </si>
  <si>
    <t>Stockland Glendale</t>
  </si>
  <si>
    <t>Stockland Green Hills</t>
  </si>
  <si>
    <t>Stockland Merrylands</t>
  </si>
  <si>
    <t>Stockland Nowra</t>
  </si>
  <si>
    <t>Stockland Piccadilly‡</t>
  </si>
  <si>
    <t>Stockland Shellharbour˜</t>
  </si>
  <si>
    <t>Shellharbour Retail Park</t>
  </si>
  <si>
    <t>Stockland Wetherill Park</t>
  </si>
  <si>
    <t>Stockland Baringa</t>
  </si>
  <si>
    <t>Stockland Birtinya</t>
  </si>
  <si>
    <t>Stockland Burleigh Complex+</t>
  </si>
  <si>
    <t>Stockland Gladstone</t>
  </si>
  <si>
    <t>Stockland Hervey Bay‡</t>
  </si>
  <si>
    <t>Stockland Rockhampton</t>
  </si>
  <si>
    <t>Stockland Townsville^</t>
  </si>
  <si>
    <t>Stockland Point Cook</t>
  </si>
  <si>
    <t>Stockland Wendouree</t>
  </si>
  <si>
    <t>Stockland Baldivis</t>
  </si>
  <si>
    <t>Stockland Bull Creek^^</t>
  </si>
  <si>
    <t>Stockland Harrisdale</t>
  </si>
  <si>
    <t>Stockland Riverton^</t>
  </si>
  <si>
    <t>Total Workplace FFO</t>
  </si>
  <si>
    <t>Total Workplace book value</t>
  </si>
  <si>
    <t>Total Town Centres FFO</t>
  </si>
  <si>
    <t>Total Town Centres book value</t>
  </si>
  <si>
    <t>Bull Creek</t>
  </si>
  <si>
    <t>Riverton</t>
  </si>
  <si>
    <t>Gladstone</t>
  </si>
  <si>
    <t>Distribution payable (links to BS - do not hardcode)</t>
  </si>
  <si>
    <t>Bundaberg</t>
  </si>
  <si>
    <t>Townsville (partial)</t>
  </si>
  <si>
    <t>Cairns</t>
  </si>
  <si>
    <t>COVID impact</t>
  </si>
  <si>
    <t>Normalised</t>
  </si>
  <si>
    <t>Capex - completions from model</t>
  </si>
  <si>
    <t>** Check on results</t>
  </si>
  <si>
    <t>M_Park stage 1 (capex)</t>
  </si>
  <si>
    <t>M_Park stage 1 completion (end value)</t>
  </si>
  <si>
    <t>M_Park stage 1 total spend</t>
  </si>
  <si>
    <t>+ Land payments (net)</t>
  </si>
  <si>
    <t>Rental income</t>
  </si>
  <si>
    <t>Management fees</t>
  </si>
  <si>
    <t>+ Development completions</t>
  </si>
  <si>
    <t>+ Acquisitions</t>
  </si>
  <si>
    <t>Closing sites</t>
  </si>
  <si>
    <t>+ Adjustment</t>
  </si>
  <si>
    <t>SGP balance sheet</t>
  </si>
  <si>
    <t>Weekly rent</t>
  </si>
  <si>
    <t>Annual revenue</t>
  </si>
  <si>
    <t>NOI margin</t>
  </si>
  <si>
    <t>Net rental income</t>
  </si>
  <si>
    <t>Effective ownership</t>
  </si>
  <si>
    <t>Annual rent growth</t>
  </si>
  <si>
    <t>Opening sites (established)</t>
  </si>
  <si>
    <t>(Guidance)</t>
  </si>
  <si>
    <t>Price per home</t>
  </si>
  <si>
    <t>SRRP (SGP owns 50.1%)</t>
  </si>
  <si>
    <t>+ SELL DOWN SITES INTO SRRP - HARDCODE</t>
  </si>
  <si>
    <t>SRRP rental</t>
  </si>
  <si>
    <t>SRRP development FFO</t>
  </si>
  <si>
    <t>Residential JV income</t>
  </si>
  <si>
    <t>Total third party income</t>
  </si>
  <si>
    <t>Development fee</t>
  </si>
  <si>
    <t>Communities management income</t>
  </si>
  <si>
    <t>Effective tax rate</t>
  </si>
  <si>
    <t>SGP Model - Morgan Stanley</t>
  </si>
  <si>
    <t>SGP.AX</t>
  </si>
  <si>
    <t>Stockland</t>
  </si>
  <si>
    <t>Changes in Shareholder's Equity</t>
  </si>
  <si>
    <t>Net Income</t>
  </si>
  <si>
    <t>Opening Balance</t>
  </si>
  <si>
    <t>Divided</t>
  </si>
  <si>
    <t>Net Issuance</t>
  </si>
  <si>
    <t>AOCI</t>
  </si>
  <si>
    <t>Closing Balance</t>
  </si>
  <si>
    <t>Resi lot settlements (#)</t>
  </si>
  <si>
    <t>Resi operating profit margin (%)</t>
  </si>
  <si>
    <t>Resi average selling price (A$)</t>
  </si>
  <si>
    <t>Contracts on hand c.3500 @ 5-10% higher vs FY23</t>
  </si>
  <si>
    <t>Guidance 5200-5600</t>
  </si>
  <si>
    <t>Development EBIT margin (FY)</t>
  </si>
  <si>
    <t>Development op profit margin (FY)</t>
  </si>
  <si>
    <t>guiding to low 20s</t>
  </si>
  <si>
    <t>400-450</t>
  </si>
  <si>
    <t>FFOps pre-tax</t>
  </si>
  <si>
    <t>FFOps growth</t>
  </si>
  <si>
    <t>FFOps pre-tax growth</t>
  </si>
  <si>
    <t>Townsville</t>
  </si>
  <si>
    <t>Supalai</t>
  </si>
  <si>
    <t>Minus PDA payments</t>
  </si>
  <si>
    <t>FFO pre interest</t>
  </si>
  <si>
    <t>FFO post interest</t>
  </si>
  <si>
    <t>SGP share (50.1%)</t>
  </si>
  <si>
    <t>SGP management fee (7% of partner revenue)</t>
  </si>
  <si>
    <t>INCLUDING SUPALAI</t>
  </si>
  <si>
    <t>Including SUPALAI</t>
  </si>
  <si>
    <t>Nowra, Balgowlah</t>
  </si>
  <si>
    <t>Glendale</t>
  </si>
  <si>
    <t>Investment management FFO</t>
  </si>
  <si>
    <t>Commercial development Income</t>
  </si>
  <si>
    <t>Communities rental income</t>
  </si>
  <si>
    <t>Investment management fee income</t>
  </si>
  <si>
    <t>Development management fee income</t>
  </si>
  <si>
    <t>600-650</t>
  </si>
  <si>
    <t>Minus 3rd party</t>
  </si>
  <si>
    <t>Ingleburn</t>
  </si>
  <si>
    <t>KKR portfolio</t>
  </si>
  <si>
    <t>Disposal - KKR</t>
  </si>
  <si>
    <t>600-800</t>
  </si>
  <si>
    <t xml:space="preserve">1 Austin Road West </t>
  </si>
  <si>
    <t xml:space="preserve">Kowloon </t>
  </si>
  <si>
    <t xml:space="preserve">Hong Kong </t>
  </si>
  <si>
    <t>Tel: +852 2848 5200</t>
  </si>
  <si>
    <t>Authors: Lauren Berry,Simon Chan</t>
  </si>
  <si>
    <t>Date: 16 Feb 2026</t>
  </si>
  <si>
    <t>Ticker: SGP.AX</t>
  </si>
  <si>
    <t>Stock Rating: Overweight</t>
  </si>
  <si>
    <t>Industry: Australia Property</t>
  </si>
  <si>
    <t>Industry View: In-Line</t>
  </si>
  <si>
    <t>Price as of 16 Feb 2026: 5.29</t>
  </si>
  <si>
    <t>Target Price: 6.60</t>
  </si>
  <si>
    <t>e = Morgan Stanley Research estimates unless otherwise noted</t>
  </si>
  <si>
    <t>Source: Morgan Stanley Research unless otherwise noted</t>
  </si>
  <si>
    <t>Stocks ratings are relative to the analyst's industry coverage universe.</t>
  </si>
  <si>
    <t>Morgan Stanley does and seeks to do business with companies covered in Morgan Stanley Research. As a</t>
  </si>
  <si>
    <t>result, investors should be aware that the firm may have a conflict of interest that could affect the</t>
  </si>
  <si>
    <t>objectivity of Morgan Stanley Research. Investors should consider Morgan Stanley Research as only a</t>
  </si>
  <si>
    <t>single factor in making their investment decision.</t>
  </si>
  <si>
    <t>The information and opinions in Morgan Stanley Research were prepared or are disseminated by Morgan</t>
  </si>
  <si>
    <t>Stanley Asia Limited (which accepts the responsibility for its contents) and/or Morgan Stanley Asia</t>
  </si>
  <si>
    <t>(Singapore) Pte. (Registration number 199206298Z) and/or Morgan Stanley Asia (Singapore) Securities Pte</t>
  </si>
  <si>
    <t>Ltd (Registration number 200008434H), regulated by the Monetary Authority of Singapore (which accepts</t>
  </si>
  <si>
    <t>legal responsibility for its contents and should be contacted with respect to any matters arising from,</t>
  </si>
  <si>
    <t>or in connection with, Morgan Stanley Research), and/or Morgan Stanley Taiwan Limited and/or Morgan</t>
  </si>
  <si>
    <t>Stanley &amp; Co International plc, Seoul Branch, and/or Morgan Stanley Australia Limited (A.B.N. 67 003 734</t>
  </si>
  <si>
    <t>576, holder of Australian financial services license No. 233742, which accepts responsibility for its</t>
  </si>
  <si>
    <t>contents), and/or Morgan Stanley Wealth Management Australia Pty Ltd (A.B.N. 19 009 145 555, holder of</t>
  </si>
  <si>
    <t>Australian financial services license No. 240813, which accepts responsibility for its contents), and/or</t>
  </si>
  <si>
    <t>Morgan Stanley India Company Private Limited having Corporate Identification No (CIN)</t>
  </si>
  <si>
    <t>U22990MH1998PTC115305, regulated by the Securities and Exchange Board of India (“SEBI”) and holder of</t>
  </si>
  <si>
    <t>licenses as a Research Analyst (SEBI Registration No. INH000001105); Stock Broker (SEBI Stock Broker</t>
  </si>
  <si>
    <t>Registration No. INZ000244438), Merchant Banker (SEBI Registration No. INM000011203), and depository</t>
  </si>
  <si>
    <t>participant with National Securities Depository Limited (SEBI Registration No. IN-DP-NSDL-567-2021)</t>
  </si>
  <si>
    <t>having registered office at Altimus, Level 39 &amp; 40, Pandurang Budhkar Marg, Worli, Mumbai 400018, India;</t>
  </si>
  <si>
    <t>Telephone no. +91-22-61181000; Compliance Officer Details: Mr. Tejarshi Hardas, Tel. No.:</t>
  </si>
  <si>
    <t>+91-22-61181000 or Email: tejarshi.hardas@morganstanley.com; Grievance officer details: Mr. Tejarshi</t>
  </si>
  <si>
    <t>Hardas, Tel. No.: +91-22-61181000 or Email: msic-compliance@morganstanley.com which accepts the</t>
  </si>
  <si>
    <t>responsibility for its contents and should be contacted with respect to any matters arising from, or in</t>
  </si>
  <si>
    <t>connection with, Morgan Stanley Research, and their affiliates (collectively, "Morgan Stanley"). Morgan</t>
  </si>
  <si>
    <t>Stanley India Company Private Limited (MSICPL) may use AI tools in providing research services. All</t>
  </si>
  <si>
    <t>recommendations contained herein are made by the duly qualified research analysts.</t>
  </si>
  <si>
    <t>For important disclosures, stock price charts and equity rating histories regarding companies that are</t>
  </si>
  <si>
    <t>the subject of this report, please see the Morgan Stanley Research Disclosure Website at</t>
  </si>
  <si>
    <t>www.morganstanley.com/eqr/disclosures/webapp/generalresearch, or contact your investment representative</t>
  </si>
  <si>
    <t>or Morgan Stanley Research at 1585 Broadway, (Attention: Research Management), New York, NY, 10036 USA.</t>
  </si>
  <si>
    <t>For valuation methodology and risks associated with any recommendation, rating or price target</t>
  </si>
  <si>
    <t>referenced in this research report, please contact the Client Support Team as follows: US/Canada +1 800</t>
  </si>
  <si>
    <t>303-2495; Hong Kong +852 2848-5999; Latin America +1 718 754-5444 (U.S.); London +44 (0)20-7425-8169;</t>
  </si>
  <si>
    <t>Singapore +65 6834-6860; Sydney +61 (0)2-9770-1505; Tokyo +81 (0)3-6836-9000. Alternatively you may</t>
  </si>
  <si>
    <t>contact your investment representative or Morgan Stanley Research at 1585 Broadway, (Attention: Research</t>
  </si>
  <si>
    <t>Management), New York, NY 10036 USA.</t>
  </si>
  <si>
    <t>Analyst Certification</t>
  </si>
  <si>
    <t>The following analysts hereby certify that their views about the companies and their securities</t>
  </si>
  <si>
    <t>discussed in this report are accurately expressed and that they have not received and will not receive</t>
  </si>
  <si>
    <t>direct or indirect compensation in exchange for expressing specific recommendations or views in this</t>
  </si>
  <si>
    <t>report: Lauren A Berry.</t>
  </si>
  <si>
    <t>.</t>
  </si>
  <si>
    <t>Global Research Conflict Management Policy</t>
  </si>
  <si>
    <t>Morgan Stanley Research has been published in accordance with our conflict management policy, which is</t>
  </si>
  <si>
    <t>available at www.morganstanley.com/institutional/research/conflictpolicies. A Portuguese version of the</t>
  </si>
  <si>
    <t>policy can be found at www.morganstanley.com.br</t>
  </si>
  <si>
    <t>Important Regulatory Disclosures on Subject Companies</t>
  </si>
  <si>
    <t>In the next 3 months, Morgan Stanley expects to receive or intends to seek compensation for investment</t>
  </si>
  <si>
    <t>banking services from Stockland.</t>
  </si>
  <si>
    <t>Within the last 12 months, Morgan Stanley has provided or is providing investment banking services to,</t>
  </si>
  <si>
    <t>or has an investment banking client relationship with, the following company: Stockland.</t>
  </si>
  <si>
    <t>The equity research analysts or strategists principally responsible for the preparation of Morgan</t>
  </si>
  <si>
    <t>Stanley Research have received compensation based upon various factors, including quality of research,</t>
  </si>
  <si>
    <t>investor client feedback, stock picking, competitive factors, firm revenues and overall investment</t>
  </si>
  <si>
    <t>banking revenues. Equity Research analysts' or strategists' compensation is not linked to investment</t>
  </si>
  <si>
    <t>banking or capital markets transactions performed by Morgan Stanley or the profitability or revenues of</t>
  </si>
  <si>
    <t>particular trading desks.</t>
  </si>
  <si>
    <t>Morgan Stanley and its affiliates do business that relates to companies/instruments covered in Morgan</t>
  </si>
  <si>
    <t>Stanley Research, including market making, providing liquidity, fund management, commercial banking,</t>
  </si>
  <si>
    <t>extension of credit, investment services and investment banking. Morgan Stanley sells to and buys from</t>
  </si>
  <si>
    <t>customers the securities/instruments of companies covered in Morgan Stanley Research on a principal</t>
  </si>
  <si>
    <t>basis. Morgan Stanley may have a position in the debt of the Company or instruments discussed in this</t>
  </si>
  <si>
    <t>report. Morgan Stanley trades or may trade as principal in the debt securities (or in related</t>
  </si>
  <si>
    <t>derivatives) that are the subject of the debt research report.</t>
  </si>
  <si>
    <t>Certain disclosures listed above are also for compliance with applicable regulations in non-US</t>
  </si>
  <si>
    <t>jurisdictions.</t>
  </si>
  <si>
    <t>STOCK RATINGS</t>
  </si>
  <si>
    <t>Morgan Stanley uses a relative rating system using terms such as Overweight, Equal-weight, Not-Rated or</t>
  </si>
  <si>
    <t>Underweight (see definitions below). Morgan Stanley does not assign ratings of Buy, Hold or Sell to the</t>
  </si>
  <si>
    <t>stocks we cover. Overweight, Equal-weight, Not-Rated and Underweight are not the equivalent of buy, hold</t>
  </si>
  <si>
    <t>and sell. Investors should carefully read the definitions of all ratings used in Morgan Stanley</t>
  </si>
  <si>
    <t>Research. In addition, since Morgan Stanley Research contains more complete information concerning the</t>
  </si>
  <si>
    <t>analyst's views, investors should carefully read Morgan Stanley Research, in its entirety, and not infer</t>
  </si>
  <si>
    <t>the contents from the rating alone. In any case, ratings (or research) should not be used or relied</t>
  </si>
  <si>
    <t>upon as investment advice. An investor's decision to buy or sell a stock should depend on individual</t>
  </si>
  <si>
    <t>circumstances (such as the investor's existing holdings) and other considerations.</t>
  </si>
  <si>
    <t>Global Stock Ratings Distribution</t>
  </si>
  <si>
    <t>(as of January 31, 2026)</t>
  </si>
  <si>
    <t>The Stock Ratings described below apply to Morgan Stanley's Fundamental Equity Research and do not apply</t>
  </si>
  <si>
    <t>to Debt Research produced by the Firm.</t>
  </si>
  <si>
    <t>For disclosure purposes only (in accordance with FINRA requirements), we include the category headings</t>
  </si>
  <si>
    <t>of Buy, Hold, and Sell alongside our ratings of Overweight, Equal-weight, Not-Rated and Underweight.</t>
  </si>
  <si>
    <t>Morgan Stanley does not assign ratings of Buy, Hold or Sell to the stocks we cover. Overweight,</t>
  </si>
  <si>
    <t>Equal-weight, Not-Rated and Underweight are not the equivalent of buy, hold, and sell but represent</t>
  </si>
  <si>
    <t>recommended relative weightings (see definitions below). To satisfy regulatory requirements, we</t>
  </si>
  <si>
    <t>correspond Overweight, our most positive stock rating, with a buy recommendation; we correspond</t>
  </si>
  <si>
    <t>Equal-weight and Not-Rated to hold and Underweight to sell recommendations, respectively.</t>
  </si>
  <si>
    <t>Coverage Universe</t>
  </si>
  <si>
    <t>Investment Banking Clients (IBC)</t>
  </si>
  <si>
    <t>Other Material Investment Services Clients (MISC)</t>
  </si>
  <si>
    <t>Stock Rating Category</t>
  </si>
  <si>
    <t>Count</t>
  </si>
  <si>
    <t>% of Total</t>
  </si>
  <si>
    <t>% of Total IBC</t>
  </si>
  <si>
    <t>% of Rating Category</t>
  </si>
  <si>
    <t>% of Total Other MISC</t>
  </si>
  <si>
    <t>Overweight/Buy</t>
  </si>
  <si>
    <t>Equal-weight/Hold</t>
  </si>
  <si>
    <t>Not-Rated/Hold</t>
  </si>
  <si>
    <t>Underweight/Sell</t>
  </si>
  <si>
    <t>Total</t>
  </si>
  <si>
    <t>Data include common stock and ADRs currently assigned ratings. Investment Banking Clients are companies</t>
  </si>
  <si>
    <t>from whom Morgan Stanley received investment banking compensation in the last 12 months. Due to rounding</t>
  </si>
  <si>
    <t>off of decimals, the percentages provided in the "% of total" column may not add up to exactly 100</t>
  </si>
  <si>
    <t>percent.</t>
  </si>
  <si>
    <t>Analyst Stock Ratings</t>
  </si>
  <si>
    <t>Overweight (O). The stock's total return is expected to exceed the average total return of the analyst's</t>
  </si>
  <si>
    <t>industry (or industry team's) coverage universe, on a risk-adjusted basis, over the next 12-18 months.</t>
  </si>
  <si>
    <t>Equal-weight (E). The stock's total return is expected to be in line with the average total return of</t>
  </si>
  <si>
    <t>the analyst's industry (or industry team's) coverage universe, on a risk-adjusted basis, over the next</t>
  </si>
  <si>
    <t>12-18 months.</t>
  </si>
  <si>
    <t>Not-Rated (NR). Currently the analyst does not have adequate conviction about the stock's total return</t>
  </si>
  <si>
    <t>relative to the average total return of the analyst's industry (or industry team's) coverage universe,</t>
  </si>
  <si>
    <t>on a risk-adjusted basis, over the next 12-18 months.</t>
  </si>
  <si>
    <t>Underweight (U). The stock's total return is expected to be below the average total return of the</t>
  </si>
  <si>
    <t>analyst's industry (or industry team's) coverage universe, on a risk-adjusted basis, over the next 12-18</t>
  </si>
  <si>
    <t>months.</t>
  </si>
  <si>
    <t>Unless otherwise specified, the time frame for price targets included in Morgan Stanley Research is 12</t>
  </si>
  <si>
    <t>to 18 months.</t>
  </si>
  <si>
    <t>Analyst Industry Views</t>
  </si>
  <si>
    <t>Attractive (A): The analyst expects the performance of his or her industry coverage universe over the</t>
  </si>
  <si>
    <t>next 12-18 months to be attractive vs. the relevant broad market benchmark, as indicated below.</t>
  </si>
  <si>
    <t>In-Line (I): The analyst expects the performance of his or her industry coverage universe over the next</t>
  </si>
  <si>
    <t>12-18 months to be in line with the relevant broad market benchmark, as indicated below.</t>
  </si>
  <si>
    <t>Cautious (C): The analyst views the performance of his or her industry coverage universe over the next</t>
  </si>
  <si>
    <t>12-18 months with caution vs. the relevant broad market benchmark, as indicated below.</t>
  </si>
  <si>
    <t>Benchmarks for each region are as follows: North America - S&amp;P 500; Latin America - relevant MSCI</t>
  </si>
  <si>
    <t>country index or MSCI Latin America Index; Europe - MSCI Europe; Japan - TOPIX; Asia - relevant MSCI</t>
  </si>
  <si>
    <t>country index or MSCI sub-regional index or MSCI AC Asia Pacific ex Japan Index.</t>
  </si>
  <si>
    <t>Stock Price, Price Target and Rating History (See Rating Definitions)</t>
  </si>
  <si>
    <t>Important Disclosures for Morgan Stanley Smith Barney LLC Customers</t>
  </si>
  <si>
    <t>Important disclosures regarding any material conflict of interest that can reasonably be expected to</t>
  </si>
  <si>
    <t>have influenced Morgan Stanley Smith Barney LLC's choice of a third-party research provider or the</t>
  </si>
  <si>
    <t>subject company of a third-party research report, are available on the Morgan Stanley Wealth Management</t>
  </si>
  <si>
    <t>disclosure website at www.morganstanley.com/online/researchdisclosures. For Morgan Stanley specific</t>
  </si>
  <si>
    <t>disclosures, you may refer to https://www.morganstanley.com/eqr/disclosures/webapp/generalresearch.</t>
  </si>
  <si>
    <t>Each Morgan Stanley research report is reviewed and approved on behalf of Morgan Stanley Smith Barney</t>
  </si>
  <si>
    <t>LLC. This review and approval is conducted by the same person who reviews the research report on behalf</t>
  </si>
  <si>
    <t>of Morgan Stanley. This could create a conflict of interest.</t>
  </si>
  <si>
    <t>Other Important Disclosures</t>
  </si>
  <si>
    <t>Morgan Stanley Research policy is to update research reports as and when the Research Analyst and</t>
  </si>
  <si>
    <t>Research Management deem appropriate, based on developments with the issuer, the sector, or the market</t>
  </si>
  <si>
    <t>that may have a material impact on the research views or opinions stated therein. In addition, certain</t>
  </si>
  <si>
    <t>Research publications are intended to be updated on a regular periodic basis</t>
  </si>
  <si>
    <t>(weekly/monthly/quarterly/annual) and will ordinarily be updated with that frequency, unless the</t>
  </si>
  <si>
    <t>Research Analyst and Research Management determine that a different publication schedule is appropriate</t>
  </si>
  <si>
    <t>based on current conditions.</t>
  </si>
  <si>
    <t>Morgan Stanley is not acting as a municipal advisor and the opinions or views contained herein are not</t>
  </si>
  <si>
    <t>intended to be, and do not constitute, advice within the meaning of Section 975 of the Dodd-Frank Wall</t>
  </si>
  <si>
    <t>Street Reform and Consumer Protection Act.</t>
  </si>
  <si>
    <t>Morgan Stanley produces an equity research product called a "Tactical Idea." Views contained in a</t>
  </si>
  <si>
    <t>"Tactical Idea" on a particular stock may be contrary to the recommendations or views expressed in</t>
  </si>
  <si>
    <t>research on the same stock. This may be the result of differing time horizons, methodologies, market</t>
  </si>
  <si>
    <t>events, or other factors. For all research available on a particular stock, please contact your sales</t>
  </si>
  <si>
    <t>representative or go to Matrix at http://www.morganstanley.com/matrix.</t>
  </si>
  <si>
    <t>Morgan Stanley Research is provided to our clients through our proprietary research portal on Matrix and</t>
  </si>
  <si>
    <t>also distributed electronically by Morgan Stanley to clients. Certain, but not all, Morgan Stanley</t>
  </si>
  <si>
    <t>Research products are also made available to clients through third-party vendors or redistributed to</t>
  </si>
  <si>
    <t>clients through alternate electronic means as a convenience. For access to all available Morgan Stanley</t>
  </si>
  <si>
    <t>Research, please contact your sales representative or go to Matrix at</t>
  </si>
  <si>
    <t>http://www.morganstanley.com/matrix.</t>
  </si>
  <si>
    <t>Any access and/or use of Morgan Stanley Research is subject to Morgan Stanley's Terms of Use</t>
  </si>
  <si>
    <t>(http://www.morganstanley.com/terms.html). By accessing and/or using Morgan Stanley Research, you are</t>
  </si>
  <si>
    <t>indicating that you have read and agree to be bound by our Terms of Use</t>
  </si>
  <si>
    <t>(http://www.morganstanley.com/terms.html). In addition you consent to Morgan Stanley processing your</t>
  </si>
  <si>
    <t>personal data and using cookies in accordance with our Privacy Policy and our Global Cookies Policy</t>
  </si>
  <si>
    <t>(http://www.morganstanley.com/privacy_pledge.html), including for the purposes of setting your</t>
  </si>
  <si>
    <t>preferences and to collect readership data so that we can deliver better and more personalized service</t>
  </si>
  <si>
    <t>and products to you. To find out more information about how Morgan Stanley processes personal data, how</t>
  </si>
  <si>
    <t>we use cookies and how to reject cookies see our Privacy Policy and our Global Cookies Policy</t>
  </si>
  <si>
    <t>(http://www.morganstanley.com/privacy_pledge.html). Please use the provided link to review the Terms and</t>
  </si>
  <si>
    <t>Conditions and Most Important Terms and Conditions for Morgan Stanley India Company Private Limited</t>
  </si>
  <si>
    <t>(https://www.morganstanley.com/assets/pdfs/about-us-global-offices/india/Terms_and_conditions.pdf) and</t>
  </si>
  <si>
    <t>the following link to review the audit report</t>
  </si>
  <si>
    <t>(https://www.morganstanley.com/assets/pdfs/about-us-global-offices/india/Research_Audit_Report.pdf).</t>
  </si>
  <si>
    <t>If you do not agree to our Terms of Use and/or if you do not wish to provide your consent to Morgan</t>
  </si>
  <si>
    <t>Stanley processing your personal data or using cookies please do not access our research.</t>
  </si>
  <si>
    <t>Morgan Stanley Research does not provide individually tailored investment advice. Morgan Stanley</t>
  </si>
  <si>
    <t>Research has been prepared without regard to the circumstances and objectives of those who receive it.</t>
  </si>
  <si>
    <t>Morgan Stanley recommends that investors independently evaluate particular investments and strategies,</t>
  </si>
  <si>
    <t>and encourages investors to seek the advice of a financial adviser. The appropriateness of an investment</t>
  </si>
  <si>
    <t>or strategy will depend on an investor's circumstances and objectives. The securities, instruments, or</t>
  </si>
  <si>
    <t>strategies discussed in Morgan Stanley Research may not be suitable for all investors, and certain</t>
  </si>
  <si>
    <t>investors may not be eligible to purchase or participate in some or all of them. Morgan Stanley Research</t>
  </si>
  <si>
    <t>is not an offer to buy or sell or the solicitation of an offer to buy or sell any security/instrument or</t>
  </si>
  <si>
    <t>to participate in any particular trading strategy. The value of and income from your investments may</t>
  </si>
  <si>
    <t>vary because of changes in interest rates, foreign exchange rates, default rates, prepayment rates,</t>
  </si>
  <si>
    <t>securities/instruments prices, market indexes, operational or financial conditions of companies or other</t>
  </si>
  <si>
    <t>factors. There may be time limitations on the exercise of options or other rights in</t>
  </si>
  <si>
    <t>securities/instruments transactions. Past performance is not necessarily a guide to future performance.</t>
  </si>
  <si>
    <t>Estimates of future performance are based on assumptions that may not be realized. If provided, and</t>
  </si>
  <si>
    <t>unless otherwise stated, the closing price on the cover page is that of the primary exchange for the</t>
  </si>
  <si>
    <t>subject company's securities/instruments.</t>
  </si>
  <si>
    <t>The fixed income research analysts, strategists or economists principally responsible for the</t>
  </si>
  <si>
    <t>preparation of Morgan Stanley Research have received compensation based upon various factors, including</t>
  </si>
  <si>
    <t>quality, accuracy and value of research, firm profitability or revenues (which include fixed income</t>
  </si>
  <si>
    <t>trading and capital markets profitability or revenues), client feedback and competitive factors. Fixed</t>
  </si>
  <si>
    <t>Income Research analysts', strategists' or economists' compensation is not linked to investment banking</t>
  </si>
  <si>
    <t>or capital markets transactions performed by Morgan Stanley or the profitability or revenues of</t>
  </si>
  <si>
    <t>The "Important Regulatory Disclosures on Subject Companies" section in Morgan Stanley Research lists all</t>
  </si>
  <si>
    <t>companies mentioned where Morgan Stanley owns 1% or more of a class of common equity securities of the</t>
  </si>
  <si>
    <t>companies. For all other companies mentioned in Morgan Stanley Research, Morgan Stanley may have an</t>
  </si>
  <si>
    <t>investment of less than 1% in securities/instruments or derivatives of securities/instruments of</t>
  </si>
  <si>
    <t>companies and may trade them in ways different from those discussed in Morgan Stanley Research.</t>
  </si>
  <si>
    <t>Employees of Morgan Stanley not involved in the preparation of Morgan Stanley Research may have</t>
  </si>
  <si>
    <t>investments in securities/instruments or derivatives of securities/instruments of companies mentioned</t>
  </si>
  <si>
    <t>and may trade them in ways different from those discussed in Morgan Stanley Research. Derivatives may be</t>
  </si>
  <si>
    <t>issued by Morgan Stanley or associated persons.</t>
  </si>
  <si>
    <t>With the exception of information regarding Morgan Stanley, Morgan Stanley Research is based on public</t>
  </si>
  <si>
    <t>information. Morgan Stanley makes every effort to use reliable, comprehensive information, but we make</t>
  </si>
  <si>
    <t>no representation that it is accurate or complete. We have no obligation to tell you when opinions or</t>
  </si>
  <si>
    <t>information in Morgan Stanley Research change apart from when we intend to discontinue equity research</t>
  </si>
  <si>
    <t>coverage of a subject company. Facts and views presented in Morgan Stanley Research have not been</t>
  </si>
  <si>
    <t>reviewed by, and may not reflect information known to, professionals in other Morgan Stanley business</t>
  </si>
  <si>
    <t>areas, including investment banking personnel.</t>
  </si>
  <si>
    <t>Morgan Stanley Research personnel may participate in company events such as site visits and are</t>
  </si>
  <si>
    <t>generally prohibited from accepting payment by the company of associated expenses unless pre-approved by</t>
  </si>
  <si>
    <t>authorized members of Research management.</t>
  </si>
  <si>
    <t>Morgan Stanley may make investment decisions that are inconsistent with the recommendations or views in</t>
  </si>
  <si>
    <t>this report.</t>
  </si>
  <si>
    <t>To our readers based in Taiwan or trading in Taiwan securities/instruments: Information on</t>
  </si>
  <si>
    <t>securities/instruments that trade in Taiwan is distributed by Morgan Stanley Taiwan Limited ("MSTL").</t>
  </si>
  <si>
    <t>Such information is for your reference only. The reader should independently evaluate the investment</t>
  </si>
  <si>
    <t>risks and is solely responsible for their investment decisions. Morgan Stanley Research may not be</t>
  </si>
  <si>
    <t>distributed to the public media or quoted or used by the public media without the express written</t>
  </si>
  <si>
    <t>consent of Morgan Stanley. Any non-customer reader within the scope of Article 7-1 of the Taiwan Stock</t>
  </si>
  <si>
    <t>Exchange Recommendation Regulations accessing and/or receiving Morgan Stanley Research is not permitted</t>
  </si>
  <si>
    <t>to provide Morgan Stanley Research to any third party (including but not limited to related parties,</t>
  </si>
  <si>
    <t>affiliated companies and any other third parties) or engage in any activities regarding Morgan Stanley</t>
  </si>
  <si>
    <t>Research which may create or give the appearance of creating a conflict of interest. Information on</t>
  </si>
  <si>
    <t>securities/instruments that do not trade in Taiwan is for informational purposes only and is not to be</t>
  </si>
  <si>
    <t>construed as a recommendation or a solicitation to trade in such securities/instruments. MSTL may not</t>
  </si>
  <si>
    <t>execute transactions for clients in these securities/instruments.</t>
  </si>
  <si>
    <t>Certain information in Morgan Stanley Research was sourced by employees of the Shanghai Representative</t>
  </si>
  <si>
    <t>Office of Morgan Stanley Asia Limited for the use of Morgan Stanley Asia Limited.</t>
  </si>
  <si>
    <t>Morgan Stanley is not incorporated under PRC law and the research in relation to this report is</t>
  </si>
  <si>
    <t>conducted outside the PRC. Morgan Stanley Research does not constitute an offer to sell or the</t>
  </si>
  <si>
    <t>solicitation of an offer to buy any securities in the PRC. PRC investors shall have the relevant</t>
  </si>
  <si>
    <t>qualifications to invest in such securities and shall be responsible for obtaining all relevant</t>
  </si>
  <si>
    <t>approvals, licenses, verifications and/or registrations from the relevant governmental authorities</t>
  </si>
  <si>
    <t>themselves. Neither this report nor any part of it is intended as, or shall constitute, provision of any</t>
  </si>
  <si>
    <t>consultancy or advisory service of securities investment as defined under PRC law. Such information is</t>
  </si>
  <si>
    <t>provided for your reference only.</t>
  </si>
  <si>
    <t>Morgan Stanley Research is disseminated in Brazil by Morgan Stanley C.T.V.M. S.A. located at Av.</t>
  </si>
  <si>
    <t>Brigadeiro Faria Lima, 3600, 6th floor, São Paulo - SP, Brazil; and is regulated by the Comissão de</t>
  </si>
  <si>
    <t>Valores Mobiliários; in Mexico by Morgan Stanley México, Casa de Bolsa, S.A. de C.V which is regulated</t>
  </si>
  <si>
    <t>by Comision Nacional Bancaria y de Valores. Paseo de los Tamarindos 90, Torre 1, Col. Bosques de las</t>
  </si>
  <si>
    <t>Lomas Floor 29, 05120 Mexico City; in Japan by Morgan Stanley MUFG Securities Co., Ltd. and, for</t>
  </si>
  <si>
    <t>Commodities related research reports only, Morgan Stanley Capital Group Japan Co., Ltd; in Hong Kong by</t>
  </si>
  <si>
    <t>Morgan Stanley Asia Limited (which accepts responsibility for its contents) and by Morgan Stanley Bank</t>
  </si>
  <si>
    <t>Asia Limited; in Singapore by Morgan Stanley Asia (Singapore) Pte. (Registration number 199206298Z)</t>
  </si>
  <si>
    <t>and/or Morgan Stanley Asia (Singapore) Securities Pte Ltd (Registration number 200008434H), regulated by</t>
  </si>
  <si>
    <t>the Monetary Authority of Singapore (which accepts legal responsibility for its contents and should be</t>
  </si>
  <si>
    <t>contacted with respect to any matters arising from, or in connection with, Morgan Stanley Research) and</t>
  </si>
  <si>
    <t>by Morgan Stanley Bank Asia Limited, Singapore Branch (Registration number T14FC0118J); in Australia to</t>
  </si>
  <si>
    <t>"wholesale clients" within the meaning of the Australian Corporations Act by Morgan Stanley Australia</t>
  </si>
  <si>
    <t>Limited A.B.N. 67 003 734 576, holder of Australian financial services license No. 233742, which accepts</t>
  </si>
  <si>
    <t>responsibility for its contents; in Australia to "wholesale clients" and "retail clients" within the</t>
  </si>
  <si>
    <t>meaning of the Australian Corporations Act by Morgan Stanley Wealth Management Australia Pty Ltd (A.B.N.</t>
  </si>
  <si>
    <t>19 009 145 555, holder of Australian financial services license No. 240813, which accepts responsibility</t>
  </si>
  <si>
    <t>for its contents; in Korea by Morgan Stanley &amp; Co International plc, Seoul Branch; in India by Morgan</t>
  </si>
  <si>
    <t>Stanley India Company Private Limited having Corporate Identification No (CIN) U22990MH1998PTC115305,</t>
  </si>
  <si>
    <t>regulated by the Securities and Exchange Board of India (“SEBI”) and holder of licenses as a Research</t>
  </si>
  <si>
    <t>Analyst (SEBI Registration No. INH000001105); Stock Broker (SEBI Stock Broker Registration No.</t>
  </si>
  <si>
    <t>INZ000244438), Merchant Banker (SEBI Registration No. INM000011203), and depository participant with</t>
  </si>
  <si>
    <t>National Securities Depository Limited (SEBI Registration No. IN-DP-NSDL-567-2021) having registered</t>
  </si>
  <si>
    <t>office at Altimus, Level 39 &amp; 40, Pandurang Budhkar Marg, Worli, Mumbai 400018, India; Telephone no.</t>
  </si>
  <si>
    <t>+91-22-61181000; Compliance Officer Details: Mr. Tejarshi Hardas, Tel. No.: +91-22-61181000 or Email:</t>
  </si>
  <si>
    <t>tejarshi.hardas@morganstanley.com; Grievance officer details: Mr. Tejarshi Hardas, Tel. No.:</t>
  </si>
  <si>
    <t>+91-22-61181000 or Email: msic-compliance@morganstanley.com. Morgan Stanley India Company Private</t>
  </si>
  <si>
    <t>Limited (MSICPL) may use AI tools in providing research services. All recommendations contained herein</t>
  </si>
  <si>
    <t>are made by the duly qualified research analysts; in Canada by Morgan Stanley Canada Limited; in Germany</t>
  </si>
  <si>
    <t>and the European Economic Area where required by Morgan Stanley Europe S.E., authorised and regulated by</t>
  </si>
  <si>
    <t>Bundesanstalt fuer Finanzdienstleistungsaufsicht (BaFin) under the reference number 149169; in the US by</t>
  </si>
  <si>
    <t>Morgan Stanley &amp; Co. LLC, which accepts responsibility for its contents. Morgan Stanley &amp; Co.</t>
  </si>
  <si>
    <t>International plc, authorized by the Prudential Regulation Authority and regulated by the Financial</t>
  </si>
  <si>
    <t>Conduct Authority and the Prudential Regulation Authority, disseminates in the UK research that it has</t>
  </si>
  <si>
    <t>prepared, and research which has been prepared by any of its affiliates, only to persons who (i) are</t>
  </si>
  <si>
    <t>investment professionals falling within Article 19(5) of the Financial Services and Markets Act 2000</t>
  </si>
  <si>
    <t>(Financial Promotion) Order 2005 (as amended, the “Order”); (ii) are persons who are high net worth</t>
  </si>
  <si>
    <t>entities falling within Article 49(2)(a) to (d) of the Order; or (iii) are persons to whom an invitation</t>
  </si>
  <si>
    <t>or inducement to engage in investment activity (within the meaning of section 21 of the Financial</t>
  </si>
  <si>
    <t>Services and Markets Act 2000, as amended) may otherwise lawfully be communicated or caused to be</t>
  </si>
  <si>
    <t>communicated. RMB Morgan Stanley Proprietary Limited is a member of the JSE Limited and A2X (Pty) Ltd.</t>
  </si>
  <si>
    <t>RMB Morgan Stanley Proprietary Limited is a joint venture owned equally by Morgan Stanley International</t>
  </si>
  <si>
    <t>Holdings Inc. and RMB Investment Advisory (Proprietary) Limited, which is wholly owned by FirstRand</t>
  </si>
  <si>
    <t>Limited. The information in Morgan Stanley Research is being disseminated by Morgan Stanley Saudi</t>
  </si>
  <si>
    <t>Arabia, regulated by the Capital Market Authority in the Kingdom of Saudi Arabia, and is directed at</t>
  </si>
  <si>
    <t>Sophisticated investors only.</t>
  </si>
  <si>
    <t>The information in Morgan Stanley Research is being communicated by Morgan Stanley &amp; Co. International</t>
  </si>
  <si>
    <t>plc (DIFC Branch), regulated by the Dubai Financial Services Authority (the DFSA) or by Morgan Stanley &amp;</t>
  </si>
  <si>
    <t>Co. International plc (ADGM Branch), regulated by the Financial Services Regulatory Authority Abu Dhabi</t>
  </si>
  <si>
    <t>(the FSRA), and is directed at Professional Clients only, as defined by the DFSA or the FSRA,</t>
  </si>
  <si>
    <t>respectively. The financial products or financial services to which this research relates will only be</t>
  </si>
  <si>
    <t>made available to a customer who we are satisfied meets the regulatory criteria of a Professional</t>
  </si>
  <si>
    <t>Client. A distribution of the different MS Research ratings or recommendations, in percentage terms for</t>
  </si>
  <si>
    <t>Investments in each sector covered, is available upon request from your sales representative.</t>
  </si>
  <si>
    <t>plc (QFC Branch), regulated by the Qatar Financial Centre Regulatory Authority (the QFCRA), and is</t>
  </si>
  <si>
    <t>directed at business customers and market counterparties only and is not intended for Retail Customers</t>
  </si>
  <si>
    <t>as defined by the QFCRA.</t>
  </si>
  <si>
    <t>As required by the Capital Markets Board of Turkey, investment information, comments and recommendations</t>
  </si>
  <si>
    <t>stated here, are not within the scope of investment advisory activity. Investment advisory service is</t>
  </si>
  <si>
    <t>provided exclusively to persons based on their risk and income preferences by the authorized firms.</t>
  </si>
  <si>
    <t>Comments and recommendations stated here are general in nature. These opinions may not fit to your</t>
  </si>
  <si>
    <t>financial status, risk and return preferences. For this reason, to make an investment decision by</t>
  </si>
  <si>
    <t>relying solely to this information stated here may not bring about outcomes that fit your expectations.</t>
  </si>
  <si>
    <t>The trademarks and service marks contained in Morgan Stanley Research are the property of their</t>
  </si>
  <si>
    <t>respective owners. Third-party data providers make no warranties or representations relating to the</t>
  </si>
  <si>
    <t>accuracy, completeness, or timeliness of the data they provide and shall not have liability for any</t>
  </si>
  <si>
    <t>damages relating to such data. The Global Industry Classification Standard (GICS) was developed by and</t>
  </si>
  <si>
    <t>is the exclusive property of MSCI and S&amp;P.</t>
  </si>
  <si>
    <t>Morgan Stanley Research, or any portion thereof may not be reprinted, sold or redistributed without the</t>
  </si>
  <si>
    <t>written consent of Morgan Stanley.</t>
  </si>
  <si>
    <t>Indicators and trackers referenced in Morgan Stanley Research may not be used as, or treated as, a</t>
  </si>
  <si>
    <t>benchmark under Regulation EU 2016/1011, or any other similar framework.</t>
  </si>
  <si>
    <t>The issuers and/or fixed income products recommended or discussed in certain fixed income research</t>
  </si>
  <si>
    <t>reports may not be continuously followed. Accordingly, investors should regard those fixed income</t>
  </si>
  <si>
    <t>research reports as providing stand-alone analysis and should not expect continuing analysis or</t>
  </si>
  <si>
    <t>additional reports relating to such issuers and/or individual fixed income products.</t>
  </si>
  <si>
    <t>Morgan Stanley may hold, from time to time, material financial and commercial interests regarding the</t>
  </si>
  <si>
    <t>company subject to the Research report.</t>
  </si>
  <si>
    <t>Registration granted by SEBI and certification from the National Institute of Securities Markets (NISM)</t>
  </si>
  <si>
    <t>in no way guarantee performance of the intermediary or provide any assurance of returns to investors.</t>
  </si>
  <si>
    <t>Investment in securities market are subject to market risks. Read all the related documents carefully</t>
  </si>
  <si>
    <t>before investing.</t>
  </si>
  <si>
    <t>© Copyright 2026 Morgan Stanley</t>
  </si>
  <si>
    <t>MacroVersion</t>
  </si>
  <si>
    <t>6.10</t>
  </si>
  <si>
    <t>PublishDate</t>
  </si>
  <si>
    <t>02/16/26 05:31</t>
  </si>
  <si>
    <t>Discipline</t>
  </si>
  <si>
    <t>Research</t>
  </si>
  <si>
    <t>ResearchTopic</t>
  </si>
  <si>
    <t>Company</t>
  </si>
  <si>
    <t>DocType</t>
  </si>
  <si>
    <t>Model</t>
  </si>
  <si>
    <t>SubjectCode</t>
  </si>
  <si>
    <t>Description</t>
  </si>
  <si>
    <t>KeepVersions</t>
  </si>
  <si>
    <t>All</t>
  </si>
  <si>
    <t>Rating</t>
  </si>
  <si>
    <t>Overweight / In-Line</t>
  </si>
  <si>
    <t>CurrYearTotalRevenue*</t>
  </si>
  <si>
    <t>CurrYearEPS*</t>
  </si>
  <si>
    <t>NextYearTotalRevenue*</t>
  </si>
  <si>
    <t>NextYearEPS*</t>
  </si>
  <si>
    <t>FollowingYearTotalRevenue*</t>
  </si>
  <si>
    <t>FollowingYearEPS*</t>
  </si>
  <si>
    <t>5YearGrowthRate</t>
  </si>
  <si>
    <t>UpdateReason</t>
  </si>
  <si>
    <t>Regular Update</t>
  </si>
  <si>
    <t>Authors</t>
  </si>
  <si>
    <t>MSA09VBC, MSA03VWW</t>
  </si>
  <si>
    <t>Tickers</t>
  </si>
  <si>
    <t>CUSIP</t>
  </si>
  <si>
    <t>RIC</t>
  </si>
  <si>
    <t>SEDOL</t>
  </si>
  <si>
    <t>6850856</t>
  </si>
  <si>
    <t>Current Stock Price</t>
  </si>
  <si>
    <t>5.29</t>
  </si>
  <si>
    <t>Currency</t>
  </si>
  <si>
    <t>PathName</t>
  </si>
  <si>
    <t>L:\USERS\Property\Simon and Lauren\SGP Model Feb26 RESULT.xlsm</t>
  </si>
  <si>
    <t>0</t>
  </si>
  <si>
    <t>Deleted</t>
  </si>
  <si>
    <t>NO</t>
  </si>
  <si>
    <t>EmailAlert</t>
  </si>
  <si>
    <t>YES</t>
  </si>
  <si>
    <t>CurrQtrEPS</t>
  </si>
  <si>
    <t>CYEnd</t>
  </si>
  <si>
    <t>CQEnd</t>
  </si>
  <si>
    <t>CurrYearTotalRevenueActual*</t>
  </si>
  <si>
    <t>NextYearTotalRevenueActual*</t>
  </si>
  <si>
    <t>FollowingYearTotalRevenueActual*</t>
  </si>
  <si>
    <t>Multiplier</t>
  </si>
  <si>
    <t>1000000</t>
  </si>
  <si>
    <t>TemplateRegion</t>
  </si>
  <si>
    <t>AsiaPacific</t>
  </si>
  <si>
    <t>ObjectType</t>
  </si>
  <si>
    <t>excel</t>
  </si>
  <si>
    <t>LanguageCode</t>
  </si>
  <si>
    <t>en-US</t>
  </si>
  <si>
    <t>SubmitterUserId</t>
  </si>
  <si>
    <t>IndustryId</t>
  </si>
  <si>
    <t>1900000169</t>
  </si>
  <si>
    <t>TickerRegion</t>
  </si>
  <si>
    <t>5</t>
  </si>
  <si>
    <t>AdditionalInstructions</t>
  </si>
  <si>
    <t>*Estimated</t>
  </si>
  <si>
    <t>OwnerTeam</t>
  </si>
  <si>
    <t>I888888941</t>
  </si>
  <si>
    <t>[BRO MSA]</t>
  </si>
  <si>
    <t>[DOCDAT 2026-02-16]</t>
  </si>
  <si>
    <t>[DOCTIME 17:31]</t>
  </si>
  <si>
    <t>[PSYM SGP.AX(Reuters) (None)]</t>
  </si>
  <si>
    <t>[COU Australia]</t>
  </si>
  <si>
    <t>[PRODUCT MODEL]</t>
  </si>
  <si>
    <t>[ANA MSA03VWW]</t>
  </si>
  <si>
    <t>[HL SGP.AX Model]</t>
  </si>
  <si>
    <t>[IND Property]</t>
  </si>
  <si>
    <t>[EMAIL_ALERT YES]</t>
  </si>
  <si>
    <t>[PANA  MSA09VBC]</t>
  </si>
  <si>
    <t>[DISCIPLINE Company]</t>
  </si>
  <si>
    <t>[SUPPRESSED NO]</t>
  </si>
  <si>
    <t>This workbook contains formulas which intentionally use circular reference calculation. These calculations can be resolved as intended by the originating analyst by applying the following settings in the File &gt;&gt; Options &gt;&gt; Formulas:</t>
  </si>
  <si>
    <t>1) Select the Enable iterative calculation check box</t>
  </si>
  <si>
    <t>2) Set Maximum Iterations = 100</t>
  </si>
  <si>
    <t>3) Set Maximum Change = 0.001</t>
  </si>
  <si>
    <t>Failure to apply these settings can result in incorrect calculation or unexpected termination of your Microsoft Excel session.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</si>
</sst>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0">
    <numFmt numFmtId="6" formatCode="&quot;$&quot;#,##0_);[Red]\(&quot;$&quot;#,##0\)"/>
    <numFmt numFmtId="164" formatCode="#,##0.0;\(#,##0.0\)"/>
    <numFmt numFmtId="165" formatCode="0.0%;\(0.0%\)"/>
    <numFmt numFmtId="166" formatCode="0.0%"/>
    <numFmt numFmtId="167" formatCode="#,##0.00;\(#,##0.00\)"/>
    <numFmt numFmtId="168" formatCode="0.0"/>
    <numFmt numFmtId="169" formatCode="#,##0.0;\(#,##0.0\);&quot;-&quot;"/>
    <numFmt numFmtId="170" formatCode="#,##0.000000;\(#,##0.000000\)"/>
    <numFmt numFmtId="171" formatCode="#,##0.0"/>
    <numFmt numFmtId="172" formatCode="#,##0;\(#,##0\)"/>
  </numFmts>
  <fonts count="26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i/>
      <sz val="11"/>
      <color rgb="FF0000FF"/>
      <name val="Calibri"/>
      <family val="2"/>
      <scheme val="minor"/>
    </font>
    <font>
      <i/>
      <sz val="11"/>
      <name val="Calibri"/>
      <family val="2"/>
      <scheme val="minor"/>
    </font>
    <font>
      <sz val="10"/>
      <color theme="1"/>
      <name val="Arial"/>
      <family val="2"/>
    </font>
    <font>
      <sz val="8"/>
      <name val="Calibri"/>
      <family val="2"/>
      <scheme val="minor"/>
    </font>
    <font>
      <i/>
      <sz val="11"/>
      <color theme="1" tint="0.249977111117893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0"/>
      <color rgb="FF000000"/>
      <name val="Arial"/>
      <family val="2"/>
    </font>
    <font>
      <i/>
      <sz val="10"/>
      <color rgb="FF000000"/>
      <name val="Arial"/>
      <family val="2"/>
    </font>
    <font>
      <sz val="11"/>
      <color theme="1"/>
      <name val="Arial"/>
      <family val="2"/>
    </font>
    <font>
      <b/>
      <sz val="12"/>
      <color rgb="FF000080"/>
      <name val="Arial"/>
      <family val="2"/>
    </font>
    <font>
      <sz val="14"/>
      <color rgb="FF000000"/>
      <name val="Arial"/>
      <family val="2"/>
    </font>
    <font>
      <b/>
      <u/>
      <sz val="14"/>
      <color rgb="FFFF000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E6E9EE"/>
        <bgColor indexed="64"/>
      </patternFill>
    </fill>
    <fill>
      <patternFill patternType="solid">
        <fgColor indexed="65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44">
    <xf numFmtId="0" fontId="0" fillId="0" borderId="0" xfId="0"/>
    <xf numFmtId="0" fontId="2" fillId="2" borderId="0" xfId="0" applyFont="1" applyFill="1"/>
    <xf numFmtId="0" fontId="0" fillId="3" borderId="1" xfId="0" applyFill="1" applyBorder="1"/>
    <xf numFmtId="0" fontId="0" fillId="0" borderId="0" xfId="0" applyAlignment="1">
      <alignment horizontal="right"/>
    </xf>
    <xf numFmtId="0" fontId="2" fillId="4" borderId="0" xfId="0" applyFont="1" applyFill="1"/>
    <xf numFmtId="164" fontId="0" fillId="0" borderId="0" xfId="0" applyNumberFormat="1"/>
    <xf numFmtId="0" fontId="4" fillId="0" borderId="2" xfId="0" applyFont="1" applyBorder="1"/>
    <xf numFmtId="164" fontId="4" fillId="0" borderId="2" xfId="0" applyNumberFormat="1" applyFont="1" applyBorder="1"/>
    <xf numFmtId="166" fontId="0" fillId="0" borderId="0" xfId="0" applyNumberFormat="1"/>
    <xf numFmtId="164" fontId="0" fillId="0" borderId="0" xfId="0" applyNumberFormat="1" applyAlignment="1">
      <alignment horizontal="right"/>
    </xf>
    <xf numFmtId="0" fontId="5" fillId="0" borderId="0" xfId="0" applyFont="1"/>
    <xf numFmtId="164" fontId="5" fillId="0" borderId="0" xfId="0" applyNumberFormat="1" applyFont="1"/>
    <xf numFmtId="0" fontId="4" fillId="0" borderId="0" xfId="0" applyFont="1"/>
    <xf numFmtId="164" fontId="4" fillId="0" borderId="0" xfId="0" applyNumberFormat="1" applyFont="1"/>
    <xf numFmtId="0" fontId="2" fillId="2" borderId="3" xfId="0" applyFont="1" applyFill="1" applyBorder="1"/>
    <xf numFmtId="0" fontId="0" fillId="5" borderId="0" xfId="0" applyFill="1"/>
    <xf numFmtId="15" fontId="0" fillId="5" borderId="0" xfId="0" applyNumberFormat="1" applyFill="1" applyAlignment="1">
      <alignment horizontal="right"/>
    </xf>
    <xf numFmtId="0" fontId="0" fillId="5" borderId="3" xfId="0" applyFill="1" applyBorder="1"/>
    <xf numFmtId="0" fontId="0" fillId="3" borderId="1" xfId="0" applyFill="1" applyBorder="1" applyAlignment="1">
      <alignment horizontal="right"/>
    </xf>
    <xf numFmtId="0" fontId="0" fillId="0" borderId="3" xfId="0" applyBorder="1"/>
    <xf numFmtId="0" fontId="2" fillId="4" borderId="3" xfId="0" applyFont="1" applyFill="1" applyBorder="1"/>
    <xf numFmtId="164" fontId="6" fillId="0" borderId="0" xfId="0" applyNumberFormat="1" applyFont="1"/>
    <xf numFmtId="0" fontId="4" fillId="0" borderId="4" xfId="0" applyFont="1" applyBorder="1"/>
    <xf numFmtId="0" fontId="4" fillId="6" borderId="2" xfId="0" applyFont="1" applyFill="1" applyBorder="1"/>
    <xf numFmtId="164" fontId="4" fillId="6" borderId="2" xfId="0" applyNumberFormat="1" applyFont="1" applyFill="1" applyBorder="1"/>
    <xf numFmtId="0" fontId="4" fillId="6" borderId="4" xfId="0" applyFont="1" applyFill="1" applyBorder="1"/>
    <xf numFmtId="0" fontId="4" fillId="0" borderId="3" xfId="0" applyFont="1" applyBorder="1"/>
    <xf numFmtId="166" fontId="5" fillId="0" borderId="0" xfId="0" applyNumberFormat="1" applyFont="1"/>
    <xf numFmtId="0" fontId="5" fillId="0" borderId="3" xfId="0" applyFont="1" applyBorder="1"/>
    <xf numFmtId="167" fontId="0" fillId="0" borderId="0" xfId="0" applyNumberFormat="1"/>
    <xf numFmtId="165" fontId="5" fillId="0" borderId="0" xfId="0" applyNumberFormat="1" applyFont="1"/>
    <xf numFmtId="164" fontId="2" fillId="4" borderId="0" xfId="0" applyNumberFormat="1" applyFont="1" applyFill="1"/>
    <xf numFmtId="169" fontId="3" fillId="0" borderId="0" xfId="0" applyNumberFormat="1" applyFont="1"/>
    <xf numFmtId="164" fontId="7" fillId="0" borderId="2" xfId="0" applyNumberFormat="1" applyFont="1" applyBorder="1"/>
    <xf numFmtId="170" fontId="0" fillId="0" borderId="0" xfId="0" applyNumberFormat="1"/>
    <xf numFmtId="10" fontId="0" fillId="0" borderId="0" xfId="0" applyNumberFormat="1"/>
    <xf numFmtId="0" fontId="8" fillId="0" borderId="0" xfId="0" applyFont="1"/>
    <xf numFmtId="164" fontId="8" fillId="0" borderId="0" xfId="0" applyNumberFormat="1" applyFont="1"/>
    <xf numFmtId="0" fontId="8" fillId="0" borderId="3" xfId="0" applyFont="1" applyBorder="1"/>
    <xf numFmtId="15" fontId="0" fillId="0" borderId="0" xfId="0" applyNumberFormat="1"/>
    <xf numFmtId="0" fontId="0" fillId="7" borderId="0" xfId="0" applyFill="1"/>
    <xf numFmtId="164" fontId="0" fillId="7" borderId="0" xfId="0" applyNumberFormat="1" applyFill="1"/>
    <xf numFmtId="0" fontId="0" fillId="7" borderId="3" xfId="0" applyFill="1" applyBorder="1"/>
    <xf numFmtId="164" fontId="11" fillId="0" borderId="0" xfId="0" applyNumberFormat="1" applyFont="1"/>
    <xf numFmtId="0" fontId="0" fillId="0" borderId="0" xfId="0" quotePrefix="1" applyAlignment="1">
      <alignment horizontal="left" indent="1"/>
    </xf>
    <xf numFmtId="0" fontId="0" fillId="0" borderId="0" xfId="0" applyAlignment="1">
      <alignment horizontal="left" indent="1"/>
    </xf>
    <xf numFmtId="164" fontId="12" fillId="0" borderId="2" xfId="0" applyNumberFormat="1" applyFont="1" applyBorder="1"/>
    <xf numFmtId="0" fontId="11" fillId="0" borderId="0" xfId="0" applyFont="1"/>
    <xf numFmtId="15" fontId="0" fillId="5" borderId="0" xfId="0" applyNumberFormat="1" applyFill="1" applyAlignment="1">
      <alignment horizontal="right" wrapText="1"/>
    </xf>
    <xf numFmtId="0" fontId="0" fillId="8" borderId="0" xfId="0" applyFill="1"/>
    <xf numFmtId="0" fontId="0" fillId="8" borderId="0" xfId="0" applyFill="1" applyAlignment="1">
      <alignment horizontal="right"/>
    </xf>
    <xf numFmtId="0" fontId="5" fillId="0" borderId="0" xfId="0" quotePrefix="1" applyFont="1" applyAlignment="1">
      <alignment horizontal="left" indent="1"/>
    </xf>
    <xf numFmtId="164" fontId="14" fillId="0" borderId="0" xfId="0" applyNumberFormat="1" applyFont="1"/>
    <xf numFmtId="6" fontId="0" fillId="0" borderId="0" xfId="0" applyNumberFormat="1"/>
    <xf numFmtId="172" fontId="11" fillId="0" borderId="0" xfId="0" applyNumberFormat="1" applyFont="1"/>
    <xf numFmtId="172" fontId="14" fillId="0" borderId="0" xfId="0" applyNumberFormat="1" applyFont="1"/>
    <xf numFmtId="172" fontId="12" fillId="0" borderId="2" xfId="0" applyNumberFormat="1" applyFont="1" applyBorder="1"/>
    <xf numFmtId="172" fontId="4" fillId="6" borderId="2" xfId="0" applyNumberFormat="1" applyFont="1" applyFill="1" applyBorder="1"/>
    <xf numFmtId="172" fontId="6" fillId="0" borderId="0" xfId="0" applyNumberFormat="1" applyFont="1"/>
    <xf numFmtId="166" fontId="14" fillId="0" borderId="0" xfId="0" applyNumberFormat="1" applyFont="1"/>
    <xf numFmtId="172" fontId="0" fillId="8" borderId="0" xfId="0" applyNumberFormat="1" applyFill="1" applyAlignment="1">
      <alignment horizontal="right"/>
    </xf>
    <xf numFmtId="0" fontId="4" fillId="8" borderId="0" xfId="0" applyFont="1" applyFill="1"/>
    <xf numFmtId="0" fontId="4" fillId="8" borderId="0" xfId="0" applyFont="1" applyFill="1" applyAlignment="1">
      <alignment horizontal="right"/>
    </xf>
    <xf numFmtId="172" fontId="4" fillId="8" borderId="0" xfId="0" applyNumberFormat="1" applyFont="1" applyFill="1" applyAlignment="1">
      <alignment horizontal="right"/>
    </xf>
    <xf numFmtId="166" fontId="11" fillId="0" borderId="0" xfId="0" applyNumberFormat="1" applyFont="1"/>
    <xf numFmtId="166" fontId="6" fillId="0" borderId="0" xfId="0" applyNumberFormat="1" applyFont="1"/>
    <xf numFmtId="166" fontId="0" fillId="8" borderId="0" xfId="0" applyNumberFormat="1" applyFill="1" applyAlignment="1">
      <alignment horizontal="right"/>
    </xf>
    <xf numFmtId="172" fontId="12" fillId="0" borderId="0" xfId="0" applyNumberFormat="1" applyFont="1"/>
    <xf numFmtId="172" fontId="11" fillId="8" borderId="0" xfId="0" applyNumberFormat="1" applyFont="1" applyFill="1"/>
    <xf numFmtId="166" fontId="11" fillId="8" borderId="0" xfId="0" applyNumberFormat="1" applyFont="1" applyFill="1"/>
    <xf numFmtId="0" fontId="0" fillId="0" borderId="6" xfId="0" applyBorder="1"/>
    <xf numFmtId="172" fontId="11" fillId="0" borderId="6" xfId="0" applyNumberFormat="1" applyFont="1" applyBorder="1"/>
    <xf numFmtId="0" fontId="14" fillId="0" borderId="0" xfId="0" applyFont="1"/>
    <xf numFmtId="172" fontId="13" fillId="0" borderId="0" xfId="0" applyNumberFormat="1" applyFont="1"/>
    <xf numFmtId="172" fontId="6" fillId="8" borderId="0" xfId="0" applyNumberFormat="1" applyFont="1" applyFill="1"/>
    <xf numFmtId="0" fontId="17" fillId="0" borderId="0" xfId="0" applyFont="1"/>
    <xf numFmtId="0" fontId="17" fillId="0" borderId="0" xfId="0" applyFont="1" applyAlignment="1">
      <alignment horizontal="left"/>
    </xf>
    <xf numFmtId="172" fontId="17" fillId="0" borderId="0" xfId="0" applyNumberFormat="1" applyFont="1"/>
    <xf numFmtId="172" fontId="18" fillId="0" borderId="0" xfId="0" applyNumberFormat="1" applyFont="1"/>
    <xf numFmtId="164" fontId="13" fillId="0" borderId="0" xfId="0" applyNumberFormat="1" applyFont="1"/>
    <xf numFmtId="172" fontId="8" fillId="0" borderId="0" xfId="0" applyNumberFormat="1" applyFont="1"/>
    <xf numFmtId="167" fontId="6" fillId="0" borderId="0" xfId="0" applyNumberFormat="1" applyFont="1"/>
    <xf numFmtId="164" fontId="0" fillId="8" borderId="0" xfId="0" applyNumberFormat="1" applyFill="1"/>
    <xf numFmtId="164" fontId="0" fillId="10" borderId="0" xfId="0" applyNumberFormat="1" applyFill="1"/>
    <xf numFmtId="15" fontId="0" fillId="5" borderId="0" xfId="0" applyNumberFormat="1" applyFill="1"/>
    <xf numFmtId="171" fontId="4" fillId="0" borderId="2" xfId="0" applyNumberFormat="1" applyFont="1" applyBorder="1"/>
    <xf numFmtId="171" fontId="6" fillId="0" borderId="0" xfId="0" applyNumberFormat="1" applyFont="1"/>
    <xf numFmtId="164" fontId="18" fillId="0" borderId="0" xfId="0" applyNumberFormat="1" applyFont="1"/>
    <xf numFmtId="171" fontId="11" fillId="0" borderId="0" xfId="0" applyNumberFormat="1" applyFont="1"/>
    <xf numFmtId="10" fontId="11" fillId="0" borderId="0" xfId="0" applyNumberFormat="1" applyFont="1"/>
    <xf numFmtId="0" fontId="0" fillId="0" borderId="2" xfId="0" applyBorder="1"/>
    <xf numFmtId="164" fontId="11" fillId="0" borderId="2" xfId="0" applyNumberFormat="1" applyFont="1" applyBorder="1"/>
    <xf numFmtId="172" fontId="11" fillId="0" borderId="2" xfId="0" applyNumberFormat="1" applyFont="1" applyBorder="1"/>
    <xf numFmtId="164" fontId="18" fillId="8" borderId="0" xfId="0" applyNumberFormat="1" applyFont="1" applyFill="1"/>
    <xf numFmtId="164" fontId="11" fillId="9" borderId="2" xfId="0" applyNumberFormat="1" applyFont="1" applyFill="1" applyBorder="1"/>
    <xf numFmtId="0" fontId="19" fillId="0" borderId="0" xfId="0" applyFont="1"/>
    <xf numFmtId="164" fontId="19" fillId="0" borderId="0" xfId="0" applyNumberFormat="1" applyFont="1"/>
    <xf numFmtId="10" fontId="6" fillId="0" borderId="0" xfId="0" applyNumberFormat="1" applyFont="1"/>
    <xf numFmtId="171" fontId="11" fillId="11" borderId="0" xfId="0" applyNumberFormat="1" applyFont="1" applyFill="1"/>
    <xf numFmtId="164" fontId="11" fillId="11" borderId="0" xfId="0" applyNumberFormat="1" applyFont="1" applyFill="1"/>
    <xf numFmtId="171" fontId="0" fillId="0" borderId="0" xfId="0" applyNumberFormat="1" applyAlignment="1">
      <alignment horizontal="right"/>
    </xf>
    <xf numFmtId="164" fontId="6" fillId="0" borderId="2" xfId="0" applyNumberFormat="1" applyFont="1" applyBorder="1"/>
    <xf numFmtId="9" fontId="6" fillId="0" borderId="0" xfId="0" applyNumberFormat="1" applyFont="1"/>
    <xf numFmtId="0" fontId="0" fillId="0" borderId="0" xfId="0" quotePrefix="1"/>
    <xf numFmtId="172" fontId="6" fillId="0" borderId="2" xfId="0" applyNumberFormat="1" applyFont="1" applyBorder="1"/>
    <xf numFmtId="9" fontId="11" fillId="0" borderId="0" xfId="0" applyNumberFormat="1" applyFont="1"/>
    <xf numFmtId="3" fontId="4" fillId="6" borderId="2" xfId="0" applyNumberFormat="1" applyFont="1" applyFill="1" applyBorder="1"/>
    <xf numFmtId="164" fontId="11" fillId="0" borderId="6" xfId="0" applyNumberFormat="1" applyFont="1" applyBorder="1"/>
    <xf numFmtId="172" fontId="7" fillId="0" borderId="2" xfId="0" applyNumberFormat="1" applyFont="1" applyBorder="1"/>
    <xf numFmtId="164" fontId="11" fillId="10" borderId="0" xfId="0" applyNumberFormat="1" applyFont="1" applyFill="1"/>
    <xf numFmtId="0" fontId="0" fillId="9" borderId="0" xfId="0" applyFill="1"/>
    <xf numFmtId="164" fontId="0" fillId="9" borderId="0" xfId="0" applyNumberFormat="1" applyFill="1"/>
    <xf numFmtId="0" fontId="0" fillId="9" borderId="3" xfId="0" applyFill="1" applyBorder="1"/>
    <xf numFmtId="166" fontId="0" fillId="7" borderId="0" xfId="0" applyNumberFormat="1" applyFill="1"/>
    <xf numFmtId="168" fontId="0" fillId="7" borderId="0" xfId="0" applyNumberFormat="1" applyFill="1"/>
    <xf numFmtId="168" fontId="0" fillId="7" borderId="0" xfId="1" applyNumberFormat="1" applyFont="1" applyFill="1"/>
    <xf numFmtId="172" fontId="0" fillId="0" borderId="0" xfId="0" applyNumberFormat="1"/>
    <xf numFmtId="1" fontId="0" fillId="9" borderId="0" xfId="0" applyNumberFormat="1" applyFill="1"/>
    <xf numFmtId="0" fontId="13" fillId="0" borderId="0" xfId="0" applyFont="1"/>
    <xf numFmtId="171" fontId="0" fillId="0" borderId="0" xfId="0" applyNumberFormat="1"/>
    <xf numFmtId="0" fontId="5" fillId="0" borderId="0" xfId="0" applyFont="1" applyAlignment="1">
      <alignment horizontal="left" indent="1"/>
    </xf>
    <xf numFmtId="167" fontId="14" fillId="0" borderId="0" xfId="0" applyNumberFormat="1" applyFont="1"/>
    <xf numFmtId="166" fontId="13" fillId="0" borderId="0" xfId="0" applyNumberFormat="1" applyFont="1"/>
    <xf numFmtId="172" fontId="7" fillId="0" borderId="0" xfId="0" applyNumberFormat="1" applyFont="1"/>
    <xf numFmtId="167" fontId="4" fillId="6" borderId="2" xfId="0" applyNumberFormat="1" applyFont="1" applyFill="1" applyBorder="1"/>
    <xf numFmtId="172" fontId="2" fillId="4" borderId="0" xfId="0" applyNumberFormat="1" applyFont="1" applyFill="1"/>
    <xf numFmtId="167" fontId="0" fillId="8" borderId="0" xfId="0" applyNumberFormat="1" applyFill="1"/>
    <xf numFmtId="164" fontId="6" fillId="0" borderId="6" xfId="0" applyNumberFormat="1" applyFont="1" applyBorder="1"/>
    <xf numFmtId="172" fontId="11" fillId="9" borderId="0" xfId="0" applyNumberFormat="1" applyFont="1" applyFill="1"/>
    <xf numFmtId="49" fontId="20" fillId="0" borderId="0" xfId="0" applyNumberFormat="1" applyFont="1"/>
    <xf numFmtId="49" fontId="21" fillId="0" borderId="0" xfId="0" applyNumberFormat="1" applyFont="1"/>
    <xf numFmtId="49" fontId="22" fillId="0" borderId="0" xfId="0" applyNumberFormat="1" applyFont="1" applyAlignment="1">
      <alignment horizontal="left" vertical="center"/>
    </xf>
    <xf numFmtId="49" fontId="22" fillId="0" borderId="0" xfId="0" applyNumberFormat="1" applyFont="1"/>
    <xf numFmtId="49" fontId="15" fillId="0" borderId="0" xfId="0" applyNumberFormat="1" applyFont="1"/>
    <xf numFmtId="49" fontId="23" fillId="0" borderId="0" xfId="0" applyNumberFormat="1" applyFont="1"/>
    <xf numFmtId="49" fontId="15" fillId="0" borderId="5" xfId="0" applyNumberFormat="1" applyFont="1" applyBorder="1"/>
    <xf numFmtId="0" fontId="15" fillId="0" borderId="0" xfId="0" applyFont="1"/>
    <xf numFmtId="2" fontId="20" fillId="0" borderId="0" xfId="0" applyNumberFormat="1" applyFont="1"/>
    <xf numFmtId="49" fontId="24" fillId="12" borderId="0" xfId="0" applyNumberFormat="1" applyFont="1" applyFill="1" applyAlignment="1">
      <alignment wrapText="1"/>
    </xf>
    <xf numFmtId="0" fontId="0" fillId="12" borderId="0" xfId="0" applyFill="1"/>
    <xf numFmtId="49" fontId="25" fillId="12" borderId="0" xfId="0" applyNumberFormat="1" applyFont="1" applyFill="1" applyAlignment="1">
      <alignment wrapText="1"/>
    </xf>
    <xf numFmtId="49" fontId="15" fillId="0" borderId="5" xfId="0" applyNumberFormat="1" applyFont="1" applyBorder="1"/>
    <xf numFmtId="49" fontId="15" fillId="0" borderId="5" xfId="0" applyNumberFormat="1" applyFont="1" applyBorder="1" applyAlignment="1">
      <alignment horizontal="right"/>
    </xf>
    <xf numFmtId="9" fontId="15" fillId="0" borderId="5" xfId="1" applyFont="1" applyBorder="1" applyAlignment="1">
      <alignment horizontal="right"/>
    </xf>
  </cellXfs>
  <cellStyles count="2">
    <cellStyle name="Normal" xfId="0" builtinId="0" customBuiltin="1"/>
    <cellStyle name="Percent" xfId="1" builtinId="5"/>
  </cellStyles>
  <dxfs count="0"/>
  <tableStyles count="1" defaultTableStyle="TableStyleMedium2" defaultPivotStyle="PivotStyleLight16">
    <tableStyle name="Invisible" pivot="0" table="0" count="0" xr9:uid="{730FE183-B117-48E9-B251-4251E342B50E}"/>
  </tableStyles>
  <colors>
    <mruColors>
      <color rgb="FF0000FF"/>
      <color rgb="FFE6E9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63500</xdr:colOff>
      <xdr:row>0</xdr:row>
      <xdr:rowOff>0</xdr:rowOff>
    </xdr:from>
    <xdr:to>
      <xdr:col>2</xdr:col>
      <xdr:colOff>406618</xdr:colOff>
      <xdr:row>1</xdr:row>
      <xdr:rowOff>5756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D67018E-B1D3-870D-DED0-1A0A082F2D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0" y="0"/>
          <a:ext cx="1562318" cy="295316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127000</xdr:colOff>
      <xdr:row>182</xdr:row>
      <xdr:rowOff>182879</xdr:rowOff>
    </xdr:from>
    <xdr:to>
      <xdr:col>10</xdr:col>
      <xdr:colOff>527050</xdr:colOff>
      <xdr:row>204</xdr:row>
      <xdr:rowOff>121919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17D6837-2A8B-FCC7-7231-34C7E71108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0" y="33695639"/>
          <a:ext cx="6496050" cy="3962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40570-4303-4B1B-903D-A63F9B8A14AF}">
  <dimension ref="B2:B9"/>
  <sheetViews>
    <sheetView showGridLines="0" showRowColHeaders="0" workbookViewId="0">
      <selection activeCell="Z1" sqref="Z1"/>
    </sheetView>
  </sheetViews>
  <sheetFormatPr defaultColWidth="8.85546875" defaultRowHeight="15" x14ac:dyDescent="0.25"/>
  <cols>
    <col min="1" max="1" width="8.85546875" style="139"/>
    <col min="2" max="2" width="101.140625" style="139" customWidth="1"/>
    <col min="3" max="16384" width="8.85546875" style="139"/>
  </cols>
  <sheetData>
    <row r="2" spans="2:2" ht="54" x14ac:dyDescent="0.25">
      <c r="B2" s="138" t="s">
        <v>804</v>
      </c>
    </row>
    <row r="3" spans="2:2" ht="18" x14ac:dyDescent="0.25">
      <c r="B3" s="138"/>
    </row>
    <row r="4" spans="2:2" ht="18" x14ac:dyDescent="0.25">
      <c r="B4" s="138"/>
    </row>
    <row r="5" spans="2:2" ht="18" x14ac:dyDescent="0.25">
      <c r="B5" s="138" t="s">
        <v>805</v>
      </c>
    </row>
    <row r="6" spans="2:2" ht="18" x14ac:dyDescent="0.25">
      <c r="B6" s="138" t="s">
        <v>806</v>
      </c>
    </row>
    <row r="7" spans="2:2" ht="18" x14ac:dyDescent="0.25">
      <c r="B7" s="138" t="s">
        <v>807</v>
      </c>
    </row>
    <row r="8" spans="2:2" ht="18" x14ac:dyDescent="0.25">
      <c r="B8" s="138"/>
    </row>
    <row r="9" spans="2:2" ht="36" x14ac:dyDescent="0.25">
      <c r="B9" s="140" t="s">
        <v>808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81515-80E1-4E86-B865-95CFD57318C3}">
  <sheetPr codeName="Sheet1"/>
  <dimension ref="A1:H433"/>
  <sheetViews>
    <sheetView showGridLines="0" tabSelected="1" workbookViewId="0">
      <selection activeCell="Z1" sqref="Z1"/>
    </sheetView>
  </sheetViews>
  <sheetFormatPr defaultRowHeight="15" x14ac:dyDescent="0.25"/>
  <sheetData>
    <row r="1" spans="1:8" ht="23.25" customHeight="1" x14ac:dyDescent="0.25">
      <c r="A1" s="131"/>
      <c r="B1" s="132"/>
      <c r="C1" s="132"/>
      <c r="D1" s="132"/>
      <c r="E1" s="132"/>
      <c r="F1" s="132"/>
      <c r="G1" s="132"/>
      <c r="H1" s="132"/>
    </row>
    <row r="2" spans="1:8" x14ac:dyDescent="0.25">
      <c r="A2" s="129" t="s">
        <v>384</v>
      </c>
      <c r="B2" s="132"/>
      <c r="C2" s="132"/>
      <c r="D2" s="132"/>
      <c r="E2" s="132"/>
      <c r="F2" s="132"/>
      <c r="G2" s="132"/>
      <c r="H2" s="132"/>
    </row>
    <row r="3" spans="1:8" x14ac:dyDescent="0.25">
      <c r="A3" s="129" t="s">
        <v>385</v>
      </c>
      <c r="B3" s="132"/>
      <c r="C3" s="132"/>
      <c r="D3" s="132"/>
      <c r="E3" s="132"/>
      <c r="F3" s="132"/>
      <c r="G3" s="132"/>
      <c r="H3" s="132"/>
    </row>
    <row r="4" spans="1:8" x14ac:dyDescent="0.25">
      <c r="A4" s="129" t="s">
        <v>386</v>
      </c>
      <c r="B4" s="132"/>
      <c r="C4" s="132"/>
      <c r="D4" s="132"/>
      <c r="E4" s="132"/>
      <c r="F4" s="132"/>
      <c r="G4" s="132"/>
      <c r="H4" s="132"/>
    </row>
    <row r="5" spans="1:8" x14ac:dyDescent="0.25">
      <c r="A5" s="129" t="s">
        <v>387</v>
      </c>
      <c r="B5" s="132"/>
      <c r="C5" s="132"/>
      <c r="D5" s="132"/>
      <c r="E5" s="132"/>
      <c r="F5" s="132"/>
      <c r="G5" s="132"/>
      <c r="H5" s="132"/>
    </row>
    <row r="6" spans="1:8" x14ac:dyDescent="0.25">
      <c r="A6" s="129"/>
      <c r="B6" s="132"/>
      <c r="C6" s="132"/>
      <c r="D6" s="132"/>
      <c r="E6" s="132"/>
      <c r="F6" s="132"/>
      <c r="G6" s="132"/>
      <c r="H6" s="132"/>
    </row>
    <row r="7" spans="1:8" x14ac:dyDescent="0.25">
      <c r="A7" s="129" t="s">
        <v>388</v>
      </c>
      <c r="B7" s="132"/>
      <c r="C7" s="132"/>
      <c r="D7" s="132"/>
      <c r="E7" s="132"/>
      <c r="F7" s="132"/>
      <c r="G7" s="132"/>
      <c r="H7" s="132"/>
    </row>
    <row r="8" spans="1:8" x14ac:dyDescent="0.25">
      <c r="A8" s="129" t="s">
        <v>389</v>
      </c>
      <c r="B8" s="132"/>
      <c r="C8" s="132"/>
      <c r="D8" s="132"/>
      <c r="E8" s="132"/>
      <c r="F8" s="132"/>
      <c r="G8" s="132"/>
      <c r="H8" s="132"/>
    </row>
    <row r="9" spans="1:8" x14ac:dyDescent="0.25">
      <c r="A9" s="129"/>
      <c r="B9" s="132"/>
      <c r="C9" s="132"/>
      <c r="D9" s="132"/>
      <c r="E9" s="132"/>
      <c r="F9" s="132"/>
      <c r="G9" s="132"/>
      <c r="H9" s="132"/>
    </row>
    <row r="10" spans="1:8" x14ac:dyDescent="0.25">
      <c r="A10" s="129" t="s">
        <v>390</v>
      </c>
      <c r="B10" s="132"/>
      <c r="C10" s="132"/>
      <c r="D10" s="132"/>
      <c r="E10" s="132"/>
      <c r="F10" s="132"/>
      <c r="G10" s="132"/>
      <c r="H10" s="132"/>
    </row>
    <row r="11" spans="1:8" x14ac:dyDescent="0.25">
      <c r="A11" s="129" t="s">
        <v>391</v>
      </c>
      <c r="B11" s="132"/>
      <c r="C11" s="132"/>
      <c r="D11" s="132"/>
      <c r="E11" s="132"/>
      <c r="F11" s="132"/>
      <c r="G11" s="132"/>
      <c r="H11" s="132"/>
    </row>
    <row r="12" spans="1:8" x14ac:dyDescent="0.25">
      <c r="A12" s="129" t="s">
        <v>392</v>
      </c>
      <c r="B12" s="132"/>
      <c r="C12" s="132"/>
      <c r="D12" s="132"/>
      <c r="E12" s="132"/>
      <c r="F12" s="132"/>
      <c r="G12" s="132"/>
      <c r="H12" s="132"/>
    </row>
    <row r="13" spans="1:8" x14ac:dyDescent="0.25">
      <c r="A13" s="129" t="s">
        <v>393</v>
      </c>
      <c r="B13" s="132"/>
      <c r="C13" s="132"/>
      <c r="D13" s="132"/>
      <c r="E13" s="132"/>
      <c r="F13" s="132"/>
      <c r="G13" s="132"/>
      <c r="H13" s="132"/>
    </row>
    <row r="14" spans="1:8" x14ac:dyDescent="0.25">
      <c r="A14" s="129" t="s">
        <v>394</v>
      </c>
      <c r="B14" s="132"/>
      <c r="C14" s="132"/>
      <c r="D14" s="132"/>
      <c r="E14" s="132"/>
      <c r="F14" s="132"/>
      <c r="G14" s="132"/>
      <c r="H14" s="132"/>
    </row>
    <row r="15" spans="1:8" x14ac:dyDescent="0.25">
      <c r="A15" s="129" t="s">
        <v>395</v>
      </c>
      <c r="B15" s="132"/>
      <c r="C15" s="132"/>
      <c r="D15" s="132"/>
      <c r="E15" s="132"/>
      <c r="F15" s="132"/>
      <c r="G15" s="132"/>
      <c r="H15" s="132"/>
    </row>
    <row r="16" spans="1:8" x14ac:dyDescent="0.25">
      <c r="A16" s="129"/>
      <c r="B16" s="132"/>
      <c r="C16" s="132"/>
      <c r="D16" s="132"/>
      <c r="E16" s="132"/>
      <c r="F16" s="132"/>
      <c r="G16" s="132"/>
      <c r="H16" s="132"/>
    </row>
    <row r="17" spans="1:8" x14ac:dyDescent="0.25">
      <c r="A17" s="129" t="s">
        <v>396</v>
      </c>
      <c r="B17" s="132"/>
      <c r="C17" s="132"/>
      <c r="D17" s="132"/>
      <c r="E17" s="132"/>
      <c r="F17" s="132"/>
      <c r="G17" s="132"/>
      <c r="H17" s="132"/>
    </row>
    <row r="18" spans="1:8" x14ac:dyDescent="0.25">
      <c r="A18" s="129"/>
      <c r="B18" s="132"/>
      <c r="C18" s="132"/>
      <c r="D18" s="132"/>
      <c r="E18" s="132"/>
      <c r="F18" s="132"/>
      <c r="G18" s="132"/>
      <c r="H18" s="132"/>
    </row>
    <row r="19" spans="1:8" x14ac:dyDescent="0.25">
      <c r="A19" s="129" t="s">
        <v>397</v>
      </c>
      <c r="B19" s="132"/>
      <c r="C19" s="132"/>
      <c r="D19" s="132"/>
      <c r="E19" s="132"/>
      <c r="F19" s="132"/>
      <c r="G19" s="132"/>
      <c r="H19" s="132"/>
    </row>
    <row r="20" spans="1:8" x14ac:dyDescent="0.25">
      <c r="A20" s="129"/>
      <c r="B20" s="132"/>
      <c r="C20" s="132"/>
      <c r="D20" s="132"/>
      <c r="E20" s="132"/>
      <c r="F20" s="132"/>
      <c r="G20" s="132"/>
      <c r="H20" s="132"/>
    </row>
    <row r="21" spans="1:8" x14ac:dyDescent="0.25">
      <c r="A21" s="130" t="s">
        <v>398</v>
      </c>
      <c r="B21" s="132"/>
      <c r="C21" s="132"/>
      <c r="D21" s="132"/>
      <c r="E21" s="132"/>
      <c r="F21" s="132"/>
      <c r="G21" s="132"/>
      <c r="H21" s="132"/>
    </row>
    <row r="22" spans="1:8" x14ac:dyDescent="0.25">
      <c r="A22" s="132"/>
      <c r="B22" s="132"/>
      <c r="C22" s="132"/>
      <c r="D22" s="132"/>
      <c r="E22" s="132"/>
      <c r="F22" s="132"/>
      <c r="G22" s="132"/>
      <c r="H22" s="132"/>
    </row>
    <row r="23" spans="1:8" x14ac:dyDescent="0.25">
      <c r="A23" s="133" t="s">
        <v>399</v>
      </c>
      <c r="B23" s="132"/>
      <c r="C23" s="132"/>
      <c r="D23" s="132"/>
      <c r="E23" s="132"/>
      <c r="F23" s="132"/>
      <c r="G23" s="132"/>
      <c r="H23" s="132"/>
    </row>
    <row r="24" spans="1:8" x14ac:dyDescent="0.25">
      <c r="A24" s="133" t="s">
        <v>400</v>
      </c>
      <c r="B24" s="132"/>
      <c r="C24" s="132"/>
      <c r="D24" s="132"/>
      <c r="E24" s="132"/>
      <c r="F24" s="132"/>
      <c r="G24" s="132"/>
      <c r="H24" s="132"/>
    </row>
    <row r="25" spans="1:8" x14ac:dyDescent="0.25">
      <c r="A25" s="133" t="s">
        <v>401</v>
      </c>
      <c r="B25" s="132"/>
      <c r="C25" s="132"/>
      <c r="D25" s="132"/>
      <c r="E25" s="132"/>
      <c r="F25" s="132"/>
      <c r="G25" s="132"/>
      <c r="H25" s="132"/>
    </row>
    <row r="26" spans="1:8" x14ac:dyDescent="0.25">
      <c r="A26" s="133" t="s">
        <v>402</v>
      </c>
      <c r="B26" s="132"/>
      <c r="C26" s="132"/>
      <c r="D26" s="132"/>
      <c r="E26" s="132"/>
      <c r="F26" s="132"/>
      <c r="G26" s="132"/>
      <c r="H26" s="132"/>
    </row>
    <row r="27" spans="1:8" x14ac:dyDescent="0.25">
      <c r="A27" s="132"/>
      <c r="B27" s="132"/>
      <c r="C27" s="132"/>
      <c r="D27" s="132"/>
      <c r="E27" s="132"/>
      <c r="F27" s="132"/>
      <c r="G27" s="132"/>
      <c r="H27" s="132"/>
    </row>
    <row r="28" spans="1:8" x14ac:dyDescent="0.25">
      <c r="A28" s="133" t="s">
        <v>403</v>
      </c>
      <c r="B28" s="132"/>
      <c r="C28" s="132"/>
      <c r="D28" s="132"/>
      <c r="E28" s="132"/>
      <c r="F28" s="132"/>
      <c r="G28" s="132"/>
      <c r="H28" s="132"/>
    </row>
    <row r="29" spans="1:8" x14ac:dyDescent="0.25">
      <c r="A29" s="133" t="s">
        <v>404</v>
      </c>
      <c r="B29" s="132"/>
      <c r="C29" s="132"/>
      <c r="D29" s="132"/>
      <c r="E29" s="132"/>
      <c r="F29" s="132"/>
      <c r="G29" s="132"/>
      <c r="H29" s="132"/>
    </row>
    <row r="30" spans="1:8" x14ac:dyDescent="0.25">
      <c r="A30" s="133" t="s">
        <v>405</v>
      </c>
      <c r="B30" s="132"/>
      <c r="C30" s="132"/>
      <c r="D30" s="132"/>
      <c r="E30" s="132"/>
      <c r="F30" s="132"/>
      <c r="G30" s="132"/>
      <c r="H30" s="132"/>
    </row>
    <row r="31" spans="1:8" x14ac:dyDescent="0.25">
      <c r="A31" s="133" t="s">
        <v>406</v>
      </c>
      <c r="B31" s="132"/>
      <c r="C31" s="132"/>
      <c r="D31" s="132"/>
      <c r="E31" s="132"/>
      <c r="F31" s="132"/>
      <c r="G31" s="132"/>
      <c r="H31" s="132"/>
    </row>
    <row r="32" spans="1:8" x14ac:dyDescent="0.25">
      <c r="A32" s="133" t="s">
        <v>407</v>
      </c>
      <c r="B32" s="132"/>
      <c r="C32" s="132"/>
      <c r="D32" s="132"/>
      <c r="E32" s="132"/>
      <c r="F32" s="132"/>
      <c r="G32" s="132"/>
      <c r="H32" s="132"/>
    </row>
    <row r="33" spans="1:8" x14ac:dyDescent="0.25">
      <c r="A33" s="133" t="s">
        <v>408</v>
      </c>
      <c r="B33" s="132"/>
      <c r="C33" s="132"/>
      <c r="D33" s="132"/>
      <c r="E33" s="132"/>
      <c r="F33" s="132"/>
      <c r="G33" s="132"/>
      <c r="H33" s="132"/>
    </row>
    <row r="34" spans="1:8" x14ac:dyDescent="0.25">
      <c r="A34" s="133" t="s">
        <v>409</v>
      </c>
      <c r="B34" s="132"/>
      <c r="C34" s="132"/>
      <c r="D34" s="132"/>
      <c r="E34" s="132"/>
      <c r="F34" s="132"/>
      <c r="G34" s="132"/>
      <c r="H34" s="132"/>
    </row>
    <row r="35" spans="1:8" x14ac:dyDescent="0.25">
      <c r="A35" s="133" t="s">
        <v>410</v>
      </c>
      <c r="B35" s="132"/>
      <c r="C35" s="132"/>
      <c r="D35" s="132"/>
      <c r="E35" s="132"/>
      <c r="F35" s="132"/>
      <c r="G35" s="132"/>
      <c r="H35" s="132"/>
    </row>
    <row r="36" spans="1:8" x14ac:dyDescent="0.25">
      <c r="A36" s="133" t="s">
        <v>411</v>
      </c>
      <c r="B36" s="132"/>
      <c r="C36" s="132"/>
      <c r="D36" s="132"/>
      <c r="E36" s="132"/>
      <c r="F36" s="132"/>
      <c r="G36" s="132"/>
      <c r="H36" s="132"/>
    </row>
    <row r="37" spans="1:8" x14ac:dyDescent="0.25">
      <c r="A37" s="133" t="s">
        <v>412</v>
      </c>
      <c r="B37" s="132"/>
      <c r="C37" s="132"/>
      <c r="D37" s="132"/>
      <c r="E37" s="132"/>
      <c r="F37" s="132"/>
      <c r="G37" s="132"/>
      <c r="H37" s="132"/>
    </row>
    <row r="38" spans="1:8" x14ac:dyDescent="0.25">
      <c r="A38" s="133" t="s">
        <v>413</v>
      </c>
      <c r="B38" s="132"/>
      <c r="C38" s="132"/>
      <c r="D38" s="132"/>
      <c r="E38" s="132"/>
      <c r="F38" s="132"/>
      <c r="G38" s="132"/>
      <c r="H38" s="132"/>
    </row>
    <row r="39" spans="1:8" x14ac:dyDescent="0.25">
      <c r="A39" s="133" t="s">
        <v>414</v>
      </c>
      <c r="B39" s="132"/>
      <c r="C39" s="132"/>
      <c r="D39" s="132"/>
      <c r="E39" s="132"/>
      <c r="F39" s="132"/>
      <c r="G39" s="132"/>
      <c r="H39" s="132"/>
    </row>
    <row r="40" spans="1:8" x14ac:dyDescent="0.25">
      <c r="A40" s="133" t="s">
        <v>415</v>
      </c>
      <c r="B40" s="132"/>
      <c r="C40" s="132"/>
      <c r="D40" s="132"/>
      <c r="E40" s="132"/>
      <c r="F40" s="132"/>
      <c r="G40" s="132"/>
      <c r="H40" s="132"/>
    </row>
    <row r="41" spans="1:8" x14ac:dyDescent="0.25">
      <c r="A41" s="133" t="s">
        <v>416</v>
      </c>
      <c r="B41" s="132"/>
      <c r="C41" s="132"/>
      <c r="D41" s="132"/>
      <c r="E41" s="132"/>
      <c r="F41" s="132"/>
      <c r="G41" s="132"/>
      <c r="H41" s="132"/>
    </row>
    <row r="42" spans="1:8" x14ac:dyDescent="0.25">
      <c r="A42" s="133" t="s">
        <v>417</v>
      </c>
      <c r="B42" s="132"/>
      <c r="C42" s="132"/>
      <c r="D42" s="132"/>
      <c r="E42" s="132"/>
      <c r="F42" s="132"/>
      <c r="G42" s="132"/>
      <c r="H42" s="132"/>
    </row>
    <row r="43" spans="1:8" x14ac:dyDescent="0.25">
      <c r="A43" s="133" t="s">
        <v>418</v>
      </c>
      <c r="B43" s="132"/>
      <c r="C43" s="132"/>
      <c r="D43" s="132"/>
      <c r="E43" s="132"/>
      <c r="F43" s="132"/>
      <c r="G43" s="132"/>
      <c r="H43" s="132"/>
    </row>
    <row r="44" spans="1:8" x14ac:dyDescent="0.25">
      <c r="A44" s="133" t="s">
        <v>419</v>
      </c>
      <c r="B44" s="132"/>
      <c r="C44" s="132"/>
      <c r="D44" s="132"/>
      <c r="E44" s="132"/>
      <c r="F44" s="132"/>
      <c r="G44" s="132"/>
      <c r="H44" s="132"/>
    </row>
    <row r="45" spans="1:8" x14ac:dyDescent="0.25">
      <c r="A45" s="133" t="s">
        <v>420</v>
      </c>
      <c r="B45" s="132"/>
      <c r="C45" s="132"/>
      <c r="D45" s="132"/>
      <c r="E45" s="132"/>
      <c r="F45" s="132"/>
      <c r="G45" s="132"/>
      <c r="H45" s="132"/>
    </row>
    <row r="46" spans="1:8" x14ac:dyDescent="0.25">
      <c r="A46" s="133" t="s">
        <v>421</v>
      </c>
      <c r="B46" s="132"/>
      <c r="C46" s="132"/>
      <c r="D46" s="132"/>
      <c r="E46" s="132"/>
      <c r="F46" s="132"/>
      <c r="G46" s="132"/>
      <c r="H46" s="132"/>
    </row>
    <row r="47" spans="1:8" x14ac:dyDescent="0.25">
      <c r="A47" s="133" t="s">
        <v>422</v>
      </c>
      <c r="B47" s="132"/>
      <c r="C47" s="132"/>
      <c r="D47" s="132"/>
      <c r="E47" s="132"/>
      <c r="F47" s="132"/>
      <c r="G47" s="132"/>
      <c r="H47" s="132"/>
    </row>
    <row r="48" spans="1:8" x14ac:dyDescent="0.25">
      <c r="A48" s="133" t="s">
        <v>423</v>
      </c>
      <c r="B48" s="132"/>
      <c r="C48" s="132"/>
      <c r="D48" s="132"/>
      <c r="E48" s="132"/>
      <c r="F48" s="132"/>
      <c r="G48" s="132"/>
      <c r="H48" s="132"/>
    </row>
    <row r="49" spans="1:8" x14ac:dyDescent="0.25">
      <c r="A49" s="133" t="s">
        <v>424</v>
      </c>
      <c r="B49" s="132"/>
      <c r="C49" s="132"/>
      <c r="D49" s="132"/>
      <c r="E49" s="132"/>
      <c r="F49" s="132"/>
      <c r="G49" s="132"/>
      <c r="H49" s="132"/>
    </row>
    <row r="50" spans="1:8" x14ac:dyDescent="0.25">
      <c r="A50" s="133" t="s">
        <v>425</v>
      </c>
      <c r="B50" s="132"/>
      <c r="C50" s="132"/>
      <c r="D50" s="132"/>
      <c r="E50" s="132"/>
      <c r="F50" s="132"/>
      <c r="G50" s="132"/>
      <c r="H50" s="132"/>
    </row>
    <row r="51" spans="1:8" x14ac:dyDescent="0.25">
      <c r="A51" s="132"/>
      <c r="B51" s="132"/>
      <c r="C51" s="132"/>
      <c r="D51" s="132"/>
      <c r="E51" s="132"/>
      <c r="F51" s="132"/>
      <c r="G51" s="132"/>
      <c r="H51" s="132"/>
    </row>
    <row r="52" spans="1:8" x14ac:dyDescent="0.25">
      <c r="A52" s="133" t="s">
        <v>426</v>
      </c>
      <c r="B52" s="132"/>
      <c r="C52" s="132"/>
      <c r="D52" s="132"/>
      <c r="E52" s="132"/>
      <c r="F52" s="132"/>
      <c r="G52" s="132"/>
      <c r="H52" s="132"/>
    </row>
    <row r="53" spans="1:8" x14ac:dyDescent="0.25">
      <c r="A53" s="133" t="s">
        <v>427</v>
      </c>
      <c r="B53" s="132"/>
      <c r="C53" s="132"/>
      <c r="D53" s="132"/>
      <c r="E53" s="132"/>
      <c r="F53" s="132"/>
      <c r="G53" s="132"/>
      <c r="H53" s="132"/>
    </row>
    <row r="54" spans="1:8" x14ac:dyDescent="0.25">
      <c r="A54" s="133" t="s">
        <v>428</v>
      </c>
      <c r="B54" s="132"/>
      <c r="C54" s="132"/>
      <c r="D54" s="132"/>
      <c r="E54" s="132"/>
      <c r="F54" s="132"/>
      <c r="G54" s="132"/>
      <c r="H54" s="132"/>
    </row>
    <row r="55" spans="1:8" x14ac:dyDescent="0.25">
      <c r="A55" s="133" t="s">
        <v>429</v>
      </c>
      <c r="B55" s="132"/>
      <c r="C55" s="132"/>
      <c r="D55" s="132"/>
      <c r="E55" s="132"/>
      <c r="F55" s="132"/>
      <c r="G55" s="132"/>
      <c r="H55" s="132"/>
    </row>
    <row r="56" spans="1:8" x14ac:dyDescent="0.25">
      <c r="A56" s="132"/>
      <c r="B56" s="132"/>
      <c r="C56" s="132"/>
      <c r="D56" s="132"/>
      <c r="E56" s="132"/>
      <c r="F56" s="132"/>
      <c r="G56" s="132"/>
      <c r="H56" s="132"/>
    </row>
    <row r="57" spans="1:8" x14ac:dyDescent="0.25">
      <c r="A57" s="133" t="s">
        <v>430</v>
      </c>
      <c r="B57" s="132"/>
      <c r="C57" s="132"/>
      <c r="D57" s="132"/>
      <c r="E57" s="132"/>
      <c r="F57" s="132"/>
      <c r="G57" s="132"/>
      <c r="H57" s="132"/>
    </row>
    <row r="58" spans="1:8" x14ac:dyDescent="0.25">
      <c r="A58" s="133" t="s">
        <v>431</v>
      </c>
      <c r="B58" s="132"/>
      <c r="C58" s="132"/>
      <c r="D58" s="132"/>
      <c r="E58" s="132"/>
      <c r="F58" s="132"/>
      <c r="G58" s="132"/>
      <c r="H58" s="132"/>
    </row>
    <row r="59" spans="1:8" x14ac:dyDescent="0.25">
      <c r="A59" s="133" t="s">
        <v>432</v>
      </c>
      <c r="B59" s="132"/>
      <c r="C59" s="132"/>
      <c r="D59" s="132"/>
      <c r="E59" s="132"/>
      <c r="F59" s="132"/>
      <c r="G59" s="132"/>
      <c r="H59" s="132"/>
    </row>
    <row r="60" spans="1:8" x14ac:dyDescent="0.25">
      <c r="A60" s="133" t="s">
        <v>433</v>
      </c>
      <c r="B60" s="132"/>
      <c r="C60" s="132"/>
      <c r="D60" s="132"/>
      <c r="E60" s="132"/>
      <c r="F60" s="132"/>
      <c r="G60" s="132"/>
      <c r="H60" s="132"/>
    </row>
    <row r="61" spans="1:8" x14ac:dyDescent="0.25">
      <c r="A61" s="133" t="s">
        <v>434</v>
      </c>
      <c r="B61" s="132"/>
      <c r="C61" s="132"/>
      <c r="D61" s="132"/>
      <c r="E61" s="132"/>
      <c r="F61" s="132"/>
      <c r="G61" s="132"/>
      <c r="H61" s="132"/>
    </row>
    <row r="62" spans="1:8" x14ac:dyDescent="0.25">
      <c r="A62" s="133" t="s">
        <v>435</v>
      </c>
      <c r="B62" s="132"/>
      <c r="C62" s="132"/>
      <c r="D62" s="132"/>
      <c r="E62" s="132"/>
      <c r="F62" s="132"/>
      <c r="G62" s="132"/>
      <c r="H62" s="132"/>
    </row>
    <row r="63" spans="1:8" x14ac:dyDescent="0.25">
      <c r="A63" s="132"/>
      <c r="B63" s="132"/>
      <c r="C63" s="132"/>
      <c r="D63" s="132"/>
      <c r="E63" s="132"/>
      <c r="F63" s="132"/>
      <c r="G63" s="132"/>
      <c r="H63" s="132"/>
    </row>
    <row r="64" spans="1:8" ht="15.75" x14ac:dyDescent="0.25">
      <c r="A64" s="134" t="s">
        <v>436</v>
      </c>
      <c r="B64" s="132"/>
      <c r="C64" s="132"/>
      <c r="D64" s="132"/>
      <c r="E64" s="132"/>
      <c r="F64" s="132"/>
      <c r="G64" s="132"/>
      <c r="H64" s="132"/>
    </row>
    <row r="65" spans="1:8" x14ac:dyDescent="0.25">
      <c r="A65" s="132"/>
      <c r="B65" s="132"/>
      <c r="C65" s="132"/>
      <c r="D65" s="132"/>
      <c r="E65" s="132"/>
      <c r="F65" s="132"/>
      <c r="G65" s="132"/>
      <c r="H65" s="132"/>
    </row>
    <row r="66" spans="1:8" x14ac:dyDescent="0.25">
      <c r="A66" s="133" t="s">
        <v>437</v>
      </c>
      <c r="B66" s="132"/>
      <c r="C66" s="132"/>
      <c r="D66" s="132"/>
      <c r="E66" s="132"/>
      <c r="F66" s="132"/>
      <c r="G66" s="132"/>
      <c r="H66" s="132"/>
    </row>
    <row r="67" spans="1:8" x14ac:dyDescent="0.25">
      <c r="A67" s="133" t="s">
        <v>438</v>
      </c>
      <c r="B67" s="132"/>
      <c r="C67" s="132"/>
      <c r="D67" s="132"/>
      <c r="E67" s="132"/>
      <c r="F67" s="132"/>
      <c r="G67" s="132"/>
      <c r="H67" s="132"/>
    </row>
    <row r="68" spans="1:8" x14ac:dyDescent="0.25">
      <c r="A68" s="133" t="s">
        <v>439</v>
      </c>
      <c r="B68" s="132"/>
      <c r="C68" s="132"/>
      <c r="D68" s="132"/>
      <c r="E68" s="132"/>
      <c r="F68" s="132"/>
      <c r="G68" s="132"/>
      <c r="H68" s="132"/>
    </row>
    <row r="69" spans="1:8" x14ac:dyDescent="0.25">
      <c r="A69" s="133" t="s">
        <v>440</v>
      </c>
      <c r="B69" s="132"/>
      <c r="C69" s="132"/>
      <c r="D69" s="132"/>
      <c r="E69" s="132"/>
      <c r="F69" s="132"/>
      <c r="G69" s="132"/>
      <c r="H69" s="132"/>
    </row>
    <row r="70" spans="1:8" x14ac:dyDescent="0.25">
      <c r="A70" s="132"/>
      <c r="B70" s="132"/>
      <c r="C70" s="132"/>
      <c r="D70" s="132"/>
      <c r="E70" s="132"/>
      <c r="F70" s="132"/>
      <c r="G70" s="132"/>
      <c r="H70" s="132"/>
    </row>
    <row r="71" spans="1:8" x14ac:dyDescent="0.25">
      <c r="A71" s="133" t="s">
        <v>441</v>
      </c>
      <c r="B71" s="132"/>
      <c r="C71" s="132"/>
      <c r="D71" s="132"/>
      <c r="E71" s="132"/>
      <c r="F71" s="132"/>
      <c r="G71" s="132"/>
      <c r="H71" s="132"/>
    </row>
    <row r="72" spans="1:8" x14ac:dyDescent="0.25">
      <c r="A72" s="132"/>
      <c r="B72" s="132"/>
      <c r="C72" s="132"/>
      <c r="D72" s="132"/>
      <c r="E72" s="132"/>
      <c r="F72" s="132"/>
      <c r="G72" s="132"/>
      <c r="H72" s="132"/>
    </row>
    <row r="73" spans="1:8" ht="15.75" x14ac:dyDescent="0.25">
      <c r="A73" s="134" t="s">
        <v>442</v>
      </c>
      <c r="B73" s="132"/>
      <c r="C73" s="132"/>
      <c r="D73" s="132"/>
      <c r="E73" s="132"/>
      <c r="F73" s="132"/>
      <c r="G73" s="132"/>
      <c r="H73" s="132"/>
    </row>
    <row r="74" spans="1:8" x14ac:dyDescent="0.25">
      <c r="A74" s="132"/>
      <c r="B74" s="132"/>
      <c r="C74" s="132"/>
      <c r="D74" s="132"/>
      <c r="E74" s="132"/>
      <c r="F74" s="132"/>
      <c r="G74" s="132"/>
      <c r="H74" s="132"/>
    </row>
    <row r="75" spans="1:8" x14ac:dyDescent="0.25">
      <c r="A75" s="133" t="s">
        <v>443</v>
      </c>
      <c r="B75" s="132"/>
      <c r="C75" s="132"/>
      <c r="D75" s="132"/>
      <c r="E75" s="132"/>
      <c r="F75" s="132"/>
      <c r="G75" s="132"/>
      <c r="H75" s="132"/>
    </row>
    <row r="76" spans="1:8" x14ac:dyDescent="0.25">
      <c r="A76" s="133" t="s">
        <v>444</v>
      </c>
      <c r="B76" s="132"/>
      <c r="C76" s="132"/>
      <c r="D76" s="132"/>
      <c r="E76" s="132"/>
      <c r="F76" s="132"/>
      <c r="G76" s="132"/>
      <c r="H76" s="132"/>
    </row>
    <row r="77" spans="1:8" x14ac:dyDescent="0.25">
      <c r="A77" s="133" t="s">
        <v>445</v>
      </c>
      <c r="B77" s="132"/>
      <c r="C77" s="132"/>
      <c r="D77" s="132"/>
      <c r="E77" s="132"/>
      <c r="F77" s="132"/>
      <c r="G77" s="132"/>
      <c r="H77" s="132"/>
    </row>
    <row r="78" spans="1:8" x14ac:dyDescent="0.25">
      <c r="A78" s="132"/>
      <c r="B78" s="132"/>
      <c r="C78" s="132"/>
      <c r="D78" s="132"/>
      <c r="E78" s="132"/>
      <c r="F78" s="132"/>
      <c r="G78" s="132"/>
      <c r="H78" s="132"/>
    </row>
    <row r="79" spans="1:8" ht="15.75" x14ac:dyDescent="0.25">
      <c r="A79" s="134" t="s">
        <v>446</v>
      </c>
      <c r="B79" s="132"/>
      <c r="C79" s="132"/>
      <c r="D79" s="132"/>
      <c r="E79" s="132"/>
      <c r="F79" s="132"/>
      <c r="G79" s="132"/>
      <c r="H79" s="132"/>
    </row>
    <row r="80" spans="1:8" x14ac:dyDescent="0.25">
      <c r="A80" s="132"/>
      <c r="B80" s="132"/>
      <c r="C80" s="132"/>
      <c r="D80" s="132"/>
      <c r="E80" s="132"/>
      <c r="F80" s="132"/>
      <c r="G80" s="132"/>
      <c r="H80" s="132"/>
    </row>
    <row r="81" spans="1:8" x14ac:dyDescent="0.25">
      <c r="A81" s="133" t="s">
        <v>447</v>
      </c>
      <c r="B81" s="132"/>
      <c r="C81" s="132"/>
      <c r="D81" s="132"/>
      <c r="E81" s="132"/>
      <c r="F81" s="132"/>
      <c r="G81" s="132"/>
      <c r="H81" s="132"/>
    </row>
    <row r="82" spans="1:8" x14ac:dyDescent="0.25">
      <c r="A82" s="133" t="s">
        <v>448</v>
      </c>
      <c r="B82" s="132"/>
      <c r="C82" s="132"/>
      <c r="D82" s="132"/>
      <c r="E82" s="132"/>
      <c r="F82" s="132"/>
      <c r="G82" s="132"/>
      <c r="H82" s="132"/>
    </row>
    <row r="83" spans="1:8" x14ac:dyDescent="0.25">
      <c r="A83" s="132"/>
      <c r="B83" s="132"/>
      <c r="C83" s="132"/>
      <c r="D83" s="132"/>
      <c r="E83" s="132"/>
      <c r="F83" s="132"/>
      <c r="G83" s="132"/>
      <c r="H83" s="132"/>
    </row>
    <row r="84" spans="1:8" x14ac:dyDescent="0.25">
      <c r="A84" s="133" t="s">
        <v>449</v>
      </c>
      <c r="B84" s="132"/>
      <c r="C84" s="132"/>
      <c r="D84" s="132"/>
      <c r="E84" s="132"/>
      <c r="F84" s="132"/>
      <c r="G84" s="132"/>
      <c r="H84" s="132"/>
    </row>
    <row r="85" spans="1:8" x14ac:dyDescent="0.25">
      <c r="A85" s="133" t="s">
        <v>450</v>
      </c>
      <c r="B85" s="132"/>
      <c r="C85" s="132"/>
      <c r="D85" s="132"/>
      <c r="E85" s="132"/>
      <c r="F85" s="132"/>
      <c r="G85" s="132"/>
      <c r="H85" s="132"/>
    </row>
    <row r="86" spans="1:8" x14ac:dyDescent="0.25">
      <c r="A86" s="132"/>
      <c r="B86" s="132"/>
      <c r="C86" s="132"/>
      <c r="D86" s="132"/>
      <c r="E86" s="132"/>
      <c r="F86" s="132"/>
      <c r="G86" s="132"/>
      <c r="H86" s="132"/>
    </row>
    <row r="87" spans="1:8" x14ac:dyDescent="0.25">
      <c r="A87" s="133" t="s">
        <v>451</v>
      </c>
      <c r="B87" s="132"/>
      <c r="C87" s="132"/>
      <c r="D87" s="132"/>
      <c r="E87" s="132"/>
      <c r="F87" s="132"/>
      <c r="G87" s="132"/>
      <c r="H87" s="132"/>
    </row>
    <row r="88" spans="1:8" x14ac:dyDescent="0.25">
      <c r="A88" s="133" t="s">
        <v>452</v>
      </c>
      <c r="B88" s="132"/>
      <c r="C88" s="132"/>
      <c r="D88" s="132"/>
      <c r="E88" s="132"/>
      <c r="F88" s="132"/>
      <c r="G88" s="132"/>
      <c r="H88" s="132"/>
    </row>
    <row r="89" spans="1:8" x14ac:dyDescent="0.25">
      <c r="A89" s="133" t="s">
        <v>453</v>
      </c>
      <c r="B89" s="132"/>
      <c r="C89" s="132"/>
      <c r="D89" s="132"/>
      <c r="E89" s="132"/>
      <c r="F89" s="132"/>
      <c r="G89" s="132"/>
      <c r="H89" s="132"/>
    </row>
    <row r="90" spans="1:8" x14ac:dyDescent="0.25">
      <c r="A90" s="133" t="s">
        <v>454</v>
      </c>
      <c r="B90" s="132"/>
      <c r="C90" s="132"/>
      <c r="D90" s="132"/>
      <c r="E90" s="132"/>
      <c r="F90" s="132"/>
      <c r="G90" s="132"/>
      <c r="H90" s="132"/>
    </row>
    <row r="91" spans="1:8" x14ac:dyDescent="0.25">
      <c r="A91" s="133" t="s">
        <v>455</v>
      </c>
      <c r="B91" s="132"/>
      <c r="C91" s="132"/>
      <c r="D91" s="132"/>
      <c r="E91" s="132"/>
      <c r="F91" s="132"/>
      <c r="G91" s="132"/>
      <c r="H91" s="132"/>
    </row>
    <row r="92" spans="1:8" x14ac:dyDescent="0.25">
      <c r="A92" s="133" t="s">
        <v>456</v>
      </c>
      <c r="B92" s="132"/>
      <c r="C92" s="132"/>
      <c r="D92" s="132"/>
      <c r="E92" s="132"/>
      <c r="F92" s="132"/>
      <c r="G92" s="132"/>
      <c r="H92" s="132"/>
    </row>
    <row r="93" spans="1:8" x14ac:dyDescent="0.25">
      <c r="A93" s="132"/>
      <c r="B93" s="132"/>
      <c r="C93" s="132"/>
      <c r="D93" s="132"/>
      <c r="E93" s="132"/>
      <c r="F93" s="132"/>
      <c r="G93" s="132"/>
      <c r="H93" s="132"/>
    </row>
    <row r="94" spans="1:8" x14ac:dyDescent="0.25">
      <c r="A94" s="133" t="s">
        <v>457</v>
      </c>
      <c r="B94" s="132"/>
      <c r="C94" s="132"/>
      <c r="D94" s="132"/>
      <c r="E94" s="132"/>
      <c r="F94" s="132"/>
      <c r="G94" s="132"/>
      <c r="H94" s="132"/>
    </row>
    <row r="95" spans="1:8" x14ac:dyDescent="0.25">
      <c r="A95" s="133" t="s">
        <v>458</v>
      </c>
      <c r="B95" s="132"/>
      <c r="C95" s="132"/>
      <c r="D95" s="132"/>
      <c r="E95" s="132"/>
      <c r="F95" s="132"/>
      <c r="G95" s="132"/>
      <c r="H95" s="132"/>
    </row>
    <row r="96" spans="1:8" x14ac:dyDescent="0.25">
      <c r="A96" s="133" t="s">
        <v>459</v>
      </c>
      <c r="B96" s="132"/>
      <c r="C96" s="132"/>
      <c r="D96" s="132"/>
      <c r="E96" s="132"/>
      <c r="F96" s="132"/>
      <c r="G96" s="132"/>
      <c r="H96" s="132"/>
    </row>
    <row r="97" spans="1:8" x14ac:dyDescent="0.25">
      <c r="A97" s="133" t="s">
        <v>460</v>
      </c>
      <c r="B97" s="132"/>
      <c r="C97" s="132"/>
      <c r="D97" s="132"/>
      <c r="E97" s="132"/>
      <c r="F97" s="132"/>
      <c r="G97" s="132"/>
      <c r="H97" s="132"/>
    </row>
    <row r="98" spans="1:8" x14ac:dyDescent="0.25">
      <c r="A98" s="133" t="s">
        <v>461</v>
      </c>
      <c r="B98" s="132"/>
      <c r="C98" s="132"/>
      <c r="D98" s="132"/>
      <c r="E98" s="132"/>
      <c r="F98" s="132"/>
      <c r="G98" s="132"/>
      <c r="H98" s="132"/>
    </row>
    <row r="99" spans="1:8" x14ac:dyDescent="0.25">
      <c r="A99" s="133" t="s">
        <v>462</v>
      </c>
      <c r="B99" s="132"/>
      <c r="C99" s="132"/>
      <c r="D99" s="132"/>
      <c r="E99" s="132"/>
      <c r="F99" s="132"/>
      <c r="G99" s="132"/>
      <c r="H99" s="132"/>
    </row>
    <row r="100" spans="1:8" x14ac:dyDescent="0.25">
      <c r="A100" s="133" t="s">
        <v>463</v>
      </c>
      <c r="B100" s="132"/>
      <c r="C100" s="132"/>
      <c r="D100" s="132"/>
      <c r="E100" s="132"/>
      <c r="F100" s="132"/>
      <c r="G100" s="132"/>
      <c r="H100" s="132"/>
    </row>
    <row r="101" spans="1:8" x14ac:dyDescent="0.25">
      <c r="A101" s="132"/>
      <c r="B101" s="132"/>
      <c r="C101" s="132"/>
      <c r="D101" s="132"/>
      <c r="E101" s="132"/>
      <c r="F101" s="132"/>
      <c r="G101" s="132"/>
      <c r="H101" s="132"/>
    </row>
    <row r="102" spans="1:8" x14ac:dyDescent="0.25">
      <c r="A102" s="133" t="s">
        <v>464</v>
      </c>
      <c r="B102" s="132"/>
      <c r="C102" s="132"/>
      <c r="D102" s="132"/>
      <c r="E102" s="132"/>
      <c r="F102" s="132"/>
      <c r="G102" s="132"/>
      <c r="H102" s="132"/>
    </row>
    <row r="103" spans="1:8" x14ac:dyDescent="0.25">
      <c r="A103" s="133" t="s">
        <v>465</v>
      </c>
      <c r="B103" s="132"/>
      <c r="C103" s="132"/>
      <c r="D103" s="132"/>
      <c r="E103" s="132"/>
      <c r="F103" s="132"/>
      <c r="G103" s="132"/>
      <c r="H103" s="132"/>
    </row>
    <row r="104" spans="1:8" x14ac:dyDescent="0.25">
      <c r="A104" s="132"/>
      <c r="B104" s="132"/>
      <c r="C104" s="132"/>
      <c r="D104" s="132"/>
      <c r="E104" s="132"/>
      <c r="F104" s="132"/>
      <c r="G104" s="132"/>
      <c r="H104" s="132"/>
    </row>
    <row r="105" spans="1:8" ht="15.75" x14ac:dyDescent="0.25">
      <c r="A105" s="134" t="s">
        <v>466</v>
      </c>
      <c r="B105" s="132"/>
      <c r="C105" s="132"/>
      <c r="D105" s="132"/>
      <c r="E105" s="132"/>
      <c r="F105" s="132"/>
      <c r="G105" s="132"/>
      <c r="H105" s="132"/>
    </row>
    <row r="106" spans="1:8" x14ac:dyDescent="0.25">
      <c r="A106" s="132"/>
      <c r="B106" s="132"/>
      <c r="C106" s="132"/>
      <c r="D106" s="132"/>
      <c r="E106" s="132"/>
      <c r="F106" s="132"/>
      <c r="G106" s="132"/>
      <c r="H106" s="132"/>
    </row>
    <row r="107" spans="1:8" x14ac:dyDescent="0.25">
      <c r="A107" s="133" t="s">
        <v>467</v>
      </c>
      <c r="B107" s="132"/>
      <c r="C107" s="132"/>
      <c r="D107" s="132"/>
      <c r="E107" s="132"/>
      <c r="F107" s="132"/>
      <c r="G107" s="132"/>
      <c r="H107" s="132"/>
    </row>
    <row r="108" spans="1:8" x14ac:dyDescent="0.25">
      <c r="A108" s="133" t="s">
        <v>468</v>
      </c>
      <c r="B108" s="132"/>
      <c r="C108" s="132"/>
      <c r="D108" s="132"/>
      <c r="E108" s="132"/>
      <c r="F108" s="132"/>
      <c r="G108" s="132"/>
      <c r="H108" s="132"/>
    </row>
    <row r="109" spans="1:8" x14ac:dyDescent="0.25">
      <c r="A109" s="133" t="s">
        <v>469</v>
      </c>
      <c r="B109" s="132"/>
      <c r="C109" s="132"/>
      <c r="D109" s="132"/>
      <c r="E109" s="132"/>
      <c r="F109" s="132"/>
      <c r="G109" s="132"/>
      <c r="H109" s="132"/>
    </row>
    <row r="110" spans="1:8" x14ac:dyDescent="0.25">
      <c r="A110" s="133" t="s">
        <v>470</v>
      </c>
      <c r="B110" s="132"/>
      <c r="C110" s="132"/>
      <c r="D110" s="132"/>
      <c r="E110" s="132"/>
      <c r="F110" s="132"/>
      <c r="G110" s="132"/>
      <c r="H110" s="132"/>
    </row>
    <row r="111" spans="1:8" x14ac:dyDescent="0.25">
      <c r="A111" s="133" t="s">
        <v>471</v>
      </c>
      <c r="B111" s="132"/>
      <c r="C111" s="132"/>
      <c r="D111" s="132"/>
      <c r="E111" s="132"/>
      <c r="F111" s="132"/>
      <c r="G111" s="132"/>
      <c r="H111" s="132"/>
    </row>
    <row r="112" spans="1:8" x14ac:dyDescent="0.25">
      <c r="A112" s="133" t="s">
        <v>472</v>
      </c>
      <c r="B112" s="132"/>
      <c r="C112" s="132"/>
      <c r="D112" s="132"/>
      <c r="E112" s="132"/>
      <c r="F112" s="132"/>
      <c r="G112" s="132"/>
      <c r="H112" s="132"/>
    </row>
    <row r="113" spans="1:8" x14ac:dyDescent="0.25">
      <c r="A113" s="133" t="s">
        <v>473</v>
      </c>
      <c r="B113" s="132"/>
      <c r="C113" s="132"/>
      <c r="D113" s="132"/>
      <c r="E113" s="132"/>
      <c r="F113" s="132"/>
      <c r="G113" s="132"/>
      <c r="H113" s="132"/>
    </row>
    <row r="114" spans="1:8" x14ac:dyDescent="0.25">
      <c r="A114" s="133" t="s">
        <v>474</v>
      </c>
      <c r="B114" s="132"/>
      <c r="C114" s="132"/>
      <c r="D114" s="132"/>
      <c r="E114" s="132"/>
      <c r="F114" s="132"/>
      <c r="G114" s="132"/>
      <c r="H114" s="132"/>
    </row>
    <row r="115" spans="1:8" x14ac:dyDescent="0.25">
      <c r="A115" s="133" t="s">
        <v>475</v>
      </c>
      <c r="B115" s="132"/>
      <c r="C115" s="132"/>
      <c r="D115" s="132"/>
      <c r="E115" s="132"/>
      <c r="F115" s="132"/>
      <c r="G115" s="132"/>
      <c r="H115" s="132"/>
    </row>
    <row r="116" spans="1:8" x14ac:dyDescent="0.25">
      <c r="A116" s="132"/>
      <c r="B116" s="132"/>
      <c r="C116" s="132"/>
      <c r="D116" s="132"/>
      <c r="E116" s="132"/>
      <c r="F116" s="132"/>
      <c r="G116" s="132"/>
      <c r="H116" s="132"/>
    </row>
    <row r="117" spans="1:8" ht="15.75" x14ac:dyDescent="0.25">
      <c r="A117" s="134" t="s">
        <v>476</v>
      </c>
      <c r="B117" s="132"/>
      <c r="C117" s="132"/>
      <c r="D117" s="132"/>
      <c r="E117" s="132"/>
      <c r="F117" s="132"/>
      <c r="G117" s="132"/>
      <c r="H117" s="132"/>
    </row>
    <row r="118" spans="1:8" x14ac:dyDescent="0.25">
      <c r="A118" s="132"/>
      <c r="B118" s="132"/>
      <c r="C118" s="132"/>
      <c r="D118" s="132"/>
      <c r="E118" s="132"/>
      <c r="F118" s="132"/>
      <c r="G118" s="132"/>
      <c r="H118" s="132"/>
    </row>
    <row r="119" spans="1:8" x14ac:dyDescent="0.25">
      <c r="A119" s="133" t="s">
        <v>477</v>
      </c>
      <c r="B119" s="132"/>
      <c r="C119" s="132"/>
      <c r="D119" s="132"/>
      <c r="E119" s="132"/>
      <c r="F119" s="132"/>
      <c r="G119" s="132"/>
      <c r="H119" s="132"/>
    </row>
    <row r="120" spans="1:8" x14ac:dyDescent="0.25">
      <c r="A120" s="132"/>
      <c r="B120" s="132"/>
      <c r="C120" s="132"/>
      <c r="D120" s="132"/>
      <c r="E120" s="132"/>
      <c r="F120" s="132"/>
      <c r="G120" s="132"/>
      <c r="H120" s="132"/>
    </row>
    <row r="121" spans="1:8" x14ac:dyDescent="0.25">
      <c r="A121" s="133" t="s">
        <v>478</v>
      </c>
      <c r="B121" s="132"/>
      <c r="C121" s="132"/>
      <c r="D121" s="132"/>
      <c r="E121" s="132"/>
      <c r="F121" s="132"/>
      <c r="G121" s="132"/>
      <c r="H121" s="132"/>
    </row>
    <row r="122" spans="1:8" x14ac:dyDescent="0.25">
      <c r="A122" s="133" t="s">
        <v>479</v>
      </c>
      <c r="B122" s="132"/>
      <c r="C122" s="132"/>
      <c r="D122" s="132"/>
      <c r="E122" s="132"/>
      <c r="F122" s="132"/>
      <c r="G122" s="132"/>
      <c r="H122" s="132"/>
    </row>
    <row r="123" spans="1:8" x14ac:dyDescent="0.25">
      <c r="A123" s="132"/>
      <c r="B123" s="132"/>
      <c r="C123" s="132"/>
      <c r="D123" s="132"/>
      <c r="E123" s="132"/>
      <c r="F123" s="132"/>
      <c r="G123" s="132"/>
      <c r="H123" s="132"/>
    </row>
    <row r="124" spans="1:8" x14ac:dyDescent="0.25">
      <c r="A124" s="133" t="s">
        <v>480</v>
      </c>
      <c r="B124" s="132"/>
      <c r="C124" s="132"/>
      <c r="D124" s="132"/>
      <c r="E124" s="132"/>
      <c r="F124" s="132"/>
      <c r="G124" s="132"/>
      <c r="H124" s="132"/>
    </row>
    <row r="125" spans="1:8" x14ac:dyDescent="0.25">
      <c r="A125" s="133" t="s">
        <v>481</v>
      </c>
      <c r="B125" s="132"/>
      <c r="C125" s="132"/>
      <c r="D125" s="132"/>
      <c r="E125" s="132"/>
      <c r="F125" s="132"/>
      <c r="G125" s="132"/>
      <c r="H125" s="132"/>
    </row>
    <row r="126" spans="1:8" x14ac:dyDescent="0.25">
      <c r="A126" s="133" t="s">
        <v>482</v>
      </c>
      <c r="B126" s="132"/>
      <c r="C126" s="132"/>
      <c r="D126" s="132"/>
      <c r="E126" s="132"/>
      <c r="F126" s="132"/>
      <c r="G126" s="132"/>
      <c r="H126" s="132"/>
    </row>
    <row r="127" spans="1:8" x14ac:dyDescent="0.25">
      <c r="A127" s="133" t="s">
        <v>483</v>
      </c>
      <c r="B127" s="132"/>
      <c r="C127" s="132"/>
      <c r="D127" s="132"/>
      <c r="E127" s="132"/>
      <c r="F127" s="132"/>
      <c r="G127" s="132"/>
      <c r="H127" s="132"/>
    </row>
    <row r="128" spans="1:8" x14ac:dyDescent="0.25">
      <c r="A128" s="133" t="s">
        <v>484</v>
      </c>
      <c r="B128" s="132"/>
      <c r="C128" s="132"/>
      <c r="D128" s="132"/>
      <c r="E128" s="132"/>
      <c r="F128" s="132"/>
      <c r="G128" s="132"/>
      <c r="H128" s="132"/>
    </row>
    <row r="129" spans="1:8" x14ac:dyDescent="0.25">
      <c r="A129" s="133" t="s">
        <v>485</v>
      </c>
      <c r="B129" s="132"/>
      <c r="C129" s="132"/>
      <c r="D129" s="132"/>
      <c r="E129" s="132"/>
      <c r="F129" s="132"/>
      <c r="G129" s="132"/>
      <c r="H129" s="132"/>
    </row>
    <row r="130" spans="1:8" x14ac:dyDescent="0.25">
      <c r="A130" s="133" t="s">
        <v>486</v>
      </c>
      <c r="B130" s="132"/>
      <c r="C130" s="132"/>
      <c r="D130" s="132"/>
      <c r="E130" s="132"/>
      <c r="F130" s="132"/>
      <c r="G130" s="132"/>
      <c r="H130" s="132"/>
    </row>
    <row r="131" spans="1:8" x14ac:dyDescent="0.25">
      <c r="A131" s="132"/>
      <c r="B131" s="132"/>
      <c r="C131" s="132"/>
      <c r="D131" s="132"/>
      <c r="E131" s="132"/>
      <c r="F131" s="132"/>
      <c r="G131" s="132"/>
      <c r="H131" s="132"/>
    </row>
    <row r="132" spans="1:8" x14ac:dyDescent="0.25">
      <c r="A132" s="135"/>
      <c r="B132" s="141" t="s">
        <v>487</v>
      </c>
      <c r="C132" s="141"/>
      <c r="D132" s="141" t="s">
        <v>488</v>
      </c>
      <c r="E132" s="141"/>
      <c r="F132" s="141"/>
      <c r="G132" s="141" t="s">
        <v>489</v>
      </c>
      <c r="H132" s="141"/>
    </row>
    <row r="133" spans="1:8" x14ac:dyDescent="0.25">
      <c r="A133" s="135" t="s">
        <v>490</v>
      </c>
      <c r="B133" s="142" t="s">
        <v>491</v>
      </c>
      <c r="C133" s="142" t="s">
        <v>492</v>
      </c>
      <c r="D133" s="142" t="s">
        <v>491</v>
      </c>
      <c r="E133" s="142" t="s">
        <v>493</v>
      </c>
      <c r="F133" s="142" t="s">
        <v>494</v>
      </c>
      <c r="G133" s="142" t="s">
        <v>491</v>
      </c>
      <c r="H133" s="142" t="s">
        <v>495</v>
      </c>
    </row>
    <row r="134" spans="1:8" x14ac:dyDescent="0.25">
      <c r="A134" s="135" t="s">
        <v>496</v>
      </c>
      <c r="B134" s="142">
        <v>1520</v>
      </c>
      <c r="C134" s="143">
        <v>0.41</v>
      </c>
      <c r="D134" s="142">
        <v>425</v>
      </c>
      <c r="E134" s="143">
        <v>0.48</v>
      </c>
      <c r="F134" s="143">
        <v>0.28000000000000003</v>
      </c>
      <c r="G134" s="142">
        <v>685</v>
      </c>
      <c r="H134" s="143">
        <v>0.42</v>
      </c>
    </row>
    <row r="135" spans="1:8" x14ac:dyDescent="0.25">
      <c r="A135" s="135" t="s">
        <v>497</v>
      </c>
      <c r="B135" s="142">
        <v>1579</v>
      </c>
      <c r="C135" s="143">
        <v>0.43</v>
      </c>
      <c r="D135" s="142">
        <v>375</v>
      </c>
      <c r="E135" s="143">
        <v>0.42</v>
      </c>
      <c r="F135" s="143">
        <v>0.24</v>
      </c>
      <c r="G135" s="142">
        <v>713</v>
      </c>
      <c r="H135" s="143">
        <v>0.44</v>
      </c>
    </row>
    <row r="136" spans="1:8" x14ac:dyDescent="0.25">
      <c r="A136" s="135" t="s">
        <v>498</v>
      </c>
      <c r="B136" s="142">
        <v>4</v>
      </c>
      <c r="C136" s="143">
        <v>0</v>
      </c>
      <c r="D136" s="142">
        <v>1</v>
      </c>
      <c r="E136" s="143">
        <v>0</v>
      </c>
      <c r="F136" s="143">
        <v>0.25</v>
      </c>
      <c r="G136" s="142">
        <v>1</v>
      </c>
      <c r="H136" s="143">
        <v>0</v>
      </c>
    </row>
    <row r="137" spans="1:8" x14ac:dyDescent="0.25">
      <c r="A137" s="135" t="s">
        <v>499</v>
      </c>
      <c r="B137" s="142">
        <v>592</v>
      </c>
      <c r="C137" s="143">
        <v>0.16</v>
      </c>
      <c r="D137" s="142">
        <v>89</v>
      </c>
      <c r="E137" s="143">
        <v>0.1</v>
      </c>
      <c r="F137" s="143">
        <v>0.15</v>
      </c>
      <c r="G137" s="142">
        <v>232</v>
      </c>
      <c r="H137" s="143">
        <v>0.14000000000000001</v>
      </c>
    </row>
    <row r="138" spans="1:8" x14ac:dyDescent="0.25">
      <c r="A138" s="135" t="s">
        <v>500</v>
      </c>
      <c r="B138" s="142">
        <v>3695</v>
      </c>
      <c r="C138" s="143"/>
      <c r="D138" s="142">
        <v>890</v>
      </c>
      <c r="E138" s="143"/>
      <c r="F138" s="143"/>
      <c r="G138" s="142">
        <v>1631</v>
      </c>
      <c r="H138" s="143"/>
    </row>
    <row r="139" spans="1:8" x14ac:dyDescent="0.25">
      <c r="A139" s="132"/>
      <c r="B139" s="132"/>
      <c r="C139" s="132"/>
      <c r="D139" s="132"/>
      <c r="E139" s="132"/>
      <c r="F139" s="132"/>
      <c r="G139" s="132"/>
      <c r="H139" s="132"/>
    </row>
    <row r="140" spans="1:8" x14ac:dyDescent="0.25">
      <c r="A140" s="133" t="s">
        <v>501</v>
      </c>
      <c r="B140" s="132"/>
      <c r="C140" s="132"/>
      <c r="D140" s="132"/>
      <c r="E140" s="132"/>
      <c r="F140" s="132"/>
      <c r="G140" s="132"/>
      <c r="H140" s="132"/>
    </row>
    <row r="141" spans="1:8" x14ac:dyDescent="0.25">
      <c r="A141" s="133" t="s">
        <v>502</v>
      </c>
      <c r="B141" s="132"/>
      <c r="C141" s="132"/>
      <c r="D141" s="132"/>
      <c r="E141" s="132"/>
      <c r="F141" s="132"/>
      <c r="G141" s="132"/>
      <c r="H141" s="132"/>
    </row>
    <row r="142" spans="1:8" x14ac:dyDescent="0.25">
      <c r="A142" s="133" t="s">
        <v>503</v>
      </c>
      <c r="B142" s="132"/>
      <c r="C142" s="132"/>
      <c r="D142" s="132"/>
      <c r="E142" s="132"/>
      <c r="F142" s="132"/>
      <c r="G142" s="132"/>
      <c r="H142" s="132"/>
    </row>
    <row r="143" spans="1:8" x14ac:dyDescent="0.25">
      <c r="A143" s="133" t="s">
        <v>504</v>
      </c>
      <c r="B143" s="132"/>
      <c r="C143" s="132"/>
      <c r="D143" s="132"/>
      <c r="E143" s="132"/>
      <c r="F143" s="132"/>
      <c r="G143" s="132"/>
      <c r="H143" s="132"/>
    </row>
    <row r="144" spans="1:8" x14ac:dyDescent="0.25">
      <c r="A144" s="132"/>
      <c r="B144" s="132"/>
      <c r="C144" s="132"/>
      <c r="D144" s="132"/>
      <c r="E144" s="132"/>
      <c r="F144" s="132"/>
      <c r="G144" s="132"/>
      <c r="H144" s="132"/>
    </row>
    <row r="145" spans="1:8" ht="15.75" x14ac:dyDescent="0.25">
      <c r="A145" s="134" t="s">
        <v>505</v>
      </c>
      <c r="B145" s="132"/>
      <c r="C145" s="132"/>
      <c r="D145" s="132"/>
      <c r="E145" s="132"/>
      <c r="F145" s="132"/>
      <c r="G145" s="132"/>
      <c r="H145" s="132"/>
    </row>
    <row r="146" spans="1:8" x14ac:dyDescent="0.25">
      <c r="A146" s="132"/>
      <c r="B146" s="132"/>
      <c r="C146" s="132"/>
      <c r="D146" s="132"/>
      <c r="E146" s="132"/>
      <c r="F146" s="132"/>
      <c r="G146" s="132"/>
      <c r="H146" s="132"/>
    </row>
    <row r="147" spans="1:8" x14ac:dyDescent="0.25">
      <c r="A147" s="133" t="s">
        <v>506</v>
      </c>
      <c r="B147" s="132"/>
      <c r="C147" s="132"/>
      <c r="D147" s="132"/>
      <c r="E147" s="132"/>
      <c r="F147" s="132"/>
      <c r="G147" s="132"/>
      <c r="H147" s="132"/>
    </row>
    <row r="148" spans="1:8" x14ac:dyDescent="0.25">
      <c r="A148" s="133" t="s">
        <v>507</v>
      </c>
      <c r="B148" s="132"/>
      <c r="C148" s="132"/>
      <c r="D148" s="132"/>
      <c r="E148" s="132"/>
      <c r="F148" s="132"/>
      <c r="G148" s="132"/>
      <c r="H148" s="132"/>
    </row>
    <row r="149" spans="1:8" x14ac:dyDescent="0.25">
      <c r="A149" s="132"/>
      <c r="B149" s="132"/>
      <c r="C149" s="132"/>
      <c r="D149" s="132"/>
      <c r="E149" s="132"/>
      <c r="F149" s="132"/>
      <c r="G149" s="132"/>
      <c r="H149" s="132"/>
    </row>
    <row r="150" spans="1:8" x14ac:dyDescent="0.25">
      <c r="A150" s="133" t="s">
        <v>508</v>
      </c>
      <c r="B150" s="132"/>
      <c r="C150" s="132"/>
      <c r="D150" s="132"/>
      <c r="E150" s="132"/>
      <c r="F150" s="132"/>
      <c r="G150" s="132"/>
      <c r="H150" s="132"/>
    </row>
    <row r="151" spans="1:8" x14ac:dyDescent="0.25">
      <c r="A151" s="133" t="s">
        <v>509</v>
      </c>
      <c r="B151" s="132"/>
      <c r="C151" s="132"/>
      <c r="D151" s="132"/>
      <c r="E151" s="132"/>
      <c r="F151" s="132"/>
      <c r="G151" s="132"/>
      <c r="H151" s="132"/>
    </row>
    <row r="152" spans="1:8" x14ac:dyDescent="0.25">
      <c r="A152" s="133" t="s">
        <v>510</v>
      </c>
      <c r="B152" s="132"/>
      <c r="C152" s="132"/>
      <c r="D152" s="132"/>
      <c r="E152" s="132"/>
      <c r="F152" s="132"/>
      <c r="G152" s="132"/>
      <c r="H152" s="132"/>
    </row>
    <row r="153" spans="1:8" x14ac:dyDescent="0.25">
      <c r="A153" s="132"/>
      <c r="B153" s="132"/>
      <c r="C153" s="132"/>
      <c r="D153" s="132"/>
      <c r="E153" s="132"/>
      <c r="F153" s="132"/>
      <c r="G153" s="132"/>
      <c r="H153" s="132"/>
    </row>
    <row r="154" spans="1:8" x14ac:dyDescent="0.25">
      <c r="A154" s="133" t="s">
        <v>511</v>
      </c>
      <c r="B154" s="132"/>
      <c r="C154" s="132"/>
      <c r="D154" s="132"/>
      <c r="E154" s="132"/>
      <c r="F154" s="132"/>
      <c r="G154" s="132"/>
      <c r="H154" s="132"/>
    </row>
    <row r="155" spans="1:8" x14ac:dyDescent="0.25">
      <c r="A155" s="133" t="s">
        <v>512</v>
      </c>
      <c r="B155" s="132"/>
      <c r="C155" s="132"/>
      <c r="D155" s="132"/>
      <c r="E155" s="132"/>
      <c r="F155" s="132"/>
      <c r="G155" s="132"/>
      <c r="H155" s="132"/>
    </row>
    <row r="156" spans="1:8" x14ac:dyDescent="0.25">
      <c r="A156" s="133" t="s">
        <v>513</v>
      </c>
      <c r="B156" s="132"/>
      <c r="C156" s="132"/>
      <c r="D156" s="132"/>
      <c r="E156" s="132"/>
      <c r="F156" s="132"/>
      <c r="G156" s="132"/>
      <c r="H156" s="132"/>
    </row>
    <row r="157" spans="1:8" x14ac:dyDescent="0.25">
      <c r="A157" s="132"/>
      <c r="B157" s="132"/>
      <c r="C157" s="132"/>
      <c r="D157" s="132"/>
      <c r="E157" s="132"/>
      <c r="F157" s="132"/>
      <c r="G157" s="132"/>
      <c r="H157" s="132"/>
    </row>
    <row r="158" spans="1:8" x14ac:dyDescent="0.25">
      <c r="A158" s="133" t="s">
        <v>514</v>
      </c>
      <c r="B158" s="132"/>
      <c r="C158" s="132"/>
      <c r="D158" s="132"/>
      <c r="E158" s="132"/>
      <c r="F158" s="132"/>
      <c r="G158" s="132"/>
      <c r="H158" s="132"/>
    </row>
    <row r="159" spans="1:8" x14ac:dyDescent="0.25">
      <c r="A159" s="133" t="s">
        <v>515</v>
      </c>
      <c r="B159" s="132"/>
      <c r="C159" s="132"/>
      <c r="D159" s="132"/>
      <c r="E159" s="132"/>
      <c r="F159" s="132"/>
      <c r="G159" s="132"/>
      <c r="H159" s="132"/>
    </row>
    <row r="160" spans="1:8" x14ac:dyDescent="0.25">
      <c r="A160" s="133" t="s">
        <v>516</v>
      </c>
      <c r="B160" s="132"/>
      <c r="C160" s="132"/>
      <c r="D160" s="132"/>
      <c r="E160" s="132"/>
      <c r="F160" s="132"/>
      <c r="G160" s="132"/>
      <c r="H160" s="132"/>
    </row>
    <row r="161" spans="1:8" x14ac:dyDescent="0.25">
      <c r="A161" s="132"/>
      <c r="B161" s="132"/>
      <c r="C161" s="132"/>
      <c r="D161" s="132"/>
      <c r="E161" s="132"/>
      <c r="F161" s="132"/>
      <c r="G161" s="132"/>
      <c r="H161" s="132"/>
    </row>
    <row r="162" spans="1:8" x14ac:dyDescent="0.25">
      <c r="A162" s="133" t="s">
        <v>517</v>
      </c>
      <c r="B162" s="132"/>
      <c r="C162" s="132"/>
      <c r="D162" s="132"/>
      <c r="E162" s="132"/>
      <c r="F162" s="132"/>
      <c r="G162" s="132"/>
      <c r="H162" s="132"/>
    </row>
    <row r="163" spans="1:8" x14ac:dyDescent="0.25">
      <c r="A163" s="133" t="s">
        <v>518</v>
      </c>
      <c r="B163" s="132"/>
      <c r="C163" s="132"/>
      <c r="D163" s="132"/>
      <c r="E163" s="132"/>
      <c r="F163" s="132"/>
      <c r="G163" s="132"/>
      <c r="H163" s="132"/>
    </row>
    <row r="164" spans="1:8" x14ac:dyDescent="0.25">
      <c r="A164" s="132"/>
      <c r="B164" s="132"/>
      <c r="C164" s="132"/>
      <c r="D164" s="132"/>
      <c r="E164" s="132"/>
      <c r="F164" s="132"/>
      <c r="G164" s="132"/>
      <c r="H164" s="132"/>
    </row>
    <row r="165" spans="1:8" ht="15.75" x14ac:dyDescent="0.25">
      <c r="A165" s="134" t="s">
        <v>519</v>
      </c>
      <c r="B165" s="132"/>
      <c r="C165" s="132"/>
      <c r="D165" s="132"/>
      <c r="E165" s="132"/>
      <c r="F165" s="132"/>
      <c r="G165" s="132"/>
      <c r="H165" s="132"/>
    </row>
    <row r="166" spans="1:8" x14ac:dyDescent="0.25">
      <c r="A166" s="132"/>
      <c r="B166" s="132"/>
      <c r="C166" s="132"/>
      <c r="D166" s="132"/>
      <c r="E166" s="132"/>
      <c r="F166" s="132"/>
      <c r="G166" s="132"/>
      <c r="H166" s="132"/>
    </row>
    <row r="167" spans="1:8" x14ac:dyDescent="0.25">
      <c r="A167" s="133" t="s">
        <v>520</v>
      </c>
      <c r="B167" s="132"/>
      <c r="C167" s="132"/>
      <c r="D167" s="132"/>
      <c r="E167" s="132"/>
      <c r="F167" s="132"/>
      <c r="G167" s="132"/>
      <c r="H167" s="132"/>
    </row>
    <row r="168" spans="1:8" x14ac:dyDescent="0.25">
      <c r="A168" s="133" t="s">
        <v>521</v>
      </c>
      <c r="B168" s="132"/>
      <c r="C168" s="132"/>
      <c r="D168" s="132"/>
      <c r="E168" s="132"/>
      <c r="F168" s="132"/>
      <c r="G168" s="132"/>
      <c r="H168" s="132"/>
    </row>
    <row r="169" spans="1:8" x14ac:dyDescent="0.25">
      <c r="A169" s="132"/>
      <c r="B169" s="132"/>
      <c r="C169" s="132"/>
      <c r="D169" s="132"/>
      <c r="E169" s="132"/>
      <c r="F169" s="132"/>
      <c r="G169" s="132"/>
      <c r="H169" s="132"/>
    </row>
    <row r="170" spans="1:8" x14ac:dyDescent="0.25">
      <c r="A170" s="133" t="s">
        <v>522</v>
      </c>
      <c r="B170" s="132"/>
      <c r="C170" s="132"/>
      <c r="D170" s="132"/>
      <c r="E170" s="132"/>
      <c r="F170" s="132"/>
      <c r="G170" s="132"/>
      <c r="H170" s="132"/>
    </row>
    <row r="171" spans="1:8" x14ac:dyDescent="0.25">
      <c r="A171" s="133" t="s">
        <v>523</v>
      </c>
      <c r="B171" s="132"/>
      <c r="C171" s="132"/>
      <c r="D171" s="132"/>
      <c r="E171" s="132"/>
      <c r="F171" s="132"/>
      <c r="G171" s="132"/>
      <c r="H171" s="132"/>
    </row>
    <row r="172" spans="1:8" x14ac:dyDescent="0.25">
      <c r="A172" s="132"/>
      <c r="B172" s="132"/>
      <c r="C172" s="132"/>
      <c r="D172" s="132"/>
      <c r="E172" s="132"/>
      <c r="F172" s="132"/>
      <c r="G172" s="132"/>
      <c r="H172" s="132"/>
    </row>
    <row r="173" spans="1:8" x14ac:dyDescent="0.25">
      <c r="A173" s="133" t="s">
        <v>524</v>
      </c>
      <c r="B173" s="132"/>
      <c r="C173" s="132"/>
      <c r="D173" s="132"/>
      <c r="E173" s="132"/>
      <c r="F173" s="132"/>
      <c r="G173" s="132"/>
      <c r="H173" s="132"/>
    </row>
    <row r="174" spans="1:8" x14ac:dyDescent="0.25">
      <c r="A174" s="133" t="s">
        <v>525</v>
      </c>
      <c r="B174" s="132"/>
      <c r="C174" s="132"/>
      <c r="D174" s="132"/>
      <c r="E174" s="132"/>
      <c r="F174" s="132"/>
      <c r="G174" s="132"/>
      <c r="H174" s="132"/>
    </row>
    <row r="175" spans="1:8" x14ac:dyDescent="0.25">
      <c r="A175" s="132"/>
      <c r="B175" s="132"/>
      <c r="C175" s="132"/>
      <c r="D175" s="132"/>
      <c r="E175" s="132"/>
      <c r="F175" s="132"/>
      <c r="G175" s="132"/>
      <c r="H175" s="132"/>
    </row>
    <row r="176" spans="1:8" x14ac:dyDescent="0.25">
      <c r="A176" s="133" t="s">
        <v>526</v>
      </c>
      <c r="B176" s="132"/>
      <c r="C176" s="132"/>
      <c r="D176" s="132"/>
      <c r="E176" s="132"/>
      <c r="F176" s="132"/>
      <c r="G176" s="132"/>
      <c r="H176" s="132"/>
    </row>
    <row r="177" spans="1:8" x14ac:dyDescent="0.25">
      <c r="A177" s="133" t="s">
        <v>527</v>
      </c>
      <c r="B177" s="132"/>
      <c r="C177" s="132"/>
      <c r="D177" s="132"/>
      <c r="E177" s="132"/>
      <c r="F177" s="132"/>
      <c r="G177" s="132"/>
      <c r="H177" s="132"/>
    </row>
    <row r="178" spans="1:8" x14ac:dyDescent="0.25">
      <c r="A178" s="133" t="s">
        <v>528</v>
      </c>
      <c r="B178" s="132"/>
      <c r="C178" s="132"/>
      <c r="D178" s="132"/>
      <c r="E178" s="132"/>
      <c r="F178" s="132"/>
      <c r="G178" s="132"/>
      <c r="H178" s="132"/>
    </row>
    <row r="179" spans="1:8" x14ac:dyDescent="0.25">
      <c r="A179" s="132"/>
      <c r="B179" s="132"/>
      <c r="C179" s="132"/>
      <c r="D179" s="132"/>
      <c r="E179" s="132"/>
      <c r="F179" s="132"/>
      <c r="G179" s="132"/>
      <c r="H179" s="132"/>
    </row>
    <row r="180" spans="1:8" x14ac:dyDescent="0.25">
      <c r="A180" s="133" t="s">
        <v>441</v>
      </c>
      <c r="B180" s="132"/>
      <c r="C180" s="132"/>
      <c r="D180" s="132"/>
      <c r="E180" s="132"/>
      <c r="F180" s="132"/>
      <c r="G180" s="132"/>
      <c r="H180" s="132"/>
    </row>
    <row r="181" spans="1:8" x14ac:dyDescent="0.25">
      <c r="A181" s="132"/>
      <c r="B181" s="132"/>
      <c r="C181" s="132"/>
      <c r="D181" s="132"/>
      <c r="E181" s="132"/>
      <c r="F181" s="132"/>
      <c r="G181" s="132"/>
      <c r="H181" s="132"/>
    </row>
    <row r="182" spans="1:8" ht="15.75" x14ac:dyDescent="0.25">
      <c r="A182" s="134" t="s">
        <v>529</v>
      </c>
      <c r="B182" s="132"/>
      <c r="C182" s="132"/>
      <c r="D182" s="132"/>
      <c r="E182" s="132"/>
      <c r="F182" s="132"/>
      <c r="G182" s="132"/>
      <c r="H182" s="132"/>
    </row>
    <row r="183" spans="1:8" x14ac:dyDescent="0.25">
      <c r="A183" s="132"/>
      <c r="B183" s="132"/>
      <c r="C183" s="132"/>
      <c r="D183" s="132"/>
      <c r="E183" s="132"/>
      <c r="F183" s="132"/>
      <c r="G183" s="132"/>
      <c r="H183" s="132"/>
    </row>
    <row r="184" spans="1:8" x14ac:dyDescent="0.25">
      <c r="A184" s="132"/>
      <c r="B184" s="132"/>
      <c r="C184" s="132"/>
      <c r="D184" s="132"/>
      <c r="E184" s="132"/>
      <c r="F184" s="132"/>
      <c r="G184" s="132"/>
      <c r="H184" s="132"/>
    </row>
    <row r="185" spans="1:8" x14ac:dyDescent="0.25">
      <c r="A185" s="132"/>
      <c r="B185" s="132"/>
      <c r="C185" s="132"/>
      <c r="D185" s="132"/>
      <c r="E185" s="132"/>
      <c r="F185" s="132"/>
      <c r="G185" s="132"/>
      <c r="H185" s="132"/>
    </row>
    <row r="186" spans="1:8" x14ac:dyDescent="0.25">
      <c r="A186" s="132"/>
      <c r="B186" s="132"/>
      <c r="C186" s="132"/>
      <c r="D186" s="132"/>
      <c r="E186" s="132"/>
      <c r="F186" s="132"/>
      <c r="G186" s="132"/>
      <c r="H186" s="132"/>
    </row>
    <row r="187" spans="1:8" x14ac:dyDescent="0.25">
      <c r="A187" s="132"/>
      <c r="B187" s="132"/>
      <c r="C187" s="132"/>
      <c r="D187" s="132"/>
      <c r="E187" s="132"/>
      <c r="F187" s="132"/>
      <c r="G187" s="132"/>
      <c r="H187" s="132"/>
    </row>
    <row r="188" spans="1:8" x14ac:dyDescent="0.25">
      <c r="A188" s="132"/>
      <c r="B188" s="132"/>
      <c r="C188" s="132"/>
      <c r="D188" s="132"/>
      <c r="E188" s="132"/>
      <c r="F188" s="132"/>
      <c r="G188" s="132"/>
      <c r="H188" s="132"/>
    </row>
    <row r="189" spans="1:8" x14ac:dyDescent="0.25">
      <c r="A189" s="132"/>
      <c r="B189" s="132"/>
      <c r="C189" s="132"/>
      <c r="D189" s="132"/>
      <c r="E189" s="132"/>
      <c r="F189" s="132"/>
      <c r="G189" s="132"/>
      <c r="H189" s="132"/>
    </row>
    <row r="190" spans="1:8" x14ac:dyDescent="0.25">
      <c r="A190" s="132"/>
      <c r="B190" s="132"/>
      <c r="C190" s="132"/>
      <c r="D190" s="132"/>
      <c r="E190" s="132"/>
      <c r="F190" s="132"/>
      <c r="G190" s="132"/>
      <c r="H190" s="132"/>
    </row>
    <row r="191" spans="1:8" x14ac:dyDescent="0.25">
      <c r="A191" s="132"/>
      <c r="B191" s="132"/>
      <c r="C191" s="132"/>
      <c r="D191" s="132"/>
      <c r="E191" s="132"/>
      <c r="F191" s="132"/>
      <c r="G191" s="132"/>
      <c r="H191" s="132"/>
    </row>
    <row r="192" spans="1:8" x14ac:dyDescent="0.25">
      <c r="A192" s="132"/>
      <c r="B192" s="132"/>
      <c r="C192" s="132"/>
      <c r="D192" s="132"/>
      <c r="E192" s="132"/>
      <c r="F192" s="132"/>
      <c r="G192" s="132"/>
      <c r="H192" s="132"/>
    </row>
    <row r="193" spans="1:8" x14ac:dyDescent="0.25">
      <c r="A193" s="132"/>
      <c r="B193" s="132"/>
      <c r="C193" s="132"/>
      <c r="D193" s="132"/>
      <c r="E193" s="132"/>
      <c r="F193" s="132"/>
      <c r="G193" s="132"/>
      <c r="H193" s="132"/>
    </row>
    <row r="194" spans="1:8" x14ac:dyDescent="0.25">
      <c r="A194" s="132"/>
      <c r="B194" s="132"/>
      <c r="C194" s="132"/>
      <c r="D194" s="132"/>
      <c r="E194" s="132"/>
      <c r="F194" s="132"/>
      <c r="G194" s="132"/>
      <c r="H194" s="132"/>
    </row>
    <row r="195" spans="1:8" x14ac:dyDescent="0.25">
      <c r="A195" s="132"/>
      <c r="B195" s="132"/>
      <c r="C195" s="132"/>
      <c r="D195" s="132"/>
      <c r="E195" s="132"/>
      <c r="F195" s="132"/>
      <c r="G195" s="132"/>
      <c r="H195" s="132"/>
    </row>
    <row r="196" spans="1:8" x14ac:dyDescent="0.25">
      <c r="A196" s="132"/>
      <c r="B196" s="132"/>
      <c r="C196" s="132"/>
      <c r="D196" s="132"/>
      <c r="E196" s="132"/>
      <c r="F196" s="132"/>
      <c r="G196" s="132"/>
      <c r="H196" s="132"/>
    </row>
    <row r="197" spans="1:8" x14ac:dyDescent="0.25">
      <c r="A197" s="132"/>
      <c r="B197" s="132"/>
      <c r="C197" s="132"/>
      <c r="D197" s="132"/>
      <c r="E197" s="132"/>
      <c r="F197" s="132"/>
      <c r="G197" s="132"/>
      <c r="H197" s="132"/>
    </row>
    <row r="198" spans="1:8" x14ac:dyDescent="0.25">
      <c r="A198" s="132"/>
      <c r="B198" s="132"/>
      <c r="C198" s="132"/>
      <c r="D198" s="132"/>
      <c r="E198" s="132"/>
      <c r="F198" s="132"/>
      <c r="G198" s="132"/>
      <c r="H198" s="132"/>
    </row>
    <row r="199" spans="1:8" x14ac:dyDescent="0.25">
      <c r="A199" s="132"/>
      <c r="B199" s="132"/>
      <c r="C199" s="132"/>
      <c r="D199" s="132"/>
      <c r="E199" s="132"/>
      <c r="F199" s="132"/>
      <c r="G199" s="132"/>
      <c r="H199" s="132"/>
    </row>
    <row r="200" spans="1:8" x14ac:dyDescent="0.25">
      <c r="A200" s="132"/>
      <c r="B200" s="132"/>
      <c r="C200" s="132"/>
      <c r="D200" s="132"/>
      <c r="E200" s="132"/>
      <c r="F200" s="132"/>
      <c r="G200" s="132"/>
      <c r="H200" s="132"/>
    </row>
    <row r="201" spans="1:8" x14ac:dyDescent="0.25">
      <c r="A201" s="132"/>
      <c r="B201" s="132"/>
      <c r="C201" s="132"/>
      <c r="D201" s="132"/>
      <c r="E201" s="132"/>
      <c r="F201" s="132"/>
      <c r="G201" s="132"/>
      <c r="H201" s="132"/>
    </row>
    <row r="202" spans="1:8" x14ac:dyDescent="0.25">
      <c r="A202" s="132"/>
      <c r="B202" s="132"/>
      <c r="C202" s="132"/>
      <c r="D202" s="132"/>
      <c r="E202" s="132"/>
      <c r="F202" s="132"/>
      <c r="G202" s="132"/>
      <c r="H202" s="132"/>
    </row>
    <row r="203" spans="1:8" x14ac:dyDescent="0.25">
      <c r="A203" s="132"/>
      <c r="B203" s="132"/>
      <c r="C203" s="132"/>
      <c r="D203" s="132"/>
      <c r="E203" s="132"/>
      <c r="F203" s="132"/>
      <c r="G203" s="132"/>
      <c r="H203" s="132"/>
    </row>
    <row r="204" spans="1:8" x14ac:dyDescent="0.25">
      <c r="A204" s="132"/>
      <c r="B204" s="132"/>
      <c r="C204" s="132"/>
      <c r="D204" s="132"/>
      <c r="E204" s="132"/>
      <c r="F204" s="132"/>
      <c r="G204" s="132"/>
      <c r="H204" s="132"/>
    </row>
    <row r="205" spans="1:8" x14ac:dyDescent="0.25">
      <c r="A205" s="132"/>
      <c r="B205" s="132"/>
      <c r="C205" s="132"/>
      <c r="D205" s="132"/>
      <c r="E205" s="132"/>
      <c r="F205" s="132"/>
      <c r="G205" s="132"/>
      <c r="H205" s="132"/>
    </row>
    <row r="206" spans="1:8" x14ac:dyDescent="0.25">
      <c r="A206" s="132"/>
      <c r="B206" s="132"/>
      <c r="C206" s="132"/>
      <c r="D206" s="132"/>
      <c r="E206" s="132"/>
      <c r="F206" s="132"/>
      <c r="G206" s="132"/>
      <c r="H206" s="132"/>
    </row>
    <row r="207" spans="1:8" ht="15.75" x14ac:dyDescent="0.25">
      <c r="A207" s="134" t="s">
        <v>530</v>
      </c>
      <c r="B207" s="132"/>
      <c r="C207" s="132"/>
      <c r="D207" s="132"/>
      <c r="E207" s="132"/>
      <c r="F207" s="132"/>
      <c r="G207" s="132"/>
      <c r="H207" s="132"/>
    </row>
    <row r="208" spans="1:8" x14ac:dyDescent="0.25">
      <c r="A208" s="132"/>
      <c r="B208" s="132"/>
      <c r="C208" s="132"/>
      <c r="D208" s="132"/>
      <c r="E208" s="132"/>
      <c r="F208" s="132"/>
      <c r="G208" s="132"/>
      <c r="H208" s="132"/>
    </row>
    <row r="209" spans="1:8" x14ac:dyDescent="0.25">
      <c r="A209" s="133" t="s">
        <v>531</v>
      </c>
      <c r="B209" s="132"/>
      <c r="C209" s="132"/>
      <c r="D209" s="132"/>
      <c r="E209" s="132"/>
      <c r="F209" s="132"/>
      <c r="G209" s="132"/>
      <c r="H209" s="132"/>
    </row>
    <row r="210" spans="1:8" x14ac:dyDescent="0.25">
      <c r="A210" s="133" t="s">
        <v>532</v>
      </c>
      <c r="B210" s="132"/>
      <c r="C210" s="132"/>
      <c r="D210" s="132"/>
      <c r="E210" s="132"/>
      <c r="F210" s="132"/>
      <c r="G210" s="132"/>
      <c r="H210" s="132"/>
    </row>
    <row r="211" spans="1:8" x14ac:dyDescent="0.25">
      <c r="A211" s="133" t="s">
        <v>533</v>
      </c>
      <c r="B211" s="132"/>
      <c r="C211" s="132"/>
      <c r="D211" s="132"/>
      <c r="E211" s="132"/>
      <c r="F211" s="132"/>
      <c r="G211" s="132"/>
      <c r="H211" s="132"/>
    </row>
    <row r="212" spans="1:8" x14ac:dyDescent="0.25">
      <c r="A212" s="133" t="s">
        <v>534</v>
      </c>
      <c r="B212" s="132"/>
      <c r="C212" s="132"/>
      <c r="D212" s="132"/>
      <c r="E212" s="132"/>
      <c r="F212" s="132"/>
      <c r="G212" s="132"/>
      <c r="H212" s="132"/>
    </row>
    <row r="213" spans="1:8" x14ac:dyDescent="0.25">
      <c r="A213" s="133" t="s">
        <v>535</v>
      </c>
      <c r="B213" s="132"/>
      <c r="C213" s="132"/>
      <c r="D213" s="132"/>
      <c r="E213" s="132"/>
      <c r="F213" s="132"/>
      <c r="G213" s="132"/>
      <c r="H213" s="132"/>
    </row>
    <row r="214" spans="1:8" x14ac:dyDescent="0.25">
      <c r="A214" s="132"/>
      <c r="B214" s="132"/>
      <c r="C214" s="132"/>
      <c r="D214" s="132"/>
      <c r="E214" s="132"/>
      <c r="F214" s="132"/>
      <c r="G214" s="132"/>
      <c r="H214" s="132"/>
    </row>
    <row r="215" spans="1:8" x14ac:dyDescent="0.25">
      <c r="A215" s="133" t="s">
        <v>536</v>
      </c>
      <c r="B215" s="132"/>
      <c r="C215" s="132"/>
      <c r="D215" s="132"/>
      <c r="E215" s="132"/>
      <c r="F215" s="132"/>
      <c r="G215" s="132"/>
      <c r="H215" s="132"/>
    </row>
    <row r="216" spans="1:8" x14ac:dyDescent="0.25">
      <c r="A216" s="133" t="s">
        <v>537</v>
      </c>
      <c r="B216" s="132"/>
      <c r="C216" s="132"/>
      <c r="D216" s="132"/>
      <c r="E216" s="132"/>
      <c r="F216" s="132"/>
      <c r="G216" s="132"/>
      <c r="H216" s="132"/>
    </row>
    <row r="217" spans="1:8" x14ac:dyDescent="0.25">
      <c r="A217" s="133" t="s">
        <v>538</v>
      </c>
      <c r="B217" s="132"/>
      <c r="C217" s="132"/>
      <c r="D217" s="132"/>
      <c r="E217" s="132"/>
      <c r="F217" s="132"/>
      <c r="G217" s="132"/>
      <c r="H217" s="132"/>
    </row>
    <row r="218" spans="1:8" x14ac:dyDescent="0.25">
      <c r="A218" s="132"/>
      <c r="B218" s="132"/>
      <c r="C218" s="132"/>
      <c r="D218" s="132"/>
      <c r="E218" s="132"/>
      <c r="F218" s="132"/>
      <c r="G218" s="132"/>
      <c r="H218" s="132"/>
    </row>
    <row r="219" spans="1:8" ht="15.75" x14ac:dyDescent="0.25">
      <c r="A219" s="134" t="s">
        <v>539</v>
      </c>
      <c r="B219" s="132"/>
      <c r="C219" s="132"/>
      <c r="D219" s="132"/>
      <c r="E219" s="132"/>
      <c r="F219" s="132"/>
      <c r="G219" s="132"/>
      <c r="H219" s="132"/>
    </row>
    <row r="220" spans="1:8" x14ac:dyDescent="0.25">
      <c r="A220" s="132"/>
      <c r="B220" s="132"/>
      <c r="C220" s="132"/>
      <c r="D220" s="132"/>
      <c r="E220" s="132"/>
      <c r="F220" s="132"/>
      <c r="G220" s="132"/>
      <c r="H220" s="132"/>
    </row>
    <row r="221" spans="1:8" x14ac:dyDescent="0.25">
      <c r="A221" s="133" t="s">
        <v>540</v>
      </c>
      <c r="B221" s="132"/>
      <c r="C221" s="132"/>
      <c r="D221" s="132"/>
      <c r="E221" s="132"/>
      <c r="F221" s="132"/>
      <c r="G221" s="132"/>
      <c r="H221" s="132"/>
    </row>
    <row r="222" spans="1:8" x14ac:dyDescent="0.25">
      <c r="A222" s="133" t="s">
        <v>541</v>
      </c>
      <c r="B222" s="132"/>
      <c r="C222" s="132"/>
      <c r="D222" s="132"/>
      <c r="E222" s="132"/>
      <c r="F222" s="132"/>
      <c r="G222" s="132"/>
      <c r="H222" s="132"/>
    </row>
    <row r="223" spans="1:8" x14ac:dyDescent="0.25">
      <c r="A223" s="133" t="s">
        <v>542</v>
      </c>
      <c r="B223" s="132"/>
      <c r="C223" s="132"/>
      <c r="D223" s="132"/>
      <c r="E223" s="132"/>
      <c r="F223" s="132"/>
      <c r="G223" s="132"/>
      <c r="H223" s="132"/>
    </row>
    <row r="224" spans="1:8" x14ac:dyDescent="0.25">
      <c r="A224" s="133" t="s">
        <v>543</v>
      </c>
      <c r="B224" s="132"/>
      <c r="C224" s="132"/>
      <c r="D224" s="132"/>
      <c r="E224" s="132"/>
      <c r="F224" s="132"/>
      <c r="G224" s="132"/>
      <c r="H224" s="132"/>
    </row>
    <row r="225" spans="1:8" x14ac:dyDescent="0.25">
      <c r="A225" s="133" t="s">
        <v>544</v>
      </c>
      <c r="B225" s="132"/>
      <c r="C225" s="132"/>
      <c r="D225" s="132"/>
      <c r="E225" s="132"/>
      <c r="F225" s="132"/>
      <c r="G225" s="132"/>
      <c r="H225" s="132"/>
    </row>
    <row r="226" spans="1:8" x14ac:dyDescent="0.25">
      <c r="A226" s="133" t="s">
        <v>545</v>
      </c>
      <c r="B226" s="132"/>
      <c r="C226" s="132"/>
      <c r="D226" s="132"/>
      <c r="E226" s="132"/>
      <c r="F226" s="132"/>
      <c r="G226" s="132"/>
      <c r="H226" s="132"/>
    </row>
    <row r="227" spans="1:8" x14ac:dyDescent="0.25">
      <c r="A227" s="133" t="s">
        <v>546</v>
      </c>
      <c r="B227" s="132"/>
      <c r="C227" s="132"/>
      <c r="D227" s="132"/>
      <c r="E227" s="132"/>
      <c r="F227" s="132"/>
      <c r="G227" s="132"/>
      <c r="H227" s="132"/>
    </row>
    <row r="228" spans="1:8" x14ac:dyDescent="0.25">
      <c r="A228" s="132"/>
      <c r="B228" s="132"/>
      <c r="C228" s="132"/>
      <c r="D228" s="132"/>
      <c r="E228" s="132"/>
      <c r="F228" s="132"/>
      <c r="G228" s="132"/>
      <c r="H228" s="132"/>
    </row>
    <row r="229" spans="1:8" x14ac:dyDescent="0.25">
      <c r="A229" s="133" t="s">
        <v>547</v>
      </c>
      <c r="B229" s="132"/>
      <c r="C229" s="132"/>
      <c r="D229" s="132"/>
      <c r="E229" s="132"/>
      <c r="F229" s="132"/>
      <c r="G229" s="132"/>
      <c r="H229" s="132"/>
    </row>
    <row r="230" spans="1:8" x14ac:dyDescent="0.25">
      <c r="A230" s="133" t="s">
        <v>548</v>
      </c>
      <c r="B230" s="132"/>
      <c r="C230" s="132"/>
      <c r="D230" s="132"/>
      <c r="E230" s="132"/>
      <c r="F230" s="132"/>
      <c r="G230" s="132"/>
      <c r="H230" s="132"/>
    </row>
    <row r="231" spans="1:8" x14ac:dyDescent="0.25">
      <c r="A231" s="133" t="s">
        <v>549</v>
      </c>
      <c r="B231" s="132"/>
      <c r="C231" s="132"/>
      <c r="D231" s="132"/>
      <c r="E231" s="132"/>
      <c r="F231" s="132"/>
      <c r="G231" s="132"/>
      <c r="H231" s="132"/>
    </row>
    <row r="232" spans="1:8" x14ac:dyDescent="0.25">
      <c r="A232" s="132"/>
      <c r="B232" s="132"/>
      <c r="C232" s="132"/>
      <c r="D232" s="132"/>
      <c r="E232" s="132"/>
      <c r="F232" s="132"/>
      <c r="G232" s="132"/>
      <c r="H232" s="132"/>
    </row>
    <row r="233" spans="1:8" x14ac:dyDescent="0.25">
      <c r="A233" s="133" t="s">
        <v>550</v>
      </c>
      <c r="B233" s="132"/>
      <c r="C233" s="132"/>
      <c r="D233" s="132"/>
      <c r="E233" s="132"/>
      <c r="F233" s="132"/>
      <c r="G233" s="132"/>
      <c r="H233" s="132"/>
    </row>
    <row r="234" spans="1:8" x14ac:dyDescent="0.25">
      <c r="A234" s="133" t="s">
        <v>551</v>
      </c>
      <c r="B234" s="132"/>
      <c r="C234" s="132"/>
      <c r="D234" s="132"/>
      <c r="E234" s="132"/>
      <c r="F234" s="132"/>
      <c r="G234" s="132"/>
      <c r="H234" s="132"/>
    </row>
    <row r="235" spans="1:8" x14ac:dyDescent="0.25">
      <c r="A235" s="133" t="s">
        <v>552</v>
      </c>
      <c r="B235" s="132"/>
      <c r="C235" s="132"/>
      <c r="D235" s="132"/>
      <c r="E235" s="132"/>
      <c r="F235" s="132"/>
      <c r="G235" s="132"/>
      <c r="H235" s="132"/>
    </row>
    <row r="236" spans="1:8" x14ac:dyDescent="0.25">
      <c r="A236" s="133" t="s">
        <v>553</v>
      </c>
      <c r="B236" s="132"/>
      <c r="C236" s="132"/>
      <c r="D236" s="132"/>
      <c r="E236" s="132"/>
      <c r="F236" s="132"/>
      <c r="G236" s="132"/>
      <c r="H236" s="132"/>
    </row>
    <row r="237" spans="1:8" x14ac:dyDescent="0.25">
      <c r="A237" s="133" t="s">
        <v>554</v>
      </c>
      <c r="B237" s="132"/>
      <c r="C237" s="132"/>
      <c r="D237" s="132"/>
      <c r="E237" s="132"/>
      <c r="F237" s="132"/>
      <c r="G237" s="132"/>
      <c r="H237" s="132"/>
    </row>
    <row r="238" spans="1:8" x14ac:dyDescent="0.25">
      <c r="A238" s="132"/>
      <c r="B238" s="132"/>
      <c r="C238" s="132"/>
      <c r="D238" s="132"/>
      <c r="E238" s="132"/>
      <c r="F238" s="132"/>
      <c r="G238" s="132"/>
      <c r="H238" s="132"/>
    </row>
    <row r="239" spans="1:8" x14ac:dyDescent="0.25">
      <c r="A239" s="133" t="s">
        <v>555</v>
      </c>
      <c r="B239" s="132"/>
      <c r="C239" s="132"/>
      <c r="D239" s="132"/>
      <c r="E239" s="132"/>
      <c r="F239" s="132"/>
      <c r="G239" s="132"/>
      <c r="H239" s="132"/>
    </row>
    <row r="240" spans="1:8" x14ac:dyDescent="0.25">
      <c r="A240" s="133" t="s">
        <v>556</v>
      </c>
      <c r="B240" s="132"/>
      <c r="C240" s="132"/>
      <c r="D240" s="132"/>
      <c r="E240" s="132"/>
      <c r="F240" s="132"/>
      <c r="G240" s="132"/>
      <c r="H240" s="132"/>
    </row>
    <row r="241" spans="1:8" x14ac:dyDescent="0.25">
      <c r="A241" s="133" t="s">
        <v>557</v>
      </c>
      <c r="B241" s="132"/>
      <c r="C241" s="132"/>
      <c r="D241" s="132"/>
      <c r="E241" s="132"/>
      <c r="F241" s="132"/>
      <c r="G241" s="132"/>
      <c r="H241" s="132"/>
    </row>
    <row r="242" spans="1:8" x14ac:dyDescent="0.25">
      <c r="A242" s="133" t="s">
        <v>558</v>
      </c>
      <c r="B242" s="132"/>
      <c r="C242" s="132"/>
      <c r="D242" s="132"/>
      <c r="E242" s="132"/>
      <c r="F242" s="132"/>
      <c r="G242" s="132"/>
      <c r="H242" s="132"/>
    </row>
    <row r="243" spans="1:8" x14ac:dyDescent="0.25">
      <c r="A243" s="133" t="s">
        <v>559</v>
      </c>
      <c r="B243" s="132"/>
      <c r="C243" s="132"/>
      <c r="D243" s="132"/>
      <c r="E243" s="132"/>
      <c r="F243" s="132"/>
      <c r="G243" s="132"/>
      <c r="H243" s="132"/>
    </row>
    <row r="244" spans="1:8" x14ac:dyDescent="0.25">
      <c r="A244" s="133" t="s">
        <v>560</v>
      </c>
      <c r="B244" s="132"/>
      <c r="C244" s="132"/>
      <c r="D244" s="132"/>
      <c r="E244" s="132"/>
      <c r="F244" s="132"/>
      <c r="G244" s="132"/>
      <c r="H244" s="132"/>
    </row>
    <row r="245" spans="1:8" x14ac:dyDescent="0.25">
      <c r="A245" s="132"/>
      <c r="B245" s="132"/>
      <c r="C245" s="132"/>
      <c r="D245" s="132"/>
      <c r="E245" s="132"/>
      <c r="F245" s="132"/>
      <c r="G245" s="132"/>
      <c r="H245" s="132"/>
    </row>
    <row r="246" spans="1:8" x14ac:dyDescent="0.25">
      <c r="A246" s="133" t="s">
        <v>561</v>
      </c>
      <c r="B246" s="132"/>
      <c r="C246" s="132"/>
      <c r="D246" s="132"/>
      <c r="E246" s="132"/>
      <c r="F246" s="132"/>
      <c r="G246" s="132"/>
      <c r="H246" s="132"/>
    </row>
    <row r="247" spans="1:8" x14ac:dyDescent="0.25">
      <c r="A247" s="133" t="s">
        <v>562</v>
      </c>
      <c r="B247" s="132"/>
      <c r="C247" s="132"/>
      <c r="D247" s="132"/>
      <c r="E247" s="132"/>
      <c r="F247" s="132"/>
      <c r="G247" s="132"/>
      <c r="H247" s="132"/>
    </row>
    <row r="248" spans="1:8" x14ac:dyDescent="0.25">
      <c r="A248" s="133" t="s">
        <v>563</v>
      </c>
      <c r="B248" s="132"/>
      <c r="C248" s="132"/>
      <c r="D248" s="132"/>
      <c r="E248" s="132"/>
      <c r="F248" s="132"/>
      <c r="G248" s="132"/>
      <c r="H248" s="132"/>
    </row>
    <row r="249" spans="1:8" x14ac:dyDescent="0.25">
      <c r="A249" s="133" t="s">
        <v>564</v>
      </c>
      <c r="B249" s="132"/>
      <c r="C249" s="132"/>
      <c r="D249" s="132"/>
      <c r="E249" s="132"/>
      <c r="F249" s="132"/>
      <c r="G249" s="132"/>
      <c r="H249" s="132"/>
    </row>
    <row r="250" spans="1:8" x14ac:dyDescent="0.25">
      <c r="A250" s="133" t="s">
        <v>565</v>
      </c>
      <c r="B250" s="132"/>
      <c r="C250" s="132"/>
      <c r="D250" s="132"/>
      <c r="E250" s="132"/>
      <c r="F250" s="132"/>
      <c r="G250" s="132"/>
      <c r="H250" s="132"/>
    </row>
    <row r="251" spans="1:8" x14ac:dyDescent="0.25">
      <c r="A251" s="133" t="s">
        <v>566</v>
      </c>
      <c r="B251" s="132"/>
      <c r="C251" s="132"/>
      <c r="D251" s="132"/>
      <c r="E251" s="132"/>
      <c r="F251" s="132"/>
      <c r="G251" s="132"/>
      <c r="H251" s="132"/>
    </row>
    <row r="252" spans="1:8" x14ac:dyDescent="0.25">
      <c r="A252" s="133" t="s">
        <v>567</v>
      </c>
      <c r="B252" s="132"/>
      <c r="C252" s="132"/>
      <c r="D252" s="132"/>
      <c r="E252" s="132"/>
      <c r="F252" s="132"/>
      <c r="G252" s="132"/>
      <c r="H252" s="132"/>
    </row>
    <row r="253" spans="1:8" x14ac:dyDescent="0.25">
      <c r="A253" s="133" t="s">
        <v>568</v>
      </c>
      <c r="B253" s="132"/>
      <c r="C253" s="132"/>
      <c r="D253" s="132"/>
      <c r="E253" s="132"/>
      <c r="F253" s="132"/>
      <c r="G253" s="132"/>
      <c r="H253" s="132"/>
    </row>
    <row r="254" spans="1:8" x14ac:dyDescent="0.25">
      <c r="A254" s="133" t="s">
        <v>569</v>
      </c>
      <c r="B254" s="132"/>
      <c r="C254" s="132"/>
      <c r="D254" s="132"/>
      <c r="E254" s="132"/>
      <c r="F254" s="132"/>
      <c r="G254" s="132"/>
      <c r="H254" s="132"/>
    </row>
    <row r="255" spans="1:8" x14ac:dyDescent="0.25">
      <c r="A255" s="133" t="s">
        <v>570</v>
      </c>
      <c r="B255" s="132"/>
      <c r="C255" s="132"/>
      <c r="D255" s="132"/>
      <c r="E255" s="132"/>
      <c r="F255" s="132"/>
      <c r="G255" s="132"/>
      <c r="H255" s="132"/>
    </row>
    <row r="256" spans="1:8" x14ac:dyDescent="0.25">
      <c r="A256" s="133" t="s">
        <v>571</v>
      </c>
      <c r="B256" s="132"/>
      <c r="C256" s="132"/>
      <c r="D256" s="132"/>
      <c r="E256" s="132"/>
      <c r="F256" s="132"/>
      <c r="G256" s="132"/>
      <c r="H256" s="132"/>
    </row>
    <row r="257" spans="1:8" x14ac:dyDescent="0.25">
      <c r="A257" s="133" t="s">
        <v>572</v>
      </c>
      <c r="B257" s="132"/>
      <c r="C257" s="132"/>
      <c r="D257" s="132"/>
      <c r="E257" s="132"/>
      <c r="F257" s="132"/>
      <c r="G257" s="132"/>
      <c r="H257" s="132"/>
    </row>
    <row r="258" spans="1:8" x14ac:dyDescent="0.25">
      <c r="A258" s="133" t="s">
        <v>573</v>
      </c>
      <c r="B258" s="132"/>
      <c r="C258" s="132"/>
      <c r="D258" s="132"/>
      <c r="E258" s="132"/>
      <c r="F258" s="132"/>
      <c r="G258" s="132"/>
      <c r="H258" s="132"/>
    </row>
    <row r="259" spans="1:8" x14ac:dyDescent="0.25">
      <c r="A259" s="133" t="s">
        <v>574</v>
      </c>
      <c r="B259" s="132"/>
      <c r="C259" s="132"/>
      <c r="D259" s="132"/>
      <c r="E259" s="132"/>
      <c r="F259" s="132"/>
      <c r="G259" s="132"/>
      <c r="H259" s="132"/>
    </row>
    <row r="260" spans="1:8" x14ac:dyDescent="0.25">
      <c r="A260" s="132"/>
      <c r="B260" s="132"/>
      <c r="C260" s="132"/>
      <c r="D260" s="132"/>
      <c r="E260" s="132"/>
      <c r="F260" s="132"/>
      <c r="G260" s="132"/>
      <c r="H260" s="132"/>
    </row>
    <row r="261" spans="1:8" x14ac:dyDescent="0.25">
      <c r="A261" s="133" t="s">
        <v>575</v>
      </c>
      <c r="B261" s="132"/>
      <c r="C261" s="132"/>
      <c r="D261" s="132"/>
      <c r="E261" s="132"/>
      <c r="F261" s="132"/>
      <c r="G261" s="132"/>
      <c r="H261" s="132"/>
    </row>
    <row r="262" spans="1:8" x14ac:dyDescent="0.25">
      <c r="A262" s="133" t="s">
        <v>576</v>
      </c>
      <c r="B262" s="132"/>
      <c r="C262" s="132"/>
      <c r="D262" s="132"/>
      <c r="E262" s="132"/>
      <c r="F262" s="132"/>
      <c r="G262" s="132"/>
      <c r="H262" s="132"/>
    </row>
    <row r="263" spans="1:8" x14ac:dyDescent="0.25">
      <c r="A263" s="132"/>
      <c r="B263" s="132"/>
      <c r="C263" s="132"/>
      <c r="D263" s="132"/>
      <c r="E263" s="132"/>
      <c r="F263" s="132"/>
      <c r="G263" s="132"/>
      <c r="H263" s="132"/>
    </row>
    <row r="264" spans="1:8" x14ac:dyDescent="0.25">
      <c r="A264" s="133" t="s">
        <v>577</v>
      </c>
      <c r="B264" s="132"/>
      <c r="C264" s="132"/>
      <c r="D264" s="132"/>
      <c r="E264" s="132"/>
      <c r="F264" s="132"/>
      <c r="G264" s="132"/>
      <c r="H264" s="132"/>
    </row>
    <row r="265" spans="1:8" x14ac:dyDescent="0.25">
      <c r="A265" s="133" t="s">
        <v>578</v>
      </c>
      <c r="B265" s="132"/>
      <c r="C265" s="132"/>
      <c r="D265" s="132"/>
      <c r="E265" s="132"/>
      <c r="F265" s="132"/>
      <c r="G265" s="132"/>
      <c r="H265" s="132"/>
    </row>
    <row r="266" spans="1:8" x14ac:dyDescent="0.25">
      <c r="A266" s="133" t="s">
        <v>579</v>
      </c>
      <c r="B266" s="132"/>
      <c r="C266" s="132"/>
      <c r="D266" s="132"/>
      <c r="E266" s="132"/>
      <c r="F266" s="132"/>
      <c r="G266" s="132"/>
      <c r="H266" s="132"/>
    </row>
    <row r="267" spans="1:8" x14ac:dyDescent="0.25">
      <c r="A267" s="133" t="s">
        <v>580</v>
      </c>
      <c r="B267" s="132"/>
      <c r="C267" s="132"/>
      <c r="D267" s="132"/>
      <c r="E267" s="132"/>
      <c r="F267" s="132"/>
      <c r="G267" s="132"/>
      <c r="H267" s="132"/>
    </row>
    <row r="268" spans="1:8" x14ac:dyDescent="0.25">
      <c r="A268" s="133" t="s">
        <v>581</v>
      </c>
      <c r="B268" s="132"/>
      <c r="C268" s="132"/>
      <c r="D268" s="132"/>
      <c r="E268" s="132"/>
      <c r="F268" s="132"/>
      <c r="G268" s="132"/>
      <c r="H268" s="132"/>
    </row>
    <row r="269" spans="1:8" x14ac:dyDescent="0.25">
      <c r="A269" s="133" t="s">
        <v>582</v>
      </c>
      <c r="B269" s="132"/>
      <c r="C269" s="132"/>
      <c r="D269" s="132"/>
      <c r="E269" s="132"/>
      <c r="F269" s="132"/>
      <c r="G269" s="132"/>
      <c r="H269" s="132"/>
    </row>
    <row r="270" spans="1:8" x14ac:dyDescent="0.25">
      <c r="A270" s="133" t="s">
        <v>583</v>
      </c>
      <c r="B270" s="132"/>
      <c r="C270" s="132"/>
      <c r="D270" s="132"/>
      <c r="E270" s="132"/>
      <c r="F270" s="132"/>
      <c r="G270" s="132"/>
      <c r="H270" s="132"/>
    </row>
    <row r="271" spans="1:8" x14ac:dyDescent="0.25">
      <c r="A271" s="133" t="s">
        <v>584</v>
      </c>
      <c r="B271" s="132"/>
      <c r="C271" s="132"/>
      <c r="D271" s="132"/>
      <c r="E271" s="132"/>
      <c r="F271" s="132"/>
      <c r="G271" s="132"/>
      <c r="H271" s="132"/>
    </row>
    <row r="272" spans="1:8" x14ac:dyDescent="0.25">
      <c r="A272" s="133" t="s">
        <v>585</v>
      </c>
      <c r="B272" s="132"/>
      <c r="C272" s="132"/>
      <c r="D272" s="132"/>
      <c r="E272" s="132"/>
      <c r="F272" s="132"/>
      <c r="G272" s="132"/>
      <c r="H272" s="132"/>
    </row>
    <row r="273" spans="1:8" x14ac:dyDescent="0.25">
      <c r="A273" s="133" t="s">
        <v>586</v>
      </c>
      <c r="B273" s="132"/>
      <c r="C273" s="132"/>
      <c r="D273" s="132"/>
      <c r="E273" s="132"/>
      <c r="F273" s="132"/>
      <c r="G273" s="132"/>
      <c r="H273" s="132"/>
    </row>
    <row r="274" spans="1:8" x14ac:dyDescent="0.25">
      <c r="A274" s="133" t="s">
        <v>587</v>
      </c>
      <c r="B274" s="132"/>
      <c r="C274" s="132"/>
      <c r="D274" s="132"/>
      <c r="E274" s="132"/>
      <c r="F274" s="132"/>
      <c r="G274" s="132"/>
      <c r="H274" s="132"/>
    </row>
    <row r="275" spans="1:8" x14ac:dyDescent="0.25">
      <c r="A275" s="133" t="s">
        <v>588</v>
      </c>
      <c r="B275" s="132"/>
      <c r="C275" s="132"/>
      <c r="D275" s="132"/>
      <c r="E275" s="132"/>
      <c r="F275" s="132"/>
      <c r="G275" s="132"/>
      <c r="H275" s="132"/>
    </row>
    <row r="276" spans="1:8" x14ac:dyDescent="0.25">
      <c r="A276" s="133" t="s">
        <v>589</v>
      </c>
      <c r="B276" s="132"/>
      <c r="C276" s="132"/>
      <c r="D276" s="132"/>
      <c r="E276" s="132"/>
      <c r="F276" s="132"/>
      <c r="G276" s="132"/>
      <c r="H276" s="132"/>
    </row>
    <row r="277" spans="1:8" x14ac:dyDescent="0.25">
      <c r="A277" s="133" t="s">
        <v>590</v>
      </c>
      <c r="B277" s="132"/>
      <c r="C277" s="132"/>
      <c r="D277" s="132"/>
      <c r="E277" s="132"/>
      <c r="F277" s="132"/>
      <c r="G277" s="132"/>
      <c r="H277" s="132"/>
    </row>
    <row r="278" spans="1:8" x14ac:dyDescent="0.25">
      <c r="A278" s="133" t="s">
        <v>591</v>
      </c>
      <c r="B278" s="132"/>
      <c r="C278" s="132"/>
      <c r="D278" s="132"/>
      <c r="E278" s="132"/>
      <c r="F278" s="132"/>
      <c r="G278" s="132"/>
      <c r="H278" s="132"/>
    </row>
    <row r="279" spans="1:8" x14ac:dyDescent="0.25">
      <c r="A279" s="133" t="s">
        <v>592</v>
      </c>
      <c r="B279" s="132"/>
      <c r="C279" s="132"/>
      <c r="D279" s="132"/>
      <c r="E279" s="132"/>
      <c r="F279" s="132"/>
      <c r="G279" s="132"/>
      <c r="H279" s="132"/>
    </row>
    <row r="280" spans="1:8" x14ac:dyDescent="0.25">
      <c r="A280" s="132"/>
      <c r="B280" s="132"/>
      <c r="C280" s="132"/>
      <c r="D280" s="132"/>
      <c r="E280" s="132"/>
      <c r="F280" s="132"/>
      <c r="G280" s="132"/>
      <c r="H280" s="132"/>
    </row>
    <row r="281" spans="1:8" x14ac:dyDescent="0.25">
      <c r="A281" s="133" t="s">
        <v>593</v>
      </c>
      <c r="B281" s="132"/>
      <c r="C281" s="132"/>
      <c r="D281" s="132"/>
      <c r="E281" s="132"/>
      <c r="F281" s="132"/>
      <c r="G281" s="132"/>
      <c r="H281" s="132"/>
    </row>
    <row r="282" spans="1:8" x14ac:dyDescent="0.25">
      <c r="A282" s="133" t="s">
        <v>594</v>
      </c>
      <c r="B282" s="132"/>
      <c r="C282" s="132"/>
      <c r="D282" s="132"/>
      <c r="E282" s="132"/>
      <c r="F282" s="132"/>
      <c r="G282" s="132"/>
      <c r="H282" s="132"/>
    </row>
    <row r="283" spans="1:8" x14ac:dyDescent="0.25">
      <c r="A283" s="133" t="s">
        <v>595</v>
      </c>
      <c r="B283" s="132"/>
      <c r="C283" s="132"/>
      <c r="D283" s="132"/>
      <c r="E283" s="132"/>
      <c r="F283" s="132"/>
      <c r="G283" s="132"/>
      <c r="H283" s="132"/>
    </row>
    <row r="284" spans="1:8" x14ac:dyDescent="0.25">
      <c r="A284" s="133" t="s">
        <v>596</v>
      </c>
      <c r="B284" s="132"/>
      <c r="C284" s="132"/>
      <c r="D284" s="132"/>
      <c r="E284" s="132"/>
      <c r="F284" s="132"/>
      <c r="G284" s="132"/>
      <c r="H284" s="132"/>
    </row>
    <row r="285" spans="1:8" x14ac:dyDescent="0.25">
      <c r="A285" s="133" t="s">
        <v>597</v>
      </c>
      <c r="B285" s="132"/>
      <c r="C285" s="132"/>
      <c r="D285" s="132"/>
      <c r="E285" s="132"/>
      <c r="F285" s="132"/>
      <c r="G285" s="132"/>
      <c r="H285" s="132"/>
    </row>
    <row r="286" spans="1:8" x14ac:dyDescent="0.25">
      <c r="A286" s="133" t="s">
        <v>598</v>
      </c>
      <c r="B286" s="132"/>
      <c r="C286" s="132"/>
      <c r="D286" s="132"/>
      <c r="E286" s="132"/>
      <c r="F286" s="132"/>
      <c r="G286" s="132"/>
      <c r="H286" s="132"/>
    </row>
    <row r="287" spans="1:8" x14ac:dyDescent="0.25">
      <c r="A287" s="133" t="s">
        <v>456</v>
      </c>
      <c r="B287" s="132"/>
      <c r="C287" s="132"/>
      <c r="D287" s="132"/>
      <c r="E287" s="132"/>
      <c r="F287" s="132"/>
      <c r="G287" s="132"/>
      <c r="H287" s="132"/>
    </row>
    <row r="288" spans="1:8" x14ac:dyDescent="0.25">
      <c r="A288" s="132"/>
      <c r="B288" s="132"/>
      <c r="C288" s="132"/>
      <c r="D288" s="132"/>
      <c r="E288" s="132"/>
      <c r="F288" s="132"/>
      <c r="G288" s="132"/>
      <c r="H288" s="132"/>
    </row>
    <row r="289" spans="1:8" x14ac:dyDescent="0.25">
      <c r="A289" s="133" t="s">
        <v>599</v>
      </c>
      <c r="B289" s="132"/>
      <c r="C289" s="132"/>
      <c r="D289" s="132"/>
      <c r="E289" s="132"/>
      <c r="F289" s="132"/>
      <c r="G289" s="132"/>
      <c r="H289" s="132"/>
    </row>
    <row r="290" spans="1:8" x14ac:dyDescent="0.25">
      <c r="A290" s="133" t="s">
        <v>600</v>
      </c>
      <c r="B290" s="132"/>
      <c r="C290" s="132"/>
      <c r="D290" s="132"/>
      <c r="E290" s="132"/>
      <c r="F290" s="132"/>
      <c r="G290" s="132"/>
      <c r="H290" s="132"/>
    </row>
    <row r="291" spans="1:8" x14ac:dyDescent="0.25">
      <c r="A291" s="133" t="s">
        <v>601</v>
      </c>
      <c r="B291" s="132"/>
      <c r="C291" s="132"/>
      <c r="D291" s="132"/>
      <c r="E291" s="132"/>
      <c r="F291" s="132"/>
      <c r="G291" s="132"/>
      <c r="H291" s="132"/>
    </row>
    <row r="292" spans="1:8" x14ac:dyDescent="0.25">
      <c r="A292" s="133" t="s">
        <v>602</v>
      </c>
      <c r="B292" s="132"/>
      <c r="C292" s="132"/>
      <c r="D292" s="132"/>
      <c r="E292" s="132"/>
      <c r="F292" s="132"/>
      <c r="G292" s="132"/>
      <c r="H292" s="132"/>
    </row>
    <row r="293" spans="1:8" x14ac:dyDescent="0.25">
      <c r="A293" s="133" t="s">
        <v>603</v>
      </c>
      <c r="B293" s="132"/>
      <c r="C293" s="132"/>
      <c r="D293" s="132"/>
      <c r="E293" s="132"/>
      <c r="F293" s="132"/>
      <c r="G293" s="132"/>
      <c r="H293" s="132"/>
    </row>
    <row r="294" spans="1:8" x14ac:dyDescent="0.25">
      <c r="A294" s="133" t="s">
        <v>604</v>
      </c>
      <c r="B294" s="132"/>
      <c r="C294" s="132"/>
      <c r="D294" s="132"/>
      <c r="E294" s="132"/>
      <c r="F294" s="132"/>
      <c r="G294" s="132"/>
      <c r="H294" s="132"/>
    </row>
    <row r="295" spans="1:8" x14ac:dyDescent="0.25">
      <c r="A295" s="133" t="s">
        <v>605</v>
      </c>
      <c r="B295" s="132"/>
      <c r="C295" s="132"/>
      <c r="D295" s="132"/>
      <c r="E295" s="132"/>
      <c r="F295" s="132"/>
      <c r="G295" s="132"/>
      <c r="H295" s="132"/>
    </row>
    <row r="296" spans="1:8" x14ac:dyDescent="0.25">
      <c r="A296" s="133" t="s">
        <v>606</v>
      </c>
      <c r="B296" s="132"/>
      <c r="C296" s="132"/>
      <c r="D296" s="132"/>
      <c r="E296" s="132"/>
      <c r="F296" s="132"/>
      <c r="G296" s="132"/>
      <c r="H296" s="132"/>
    </row>
    <row r="297" spans="1:8" x14ac:dyDescent="0.25">
      <c r="A297" s="133" t="s">
        <v>607</v>
      </c>
      <c r="B297" s="132"/>
      <c r="C297" s="132"/>
      <c r="D297" s="132"/>
      <c r="E297" s="132"/>
      <c r="F297" s="132"/>
      <c r="G297" s="132"/>
      <c r="H297" s="132"/>
    </row>
    <row r="298" spans="1:8" x14ac:dyDescent="0.25">
      <c r="A298" s="132"/>
      <c r="B298" s="132"/>
      <c r="C298" s="132"/>
      <c r="D298" s="132"/>
      <c r="E298" s="132"/>
      <c r="F298" s="132"/>
      <c r="G298" s="132"/>
      <c r="H298" s="132"/>
    </row>
    <row r="299" spans="1:8" x14ac:dyDescent="0.25">
      <c r="A299" s="133" t="s">
        <v>608</v>
      </c>
      <c r="B299" s="132"/>
      <c r="C299" s="132"/>
      <c r="D299" s="132"/>
      <c r="E299" s="132"/>
      <c r="F299" s="132"/>
      <c r="G299" s="132"/>
      <c r="H299" s="132"/>
    </row>
    <row r="300" spans="1:8" x14ac:dyDescent="0.25">
      <c r="A300" s="133" t="s">
        <v>609</v>
      </c>
      <c r="B300" s="132"/>
      <c r="C300" s="132"/>
      <c r="D300" s="132"/>
      <c r="E300" s="132"/>
      <c r="F300" s="132"/>
      <c r="G300" s="132"/>
      <c r="H300" s="132"/>
    </row>
    <row r="301" spans="1:8" x14ac:dyDescent="0.25">
      <c r="A301" s="133" t="s">
        <v>610</v>
      </c>
      <c r="B301" s="132"/>
      <c r="C301" s="132"/>
      <c r="D301" s="132"/>
      <c r="E301" s="132"/>
      <c r="F301" s="132"/>
      <c r="G301" s="132"/>
      <c r="H301" s="132"/>
    </row>
    <row r="302" spans="1:8" x14ac:dyDescent="0.25">
      <c r="A302" s="133" t="s">
        <v>611</v>
      </c>
      <c r="B302" s="132"/>
      <c r="C302" s="132"/>
      <c r="D302" s="132"/>
      <c r="E302" s="132"/>
      <c r="F302" s="132"/>
      <c r="G302" s="132"/>
      <c r="H302" s="132"/>
    </row>
    <row r="303" spans="1:8" x14ac:dyDescent="0.25">
      <c r="A303" s="133" t="s">
        <v>612</v>
      </c>
      <c r="B303" s="132"/>
      <c r="C303" s="132"/>
      <c r="D303" s="132"/>
      <c r="E303" s="132"/>
      <c r="F303" s="132"/>
      <c r="G303" s="132"/>
      <c r="H303" s="132"/>
    </row>
    <row r="304" spans="1:8" x14ac:dyDescent="0.25">
      <c r="A304" s="133" t="s">
        <v>613</v>
      </c>
      <c r="B304" s="132"/>
      <c r="C304" s="132"/>
      <c r="D304" s="132"/>
      <c r="E304" s="132"/>
      <c r="F304" s="132"/>
      <c r="G304" s="132"/>
      <c r="H304" s="132"/>
    </row>
    <row r="305" spans="1:8" x14ac:dyDescent="0.25">
      <c r="A305" s="133" t="s">
        <v>614</v>
      </c>
      <c r="B305" s="132"/>
      <c r="C305" s="132"/>
      <c r="D305" s="132"/>
      <c r="E305" s="132"/>
      <c r="F305" s="132"/>
      <c r="G305" s="132"/>
      <c r="H305" s="132"/>
    </row>
    <row r="306" spans="1:8" x14ac:dyDescent="0.25">
      <c r="A306" s="132"/>
      <c r="B306" s="132"/>
      <c r="C306" s="132"/>
      <c r="D306" s="132"/>
      <c r="E306" s="132"/>
      <c r="F306" s="132"/>
      <c r="G306" s="132"/>
      <c r="H306" s="132"/>
    </row>
    <row r="307" spans="1:8" x14ac:dyDescent="0.25">
      <c r="A307" s="133" t="s">
        <v>615</v>
      </c>
      <c r="B307" s="132"/>
      <c r="C307" s="132"/>
      <c r="D307" s="132"/>
      <c r="E307" s="132"/>
      <c r="F307" s="132"/>
      <c r="G307" s="132"/>
      <c r="H307" s="132"/>
    </row>
    <row r="308" spans="1:8" x14ac:dyDescent="0.25">
      <c r="A308" s="133" t="s">
        <v>616</v>
      </c>
      <c r="B308" s="132"/>
      <c r="C308" s="132"/>
      <c r="D308" s="132"/>
      <c r="E308" s="132"/>
      <c r="F308" s="132"/>
      <c r="G308" s="132"/>
      <c r="H308" s="132"/>
    </row>
    <row r="309" spans="1:8" x14ac:dyDescent="0.25">
      <c r="A309" s="133" t="s">
        <v>617</v>
      </c>
      <c r="B309" s="132"/>
      <c r="C309" s="132"/>
      <c r="D309" s="132"/>
      <c r="E309" s="132"/>
      <c r="F309" s="132"/>
      <c r="G309" s="132"/>
      <c r="H309" s="132"/>
    </row>
    <row r="310" spans="1:8" x14ac:dyDescent="0.25">
      <c r="A310" s="132"/>
      <c r="B310" s="132"/>
      <c r="C310" s="132"/>
      <c r="D310" s="132"/>
      <c r="E310" s="132"/>
      <c r="F310" s="132"/>
      <c r="G310" s="132"/>
      <c r="H310" s="132"/>
    </row>
    <row r="311" spans="1:8" x14ac:dyDescent="0.25">
      <c r="A311" s="133" t="s">
        <v>618</v>
      </c>
      <c r="B311" s="132"/>
      <c r="C311" s="132"/>
      <c r="D311" s="132"/>
      <c r="E311" s="132"/>
      <c r="F311" s="132"/>
      <c r="G311" s="132"/>
      <c r="H311" s="132"/>
    </row>
    <row r="312" spans="1:8" x14ac:dyDescent="0.25">
      <c r="A312" s="133" t="s">
        <v>619</v>
      </c>
      <c r="B312" s="132"/>
      <c r="C312" s="132"/>
      <c r="D312" s="132"/>
      <c r="E312" s="132"/>
      <c r="F312" s="132"/>
      <c r="G312" s="132"/>
      <c r="H312" s="132"/>
    </row>
    <row r="313" spans="1:8" x14ac:dyDescent="0.25">
      <c r="A313" s="132"/>
      <c r="B313" s="132"/>
      <c r="C313" s="132"/>
      <c r="D313" s="132"/>
      <c r="E313" s="132"/>
      <c r="F313" s="132"/>
      <c r="G313" s="132"/>
      <c r="H313" s="132"/>
    </row>
    <row r="314" spans="1:8" x14ac:dyDescent="0.25">
      <c r="A314" s="133" t="s">
        <v>620</v>
      </c>
      <c r="B314" s="132"/>
      <c r="C314" s="132"/>
      <c r="D314" s="132"/>
      <c r="E314" s="132"/>
      <c r="F314" s="132"/>
      <c r="G314" s="132"/>
      <c r="H314" s="132"/>
    </row>
    <row r="315" spans="1:8" x14ac:dyDescent="0.25">
      <c r="A315" s="133" t="s">
        <v>621</v>
      </c>
      <c r="B315" s="132"/>
      <c r="C315" s="132"/>
      <c r="D315" s="132"/>
      <c r="E315" s="132"/>
      <c r="F315" s="132"/>
      <c r="G315" s="132"/>
      <c r="H315" s="132"/>
    </row>
    <row r="316" spans="1:8" x14ac:dyDescent="0.25">
      <c r="A316" s="133" t="s">
        <v>622</v>
      </c>
      <c r="B316" s="132"/>
      <c r="C316" s="132"/>
      <c r="D316" s="132"/>
      <c r="E316" s="132"/>
      <c r="F316" s="132"/>
      <c r="G316" s="132"/>
      <c r="H316" s="132"/>
    </row>
    <row r="317" spans="1:8" x14ac:dyDescent="0.25">
      <c r="A317" s="133" t="s">
        <v>623</v>
      </c>
      <c r="B317" s="132"/>
      <c r="C317" s="132"/>
      <c r="D317" s="132"/>
      <c r="E317" s="132"/>
      <c r="F317" s="132"/>
      <c r="G317" s="132"/>
      <c r="H317" s="132"/>
    </row>
    <row r="318" spans="1:8" x14ac:dyDescent="0.25">
      <c r="A318" s="133" t="s">
        <v>624</v>
      </c>
      <c r="B318" s="132"/>
      <c r="C318" s="132"/>
      <c r="D318" s="132"/>
      <c r="E318" s="132"/>
      <c r="F318" s="132"/>
      <c r="G318" s="132"/>
      <c r="H318" s="132"/>
    </row>
    <row r="319" spans="1:8" x14ac:dyDescent="0.25">
      <c r="A319" s="133" t="s">
        <v>625</v>
      </c>
      <c r="B319" s="132"/>
      <c r="C319" s="132"/>
      <c r="D319" s="132"/>
      <c r="E319" s="132"/>
      <c r="F319" s="132"/>
      <c r="G319" s="132"/>
      <c r="H319" s="132"/>
    </row>
    <row r="320" spans="1:8" x14ac:dyDescent="0.25">
      <c r="A320" s="133" t="s">
        <v>626</v>
      </c>
      <c r="B320" s="132"/>
      <c r="C320" s="132"/>
      <c r="D320" s="132"/>
      <c r="E320" s="132"/>
      <c r="F320" s="132"/>
      <c r="G320" s="132"/>
      <c r="H320" s="132"/>
    </row>
    <row r="321" spans="1:8" x14ac:dyDescent="0.25">
      <c r="A321" s="133" t="s">
        <v>627</v>
      </c>
      <c r="B321" s="132"/>
      <c r="C321" s="132"/>
      <c r="D321" s="132"/>
      <c r="E321" s="132"/>
      <c r="F321" s="132"/>
      <c r="G321" s="132"/>
      <c r="H321" s="132"/>
    </row>
    <row r="322" spans="1:8" x14ac:dyDescent="0.25">
      <c r="A322" s="133" t="s">
        <v>628</v>
      </c>
      <c r="B322" s="132"/>
      <c r="C322" s="132"/>
      <c r="D322" s="132"/>
      <c r="E322" s="132"/>
      <c r="F322" s="132"/>
      <c r="G322" s="132"/>
      <c r="H322" s="132"/>
    </row>
    <row r="323" spans="1:8" x14ac:dyDescent="0.25">
      <c r="A323" s="133" t="s">
        <v>629</v>
      </c>
      <c r="B323" s="132"/>
      <c r="C323" s="132"/>
      <c r="D323" s="132"/>
      <c r="E323" s="132"/>
      <c r="F323" s="132"/>
      <c r="G323" s="132"/>
      <c r="H323" s="132"/>
    </row>
    <row r="324" spans="1:8" x14ac:dyDescent="0.25">
      <c r="A324" s="133" t="s">
        <v>630</v>
      </c>
      <c r="B324" s="132"/>
      <c r="C324" s="132"/>
      <c r="D324" s="132"/>
      <c r="E324" s="132"/>
      <c r="F324" s="132"/>
      <c r="G324" s="132"/>
      <c r="H324" s="132"/>
    </row>
    <row r="325" spans="1:8" x14ac:dyDescent="0.25">
      <c r="A325" s="133" t="s">
        <v>631</v>
      </c>
      <c r="B325" s="132"/>
      <c r="C325" s="132"/>
      <c r="D325" s="132"/>
      <c r="E325" s="132"/>
      <c r="F325" s="132"/>
      <c r="G325" s="132"/>
      <c r="H325" s="132"/>
    </row>
    <row r="326" spans="1:8" x14ac:dyDescent="0.25">
      <c r="A326" s="133" t="s">
        <v>632</v>
      </c>
      <c r="B326" s="132"/>
      <c r="C326" s="132"/>
      <c r="D326" s="132"/>
      <c r="E326" s="132"/>
      <c r="F326" s="132"/>
      <c r="G326" s="132"/>
      <c r="H326" s="132"/>
    </row>
    <row r="327" spans="1:8" x14ac:dyDescent="0.25">
      <c r="A327" s="132"/>
      <c r="B327" s="132"/>
      <c r="C327" s="132"/>
      <c r="D327" s="132"/>
      <c r="E327" s="132"/>
      <c r="F327" s="132"/>
      <c r="G327" s="132"/>
      <c r="H327" s="132"/>
    </row>
    <row r="328" spans="1:8" x14ac:dyDescent="0.25">
      <c r="A328" s="133" t="s">
        <v>633</v>
      </c>
      <c r="B328" s="132"/>
      <c r="C328" s="132"/>
      <c r="D328" s="132"/>
      <c r="E328" s="132"/>
      <c r="F328" s="132"/>
      <c r="G328" s="132"/>
      <c r="H328" s="132"/>
    </row>
    <row r="329" spans="1:8" x14ac:dyDescent="0.25">
      <c r="A329" s="133" t="s">
        <v>634</v>
      </c>
      <c r="B329" s="132"/>
      <c r="C329" s="132"/>
      <c r="D329" s="132"/>
      <c r="E329" s="132"/>
      <c r="F329" s="132"/>
      <c r="G329" s="132"/>
      <c r="H329" s="132"/>
    </row>
    <row r="330" spans="1:8" x14ac:dyDescent="0.25">
      <c r="A330" s="132"/>
      <c r="B330" s="132"/>
      <c r="C330" s="132"/>
      <c r="D330" s="132"/>
      <c r="E330" s="132"/>
      <c r="F330" s="132"/>
      <c r="G330" s="132"/>
      <c r="H330" s="132"/>
    </row>
    <row r="331" spans="1:8" x14ac:dyDescent="0.25">
      <c r="A331" s="133" t="s">
        <v>635</v>
      </c>
      <c r="B331" s="132"/>
      <c r="C331" s="132"/>
      <c r="D331" s="132"/>
      <c r="E331" s="132"/>
      <c r="F331" s="132"/>
      <c r="G331" s="132"/>
      <c r="H331" s="132"/>
    </row>
    <row r="332" spans="1:8" x14ac:dyDescent="0.25">
      <c r="A332" s="133" t="s">
        <v>636</v>
      </c>
      <c r="B332" s="132"/>
      <c r="C332" s="132"/>
      <c r="D332" s="132"/>
      <c r="E332" s="132"/>
      <c r="F332" s="132"/>
      <c r="G332" s="132"/>
      <c r="H332" s="132"/>
    </row>
    <row r="333" spans="1:8" x14ac:dyDescent="0.25">
      <c r="A333" s="133" t="s">
        <v>637</v>
      </c>
      <c r="B333" s="132"/>
      <c r="C333" s="132"/>
      <c r="D333" s="132"/>
      <c r="E333" s="132"/>
      <c r="F333" s="132"/>
      <c r="G333" s="132"/>
      <c r="H333" s="132"/>
    </row>
    <row r="334" spans="1:8" x14ac:dyDescent="0.25">
      <c r="A334" s="133" t="s">
        <v>638</v>
      </c>
      <c r="B334" s="132"/>
      <c r="C334" s="132"/>
      <c r="D334" s="132"/>
      <c r="E334" s="132"/>
      <c r="F334" s="132"/>
      <c r="G334" s="132"/>
      <c r="H334" s="132"/>
    </row>
    <row r="335" spans="1:8" x14ac:dyDescent="0.25">
      <c r="A335" s="133" t="s">
        <v>639</v>
      </c>
      <c r="B335" s="132"/>
      <c r="C335" s="132"/>
      <c r="D335" s="132"/>
      <c r="E335" s="132"/>
      <c r="F335" s="132"/>
      <c r="G335" s="132"/>
      <c r="H335" s="132"/>
    </row>
    <row r="336" spans="1:8" x14ac:dyDescent="0.25">
      <c r="A336" s="133" t="s">
        <v>640</v>
      </c>
      <c r="B336" s="132"/>
      <c r="C336" s="132"/>
      <c r="D336" s="132"/>
      <c r="E336" s="132"/>
      <c r="F336" s="132"/>
      <c r="G336" s="132"/>
      <c r="H336" s="132"/>
    </row>
    <row r="337" spans="1:8" x14ac:dyDescent="0.25">
      <c r="A337" s="133" t="s">
        <v>641</v>
      </c>
      <c r="B337" s="132"/>
      <c r="C337" s="132"/>
      <c r="D337" s="132"/>
      <c r="E337" s="132"/>
      <c r="F337" s="132"/>
      <c r="G337" s="132"/>
      <c r="H337" s="132"/>
    </row>
    <row r="338" spans="1:8" x14ac:dyDescent="0.25">
      <c r="A338" s="133" t="s">
        <v>642</v>
      </c>
      <c r="B338" s="132"/>
      <c r="C338" s="132"/>
      <c r="D338" s="132"/>
      <c r="E338" s="132"/>
      <c r="F338" s="132"/>
      <c r="G338" s="132"/>
      <c r="H338" s="132"/>
    </row>
    <row r="339" spans="1:8" x14ac:dyDescent="0.25">
      <c r="A339" s="132"/>
      <c r="B339" s="132"/>
      <c r="C339" s="132"/>
      <c r="D339" s="132"/>
      <c r="E339" s="132"/>
      <c r="F339" s="132"/>
      <c r="G339" s="132"/>
      <c r="H339" s="132"/>
    </row>
    <row r="340" spans="1:8" x14ac:dyDescent="0.25">
      <c r="A340" s="133" t="s">
        <v>643</v>
      </c>
      <c r="B340" s="132"/>
      <c r="C340" s="132"/>
      <c r="D340" s="132"/>
      <c r="E340" s="132"/>
      <c r="F340" s="132"/>
      <c r="G340" s="132"/>
      <c r="H340" s="132"/>
    </row>
    <row r="341" spans="1:8" x14ac:dyDescent="0.25">
      <c r="A341" s="133" t="s">
        <v>644</v>
      </c>
      <c r="B341" s="132"/>
      <c r="C341" s="132"/>
      <c r="D341" s="132"/>
      <c r="E341" s="132"/>
      <c r="F341" s="132"/>
      <c r="G341" s="132"/>
      <c r="H341" s="132"/>
    </row>
    <row r="342" spans="1:8" x14ac:dyDescent="0.25">
      <c r="A342" s="133" t="s">
        <v>645</v>
      </c>
      <c r="B342" s="132"/>
      <c r="C342" s="132"/>
      <c r="D342" s="132"/>
      <c r="E342" s="132"/>
      <c r="F342" s="132"/>
      <c r="G342" s="132"/>
      <c r="H342" s="132"/>
    </row>
    <row r="343" spans="1:8" x14ac:dyDescent="0.25">
      <c r="A343" s="133" t="s">
        <v>646</v>
      </c>
      <c r="B343" s="132"/>
      <c r="C343" s="132"/>
      <c r="D343" s="132"/>
      <c r="E343" s="132"/>
      <c r="F343" s="132"/>
      <c r="G343" s="132"/>
      <c r="H343" s="132"/>
    </row>
    <row r="344" spans="1:8" x14ac:dyDescent="0.25">
      <c r="A344" s="133" t="s">
        <v>647</v>
      </c>
      <c r="B344" s="132"/>
      <c r="C344" s="132"/>
      <c r="D344" s="132"/>
      <c r="E344" s="132"/>
      <c r="F344" s="132"/>
      <c r="G344" s="132"/>
      <c r="H344" s="132"/>
    </row>
    <row r="345" spans="1:8" x14ac:dyDescent="0.25">
      <c r="A345" s="133" t="s">
        <v>648</v>
      </c>
      <c r="B345" s="132"/>
      <c r="C345" s="132"/>
      <c r="D345" s="132"/>
      <c r="E345" s="132"/>
      <c r="F345" s="132"/>
      <c r="G345" s="132"/>
      <c r="H345" s="132"/>
    </row>
    <row r="346" spans="1:8" x14ac:dyDescent="0.25">
      <c r="A346" s="133" t="s">
        <v>649</v>
      </c>
      <c r="B346" s="132"/>
      <c r="C346" s="132"/>
      <c r="D346" s="132"/>
      <c r="E346" s="132"/>
      <c r="F346" s="132"/>
      <c r="G346" s="132"/>
      <c r="H346" s="132"/>
    </row>
    <row r="347" spans="1:8" x14ac:dyDescent="0.25">
      <c r="A347" s="133" t="s">
        <v>650</v>
      </c>
      <c r="B347" s="132"/>
      <c r="C347" s="132"/>
      <c r="D347" s="132"/>
      <c r="E347" s="132"/>
      <c r="F347" s="132"/>
      <c r="G347" s="132"/>
      <c r="H347" s="132"/>
    </row>
    <row r="348" spans="1:8" x14ac:dyDescent="0.25">
      <c r="A348" s="133" t="s">
        <v>651</v>
      </c>
      <c r="B348" s="132"/>
      <c r="C348" s="132"/>
      <c r="D348" s="132"/>
      <c r="E348" s="132"/>
      <c r="F348" s="132"/>
      <c r="G348" s="132"/>
      <c r="H348" s="132"/>
    </row>
    <row r="349" spans="1:8" x14ac:dyDescent="0.25">
      <c r="A349" s="133" t="s">
        <v>652</v>
      </c>
      <c r="B349" s="132"/>
      <c r="C349" s="132"/>
      <c r="D349" s="132"/>
      <c r="E349" s="132"/>
      <c r="F349" s="132"/>
      <c r="G349" s="132"/>
      <c r="H349" s="132"/>
    </row>
    <row r="350" spans="1:8" x14ac:dyDescent="0.25">
      <c r="A350" s="133" t="s">
        <v>653</v>
      </c>
      <c r="B350" s="132"/>
      <c r="C350" s="132"/>
      <c r="D350" s="132"/>
      <c r="E350" s="132"/>
      <c r="F350" s="132"/>
      <c r="G350" s="132"/>
      <c r="H350" s="132"/>
    </row>
    <row r="351" spans="1:8" x14ac:dyDescent="0.25">
      <c r="A351" s="133" t="s">
        <v>654</v>
      </c>
      <c r="B351" s="132"/>
      <c r="C351" s="132"/>
      <c r="D351" s="132"/>
      <c r="E351" s="132"/>
      <c r="F351" s="132"/>
      <c r="G351" s="132"/>
      <c r="H351" s="132"/>
    </row>
    <row r="352" spans="1:8" x14ac:dyDescent="0.25">
      <c r="A352" s="133" t="s">
        <v>655</v>
      </c>
      <c r="B352" s="132"/>
      <c r="C352" s="132"/>
      <c r="D352" s="132"/>
      <c r="E352" s="132"/>
      <c r="F352" s="132"/>
      <c r="G352" s="132"/>
      <c r="H352" s="132"/>
    </row>
    <row r="353" spans="1:8" x14ac:dyDescent="0.25">
      <c r="A353" s="133" t="s">
        <v>656</v>
      </c>
      <c r="B353" s="132"/>
      <c r="C353" s="132"/>
      <c r="D353" s="132"/>
      <c r="E353" s="132"/>
      <c r="F353" s="132"/>
      <c r="G353" s="132"/>
      <c r="H353" s="132"/>
    </row>
    <row r="354" spans="1:8" x14ac:dyDescent="0.25">
      <c r="A354" s="133" t="s">
        <v>657</v>
      </c>
      <c r="B354" s="132"/>
      <c r="C354" s="132"/>
      <c r="D354" s="132"/>
      <c r="E354" s="132"/>
      <c r="F354" s="132"/>
      <c r="G354" s="132"/>
      <c r="H354" s="132"/>
    </row>
    <row r="355" spans="1:8" x14ac:dyDescent="0.25">
      <c r="A355" s="133" t="s">
        <v>658</v>
      </c>
      <c r="B355" s="132"/>
      <c r="C355" s="132"/>
      <c r="D355" s="132"/>
      <c r="E355" s="132"/>
      <c r="F355" s="132"/>
      <c r="G355" s="132"/>
      <c r="H355" s="132"/>
    </row>
    <row r="356" spans="1:8" x14ac:dyDescent="0.25">
      <c r="A356" s="133" t="s">
        <v>659</v>
      </c>
      <c r="B356" s="132"/>
      <c r="C356" s="132"/>
      <c r="D356" s="132"/>
      <c r="E356" s="132"/>
      <c r="F356" s="132"/>
      <c r="G356" s="132"/>
      <c r="H356" s="132"/>
    </row>
    <row r="357" spans="1:8" x14ac:dyDescent="0.25">
      <c r="A357" s="133" t="s">
        <v>660</v>
      </c>
      <c r="B357" s="132"/>
      <c r="C357" s="132"/>
      <c r="D357" s="132"/>
      <c r="E357" s="132"/>
      <c r="F357" s="132"/>
      <c r="G357" s="132"/>
      <c r="H357" s="132"/>
    </row>
    <row r="358" spans="1:8" x14ac:dyDescent="0.25">
      <c r="A358" s="133" t="s">
        <v>661</v>
      </c>
      <c r="B358" s="132"/>
      <c r="C358" s="132"/>
      <c r="D358" s="132"/>
      <c r="E358" s="132"/>
      <c r="F358" s="132"/>
      <c r="G358" s="132"/>
      <c r="H358" s="132"/>
    </row>
    <row r="359" spans="1:8" x14ac:dyDescent="0.25">
      <c r="A359" s="133" t="s">
        <v>662</v>
      </c>
      <c r="B359" s="132"/>
      <c r="C359" s="132"/>
      <c r="D359" s="132"/>
      <c r="E359" s="132"/>
      <c r="F359" s="132"/>
      <c r="G359" s="132"/>
      <c r="H359" s="132"/>
    </row>
    <row r="360" spans="1:8" x14ac:dyDescent="0.25">
      <c r="A360" s="133" t="s">
        <v>663</v>
      </c>
      <c r="B360" s="132"/>
      <c r="C360" s="132"/>
      <c r="D360" s="132"/>
      <c r="E360" s="132"/>
      <c r="F360" s="132"/>
      <c r="G360" s="132"/>
      <c r="H360" s="132"/>
    </row>
    <row r="361" spans="1:8" x14ac:dyDescent="0.25">
      <c r="A361" s="133" t="s">
        <v>664</v>
      </c>
      <c r="B361" s="132"/>
      <c r="C361" s="132"/>
      <c r="D361" s="132"/>
      <c r="E361" s="132"/>
      <c r="F361" s="132"/>
      <c r="G361" s="132"/>
      <c r="H361" s="132"/>
    </row>
    <row r="362" spans="1:8" x14ac:dyDescent="0.25">
      <c r="A362" s="133" t="s">
        <v>665</v>
      </c>
      <c r="B362" s="132"/>
      <c r="C362" s="132"/>
      <c r="D362" s="132"/>
      <c r="E362" s="132"/>
      <c r="F362" s="132"/>
      <c r="G362" s="132"/>
      <c r="H362" s="132"/>
    </row>
    <row r="363" spans="1:8" x14ac:dyDescent="0.25">
      <c r="A363" s="133" t="s">
        <v>666</v>
      </c>
      <c r="B363" s="132"/>
      <c r="C363" s="132"/>
      <c r="D363" s="132"/>
      <c r="E363" s="132"/>
      <c r="F363" s="132"/>
      <c r="G363" s="132"/>
      <c r="H363" s="132"/>
    </row>
    <row r="364" spans="1:8" x14ac:dyDescent="0.25">
      <c r="A364" s="133" t="s">
        <v>667</v>
      </c>
      <c r="B364" s="132"/>
      <c r="C364" s="132"/>
      <c r="D364" s="132"/>
      <c r="E364" s="132"/>
      <c r="F364" s="132"/>
      <c r="G364" s="132"/>
      <c r="H364" s="132"/>
    </row>
    <row r="365" spans="1:8" x14ac:dyDescent="0.25">
      <c r="A365" s="133" t="s">
        <v>668</v>
      </c>
      <c r="B365" s="132"/>
      <c r="C365" s="132"/>
      <c r="D365" s="132"/>
      <c r="E365" s="132"/>
      <c r="F365" s="132"/>
      <c r="G365" s="132"/>
      <c r="H365" s="132"/>
    </row>
    <row r="366" spans="1:8" x14ac:dyDescent="0.25">
      <c r="A366" s="133" t="s">
        <v>669</v>
      </c>
      <c r="B366" s="132"/>
      <c r="C366" s="132"/>
      <c r="D366" s="132"/>
      <c r="E366" s="132"/>
      <c r="F366" s="132"/>
      <c r="G366" s="132"/>
      <c r="H366" s="132"/>
    </row>
    <row r="367" spans="1:8" x14ac:dyDescent="0.25">
      <c r="A367" s="133" t="s">
        <v>670</v>
      </c>
      <c r="B367" s="132"/>
      <c r="C367" s="132"/>
      <c r="D367" s="132"/>
      <c r="E367" s="132"/>
      <c r="F367" s="132"/>
      <c r="G367" s="132"/>
      <c r="H367" s="132"/>
    </row>
    <row r="368" spans="1:8" x14ac:dyDescent="0.25">
      <c r="A368" s="133" t="s">
        <v>671</v>
      </c>
      <c r="B368" s="132"/>
      <c r="C368" s="132"/>
      <c r="D368" s="132"/>
      <c r="E368" s="132"/>
      <c r="F368" s="132"/>
      <c r="G368" s="132"/>
      <c r="H368" s="132"/>
    </row>
    <row r="369" spans="1:8" x14ac:dyDescent="0.25">
      <c r="A369" s="133" t="s">
        <v>672</v>
      </c>
      <c r="B369" s="132"/>
      <c r="C369" s="132"/>
      <c r="D369" s="132"/>
      <c r="E369" s="132"/>
      <c r="F369" s="132"/>
      <c r="G369" s="132"/>
      <c r="H369" s="132"/>
    </row>
    <row r="370" spans="1:8" x14ac:dyDescent="0.25">
      <c r="A370" s="133" t="s">
        <v>673</v>
      </c>
      <c r="B370" s="132"/>
      <c r="C370" s="132"/>
      <c r="D370" s="132"/>
      <c r="E370" s="132"/>
      <c r="F370" s="132"/>
      <c r="G370" s="132"/>
      <c r="H370" s="132"/>
    </row>
    <row r="371" spans="1:8" x14ac:dyDescent="0.25">
      <c r="A371" s="133" t="s">
        <v>674</v>
      </c>
      <c r="B371" s="132"/>
      <c r="C371" s="132"/>
      <c r="D371" s="132"/>
      <c r="E371" s="132"/>
      <c r="F371" s="132"/>
      <c r="G371" s="132"/>
      <c r="H371" s="132"/>
    </row>
    <row r="372" spans="1:8" x14ac:dyDescent="0.25">
      <c r="A372" s="133" t="s">
        <v>675</v>
      </c>
      <c r="B372" s="132"/>
      <c r="C372" s="132"/>
      <c r="D372" s="132"/>
      <c r="E372" s="132"/>
      <c r="F372" s="132"/>
      <c r="G372" s="132"/>
      <c r="H372" s="132"/>
    </row>
    <row r="373" spans="1:8" x14ac:dyDescent="0.25">
      <c r="A373" s="133" t="s">
        <v>676</v>
      </c>
      <c r="B373" s="132"/>
      <c r="C373" s="132"/>
      <c r="D373" s="132"/>
      <c r="E373" s="132"/>
      <c r="F373" s="132"/>
      <c r="G373" s="132"/>
      <c r="H373" s="132"/>
    </row>
    <row r="374" spans="1:8" x14ac:dyDescent="0.25">
      <c r="A374" s="133" t="s">
        <v>677</v>
      </c>
      <c r="B374" s="132"/>
      <c r="C374" s="132"/>
      <c r="D374" s="132"/>
      <c r="E374" s="132"/>
      <c r="F374" s="132"/>
      <c r="G374" s="132"/>
      <c r="H374" s="132"/>
    </row>
    <row r="375" spans="1:8" x14ac:dyDescent="0.25">
      <c r="A375" s="133" t="s">
        <v>678</v>
      </c>
      <c r="B375" s="132"/>
      <c r="C375" s="132"/>
      <c r="D375" s="132"/>
      <c r="E375" s="132"/>
      <c r="F375" s="132"/>
      <c r="G375" s="132"/>
      <c r="H375" s="132"/>
    </row>
    <row r="376" spans="1:8" x14ac:dyDescent="0.25">
      <c r="A376" s="133" t="s">
        <v>679</v>
      </c>
      <c r="B376" s="132"/>
      <c r="C376" s="132"/>
      <c r="D376" s="132"/>
      <c r="E376" s="132"/>
      <c r="F376" s="132"/>
      <c r="G376" s="132"/>
      <c r="H376" s="132"/>
    </row>
    <row r="377" spans="1:8" x14ac:dyDescent="0.25">
      <c r="A377" s="133" t="s">
        <v>680</v>
      </c>
      <c r="B377" s="132"/>
      <c r="C377" s="132"/>
      <c r="D377" s="132"/>
      <c r="E377" s="132"/>
      <c r="F377" s="132"/>
      <c r="G377" s="132"/>
      <c r="H377" s="132"/>
    </row>
    <row r="378" spans="1:8" x14ac:dyDescent="0.25">
      <c r="A378" s="133" t="s">
        <v>681</v>
      </c>
      <c r="B378" s="132"/>
      <c r="C378" s="132"/>
      <c r="D378" s="132"/>
      <c r="E378" s="132"/>
      <c r="F378" s="132"/>
      <c r="G378" s="132"/>
      <c r="H378" s="132"/>
    </row>
    <row r="379" spans="1:8" x14ac:dyDescent="0.25">
      <c r="A379" s="133" t="s">
        <v>682</v>
      </c>
      <c r="B379" s="132"/>
      <c r="C379" s="132"/>
      <c r="D379" s="132"/>
      <c r="E379" s="132"/>
      <c r="F379" s="132"/>
      <c r="G379" s="132"/>
      <c r="H379" s="132"/>
    </row>
    <row r="380" spans="1:8" x14ac:dyDescent="0.25">
      <c r="A380" s="133" t="s">
        <v>683</v>
      </c>
      <c r="B380" s="132"/>
      <c r="C380" s="132"/>
      <c r="D380" s="132"/>
      <c r="E380" s="132"/>
      <c r="F380" s="132"/>
      <c r="G380" s="132"/>
      <c r="H380" s="132"/>
    </row>
    <row r="381" spans="1:8" x14ac:dyDescent="0.25">
      <c r="A381" s="133" t="s">
        <v>684</v>
      </c>
      <c r="B381" s="132"/>
      <c r="C381" s="132"/>
      <c r="D381" s="132"/>
      <c r="E381" s="132"/>
      <c r="F381" s="132"/>
      <c r="G381" s="132"/>
      <c r="H381" s="132"/>
    </row>
    <row r="382" spans="1:8" x14ac:dyDescent="0.25">
      <c r="A382" s="133" t="s">
        <v>685</v>
      </c>
      <c r="B382" s="132"/>
      <c r="C382" s="132"/>
      <c r="D382" s="132"/>
      <c r="E382" s="132"/>
      <c r="F382" s="132"/>
      <c r="G382" s="132"/>
      <c r="H382" s="132"/>
    </row>
    <row r="383" spans="1:8" x14ac:dyDescent="0.25">
      <c r="A383" s="133" t="s">
        <v>686</v>
      </c>
      <c r="B383" s="132"/>
      <c r="C383" s="132"/>
      <c r="D383" s="132"/>
      <c r="E383" s="132"/>
      <c r="F383" s="132"/>
      <c r="G383" s="132"/>
      <c r="H383" s="132"/>
    </row>
    <row r="384" spans="1:8" x14ac:dyDescent="0.25">
      <c r="A384" s="133" t="s">
        <v>687</v>
      </c>
      <c r="B384" s="132"/>
      <c r="C384" s="132"/>
      <c r="D384" s="132"/>
      <c r="E384" s="132"/>
      <c r="F384" s="132"/>
      <c r="G384" s="132"/>
      <c r="H384" s="132"/>
    </row>
    <row r="385" spans="1:8" x14ac:dyDescent="0.25">
      <c r="A385" s="133" t="s">
        <v>688</v>
      </c>
      <c r="B385" s="132"/>
      <c r="C385" s="132"/>
      <c r="D385" s="132"/>
      <c r="E385" s="132"/>
      <c r="F385" s="132"/>
      <c r="G385" s="132"/>
      <c r="H385" s="132"/>
    </row>
    <row r="386" spans="1:8" x14ac:dyDescent="0.25">
      <c r="A386" s="132"/>
      <c r="B386" s="132"/>
      <c r="C386" s="132"/>
      <c r="D386" s="132"/>
      <c r="E386" s="132"/>
      <c r="F386" s="132"/>
      <c r="G386" s="132"/>
      <c r="H386" s="132"/>
    </row>
    <row r="387" spans="1:8" x14ac:dyDescent="0.25">
      <c r="A387" s="133" t="s">
        <v>689</v>
      </c>
      <c r="B387" s="132"/>
      <c r="C387" s="132"/>
      <c r="D387" s="132"/>
      <c r="E387" s="132"/>
      <c r="F387" s="132"/>
      <c r="G387" s="132"/>
      <c r="H387" s="132"/>
    </row>
    <row r="388" spans="1:8" x14ac:dyDescent="0.25">
      <c r="A388" s="133" t="s">
        <v>690</v>
      </c>
      <c r="B388" s="132"/>
      <c r="C388" s="132"/>
      <c r="D388" s="132"/>
      <c r="E388" s="132"/>
      <c r="F388" s="132"/>
      <c r="G388" s="132"/>
      <c r="H388" s="132"/>
    </row>
    <row r="389" spans="1:8" x14ac:dyDescent="0.25">
      <c r="A389" s="133" t="s">
        <v>691</v>
      </c>
      <c r="B389" s="132"/>
      <c r="C389" s="132"/>
      <c r="D389" s="132"/>
      <c r="E389" s="132"/>
      <c r="F389" s="132"/>
      <c r="G389" s="132"/>
      <c r="H389" s="132"/>
    </row>
    <row r="390" spans="1:8" x14ac:dyDescent="0.25">
      <c r="A390" s="133" t="s">
        <v>692</v>
      </c>
      <c r="B390" s="132"/>
      <c r="C390" s="132"/>
      <c r="D390" s="132"/>
      <c r="E390" s="132"/>
      <c r="F390" s="132"/>
      <c r="G390" s="132"/>
      <c r="H390" s="132"/>
    </row>
    <row r="391" spans="1:8" x14ac:dyDescent="0.25">
      <c r="A391" s="133" t="s">
        <v>693</v>
      </c>
      <c r="B391" s="132"/>
      <c r="C391" s="132"/>
      <c r="D391" s="132"/>
      <c r="E391" s="132"/>
      <c r="F391" s="132"/>
      <c r="G391" s="132"/>
      <c r="H391" s="132"/>
    </row>
    <row r="392" spans="1:8" x14ac:dyDescent="0.25">
      <c r="A392" s="133" t="s">
        <v>694</v>
      </c>
      <c r="B392" s="132"/>
      <c r="C392" s="132"/>
      <c r="D392" s="132"/>
      <c r="E392" s="132"/>
      <c r="F392" s="132"/>
      <c r="G392" s="132"/>
      <c r="H392" s="132"/>
    </row>
    <row r="393" spans="1:8" x14ac:dyDescent="0.25">
      <c r="A393" s="133" t="s">
        <v>695</v>
      </c>
      <c r="B393" s="132"/>
      <c r="C393" s="132"/>
      <c r="D393" s="132"/>
      <c r="E393" s="132"/>
      <c r="F393" s="132"/>
      <c r="G393" s="132"/>
      <c r="H393" s="132"/>
    </row>
    <row r="394" spans="1:8" x14ac:dyDescent="0.25">
      <c r="A394" s="133" t="s">
        <v>696</v>
      </c>
      <c r="B394" s="132"/>
      <c r="C394" s="132"/>
      <c r="D394" s="132"/>
      <c r="E394" s="132"/>
      <c r="F394" s="132"/>
      <c r="G394" s="132"/>
      <c r="H394" s="132"/>
    </row>
    <row r="395" spans="1:8" x14ac:dyDescent="0.25">
      <c r="A395" s="132"/>
      <c r="B395" s="132"/>
      <c r="C395" s="132"/>
      <c r="D395" s="132"/>
      <c r="E395" s="132"/>
      <c r="F395" s="132"/>
      <c r="G395" s="132"/>
      <c r="H395" s="132"/>
    </row>
    <row r="396" spans="1:8" x14ac:dyDescent="0.25">
      <c r="A396" s="133" t="s">
        <v>689</v>
      </c>
      <c r="B396" s="132"/>
      <c r="C396" s="132"/>
      <c r="D396" s="132"/>
      <c r="E396" s="132"/>
      <c r="F396" s="132"/>
      <c r="G396" s="132"/>
      <c r="H396" s="132"/>
    </row>
    <row r="397" spans="1:8" x14ac:dyDescent="0.25">
      <c r="A397" s="133" t="s">
        <v>697</v>
      </c>
      <c r="B397" s="132"/>
      <c r="C397" s="132"/>
      <c r="D397" s="132"/>
      <c r="E397" s="132"/>
      <c r="F397" s="132"/>
      <c r="G397" s="132"/>
      <c r="H397" s="132"/>
    </row>
    <row r="398" spans="1:8" x14ac:dyDescent="0.25">
      <c r="A398" s="133" t="s">
        <v>698</v>
      </c>
      <c r="B398" s="132"/>
      <c r="C398" s="132"/>
      <c r="D398" s="132"/>
      <c r="E398" s="132"/>
      <c r="F398" s="132"/>
      <c r="G398" s="132"/>
      <c r="H398" s="132"/>
    </row>
    <row r="399" spans="1:8" x14ac:dyDescent="0.25">
      <c r="A399" s="133" t="s">
        <v>699</v>
      </c>
      <c r="B399" s="132"/>
      <c r="C399" s="132"/>
      <c r="D399" s="132"/>
      <c r="E399" s="132"/>
      <c r="F399" s="132"/>
      <c r="G399" s="132"/>
      <c r="H399" s="132"/>
    </row>
    <row r="400" spans="1:8" x14ac:dyDescent="0.25">
      <c r="A400" s="132"/>
      <c r="B400" s="132"/>
      <c r="C400" s="132"/>
      <c r="D400" s="132"/>
      <c r="E400" s="132"/>
      <c r="F400" s="132"/>
      <c r="G400" s="132"/>
      <c r="H400" s="132"/>
    </row>
    <row r="401" spans="1:8" x14ac:dyDescent="0.25">
      <c r="A401" s="133" t="s">
        <v>700</v>
      </c>
      <c r="B401" s="132"/>
      <c r="C401" s="132"/>
      <c r="D401" s="132"/>
      <c r="E401" s="132"/>
      <c r="F401" s="132"/>
      <c r="G401" s="132"/>
      <c r="H401" s="132"/>
    </row>
    <row r="402" spans="1:8" x14ac:dyDescent="0.25">
      <c r="A402" s="133" t="s">
        <v>701</v>
      </c>
      <c r="B402" s="132"/>
      <c r="C402" s="132"/>
      <c r="D402" s="132"/>
      <c r="E402" s="132"/>
      <c r="F402" s="132"/>
      <c r="G402" s="132"/>
      <c r="H402" s="132"/>
    </row>
    <row r="403" spans="1:8" x14ac:dyDescent="0.25">
      <c r="A403" s="133" t="s">
        <v>702</v>
      </c>
      <c r="B403" s="132"/>
      <c r="C403" s="132"/>
      <c r="D403" s="132"/>
      <c r="E403" s="132"/>
      <c r="F403" s="132"/>
      <c r="G403" s="132"/>
      <c r="H403" s="132"/>
    </row>
    <row r="404" spans="1:8" x14ac:dyDescent="0.25">
      <c r="A404" s="133" t="s">
        <v>703</v>
      </c>
      <c r="B404" s="132"/>
      <c r="C404" s="132"/>
      <c r="D404" s="132"/>
      <c r="E404" s="132"/>
      <c r="F404" s="132"/>
      <c r="G404" s="132"/>
      <c r="H404" s="132"/>
    </row>
    <row r="405" spans="1:8" x14ac:dyDescent="0.25">
      <c r="A405" s="133" t="s">
        <v>704</v>
      </c>
      <c r="B405" s="132"/>
      <c r="C405" s="132"/>
      <c r="D405" s="132"/>
      <c r="E405" s="132"/>
      <c r="F405" s="132"/>
      <c r="G405" s="132"/>
      <c r="H405" s="132"/>
    </row>
    <row r="406" spans="1:8" x14ac:dyDescent="0.25">
      <c r="A406" s="133" t="s">
        <v>705</v>
      </c>
      <c r="B406" s="132"/>
      <c r="C406" s="132"/>
      <c r="D406" s="132"/>
      <c r="E406" s="132"/>
      <c r="F406" s="132"/>
      <c r="G406" s="132"/>
      <c r="H406" s="132"/>
    </row>
    <row r="407" spans="1:8" x14ac:dyDescent="0.25">
      <c r="A407" s="132"/>
      <c r="B407" s="132"/>
      <c r="C407" s="132"/>
      <c r="D407" s="132"/>
      <c r="E407" s="132"/>
      <c r="F407" s="132"/>
      <c r="G407" s="132"/>
      <c r="H407" s="132"/>
    </row>
    <row r="408" spans="1:8" x14ac:dyDescent="0.25">
      <c r="A408" s="133" t="s">
        <v>706</v>
      </c>
      <c r="B408" s="132"/>
      <c r="C408" s="132"/>
      <c r="D408" s="132"/>
      <c r="E408" s="132"/>
      <c r="F408" s="132"/>
      <c r="G408" s="132"/>
      <c r="H408" s="132"/>
    </row>
    <row r="409" spans="1:8" x14ac:dyDescent="0.25">
      <c r="A409" s="133" t="s">
        <v>707</v>
      </c>
      <c r="B409" s="132"/>
      <c r="C409" s="132"/>
      <c r="D409" s="132"/>
      <c r="E409" s="132"/>
      <c r="F409" s="132"/>
      <c r="G409" s="132"/>
      <c r="H409" s="132"/>
    </row>
    <row r="410" spans="1:8" x14ac:dyDescent="0.25">
      <c r="A410" s="133" t="s">
        <v>708</v>
      </c>
      <c r="B410" s="132"/>
      <c r="C410" s="132"/>
      <c r="D410" s="132"/>
      <c r="E410" s="132"/>
      <c r="F410" s="132"/>
      <c r="G410" s="132"/>
      <c r="H410" s="132"/>
    </row>
    <row r="411" spans="1:8" x14ac:dyDescent="0.25">
      <c r="A411" s="133" t="s">
        <v>709</v>
      </c>
      <c r="B411" s="132"/>
      <c r="C411" s="132"/>
      <c r="D411" s="132"/>
      <c r="E411" s="132"/>
      <c r="F411" s="132"/>
      <c r="G411" s="132"/>
      <c r="H411" s="132"/>
    </row>
    <row r="412" spans="1:8" x14ac:dyDescent="0.25">
      <c r="A412" s="133" t="s">
        <v>710</v>
      </c>
      <c r="B412" s="132"/>
      <c r="C412" s="132"/>
      <c r="D412" s="132"/>
      <c r="E412" s="132"/>
      <c r="F412" s="132"/>
      <c r="G412" s="132"/>
      <c r="H412" s="132"/>
    </row>
    <row r="413" spans="1:8" x14ac:dyDescent="0.25">
      <c r="A413" s="132"/>
      <c r="B413" s="132"/>
      <c r="C413" s="132"/>
      <c r="D413" s="132"/>
      <c r="E413" s="132"/>
      <c r="F413" s="132"/>
      <c r="G413" s="132"/>
      <c r="H413" s="132"/>
    </row>
    <row r="414" spans="1:8" x14ac:dyDescent="0.25">
      <c r="A414" s="133" t="s">
        <v>711</v>
      </c>
      <c r="B414" s="132"/>
      <c r="C414" s="132"/>
      <c r="D414" s="132"/>
      <c r="E414" s="132"/>
      <c r="F414" s="132"/>
      <c r="G414" s="132"/>
      <c r="H414" s="132"/>
    </row>
    <row r="415" spans="1:8" x14ac:dyDescent="0.25">
      <c r="A415" s="133" t="s">
        <v>712</v>
      </c>
      <c r="B415" s="132"/>
      <c r="C415" s="132"/>
      <c r="D415" s="132"/>
      <c r="E415" s="132"/>
      <c r="F415" s="132"/>
      <c r="G415" s="132"/>
      <c r="H415" s="132"/>
    </row>
    <row r="416" spans="1:8" x14ac:dyDescent="0.25">
      <c r="A416" s="132"/>
      <c r="B416" s="132"/>
      <c r="C416" s="132"/>
      <c r="D416" s="132"/>
      <c r="E416" s="132"/>
      <c r="F416" s="132"/>
      <c r="G416" s="132"/>
      <c r="H416" s="132"/>
    </row>
    <row r="417" spans="1:8" x14ac:dyDescent="0.25">
      <c r="A417" s="133" t="s">
        <v>713</v>
      </c>
      <c r="B417" s="132"/>
      <c r="C417" s="132"/>
      <c r="D417" s="132"/>
      <c r="E417" s="132"/>
      <c r="F417" s="132"/>
      <c r="G417" s="132"/>
      <c r="H417" s="132"/>
    </row>
    <row r="418" spans="1:8" x14ac:dyDescent="0.25">
      <c r="A418" s="133" t="s">
        <v>714</v>
      </c>
      <c r="B418" s="132"/>
      <c r="C418" s="132"/>
      <c r="D418" s="132"/>
      <c r="E418" s="132"/>
      <c r="F418" s="132"/>
      <c r="G418" s="132"/>
      <c r="H418" s="132"/>
    </row>
    <row r="419" spans="1:8" x14ac:dyDescent="0.25">
      <c r="A419" s="132"/>
      <c r="B419" s="132"/>
      <c r="C419" s="132"/>
      <c r="D419" s="132"/>
      <c r="E419" s="132"/>
      <c r="F419" s="132"/>
      <c r="G419" s="132"/>
      <c r="H419" s="132"/>
    </row>
    <row r="420" spans="1:8" x14ac:dyDescent="0.25">
      <c r="A420" s="133" t="s">
        <v>715</v>
      </c>
      <c r="B420" s="132"/>
      <c r="C420" s="132"/>
      <c r="D420" s="132"/>
      <c r="E420" s="132"/>
      <c r="F420" s="132"/>
      <c r="G420" s="132"/>
      <c r="H420" s="132"/>
    </row>
    <row r="421" spans="1:8" x14ac:dyDescent="0.25">
      <c r="A421" s="133" t="s">
        <v>716</v>
      </c>
      <c r="B421" s="132"/>
      <c r="C421" s="132"/>
      <c r="D421" s="132"/>
      <c r="E421" s="132"/>
      <c r="F421" s="132"/>
      <c r="G421" s="132"/>
      <c r="H421" s="132"/>
    </row>
    <row r="422" spans="1:8" x14ac:dyDescent="0.25">
      <c r="A422" s="133" t="s">
        <v>717</v>
      </c>
      <c r="B422" s="132"/>
      <c r="C422" s="132"/>
      <c r="D422" s="132"/>
      <c r="E422" s="132"/>
      <c r="F422" s="132"/>
      <c r="G422" s="132"/>
      <c r="H422" s="132"/>
    </row>
    <row r="423" spans="1:8" x14ac:dyDescent="0.25">
      <c r="A423" s="133" t="s">
        <v>718</v>
      </c>
      <c r="B423" s="132"/>
      <c r="C423" s="132"/>
      <c r="D423" s="132"/>
      <c r="E423" s="132"/>
      <c r="F423" s="132"/>
      <c r="G423" s="132"/>
      <c r="H423" s="132"/>
    </row>
    <row r="424" spans="1:8" x14ac:dyDescent="0.25">
      <c r="A424" s="132"/>
      <c r="B424" s="132"/>
      <c r="C424" s="132"/>
      <c r="D424" s="132"/>
      <c r="E424" s="132"/>
      <c r="F424" s="132"/>
      <c r="G424" s="132"/>
      <c r="H424" s="132"/>
    </row>
    <row r="425" spans="1:8" x14ac:dyDescent="0.25">
      <c r="A425" s="133" t="s">
        <v>719</v>
      </c>
      <c r="B425" s="132"/>
      <c r="C425" s="132"/>
      <c r="D425" s="132"/>
      <c r="E425" s="132"/>
      <c r="F425" s="132"/>
      <c r="G425" s="132"/>
      <c r="H425" s="132"/>
    </row>
    <row r="426" spans="1:8" x14ac:dyDescent="0.25">
      <c r="A426" s="133" t="s">
        <v>720</v>
      </c>
      <c r="B426" s="132"/>
      <c r="C426" s="132"/>
      <c r="D426" s="132"/>
      <c r="E426" s="132"/>
      <c r="F426" s="132"/>
      <c r="G426" s="132"/>
      <c r="H426" s="132"/>
    </row>
    <row r="427" spans="1:8" x14ac:dyDescent="0.25">
      <c r="A427" s="132"/>
      <c r="B427" s="132"/>
      <c r="C427" s="132"/>
      <c r="D427" s="132"/>
      <c r="E427" s="132"/>
      <c r="F427" s="132"/>
      <c r="G427" s="132"/>
      <c r="H427" s="132"/>
    </row>
    <row r="428" spans="1:8" x14ac:dyDescent="0.25">
      <c r="A428" s="133" t="s">
        <v>721</v>
      </c>
      <c r="B428" s="132"/>
      <c r="C428" s="132"/>
      <c r="D428" s="132"/>
      <c r="E428" s="132"/>
      <c r="F428" s="132"/>
      <c r="G428" s="132"/>
      <c r="H428" s="132"/>
    </row>
    <row r="429" spans="1:8" x14ac:dyDescent="0.25">
      <c r="A429" s="133" t="s">
        <v>722</v>
      </c>
      <c r="B429" s="132"/>
      <c r="C429" s="132"/>
      <c r="D429" s="132"/>
      <c r="E429" s="132"/>
      <c r="F429" s="132"/>
      <c r="G429" s="132"/>
      <c r="H429" s="132"/>
    </row>
    <row r="430" spans="1:8" x14ac:dyDescent="0.25">
      <c r="A430" s="133" t="s">
        <v>723</v>
      </c>
      <c r="B430" s="132"/>
      <c r="C430" s="132"/>
      <c r="D430" s="132"/>
      <c r="E430" s="132"/>
      <c r="F430" s="132"/>
      <c r="G430" s="132"/>
      <c r="H430" s="132"/>
    </row>
    <row r="431" spans="1:8" x14ac:dyDescent="0.25">
      <c r="A431" s="133" t="s">
        <v>724</v>
      </c>
      <c r="B431" s="132"/>
      <c r="C431" s="132"/>
      <c r="D431" s="132"/>
      <c r="E431" s="132"/>
      <c r="F431" s="132"/>
      <c r="G431" s="132"/>
      <c r="H431" s="132"/>
    </row>
    <row r="433" spans="1:1" x14ac:dyDescent="0.25">
      <c r="A433" s="136" t="s">
        <v>725</v>
      </c>
    </row>
  </sheetData>
  <mergeCells count="3">
    <mergeCell ref="B132:C132"/>
    <mergeCell ref="D132:F132"/>
    <mergeCell ref="G132:H13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0"/>
  </sheetPr>
  <dimension ref="A1:BS221"/>
  <sheetViews>
    <sheetView zoomScale="85" zoomScaleNormal="85" workbookViewId="0">
      <pane xSplit="4" ySplit="3" topLeftCell="AB4" activePane="bottomRight" state="frozen"/>
      <selection activeCell="F28" sqref="F28"/>
      <selection pane="topRight" activeCell="F28" sqref="F28"/>
      <selection pane="bottomLeft" activeCell="F28" sqref="F28"/>
      <selection pane="bottomRight" activeCell="AH20" sqref="AH20"/>
    </sheetView>
  </sheetViews>
  <sheetFormatPr defaultRowHeight="15" x14ac:dyDescent="0.25"/>
  <cols>
    <col min="1" max="1" width="3.42578125" customWidth="1"/>
    <col min="2" max="2" width="4" customWidth="1"/>
    <col min="3" max="3" width="45.7109375" customWidth="1"/>
    <col min="5" max="42" width="10.7109375" customWidth="1"/>
    <col min="44" max="44" width="8.85546875" style="19"/>
    <col min="45" max="61" width="10.7109375" customWidth="1"/>
    <col min="65" max="65" width="8.85546875" style="19"/>
    <col min="66" max="66" width="44.7109375" customWidth="1"/>
    <col min="68" max="68" width="16.5703125" customWidth="1"/>
  </cols>
  <sheetData>
    <row r="1" spans="1:71" s="1" customFormat="1" ht="17.45" customHeight="1" x14ac:dyDescent="0.25">
      <c r="A1" s="1" t="s">
        <v>340</v>
      </c>
      <c r="AR1" s="14"/>
      <c r="BM1" s="14"/>
      <c r="BN1"/>
      <c r="BO1"/>
      <c r="BP1"/>
      <c r="BQ1"/>
      <c r="BR1"/>
      <c r="BS1"/>
    </row>
    <row r="2" spans="1:71" s="15" customFormat="1" x14ac:dyDescent="0.25">
      <c r="E2" s="16">
        <v>40908</v>
      </c>
      <c r="F2" s="16">
        <f>EOMONTH(E2,6)</f>
        <v>41090</v>
      </c>
      <c r="G2" s="16">
        <f t="shared" ref="G2:AJ2" si="0">EOMONTH(F2,6)</f>
        <v>41274</v>
      </c>
      <c r="H2" s="16">
        <f t="shared" si="0"/>
        <v>41455</v>
      </c>
      <c r="I2" s="16">
        <f t="shared" si="0"/>
        <v>41639</v>
      </c>
      <c r="J2" s="16">
        <f t="shared" si="0"/>
        <v>41820</v>
      </c>
      <c r="K2" s="16">
        <f t="shared" si="0"/>
        <v>42004</v>
      </c>
      <c r="L2" s="16">
        <f t="shared" si="0"/>
        <v>42185</v>
      </c>
      <c r="M2" s="16">
        <f t="shared" si="0"/>
        <v>42369</v>
      </c>
      <c r="N2" s="16">
        <f t="shared" si="0"/>
        <v>42551</v>
      </c>
      <c r="O2" s="16">
        <f t="shared" si="0"/>
        <v>42735</v>
      </c>
      <c r="P2" s="16">
        <f t="shared" si="0"/>
        <v>42916</v>
      </c>
      <c r="Q2" s="16">
        <f t="shared" si="0"/>
        <v>43100</v>
      </c>
      <c r="R2" s="16">
        <f t="shared" si="0"/>
        <v>43281</v>
      </c>
      <c r="S2" s="16">
        <f t="shared" si="0"/>
        <v>43465</v>
      </c>
      <c r="T2" s="16">
        <f t="shared" si="0"/>
        <v>43646</v>
      </c>
      <c r="U2" s="16">
        <f t="shared" si="0"/>
        <v>43830</v>
      </c>
      <c r="V2" s="16">
        <f t="shared" si="0"/>
        <v>44012</v>
      </c>
      <c r="W2" s="16">
        <f t="shared" si="0"/>
        <v>44196</v>
      </c>
      <c r="X2" s="16">
        <f t="shared" si="0"/>
        <v>44377</v>
      </c>
      <c r="Y2" s="16">
        <f t="shared" si="0"/>
        <v>44561</v>
      </c>
      <c r="Z2" s="16">
        <f t="shared" si="0"/>
        <v>44742</v>
      </c>
      <c r="AA2" s="16">
        <f t="shared" si="0"/>
        <v>44926</v>
      </c>
      <c r="AB2" s="16">
        <f t="shared" si="0"/>
        <v>45107</v>
      </c>
      <c r="AC2" s="16">
        <f t="shared" si="0"/>
        <v>45291</v>
      </c>
      <c r="AD2" s="16">
        <f t="shared" si="0"/>
        <v>45473</v>
      </c>
      <c r="AE2" s="16">
        <f t="shared" si="0"/>
        <v>45657</v>
      </c>
      <c r="AF2" s="16">
        <f t="shared" si="0"/>
        <v>45838</v>
      </c>
      <c r="AG2" s="16">
        <f t="shared" si="0"/>
        <v>46022</v>
      </c>
      <c r="AH2" s="16">
        <f t="shared" si="0"/>
        <v>46203</v>
      </c>
      <c r="AI2" s="16">
        <f t="shared" si="0"/>
        <v>46387</v>
      </c>
      <c r="AJ2" s="16">
        <f t="shared" si="0"/>
        <v>46568</v>
      </c>
      <c r="AK2" s="16">
        <f t="shared" ref="AK2:AP2" si="1">EOMONTH(AJ2,6)</f>
        <v>46752</v>
      </c>
      <c r="AL2" s="16">
        <f t="shared" si="1"/>
        <v>46934</v>
      </c>
      <c r="AM2" s="16">
        <f t="shared" si="1"/>
        <v>47118</v>
      </c>
      <c r="AN2" s="16">
        <f t="shared" si="1"/>
        <v>47299</v>
      </c>
      <c r="AO2" s="16">
        <f t="shared" si="1"/>
        <v>47483</v>
      </c>
      <c r="AP2" s="16">
        <f t="shared" si="1"/>
        <v>47664</v>
      </c>
      <c r="AR2" s="17"/>
      <c r="AS2" s="84">
        <f>J2</f>
        <v>41820</v>
      </c>
      <c r="AT2" s="16">
        <f>EOMONTH(AS2,12)</f>
        <v>42185</v>
      </c>
      <c r="AU2" s="16">
        <f>EOMONTH(AT2,12)</f>
        <v>42551</v>
      </c>
      <c r="AV2" s="16">
        <f>EOMONTH(AU2,12)</f>
        <v>42916</v>
      </c>
      <c r="AW2" s="16">
        <f>EOMONTH(AV2,12)</f>
        <v>43281</v>
      </c>
      <c r="AX2" s="16">
        <f t="shared" ref="AX2:BI2" si="2">EOMONTH(AW2,12)</f>
        <v>43646</v>
      </c>
      <c r="AY2" s="16">
        <f t="shared" si="2"/>
        <v>44012</v>
      </c>
      <c r="AZ2" s="16">
        <f t="shared" si="2"/>
        <v>44377</v>
      </c>
      <c r="BA2" s="16">
        <f t="shared" si="2"/>
        <v>44742</v>
      </c>
      <c r="BB2" s="16">
        <f t="shared" si="2"/>
        <v>45107</v>
      </c>
      <c r="BC2" s="16">
        <f t="shared" si="2"/>
        <v>45473</v>
      </c>
      <c r="BD2" s="16">
        <f t="shared" si="2"/>
        <v>45838</v>
      </c>
      <c r="BE2" s="16">
        <f t="shared" si="2"/>
        <v>46203</v>
      </c>
      <c r="BF2" s="16">
        <f t="shared" si="2"/>
        <v>46568</v>
      </c>
      <c r="BG2" s="16">
        <f t="shared" si="2"/>
        <v>46934</v>
      </c>
      <c r="BH2" s="16">
        <f t="shared" si="2"/>
        <v>47299</v>
      </c>
      <c r="BI2" s="16">
        <f t="shared" si="2"/>
        <v>47664</v>
      </c>
      <c r="BM2" s="17"/>
      <c r="BN2"/>
      <c r="BO2"/>
      <c r="BP2"/>
      <c r="BQ2"/>
      <c r="BR2"/>
      <c r="BS2"/>
    </row>
    <row r="3" spans="1:71" x14ac:dyDescent="0.25">
      <c r="AR3"/>
      <c r="BM3"/>
    </row>
    <row r="4" spans="1:71" x14ac:dyDescent="0.25">
      <c r="E4">
        <v>2012</v>
      </c>
      <c r="F4">
        <f>E4</f>
        <v>2012</v>
      </c>
      <c r="G4">
        <f>E4+1</f>
        <v>2013</v>
      </c>
      <c r="H4">
        <f t="shared" ref="H4:AJ4" si="3">F4+1</f>
        <v>2013</v>
      </c>
      <c r="I4">
        <f t="shared" si="3"/>
        <v>2014</v>
      </c>
      <c r="J4">
        <f t="shared" si="3"/>
        <v>2014</v>
      </c>
      <c r="K4">
        <f t="shared" si="3"/>
        <v>2015</v>
      </c>
      <c r="L4">
        <f t="shared" si="3"/>
        <v>2015</v>
      </c>
      <c r="M4">
        <f t="shared" si="3"/>
        <v>2016</v>
      </c>
      <c r="N4">
        <f t="shared" si="3"/>
        <v>2016</v>
      </c>
      <c r="O4">
        <f t="shared" si="3"/>
        <v>2017</v>
      </c>
      <c r="P4">
        <f t="shared" si="3"/>
        <v>2017</v>
      </c>
      <c r="Q4">
        <f t="shared" si="3"/>
        <v>2018</v>
      </c>
      <c r="R4">
        <f t="shared" si="3"/>
        <v>2018</v>
      </c>
      <c r="S4">
        <f t="shared" si="3"/>
        <v>2019</v>
      </c>
      <c r="T4">
        <f t="shared" si="3"/>
        <v>2019</v>
      </c>
      <c r="U4">
        <f t="shared" si="3"/>
        <v>2020</v>
      </c>
      <c r="V4">
        <f t="shared" si="3"/>
        <v>2020</v>
      </c>
      <c r="W4">
        <f t="shared" si="3"/>
        <v>2021</v>
      </c>
      <c r="X4">
        <f t="shared" si="3"/>
        <v>2021</v>
      </c>
      <c r="Y4">
        <f t="shared" si="3"/>
        <v>2022</v>
      </c>
      <c r="Z4">
        <f t="shared" si="3"/>
        <v>2022</v>
      </c>
      <c r="AA4">
        <f t="shared" si="3"/>
        <v>2023</v>
      </c>
      <c r="AB4">
        <f t="shared" si="3"/>
        <v>2023</v>
      </c>
      <c r="AC4">
        <f t="shared" si="3"/>
        <v>2024</v>
      </c>
      <c r="AD4">
        <f t="shared" si="3"/>
        <v>2024</v>
      </c>
      <c r="AE4">
        <f t="shared" si="3"/>
        <v>2025</v>
      </c>
      <c r="AF4">
        <f t="shared" si="3"/>
        <v>2025</v>
      </c>
      <c r="AG4">
        <f t="shared" si="3"/>
        <v>2026</v>
      </c>
      <c r="AH4">
        <f t="shared" si="3"/>
        <v>2026</v>
      </c>
      <c r="AI4">
        <f t="shared" si="3"/>
        <v>2027</v>
      </c>
      <c r="AJ4">
        <f t="shared" si="3"/>
        <v>2027</v>
      </c>
      <c r="AK4">
        <f t="shared" ref="AK4:AP4" si="4">AI4+1</f>
        <v>2028</v>
      </c>
      <c r="AL4">
        <f t="shared" si="4"/>
        <v>2028</v>
      </c>
      <c r="AM4">
        <f t="shared" si="4"/>
        <v>2029</v>
      </c>
      <c r="AN4">
        <f t="shared" si="4"/>
        <v>2029</v>
      </c>
      <c r="AO4">
        <f t="shared" si="4"/>
        <v>2030</v>
      </c>
      <c r="AP4">
        <f t="shared" si="4"/>
        <v>2030</v>
      </c>
      <c r="AS4">
        <v>2014</v>
      </c>
      <c r="AT4">
        <f>AS4+1</f>
        <v>2015</v>
      </c>
      <c r="AU4">
        <f>AT4+1</f>
        <v>2016</v>
      </c>
      <c r="AV4">
        <f>AU4+1</f>
        <v>2017</v>
      </c>
      <c r="AW4">
        <f>AV4+1</f>
        <v>2018</v>
      </c>
      <c r="AX4">
        <f t="shared" ref="AX4:BI4" si="5">AW4+1</f>
        <v>2019</v>
      </c>
      <c r="AY4">
        <f t="shared" si="5"/>
        <v>2020</v>
      </c>
      <c r="AZ4">
        <f t="shared" si="5"/>
        <v>2021</v>
      </c>
      <c r="BA4">
        <f t="shared" si="5"/>
        <v>2022</v>
      </c>
      <c r="BB4">
        <f t="shared" si="5"/>
        <v>2023</v>
      </c>
      <c r="BC4">
        <f t="shared" si="5"/>
        <v>2024</v>
      </c>
      <c r="BD4">
        <f t="shared" si="5"/>
        <v>2025</v>
      </c>
      <c r="BE4">
        <f t="shared" si="5"/>
        <v>2026</v>
      </c>
      <c r="BF4">
        <f t="shared" si="5"/>
        <v>2027</v>
      </c>
      <c r="BG4">
        <f t="shared" si="5"/>
        <v>2028</v>
      </c>
      <c r="BH4">
        <f t="shared" si="5"/>
        <v>2029</v>
      </c>
      <c r="BI4">
        <f t="shared" si="5"/>
        <v>2030</v>
      </c>
    </row>
    <row r="5" spans="1:71" x14ac:dyDescent="0.25">
      <c r="E5" s="3" t="s">
        <v>28</v>
      </c>
      <c r="F5" s="3" t="s">
        <v>29</v>
      </c>
      <c r="G5" s="3" t="s">
        <v>28</v>
      </c>
      <c r="H5" s="3" t="s">
        <v>29</v>
      </c>
      <c r="I5" s="3" t="s">
        <v>28</v>
      </c>
      <c r="J5" s="3" t="s">
        <v>29</v>
      </c>
      <c r="K5" s="3" t="s">
        <v>28</v>
      </c>
      <c r="L5" s="3" t="s">
        <v>29</v>
      </c>
      <c r="M5" s="3" t="s">
        <v>28</v>
      </c>
      <c r="N5" s="3" t="s">
        <v>29</v>
      </c>
      <c r="O5" s="3" t="s">
        <v>28</v>
      </c>
      <c r="P5" s="3" t="s">
        <v>29</v>
      </c>
      <c r="Q5" s="3" t="s">
        <v>28</v>
      </c>
      <c r="R5" s="3" t="s">
        <v>29</v>
      </c>
      <c r="S5" s="3" t="s">
        <v>28</v>
      </c>
      <c r="T5" s="3" t="s">
        <v>29</v>
      </c>
      <c r="U5" s="3" t="s">
        <v>28</v>
      </c>
      <c r="V5" s="3" t="s">
        <v>29</v>
      </c>
      <c r="W5" s="3" t="s">
        <v>28</v>
      </c>
      <c r="X5" s="3" t="s">
        <v>29</v>
      </c>
      <c r="Y5" s="3" t="s">
        <v>28</v>
      </c>
      <c r="Z5" s="3" t="s">
        <v>29</v>
      </c>
      <c r="AA5" s="3" t="s">
        <v>28</v>
      </c>
      <c r="AB5" s="3" t="s">
        <v>29</v>
      </c>
      <c r="AC5" s="3" t="s">
        <v>28</v>
      </c>
      <c r="AD5" s="3" t="s">
        <v>29</v>
      </c>
      <c r="AE5" s="3" t="s">
        <v>28</v>
      </c>
      <c r="AF5" s="3" t="s">
        <v>29</v>
      </c>
      <c r="AG5" s="3" t="s">
        <v>28</v>
      </c>
      <c r="AH5" s="3" t="s">
        <v>29</v>
      </c>
      <c r="AI5" s="3" t="s">
        <v>28</v>
      </c>
      <c r="AJ5" s="3" t="s">
        <v>29</v>
      </c>
      <c r="AK5" s="3" t="s">
        <v>28</v>
      </c>
      <c r="AL5" s="3" t="s">
        <v>29</v>
      </c>
      <c r="AM5" s="3" t="s">
        <v>28</v>
      </c>
      <c r="AN5" s="3" t="s">
        <v>29</v>
      </c>
      <c r="AO5" s="3" t="s">
        <v>28</v>
      </c>
      <c r="AP5" s="3" t="s">
        <v>29</v>
      </c>
      <c r="AS5" s="3" t="s">
        <v>30</v>
      </c>
      <c r="AT5" s="3" t="s">
        <v>30</v>
      </c>
      <c r="AU5" s="3" t="s">
        <v>30</v>
      </c>
      <c r="AV5" s="3" t="s">
        <v>30</v>
      </c>
      <c r="AW5" s="3" t="str">
        <f>AV5</f>
        <v>FY</v>
      </c>
      <c r="AX5" s="3" t="str">
        <f t="shared" ref="AX5:BI5" si="6">AW5</f>
        <v>FY</v>
      </c>
      <c r="AY5" s="3" t="str">
        <f t="shared" si="6"/>
        <v>FY</v>
      </c>
      <c r="AZ5" s="3" t="str">
        <f t="shared" si="6"/>
        <v>FY</v>
      </c>
      <c r="BA5" s="3" t="str">
        <f t="shared" si="6"/>
        <v>FY</v>
      </c>
      <c r="BB5" s="3" t="str">
        <f t="shared" si="6"/>
        <v>FY</v>
      </c>
      <c r="BC5" s="3" t="str">
        <f t="shared" si="6"/>
        <v>FY</v>
      </c>
      <c r="BD5" s="3" t="str">
        <f t="shared" si="6"/>
        <v>FY</v>
      </c>
      <c r="BE5" s="3" t="str">
        <f t="shared" si="6"/>
        <v>FY</v>
      </c>
      <c r="BF5" s="3" t="str">
        <f t="shared" si="6"/>
        <v>FY</v>
      </c>
      <c r="BG5" s="3" t="str">
        <f t="shared" si="6"/>
        <v>FY</v>
      </c>
      <c r="BH5" s="3" t="str">
        <f t="shared" si="6"/>
        <v>FY</v>
      </c>
      <c r="BI5" s="3" t="str">
        <f t="shared" si="6"/>
        <v>FY</v>
      </c>
    </row>
    <row r="6" spans="1:71" x14ac:dyDescent="0.25"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100"/>
      <c r="AC6" s="100"/>
      <c r="AD6" s="100"/>
      <c r="AE6" s="100"/>
      <c r="AF6" s="100"/>
      <c r="AG6" s="100"/>
      <c r="AH6" s="100"/>
      <c r="AI6" s="100"/>
      <c r="AJ6" s="100"/>
      <c r="AK6" s="100"/>
      <c r="AL6" s="3"/>
      <c r="AM6" s="100"/>
      <c r="AN6" s="3"/>
      <c r="AO6" s="100"/>
      <c r="AP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</row>
    <row r="7" spans="1:71" s="4" customFormat="1" x14ac:dyDescent="0.25">
      <c r="A7" s="4" t="s">
        <v>31</v>
      </c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M7" s="31"/>
      <c r="AO7" s="31"/>
      <c r="AR7" s="20"/>
      <c r="BM7" s="20"/>
      <c r="BN7"/>
      <c r="BO7"/>
      <c r="BP7"/>
      <c r="BQ7"/>
      <c r="BR7"/>
      <c r="BS7"/>
    </row>
    <row r="8" spans="1:71" x14ac:dyDescent="0.25">
      <c r="Z8" t="s">
        <v>310</v>
      </c>
    </row>
    <row r="9" spans="1:71" x14ac:dyDescent="0.25">
      <c r="C9" t="s">
        <v>201</v>
      </c>
      <c r="D9" t="s">
        <v>32</v>
      </c>
      <c r="E9" s="21"/>
      <c r="F9" s="21"/>
      <c r="G9" s="21"/>
      <c r="H9" s="21"/>
      <c r="I9" s="21">
        <v>51</v>
      </c>
      <c r="J9" s="21">
        <f>108-I9</f>
        <v>57</v>
      </c>
      <c r="K9" s="21">
        <v>63</v>
      </c>
      <c r="L9" s="21">
        <f>131-K9</f>
        <v>68</v>
      </c>
      <c r="M9" s="21">
        <v>66</v>
      </c>
      <c r="N9" s="21">
        <f>132-M9</f>
        <v>66</v>
      </c>
      <c r="O9" s="21">
        <v>72</v>
      </c>
      <c r="P9" s="21">
        <f>143-O9</f>
        <v>71</v>
      </c>
      <c r="Q9" s="21">
        <v>74</v>
      </c>
      <c r="R9" s="21">
        <f>152-Q9</f>
        <v>78</v>
      </c>
      <c r="S9" s="21">
        <v>81</v>
      </c>
      <c r="T9" s="21">
        <f>164-S9</f>
        <v>83</v>
      </c>
      <c r="U9" s="21">
        <v>81</v>
      </c>
      <c r="V9" s="21">
        <f>160-U9</f>
        <v>79</v>
      </c>
      <c r="W9" s="21">
        <v>55</v>
      </c>
      <c r="X9" s="21">
        <f>113-W9</f>
        <v>58</v>
      </c>
      <c r="Y9" s="21">
        <f>87-28</f>
        <v>59</v>
      </c>
      <c r="Z9" s="21">
        <f>125-Y9</f>
        <v>66</v>
      </c>
      <c r="AA9" s="21">
        <v>67</v>
      </c>
      <c r="AB9" s="21">
        <f>Logistics!AB41</f>
        <v>72</v>
      </c>
      <c r="AC9" s="21">
        <f>Logistics!AC41</f>
        <v>80</v>
      </c>
      <c r="AD9" s="21">
        <f>Logistics!AD41</f>
        <v>88</v>
      </c>
      <c r="AE9" s="21">
        <f>Logistics!AE41</f>
        <v>89</v>
      </c>
      <c r="AF9" s="21">
        <f>Logistics!AF41</f>
        <v>83</v>
      </c>
      <c r="AG9" s="21">
        <f>Logistics!AG41</f>
        <v>85</v>
      </c>
      <c r="AH9" s="5">
        <f>Logistics!AH41</f>
        <v>90.035650803949792</v>
      </c>
      <c r="AI9" s="5">
        <f>Logistics!AI41</f>
        <v>96.09251926770564</v>
      </c>
      <c r="AJ9" s="5">
        <f>Logistics!AJ41</f>
        <v>103.65039107562396</v>
      </c>
      <c r="AK9" s="5">
        <f>Logistics!AK41</f>
        <v>107.2894534665384</v>
      </c>
      <c r="AL9" s="5">
        <f>Logistics!AL41</f>
        <v>111.00058349502933</v>
      </c>
      <c r="AM9" s="5">
        <f>Logistics!AM41</f>
        <v>114.78520838158036</v>
      </c>
      <c r="AN9" s="5">
        <f>Logistics!AN41</f>
        <v>118.64478361121093</v>
      </c>
      <c r="AO9" s="5">
        <f>Logistics!AO41</f>
        <v>122.58079349322404</v>
      </c>
      <c r="AP9" s="5">
        <f>Logistics!AP41</f>
        <v>126.59475173203977</v>
      </c>
      <c r="AS9" s="5">
        <f t="shared" ref="AS9:BI14" si="7">SUMIF($E$4:$AR$4,AS$4,$E9:$AR9)</f>
        <v>108</v>
      </c>
      <c r="AT9" s="5">
        <f t="shared" si="7"/>
        <v>131</v>
      </c>
      <c r="AU9" s="5">
        <f t="shared" si="7"/>
        <v>132</v>
      </c>
      <c r="AV9" s="5">
        <f t="shared" si="7"/>
        <v>143</v>
      </c>
      <c r="AW9" s="5">
        <f t="shared" si="7"/>
        <v>152</v>
      </c>
      <c r="AX9" s="5">
        <f t="shared" si="7"/>
        <v>164</v>
      </c>
      <c r="AY9" s="5">
        <f t="shared" si="7"/>
        <v>160</v>
      </c>
      <c r="AZ9" s="5">
        <f t="shared" si="7"/>
        <v>113</v>
      </c>
      <c r="BA9" s="5">
        <f t="shared" si="7"/>
        <v>125</v>
      </c>
      <c r="BB9" s="5">
        <f t="shared" si="7"/>
        <v>139</v>
      </c>
      <c r="BC9" s="5">
        <f t="shared" si="7"/>
        <v>168</v>
      </c>
      <c r="BD9" s="5">
        <f t="shared" si="7"/>
        <v>172</v>
      </c>
      <c r="BE9" s="5">
        <f t="shared" si="7"/>
        <v>175.03565080394981</v>
      </c>
      <c r="BF9" s="5">
        <f t="shared" si="7"/>
        <v>199.74291034332958</v>
      </c>
      <c r="BG9" s="5">
        <f t="shared" si="7"/>
        <v>218.29003696156775</v>
      </c>
      <c r="BH9" s="5">
        <f t="shared" si="7"/>
        <v>233.42999199279129</v>
      </c>
      <c r="BI9" s="5">
        <f t="shared" si="7"/>
        <v>249.17554522526382</v>
      </c>
    </row>
    <row r="10" spans="1:71" x14ac:dyDescent="0.25">
      <c r="C10" t="s">
        <v>202</v>
      </c>
      <c r="D10" t="s">
        <v>32</v>
      </c>
      <c r="E10" s="21"/>
      <c r="F10" s="21"/>
      <c r="G10" s="21"/>
      <c r="H10" s="21"/>
      <c r="I10" s="21">
        <v>46</v>
      </c>
      <c r="J10" s="21">
        <f>85-I10</f>
        <v>39</v>
      </c>
      <c r="K10" s="21">
        <v>39</v>
      </c>
      <c r="L10" s="21">
        <f>78-K10</f>
        <v>39</v>
      </c>
      <c r="M10" s="21">
        <v>36</v>
      </c>
      <c r="N10" s="21">
        <f>68-M10</f>
        <v>32</v>
      </c>
      <c r="O10" s="21">
        <v>34</v>
      </c>
      <c r="P10" s="21">
        <f>59-O10</f>
        <v>25</v>
      </c>
      <c r="Q10" s="21">
        <v>26</v>
      </c>
      <c r="R10" s="21">
        <f>54-Q10</f>
        <v>28</v>
      </c>
      <c r="S10" s="21">
        <v>24</v>
      </c>
      <c r="T10" s="21">
        <f>48-S10</f>
        <v>24</v>
      </c>
      <c r="U10" s="21">
        <v>26</v>
      </c>
      <c r="V10" s="21">
        <f>54-U10</f>
        <v>28</v>
      </c>
      <c r="W10" s="21">
        <v>56</v>
      </c>
      <c r="X10" s="21">
        <f>111-W10</f>
        <v>55</v>
      </c>
      <c r="Y10" s="21">
        <v>56</v>
      </c>
      <c r="Z10" s="21">
        <f>110-Y10</f>
        <v>54</v>
      </c>
      <c r="AA10" s="21">
        <v>54</v>
      </c>
      <c r="AB10" s="21">
        <f>Workplace!AB27</f>
        <v>54</v>
      </c>
      <c r="AC10" s="21">
        <f>Workplace!AC27</f>
        <v>57</v>
      </c>
      <c r="AD10" s="21">
        <f>Workplace!AD27</f>
        <v>58</v>
      </c>
      <c r="AE10" s="21">
        <f>Workplace!AE27</f>
        <v>56</v>
      </c>
      <c r="AF10" s="21">
        <f>Workplace!AF27</f>
        <v>55</v>
      </c>
      <c r="AG10" s="21">
        <f>Workplace!AG27</f>
        <v>58</v>
      </c>
      <c r="AH10" s="5">
        <f>Workplace!AH27</f>
        <v>59.590831323908532</v>
      </c>
      <c r="AI10" s="5">
        <f>Workplace!AI27</f>
        <v>60.072519296447538</v>
      </c>
      <c r="AJ10" s="5">
        <f>Workplace!AJ27</f>
        <v>61.10911463714762</v>
      </c>
      <c r="AK10" s="5">
        <f>Workplace!AK27</f>
        <v>62.150880061494519</v>
      </c>
      <c r="AL10" s="5">
        <f>Workplace!AL27</f>
        <v>63.197841355601597</v>
      </c>
      <c r="AM10" s="5">
        <f>Workplace!AM27</f>
        <v>64.250024434191957</v>
      </c>
      <c r="AN10" s="5">
        <f>Workplace!AN27</f>
        <v>65.307455341240114</v>
      </c>
      <c r="AO10" s="5">
        <f>Workplace!AO27</f>
        <v>66.370160250616379</v>
      </c>
      <c r="AP10" s="5">
        <f>Workplace!AP27</f>
        <v>67.438165466735015</v>
      </c>
      <c r="AS10" s="5">
        <f t="shared" si="7"/>
        <v>85</v>
      </c>
      <c r="AT10" s="5">
        <f t="shared" si="7"/>
        <v>78</v>
      </c>
      <c r="AU10" s="5">
        <f t="shared" si="7"/>
        <v>68</v>
      </c>
      <c r="AV10" s="5">
        <f t="shared" si="7"/>
        <v>59</v>
      </c>
      <c r="AW10" s="5">
        <f t="shared" si="7"/>
        <v>54</v>
      </c>
      <c r="AX10" s="5">
        <f t="shared" si="7"/>
        <v>48</v>
      </c>
      <c r="AY10" s="5">
        <f t="shared" si="7"/>
        <v>54</v>
      </c>
      <c r="AZ10" s="5">
        <f t="shared" si="7"/>
        <v>111</v>
      </c>
      <c r="BA10" s="5">
        <f t="shared" si="7"/>
        <v>110</v>
      </c>
      <c r="BB10" s="5">
        <f t="shared" si="7"/>
        <v>108</v>
      </c>
      <c r="BC10" s="5">
        <f t="shared" si="7"/>
        <v>115</v>
      </c>
      <c r="BD10" s="5">
        <f t="shared" si="7"/>
        <v>111</v>
      </c>
      <c r="BE10" s="5">
        <f t="shared" si="7"/>
        <v>117.59083132390853</v>
      </c>
      <c r="BF10" s="5">
        <f t="shared" si="7"/>
        <v>121.18163393359515</v>
      </c>
      <c r="BG10" s="5">
        <f t="shared" si="7"/>
        <v>125.34872141709612</v>
      </c>
      <c r="BH10" s="5">
        <f t="shared" si="7"/>
        <v>129.55747977543206</v>
      </c>
      <c r="BI10" s="5">
        <f t="shared" si="7"/>
        <v>133.80832571735141</v>
      </c>
    </row>
    <row r="11" spans="1:71" x14ac:dyDescent="0.25">
      <c r="C11" t="s">
        <v>203</v>
      </c>
      <c r="D11" t="s">
        <v>32</v>
      </c>
      <c r="E11" s="21"/>
      <c r="F11" s="21"/>
      <c r="G11" s="21"/>
      <c r="H11" s="21"/>
      <c r="I11" s="21">
        <v>184</v>
      </c>
      <c r="J11" s="21">
        <f>369-I11</f>
        <v>185</v>
      </c>
      <c r="K11" s="21">
        <v>188</v>
      </c>
      <c r="L11" s="21">
        <f>379-K11</f>
        <v>191</v>
      </c>
      <c r="M11" s="21">
        <v>197</v>
      </c>
      <c r="N11" s="21">
        <f>402-M11</f>
        <v>205</v>
      </c>
      <c r="O11" s="21">
        <v>207</v>
      </c>
      <c r="P11" s="21">
        <f>419-O11</f>
        <v>212</v>
      </c>
      <c r="Q11" s="21">
        <v>209</v>
      </c>
      <c r="R11" s="21">
        <f>428-Q11</f>
        <v>219</v>
      </c>
      <c r="S11" s="21">
        <v>218</v>
      </c>
      <c r="T11" s="21">
        <f>432-S11</f>
        <v>214</v>
      </c>
      <c r="U11" s="21">
        <v>209</v>
      </c>
      <c r="V11" s="21">
        <f>343-U11</f>
        <v>134</v>
      </c>
      <c r="W11" s="21">
        <v>185</v>
      </c>
      <c r="X11" s="21">
        <f>363-W11</f>
        <v>178</v>
      </c>
      <c r="Y11" s="21">
        <v>156</v>
      </c>
      <c r="Z11" s="21">
        <f>350-Y11</f>
        <v>194</v>
      </c>
      <c r="AA11" s="21">
        <v>185</v>
      </c>
      <c r="AB11" s="21">
        <f>'Town Centres'!AB40</f>
        <v>194</v>
      </c>
      <c r="AC11" s="21">
        <f>'Town Centres'!AC40</f>
        <v>187</v>
      </c>
      <c r="AD11" s="21">
        <f>'Town Centres'!AD40</f>
        <v>172</v>
      </c>
      <c r="AE11" s="21">
        <f>'Town Centres'!AE40</f>
        <v>158</v>
      </c>
      <c r="AF11" s="21">
        <f>'Town Centres'!AF40</f>
        <v>161</v>
      </c>
      <c r="AG11" s="21">
        <f>'Town Centres'!AG40</f>
        <v>164</v>
      </c>
      <c r="AH11" s="5">
        <f>'Town Centres'!AH40</f>
        <v>167.01370688031233</v>
      </c>
      <c r="AI11" s="5">
        <f>'Town Centres'!AI40</f>
        <v>171.05334341379586</v>
      </c>
      <c r="AJ11" s="5">
        <f>'Town Centres'!AJ40</f>
        <v>175.14316369172028</v>
      </c>
      <c r="AK11" s="5">
        <f>'Town Centres'!AK40</f>
        <v>178.30742945502459</v>
      </c>
      <c r="AL11" s="5">
        <f>'Town Centres'!AL40</f>
        <v>180.52251350961748</v>
      </c>
      <c r="AM11" s="5">
        <f>'Town Centres'!AM40</f>
        <v>182.76511519140016</v>
      </c>
      <c r="AN11" s="5">
        <f>'Town Centres'!AN40</f>
        <v>185.03557634735782</v>
      </c>
      <c r="AO11" s="5">
        <f>'Town Centres'!AO40</f>
        <v>187.33424307118509</v>
      </c>
      <c r="AP11" s="5">
        <f>'Town Centres'!AP40</f>
        <v>189.66146575604176</v>
      </c>
      <c r="AS11" s="5">
        <f t="shared" si="7"/>
        <v>369</v>
      </c>
      <c r="AT11" s="5">
        <f t="shared" si="7"/>
        <v>379</v>
      </c>
      <c r="AU11" s="5">
        <f t="shared" si="7"/>
        <v>402</v>
      </c>
      <c r="AV11" s="5">
        <f t="shared" si="7"/>
        <v>419</v>
      </c>
      <c r="AW11" s="5">
        <f t="shared" si="7"/>
        <v>428</v>
      </c>
      <c r="AX11" s="5">
        <f t="shared" si="7"/>
        <v>432</v>
      </c>
      <c r="AY11" s="5">
        <f t="shared" si="7"/>
        <v>343</v>
      </c>
      <c r="AZ11" s="5">
        <f t="shared" si="7"/>
        <v>363</v>
      </c>
      <c r="BA11" s="5">
        <f t="shared" si="7"/>
        <v>350</v>
      </c>
      <c r="BB11" s="5">
        <f t="shared" si="7"/>
        <v>379</v>
      </c>
      <c r="BC11" s="5">
        <f t="shared" si="7"/>
        <v>359</v>
      </c>
      <c r="BD11" s="5">
        <f t="shared" si="7"/>
        <v>319</v>
      </c>
      <c r="BE11" s="5">
        <f t="shared" si="7"/>
        <v>331.01370688031233</v>
      </c>
      <c r="BF11" s="5">
        <f t="shared" si="7"/>
        <v>346.19650710551616</v>
      </c>
      <c r="BG11" s="5">
        <f t="shared" si="7"/>
        <v>358.8299429646421</v>
      </c>
      <c r="BH11" s="5">
        <f t="shared" si="7"/>
        <v>367.80069153875797</v>
      </c>
      <c r="BI11" s="5">
        <f t="shared" si="7"/>
        <v>376.99570882722685</v>
      </c>
    </row>
    <row r="12" spans="1:71" x14ac:dyDescent="0.25">
      <c r="C12" t="s">
        <v>375</v>
      </c>
      <c r="D12" t="s">
        <v>32</v>
      </c>
      <c r="E12" s="5"/>
      <c r="F12" s="5"/>
      <c r="G12" s="5"/>
      <c r="H12" s="5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>
        <v>6</v>
      </c>
      <c r="Z12" s="21">
        <f>12-Y12</f>
        <v>6</v>
      </c>
      <c r="AA12" s="21">
        <v>6</v>
      </c>
      <c r="AB12" s="21">
        <f>'Land lease'!AB22</f>
        <v>9</v>
      </c>
      <c r="AC12" s="21">
        <f>'Land lease'!AC22</f>
        <v>9</v>
      </c>
      <c r="AD12" s="21">
        <f>'Land lease'!AD22</f>
        <v>9</v>
      </c>
      <c r="AE12" s="21">
        <f>'Land lease'!AE22</f>
        <v>11</v>
      </c>
      <c r="AF12" s="21">
        <f>'Land lease'!AF22</f>
        <v>10</v>
      </c>
      <c r="AG12" s="21">
        <f>'Land lease'!AG22</f>
        <v>12</v>
      </c>
      <c r="AH12" s="5">
        <f>'Land lease'!AH22</f>
        <v>13.348763118874034</v>
      </c>
      <c r="AI12" s="5">
        <f>'Land lease'!AI22</f>
        <v>14.735029884310961</v>
      </c>
      <c r="AJ12" s="5">
        <f>'Land lease'!AJ22</f>
        <v>16.15961808841281</v>
      </c>
      <c r="AK12" s="5">
        <f>'Land lease'!AK22</f>
        <v>17.759266049505047</v>
      </c>
      <c r="AL12" s="5">
        <f>'Land lease'!AL22</f>
        <v>19.458137647750473</v>
      </c>
      <c r="AM12" s="5">
        <f>'Land lease'!AM22</f>
        <v>21.261894133084464</v>
      </c>
      <c r="AN12" s="5">
        <f>'Land lease'!AN22</f>
        <v>23.176513188859197</v>
      </c>
      <c r="AO12" s="5">
        <f>'Land lease'!AO22</f>
        <v>25.208306523614915</v>
      </c>
      <c r="AP12" s="5">
        <f>'Land lease'!AP22</f>
        <v>27.363938439440037</v>
      </c>
      <c r="AS12" s="5">
        <f t="shared" ref="AS12:BI12" si="8">SUMIF($E$4:$AR$4,AS$4,$E12:$AR12)</f>
        <v>0</v>
      </c>
      <c r="AT12" s="5">
        <f t="shared" si="8"/>
        <v>0</v>
      </c>
      <c r="AU12" s="5">
        <f t="shared" si="8"/>
        <v>0</v>
      </c>
      <c r="AV12" s="5">
        <f t="shared" si="8"/>
        <v>0</v>
      </c>
      <c r="AW12" s="5">
        <f t="shared" si="8"/>
        <v>0</v>
      </c>
      <c r="AX12" s="5">
        <f t="shared" si="8"/>
        <v>0</v>
      </c>
      <c r="AY12" s="5">
        <f t="shared" si="8"/>
        <v>0</v>
      </c>
      <c r="AZ12" s="5">
        <f t="shared" si="8"/>
        <v>0</v>
      </c>
      <c r="BA12" s="5">
        <f t="shared" si="8"/>
        <v>12</v>
      </c>
      <c r="BB12" s="5">
        <f t="shared" si="8"/>
        <v>15</v>
      </c>
      <c r="BC12" s="5">
        <f t="shared" si="8"/>
        <v>18</v>
      </c>
      <c r="BD12" s="5">
        <f t="shared" si="8"/>
        <v>21</v>
      </c>
      <c r="BE12" s="5">
        <f t="shared" si="8"/>
        <v>25.348763118874032</v>
      </c>
      <c r="BF12" s="5">
        <f t="shared" si="8"/>
        <v>30.894647972723771</v>
      </c>
      <c r="BG12" s="5">
        <f t="shared" si="8"/>
        <v>37.21740369725552</v>
      </c>
      <c r="BH12" s="5">
        <f t="shared" si="8"/>
        <v>44.438407321943657</v>
      </c>
      <c r="BI12" s="5">
        <f t="shared" si="8"/>
        <v>52.572244963054956</v>
      </c>
    </row>
    <row r="13" spans="1:71" x14ac:dyDescent="0.25">
      <c r="C13" t="s">
        <v>376</v>
      </c>
      <c r="D13" t="s">
        <v>32</v>
      </c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>
        <v>8</v>
      </c>
      <c r="Z13" s="21">
        <f>12-Y13</f>
        <v>4</v>
      </c>
      <c r="AA13" s="21">
        <v>14</v>
      </c>
      <c r="AB13" s="21">
        <f>28-AA13</f>
        <v>14</v>
      </c>
      <c r="AC13" s="21">
        <v>14</v>
      </c>
      <c r="AD13" s="21">
        <f>30-AC13</f>
        <v>16</v>
      </c>
      <c r="AE13" s="21">
        <v>13</v>
      </c>
      <c r="AF13" s="21">
        <f>33-AE13</f>
        <v>20</v>
      </c>
      <c r="AG13" s="21">
        <v>14</v>
      </c>
      <c r="AH13" s="83">
        <f t="shared" ref="AH13:AN13" si="9">AG13*1.01</f>
        <v>14.14</v>
      </c>
      <c r="AI13" s="83">
        <f t="shared" si="9"/>
        <v>14.281400000000001</v>
      </c>
      <c r="AJ13" s="83">
        <f t="shared" si="9"/>
        <v>14.424214000000001</v>
      </c>
      <c r="AK13" s="83">
        <f t="shared" si="9"/>
        <v>14.56845614</v>
      </c>
      <c r="AL13" s="83">
        <f t="shared" si="9"/>
        <v>14.7141407014</v>
      </c>
      <c r="AM13" s="83">
        <f t="shared" si="9"/>
        <v>14.861282108414001</v>
      </c>
      <c r="AN13" s="83">
        <f t="shared" si="9"/>
        <v>15.00989492949814</v>
      </c>
      <c r="AO13" s="83">
        <f t="shared" ref="AO13" si="10">AN13*1.01</f>
        <v>15.159993878793122</v>
      </c>
      <c r="AP13" s="83">
        <f t="shared" ref="AP13" si="11">AO13*1.01</f>
        <v>15.311593817581054</v>
      </c>
      <c r="AS13" s="5">
        <f t="shared" si="7"/>
        <v>0</v>
      </c>
      <c r="AT13" s="5">
        <f t="shared" si="7"/>
        <v>0</v>
      </c>
      <c r="AU13" s="5">
        <f t="shared" si="7"/>
        <v>0</v>
      </c>
      <c r="AV13" s="5">
        <f t="shared" si="7"/>
        <v>0</v>
      </c>
      <c r="AW13" s="5">
        <f t="shared" si="7"/>
        <v>0</v>
      </c>
      <c r="AX13" s="5">
        <f t="shared" si="7"/>
        <v>0</v>
      </c>
      <c r="AY13" s="5">
        <f t="shared" si="7"/>
        <v>0</v>
      </c>
      <c r="AZ13" s="5">
        <f t="shared" si="7"/>
        <v>0</v>
      </c>
      <c r="BA13" s="5">
        <f t="shared" si="7"/>
        <v>12</v>
      </c>
      <c r="BB13" s="5">
        <f t="shared" si="7"/>
        <v>28</v>
      </c>
      <c r="BC13" s="5">
        <f t="shared" si="7"/>
        <v>30</v>
      </c>
      <c r="BD13" s="5">
        <f t="shared" si="7"/>
        <v>33</v>
      </c>
      <c r="BE13" s="5">
        <f t="shared" si="7"/>
        <v>28.14</v>
      </c>
      <c r="BF13" s="5">
        <f t="shared" si="7"/>
        <v>28.705614000000004</v>
      </c>
      <c r="BG13" s="5">
        <f t="shared" si="7"/>
        <v>29.2825968414</v>
      </c>
      <c r="BH13" s="5">
        <f t="shared" si="7"/>
        <v>29.87117703791214</v>
      </c>
      <c r="BI13" s="5">
        <f t="shared" si="7"/>
        <v>30.471587696374176</v>
      </c>
    </row>
    <row r="14" spans="1:71" x14ac:dyDescent="0.25">
      <c r="C14" t="s">
        <v>204</v>
      </c>
      <c r="D14" t="s">
        <v>32</v>
      </c>
      <c r="E14" s="21"/>
      <c r="F14" s="21"/>
      <c r="G14" s="21"/>
      <c r="H14" s="21"/>
      <c r="I14" s="21">
        <v>-9</v>
      </c>
      <c r="J14" s="21">
        <f>-20-I14</f>
        <v>-11</v>
      </c>
      <c r="K14" s="21">
        <v>-9</v>
      </c>
      <c r="L14" s="21">
        <f>-18-K14</f>
        <v>-9</v>
      </c>
      <c r="M14" s="21">
        <v>-8</v>
      </c>
      <c r="N14" s="21">
        <f>-18-M14</f>
        <v>-10</v>
      </c>
      <c r="O14" s="21">
        <v>-6</v>
      </c>
      <c r="P14" s="21">
        <f>-18-O14</f>
        <v>-12</v>
      </c>
      <c r="Q14" s="21">
        <v>-8</v>
      </c>
      <c r="R14" s="21">
        <f>-21-Q14</f>
        <v>-13</v>
      </c>
      <c r="S14" s="21">
        <v>-9</v>
      </c>
      <c r="T14" s="21">
        <f>-21-S14</f>
        <v>-12</v>
      </c>
      <c r="U14" s="21">
        <v>-8</v>
      </c>
      <c r="V14" s="21">
        <f>-20-U14</f>
        <v>-12</v>
      </c>
      <c r="W14" s="21">
        <v>-10</v>
      </c>
      <c r="X14" s="21">
        <f>-29-W14</f>
        <v>-19</v>
      </c>
      <c r="Y14" s="21">
        <v>-29</v>
      </c>
      <c r="Z14" s="21">
        <f>-64-Y14</f>
        <v>-35</v>
      </c>
      <c r="AA14" s="21">
        <v>-31</v>
      </c>
      <c r="AB14" s="21">
        <f>-66-AA14</f>
        <v>-35</v>
      </c>
      <c r="AC14" s="21">
        <v>-28</v>
      </c>
      <c r="AD14" s="21">
        <f>-60-AC14</f>
        <v>-32</v>
      </c>
      <c r="AE14" s="21">
        <v>-30</v>
      </c>
      <c r="AF14" s="21">
        <f>-65-AE14</f>
        <v>-35</v>
      </c>
      <c r="AG14" s="21">
        <v>-37</v>
      </c>
      <c r="AH14" s="82">
        <f>AG14</f>
        <v>-37</v>
      </c>
      <c r="AI14" s="82">
        <f t="shared" ref="AI14:AP14" si="12">AG14*1.015</f>
        <v>-37.555</v>
      </c>
      <c r="AJ14" s="82">
        <f t="shared" si="12"/>
        <v>-37.555</v>
      </c>
      <c r="AK14" s="82">
        <f t="shared" si="12"/>
        <v>-38.118324999999999</v>
      </c>
      <c r="AL14" s="82">
        <f t="shared" si="12"/>
        <v>-38.118324999999999</v>
      </c>
      <c r="AM14" s="82">
        <f t="shared" si="12"/>
        <v>-38.690099874999994</v>
      </c>
      <c r="AN14" s="82">
        <f t="shared" si="12"/>
        <v>-38.690099874999994</v>
      </c>
      <c r="AO14" s="82">
        <f t="shared" si="12"/>
        <v>-39.270451373124992</v>
      </c>
      <c r="AP14" s="82">
        <f t="shared" si="12"/>
        <v>-39.270451373124992</v>
      </c>
      <c r="AS14" s="5">
        <f t="shared" si="7"/>
        <v>-20</v>
      </c>
      <c r="AT14" s="5">
        <f t="shared" si="7"/>
        <v>-18</v>
      </c>
      <c r="AU14" s="5">
        <f t="shared" si="7"/>
        <v>-18</v>
      </c>
      <c r="AV14" s="5">
        <f t="shared" si="7"/>
        <v>-18</v>
      </c>
      <c r="AW14" s="5">
        <f t="shared" si="7"/>
        <v>-21</v>
      </c>
      <c r="AX14" s="5">
        <f t="shared" si="7"/>
        <v>-21</v>
      </c>
      <c r="AY14" s="5">
        <f t="shared" si="7"/>
        <v>-20</v>
      </c>
      <c r="AZ14" s="5">
        <f t="shared" si="7"/>
        <v>-29</v>
      </c>
      <c r="BA14" s="5">
        <f t="shared" si="7"/>
        <v>-64</v>
      </c>
      <c r="BB14" s="5">
        <f t="shared" si="7"/>
        <v>-66</v>
      </c>
      <c r="BC14" s="5">
        <f t="shared" si="7"/>
        <v>-60</v>
      </c>
      <c r="BD14" s="5">
        <f t="shared" si="7"/>
        <v>-65</v>
      </c>
      <c r="BE14" s="5">
        <f t="shared" si="7"/>
        <v>-74</v>
      </c>
      <c r="BF14" s="5">
        <f t="shared" si="7"/>
        <v>-75.11</v>
      </c>
      <c r="BG14" s="5">
        <f t="shared" si="7"/>
        <v>-76.236649999999997</v>
      </c>
      <c r="BH14" s="5">
        <f t="shared" si="7"/>
        <v>-77.380199749999989</v>
      </c>
      <c r="BI14" s="5">
        <f t="shared" si="7"/>
        <v>-78.540902746249984</v>
      </c>
    </row>
    <row r="15" spans="1:71" s="6" customFormat="1" x14ac:dyDescent="0.25">
      <c r="C15" s="6" t="s">
        <v>373</v>
      </c>
      <c r="D15" s="6" t="s">
        <v>32</v>
      </c>
      <c r="E15" s="7"/>
      <c r="F15" s="7"/>
      <c r="G15" s="7"/>
      <c r="H15" s="7"/>
      <c r="I15" s="7">
        <f t="shared" ref="I15:AN15" si="13">SUM(I9:I14)</f>
        <v>272</v>
      </c>
      <c r="J15" s="7">
        <f t="shared" si="13"/>
        <v>270</v>
      </c>
      <c r="K15" s="7">
        <f t="shared" si="13"/>
        <v>281</v>
      </c>
      <c r="L15" s="7">
        <f t="shared" si="13"/>
        <v>289</v>
      </c>
      <c r="M15" s="7">
        <f t="shared" si="13"/>
        <v>291</v>
      </c>
      <c r="N15" s="7">
        <f t="shared" si="13"/>
        <v>293</v>
      </c>
      <c r="O15" s="7">
        <f t="shared" si="13"/>
        <v>307</v>
      </c>
      <c r="P15" s="7">
        <f t="shared" si="13"/>
        <v>296</v>
      </c>
      <c r="Q15" s="7">
        <f t="shared" si="13"/>
        <v>301</v>
      </c>
      <c r="R15" s="7">
        <f t="shared" si="13"/>
        <v>312</v>
      </c>
      <c r="S15" s="7">
        <f t="shared" si="13"/>
        <v>314</v>
      </c>
      <c r="T15" s="7">
        <f t="shared" si="13"/>
        <v>309</v>
      </c>
      <c r="U15" s="7">
        <f t="shared" si="13"/>
        <v>308</v>
      </c>
      <c r="V15" s="7">
        <f t="shared" si="13"/>
        <v>229</v>
      </c>
      <c r="W15" s="7">
        <f t="shared" si="13"/>
        <v>286</v>
      </c>
      <c r="X15" s="7">
        <f t="shared" si="13"/>
        <v>272</v>
      </c>
      <c r="Y15" s="7">
        <f t="shared" si="13"/>
        <v>256</v>
      </c>
      <c r="Z15" s="7">
        <f t="shared" si="13"/>
        <v>289</v>
      </c>
      <c r="AA15" s="7">
        <f t="shared" si="13"/>
        <v>295</v>
      </c>
      <c r="AB15" s="7">
        <f t="shared" si="13"/>
        <v>308</v>
      </c>
      <c r="AC15" s="7">
        <f t="shared" si="13"/>
        <v>319</v>
      </c>
      <c r="AD15" s="7">
        <f t="shared" si="13"/>
        <v>311</v>
      </c>
      <c r="AE15" s="7">
        <f t="shared" si="13"/>
        <v>297</v>
      </c>
      <c r="AF15" s="7">
        <f t="shared" si="13"/>
        <v>294</v>
      </c>
      <c r="AG15" s="7">
        <f t="shared" si="13"/>
        <v>296</v>
      </c>
      <c r="AH15" s="7">
        <f t="shared" si="13"/>
        <v>307.12895212704467</v>
      </c>
      <c r="AI15" s="7">
        <f t="shared" si="13"/>
        <v>318.67981186226001</v>
      </c>
      <c r="AJ15" s="7">
        <f t="shared" si="13"/>
        <v>332.93150149290466</v>
      </c>
      <c r="AK15" s="7">
        <f t="shared" si="13"/>
        <v>341.95716017256257</v>
      </c>
      <c r="AL15" s="7">
        <f t="shared" si="13"/>
        <v>350.77489170939884</v>
      </c>
      <c r="AM15" s="7">
        <f t="shared" si="13"/>
        <v>359.23342437367097</v>
      </c>
      <c r="AN15" s="7">
        <f t="shared" si="13"/>
        <v>368.48412354316622</v>
      </c>
      <c r="AO15" s="7">
        <f t="shared" ref="AO15:AP15" si="14">SUM(AO9:AO14)</f>
        <v>377.38304584430853</v>
      </c>
      <c r="AP15" s="7">
        <f t="shared" si="14"/>
        <v>387.09946383871267</v>
      </c>
      <c r="AR15" s="22"/>
      <c r="AS15" s="7">
        <f t="shared" ref="AS15:BH15" si="15">SUM(AS9:AS14)</f>
        <v>542</v>
      </c>
      <c r="AT15" s="7">
        <f t="shared" si="15"/>
        <v>570</v>
      </c>
      <c r="AU15" s="7">
        <f t="shared" si="15"/>
        <v>584</v>
      </c>
      <c r="AV15" s="7">
        <f t="shared" si="15"/>
        <v>603</v>
      </c>
      <c r="AW15" s="7">
        <f t="shared" si="15"/>
        <v>613</v>
      </c>
      <c r="AX15" s="7">
        <f t="shared" si="15"/>
        <v>623</v>
      </c>
      <c r="AY15" s="7">
        <f t="shared" si="15"/>
        <v>537</v>
      </c>
      <c r="AZ15" s="7">
        <f t="shared" si="15"/>
        <v>558</v>
      </c>
      <c r="BA15" s="7">
        <f t="shared" si="15"/>
        <v>545</v>
      </c>
      <c r="BB15" s="7">
        <f t="shared" si="15"/>
        <v>603</v>
      </c>
      <c r="BC15" s="7">
        <f t="shared" si="15"/>
        <v>630</v>
      </c>
      <c r="BD15" s="7">
        <f t="shared" si="15"/>
        <v>591</v>
      </c>
      <c r="BE15" s="7">
        <f t="shared" si="15"/>
        <v>603.12895212704461</v>
      </c>
      <c r="BF15" s="7">
        <f t="shared" si="15"/>
        <v>651.61131335516461</v>
      </c>
      <c r="BG15" s="7">
        <f t="shared" si="15"/>
        <v>692.73205188196152</v>
      </c>
      <c r="BH15" s="7">
        <f t="shared" si="15"/>
        <v>727.71754791683713</v>
      </c>
      <c r="BI15" s="7">
        <f t="shared" ref="BI15" si="16">SUM(BI9:BI14)</f>
        <v>764.48250968302114</v>
      </c>
      <c r="BM15" s="22"/>
      <c r="BN15"/>
      <c r="BO15"/>
      <c r="BP15"/>
      <c r="BQ15"/>
      <c r="BR15"/>
      <c r="BS15"/>
    </row>
    <row r="16" spans="1:71" x14ac:dyDescent="0.25"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29"/>
      <c r="AB16" s="5"/>
      <c r="AC16" s="29"/>
      <c r="AD16" s="5"/>
      <c r="AE16" s="5"/>
      <c r="AF16" s="29"/>
      <c r="AG16" s="5"/>
      <c r="AH16" s="5"/>
      <c r="AI16" s="5"/>
      <c r="AJ16" s="5"/>
      <c r="AK16" s="5"/>
      <c r="AL16" s="5"/>
      <c r="AM16" s="5"/>
      <c r="AN16" s="5"/>
      <c r="AO16" s="5"/>
      <c r="AP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</row>
    <row r="17" spans="3:71" x14ac:dyDescent="0.25">
      <c r="C17" t="s">
        <v>205</v>
      </c>
      <c r="D17" t="s">
        <v>32</v>
      </c>
      <c r="E17" s="5"/>
      <c r="F17" s="5"/>
      <c r="G17" s="5"/>
      <c r="H17" s="5"/>
      <c r="I17" s="21">
        <v>39</v>
      </c>
      <c r="J17" s="21">
        <f>95-I17</f>
        <v>56</v>
      </c>
      <c r="K17" s="21">
        <v>67</v>
      </c>
      <c r="L17" s="21">
        <f>166-K17</f>
        <v>99</v>
      </c>
      <c r="M17" s="21">
        <v>98</v>
      </c>
      <c r="N17" s="21">
        <f>230-M17</f>
        <v>132</v>
      </c>
      <c r="O17" s="21">
        <v>100</v>
      </c>
      <c r="P17" s="21">
        <f>270-O17</f>
        <v>170</v>
      </c>
      <c r="Q17" s="21">
        <v>182</v>
      </c>
      <c r="R17" s="21">
        <f>336-Q17</f>
        <v>154</v>
      </c>
      <c r="S17" s="21">
        <v>142</v>
      </c>
      <c r="T17" s="21">
        <f>362-S17</f>
        <v>220</v>
      </c>
      <c r="U17" s="21">
        <v>134</v>
      </c>
      <c r="V17" s="21">
        <f>372-U17</f>
        <v>238</v>
      </c>
      <c r="W17" s="21">
        <v>136</v>
      </c>
      <c r="X17" s="21">
        <f>331-W17</f>
        <v>195</v>
      </c>
      <c r="Y17" s="21">
        <v>177</v>
      </c>
      <c r="Z17" s="21">
        <f>443-Y17</f>
        <v>266</v>
      </c>
      <c r="AA17" s="21">
        <v>138</v>
      </c>
      <c r="AB17" s="21">
        <f>Residential!AB81</f>
        <v>326</v>
      </c>
      <c r="AC17" s="21">
        <f>Residential!AC85</f>
        <v>88</v>
      </c>
      <c r="AD17" s="5">
        <f>Residential!AD85</f>
        <v>393</v>
      </c>
      <c r="AE17" s="21">
        <f>Residential!AE85</f>
        <v>76</v>
      </c>
      <c r="AF17" s="21">
        <f>Residential!AF85</f>
        <v>447</v>
      </c>
      <c r="AG17" s="21">
        <f>Residential!AG81</f>
        <v>163</v>
      </c>
      <c r="AH17" s="5">
        <f>Residential!AH81</f>
        <v>368.73461105454544</v>
      </c>
      <c r="AI17" s="5">
        <f>Residential!AI81</f>
        <v>276.85600026213183</v>
      </c>
      <c r="AJ17" s="5">
        <f>Residential!AJ81</f>
        <v>282.62939025545973</v>
      </c>
      <c r="AK17" s="5">
        <f>Residential!AK81</f>
        <v>293.32569292172985</v>
      </c>
      <c r="AL17" s="5">
        <f>Residential!AL81</f>
        <v>298.70931223792184</v>
      </c>
      <c r="AM17" s="5">
        <f>Residential!AM81</f>
        <v>303.15384786512323</v>
      </c>
      <c r="AN17" s="5">
        <f>Residential!AN81</f>
        <v>308.73878820919026</v>
      </c>
      <c r="AO17" s="5">
        <f>Residential!AO81</f>
        <v>313.34641931942764</v>
      </c>
      <c r="AP17" s="5">
        <f>Residential!AP81</f>
        <v>319.14050390883278</v>
      </c>
      <c r="AS17" s="5">
        <f t="shared" ref="AS17:BI21" si="17">SUMIF($E$4:$AR$4,AS$4,$E17:$AR17)</f>
        <v>95</v>
      </c>
      <c r="AT17" s="5">
        <f t="shared" si="17"/>
        <v>166</v>
      </c>
      <c r="AU17" s="5">
        <f t="shared" si="17"/>
        <v>230</v>
      </c>
      <c r="AV17" s="5">
        <f t="shared" si="17"/>
        <v>270</v>
      </c>
      <c r="AW17" s="5">
        <f t="shared" si="17"/>
        <v>336</v>
      </c>
      <c r="AX17" s="5">
        <f t="shared" si="17"/>
        <v>362</v>
      </c>
      <c r="AY17" s="5">
        <f t="shared" si="17"/>
        <v>372</v>
      </c>
      <c r="AZ17" s="5">
        <f t="shared" si="17"/>
        <v>331</v>
      </c>
      <c r="BA17" s="5">
        <f t="shared" si="17"/>
        <v>443</v>
      </c>
      <c r="BB17" s="5">
        <f t="shared" si="17"/>
        <v>464</v>
      </c>
      <c r="BC17" s="5">
        <f t="shared" si="17"/>
        <v>481</v>
      </c>
      <c r="BD17" s="5">
        <f t="shared" si="17"/>
        <v>523</v>
      </c>
      <c r="BE17" s="5">
        <f t="shared" si="17"/>
        <v>531.73461105454544</v>
      </c>
      <c r="BF17" s="5">
        <f t="shared" si="17"/>
        <v>559.48539051759155</v>
      </c>
      <c r="BG17" s="5">
        <f t="shared" si="17"/>
        <v>592.03500515965175</v>
      </c>
      <c r="BH17" s="5">
        <f t="shared" si="17"/>
        <v>611.89263607431349</v>
      </c>
      <c r="BI17" s="5">
        <f t="shared" si="17"/>
        <v>632.48692322826037</v>
      </c>
    </row>
    <row r="18" spans="3:71" x14ac:dyDescent="0.25">
      <c r="C18" t="s">
        <v>206</v>
      </c>
      <c r="D18" t="s">
        <v>32</v>
      </c>
      <c r="E18" s="5"/>
      <c r="F18" s="5"/>
      <c r="G18" s="5"/>
      <c r="H18" s="5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>
        <v>7</v>
      </c>
      <c r="Z18" s="21">
        <f>17-Y18</f>
        <v>10</v>
      </c>
      <c r="AA18" s="21">
        <v>38</v>
      </c>
      <c r="AB18" s="21">
        <f>'Land lease'!AB39</f>
        <v>20</v>
      </c>
      <c r="AC18" s="21">
        <f>'Land lease'!AC39</f>
        <v>12</v>
      </c>
      <c r="AD18" s="21">
        <f>'Land lease'!AD39</f>
        <v>55</v>
      </c>
      <c r="AE18" s="21">
        <f>'Land lease'!AE39</f>
        <v>31</v>
      </c>
      <c r="AF18" s="21">
        <f>'Land lease'!AF39</f>
        <v>29</v>
      </c>
      <c r="AG18" s="21">
        <f>'Land lease'!AG39</f>
        <v>23</v>
      </c>
      <c r="AH18" s="5">
        <f>'Land lease'!AH39</f>
        <v>59.542591267000716</v>
      </c>
      <c r="AI18" s="5">
        <f>'Land lease'!AI39</f>
        <v>51.891732283464563</v>
      </c>
      <c r="AJ18" s="5">
        <f>'Land lease'!AJ39</f>
        <v>52.410649606299216</v>
      </c>
      <c r="AK18" s="5">
        <f>'Land lease'!AK39</f>
        <v>58.816395669291353</v>
      </c>
      <c r="AL18" s="5">
        <f>'Land lease'!AL39</f>
        <v>61.780742011023655</v>
      </c>
      <c r="AM18" s="5">
        <f>'Land lease'!AM39</f>
        <v>64.894491408379238</v>
      </c>
      <c r="AN18" s="5">
        <f>'Land lease'!AN39</f>
        <v>68.165173775361566</v>
      </c>
      <c r="AO18" s="5">
        <f>'Land lease'!AO39</f>
        <v>71.600698533639786</v>
      </c>
      <c r="AP18" s="5">
        <f>'Land lease'!AP39</f>
        <v>75.209373739735227</v>
      </c>
      <c r="AS18" s="5">
        <f t="shared" si="17"/>
        <v>0</v>
      </c>
      <c r="AT18" s="5">
        <f t="shared" si="17"/>
        <v>0</v>
      </c>
      <c r="AU18" s="5">
        <f t="shared" si="17"/>
        <v>0</v>
      </c>
      <c r="AV18" s="5">
        <f t="shared" si="17"/>
        <v>0</v>
      </c>
      <c r="AW18" s="5">
        <f t="shared" si="17"/>
        <v>0</v>
      </c>
      <c r="AX18" s="5">
        <f t="shared" si="17"/>
        <v>0</v>
      </c>
      <c r="AY18" s="5">
        <f t="shared" si="17"/>
        <v>0</v>
      </c>
      <c r="AZ18" s="5">
        <f t="shared" si="17"/>
        <v>0</v>
      </c>
      <c r="BA18" s="5">
        <f t="shared" si="17"/>
        <v>17</v>
      </c>
      <c r="BB18" s="5">
        <f t="shared" si="17"/>
        <v>58</v>
      </c>
      <c r="BC18" s="5">
        <f t="shared" si="17"/>
        <v>67</v>
      </c>
      <c r="BD18" s="5">
        <f t="shared" si="17"/>
        <v>60</v>
      </c>
      <c r="BE18" s="5">
        <f t="shared" si="17"/>
        <v>82.542591267000716</v>
      </c>
      <c r="BF18" s="5">
        <f t="shared" si="17"/>
        <v>104.30238188976378</v>
      </c>
      <c r="BG18" s="5">
        <f t="shared" si="17"/>
        <v>120.597137680315</v>
      </c>
      <c r="BH18" s="5">
        <f t="shared" si="17"/>
        <v>133.0596651837408</v>
      </c>
      <c r="BI18" s="5">
        <f t="shared" si="17"/>
        <v>146.810072273375</v>
      </c>
    </row>
    <row r="19" spans="3:71" x14ac:dyDescent="0.25">
      <c r="C19" t="s">
        <v>374</v>
      </c>
      <c r="D19" t="s">
        <v>32</v>
      </c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>
        <v>5</v>
      </c>
      <c r="P19" s="21"/>
      <c r="Q19" s="21">
        <v>1</v>
      </c>
      <c r="R19" s="21"/>
      <c r="S19" s="21"/>
      <c r="T19" s="21"/>
      <c r="U19" s="21"/>
      <c r="V19" s="21"/>
      <c r="W19" s="21"/>
      <c r="X19" s="21"/>
      <c r="Y19" s="21">
        <v>28</v>
      </c>
      <c r="Z19" s="21">
        <f>30-Y19</f>
        <v>2</v>
      </c>
      <c r="AA19" s="21">
        <v>27</v>
      </c>
      <c r="AB19" s="21">
        <f>43-AA19</f>
        <v>16</v>
      </c>
      <c r="AC19" s="21">
        <v>20</v>
      </c>
      <c r="AD19" s="21">
        <v>-12</v>
      </c>
      <c r="AE19" s="21">
        <v>0</v>
      </c>
      <c r="AF19" s="21">
        <v>6</v>
      </c>
      <c r="AG19" s="21">
        <v>0</v>
      </c>
      <c r="AH19" s="5">
        <v>35</v>
      </c>
      <c r="AI19" s="5">
        <v>15</v>
      </c>
      <c r="AJ19" s="5">
        <f>AI19</f>
        <v>15</v>
      </c>
      <c r="AK19" s="5">
        <v>5</v>
      </c>
      <c r="AL19" s="5">
        <f>AK19</f>
        <v>5</v>
      </c>
      <c r="AM19" s="5">
        <f>AL19</f>
        <v>5</v>
      </c>
      <c r="AN19" s="5">
        <f>AM19</f>
        <v>5</v>
      </c>
      <c r="AO19" s="5">
        <f>AN19</f>
        <v>5</v>
      </c>
      <c r="AP19" s="5">
        <f>AO19</f>
        <v>5</v>
      </c>
      <c r="AS19" s="5">
        <f t="shared" ref="AS19:BI19" si="18">SUMIF($E$4:$AR$4,AS$4,$E19:$AR19)</f>
        <v>0</v>
      </c>
      <c r="AT19" s="5">
        <f t="shared" si="18"/>
        <v>0</v>
      </c>
      <c r="AU19" s="5">
        <f t="shared" si="18"/>
        <v>0</v>
      </c>
      <c r="AV19" s="5">
        <f t="shared" si="18"/>
        <v>5</v>
      </c>
      <c r="AW19" s="5">
        <f t="shared" si="18"/>
        <v>1</v>
      </c>
      <c r="AX19" s="5">
        <f t="shared" si="18"/>
        <v>0</v>
      </c>
      <c r="AY19" s="5">
        <f t="shared" si="18"/>
        <v>0</v>
      </c>
      <c r="AZ19" s="5">
        <f t="shared" si="18"/>
        <v>0</v>
      </c>
      <c r="BA19" s="5">
        <f t="shared" si="18"/>
        <v>30</v>
      </c>
      <c r="BB19" s="5">
        <f t="shared" si="18"/>
        <v>43</v>
      </c>
      <c r="BC19" s="5">
        <f t="shared" si="18"/>
        <v>8</v>
      </c>
      <c r="BD19" s="5">
        <f t="shared" si="18"/>
        <v>6</v>
      </c>
      <c r="BE19" s="5">
        <f t="shared" si="18"/>
        <v>35</v>
      </c>
      <c r="BF19" s="5">
        <f t="shared" si="18"/>
        <v>30</v>
      </c>
      <c r="BG19" s="5">
        <f t="shared" si="18"/>
        <v>10</v>
      </c>
      <c r="BH19" s="5">
        <f t="shared" si="18"/>
        <v>10</v>
      </c>
      <c r="BI19" s="5">
        <f t="shared" si="18"/>
        <v>10</v>
      </c>
    </row>
    <row r="20" spans="3:71" x14ac:dyDescent="0.25">
      <c r="C20" t="s">
        <v>377</v>
      </c>
      <c r="D20" t="s">
        <v>32</v>
      </c>
      <c r="E20" s="5"/>
      <c r="F20" s="5"/>
      <c r="G20" s="5"/>
      <c r="H20" s="5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>
        <v>11</v>
      </c>
      <c r="Z20" s="21">
        <f>32-Y20</f>
        <v>21</v>
      </c>
      <c r="AA20" s="21">
        <v>22</v>
      </c>
      <c r="AB20" s="21">
        <f>51-AA20</f>
        <v>29</v>
      </c>
      <c r="AC20" s="21">
        <v>17</v>
      </c>
      <c r="AD20" s="21">
        <f>'Land lease'!AD49</f>
        <v>29</v>
      </c>
      <c r="AE20" s="21">
        <f>'Land lease'!AE49</f>
        <v>23</v>
      </c>
      <c r="AF20" s="21">
        <f>'Land lease'!AF49</f>
        <v>44</v>
      </c>
      <c r="AG20" s="21">
        <f>'Land lease'!AG49</f>
        <v>33</v>
      </c>
      <c r="AH20" s="5">
        <f>'Land lease'!AH49</f>
        <v>45.142640130198522</v>
      </c>
      <c r="AI20" s="5">
        <f>'Land lease'!AI49</f>
        <v>41.313292358370674</v>
      </c>
      <c r="AJ20" s="5">
        <f>'Land lease'!AJ49</f>
        <v>42.446241359397604</v>
      </c>
      <c r="AK20" s="5">
        <f>'Land lease'!AK49</f>
        <v>44.746773217306547</v>
      </c>
      <c r="AL20" s="5">
        <f>'Land lease'!AL49</f>
        <v>46.214468494136291</v>
      </c>
      <c r="AM20" s="5">
        <f>'Land lease'!AM49</f>
        <v>47.639999922544078</v>
      </c>
      <c r="AN20" s="5">
        <f>'Land lease'!AN49</f>
        <v>49.228590238340018</v>
      </c>
      <c r="AO20" s="5">
        <f>'Land lease'!AO49</f>
        <v>50.776517131752207</v>
      </c>
      <c r="AP20" s="5">
        <f>'Land lease'!AP49</f>
        <v>52.497485933756224</v>
      </c>
      <c r="AS20" s="5">
        <f t="shared" si="17"/>
        <v>0</v>
      </c>
      <c r="AT20" s="5">
        <f t="shared" si="17"/>
        <v>0</v>
      </c>
      <c r="AU20" s="5">
        <f t="shared" si="17"/>
        <v>0</v>
      </c>
      <c r="AV20" s="5">
        <f t="shared" si="17"/>
        <v>0</v>
      </c>
      <c r="AW20" s="5">
        <f t="shared" si="17"/>
        <v>0</v>
      </c>
      <c r="AX20" s="5">
        <f t="shared" si="17"/>
        <v>0</v>
      </c>
      <c r="AY20" s="5">
        <f t="shared" si="17"/>
        <v>0</v>
      </c>
      <c r="AZ20" s="5">
        <f t="shared" si="17"/>
        <v>0</v>
      </c>
      <c r="BA20" s="5">
        <f t="shared" si="17"/>
        <v>32</v>
      </c>
      <c r="BB20" s="5">
        <f t="shared" si="17"/>
        <v>51</v>
      </c>
      <c r="BC20" s="5">
        <f t="shared" si="17"/>
        <v>46</v>
      </c>
      <c r="BD20" s="5">
        <f t="shared" si="17"/>
        <v>67</v>
      </c>
      <c r="BE20" s="5">
        <f t="shared" si="17"/>
        <v>78.142640130198515</v>
      </c>
      <c r="BF20" s="5">
        <f t="shared" si="17"/>
        <v>83.759533717768278</v>
      </c>
      <c r="BG20" s="5">
        <f t="shared" si="17"/>
        <v>90.961241711442838</v>
      </c>
      <c r="BH20" s="5">
        <f t="shared" si="17"/>
        <v>96.868590160884096</v>
      </c>
      <c r="BI20" s="5">
        <f t="shared" si="17"/>
        <v>103.27400306550842</v>
      </c>
    </row>
    <row r="21" spans="3:71" x14ac:dyDescent="0.25">
      <c r="C21" t="s">
        <v>204</v>
      </c>
      <c r="D21" t="s">
        <v>32</v>
      </c>
      <c r="E21" s="5"/>
      <c r="F21" s="5"/>
      <c r="G21" s="5"/>
      <c r="H21" s="5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>
        <v>-72</v>
      </c>
      <c r="Z21" s="21">
        <f>-149-Y21</f>
        <v>-77</v>
      </c>
      <c r="AA21" s="21">
        <v>-87</v>
      </c>
      <c r="AB21" s="21">
        <f>-171-AA21</f>
        <v>-84</v>
      </c>
      <c r="AC21" s="21">
        <v>-86</v>
      </c>
      <c r="AD21" s="21">
        <f>-190-AC21</f>
        <v>-104</v>
      </c>
      <c r="AE21" s="21">
        <v>-94</v>
      </c>
      <c r="AF21" s="21">
        <f>-196-AE21</f>
        <v>-102</v>
      </c>
      <c r="AG21" s="21">
        <v>-113</v>
      </c>
      <c r="AH21" s="82">
        <f>AF21*1.1</f>
        <v>-112.2</v>
      </c>
      <c r="AI21" s="82">
        <f t="shared" ref="AI21:AN21" si="19">AH21*1.015</f>
        <v>-113.883</v>
      </c>
      <c r="AJ21" s="82">
        <f t="shared" si="19"/>
        <v>-115.59124499999999</v>
      </c>
      <c r="AK21" s="82">
        <f t="shared" si="19"/>
        <v>-117.32511367499997</v>
      </c>
      <c r="AL21" s="82">
        <f t="shared" si="19"/>
        <v>-119.08499038012496</v>
      </c>
      <c r="AM21" s="82">
        <f t="shared" si="19"/>
        <v>-120.87126523582683</v>
      </c>
      <c r="AN21" s="82">
        <f t="shared" si="19"/>
        <v>-122.68433421436421</v>
      </c>
      <c r="AO21" s="82">
        <f t="shared" ref="AO21" si="20">AN21*1.015</f>
        <v>-124.52459922757967</v>
      </c>
      <c r="AP21" s="82">
        <f t="shared" ref="AP21" si="21">AO21*1.015</f>
        <v>-126.39246821599335</v>
      </c>
      <c r="AS21" s="5">
        <f t="shared" si="17"/>
        <v>0</v>
      </c>
      <c r="AT21" s="5">
        <f t="shared" si="17"/>
        <v>0</v>
      </c>
      <c r="AU21" s="5">
        <f t="shared" si="17"/>
        <v>0</v>
      </c>
      <c r="AV21" s="5">
        <f t="shared" si="17"/>
        <v>0</v>
      </c>
      <c r="AW21" s="5">
        <f t="shared" si="17"/>
        <v>0</v>
      </c>
      <c r="AX21" s="5">
        <f t="shared" si="17"/>
        <v>0</v>
      </c>
      <c r="AY21" s="5">
        <f t="shared" si="17"/>
        <v>0</v>
      </c>
      <c r="AZ21" s="5">
        <f t="shared" si="17"/>
        <v>0</v>
      </c>
      <c r="BA21" s="5">
        <f t="shared" si="17"/>
        <v>-149</v>
      </c>
      <c r="BB21" s="5">
        <f t="shared" si="17"/>
        <v>-171</v>
      </c>
      <c r="BC21" s="5">
        <f t="shared" si="17"/>
        <v>-190</v>
      </c>
      <c r="BD21" s="5">
        <f t="shared" si="17"/>
        <v>-196</v>
      </c>
      <c r="BE21" s="5">
        <f t="shared" si="17"/>
        <v>-225.2</v>
      </c>
      <c r="BF21" s="5">
        <f t="shared" si="17"/>
        <v>-229.474245</v>
      </c>
      <c r="BG21" s="5">
        <f t="shared" si="17"/>
        <v>-236.41010405512492</v>
      </c>
      <c r="BH21" s="5">
        <f t="shared" si="17"/>
        <v>-243.55559945019104</v>
      </c>
      <c r="BI21" s="5">
        <f t="shared" si="17"/>
        <v>-250.91706744357302</v>
      </c>
    </row>
    <row r="22" spans="3:71" s="6" customFormat="1" x14ac:dyDescent="0.25">
      <c r="C22" s="6" t="s">
        <v>147</v>
      </c>
      <c r="D22" s="6" t="s">
        <v>32</v>
      </c>
      <c r="E22" s="7"/>
      <c r="F22" s="7"/>
      <c r="G22" s="7"/>
      <c r="H22" s="7"/>
      <c r="I22" s="7">
        <f t="shared" ref="I22:AN22" si="22">SUM(I17:I21)</f>
        <v>39</v>
      </c>
      <c r="J22" s="7">
        <f t="shared" si="22"/>
        <v>56</v>
      </c>
      <c r="K22" s="7">
        <f t="shared" si="22"/>
        <v>67</v>
      </c>
      <c r="L22" s="7">
        <f t="shared" si="22"/>
        <v>99</v>
      </c>
      <c r="M22" s="7">
        <f t="shared" si="22"/>
        <v>98</v>
      </c>
      <c r="N22" s="7">
        <f t="shared" si="22"/>
        <v>132</v>
      </c>
      <c r="O22" s="7">
        <f t="shared" si="22"/>
        <v>105</v>
      </c>
      <c r="P22" s="7">
        <f t="shared" si="22"/>
        <v>170</v>
      </c>
      <c r="Q22" s="7">
        <f t="shared" si="22"/>
        <v>183</v>
      </c>
      <c r="R22" s="7">
        <f t="shared" si="22"/>
        <v>154</v>
      </c>
      <c r="S22" s="7">
        <f t="shared" si="22"/>
        <v>142</v>
      </c>
      <c r="T22" s="7">
        <f t="shared" si="22"/>
        <v>220</v>
      </c>
      <c r="U22" s="7">
        <f t="shared" si="22"/>
        <v>134</v>
      </c>
      <c r="V22" s="7">
        <f t="shared" si="22"/>
        <v>238</v>
      </c>
      <c r="W22" s="7">
        <f t="shared" si="22"/>
        <v>136</v>
      </c>
      <c r="X22" s="7">
        <f t="shared" si="22"/>
        <v>195</v>
      </c>
      <c r="Y22" s="7">
        <f t="shared" si="22"/>
        <v>151</v>
      </c>
      <c r="Z22" s="7">
        <f t="shared" si="22"/>
        <v>222</v>
      </c>
      <c r="AA22" s="7">
        <f t="shared" si="22"/>
        <v>138</v>
      </c>
      <c r="AB22" s="7">
        <f t="shared" si="22"/>
        <v>307</v>
      </c>
      <c r="AC22" s="7">
        <f t="shared" si="22"/>
        <v>51</v>
      </c>
      <c r="AD22" s="7">
        <f t="shared" si="22"/>
        <v>361</v>
      </c>
      <c r="AE22" s="7">
        <f t="shared" si="22"/>
        <v>36</v>
      </c>
      <c r="AF22" s="7">
        <f t="shared" si="22"/>
        <v>424</v>
      </c>
      <c r="AG22" s="7">
        <f t="shared" si="22"/>
        <v>106</v>
      </c>
      <c r="AH22" s="7">
        <f t="shared" si="22"/>
        <v>396.21984245174468</v>
      </c>
      <c r="AI22" s="7">
        <f t="shared" si="22"/>
        <v>271.17802490396707</v>
      </c>
      <c r="AJ22" s="7">
        <f t="shared" si="22"/>
        <v>276.8950362211566</v>
      </c>
      <c r="AK22" s="7">
        <f t="shared" si="22"/>
        <v>284.56374813332781</v>
      </c>
      <c r="AL22" s="7">
        <f t="shared" si="22"/>
        <v>292.61953236295682</v>
      </c>
      <c r="AM22" s="7">
        <f t="shared" si="22"/>
        <v>299.81707396021966</v>
      </c>
      <c r="AN22" s="7">
        <f t="shared" si="22"/>
        <v>308.44821800852765</v>
      </c>
      <c r="AO22" s="7">
        <f t="shared" ref="AO22:AP22" si="23">SUM(AO17:AO21)</f>
        <v>316.19903575723993</v>
      </c>
      <c r="AP22" s="7">
        <f t="shared" si="23"/>
        <v>325.45489536633085</v>
      </c>
      <c r="AR22" s="22"/>
      <c r="AS22" s="7">
        <f t="shared" ref="AS22:BH22" si="24">SUM(AS17:AS21)</f>
        <v>95</v>
      </c>
      <c r="AT22" s="7">
        <f t="shared" si="24"/>
        <v>166</v>
      </c>
      <c r="AU22" s="7">
        <f t="shared" si="24"/>
        <v>230</v>
      </c>
      <c r="AV22" s="7">
        <f t="shared" si="24"/>
        <v>275</v>
      </c>
      <c r="AW22" s="7">
        <f t="shared" si="24"/>
        <v>337</v>
      </c>
      <c r="AX22" s="7">
        <f t="shared" si="24"/>
        <v>362</v>
      </c>
      <c r="AY22" s="7">
        <f t="shared" si="24"/>
        <v>372</v>
      </c>
      <c r="AZ22" s="7">
        <f t="shared" si="24"/>
        <v>331</v>
      </c>
      <c r="BA22" s="7">
        <f t="shared" si="24"/>
        <v>373</v>
      </c>
      <c r="BB22" s="7">
        <f t="shared" si="24"/>
        <v>445</v>
      </c>
      <c r="BC22" s="7">
        <f t="shared" si="24"/>
        <v>412</v>
      </c>
      <c r="BD22" s="7">
        <f t="shared" si="24"/>
        <v>460</v>
      </c>
      <c r="BE22" s="7">
        <f t="shared" si="24"/>
        <v>502.21984245174468</v>
      </c>
      <c r="BF22" s="7">
        <f t="shared" si="24"/>
        <v>548.07306112512356</v>
      </c>
      <c r="BG22" s="7">
        <f t="shared" si="24"/>
        <v>577.18328049628462</v>
      </c>
      <c r="BH22" s="7">
        <f t="shared" si="24"/>
        <v>608.26529196874731</v>
      </c>
      <c r="BI22" s="7">
        <f t="shared" ref="BI22" si="25">SUM(BI17:BI21)</f>
        <v>641.65393112357071</v>
      </c>
      <c r="BM22" s="22"/>
      <c r="BN22"/>
      <c r="BO22"/>
      <c r="BP22"/>
      <c r="BQ22"/>
      <c r="BR22"/>
      <c r="BS22"/>
    </row>
    <row r="23" spans="3:71" x14ac:dyDescent="0.25"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</row>
    <row r="24" spans="3:71" x14ac:dyDescent="0.25">
      <c r="C24" t="s">
        <v>1</v>
      </c>
      <c r="D24" t="s">
        <v>32</v>
      </c>
      <c r="E24" s="5"/>
      <c r="F24" s="5"/>
      <c r="G24" s="5"/>
      <c r="H24" s="5"/>
      <c r="I24" s="21">
        <v>3</v>
      </c>
      <c r="J24" s="21">
        <f>27-I24</f>
        <v>24</v>
      </c>
      <c r="K24" s="21">
        <v>3</v>
      </c>
      <c r="L24" s="21">
        <f>2-K24</f>
        <v>-1</v>
      </c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S24" s="5">
        <f t="shared" ref="AS24:BI26" si="26">SUMIF($E$4:$AR$4,AS$4,$E24:$AR24)</f>
        <v>27</v>
      </c>
      <c r="AT24" s="5">
        <f t="shared" si="26"/>
        <v>2</v>
      </c>
      <c r="AU24" s="5">
        <f t="shared" si="26"/>
        <v>0</v>
      </c>
      <c r="AV24" s="5">
        <f t="shared" si="26"/>
        <v>0</v>
      </c>
      <c r="AW24" s="5">
        <f t="shared" si="26"/>
        <v>0</v>
      </c>
      <c r="AX24" s="5">
        <f t="shared" si="26"/>
        <v>0</v>
      </c>
      <c r="AY24" s="5">
        <f t="shared" si="26"/>
        <v>0</v>
      </c>
      <c r="AZ24" s="5">
        <f t="shared" si="26"/>
        <v>0</v>
      </c>
      <c r="BA24" s="5">
        <f t="shared" si="26"/>
        <v>0</v>
      </c>
      <c r="BB24" s="5">
        <f t="shared" si="26"/>
        <v>0</v>
      </c>
      <c r="BC24" s="5">
        <f t="shared" si="26"/>
        <v>0</v>
      </c>
      <c r="BD24" s="5">
        <f t="shared" si="26"/>
        <v>0</v>
      </c>
      <c r="BE24" s="5">
        <f t="shared" si="26"/>
        <v>0</v>
      </c>
      <c r="BF24" s="5">
        <f t="shared" si="26"/>
        <v>0</v>
      </c>
      <c r="BG24" s="5">
        <f t="shared" si="26"/>
        <v>0</v>
      </c>
      <c r="BH24" s="5">
        <f t="shared" si="26"/>
        <v>0</v>
      </c>
      <c r="BI24" s="5">
        <f t="shared" si="26"/>
        <v>0</v>
      </c>
    </row>
    <row r="25" spans="3:71" x14ac:dyDescent="0.25">
      <c r="C25" t="s">
        <v>207</v>
      </c>
      <c r="D25" t="s">
        <v>32</v>
      </c>
      <c r="E25" s="5"/>
      <c r="F25" s="5"/>
      <c r="G25" s="5"/>
      <c r="H25" s="5"/>
      <c r="I25" s="21">
        <v>15</v>
      </c>
      <c r="J25" s="21">
        <f>40-I25</f>
        <v>25</v>
      </c>
      <c r="K25" s="21">
        <v>16</v>
      </c>
      <c r="L25" s="21">
        <f>48-K25</f>
        <v>32</v>
      </c>
      <c r="M25" s="21">
        <v>18</v>
      </c>
      <c r="N25" s="21">
        <f>57-M25</f>
        <v>39</v>
      </c>
      <c r="O25" s="21">
        <v>26</v>
      </c>
      <c r="P25" s="21">
        <f>63-O25</f>
        <v>37</v>
      </c>
      <c r="Q25" s="21">
        <v>18</v>
      </c>
      <c r="R25" s="21">
        <f>53-Q25</f>
        <v>35</v>
      </c>
      <c r="S25" s="21">
        <v>20</v>
      </c>
      <c r="T25" s="21">
        <f>56-S25</f>
        <v>36</v>
      </c>
      <c r="U25" s="21">
        <v>17</v>
      </c>
      <c r="V25" s="21">
        <f>58-U25</f>
        <v>41</v>
      </c>
      <c r="W25" s="21">
        <v>36</v>
      </c>
      <c r="X25" s="21">
        <f>54-W25</f>
        <v>18</v>
      </c>
      <c r="Y25" s="21">
        <v>15</v>
      </c>
      <c r="Z25" s="21">
        <f>97-Y25</f>
        <v>82</v>
      </c>
      <c r="AA25" s="21"/>
      <c r="AB25" s="21">
        <v>3</v>
      </c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S25" s="5">
        <f t="shared" si="26"/>
        <v>40</v>
      </c>
      <c r="AT25" s="5">
        <f t="shared" si="26"/>
        <v>48</v>
      </c>
      <c r="AU25" s="5">
        <f t="shared" si="26"/>
        <v>57</v>
      </c>
      <c r="AV25" s="5">
        <f t="shared" si="26"/>
        <v>63</v>
      </c>
      <c r="AW25" s="5">
        <f t="shared" si="26"/>
        <v>53</v>
      </c>
      <c r="AX25" s="5">
        <f t="shared" si="26"/>
        <v>56</v>
      </c>
      <c r="AY25" s="5">
        <f t="shared" si="26"/>
        <v>58</v>
      </c>
      <c r="AZ25" s="5">
        <f t="shared" si="26"/>
        <v>54</v>
      </c>
      <c r="BA25" s="5">
        <f t="shared" si="26"/>
        <v>97</v>
      </c>
      <c r="BB25" s="5">
        <f t="shared" si="26"/>
        <v>3</v>
      </c>
      <c r="BC25" s="5">
        <f t="shared" si="26"/>
        <v>0</v>
      </c>
      <c r="BD25" s="5">
        <f t="shared" si="26"/>
        <v>0</v>
      </c>
      <c r="BE25" s="5">
        <f t="shared" si="26"/>
        <v>0</v>
      </c>
      <c r="BF25" s="5">
        <f t="shared" si="26"/>
        <v>0</v>
      </c>
      <c r="BG25" s="5">
        <f t="shared" si="26"/>
        <v>0</v>
      </c>
      <c r="BH25" s="5">
        <f t="shared" si="26"/>
        <v>0</v>
      </c>
      <c r="BI25" s="5">
        <f t="shared" si="26"/>
        <v>0</v>
      </c>
    </row>
    <row r="26" spans="3:71" x14ac:dyDescent="0.25">
      <c r="C26" t="s">
        <v>208</v>
      </c>
      <c r="D26" t="s">
        <v>32</v>
      </c>
      <c r="E26" s="21"/>
      <c r="F26" s="21"/>
      <c r="G26" s="21"/>
      <c r="H26" s="21"/>
      <c r="I26" s="21">
        <v>-22</v>
      </c>
      <c r="J26" s="21">
        <f>-52-I26</f>
        <v>-30</v>
      </c>
      <c r="K26" s="21">
        <v>-24</v>
      </c>
      <c r="L26" s="21">
        <f>-60-K26</f>
        <v>-36</v>
      </c>
      <c r="M26" s="21">
        <v>-27</v>
      </c>
      <c r="N26" s="21">
        <f>-57-M26</f>
        <v>-30</v>
      </c>
      <c r="O26" s="21">
        <v>-29</v>
      </c>
      <c r="P26" s="21">
        <f>-60-O26</f>
        <v>-31</v>
      </c>
      <c r="Q26" s="21">
        <v>-30</v>
      </c>
      <c r="R26" s="21">
        <f>-66-Q26</f>
        <v>-36</v>
      </c>
      <c r="S26" s="21">
        <v>-32</v>
      </c>
      <c r="T26" s="21">
        <f>-61-S26</f>
        <v>-29</v>
      </c>
      <c r="U26" s="21">
        <v>-27</v>
      </c>
      <c r="V26" s="21">
        <f>-56-U26</f>
        <v>-29</v>
      </c>
      <c r="W26" s="21">
        <v>-28</v>
      </c>
      <c r="X26" s="21">
        <f>-69-W26</f>
        <v>-41</v>
      </c>
      <c r="Y26" s="21">
        <v>-35</v>
      </c>
      <c r="Z26" s="21">
        <f>-89-Y26</f>
        <v>-54</v>
      </c>
      <c r="AA26" s="21">
        <v>-47</v>
      </c>
      <c r="AB26" s="21">
        <f>-93-AA26</f>
        <v>-46</v>
      </c>
      <c r="AC26" s="21">
        <v>-49</v>
      </c>
      <c r="AD26" s="21">
        <f>-96-AC26</f>
        <v>-47</v>
      </c>
      <c r="AE26" s="21">
        <v>-47</v>
      </c>
      <c r="AF26" s="21">
        <f>-90-AE26</f>
        <v>-43</v>
      </c>
      <c r="AG26" s="21">
        <v>-51</v>
      </c>
      <c r="AH26" s="82">
        <v>-47.587499999999999</v>
      </c>
      <c r="AI26" s="82">
        <f t="shared" ref="AI26:AN26" si="27">AG26*1.0125</f>
        <v>-51.637499999999996</v>
      </c>
      <c r="AJ26" s="82">
        <f t="shared" si="27"/>
        <v>-48.182343749999994</v>
      </c>
      <c r="AK26" s="82">
        <f t="shared" si="27"/>
        <v>-52.282968749999995</v>
      </c>
      <c r="AL26" s="82">
        <f t="shared" si="27"/>
        <v>-48.784623046874991</v>
      </c>
      <c r="AM26" s="82">
        <f t="shared" si="27"/>
        <v>-52.936505859374989</v>
      </c>
      <c r="AN26" s="82">
        <f t="shared" si="27"/>
        <v>-49.394430834960929</v>
      </c>
      <c r="AO26" s="82">
        <f t="shared" ref="AO26" si="28">AM26*1.0125</f>
        <v>-53.598212182617175</v>
      </c>
      <c r="AP26" s="82">
        <f t="shared" ref="AP26" si="29">AN26*1.0125</f>
        <v>-50.01186122039794</v>
      </c>
      <c r="AS26" s="5">
        <f t="shared" si="26"/>
        <v>-52</v>
      </c>
      <c r="AT26" s="5">
        <f t="shared" si="26"/>
        <v>-60</v>
      </c>
      <c r="AU26" s="5">
        <f t="shared" si="26"/>
        <v>-57</v>
      </c>
      <c r="AV26" s="5">
        <f t="shared" si="26"/>
        <v>-60</v>
      </c>
      <c r="AW26" s="5">
        <f t="shared" si="26"/>
        <v>-66</v>
      </c>
      <c r="AX26" s="5">
        <f t="shared" si="26"/>
        <v>-61</v>
      </c>
      <c r="AY26" s="5">
        <f t="shared" si="26"/>
        <v>-56</v>
      </c>
      <c r="AZ26" s="5">
        <f t="shared" si="26"/>
        <v>-69</v>
      </c>
      <c r="BA26" s="5">
        <f t="shared" si="26"/>
        <v>-89</v>
      </c>
      <c r="BB26" s="5">
        <f t="shared" si="26"/>
        <v>-93</v>
      </c>
      <c r="BC26" s="5">
        <f t="shared" si="26"/>
        <v>-96</v>
      </c>
      <c r="BD26" s="5">
        <f t="shared" si="26"/>
        <v>-90</v>
      </c>
      <c r="BE26" s="5">
        <f t="shared" si="26"/>
        <v>-98.587500000000006</v>
      </c>
      <c r="BF26" s="5">
        <f t="shared" si="26"/>
        <v>-99.81984374999999</v>
      </c>
      <c r="BG26" s="5">
        <f t="shared" si="26"/>
        <v>-101.06759179687498</v>
      </c>
      <c r="BH26" s="5">
        <f t="shared" si="26"/>
        <v>-102.33093669433592</v>
      </c>
      <c r="BI26" s="5">
        <f t="shared" si="26"/>
        <v>-103.61007340301512</v>
      </c>
    </row>
    <row r="27" spans="3:71" s="6" customFormat="1" x14ac:dyDescent="0.25">
      <c r="C27" s="6" t="s">
        <v>3</v>
      </c>
      <c r="D27" s="6" t="s">
        <v>32</v>
      </c>
      <c r="E27" s="7"/>
      <c r="F27" s="7"/>
      <c r="G27" s="7"/>
      <c r="H27" s="7"/>
      <c r="I27" s="7">
        <f t="shared" ref="I27:AN27" si="30">I15+I22+SUM(I24:I26)</f>
        <v>307</v>
      </c>
      <c r="J27" s="7">
        <f t="shared" si="30"/>
        <v>345</v>
      </c>
      <c r="K27" s="7">
        <f t="shared" si="30"/>
        <v>343</v>
      </c>
      <c r="L27" s="7">
        <f t="shared" si="30"/>
        <v>383</v>
      </c>
      <c r="M27" s="7">
        <f t="shared" si="30"/>
        <v>380</v>
      </c>
      <c r="N27" s="7">
        <f t="shared" si="30"/>
        <v>434</v>
      </c>
      <c r="O27" s="7">
        <f t="shared" si="30"/>
        <v>409</v>
      </c>
      <c r="P27" s="7">
        <f t="shared" si="30"/>
        <v>472</v>
      </c>
      <c r="Q27" s="7">
        <f t="shared" si="30"/>
        <v>472</v>
      </c>
      <c r="R27" s="7">
        <f t="shared" si="30"/>
        <v>465</v>
      </c>
      <c r="S27" s="7">
        <f t="shared" si="30"/>
        <v>444</v>
      </c>
      <c r="T27" s="7">
        <f t="shared" si="30"/>
        <v>536</v>
      </c>
      <c r="U27" s="7">
        <f t="shared" si="30"/>
        <v>432</v>
      </c>
      <c r="V27" s="7">
        <f t="shared" si="30"/>
        <v>479</v>
      </c>
      <c r="W27" s="7">
        <f t="shared" si="30"/>
        <v>430</v>
      </c>
      <c r="X27" s="7">
        <f t="shared" si="30"/>
        <v>444</v>
      </c>
      <c r="Y27" s="7">
        <f t="shared" si="30"/>
        <v>387</v>
      </c>
      <c r="Z27" s="7">
        <f t="shared" si="30"/>
        <v>539</v>
      </c>
      <c r="AA27" s="7">
        <f t="shared" si="30"/>
        <v>386</v>
      </c>
      <c r="AB27" s="7">
        <f t="shared" si="30"/>
        <v>572</v>
      </c>
      <c r="AC27" s="7">
        <f t="shared" si="30"/>
        <v>321</v>
      </c>
      <c r="AD27" s="7">
        <f t="shared" si="30"/>
        <v>625</v>
      </c>
      <c r="AE27" s="7">
        <f t="shared" si="30"/>
        <v>286</v>
      </c>
      <c r="AF27" s="7">
        <f t="shared" si="30"/>
        <v>675</v>
      </c>
      <c r="AG27" s="7">
        <f t="shared" si="30"/>
        <v>351</v>
      </c>
      <c r="AH27" s="7">
        <f t="shared" si="30"/>
        <v>655.76129457878938</v>
      </c>
      <c r="AI27" s="7">
        <f t="shared" si="30"/>
        <v>538.22033676622709</v>
      </c>
      <c r="AJ27" s="7">
        <f t="shared" si="30"/>
        <v>561.64419396406129</v>
      </c>
      <c r="AK27" s="7">
        <f t="shared" si="30"/>
        <v>574.23793955589031</v>
      </c>
      <c r="AL27" s="7">
        <f t="shared" si="30"/>
        <v>594.60980102548058</v>
      </c>
      <c r="AM27" s="7">
        <f t="shared" si="30"/>
        <v>606.11399247451561</v>
      </c>
      <c r="AN27" s="7">
        <f t="shared" si="30"/>
        <v>627.53791071673299</v>
      </c>
      <c r="AO27" s="7">
        <f t="shared" ref="AO27:AP27" si="31">AO15+AO22+SUM(AO24:AO26)</f>
        <v>639.98386941893125</v>
      </c>
      <c r="AP27" s="7">
        <f t="shared" si="31"/>
        <v>662.54249798464559</v>
      </c>
      <c r="AR27" s="22"/>
      <c r="AS27" s="85">
        <f t="shared" ref="AS27:BH27" si="32">AS15+AS22+SUM(AS24:AS26)</f>
        <v>652</v>
      </c>
      <c r="AT27" s="85">
        <f t="shared" si="32"/>
        <v>726</v>
      </c>
      <c r="AU27" s="85">
        <f t="shared" si="32"/>
        <v>814</v>
      </c>
      <c r="AV27" s="85">
        <f t="shared" si="32"/>
        <v>881</v>
      </c>
      <c r="AW27" s="85">
        <f t="shared" si="32"/>
        <v>937</v>
      </c>
      <c r="AX27" s="85">
        <f t="shared" si="32"/>
        <v>980</v>
      </c>
      <c r="AY27" s="85">
        <f t="shared" si="32"/>
        <v>911</v>
      </c>
      <c r="AZ27" s="85">
        <f t="shared" si="32"/>
        <v>874</v>
      </c>
      <c r="BA27" s="85">
        <f t="shared" si="32"/>
        <v>926</v>
      </c>
      <c r="BB27" s="85">
        <f t="shared" si="32"/>
        <v>958</v>
      </c>
      <c r="BC27" s="85">
        <f t="shared" si="32"/>
        <v>946</v>
      </c>
      <c r="BD27" s="85">
        <f t="shared" si="32"/>
        <v>961</v>
      </c>
      <c r="BE27" s="85">
        <f t="shared" si="32"/>
        <v>1006.7612945787893</v>
      </c>
      <c r="BF27" s="85">
        <f t="shared" si="32"/>
        <v>1099.8645307302882</v>
      </c>
      <c r="BG27" s="85">
        <f t="shared" si="32"/>
        <v>1168.8477405813712</v>
      </c>
      <c r="BH27" s="85">
        <f t="shared" si="32"/>
        <v>1233.6519031912485</v>
      </c>
      <c r="BI27" s="85">
        <f t="shared" ref="BI27" si="33">BI15+BI22+SUM(BI24:BI26)</f>
        <v>1302.5263674035768</v>
      </c>
      <c r="BM27" s="22"/>
      <c r="BN27"/>
      <c r="BO27"/>
      <c r="BP27"/>
      <c r="BQ27"/>
      <c r="BR27"/>
      <c r="BS27"/>
    </row>
    <row r="28" spans="3:71" x14ac:dyDescent="0.25"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</row>
    <row r="29" spans="3:71" x14ac:dyDescent="0.25">
      <c r="C29" t="s">
        <v>33</v>
      </c>
      <c r="D29" t="s">
        <v>32</v>
      </c>
      <c r="E29" s="21"/>
      <c r="F29" s="21"/>
      <c r="G29" s="21"/>
      <c r="H29" s="21"/>
      <c r="I29" s="21">
        <f>Debt!I85</f>
        <v>-38</v>
      </c>
      <c r="J29" s="21">
        <f>Debt!J85</f>
        <v>-41</v>
      </c>
      <c r="K29" s="21">
        <f>Debt!K85</f>
        <v>-36</v>
      </c>
      <c r="L29" s="21">
        <f>Debt!L85</f>
        <v>-33</v>
      </c>
      <c r="M29" s="21">
        <f>Debt!M85</f>
        <v>-38</v>
      </c>
      <c r="N29" s="21">
        <f>Debt!N85</f>
        <v>-36</v>
      </c>
      <c r="O29" s="21">
        <f>Debt!O85</f>
        <v>-40</v>
      </c>
      <c r="P29" s="21">
        <f>Debt!P85</f>
        <v>-39</v>
      </c>
      <c r="Q29" s="21">
        <f>Debt!Q85</f>
        <v>-36</v>
      </c>
      <c r="R29" s="21">
        <f>Debt!R85</f>
        <v>-38</v>
      </c>
      <c r="S29" s="21">
        <f>Debt!S85</f>
        <v>-37</v>
      </c>
      <c r="T29" s="21">
        <f>Debt!T85</f>
        <v>-46</v>
      </c>
      <c r="U29" s="21">
        <f>Debt!U85</f>
        <v>-48</v>
      </c>
      <c r="V29" s="21">
        <f>Debt!V85</f>
        <v>-38</v>
      </c>
      <c r="W29" s="21">
        <f>Debt!W85</f>
        <v>-44</v>
      </c>
      <c r="X29" s="21">
        <f>Debt!X85</f>
        <v>-42</v>
      </c>
      <c r="Y29" s="21">
        <f>Debt!Y85</f>
        <v>-37</v>
      </c>
      <c r="Z29" s="21">
        <f>Debt!Z85</f>
        <v>-35</v>
      </c>
      <c r="AA29" s="21">
        <f>Debt!AA85</f>
        <v>-33</v>
      </c>
      <c r="AB29" s="21">
        <f>-75-AA29</f>
        <v>-42</v>
      </c>
      <c r="AC29" s="21">
        <v>-55</v>
      </c>
      <c r="AD29" s="21">
        <f>Debt!AD85</f>
        <v>-48</v>
      </c>
      <c r="AE29" s="21">
        <f>Debt!AE85</f>
        <v>-35</v>
      </c>
      <c r="AF29" s="21">
        <f>Debt!AF85</f>
        <v>-44</v>
      </c>
      <c r="AG29" s="21">
        <f>Debt!AG85</f>
        <v>-26</v>
      </c>
      <c r="AH29" s="5">
        <f ca="1">Debt!AH85</f>
        <v>-26.864778553223356</v>
      </c>
      <c r="AI29" s="5">
        <f ca="1">Debt!AI85</f>
        <v>-27.258604736732678</v>
      </c>
      <c r="AJ29" s="5">
        <f ca="1">Debt!AJ85</f>
        <v>-36.578504245523156</v>
      </c>
      <c r="AK29" s="5">
        <f ca="1">Debt!AK85</f>
        <v>-42.131695641439002</v>
      </c>
      <c r="AL29" s="5">
        <f ca="1">Debt!AL85</f>
        <v>-47.111426171045331</v>
      </c>
      <c r="AM29" s="5">
        <f ca="1">Debt!AM85</f>
        <v>-51.649780600930775</v>
      </c>
      <c r="AN29" s="5">
        <f ca="1">Debt!AN85</f>
        <v>-57.212233859464341</v>
      </c>
      <c r="AO29" s="5">
        <f ca="1">Debt!AO85</f>
        <v>-62.745638833901246</v>
      </c>
      <c r="AP29" s="5">
        <f ca="1">Debt!AP85</f>
        <v>-68.561810875516599</v>
      </c>
      <c r="AS29" s="5">
        <f t="shared" ref="AS29:BI30" si="34">SUMIF($E$4:$AR$4,AS$4,$E29:$AR29)</f>
        <v>-79</v>
      </c>
      <c r="AT29" s="5">
        <f t="shared" si="34"/>
        <v>-69</v>
      </c>
      <c r="AU29" s="5">
        <f t="shared" si="34"/>
        <v>-74</v>
      </c>
      <c r="AV29" s="5">
        <f t="shared" si="34"/>
        <v>-79</v>
      </c>
      <c r="AW29" s="5">
        <f t="shared" si="34"/>
        <v>-74</v>
      </c>
      <c r="AX29" s="5">
        <f t="shared" si="34"/>
        <v>-83</v>
      </c>
      <c r="AY29" s="5">
        <f t="shared" si="34"/>
        <v>-86</v>
      </c>
      <c r="AZ29" s="5">
        <f t="shared" si="34"/>
        <v>-86</v>
      </c>
      <c r="BA29" s="5">
        <f t="shared" si="34"/>
        <v>-72</v>
      </c>
      <c r="BB29" s="5">
        <f t="shared" si="34"/>
        <v>-75</v>
      </c>
      <c r="BC29" s="5">
        <f t="shared" si="34"/>
        <v>-103</v>
      </c>
      <c r="BD29" s="5">
        <f t="shared" si="34"/>
        <v>-79</v>
      </c>
      <c r="BE29" s="5">
        <f t="shared" ca="1" si="34"/>
        <v>-52.86477855322336</v>
      </c>
      <c r="BF29" s="5">
        <f t="shared" ca="1" si="34"/>
        <v>-63.837108982255835</v>
      </c>
      <c r="BG29" s="5">
        <f t="shared" ca="1" si="34"/>
        <v>-89.243121812484333</v>
      </c>
      <c r="BH29" s="5">
        <f t="shared" ca="1" si="34"/>
        <v>-108.86201446039512</v>
      </c>
      <c r="BI29" s="5">
        <f t="shared" ca="1" si="34"/>
        <v>-131.30744970941785</v>
      </c>
    </row>
    <row r="30" spans="3:71" x14ac:dyDescent="0.25">
      <c r="C30" t="s">
        <v>5</v>
      </c>
      <c r="D30" t="s">
        <v>32</v>
      </c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>
        <f>847-883</f>
        <v>-36</v>
      </c>
      <c r="AC30" s="21">
        <v>0</v>
      </c>
      <c r="AD30" s="21">
        <v>-57</v>
      </c>
      <c r="AE30" s="21">
        <v>0</v>
      </c>
      <c r="AF30" s="21">
        <v>-74</v>
      </c>
      <c r="AG30" s="21">
        <v>0</v>
      </c>
      <c r="AH30" s="5">
        <f t="shared" ref="AH30:AN30" ca="1" si="35">(AH22+AH26*0.28+AH29*0.28)*20%*-1</f>
        <v>-75.074640891368432</v>
      </c>
      <c r="AI30" s="5">
        <f t="shared" ca="1" si="35"/>
        <v>-49.817423115536386</v>
      </c>
      <c r="AJ30" s="5">
        <f t="shared" ca="1" si="35"/>
        <v>-50.63239975648203</v>
      </c>
      <c r="AK30" s="5">
        <f t="shared" ca="1" si="35"/>
        <v>-51.625528420744971</v>
      </c>
      <c r="AL30" s="5">
        <f t="shared" ca="1" si="35"/>
        <v>-53.153727716387827</v>
      </c>
      <c r="AM30" s="5">
        <f t="shared" ca="1" si="35"/>
        <v>-54.10658275026681</v>
      </c>
      <c r="AN30" s="5">
        <f t="shared" ca="1" si="35"/>
        <v>-55.719670378817717</v>
      </c>
      <c r="AO30" s="5">
        <f t="shared" ref="AO30:AP30" ca="1" si="36">(AO22+AO26*0.28+AO29*0.28)*20%*-1</f>
        <v>-56.724551494522956</v>
      </c>
      <c r="AP30" s="5">
        <f t="shared" ca="1" si="36"/>
        <v>-58.450853435894956</v>
      </c>
      <c r="AS30" s="5">
        <f t="shared" si="34"/>
        <v>0</v>
      </c>
      <c r="AT30" s="5">
        <f t="shared" si="34"/>
        <v>0</v>
      </c>
      <c r="AU30" s="5">
        <f t="shared" si="34"/>
        <v>0</v>
      </c>
      <c r="AV30" s="5">
        <f t="shared" si="34"/>
        <v>0</v>
      </c>
      <c r="AW30" s="5">
        <f t="shared" si="34"/>
        <v>0</v>
      </c>
      <c r="AX30" s="5">
        <f t="shared" si="34"/>
        <v>0</v>
      </c>
      <c r="AY30" s="5">
        <f t="shared" si="34"/>
        <v>0</v>
      </c>
      <c r="AZ30" s="5">
        <f t="shared" si="34"/>
        <v>0</v>
      </c>
      <c r="BA30" s="5">
        <f t="shared" si="34"/>
        <v>0</v>
      </c>
      <c r="BB30" s="5">
        <f t="shared" si="34"/>
        <v>-36</v>
      </c>
      <c r="BC30" s="5">
        <f t="shared" si="34"/>
        <v>-57</v>
      </c>
      <c r="BD30" s="5">
        <f t="shared" si="34"/>
        <v>-74</v>
      </c>
      <c r="BE30" s="5">
        <f t="shared" ca="1" si="34"/>
        <v>-75.074640891368432</v>
      </c>
      <c r="BF30" s="5">
        <f t="shared" ca="1" si="34"/>
        <v>-100.44982287201842</v>
      </c>
      <c r="BG30" s="5">
        <f t="shared" ca="1" si="34"/>
        <v>-104.77925613713279</v>
      </c>
      <c r="BH30" s="5">
        <f t="shared" ca="1" si="34"/>
        <v>-109.82625312908453</v>
      </c>
      <c r="BI30" s="5">
        <f t="shared" ca="1" si="34"/>
        <v>-115.17540493041791</v>
      </c>
    </row>
    <row r="31" spans="3:71" s="6" customFormat="1" x14ac:dyDescent="0.25">
      <c r="C31" s="6" t="s">
        <v>6</v>
      </c>
      <c r="D31" s="6" t="s">
        <v>32</v>
      </c>
      <c r="E31" s="7"/>
      <c r="F31" s="7"/>
      <c r="G31" s="7"/>
      <c r="H31" s="7"/>
      <c r="I31" s="7">
        <f t="shared" ref="I31:P31" si="37">I27+I29</f>
        <v>269</v>
      </c>
      <c r="J31" s="7">
        <f t="shared" si="37"/>
        <v>304</v>
      </c>
      <c r="K31" s="7">
        <f t="shared" si="37"/>
        <v>307</v>
      </c>
      <c r="L31" s="7">
        <f t="shared" si="37"/>
        <v>350</v>
      </c>
      <c r="M31" s="7">
        <f t="shared" si="37"/>
        <v>342</v>
      </c>
      <c r="N31" s="7">
        <f t="shared" si="37"/>
        <v>398</v>
      </c>
      <c r="O31" s="7">
        <f t="shared" si="37"/>
        <v>369</v>
      </c>
      <c r="P31" s="7">
        <f t="shared" si="37"/>
        <v>433</v>
      </c>
      <c r="Q31" s="7">
        <f t="shared" ref="Q31:AJ31" si="38">Q27+SUM(Q29:Q30)</f>
        <v>436</v>
      </c>
      <c r="R31" s="7">
        <f t="shared" si="38"/>
        <v>427</v>
      </c>
      <c r="S31" s="7">
        <f t="shared" si="38"/>
        <v>407</v>
      </c>
      <c r="T31" s="7">
        <f t="shared" si="38"/>
        <v>490</v>
      </c>
      <c r="U31" s="7">
        <f t="shared" si="38"/>
        <v>384</v>
      </c>
      <c r="V31" s="7">
        <f t="shared" si="38"/>
        <v>441</v>
      </c>
      <c r="W31" s="7">
        <f t="shared" si="38"/>
        <v>386</v>
      </c>
      <c r="X31" s="7">
        <f t="shared" si="38"/>
        <v>402</v>
      </c>
      <c r="Y31" s="7">
        <f t="shared" si="38"/>
        <v>350</v>
      </c>
      <c r="Z31" s="7">
        <f t="shared" si="38"/>
        <v>504</v>
      </c>
      <c r="AA31" s="7">
        <f t="shared" si="38"/>
        <v>353</v>
      </c>
      <c r="AB31" s="7">
        <f t="shared" si="38"/>
        <v>494</v>
      </c>
      <c r="AC31" s="7">
        <f t="shared" si="38"/>
        <v>266</v>
      </c>
      <c r="AD31" s="7">
        <f t="shared" si="38"/>
        <v>520</v>
      </c>
      <c r="AE31" s="7">
        <f t="shared" si="38"/>
        <v>251</v>
      </c>
      <c r="AF31" s="7">
        <f t="shared" si="38"/>
        <v>557</v>
      </c>
      <c r="AG31" s="7">
        <f t="shared" si="38"/>
        <v>325</v>
      </c>
      <c r="AH31" s="7">
        <f t="shared" ca="1" si="38"/>
        <v>553.82187513419763</v>
      </c>
      <c r="AI31" s="7">
        <f t="shared" ca="1" si="38"/>
        <v>461.14430891395801</v>
      </c>
      <c r="AJ31" s="7">
        <f t="shared" ca="1" si="38"/>
        <v>474.43328996205611</v>
      </c>
      <c r="AK31" s="7">
        <f t="shared" ref="AK31:AP31" ca="1" si="39">AK27+SUM(AK29:AK30)</f>
        <v>480.48071549370633</v>
      </c>
      <c r="AL31" s="7">
        <f t="shared" ca="1" si="39"/>
        <v>494.34464713804743</v>
      </c>
      <c r="AM31" s="7">
        <f t="shared" ca="1" si="39"/>
        <v>500.35762912331802</v>
      </c>
      <c r="AN31" s="7">
        <f t="shared" ca="1" si="39"/>
        <v>514.60600647845092</v>
      </c>
      <c r="AO31" s="7">
        <f t="shared" ca="1" si="39"/>
        <v>520.51367909050703</v>
      </c>
      <c r="AP31" s="7">
        <f t="shared" ca="1" si="39"/>
        <v>535.52983367323407</v>
      </c>
      <c r="AR31" s="22"/>
      <c r="AS31" s="7">
        <f t="shared" ref="AS31:BF31" si="40">AS27+SUM(AS29:AS30)</f>
        <v>573</v>
      </c>
      <c r="AT31" s="7">
        <f t="shared" si="40"/>
        <v>657</v>
      </c>
      <c r="AU31" s="7">
        <f t="shared" si="40"/>
        <v>740</v>
      </c>
      <c r="AV31" s="7">
        <f t="shared" si="40"/>
        <v>802</v>
      </c>
      <c r="AW31" s="7">
        <f t="shared" si="40"/>
        <v>863</v>
      </c>
      <c r="AX31" s="7">
        <f t="shared" si="40"/>
        <v>897</v>
      </c>
      <c r="AY31" s="7">
        <f t="shared" si="40"/>
        <v>825</v>
      </c>
      <c r="AZ31" s="7">
        <f t="shared" si="40"/>
        <v>788</v>
      </c>
      <c r="BA31" s="7">
        <f t="shared" si="40"/>
        <v>854</v>
      </c>
      <c r="BB31" s="7">
        <f t="shared" si="40"/>
        <v>847</v>
      </c>
      <c r="BC31" s="7">
        <f t="shared" si="40"/>
        <v>786</v>
      </c>
      <c r="BD31" s="7">
        <f t="shared" si="40"/>
        <v>808</v>
      </c>
      <c r="BE31" s="7">
        <f t="shared" ca="1" si="40"/>
        <v>878.82187513419751</v>
      </c>
      <c r="BF31" s="7">
        <f t="shared" ca="1" si="40"/>
        <v>935.57759887601389</v>
      </c>
      <c r="BG31" s="7">
        <f ca="1">BG27+SUM(BG29:BG30)</f>
        <v>974.82536263175416</v>
      </c>
      <c r="BH31" s="7">
        <f ca="1">BH27+SUM(BH29:BH30)</f>
        <v>1014.9636356017688</v>
      </c>
      <c r="BI31" s="7">
        <f ca="1">BI27+SUM(BI29:BI30)</f>
        <v>1056.0435127637411</v>
      </c>
      <c r="BM31" s="22"/>
      <c r="BN31"/>
      <c r="BO31"/>
      <c r="BP31"/>
      <c r="BQ31"/>
      <c r="BR31"/>
      <c r="BS31"/>
    </row>
    <row r="32" spans="3:71" s="10" customFormat="1" x14ac:dyDescent="0.25">
      <c r="C32" s="10" t="s">
        <v>339</v>
      </c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27">
        <f>AB30/AB27*-1</f>
        <v>6.2937062937062943E-2</v>
      </c>
      <c r="AC32" s="27">
        <f>AC30/AC27*-1</f>
        <v>0</v>
      </c>
      <c r="AD32" s="27">
        <f>(AD30+AD29)/AD27*-1</f>
        <v>0.16800000000000001</v>
      </c>
      <c r="AE32" s="27">
        <f t="shared" ref="AE32:AN32" si="41">(AE30+AE29)/AE27*-1</f>
        <v>0.12237762237762238</v>
      </c>
      <c r="AF32" s="27">
        <f t="shared" si="41"/>
        <v>0.17481481481481481</v>
      </c>
      <c r="AG32" s="27">
        <f t="shared" si="41"/>
        <v>7.407407407407407E-2</v>
      </c>
      <c r="AH32" s="27">
        <f t="shared" ca="1" si="41"/>
        <v>0.15545202238578268</v>
      </c>
      <c r="AI32" s="27">
        <f t="shared" ca="1" si="41"/>
        <v>0.14320534284408987</v>
      </c>
      <c r="AJ32" s="27">
        <f t="shared" ca="1" si="41"/>
        <v>0.15527785195547783</v>
      </c>
      <c r="AK32" s="27">
        <f t="shared" ca="1" si="41"/>
        <v>0.16327243047489137</v>
      </c>
      <c r="AL32" s="27">
        <f t="shared" ca="1" si="41"/>
        <v>0.16862344635845741</v>
      </c>
      <c r="AM32" s="27">
        <f t="shared" ca="1" si="41"/>
        <v>0.17448262977635215</v>
      </c>
      <c r="AN32" s="27">
        <f t="shared" ca="1" si="41"/>
        <v>0.17996028974456471</v>
      </c>
      <c r="AO32" s="27">
        <f t="shared" ref="AO32:AP32" ca="1" si="42">(AO30+AO29)/AO27*-1</f>
        <v>0.18667687739832614</v>
      </c>
      <c r="AP32" s="27">
        <f t="shared" ca="1" si="42"/>
        <v>0.19170493168025438</v>
      </c>
      <c r="AR32" s="28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  <c r="BM32" s="28"/>
      <c r="BN32"/>
      <c r="BO32"/>
      <c r="BP32"/>
      <c r="BQ32"/>
      <c r="BR32"/>
      <c r="BS32"/>
    </row>
    <row r="33" spans="2:71" x14ac:dyDescent="0.25"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8">
        <f>AD30/AD31*-1</f>
        <v>0.10961538461538461</v>
      </c>
      <c r="AE33" s="8">
        <f>AE30/AE31*-1</f>
        <v>0</v>
      </c>
      <c r="AF33" s="8">
        <f t="shared" ref="AF33:AN33" si="43">AF30/AF31*-1</f>
        <v>0.13285457809694792</v>
      </c>
      <c r="AG33" s="8">
        <f t="shared" si="43"/>
        <v>0</v>
      </c>
      <c r="AH33" s="8">
        <f t="shared" ca="1" si="43"/>
        <v>0.1355573773122937</v>
      </c>
      <c r="AI33" s="8">
        <f t="shared" ca="1" si="43"/>
        <v>0.10803000742405672</v>
      </c>
      <c r="AJ33" s="8">
        <f t="shared" ca="1" si="43"/>
        <v>0.10672185284580572</v>
      </c>
      <c r="AK33" s="8">
        <f t="shared" ca="1" si="43"/>
        <v>0.10744557847175699</v>
      </c>
      <c r="AL33" s="8">
        <f t="shared" ca="1" si="43"/>
        <v>0.10752362349651268</v>
      </c>
      <c r="AM33" s="8">
        <f t="shared" ca="1" si="43"/>
        <v>0.10813582046319056</v>
      </c>
      <c r="AN33" s="8">
        <f t="shared" ca="1" si="43"/>
        <v>0.10827637003329647</v>
      </c>
      <c r="AO33" s="8">
        <f t="shared" ref="AO33:AP33" ca="1" si="44">AO30/AO31*-1</f>
        <v>0.10897802262111095</v>
      </c>
      <c r="AP33" s="8">
        <f t="shared" ca="1" si="44"/>
        <v>0.10914583980312868</v>
      </c>
      <c r="AV33" s="5"/>
      <c r="AW33" s="5"/>
      <c r="AX33" s="5"/>
      <c r="AY33" s="5"/>
      <c r="AZ33" s="5"/>
      <c r="BA33" s="5"/>
      <c r="BB33" s="5"/>
      <c r="BC33" s="8">
        <f>BC30/BC31*-1</f>
        <v>7.2519083969465645E-2</v>
      </c>
      <c r="BD33" s="8">
        <f>BD30/BD31*-1</f>
        <v>9.1584158415841582E-2</v>
      </c>
      <c r="BE33" s="8">
        <f ca="1">BE30/BE31*-1</f>
        <v>8.5426459007867106E-2</v>
      </c>
      <c r="BF33" s="8">
        <f ca="1">BF30/BF31*-1</f>
        <v>0.10736663959536551</v>
      </c>
      <c r="BG33" s="5"/>
      <c r="BH33" s="5"/>
      <c r="BI33" s="5"/>
    </row>
    <row r="34" spans="2:71" x14ac:dyDescent="0.25">
      <c r="C34" t="s">
        <v>34</v>
      </c>
      <c r="D34" t="s">
        <v>32</v>
      </c>
      <c r="E34" s="5"/>
      <c r="F34" s="5"/>
      <c r="G34" s="5"/>
      <c r="H34" s="5"/>
      <c r="I34" s="5"/>
      <c r="J34" s="5"/>
      <c r="K34" s="5"/>
      <c r="L34" s="5"/>
      <c r="M34" s="5">
        <f>-53/2</f>
        <v>-26.5</v>
      </c>
      <c r="N34" s="5">
        <f>-53/2</f>
        <v>-26.5</v>
      </c>
      <c r="O34" s="5">
        <f>-53/2</f>
        <v>-26.5</v>
      </c>
      <c r="P34" s="5">
        <f>-53/2</f>
        <v>-26.5</v>
      </c>
      <c r="Q34" s="21">
        <v>-21</v>
      </c>
      <c r="R34" s="21">
        <f>-51-Q34</f>
        <v>-30</v>
      </c>
      <c r="S34" s="21">
        <v>-17</v>
      </c>
      <c r="T34" s="21">
        <f>-47-S34</f>
        <v>-30</v>
      </c>
      <c r="U34" s="21">
        <v>-13</v>
      </c>
      <c r="V34" s="21">
        <f>-32-U34</f>
        <v>-19</v>
      </c>
      <c r="W34" s="21">
        <v>-19</v>
      </c>
      <c r="X34" s="21">
        <f>-61-W34</f>
        <v>-42</v>
      </c>
      <c r="Y34" s="21">
        <v>-18</v>
      </c>
      <c r="Z34" s="21">
        <f>-53-Y34</f>
        <v>-35</v>
      </c>
      <c r="AA34" s="21">
        <v>-18</v>
      </c>
      <c r="AB34" s="21">
        <f>-56-AA34</f>
        <v>-38</v>
      </c>
      <c r="AC34" s="21">
        <v>-15</v>
      </c>
      <c r="AD34" s="21">
        <f>-55-AC34</f>
        <v>-40</v>
      </c>
      <c r="AE34" s="21">
        <v>-14</v>
      </c>
      <c r="AF34" s="21">
        <f>-45-AE34</f>
        <v>-31</v>
      </c>
      <c r="AG34" s="21">
        <v>-22</v>
      </c>
      <c r="AH34" s="82">
        <f>AG34</f>
        <v>-22</v>
      </c>
      <c r="AI34" s="82">
        <f t="shared" ref="AI34:AL34" si="45">AG34*1.015</f>
        <v>-22.33</v>
      </c>
      <c r="AJ34" s="82">
        <f t="shared" si="45"/>
        <v>-22.33</v>
      </c>
      <c r="AK34" s="82">
        <f t="shared" si="45"/>
        <v>-22.664949999999997</v>
      </c>
      <c r="AL34" s="82">
        <f t="shared" si="45"/>
        <v>-22.664949999999997</v>
      </c>
      <c r="AM34" s="82">
        <f t="shared" ref="AM34:AP35" si="46">AK34*1.015</f>
        <v>-23.004924249999995</v>
      </c>
      <c r="AN34" s="82">
        <f t="shared" si="46"/>
        <v>-23.004924249999995</v>
      </c>
      <c r="AO34" s="82">
        <f t="shared" si="46"/>
        <v>-23.349998113749994</v>
      </c>
      <c r="AP34" s="82">
        <f t="shared" si="46"/>
        <v>-23.349998113749994</v>
      </c>
      <c r="AS34" s="5">
        <f t="shared" ref="AS34:BI35" si="47">SUMIF($E$4:$AR$4,AS$4,$E34:$AR34)</f>
        <v>0</v>
      </c>
      <c r="AT34" s="5">
        <f t="shared" si="47"/>
        <v>0</v>
      </c>
      <c r="AU34" s="5">
        <f t="shared" si="47"/>
        <v>-53</v>
      </c>
      <c r="AV34" s="5">
        <f t="shared" si="47"/>
        <v>-53</v>
      </c>
      <c r="AW34" s="5">
        <f t="shared" si="47"/>
        <v>-51</v>
      </c>
      <c r="AX34" s="5">
        <f t="shared" si="47"/>
        <v>-47</v>
      </c>
      <c r="AY34" s="5">
        <f t="shared" si="47"/>
        <v>-32</v>
      </c>
      <c r="AZ34" s="5">
        <f t="shared" si="47"/>
        <v>-61</v>
      </c>
      <c r="BA34" s="5">
        <f t="shared" si="47"/>
        <v>-53</v>
      </c>
      <c r="BB34" s="5">
        <f t="shared" si="47"/>
        <v>-56</v>
      </c>
      <c r="BC34" s="5">
        <f t="shared" si="47"/>
        <v>-55</v>
      </c>
      <c r="BD34" s="5">
        <f t="shared" si="47"/>
        <v>-45</v>
      </c>
      <c r="BE34" s="5">
        <f t="shared" si="47"/>
        <v>-44</v>
      </c>
      <c r="BF34" s="5">
        <f t="shared" si="47"/>
        <v>-44.66</v>
      </c>
      <c r="BG34" s="5">
        <f t="shared" si="47"/>
        <v>-45.329899999999995</v>
      </c>
      <c r="BH34" s="5">
        <f t="shared" si="47"/>
        <v>-46.00984849999999</v>
      </c>
      <c r="BI34" s="5">
        <f t="shared" si="47"/>
        <v>-46.699996227499987</v>
      </c>
    </row>
    <row r="35" spans="2:71" x14ac:dyDescent="0.25">
      <c r="C35" t="s">
        <v>35</v>
      </c>
      <c r="D35" t="s">
        <v>32</v>
      </c>
      <c r="E35" s="5"/>
      <c r="F35" s="5"/>
      <c r="G35" s="5"/>
      <c r="H35" s="5"/>
      <c r="I35" s="5"/>
      <c r="J35" s="5"/>
      <c r="K35" s="5"/>
      <c r="L35" s="5"/>
      <c r="M35" s="5">
        <v>-31.5</v>
      </c>
      <c r="N35" s="5">
        <v>-31.5</v>
      </c>
      <c r="O35" s="5">
        <f>-62/2</f>
        <v>-31</v>
      </c>
      <c r="P35" s="5">
        <f>-62/2</f>
        <v>-31</v>
      </c>
      <c r="Q35" s="21">
        <v>-37</v>
      </c>
      <c r="R35" s="21">
        <f>-56-Q35</f>
        <v>-19</v>
      </c>
      <c r="S35" s="21">
        <v>-38</v>
      </c>
      <c r="T35" s="21">
        <f>-70-S35</f>
        <v>-32</v>
      </c>
      <c r="U35" s="21">
        <v>-33</v>
      </c>
      <c r="V35" s="21">
        <f>-57-U35</f>
        <v>-24</v>
      </c>
      <c r="W35" s="21">
        <v>-30</v>
      </c>
      <c r="X35" s="21">
        <f>-76-W35</f>
        <v>-46</v>
      </c>
      <c r="Y35" s="21">
        <v>-39</v>
      </c>
      <c r="Z35" s="21">
        <f>-69-Y35</f>
        <v>-30</v>
      </c>
      <c r="AA35" s="21">
        <v>-25</v>
      </c>
      <c r="AB35" s="21">
        <f>-58-AA35</f>
        <v>-33</v>
      </c>
      <c r="AC35" s="21">
        <v>-30</v>
      </c>
      <c r="AD35" s="21">
        <f>-72-AC35</f>
        <v>-42</v>
      </c>
      <c r="AE35" s="21">
        <v>-31</v>
      </c>
      <c r="AF35" s="21">
        <f>-68-AE35</f>
        <v>-37</v>
      </c>
      <c r="AG35" s="21">
        <v>-42</v>
      </c>
      <c r="AH35" s="82">
        <f t="shared" ref="AH35:AL35" si="48">AF35*1.015</f>
        <v>-37.555</v>
      </c>
      <c r="AI35" s="82">
        <f t="shared" si="48"/>
        <v>-42.629999999999995</v>
      </c>
      <c r="AJ35" s="82">
        <f t="shared" si="48"/>
        <v>-38.118324999999999</v>
      </c>
      <c r="AK35" s="82">
        <f t="shared" si="48"/>
        <v>-43.269449999999992</v>
      </c>
      <c r="AL35" s="82">
        <f t="shared" si="48"/>
        <v>-38.690099874999994</v>
      </c>
      <c r="AM35" s="82">
        <f t="shared" si="46"/>
        <v>-43.918491749999987</v>
      </c>
      <c r="AN35" s="82">
        <f t="shared" si="46"/>
        <v>-39.270451373124992</v>
      </c>
      <c r="AO35" s="82">
        <f t="shared" si="46"/>
        <v>-44.577269126249981</v>
      </c>
      <c r="AP35" s="82">
        <f t="shared" si="46"/>
        <v>-39.859508143721861</v>
      </c>
      <c r="AS35" s="5">
        <f t="shared" si="47"/>
        <v>0</v>
      </c>
      <c r="AT35" s="5">
        <f t="shared" si="47"/>
        <v>0</v>
      </c>
      <c r="AU35" s="5">
        <f t="shared" si="47"/>
        <v>-63</v>
      </c>
      <c r="AV35" s="5">
        <f t="shared" si="47"/>
        <v>-62</v>
      </c>
      <c r="AW35" s="5">
        <f t="shared" si="47"/>
        <v>-56</v>
      </c>
      <c r="AX35" s="5">
        <f t="shared" si="47"/>
        <v>-70</v>
      </c>
      <c r="AY35" s="5">
        <f t="shared" si="47"/>
        <v>-57</v>
      </c>
      <c r="AZ35" s="5">
        <f t="shared" si="47"/>
        <v>-76</v>
      </c>
      <c r="BA35" s="5">
        <f t="shared" si="47"/>
        <v>-69</v>
      </c>
      <c r="BB35" s="5">
        <f t="shared" si="47"/>
        <v>-58</v>
      </c>
      <c r="BC35" s="5">
        <f t="shared" si="47"/>
        <v>-72</v>
      </c>
      <c r="BD35" s="5">
        <f t="shared" si="47"/>
        <v>-68</v>
      </c>
      <c r="BE35" s="5">
        <f t="shared" si="47"/>
        <v>-79.555000000000007</v>
      </c>
      <c r="BF35" s="5">
        <f t="shared" si="47"/>
        <v>-80.748324999999994</v>
      </c>
      <c r="BG35" s="5">
        <f t="shared" si="47"/>
        <v>-81.959549874999993</v>
      </c>
      <c r="BH35" s="5">
        <f t="shared" si="47"/>
        <v>-83.188943123124972</v>
      </c>
      <c r="BI35" s="5">
        <f t="shared" si="47"/>
        <v>-84.436777269971842</v>
      </c>
    </row>
    <row r="36" spans="2:71" s="6" customFormat="1" x14ac:dyDescent="0.25">
      <c r="C36" s="6" t="s">
        <v>8</v>
      </c>
      <c r="D36" s="6" t="s">
        <v>32</v>
      </c>
      <c r="E36" s="7"/>
      <c r="F36" s="7"/>
      <c r="G36" s="7"/>
      <c r="H36" s="7"/>
      <c r="I36" s="7">
        <f t="shared" ref="I36:P36" si="49">I31+SUM(I34:I35)</f>
        <v>269</v>
      </c>
      <c r="J36" s="7">
        <f t="shared" si="49"/>
        <v>304</v>
      </c>
      <c r="K36" s="7">
        <f t="shared" si="49"/>
        <v>307</v>
      </c>
      <c r="L36" s="7">
        <f t="shared" si="49"/>
        <v>350</v>
      </c>
      <c r="M36" s="7">
        <f t="shared" si="49"/>
        <v>284</v>
      </c>
      <c r="N36" s="7">
        <f t="shared" si="49"/>
        <v>340</v>
      </c>
      <c r="O36" s="7">
        <f t="shared" si="49"/>
        <v>311.5</v>
      </c>
      <c r="P36" s="7">
        <f t="shared" si="49"/>
        <v>375.5</v>
      </c>
      <c r="Q36" s="7">
        <f t="shared" ref="Q36:AJ36" si="50">Q31+SUM(Q34:Q35)</f>
        <v>378</v>
      </c>
      <c r="R36" s="7">
        <f t="shared" si="50"/>
        <v>378</v>
      </c>
      <c r="S36" s="7">
        <f t="shared" si="50"/>
        <v>352</v>
      </c>
      <c r="T36" s="7">
        <f t="shared" si="50"/>
        <v>428</v>
      </c>
      <c r="U36" s="7">
        <f t="shared" si="50"/>
        <v>338</v>
      </c>
      <c r="V36" s="7">
        <f t="shared" si="50"/>
        <v>398</v>
      </c>
      <c r="W36" s="7">
        <f t="shared" si="50"/>
        <v>337</v>
      </c>
      <c r="X36" s="7">
        <f t="shared" si="50"/>
        <v>314</v>
      </c>
      <c r="Y36" s="7">
        <f t="shared" si="50"/>
        <v>293</v>
      </c>
      <c r="Z36" s="7">
        <f t="shared" si="50"/>
        <v>439</v>
      </c>
      <c r="AA36" s="7">
        <f t="shared" si="50"/>
        <v>310</v>
      </c>
      <c r="AB36" s="7">
        <f t="shared" si="50"/>
        <v>423</v>
      </c>
      <c r="AC36" s="7">
        <f>AC31+SUM(AC34:AC35)</f>
        <v>221</v>
      </c>
      <c r="AD36" s="7">
        <f t="shared" si="50"/>
        <v>438</v>
      </c>
      <c r="AE36" s="7">
        <f t="shared" si="50"/>
        <v>206</v>
      </c>
      <c r="AF36" s="7">
        <f t="shared" si="50"/>
        <v>489</v>
      </c>
      <c r="AG36" s="7">
        <f t="shared" si="50"/>
        <v>261</v>
      </c>
      <c r="AH36" s="7">
        <f t="shared" ca="1" si="50"/>
        <v>494.26687513419762</v>
      </c>
      <c r="AI36" s="7">
        <f t="shared" ca="1" si="50"/>
        <v>396.18430891395803</v>
      </c>
      <c r="AJ36" s="7">
        <f t="shared" ca="1" si="50"/>
        <v>413.9849649620561</v>
      </c>
      <c r="AK36" s="7">
        <f t="shared" ref="AK36:AP36" ca="1" si="51">AK31+SUM(AK34:AK35)</f>
        <v>414.54631549370635</v>
      </c>
      <c r="AL36" s="7">
        <f t="shared" ca="1" si="51"/>
        <v>432.98959726304747</v>
      </c>
      <c r="AM36" s="7">
        <f t="shared" ca="1" si="51"/>
        <v>433.43421312331805</v>
      </c>
      <c r="AN36" s="7">
        <f t="shared" ca="1" si="51"/>
        <v>452.33063085532592</v>
      </c>
      <c r="AO36" s="7">
        <f t="shared" ca="1" si="51"/>
        <v>452.58641185050703</v>
      </c>
      <c r="AP36" s="7">
        <f t="shared" ca="1" si="51"/>
        <v>472.32032741576222</v>
      </c>
      <c r="AR36" s="22"/>
      <c r="AS36" s="7">
        <f>AS31+SUM(AS34:AS35)</f>
        <v>573</v>
      </c>
      <c r="AT36" s="7">
        <f>AT31+SUM(AT34:AT35)</f>
        <v>657</v>
      </c>
      <c r="AU36" s="7">
        <f>AU31+SUM(AU34:AU35)</f>
        <v>624</v>
      </c>
      <c r="AV36" s="7">
        <f t="shared" ref="AV36:BF36" si="52">AV31+SUM(AV34:AV35)</f>
        <v>687</v>
      </c>
      <c r="AW36" s="7">
        <f t="shared" si="52"/>
        <v>756</v>
      </c>
      <c r="AX36" s="7">
        <f t="shared" si="52"/>
        <v>780</v>
      </c>
      <c r="AY36" s="7">
        <f t="shared" si="52"/>
        <v>736</v>
      </c>
      <c r="AZ36" s="7">
        <f t="shared" si="52"/>
        <v>651</v>
      </c>
      <c r="BA36" s="7">
        <f t="shared" si="52"/>
        <v>732</v>
      </c>
      <c r="BB36" s="7">
        <f t="shared" si="52"/>
        <v>733</v>
      </c>
      <c r="BC36" s="7">
        <f t="shared" si="52"/>
        <v>659</v>
      </c>
      <c r="BD36" s="7">
        <f t="shared" si="52"/>
        <v>695</v>
      </c>
      <c r="BE36" s="7">
        <f t="shared" ca="1" si="52"/>
        <v>755.26687513419756</v>
      </c>
      <c r="BF36" s="7">
        <f t="shared" ca="1" si="52"/>
        <v>810.1692738760139</v>
      </c>
      <c r="BG36" s="7">
        <f ca="1">BG31+SUM(BG34:BG35)</f>
        <v>847.53591275675421</v>
      </c>
      <c r="BH36" s="7">
        <f ca="1">BH31+SUM(BH34:BH35)</f>
        <v>885.76484397864385</v>
      </c>
      <c r="BI36" s="7">
        <f ca="1">BI31+SUM(BI34:BI35)</f>
        <v>924.90673926626926</v>
      </c>
      <c r="BM36" s="22"/>
      <c r="BN36"/>
      <c r="BO36"/>
      <c r="BP36"/>
      <c r="BQ36"/>
      <c r="BR36"/>
      <c r="BS36"/>
    </row>
    <row r="37" spans="2:71" x14ac:dyDescent="0.25"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</row>
    <row r="38" spans="2:71" s="23" customFormat="1" x14ac:dyDescent="0.25">
      <c r="B38" s="23" t="s">
        <v>36</v>
      </c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24"/>
      <c r="AB38" s="24"/>
      <c r="AC38" s="24"/>
      <c r="AD38" s="24"/>
      <c r="AE38" s="24"/>
      <c r="AF38" s="24"/>
      <c r="AG38" s="24"/>
      <c r="AH38" s="24"/>
      <c r="AI38" s="24"/>
      <c r="AJ38" s="24"/>
      <c r="AK38" s="24"/>
      <c r="AL38" s="24"/>
      <c r="AM38" s="24"/>
      <c r="AN38" s="24"/>
      <c r="AO38" s="24"/>
      <c r="AP38" s="24"/>
      <c r="AR38" s="25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M38" s="25"/>
      <c r="BN38"/>
      <c r="BO38"/>
      <c r="BP38"/>
      <c r="BQ38"/>
      <c r="BR38"/>
      <c r="BS38"/>
    </row>
    <row r="39" spans="2:71" x14ac:dyDescent="0.25">
      <c r="C39" t="s">
        <v>37</v>
      </c>
      <c r="D39" t="s">
        <v>38</v>
      </c>
      <c r="E39" s="8"/>
      <c r="F39" s="8"/>
      <c r="G39" s="8"/>
      <c r="H39" s="8"/>
      <c r="I39" s="8">
        <f t="shared" ref="I39:P39" si="53">I40/I31</f>
        <v>1.0285876938289962</v>
      </c>
      <c r="J39" s="8">
        <f t="shared" si="53"/>
        <v>0.91854416842105269</v>
      </c>
      <c r="K39" s="8">
        <f t="shared" si="53"/>
        <v>0.91807690319218238</v>
      </c>
      <c r="L39" s="8">
        <f t="shared" si="53"/>
        <v>0.80973183839999996</v>
      </c>
      <c r="M39" s="8">
        <f t="shared" si="53"/>
        <v>0.84805767295217982</v>
      </c>
      <c r="N39" s="8">
        <f t="shared" si="53"/>
        <v>0.73935610728099088</v>
      </c>
      <c r="O39" s="8">
        <f t="shared" si="53"/>
        <v>0.82123240960975596</v>
      </c>
      <c r="P39" s="8">
        <f t="shared" si="53"/>
        <v>0.72049334484526562</v>
      </c>
      <c r="Q39" s="8">
        <f t="shared" ref="Q39:AA39" si="54">Q40/Q31</f>
        <v>0.72587199252973256</v>
      </c>
      <c r="R39" s="8">
        <f t="shared" si="54"/>
        <v>0.76967799460097375</v>
      </c>
      <c r="S39" s="8">
        <f t="shared" si="54"/>
        <v>0.79780626431203916</v>
      </c>
      <c r="T39" s="8">
        <f t="shared" si="54"/>
        <v>0.68610931004693876</v>
      </c>
      <c r="U39" s="8">
        <f t="shared" si="54"/>
        <v>0.83610527343750007</v>
      </c>
      <c r="V39" s="8">
        <f t="shared" si="54"/>
        <v>0.57164405895691617</v>
      </c>
      <c r="W39" s="8">
        <f t="shared" si="54"/>
        <v>0.69729021243523315</v>
      </c>
      <c r="X39" s="8">
        <f t="shared" si="54"/>
        <v>0.78978564936815931</v>
      </c>
      <c r="Y39" s="8">
        <f t="shared" si="54"/>
        <v>0.81845885554285713</v>
      </c>
      <c r="Z39" s="8">
        <f t="shared" si="54"/>
        <v>0.69152194970634939</v>
      </c>
      <c r="AA39" s="8">
        <f t="shared" si="54"/>
        <v>0.79797806265155813</v>
      </c>
      <c r="AB39" s="8">
        <f>AB40/AB31</f>
        <v>0.69585570714170042</v>
      </c>
      <c r="AC39" s="8">
        <f>AC40/AC31</f>
        <v>0.71641022556390965</v>
      </c>
      <c r="AD39" s="8">
        <v>0.9</v>
      </c>
      <c r="AE39" s="8">
        <f t="shared" ref="AE39:AF39" si="55">AE40/AE31</f>
        <v>0.75922358565737047</v>
      </c>
      <c r="AF39" s="8">
        <f t="shared" si="55"/>
        <v>0.74105690484739684</v>
      </c>
      <c r="AG39" s="8">
        <f t="shared" ref="AG39:AL39" si="56">AG40/AG31</f>
        <v>0.67080986113846153</v>
      </c>
      <c r="AH39" s="8">
        <f t="shared" ca="1" si="56"/>
        <v>0.71069969920730158</v>
      </c>
      <c r="AI39" s="8">
        <f t="shared" ca="1" si="56"/>
        <v>0.47418398158180403</v>
      </c>
      <c r="AJ39" s="8">
        <f t="shared" ca="1" si="56"/>
        <v>0.82962357068952119</v>
      </c>
      <c r="AK39" s="8">
        <f t="shared" ca="1" si="56"/>
        <v>0.45510097998402244</v>
      </c>
      <c r="AL39" s="8">
        <f t="shared" ca="1" si="56"/>
        <v>0.79620775171938607</v>
      </c>
      <c r="AM39" s="8">
        <v>0.61499999999999999</v>
      </c>
      <c r="AN39" s="8">
        <f t="shared" ref="AN39" si="57">AM39</f>
        <v>0.61499999999999999</v>
      </c>
      <c r="AO39" s="8">
        <f t="shared" ref="AO39" si="58">AN39</f>
        <v>0.61499999999999999</v>
      </c>
      <c r="AP39" s="8">
        <f t="shared" ref="AP39" si="59">AO39</f>
        <v>0.61499999999999999</v>
      </c>
      <c r="AS39" s="8">
        <f>AS40/AS31</f>
        <v>0.97020509047120407</v>
      </c>
      <c r="AT39" s="8">
        <f>AT40/AT31</f>
        <v>0.86035883214611864</v>
      </c>
      <c r="AU39" s="8">
        <f>AU40/AU31</f>
        <v>0.78959385790199976</v>
      </c>
      <c r="AV39" s="8">
        <f>AV40/AV31</f>
        <v>0.76684336342144632</v>
      </c>
      <c r="AW39" s="8">
        <f t="shared" ref="AW39:BF39" si="60">AW40/AW31</f>
        <v>0.74754657292882876</v>
      </c>
      <c r="AX39" s="8">
        <f t="shared" si="60"/>
        <v>0.7367900908561873</v>
      </c>
      <c r="AY39" s="8">
        <f t="shared" si="60"/>
        <v>0.69473873333333347</v>
      </c>
      <c r="AZ39" s="8">
        <f t="shared" si="60"/>
        <v>0.74447697087055842</v>
      </c>
      <c r="BA39" s="8">
        <f t="shared" si="60"/>
        <v>0.74354527177049201</v>
      </c>
      <c r="BB39" s="8">
        <f t="shared" si="60"/>
        <v>0.73841673606139324</v>
      </c>
      <c r="BC39" s="8">
        <f t="shared" si="60"/>
        <v>0.83786910941475823</v>
      </c>
      <c r="BD39" s="8">
        <f t="shared" si="60"/>
        <v>0.74670026732673278</v>
      </c>
      <c r="BE39" s="8">
        <f t="shared" ca="1" si="60"/>
        <v>0.6959479073605257</v>
      </c>
      <c r="BF39" s="8">
        <f t="shared" ca="1" si="60"/>
        <v>0.65442811509432897</v>
      </c>
      <c r="BG39" s="8">
        <f ca="1">BG40/BG31</f>
        <v>0.62807997004094751</v>
      </c>
      <c r="BH39" s="8">
        <f ca="1">BH40/BH31</f>
        <v>0.6150000000000001</v>
      </c>
      <c r="BI39" s="8">
        <f ca="1">BI40/BI31</f>
        <v>0.61499999999999999</v>
      </c>
    </row>
    <row r="40" spans="2:71" s="6" customFormat="1" x14ac:dyDescent="0.25">
      <c r="C40" s="6" t="s">
        <v>36</v>
      </c>
      <c r="D40" s="6" t="s">
        <v>32</v>
      </c>
      <c r="E40" s="7"/>
      <c r="F40" s="7"/>
      <c r="G40" s="7"/>
      <c r="H40" s="7"/>
      <c r="I40" s="7">
        <f t="shared" ref="I40:P40" si="61">I49*I151/100</f>
        <v>276.69008964</v>
      </c>
      <c r="J40" s="7">
        <f t="shared" si="61"/>
        <v>279.23742720000001</v>
      </c>
      <c r="K40" s="7">
        <f t="shared" si="61"/>
        <v>281.84960927999998</v>
      </c>
      <c r="L40" s="7">
        <f t="shared" si="61"/>
        <v>283.40614343999999</v>
      </c>
      <c r="M40" s="7">
        <f t="shared" si="61"/>
        <v>290.03572414964549</v>
      </c>
      <c r="N40" s="7">
        <f t="shared" si="61"/>
        <v>294.26373069783438</v>
      </c>
      <c r="O40" s="7">
        <f t="shared" si="61"/>
        <v>303.03475914599994</v>
      </c>
      <c r="P40" s="7">
        <f t="shared" si="61"/>
        <v>311.97361831800004</v>
      </c>
      <c r="Q40" s="7">
        <f t="shared" ref="Q40:AA40" si="62">Q49*Q151/100</f>
        <v>316.48018874296338</v>
      </c>
      <c r="R40" s="7">
        <f t="shared" si="62"/>
        <v>328.6525036946158</v>
      </c>
      <c r="S40" s="7">
        <f t="shared" si="62"/>
        <v>324.70714957499996</v>
      </c>
      <c r="T40" s="7">
        <f t="shared" si="62"/>
        <v>336.193561923</v>
      </c>
      <c r="U40" s="7">
        <f t="shared" si="62"/>
        <v>321.06442500000003</v>
      </c>
      <c r="V40" s="7">
        <f t="shared" si="62"/>
        <v>252.09503000000004</v>
      </c>
      <c r="W40" s="7">
        <f t="shared" si="62"/>
        <v>269.154022</v>
      </c>
      <c r="X40" s="7">
        <f t="shared" si="62"/>
        <v>317.49383104600003</v>
      </c>
      <c r="Y40" s="7">
        <f t="shared" si="62"/>
        <v>286.46059944000001</v>
      </c>
      <c r="Z40" s="7">
        <f t="shared" si="62"/>
        <v>348.5270626520001</v>
      </c>
      <c r="AA40" s="7">
        <f t="shared" si="62"/>
        <v>281.68625611600004</v>
      </c>
      <c r="AB40" s="7">
        <f>AB49*AB151/100</f>
        <v>343.75271932800001</v>
      </c>
      <c r="AC40" s="7">
        <f>AC49*AC151/100</f>
        <v>190.56511999999998</v>
      </c>
      <c r="AD40" s="7">
        <f t="shared" ref="AD40" si="63">AD31*AD39</f>
        <v>468</v>
      </c>
      <c r="AE40" s="7">
        <f t="shared" ref="AE40:AF40" si="64">AE49*AE151/100</f>
        <v>190.56511999999998</v>
      </c>
      <c r="AF40" s="7">
        <f t="shared" si="64"/>
        <v>412.76869600000003</v>
      </c>
      <c r="AG40" s="7">
        <f t="shared" ref="AG40:AL40" si="65">AG49*AG151/100</f>
        <v>218.01320487000001</v>
      </c>
      <c r="AH40" s="7">
        <f t="shared" si="65"/>
        <v>393.60104007229796</v>
      </c>
      <c r="AI40" s="7">
        <f t="shared" si="65"/>
        <v>218.66724448461002</v>
      </c>
      <c r="AJ40" s="7">
        <f t="shared" si="65"/>
        <v>393.60104007229796</v>
      </c>
      <c r="AK40" s="7">
        <f t="shared" si="65"/>
        <v>218.66724448461002</v>
      </c>
      <c r="AL40" s="7">
        <f t="shared" si="65"/>
        <v>393.60104007229796</v>
      </c>
      <c r="AM40" s="7">
        <f t="shared" ref="AM40:AP40" ca="1" si="66">AM31*AM39</f>
        <v>307.71994191084059</v>
      </c>
      <c r="AN40" s="7">
        <f t="shared" ca="1" si="66"/>
        <v>316.48269398424731</v>
      </c>
      <c r="AO40" s="7">
        <f t="shared" ca="1" si="66"/>
        <v>320.1159126406618</v>
      </c>
      <c r="AP40" s="7">
        <f t="shared" ca="1" si="66"/>
        <v>329.35084770903893</v>
      </c>
      <c r="AR40" s="22"/>
      <c r="AS40" s="7">
        <f t="shared" ref="AS40:BI40" si="67">SUMIF($E$4:$AR$4,AS$4,$E40:$AR40)</f>
        <v>555.92751683999995</v>
      </c>
      <c r="AT40" s="7">
        <f t="shared" si="67"/>
        <v>565.25575271999992</v>
      </c>
      <c r="AU40" s="7">
        <f t="shared" si="67"/>
        <v>584.29945484747986</v>
      </c>
      <c r="AV40" s="7">
        <f t="shared" si="67"/>
        <v>615.00837746399998</v>
      </c>
      <c r="AW40" s="7">
        <f t="shared" si="67"/>
        <v>645.13269243757918</v>
      </c>
      <c r="AX40" s="7">
        <f t="shared" si="67"/>
        <v>660.90071149799996</v>
      </c>
      <c r="AY40" s="7">
        <f t="shared" si="67"/>
        <v>573.15945500000009</v>
      </c>
      <c r="AZ40" s="7">
        <f t="shared" si="67"/>
        <v>586.64785304600002</v>
      </c>
      <c r="BA40" s="7">
        <f t="shared" si="67"/>
        <v>634.98766209200016</v>
      </c>
      <c r="BB40" s="7">
        <f t="shared" si="67"/>
        <v>625.43897544400011</v>
      </c>
      <c r="BC40" s="7">
        <f t="shared" si="67"/>
        <v>658.56511999999998</v>
      </c>
      <c r="BD40" s="7">
        <f t="shared" si="67"/>
        <v>603.33381600000007</v>
      </c>
      <c r="BE40" s="7">
        <f t="shared" si="67"/>
        <v>611.614244942298</v>
      </c>
      <c r="BF40" s="7">
        <f t="shared" si="67"/>
        <v>612.26828455690793</v>
      </c>
      <c r="BG40" s="7">
        <f t="shared" si="67"/>
        <v>612.26828455690793</v>
      </c>
      <c r="BH40" s="7">
        <f t="shared" ca="1" si="67"/>
        <v>624.20263589508795</v>
      </c>
      <c r="BI40" s="7">
        <f t="shared" ca="1" si="67"/>
        <v>649.46676034970073</v>
      </c>
      <c r="BM40" s="22"/>
      <c r="BN40"/>
      <c r="BO40"/>
      <c r="BP40"/>
      <c r="BQ40"/>
      <c r="BR40"/>
      <c r="BS40"/>
    </row>
    <row r="41" spans="2:71" s="12" customFormat="1" x14ac:dyDescent="0.25"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R41" s="26"/>
      <c r="AV41" s="13"/>
      <c r="AW41" s="13"/>
      <c r="AX41" s="13"/>
      <c r="AY41" s="13"/>
      <c r="AZ41" s="13"/>
      <c r="BA41" s="13"/>
      <c r="BB41" s="13"/>
      <c r="BC41" s="13"/>
      <c r="BD41" s="13"/>
      <c r="BE41" s="13"/>
      <c r="BF41" s="13"/>
      <c r="BG41" s="13"/>
      <c r="BH41" s="13"/>
      <c r="BI41" s="13"/>
      <c r="BM41" s="26"/>
      <c r="BN41"/>
      <c r="BO41"/>
      <c r="BP41"/>
      <c r="BQ41"/>
      <c r="BR41"/>
      <c r="BS41"/>
    </row>
    <row r="42" spans="2:71" x14ac:dyDescent="0.25">
      <c r="C42" t="s">
        <v>39</v>
      </c>
      <c r="E42" s="5"/>
      <c r="F42" s="5"/>
      <c r="G42" s="5"/>
      <c r="H42" s="5"/>
      <c r="I42" s="5">
        <f t="shared" ref="I42:P42" si="68">IFERROR(MAX(I40-I36,0),0)</f>
        <v>7.6900896399999965</v>
      </c>
      <c r="J42" s="5">
        <f t="shared" si="68"/>
        <v>0</v>
      </c>
      <c r="K42" s="5">
        <f t="shared" si="68"/>
        <v>0</v>
      </c>
      <c r="L42" s="5">
        <f t="shared" si="68"/>
        <v>0</v>
      </c>
      <c r="M42" s="5">
        <f t="shared" si="68"/>
        <v>6.035724149645489</v>
      </c>
      <c r="N42" s="5">
        <f t="shared" si="68"/>
        <v>0</v>
      </c>
      <c r="O42" s="5">
        <f t="shared" si="68"/>
        <v>0</v>
      </c>
      <c r="P42" s="5">
        <f t="shared" si="68"/>
        <v>0</v>
      </c>
      <c r="Q42" s="5">
        <f t="shared" ref="Q42:AA42" si="69">IFERROR(MAX(Q40-Q36,0),0)</f>
        <v>0</v>
      </c>
      <c r="R42" s="5">
        <f t="shared" si="69"/>
        <v>0</v>
      </c>
      <c r="S42" s="5">
        <f t="shared" si="69"/>
        <v>0</v>
      </c>
      <c r="T42" s="5">
        <f t="shared" si="69"/>
        <v>0</v>
      </c>
      <c r="U42" s="5">
        <f t="shared" si="69"/>
        <v>0</v>
      </c>
      <c r="V42" s="5">
        <f t="shared" si="69"/>
        <v>0</v>
      </c>
      <c r="W42" s="5">
        <f t="shared" si="69"/>
        <v>0</v>
      </c>
      <c r="X42" s="5">
        <f t="shared" si="69"/>
        <v>3.4938310460000253</v>
      </c>
      <c r="Y42" s="5">
        <f t="shared" si="69"/>
        <v>0</v>
      </c>
      <c r="Z42" s="5">
        <f t="shared" si="69"/>
        <v>0</v>
      </c>
      <c r="AA42" s="5">
        <f t="shared" si="69"/>
        <v>0</v>
      </c>
      <c r="AB42" s="5">
        <f t="shared" ref="AB42:AJ42" si="70">IFERROR(MAX(AB40-AB36,0),0)</f>
        <v>0</v>
      </c>
      <c r="AC42" s="5">
        <f>IFERROR(MAX(AC40-AC36,0),0)</f>
        <v>0</v>
      </c>
      <c r="AD42" s="5">
        <f t="shared" si="70"/>
        <v>30</v>
      </c>
      <c r="AE42" s="5">
        <f t="shared" si="70"/>
        <v>0</v>
      </c>
      <c r="AF42" s="5">
        <f t="shared" si="70"/>
        <v>0</v>
      </c>
      <c r="AG42" s="5">
        <f t="shared" si="70"/>
        <v>0</v>
      </c>
      <c r="AH42" s="5">
        <f t="shared" ca="1" si="70"/>
        <v>0</v>
      </c>
      <c r="AI42" s="5">
        <f t="shared" ca="1" si="70"/>
        <v>0</v>
      </c>
      <c r="AJ42" s="5">
        <f t="shared" ca="1" si="70"/>
        <v>0</v>
      </c>
      <c r="AK42" s="5">
        <f t="shared" ref="AK42:AP42" ca="1" si="71">IFERROR(MAX(AK40-AK36,0),0)</f>
        <v>0</v>
      </c>
      <c r="AL42" s="5">
        <f t="shared" ca="1" si="71"/>
        <v>0</v>
      </c>
      <c r="AM42" s="5">
        <f t="shared" ca="1" si="71"/>
        <v>0</v>
      </c>
      <c r="AN42" s="5">
        <f t="shared" ca="1" si="71"/>
        <v>0</v>
      </c>
      <c r="AO42" s="5">
        <f t="shared" ca="1" si="71"/>
        <v>0</v>
      </c>
      <c r="AP42" s="5">
        <f t="shared" ca="1" si="71"/>
        <v>0</v>
      </c>
      <c r="AS42" s="5">
        <f t="shared" ref="AS42:BI42" si="72">SUMIF($E$4:$AR$4,AS$4,$E42:$AR42)</f>
        <v>7.6900896399999965</v>
      </c>
      <c r="AT42" s="5">
        <f t="shared" si="72"/>
        <v>0</v>
      </c>
      <c r="AU42" s="5">
        <f t="shared" si="72"/>
        <v>6.035724149645489</v>
      </c>
      <c r="AV42" s="5">
        <f t="shared" si="72"/>
        <v>0</v>
      </c>
      <c r="AW42" s="5">
        <f t="shared" si="72"/>
        <v>0</v>
      </c>
      <c r="AX42" s="5">
        <f t="shared" si="72"/>
        <v>0</v>
      </c>
      <c r="AY42" s="5">
        <f t="shared" si="72"/>
        <v>0</v>
      </c>
      <c r="AZ42" s="5">
        <f t="shared" si="72"/>
        <v>3.4938310460000253</v>
      </c>
      <c r="BA42" s="5">
        <f t="shared" si="72"/>
        <v>0</v>
      </c>
      <c r="BB42" s="5">
        <f t="shared" si="72"/>
        <v>0</v>
      </c>
      <c r="BC42" s="5">
        <f t="shared" si="72"/>
        <v>30</v>
      </c>
      <c r="BD42" s="5">
        <f t="shared" si="72"/>
        <v>0</v>
      </c>
      <c r="BE42" s="5">
        <f t="shared" ca="1" si="72"/>
        <v>0</v>
      </c>
      <c r="BF42" s="5">
        <f t="shared" ca="1" si="72"/>
        <v>0</v>
      </c>
      <c r="BG42" s="5">
        <f t="shared" ca="1" si="72"/>
        <v>0</v>
      </c>
      <c r="BH42" s="5">
        <f t="shared" ca="1" si="72"/>
        <v>0</v>
      </c>
      <c r="BI42" s="5">
        <f t="shared" ca="1" si="72"/>
        <v>0</v>
      </c>
    </row>
    <row r="43" spans="2:71" s="10" customFormat="1" x14ac:dyDescent="0.25">
      <c r="C43" s="10" t="s">
        <v>40</v>
      </c>
      <c r="D43" s="10" t="s">
        <v>38</v>
      </c>
      <c r="E43" s="27"/>
      <c r="F43" s="27"/>
      <c r="G43" s="27"/>
      <c r="H43" s="27"/>
      <c r="I43" s="27">
        <f t="shared" ref="I43:P43" si="73">I40/I36</f>
        <v>1.0285876938289962</v>
      </c>
      <c r="J43" s="27">
        <f t="shared" si="73"/>
        <v>0.91854416842105269</v>
      </c>
      <c r="K43" s="27">
        <f t="shared" si="73"/>
        <v>0.91807690319218238</v>
      </c>
      <c r="L43" s="27">
        <f t="shared" si="73"/>
        <v>0.80973183839999996</v>
      </c>
      <c r="M43" s="27">
        <f t="shared" si="73"/>
        <v>1.0212525498226954</v>
      </c>
      <c r="N43" s="27">
        <f t="shared" si="73"/>
        <v>0.86548156087598349</v>
      </c>
      <c r="O43" s="27">
        <f t="shared" si="73"/>
        <v>0.97282426692134816</v>
      </c>
      <c r="P43" s="27">
        <f t="shared" si="73"/>
        <v>0.83082188633288956</v>
      </c>
      <c r="Q43" s="27">
        <f t="shared" ref="Q43:AA43" si="74">Q40/Q36</f>
        <v>0.83724917656868614</v>
      </c>
      <c r="R43" s="27">
        <f t="shared" si="74"/>
        <v>0.86945106797517413</v>
      </c>
      <c r="S43" s="27">
        <f t="shared" si="74"/>
        <v>0.92246349311079534</v>
      </c>
      <c r="T43" s="27">
        <f t="shared" si="74"/>
        <v>0.78549897645560751</v>
      </c>
      <c r="U43" s="27">
        <f t="shared" si="74"/>
        <v>0.9498947485207101</v>
      </c>
      <c r="V43" s="27">
        <f t="shared" si="74"/>
        <v>0.63340459798994986</v>
      </c>
      <c r="W43" s="27">
        <f t="shared" si="74"/>
        <v>0.79867662314540055</v>
      </c>
      <c r="X43" s="27">
        <f t="shared" si="74"/>
        <v>1.0111268504649682</v>
      </c>
      <c r="Y43" s="27">
        <f t="shared" si="74"/>
        <v>0.97768122675767921</v>
      </c>
      <c r="Z43" s="27">
        <f t="shared" si="74"/>
        <v>0.79391130444646951</v>
      </c>
      <c r="AA43" s="27">
        <f t="shared" si="74"/>
        <v>0.90866534230967755</v>
      </c>
      <c r="AB43" s="27">
        <f t="shared" ref="AB43:AJ43" si="75">AB40/AB36</f>
        <v>0.81265418280851065</v>
      </c>
      <c r="AC43" s="27">
        <f>AC40/AC36</f>
        <v>0.86228561085972844</v>
      </c>
      <c r="AD43" s="27">
        <f t="shared" si="75"/>
        <v>1.0684931506849316</v>
      </c>
      <c r="AE43" s="27">
        <f t="shared" si="75"/>
        <v>0.92507339805825228</v>
      </c>
      <c r="AF43" s="27">
        <f t="shared" si="75"/>
        <v>0.84410776278118616</v>
      </c>
      <c r="AG43" s="27">
        <f t="shared" si="75"/>
        <v>0.8352996355172414</v>
      </c>
      <c r="AH43" s="27">
        <f t="shared" ca="1" si="75"/>
        <v>0.7963330335771176</v>
      </c>
      <c r="AI43" s="27">
        <f t="shared" ca="1" si="75"/>
        <v>0.55193312699342523</v>
      </c>
      <c r="AJ43" s="27">
        <f t="shared" ca="1" si="75"/>
        <v>0.95076167828552316</v>
      </c>
      <c r="AK43" s="27">
        <f t="shared" ref="AK43:AP43" ca="1" si="76">AK40/AK36</f>
        <v>0.52748567846800665</v>
      </c>
      <c r="AL43" s="27">
        <f t="shared" ca="1" si="76"/>
        <v>0.90903116971001874</v>
      </c>
      <c r="AM43" s="27">
        <f t="shared" ca="1" si="76"/>
        <v>0.70995766507082358</v>
      </c>
      <c r="AN43" s="27">
        <f t="shared" ca="1" si="76"/>
        <v>0.69967115290379611</v>
      </c>
      <c r="AO43" s="27">
        <f t="shared" ca="1" si="76"/>
        <v>0.70730341048418111</v>
      </c>
      <c r="AP43" s="27">
        <f t="shared" ca="1" si="76"/>
        <v>0.69730398755234235</v>
      </c>
      <c r="AR43" s="28"/>
      <c r="AS43" s="27">
        <f t="shared" ref="AS43:BF43" si="77">AS40/AS36</f>
        <v>0.97020509047120407</v>
      </c>
      <c r="AT43" s="27">
        <f t="shared" si="77"/>
        <v>0.86035883214611864</v>
      </c>
      <c r="AU43" s="27">
        <f t="shared" si="77"/>
        <v>0.93637733148634594</v>
      </c>
      <c r="AV43" s="27">
        <f t="shared" si="77"/>
        <v>0.89520870082096071</v>
      </c>
      <c r="AW43" s="27">
        <f t="shared" si="77"/>
        <v>0.85335012227193008</v>
      </c>
      <c r="AX43" s="27">
        <f t="shared" si="77"/>
        <v>0.84730860448461531</v>
      </c>
      <c r="AY43" s="27">
        <f t="shared" si="77"/>
        <v>0.77874925951086971</v>
      </c>
      <c r="AZ43" s="27">
        <f t="shared" si="77"/>
        <v>0.90114877580030728</v>
      </c>
      <c r="BA43" s="27">
        <f t="shared" si="77"/>
        <v>0.86746948373224064</v>
      </c>
      <c r="BB43" s="27">
        <f t="shared" si="77"/>
        <v>0.8532591752305595</v>
      </c>
      <c r="BC43" s="27">
        <f t="shared" si="77"/>
        <v>0.99934009104704091</v>
      </c>
      <c r="BD43" s="27">
        <f t="shared" si="77"/>
        <v>0.86810621007194255</v>
      </c>
      <c r="BE43" s="27">
        <f t="shared" ca="1" si="77"/>
        <v>0.8097988473724933</v>
      </c>
      <c r="BF43" s="27">
        <f t="shared" ca="1" si="77"/>
        <v>0.75572883877426311</v>
      </c>
      <c r="BG43" s="27">
        <f ca="1">BG40/BG36</f>
        <v>0.72240984168494005</v>
      </c>
      <c r="BH43" s="27">
        <f ca="1">BH40/BH36</f>
        <v>0.70470468560404698</v>
      </c>
      <c r="BI43" s="27">
        <f ca="1">BI40/BI36</f>
        <v>0.70219702460479883</v>
      </c>
      <c r="BM43" s="28"/>
      <c r="BN43"/>
      <c r="BO43"/>
      <c r="BP43"/>
      <c r="BQ43"/>
      <c r="BR43"/>
      <c r="BS43"/>
    </row>
    <row r="44" spans="2:71" x14ac:dyDescent="0.25"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>
        <f>SUM(AE31:AF31)-SUM(AE40:AF40)</f>
        <v>204.66618399999993</v>
      </c>
      <c r="AG44" s="5"/>
      <c r="AH44" s="5">
        <f ca="1">SUM(AG31:AH31)-SUM(AG40:AH40)</f>
        <v>267.20763019189963</v>
      </c>
      <c r="AI44" s="5"/>
      <c r="AJ44" s="5">
        <f ca="1">SUM(AI31:AJ31)-SUM(AI40:AJ40)</f>
        <v>323.30931431910619</v>
      </c>
      <c r="AK44" s="5"/>
      <c r="AL44" s="5">
        <f ca="1">SUM(AK31:AL31)-SUM(AK40:AL40)</f>
        <v>362.55707807484578</v>
      </c>
      <c r="AM44" s="5"/>
      <c r="AN44" s="5"/>
      <c r="AO44" s="5"/>
      <c r="AP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</row>
    <row r="45" spans="2:71" s="23" customFormat="1" x14ac:dyDescent="0.25">
      <c r="B45" s="23" t="s">
        <v>41</v>
      </c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24"/>
      <c r="AB45" s="24"/>
      <c r="AC45" s="24"/>
      <c r="AD45" s="24"/>
      <c r="AE45" s="124">
        <f>AE46/SUM(AE46:AF46)</f>
        <v>0.31138923864384266</v>
      </c>
      <c r="AF45" s="24"/>
      <c r="AG45" s="24"/>
      <c r="AH45" s="24"/>
      <c r="AI45" s="24"/>
      <c r="AJ45" s="24"/>
      <c r="AK45" s="24"/>
      <c r="AL45" s="24"/>
      <c r="AM45" s="24"/>
      <c r="AN45" s="24"/>
      <c r="AO45" s="24"/>
      <c r="AP45" s="24"/>
      <c r="AR45" s="25"/>
      <c r="AV45" s="24"/>
      <c r="AW45" s="24"/>
      <c r="AX45" s="24"/>
      <c r="AY45" s="24"/>
      <c r="AZ45" s="24"/>
      <c r="BA45" s="24"/>
      <c r="BB45" s="24"/>
      <c r="BC45" s="24"/>
      <c r="BD45" s="24"/>
      <c r="BE45" s="24"/>
      <c r="BF45" s="24"/>
      <c r="BG45" s="24"/>
      <c r="BH45" s="24"/>
      <c r="BI45" s="24"/>
      <c r="BM45" s="25"/>
      <c r="BN45"/>
      <c r="BO45"/>
      <c r="BP45"/>
      <c r="BQ45"/>
      <c r="BR45"/>
      <c r="BS45"/>
    </row>
    <row r="46" spans="2:71" x14ac:dyDescent="0.25">
      <c r="C46" t="s">
        <v>0</v>
      </c>
      <c r="D46" t="s">
        <v>42</v>
      </c>
      <c r="E46" s="29"/>
      <c r="F46" s="29"/>
      <c r="G46" s="29"/>
      <c r="H46" s="29"/>
      <c r="I46" s="29">
        <f t="shared" ref="I46:AL46" si="78">I31/I156*100</f>
        <v>11.67382811973725</v>
      </c>
      <c r="J46" s="29">
        <f t="shared" si="78"/>
        <v>13.111803167705286</v>
      </c>
      <c r="K46" s="29">
        <f t="shared" si="78"/>
        <v>13.126381244577701</v>
      </c>
      <c r="L46" s="29">
        <f t="shared" si="78"/>
        <v>14.898170130295698</v>
      </c>
      <c r="M46" s="29">
        <f t="shared" si="78"/>
        <v>14.440565030749426</v>
      </c>
      <c r="N46" s="29">
        <f t="shared" si="78"/>
        <v>16.670661083235345</v>
      </c>
      <c r="O46" s="29">
        <f t="shared" si="78"/>
        <v>15.369752133853806</v>
      </c>
      <c r="P46" s="29">
        <f t="shared" si="78"/>
        <v>17.939816947445252</v>
      </c>
      <c r="Q46" s="29">
        <f t="shared" si="78"/>
        <v>18.002922584542507</v>
      </c>
      <c r="R46" s="29">
        <f t="shared" si="78"/>
        <v>17.614183133643966</v>
      </c>
      <c r="S46" s="29">
        <f t="shared" si="78"/>
        <v>16.846812858289102</v>
      </c>
      <c r="T46" s="29">
        <f t="shared" si="78"/>
        <v>20.372203102574694</v>
      </c>
      <c r="U46" s="29">
        <f t="shared" si="78"/>
        <v>16.146292134359015</v>
      </c>
      <c r="V46" s="29">
        <f t="shared" si="78"/>
        <v>18.54300737305293</v>
      </c>
      <c r="W46" s="29">
        <f t="shared" si="78"/>
        <v>16.205591012866233</v>
      </c>
      <c r="X46" s="29">
        <f t="shared" si="78"/>
        <v>16.858648150019956</v>
      </c>
      <c r="Y46" s="29">
        <f t="shared" si="78"/>
        <v>14.661702196429641</v>
      </c>
      <c r="Z46" s="29">
        <f t="shared" si="78"/>
        <v>21.112851162858686</v>
      </c>
      <c r="AA46" s="29">
        <f t="shared" si="78"/>
        <v>14.787373929541895</v>
      </c>
      <c r="AB46" s="29">
        <f t="shared" si="78"/>
        <v>20.693945385817834</v>
      </c>
      <c r="AC46" s="29">
        <f t="shared" si="78"/>
        <v>11.166786450741878</v>
      </c>
      <c r="AD46" s="29">
        <f t="shared" si="78"/>
        <v>21.829808099194651</v>
      </c>
      <c r="AE46" s="29">
        <f t="shared" si="78"/>
        <v>10.534553425892847</v>
      </c>
      <c r="AF46" s="29">
        <f t="shared" si="78"/>
        <v>23.296267034611059</v>
      </c>
      <c r="AG46" s="29">
        <f t="shared" si="78"/>
        <v>13.491776561677101</v>
      </c>
      <c r="AH46" s="29">
        <f t="shared" ca="1" si="78"/>
        <v>22.816683386253423</v>
      </c>
      <c r="AI46" s="29">
        <f t="shared" ca="1" si="78"/>
        <v>18.979974755742273</v>
      </c>
      <c r="AJ46" s="29">
        <f t="shared" ca="1" si="78"/>
        <v>19.52692832308967</v>
      </c>
      <c r="AK46" s="29">
        <f t="shared" ca="1" si="78"/>
        <v>19.775830850366376</v>
      </c>
      <c r="AL46" s="29">
        <f t="shared" ca="1" si="78"/>
        <v>20.346448480332676</v>
      </c>
      <c r="AM46" s="29">
        <f ca="1">AM31/AM156*100</f>
        <v>20.593933365391646</v>
      </c>
      <c r="AN46" s="29">
        <f ca="1">AN31/AN156*100</f>
        <v>21.180374176398534</v>
      </c>
      <c r="AO46" s="29">
        <f ca="1">AO31/AO156*100</f>
        <v>21.423524693220667</v>
      </c>
      <c r="AP46" s="29">
        <f ca="1">AP31/AP156*100</f>
        <v>22.041566007835829</v>
      </c>
      <c r="AS46" s="5"/>
      <c r="AT46" s="5">
        <f t="shared" ref="AT46:BF46" si="79">AT31/AT156*100</f>
        <v>27.99835334396742</v>
      </c>
      <c r="AU46" s="5">
        <f t="shared" si="79"/>
        <v>31.148309634735448</v>
      </c>
      <c r="AV46" s="5">
        <f t="shared" si="79"/>
        <v>33.399404045521557</v>
      </c>
      <c r="AW46" s="5">
        <f t="shared" si="79"/>
        <v>35.599625396568484</v>
      </c>
      <c r="AX46" s="5">
        <f t="shared" si="79"/>
        <v>37.360337655284646</v>
      </c>
      <c r="AY46" s="5">
        <f t="shared" si="79"/>
        <v>34.691077183432924</v>
      </c>
      <c r="AZ46" s="5">
        <f t="shared" si="79"/>
        <v>33.070727999172128</v>
      </c>
      <c r="BA46" s="5">
        <f t="shared" si="79"/>
        <v>35.83186083580938</v>
      </c>
      <c r="BB46" s="5">
        <f t="shared" si="79"/>
        <v>35.552568300324396</v>
      </c>
      <c r="BC46" s="5">
        <f t="shared" si="79"/>
        <v>32.994071374651583</v>
      </c>
      <c r="BD46" s="5">
        <f t="shared" si="79"/>
        <v>33.859196533728785</v>
      </c>
      <c r="BE46" s="5">
        <f t="shared" ca="1" si="79"/>
        <v>36.300337040184679</v>
      </c>
      <c r="BF46" s="5">
        <f t="shared" ca="1" si="79"/>
        <v>38.50690307883194</v>
      </c>
      <c r="BG46" s="5">
        <f ca="1">BG31/BG156*100</f>
        <v>40.122279330699065</v>
      </c>
      <c r="BH46" s="5">
        <f ca="1">BH31/BH156*100</f>
        <v>41.774307541790172</v>
      </c>
      <c r="BI46" s="5">
        <f ca="1">BI31/BI156*100</f>
        <v>43.465090701056496</v>
      </c>
    </row>
    <row r="47" spans="2:71" x14ac:dyDescent="0.25">
      <c r="C47" t="s">
        <v>359</v>
      </c>
      <c r="E47" s="29"/>
      <c r="F47" s="29"/>
      <c r="G47" s="29"/>
      <c r="H47" s="29"/>
      <c r="I47" s="29">
        <f>(I31-I30)/I156*100</f>
        <v>11.67382811973725</v>
      </c>
      <c r="J47" s="29">
        <f t="shared" ref="J47:AL47" si="80">(J31-J30)/J156*100</f>
        <v>13.111803167705286</v>
      </c>
      <c r="K47" s="29">
        <f t="shared" si="80"/>
        <v>13.126381244577701</v>
      </c>
      <c r="L47" s="29">
        <f t="shared" si="80"/>
        <v>14.898170130295698</v>
      </c>
      <c r="M47" s="29">
        <f t="shared" si="80"/>
        <v>14.440565030749426</v>
      </c>
      <c r="N47" s="29">
        <f t="shared" si="80"/>
        <v>16.670661083235345</v>
      </c>
      <c r="O47" s="29">
        <f t="shared" si="80"/>
        <v>15.369752133853806</v>
      </c>
      <c r="P47" s="29">
        <f t="shared" si="80"/>
        <v>17.939816947445252</v>
      </c>
      <c r="Q47" s="29">
        <f t="shared" si="80"/>
        <v>18.002922584542507</v>
      </c>
      <c r="R47" s="29">
        <f t="shared" si="80"/>
        <v>17.614183133643966</v>
      </c>
      <c r="S47" s="29">
        <f t="shared" si="80"/>
        <v>16.846812858289102</v>
      </c>
      <c r="T47" s="29">
        <f t="shared" si="80"/>
        <v>20.372203102574694</v>
      </c>
      <c r="U47" s="29">
        <f t="shared" si="80"/>
        <v>16.146292134359015</v>
      </c>
      <c r="V47" s="29">
        <f t="shared" si="80"/>
        <v>18.54300737305293</v>
      </c>
      <c r="W47" s="29">
        <f t="shared" si="80"/>
        <v>16.205591012866233</v>
      </c>
      <c r="X47" s="29">
        <f t="shared" si="80"/>
        <v>16.858648150019956</v>
      </c>
      <c r="Y47" s="29">
        <f t="shared" si="80"/>
        <v>14.661702196429641</v>
      </c>
      <c r="Z47" s="29">
        <f t="shared" si="80"/>
        <v>21.112851162858686</v>
      </c>
      <c r="AA47" s="29">
        <f t="shared" si="80"/>
        <v>14.787373929541895</v>
      </c>
      <c r="AB47" s="29">
        <f t="shared" si="80"/>
        <v>22.202006183164887</v>
      </c>
      <c r="AC47" s="29">
        <f t="shared" si="80"/>
        <v>11.166786450741878</v>
      </c>
      <c r="AD47" s="29">
        <f t="shared" si="80"/>
        <v>24.222690910067911</v>
      </c>
      <c r="AE47" s="29">
        <f t="shared" si="80"/>
        <v>10.534553425892847</v>
      </c>
      <c r="AF47" s="29">
        <f t="shared" si="80"/>
        <v>26.391282762728153</v>
      </c>
      <c r="AG47" s="29">
        <f t="shared" si="80"/>
        <v>13.491776561677101</v>
      </c>
      <c r="AH47" s="29">
        <f t="shared" ca="1" si="80"/>
        <v>25.909653145058918</v>
      </c>
      <c r="AI47" s="29">
        <f t="shared" ca="1" si="80"/>
        <v>21.030381569513519</v>
      </c>
      <c r="AJ47" s="29">
        <f t="shared" ca="1" si="80"/>
        <v>21.610878294117043</v>
      </c>
      <c r="AK47" s="29">
        <f t="shared" ca="1" si="80"/>
        <v>21.900656435843608</v>
      </c>
      <c r="AL47" s="29">
        <f t="shared" ca="1" si="80"/>
        <v>22.534172346223158</v>
      </c>
      <c r="AM47" s="29">
        <f ca="1">(AM31-AM30)/AM156*100</f>
        <v>22.820875246422549</v>
      </c>
      <c r="AN47" s="29">
        <f ca="1">(AN31-AN30)/AN156*100</f>
        <v>23.473708208165935</v>
      </c>
      <c r="AO47" s="29">
        <f ca="1">(AO31-AO30)/AO156*100</f>
        <v>23.758218051862396</v>
      </c>
      <c r="AP47" s="29">
        <f ca="1">(AP31-AP30)/AP156*100</f>
        <v>24.447311240337164</v>
      </c>
      <c r="AS47" s="5"/>
      <c r="AT47" s="5">
        <f t="shared" ref="AT47:BG47" si="81">(AT31-AT30)/AT156*100</f>
        <v>27.99835334396742</v>
      </c>
      <c r="AU47" s="5">
        <f t="shared" si="81"/>
        <v>31.148309634735448</v>
      </c>
      <c r="AV47" s="5">
        <f t="shared" si="81"/>
        <v>33.399404045521557</v>
      </c>
      <c r="AW47" s="5">
        <f t="shared" si="81"/>
        <v>35.599625396568484</v>
      </c>
      <c r="AX47" s="5">
        <f t="shared" si="81"/>
        <v>37.360337655284646</v>
      </c>
      <c r="AY47" s="5">
        <f t="shared" si="81"/>
        <v>34.691077183432924</v>
      </c>
      <c r="AZ47" s="5">
        <f t="shared" si="81"/>
        <v>33.070727999172128</v>
      </c>
      <c r="BA47" s="5">
        <f t="shared" si="81"/>
        <v>35.83186083580938</v>
      </c>
      <c r="BB47" s="5">
        <f t="shared" si="81"/>
        <v>37.06365738983051</v>
      </c>
      <c r="BC47" s="5">
        <f t="shared" si="81"/>
        <v>35.386771207164479</v>
      </c>
      <c r="BD47" s="5">
        <f t="shared" si="81"/>
        <v>36.960162552906915</v>
      </c>
      <c r="BE47" s="5">
        <f t="shared" ca="1" si="81"/>
        <v>39.401346294319772</v>
      </c>
      <c r="BF47" s="5">
        <f t="shared" ca="1" si="81"/>
        <v>42.641259863630559</v>
      </c>
      <c r="BG47" s="5">
        <f t="shared" ca="1" si="81"/>
        <v>44.434828782066781</v>
      </c>
      <c r="BH47" s="5">
        <f ca="1">(BH31-BH30)/BH156*100</f>
        <v>46.294583454588476</v>
      </c>
      <c r="BI47" s="5">
        <f ca="1">(BI31-BI30)/BI156*100</f>
        <v>48.205529292199564</v>
      </c>
    </row>
    <row r="48" spans="2:71" x14ac:dyDescent="0.25">
      <c r="C48" t="s">
        <v>2</v>
      </c>
      <c r="D48" t="s">
        <v>42</v>
      </c>
      <c r="E48" s="29"/>
      <c r="F48" s="29"/>
      <c r="G48" s="29"/>
      <c r="H48" s="29"/>
      <c r="I48" s="29">
        <f t="shared" ref="I48:AL48" si="82">I36/I156*100</f>
        <v>11.67382811973725</v>
      </c>
      <c r="J48" s="29">
        <f t="shared" si="82"/>
        <v>13.111803167705286</v>
      </c>
      <c r="K48" s="29">
        <f t="shared" si="82"/>
        <v>13.126381244577701</v>
      </c>
      <c r="L48" s="29">
        <f t="shared" si="82"/>
        <v>14.898170130295698</v>
      </c>
      <c r="M48" s="29">
        <f t="shared" si="82"/>
        <v>11.991580317932272</v>
      </c>
      <c r="N48" s="29">
        <f t="shared" si="82"/>
        <v>14.241268262060345</v>
      </c>
      <c r="O48" s="29">
        <f t="shared" si="82"/>
        <v>12.974736557440272</v>
      </c>
      <c r="P48" s="29">
        <f t="shared" si="82"/>
        <v>15.557508692299521</v>
      </c>
      <c r="Q48" s="29">
        <f t="shared" si="82"/>
        <v>15.60803838751621</v>
      </c>
      <c r="R48" s="29">
        <f t="shared" si="82"/>
        <v>15.592883429783184</v>
      </c>
      <c r="S48" s="29">
        <f t="shared" si="82"/>
        <v>14.57021652608787</v>
      </c>
      <c r="T48" s="29">
        <f t="shared" si="82"/>
        <v>17.794495771228508</v>
      </c>
      <c r="U48" s="29">
        <f t="shared" si="82"/>
        <v>14.212100889097258</v>
      </c>
      <c r="V48" s="29">
        <f t="shared" si="82"/>
        <v>16.734959035090853</v>
      </c>
      <c r="W48" s="29">
        <f t="shared" si="82"/>
        <v>14.148404588953161</v>
      </c>
      <c r="X48" s="29">
        <f t="shared" si="82"/>
        <v>13.168197808722057</v>
      </c>
      <c r="Y48" s="29">
        <f t="shared" si="82"/>
        <v>12.273939267296814</v>
      </c>
      <c r="Z48" s="29">
        <f t="shared" si="82"/>
        <v>18.38996361209318</v>
      </c>
      <c r="AA48" s="29">
        <f t="shared" si="82"/>
        <v>12.986079088266253</v>
      </c>
      <c r="AB48" s="29">
        <f t="shared" si="82"/>
        <v>17.719714368827823</v>
      </c>
      <c r="AC48" s="29">
        <f>AC36/AC156*100</f>
        <v>9.2776684421577258</v>
      </c>
      <c r="AD48" s="29">
        <f t="shared" si="82"/>
        <v>18.387415283552418</v>
      </c>
      <c r="AE48" s="29">
        <f t="shared" si="82"/>
        <v>8.645888469059468</v>
      </c>
      <c r="AF48" s="29">
        <f t="shared" si="82"/>
        <v>20.452198527692655</v>
      </c>
      <c r="AG48" s="29">
        <f t="shared" si="82"/>
        <v>10.834934407992995</v>
      </c>
      <c r="AH48" s="29">
        <f t="shared" ca="1" si="82"/>
        <v>20.363101034095415</v>
      </c>
      <c r="AI48" s="29">
        <f t="shared" ca="1" si="82"/>
        <v>16.306323284174262</v>
      </c>
      <c r="AJ48" s="29">
        <f t="shared" ca="1" si="82"/>
        <v>17.038970301382903</v>
      </c>
      <c r="AK48" s="29">
        <f t="shared" ca="1" si="82"/>
        <v>17.062074606724842</v>
      </c>
      <c r="AL48" s="29">
        <f t="shared" ca="1" si="82"/>
        <v>17.821171088300311</v>
      </c>
      <c r="AM48" s="29">
        <f ca="1">AM36/AM156*100</f>
        <v>17.839470778095489</v>
      </c>
      <c r="AN48" s="29">
        <f ca="1">AN36/AN156*100</f>
        <v>18.617217623485679</v>
      </c>
      <c r="AO48" s="29">
        <f ca="1">AO36/AO156*100</f>
        <v>18.627745167115069</v>
      </c>
      <c r="AP48" s="29">
        <f ca="1">AP36/AP156*100</f>
        <v>19.439962106629284</v>
      </c>
      <c r="AS48" s="5"/>
      <c r="AT48" s="5">
        <f t="shared" ref="AT48:BF48" si="83">AT36/AT156*100</f>
        <v>27.99835334396742</v>
      </c>
      <c r="AU48" s="5">
        <f t="shared" si="83"/>
        <v>26.265601637939085</v>
      </c>
      <c r="AV48" s="5">
        <f t="shared" si="83"/>
        <v>28.610212692360736</v>
      </c>
      <c r="AW48" s="5">
        <f t="shared" si="83"/>
        <v>31.185766859566368</v>
      </c>
      <c r="AX48" s="5">
        <f t="shared" si="83"/>
        <v>32.487250135030131</v>
      </c>
      <c r="AY48" s="5">
        <f t="shared" si="83"/>
        <v>30.948645826674703</v>
      </c>
      <c r="AZ48" s="5">
        <f t="shared" si="83"/>
        <v>27.32112173535667</v>
      </c>
      <c r="BA48" s="5">
        <f t="shared" si="83"/>
        <v>30.713023573550895</v>
      </c>
      <c r="BB48" s="5">
        <f t="shared" si="83"/>
        <v>30.767452850221698</v>
      </c>
      <c r="BC48" s="5">
        <f t="shared" si="83"/>
        <v>27.66296823905266</v>
      </c>
      <c r="BD48" s="5">
        <f t="shared" si="83"/>
        <v>29.123937612551369</v>
      </c>
      <c r="BE48" s="5">
        <f t="shared" ca="1" si="83"/>
        <v>31.196813482222336</v>
      </c>
      <c r="BF48" s="5">
        <f t="shared" ca="1" si="83"/>
        <v>33.345293585557165</v>
      </c>
      <c r="BG48" s="5">
        <f ca="1">BG36/BG156*100</f>
        <v>34.883245695025167</v>
      </c>
      <c r="BH48" s="5">
        <f ca="1">BH36/BH156*100</f>
        <v>36.456688401581168</v>
      </c>
      <c r="BI48" s="5">
        <f ca="1">BI36/BI156*100</f>
        <v>38.067707273744354</v>
      </c>
    </row>
    <row r="49" spans="2:71" x14ac:dyDescent="0.25">
      <c r="C49" t="s">
        <v>4</v>
      </c>
      <c r="D49" t="s">
        <v>42</v>
      </c>
      <c r="E49" s="29"/>
      <c r="F49" s="29"/>
      <c r="G49" s="29"/>
      <c r="H49" s="29"/>
      <c r="I49" s="81">
        <v>12</v>
      </c>
      <c r="J49" s="81">
        <v>12</v>
      </c>
      <c r="K49" s="81">
        <v>12</v>
      </c>
      <c r="L49" s="81">
        <v>12</v>
      </c>
      <c r="M49" s="81">
        <v>12.2</v>
      </c>
      <c r="N49" s="81">
        <f>24.5-M49</f>
        <v>12.3</v>
      </c>
      <c r="O49" s="81">
        <v>12.6</v>
      </c>
      <c r="P49" s="81">
        <f>25.5-O49</f>
        <v>12.9</v>
      </c>
      <c r="Q49" s="81">
        <v>13</v>
      </c>
      <c r="R49" s="81">
        <v>13.5</v>
      </c>
      <c r="S49" s="81">
        <v>13.5</v>
      </c>
      <c r="T49" s="81">
        <f>27.6-S49</f>
        <v>14.100000000000001</v>
      </c>
      <c r="U49" s="81">
        <v>13.5</v>
      </c>
      <c r="V49" s="81">
        <f>24.1-U49</f>
        <v>10.600000000000001</v>
      </c>
      <c r="W49" s="81">
        <v>11.3</v>
      </c>
      <c r="X49" s="81">
        <f>24.6-W49</f>
        <v>13.3</v>
      </c>
      <c r="Y49" s="81">
        <v>12</v>
      </c>
      <c r="Z49" s="81">
        <f>26.6-Y49</f>
        <v>14.600000000000001</v>
      </c>
      <c r="AA49" s="81">
        <v>11.8</v>
      </c>
      <c r="AB49" s="81">
        <v>14.4</v>
      </c>
      <c r="AC49" s="81">
        <v>8</v>
      </c>
      <c r="AD49" s="81">
        <v>16.600000000000001</v>
      </c>
      <c r="AE49" s="81">
        <v>8</v>
      </c>
      <c r="AF49" s="81">
        <f>25.2-AE49</f>
        <v>17.2</v>
      </c>
      <c r="AG49" s="81">
        <v>9</v>
      </c>
      <c r="AH49" s="126">
        <f>25.2-AG49</f>
        <v>16.2</v>
      </c>
      <c r="AI49" s="29">
        <f t="shared" ref="AI49:AL49" si="84">AG49</f>
        <v>9</v>
      </c>
      <c r="AJ49" s="29">
        <f t="shared" si="84"/>
        <v>16.2</v>
      </c>
      <c r="AK49" s="29">
        <f t="shared" si="84"/>
        <v>9</v>
      </c>
      <c r="AL49" s="29">
        <f t="shared" si="84"/>
        <v>16.2</v>
      </c>
      <c r="AM49" s="29">
        <f ca="1">AM40/AM151*100</f>
        <v>12.665269019715861</v>
      </c>
      <c r="AN49" s="29">
        <f ca="1">AN40/AN151*100</f>
        <v>13.025930118485096</v>
      </c>
      <c r="AO49" s="29">
        <f ca="1">AO40/AO151*100</f>
        <v>13.175467686330711</v>
      </c>
      <c r="AP49" s="29">
        <f ca="1">AP40/AP151*100</f>
        <v>13.555563094819034</v>
      </c>
      <c r="AS49" s="5">
        <f t="shared" ref="AS49:BI49" si="85">SUMIF($E$4:$AR$4,AS$4,$E49:$AR49)</f>
        <v>24</v>
      </c>
      <c r="AT49" s="5">
        <f t="shared" si="85"/>
        <v>24</v>
      </c>
      <c r="AU49" s="5">
        <f t="shared" si="85"/>
        <v>24.5</v>
      </c>
      <c r="AV49" s="5">
        <f t="shared" si="85"/>
        <v>25.5</v>
      </c>
      <c r="AW49" s="5">
        <f t="shared" si="85"/>
        <v>26.5</v>
      </c>
      <c r="AX49" s="5">
        <f t="shared" si="85"/>
        <v>27.6</v>
      </c>
      <c r="AY49" s="5">
        <f t="shared" si="85"/>
        <v>24.1</v>
      </c>
      <c r="AZ49" s="5">
        <f t="shared" si="85"/>
        <v>24.6</v>
      </c>
      <c r="BA49" s="5">
        <f t="shared" si="85"/>
        <v>26.6</v>
      </c>
      <c r="BB49" s="5">
        <f t="shared" si="85"/>
        <v>26.200000000000003</v>
      </c>
      <c r="BC49" s="5">
        <f t="shared" si="85"/>
        <v>24.6</v>
      </c>
      <c r="BD49" s="5">
        <f t="shared" si="85"/>
        <v>25.2</v>
      </c>
      <c r="BE49" s="5">
        <f t="shared" si="85"/>
        <v>25.2</v>
      </c>
      <c r="BF49" s="5">
        <f t="shared" si="85"/>
        <v>25.2</v>
      </c>
      <c r="BG49" s="5">
        <f t="shared" si="85"/>
        <v>25.2</v>
      </c>
      <c r="BH49" s="5">
        <f t="shared" ca="1" si="85"/>
        <v>25.691199138200957</v>
      </c>
      <c r="BI49" s="5">
        <f t="shared" ca="1" si="85"/>
        <v>26.731030781149745</v>
      </c>
    </row>
    <row r="50" spans="2:71" x14ac:dyDescent="0.25"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29"/>
      <c r="AF50" s="5"/>
      <c r="AG50" s="29"/>
      <c r="AH50" s="5"/>
      <c r="AI50" s="5"/>
      <c r="AJ50" s="5"/>
      <c r="AK50" s="5"/>
      <c r="AL50" s="5"/>
      <c r="AM50" s="5"/>
      <c r="AN50" s="5"/>
      <c r="AO50" s="5"/>
      <c r="AP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</row>
    <row r="51" spans="2:71" s="10" customFormat="1" x14ac:dyDescent="0.25">
      <c r="C51" s="10" t="s">
        <v>360</v>
      </c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30"/>
      <c r="R51" s="30"/>
      <c r="S51" s="30">
        <f t="shared" ref="S51:AB54" si="86">S46/Q46-1</f>
        <v>-6.4217891335379806E-2</v>
      </c>
      <c r="T51" s="30">
        <f t="shared" si="86"/>
        <v>0.15657949891884426</v>
      </c>
      <c r="U51" s="30">
        <f t="shared" si="86"/>
        <v>-4.158179531183015E-2</v>
      </c>
      <c r="V51" s="30">
        <f t="shared" si="86"/>
        <v>-8.9788802924833711E-2</v>
      </c>
      <c r="W51" s="30">
        <f t="shared" si="86"/>
        <v>3.6726003725047196E-3</v>
      </c>
      <c r="X51" s="30">
        <f t="shared" si="86"/>
        <v>-9.08352776411403E-2</v>
      </c>
      <c r="Y51" s="30">
        <f t="shared" si="86"/>
        <v>-9.5268899184907219E-2</v>
      </c>
      <c r="Z51" s="30">
        <f t="shared" si="86"/>
        <v>0.25234544163813588</v>
      </c>
      <c r="AA51" s="30">
        <f t="shared" si="86"/>
        <v>8.5714285714286742E-3</v>
      </c>
      <c r="AB51" s="30">
        <f t="shared" si="86"/>
        <v>-1.9841269841270104E-2</v>
      </c>
      <c r="AC51" s="30">
        <f t="shared" ref="AC51:AL54" si="87">AC46/AA46-1</f>
        <v>-0.24484316796553618</v>
      </c>
      <c r="AD51" s="30">
        <f t="shared" si="87"/>
        <v>5.4888649418938673E-2</v>
      </c>
      <c r="AE51" s="30">
        <f t="shared" si="87"/>
        <v>-5.6617275492630847E-2</v>
      </c>
      <c r="AF51" s="30">
        <f t="shared" si="87"/>
        <v>6.7176904567956663E-2</v>
      </c>
      <c r="AG51" s="30">
        <f t="shared" si="87"/>
        <v>0.28071651604288261</v>
      </c>
      <c r="AH51" s="30">
        <f t="shared" ca="1" si="87"/>
        <v>-2.0586287392959646E-2</v>
      </c>
      <c r="AI51" s="30">
        <f t="shared" ca="1" si="87"/>
        <v>0.40678098758722392</v>
      </c>
      <c r="AJ51" s="30">
        <f t="shared" ca="1" si="87"/>
        <v>-0.14418200084004151</v>
      </c>
      <c r="AK51" s="30">
        <f t="shared" ca="1" si="87"/>
        <v>4.1931356857222379E-2</v>
      </c>
      <c r="AL51" s="30">
        <f t="shared" ca="1" si="87"/>
        <v>4.196871846320871E-2</v>
      </c>
      <c r="AM51" s="30">
        <f t="shared" ref="AM51:AN54" ca="1" si="88">AM46/AK46-1</f>
        <v>4.1368806257265911E-2</v>
      </c>
      <c r="AN51" s="30">
        <f t="shared" ca="1" si="88"/>
        <v>4.0986302689235865E-2</v>
      </c>
      <c r="AO51" s="30">
        <f t="shared" ref="AO51:AO54" ca="1" si="89">AO46/AM46-1</f>
        <v>4.0283286981163124E-2</v>
      </c>
      <c r="AP51" s="30">
        <f t="shared" ref="AP51:AP54" ca="1" si="90">AP46/AN46-1</f>
        <v>4.0659896952950358E-2</v>
      </c>
      <c r="AR51" s="28"/>
      <c r="AT51" s="30"/>
      <c r="AU51" s="30">
        <f t="shared" ref="AU51:BI51" si="91">AU46/AT46-1</f>
        <v>0.11250505528200017</v>
      </c>
      <c r="AV51" s="30">
        <f t="shared" si="91"/>
        <v>7.2270194985983194E-2</v>
      </c>
      <c r="AW51" s="30">
        <f t="shared" si="91"/>
        <v>6.5876066173161218E-2</v>
      </c>
      <c r="AX51" s="30">
        <f t="shared" si="91"/>
        <v>4.9458729947362778E-2</v>
      </c>
      <c r="AY51" s="30">
        <f t="shared" si="91"/>
        <v>-7.1446369047313829E-2</v>
      </c>
      <c r="AZ51" s="30">
        <f t="shared" si="91"/>
        <v>-4.670795247126569E-2</v>
      </c>
      <c r="BA51" s="30">
        <f t="shared" si="91"/>
        <v>8.3491746438311587E-2</v>
      </c>
      <c r="BB51" s="30">
        <f t="shared" si="91"/>
        <v>-7.7945305928925901E-3</v>
      </c>
      <c r="BC51" s="30">
        <f t="shared" si="91"/>
        <v>-7.1963772182654595E-2</v>
      </c>
      <c r="BD51" s="30">
        <f t="shared" si="91"/>
        <v>2.6220624585962859E-2</v>
      </c>
      <c r="BE51" s="30">
        <f t="shared" ca="1" si="91"/>
        <v>7.2096823207962402E-2</v>
      </c>
      <c r="BF51" s="30">
        <f t="shared" ca="1" si="91"/>
        <v>6.0786378820796516E-2</v>
      </c>
      <c r="BG51" s="30">
        <f t="shared" ca="1" si="91"/>
        <v>4.1950303003077227E-2</v>
      </c>
      <c r="BH51" s="30">
        <f t="shared" ca="1" si="91"/>
        <v>4.1174834497178736E-2</v>
      </c>
      <c r="BI51" s="30">
        <f t="shared" ca="1" si="91"/>
        <v>4.0474235451417151E-2</v>
      </c>
      <c r="BM51" s="28"/>
      <c r="BN51"/>
      <c r="BO51"/>
      <c r="BP51"/>
      <c r="BQ51"/>
      <c r="BR51"/>
      <c r="BS51"/>
    </row>
    <row r="52" spans="2:71" s="10" customFormat="1" x14ac:dyDescent="0.25">
      <c r="C52" s="10" t="s">
        <v>361</v>
      </c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30"/>
      <c r="R52" s="30"/>
      <c r="S52" s="30">
        <f t="shared" si="86"/>
        <v>-6.4217891335379806E-2</v>
      </c>
      <c r="T52" s="30">
        <f t="shared" si="86"/>
        <v>0.15657949891884426</v>
      </c>
      <c r="U52" s="30">
        <f t="shared" si="86"/>
        <v>-4.158179531183015E-2</v>
      </c>
      <c r="V52" s="30">
        <f t="shared" si="86"/>
        <v>-8.9788802924833711E-2</v>
      </c>
      <c r="W52" s="30">
        <f t="shared" si="86"/>
        <v>3.6726003725047196E-3</v>
      </c>
      <c r="X52" s="30">
        <f t="shared" si="86"/>
        <v>-9.08352776411403E-2</v>
      </c>
      <c r="Y52" s="30">
        <f t="shared" si="86"/>
        <v>-9.5268899184907219E-2</v>
      </c>
      <c r="Z52" s="30">
        <f t="shared" si="86"/>
        <v>0.25234544163813588</v>
      </c>
      <c r="AA52" s="30">
        <f t="shared" si="86"/>
        <v>8.5714285714286742E-3</v>
      </c>
      <c r="AB52" s="30">
        <f t="shared" si="86"/>
        <v>5.1587301587301626E-2</v>
      </c>
      <c r="AC52" s="30">
        <f t="shared" si="87"/>
        <v>-0.24484316796553618</v>
      </c>
      <c r="AD52" s="30">
        <f t="shared" si="87"/>
        <v>9.1013609771681381E-2</v>
      </c>
      <c r="AE52" s="30">
        <f t="shared" si="87"/>
        <v>-5.6617275492630847E-2</v>
      </c>
      <c r="AF52" s="30">
        <f t="shared" si="87"/>
        <v>8.952728913198027E-2</v>
      </c>
      <c r="AG52" s="30">
        <f t="shared" si="87"/>
        <v>0.28071651604288261</v>
      </c>
      <c r="AH52" s="30">
        <f t="shared" ca="1" si="87"/>
        <v>-1.8249572103006262E-2</v>
      </c>
      <c r="AI52" s="30">
        <f t="shared" ca="1" si="87"/>
        <v>0.55875554812029349</v>
      </c>
      <c r="AJ52" s="30">
        <f t="shared" ca="1" si="87"/>
        <v>-0.16591402543579281</v>
      </c>
      <c r="AK52" s="30">
        <f t="shared" ca="1" si="87"/>
        <v>4.1381791550167302E-2</v>
      </c>
      <c r="AL52" s="30">
        <f t="shared" ca="1" si="87"/>
        <v>4.2723578354400216E-2</v>
      </c>
      <c r="AM52" s="30">
        <f t="shared" ca="1" si="88"/>
        <v>4.2017864317202447E-2</v>
      </c>
      <c r="AN52" s="30">
        <f t="shared" ca="1" si="88"/>
        <v>4.1693826048164073E-2</v>
      </c>
      <c r="AO52" s="30">
        <f t="shared" ca="1" si="89"/>
        <v>4.1073920054262025E-2</v>
      </c>
      <c r="AP52" s="30">
        <f t="shared" ca="1" si="90"/>
        <v>4.1476319954958596E-2</v>
      </c>
      <c r="AR52" s="28"/>
      <c r="AT52" s="30"/>
      <c r="AU52" s="30">
        <f t="shared" ref="AU52:BI52" si="92">AU47/AT47-1</f>
        <v>0.11250505528200017</v>
      </c>
      <c r="AV52" s="30">
        <f t="shared" si="92"/>
        <v>7.2270194985983194E-2</v>
      </c>
      <c r="AW52" s="30">
        <f t="shared" si="92"/>
        <v>6.5876066173161218E-2</v>
      </c>
      <c r="AX52" s="30">
        <f t="shared" si="92"/>
        <v>4.9458729947362778E-2</v>
      </c>
      <c r="AY52" s="30">
        <f t="shared" si="92"/>
        <v>-7.1446369047313829E-2</v>
      </c>
      <c r="AZ52" s="30">
        <f t="shared" si="92"/>
        <v>-4.670795247126569E-2</v>
      </c>
      <c r="BA52" s="30">
        <f t="shared" si="92"/>
        <v>8.3491746438311587E-2</v>
      </c>
      <c r="BB52" s="30">
        <f t="shared" si="92"/>
        <v>3.4377130444481541E-2</v>
      </c>
      <c r="BC52" s="30">
        <f t="shared" si="92"/>
        <v>-4.5243408253771933E-2</v>
      </c>
      <c r="BD52" s="30">
        <f t="shared" si="92"/>
        <v>4.4462698688482849E-2</v>
      </c>
      <c r="BE52" s="30">
        <f t="shared" ca="1" si="92"/>
        <v>6.6049053164157545E-2</v>
      </c>
      <c r="BF52" s="30">
        <f t="shared" ca="1" si="92"/>
        <v>8.222849912562169E-2</v>
      </c>
      <c r="BG52" s="30">
        <f t="shared" ca="1" si="92"/>
        <v>4.2061818158566799E-2</v>
      </c>
      <c r="BH52" s="30">
        <f t="shared" ca="1" si="92"/>
        <v>4.185353524468316E-2</v>
      </c>
      <c r="BI52" s="30">
        <f t="shared" ca="1" si="92"/>
        <v>4.1277957268706977E-2</v>
      </c>
      <c r="BM52" s="28"/>
      <c r="BN52"/>
      <c r="BO52"/>
      <c r="BP52"/>
      <c r="BQ52"/>
      <c r="BR52"/>
      <c r="BS52"/>
    </row>
    <row r="53" spans="2:71" s="10" customFormat="1" x14ac:dyDescent="0.25">
      <c r="C53" s="10" t="s">
        <v>43</v>
      </c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30"/>
      <c r="R53" s="30"/>
      <c r="S53" s="30">
        <f t="shared" si="86"/>
        <v>-6.6492779916432099E-2</v>
      </c>
      <c r="T53" s="30">
        <f t="shared" si="86"/>
        <v>0.14119340732324948</v>
      </c>
      <c r="U53" s="30">
        <f t="shared" si="86"/>
        <v>-2.4578607761209903E-2</v>
      </c>
      <c r="V53" s="30">
        <f t="shared" si="86"/>
        <v>-5.9542947985679606E-2</v>
      </c>
      <c r="W53" s="30">
        <f t="shared" si="86"/>
        <v>-4.4818356301538076E-3</v>
      </c>
      <c r="X53" s="30">
        <f t="shared" si="86"/>
        <v>-0.21313235478436487</v>
      </c>
      <c r="Y53" s="30">
        <f t="shared" si="86"/>
        <v>-0.1324859852481105</v>
      </c>
      <c r="Z53" s="30">
        <f t="shared" si="86"/>
        <v>0.39654369407425261</v>
      </c>
      <c r="AA53" s="30">
        <f t="shared" si="86"/>
        <v>5.8020477815699634E-2</v>
      </c>
      <c r="AB53" s="30">
        <f t="shared" si="86"/>
        <v>-3.6446469248291646E-2</v>
      </c>
      <c r="AC53" s="30">
        <f t="shared" si="87"/>
        <v>-0.28556815501449639</v>
      </c>
      <c r="AD53" s="30">
        <f t="shared" si="87"/>
        <v>3.7681245917778439E-2</v>
      </c>
      <c r="AE53" s="30">
        <f t="shared" si="87"/>
        <v>-6.8096847503996805E-2</v>
      </c>
      <c r="AF53" s="30">
        <f t="shared" si="87"/>
        <v>0.11229328387373672</v>
      </c>
      <c r="AG53" s="30">
        <f t="shared" si="87"/>
        <v>0.25318924096318574</v>
      </c>
      <c r="AH53" s="30">
        <f t="shared" ca="1" si="87"/>
        <v>-4.3563773095884883E-3</v>
      </c>
      <c r="AI53" s="30">
        <f t="shared" ca="1" si="87"/>
        <v>0.50497664961820088</v>
      </c>
      <c r="AJ53" s="30">
        <f t="shared" ca="1" si="87"/>
        <v>-0.16324285417759699</v>
      </c>
      <c r="AK53" s="30">
        <f t="shared" ca="1" si="87"/>
        <v>4.6347132298306448E-2</v>
      </c>
      <c r="AL53" s="30">
        <f t="shared" ca="1" si="87"/>
        <v>4.5906576106534036E-2</v>
      </c>
      <c r="AM53" s="30">
        <f t="shared" ca="1" si="88"/>
        <v>4.5562816321541799E-2</v>
      </c>
      <c r="AN53" s="30">
        <f t="shared" ca="1" si="88"/>
        <v>4.4668587223652079E-2</v>
      </c>
      <c r="AO53" s="30">
        <f t="shared" ca="1" si="89"/>
        <v>4.4187094943840988E-2</v>
      </c>
      <c r="AP53" s="30">
        <f t="shared" ca="1" si="90"/>
        <v>4.419266615359918E-2</v>
      </c>
      <c r="AR53" s="28"/>
      <c r="AT53" s="30"/>
      <c r="AU53" s="30">
        <f t="shared" ref="AU53:BI53" si="93">AU48/AT48-1</f>
        <v>-6.1887629059502403E-2</v>
      </c>
      <c r="AV53" s="30">
        <f t="shared" si="93"/>
        <v>8.926546160035409E-2</v>
      </c>
      <c r="AW53" s="30">
        <f t="shared" si="93"/>
        <v>9.0022195741779054E-2</v>
      </c>
      <c r="AX53" s="30">
        <f t="shared" si="93"/>
        <v>4.1733245852972445E-2</v>
      </c>
      <c r="AY53" s="30">
        <f t="shared" si="93"/>
        <v>-4.736025062017768E-2</v>
      </c>
      <c r="AZ53" s="30">
        <f t="shared" si="93"/>
        <v>-0.11721107642750117</v>
      </c>
      <c r="BA53" s="30">
        <f t="shared" si="93"/>
        <v>0.12414943540933443</v>
      </c>
      <c r="BB53" s="30">
        <f t="shared" si="93"/>
        <v>1.7721888091042359E-3</v>
      </c>
      <c r="BC53" s="30">
        <f t="shared" si="93"/>
        <v>-0.10090158019521167</v>
      </c>
      <c r="BD53" s="30">
        <f t="shared" si="93"/>
        <v>5.2813181899844519E-2</v>
      </c>
      <c r="BE53" s="30">
        <f t="shared" ca="1" si="93"/>
        <v>7.1174299891977322E-2</v>
      </c>
      <c r="BF53" s="30">
        <f t="shared" ca="1" si="93"/>
        <v>6.8868575457527115E-2</v>
      </c>
      <c r="BG53" s="30">
        <f t="shared" ca="1" si="93"/>
        <v>4.6122014356296814E-2</v>
      </c>
      <c r="BH53" s="30">
        <f t="shared" ca="1" si="93"/>
        <v>4.5105972085057289E-2</v>
      </c>
      <c r="BI53" s="30">
        <f t="shared" ca="1" si="93"/>
        <v>4.4189939975275205E-2</v>
      </c>
      <c r="BM53" s="28"/>
      <c r="BN53"/>
      <c r="BO53"/>
      <c r="BP53"/>
      <c r="BQ53"/>
      <c r="BR53"/>
      <c r="BS53"/>
    </row>
    <row r="54" spans="2:71" s="10" customFormat="1" x14ac:dyDescent="0.25">
      <c r="C54" s="10" t="s">
        <v>44</v>
      </c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30"/>
      <c r="R54" s="30"/>
      <c r="S54" s="30">
        <f t="shared" si="86"/>
        <v>3.8461538461538547E-2</v>
      </c>
      <c r="T54" s="30">
        <f t="shared" si="86"/>
        <v>4.4444444444444509E-2</v>
      </c>
      <c r="U54" s="30">
        <f t="shared" si="86"/>
        <v>0</v>
      </c>
      <c r="V54" s="30">
        <f t="shared" si="86"/>
        <v>-0.24822695035460995</v>
      </c>
      <c r="W54" s="30">
        <f t="shared" si="86"/>
        <v>-0.16296296296296287</v>
      </c>
      <c r="X54" s="30">
        <f t="shared" si="86"/>
        <v>0.2547169811320753</v>
      </c>
      <c r="Y54" s="30">
        <f t="shared" si="86"/>
        <v>6.1946902654867131E-2</v>
      </c>
      <c r="Z54" s="30">
        <f t="shared" si="86"/>
        <v>9.7744360902255689E-2</v>
      </c>
      <c r="AA54" s="30">
        <f t="shared" si="86"/>
        <v>-1.6666666666666607E-2</v>
      </c>
      <c r="AB54" s="30">
        <f t="shared" si="86"/>
        <v>-1.3698630136986356E-2</v>
      </c>
      <c r="AC54" s="30">
        <f t="shared" si="87"/>
        <v>-0.32203389830508478</v>
      </c>
      <c r="AD54" s="30">
        <f t="shared" si="87"/>
        <v>0.1527777777777779</v>
      </c>
      <c r="AE54" s="30">
        <f t="shared" si="87"/>
        <v>0</v>
      </c>
      <c r="AF54" s="30">
        <f t="shared" si="87"/>
        <v>3.6144578313252795E-2</v>
      </c>
      <c r="AG54" s="30">
        <f t="shared" si="87"/>
        <v>0.125</v>
      </c>
      <c r="AH54" s="30">
        <f t="shared" si="87"/>
        <v>-5.8139534883720922E-2</v>
      </c>
      <c r="AI54" s="30">
        <f t="shared" si="87"/>
        <v>0</v>
      </c>
      <c r="AJ54" s="30">
        <f t="shared" si="87"/>
        <v>0</v>
      </c>
      <c r="AK54" s="30">
        <f t="shared" si="87"/>
        <v>0</v>
      </c>
      <c r="AL54" s="30">
        <f t="shared" si="87"/>
        <v>0</v>
      </c>
      <c r="AM54" s="30">
        <f t="shared" ca="1" si="88"/>
        <v>0.40725211330176236</v>
      </c>
      <c r="AN54" s="30">
        <f t="shared" ca="1" si="88"/>
        <v>-0.19593023959968536</v>
      </c>
      <c r="AO54" s="30">
        <f t="shared" ca="1" si="89"/>
        <v>4.0283286981163124E-2</v>
      </c>
      <c r="AP54" s="30">
        <f t="shared" ca="1" si="90"/>
        <v>4.0659896952950358E-2</v>
      </c>
      <c r="AR54" s="28"/>
      <c r="AT54" s="30"/>
      <c r="AU54" s="30">
        <f t="shared" ref="AU54:BI54" si="94">AU49/AT49-1</f>
        <v>2.0833333333333259E-2</v>
      </c>
      <c r="AV54" s="30">
        <f t="shared" si="94"/>
        <v>4.081632653061229E-2</v>
      </c>
      <c r="AW54" s="30">
        <f t="shared" si="94"/>
        <v>3.9215686274509887E-2</v>
      </c>
      <c r="AX54" s="30">
        <f t="shared" si="94"/>
        <v>4.1509433962264142E-2</v>
      </c>
      <c r="AY54" s="30">
        <f t="shared" si="94"/>
        <v>-0.12681159420289856</v>
      </c>
      <c r="AZ54" s="30">
        <f t="shared" si="94"/>
        <v>2.0746887966804906E-2</v>
      </c>
      <c r="BA54" s="30">
        <f t="shared" si="94"/>
        <v>8.1300813008130079E-2</v>
      </c>
      <c r="BB54" s="30">
        <f t="shared" si="94"/>
        <v>-1.5037593984962405E-2</v>
      </c>
      <c r="BC54" s="30">
        <f t="shared" si="94"/>
        <v>-6.1068702290076438E-2</v>
      </c>
      <c r="BD54" s="30">
        <f t="shared" si="94"/>
        <v>2.4390243902439046E-2</v>
      </c>
      <c r="BE54" s="30">
        <f t="shared" si="94"/>
        <v>0</v>
      </c>
      <c r="BF54" s="30">
        <f t="shared" si="94"/>
        <v>0</v>
      </c>
      <c r="BG54" s="30">
        <f t="shared" si="94"/>
        <v>0</v>
      </c>
      <c r="BH54" s="30">
        <f t="shared" ca="1" si="94"/>
        <v>1.9492029293688873E-2</v>
      </c>
      <c r="BI54" s="30">
        <f t="shared" ca="1" si="94"/>
        <v>4.0474235451416929E-2</v>
      </c>
      <c r="BM54" s="28"/>
      <c r="BN54"/>
      <c r="BO54"/>
      <c r="BP54"/>
      <c r="BQ54"/>
      <c r="BR54"/>
      <c r="BS54"/>
    </row>
    <row r="55" spans="2:71" x14ac:dyDescent="0.25"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8"/>
      <c r="U55" s="5"/>
      <c r="V55" s="5"/>
      <c r="W55" s="5"/>
      <c r="X55" s="5"/>
      <c r="Y55" s="5"/>
      <c r="Z55" s="5"/>
      <c r="AA55" s="5"/>
      <c r="AB55" s="5"/>
      <c r="AC55" s="29">
        <f>AC47/SUM(AC47:AD47)</f>
        <v>0.31553973902728344</v>
      </c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</row>
    <row r="56" spans="2:71" s="23" customFormat="1" x14ac:dyDescent="0.25">
      <c r="B56" s="23" t="s">
        <v>45</v>
      </c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4"/>
      <c r="AE56" s="24"/>
      <c r="AF56" s="24"/>
      <c r="AG56" s="24"/>
      <c r="AH56" s="24"/>
      <c r="AI56" s="24"/>
      <c r="AJ56" s="24"/>
      <c r="AK56" s="24"/>
      <c r="AL56" s="24"/>
      <c r="AM56" s="24"/>
      <c r="AN56" s="24"/>
      <c r="AO56" s="24"/>
      <c r="AP56" s="24"/>
      <c r="AR56" s="25"/>
      <c r="AV56" s="24"/>
      <c r="AW56" s="24"/>
      <c r="AX56" s="24"/>
      <c r="AY56" s="24"/>
      <c r="AZ56" s="24"/>
      <c r="BA56" s="24"/>
      <c r="BB56" s="24"/>
      <c r="BC56" s="24"/>
      <c r="BD56" s="24"/>
      <c r="BE56" s="24"/>
      <c r="BF56" s="24"/>
      <c r="BG56" s="24"/>
      <c r="BH56" s="24"/>
      <c r="BI56" s="24"/>
      <c r="BM56" s="25"/>
      <c r="BN56"/>
      <c r="BO56"/>
      <c r="BP56"/>
      <c r="BQ56"/>
      <c r="BR56"/>
      <c r="BS56"/>
    </row>
    <row r="57" spans="2:71" x14ac:dyDescent="0.25">
      <c r="C57" t="s">
        <v>210</v>
      </c>
      <c r="D57" t="s">
        <v>32</v>
      </c>
      <c r="E57" s="5"/>
      <c r="F57" s="5"/>
      <c r="G57" s="5"/>
      <c r="H57" s="5"/>
      <c r="I57" s="21">
        <f>-19-8</f>
        <v>-27</v>
      </c>
      <c r="J57" s="21">
        <f>-37-15-I57</f>
        <v>-25</v>
      </c>
      <c r="K57" s="21">
        <f>-22-8</f>
        <v>-30</v>
      </c>
      <c r="L57" s="21">
        <f>-45-16-K57</f>
        <v>-31</v>
      </c>
      <c r="M57" s="21">
        <v>-33</v>
      </c>
      <c r="N57" s="21">
        <f>-67-M57</f>
        <v>-34</v>
      </c>
      <c r="O57" s="21">
        <v>-35</v>
      </c>
      <c r="P57" s="21">
        <f>-69-O57</f>
        <v>-34</v>
      </c>
      <c r="Q57" s="21">
        <v>-36</v>
      </c>
      <c r="R57" s="21">
        <f>-76-Q57</f>
        <v>-40</v>
      </c>
      <c r="S57" s="21">
        <v>-39</v>
      </c>
      <c r="T57" s="21">
        <f>-87-S57</f>
        <v>-48</v>
      </c>
      <c r="U57" s="21">
        <v>-43</v>
      </c>
      <c r="V57" s="21">
        <f>-89-U57</f>
        <v>-46</v>
      </c>
      <c r="W57" s="21">
        <v>-43</v>
      </c>
      <c r="X57" s="21">
        <f>-92-W57</f>
        <v>-49</v>
      </c>
      <c r="Y57" s="21">
        <v>-47</v>
      </c>
      <c r="Z57" s="21">
        <f>-101-Y57</f>
        <v>-54</v>
      </c>
      <c r="AA57" s="21">
        <v>-48</v>
      </c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S57" s="5">
        <f t="shared" ref="AS57:BI59" si="95">SUMIF($E$4:$AR$4,AS$4,$E57:$AR57)</f>
        <v>-52</v>
      </c>
      <c r="AT57" s="5">
        <f t="shared" si="95"/>
        <v>-61</v>
      </c>
      <c r="AU57" s="5">
        <f t="shared" si="95"/>
        <v>-67</v>
      </c>
      <c r="AV57" s="5">
        <f t="shared" si="95"/>
        <v>-69</v>
      </c>
      <c r="AW57" s="5">
        <f t="shared" si="95"/>
        <v>-76</v>
      </c>
      <c r="AX57" s="5">
        <f t="shared" si="95"/>
        <v>-87</v>
      </c>
      <c r="AY57" s="5">
        <f t="shared" si="95"/>
        <v>-89</v>
      </c>
      <c r="AZ57" s="5">
        <f t="shared" si="95"/>
        <v>-92</v>
      </c>
      <c r="BA57" s="5">
        <f t="shared" si="95"/>
        <v>-101</v>
      </c>
      <c r="BB57" s="5">
        <f t="shared" si="95"/>
        <v>-48</v>
      </c>
      <c r="BC57" s="5">
        <f t="shared" si="95"/>
        <v>0</v>
      </c>
      <c r="BD57" s="5">
        <f t="shared" si="95"/>
        <v>0</v>
      </c>
      <c r="BE57" s="5">
        <f t="shared" si="95"/>
        <v>0</v>
      </c>
      <c r="BF57" s="5">
        <f t="shared" si="95"/>
        <v>0</v>
      </c>
      <c r="BG57" s="5">
        <f t="shared" si="95"/>
        <v>0</v>
      </c>
      <c r="BH57" s="5">
        <f t="shared" si="95"/>
        <v>0</v>
      </c>
      <c r="BI57" s="5">
        <f t="shared" si="95"/>
        <v>0</v>
      </c>
    </row>
    <row r="58" spans="2:71" x14ac:dyDescent="0.25">
      <c r="C58" t="s">
        <v>213</v>
      </c>
      <c r="D58" t="s">
        <v>32</v>
      </c>
      <c r="E58" s="5"/>
      <c r="F58" s="5"/>
      <c r="G58" s="5"/>
      <c r="H58" s="5"/>
      <c r="I58" s="21">
        <v>4</v>
      </c>
      <c r="J58" s="21">
        <f>7-I58</f>
        <v>3</v>
      </c>
      <c r="K58" s="21">
        <v>4</v>
      </c>
      <c r="L58" s="21">
        <f>8-K58</f>
        <v>4</v>
      </c>
      <c r="M58" s="21">
        <v>6</v>
      </c>
      <c r="N58" s="21">
        <f>8-M58</f>
        <v>2</v>
      </c>
      <c r="O58" s="21">
        <v>3</v>
      </c>
      <c r="P58" s="21">
        <f>6-O58</f>
        <v>3</v>
      </c>
      <c r="Q58" s="21">
        <v>2</v>
      </c>
      <c r="R58" s="21">
        <f>5-Q58</f>
        <v>3</v>
      </c>
      <c r="S58" s="21">
        <v>2</v>
      </c>
      <c r="T58" s="21">
        <f>3-S58</f>
        <v>1</v>
      </c>
      <c r="U58" s="21">
        <v>1</v>
      </c>
      <c r="V58" s="21">
        <f>3-U58</f>
        <v>2</v>
      </c>
      <c r="W58" s="21">
        <v>-1</v>
      </c>
      <c r="X58" s="21">
        <f>-1-W58</f>
        <v>0</v>
      </c>
      <c r="Y58" s="21">
        <v>-3</v>
      </c>
      <c r="Z58" s="21">
        <f>-2-Y58</f>
        <v>1</v>
      </c>
      <c r="AA58" s="21">
        <v>-12</v>
      </c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S58" s="5">
        <f t="shared" si="95"/>
        <v>7</v>
      </c>
      <c r="AT58" s="5">
        <f t="shared" si="95"/>
        <v>8</v>
      </c>
      <c r="AU58" s="5">
        <f t="shared" si="95"/>
        <v>8</v>
      </c>
      <c r="AV58" s="5">
        <f t="shared" si="95"/>
        <v>6</v>
      </c>
      <c r="AW58" s="5">
        <f t="shared" si="95"/>
        <v>5</v>
      </c>
      <c r="AX58" s="5">
        <f t="shared" si="95"/>
        <v>3</v>
      </c>
      <c r="AY58" s="5">
        <f t="shared" si="95"/>
        <v>3</v>
      </c>
      <c r="AZ58" s="5">
        <f t="shared" si="95"/>
        <v>-1</v>
      </c>
      <c r="BA58" s="5">
        <f t="shared" si="95"/>
        <v>-2</v>
      </c>
      <c r="BB58" s="5">
        <f t="shared" si="95"/>
        <v>-12</v>
      </c>
      <c r="BC58" s="5">
        <f t="shared" si="95"/>
        <v>0</v>
      </c>
      <c r="BD58" s="5">
        <f t="shared" si="95"/>
        <v>0</v>
      </c>
      <c r="BE58" s="5">
        <f t="shared" si="95"/>
        <v>0</v>
      </c>
      <c r="BF58" s="5">
        <f t="shared" si="95"/>
        <v>0</v>
      </c>
      <c r="BG58" s="5">
        <f t="shared" si="95"/>
        <v>0</v>
      </c>
      <c r="BH58" s="5">
        <f t="shared" si="95"/>
        <v>0</v>
      </c>
      <c r="BI58" s="5">
        <f t="shared" si="95"/>
        <v>0</v>
      </c>
    </row>
    <row r="59" spans="2:71" x14ac:dyDescent="0.25">
      <c r="C59" t="s">
        <v>211</v>
      </c>
      <c r="D59" t="s">
        <v>32</v>
      </c>
      <c r="E59" s="5"/>
      <c r="F59" s="5"/>
      <c r="G59" s="5"/>
      <c r="H59" s="5"/>
      <c r="I59" s="21">
        <v>21</v>
      </c>
      <c r="J59" s="21">
        <f>27-I59</f>
        <v>6</v>
      </c>
      <c r="K59" s="21">
        <v>9</v>
      </c>
      <c r="L59" s="21">
        <f>4-K59</f>
        <v>-5</v>
      </c>
      <c r="M59" s="21">
        <v>-15</v>
      </c>
      <c r="N59" s="21">
        <f>-30-M59</f>
        <v>-15</v>
      </c>
      <c r="O59" s="21">
        <v>21</v>
      </c>
      <c r="P59" s="21">
        <f>-6-O59</f>
        <v>-27</v>
      </c>
      <c r="Q59" s="21">
        <v>74</v>
      </c>
      <c r="R59" s="21">
        <f>59-Q59</f>
        <v>-15</v>
      </c>
      <c r="S59" s="21">
        <v>-18</v>
      </c>
      <c r="T59" s="21">
        <f>-47-S59</f>
        <v>-29</v>
      </c>
      <c r="U59" s="21">
        <v>-12</v>
      </c>
      <c r="V59" s="21">
        <f>-45-U59</f>
        <v>-33</v>
      </c>
      <c r="W59" s="21">
        <v>38</v>
      </c>
      <c r="X59" s="21">
        <f>27-W59</f>
        <v>-11</v>
      </c>
      <c r="Y59" s="21">
        <v>-19</v>
      </c>
      <c r="Z59" s="21">
        <f>-43-Y59</f>
        <v>-24</v>
      </c>
      <c r="AA59" s="21">
        <v>-29</v>
      </c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S59" s="5">
        <f t="shared" si="95"/>
        <v>27</v>
      </c>
      <c r="AT59" s="5">
        <f t="shared" si="95"/>
        <v>4</v>
      </c>
      <c r="AU59" s="5">
        <f t="shared" si="95"/>
        <v>-30</v>
      </c>
      <c r="AV59" s="5">
        <f t="shared" si="95"/>
        <v>-6</v>
      </c>
      <c r="AW59" s="5">
        <f t="shared" si="95"/>
        <v>59</v>
      </c>
      <c r="AX59" s="5">
        <f t="shared" si="95"/>
        <v>-47</v>
      </c>
      <c r="AY59" s="5">
        <f t="shared" si="95"/>
        <v>-45</v>
      </c>
      <c r="AZ59" s="5">
        <f t="shared" si="95"/>
        <v>27</v>
      </c>
      <c r="BA59" s="5">
        <f t="shared" si="95"/>
        <v>-43</v>
      </c>
      <c r="BB59" s="5">
        <f t="shared" si="95"/>
        <v>-29</v>
      </c>
      <c r="BC59" s="5">
        <f t="shared" si="95"/>
        <v>0</v>
      </c>
      <c r="BD59" s="5">
        <f t="shared" si="95"/>
        <v>0</v>
      </c>
      <c r="BE59" s="5">
        <f t="shared" si="95"/>
        <v>0</v>
      </c>
      <c r="BF59" s="5">
        <f t="shared" si="95"/>
        <v>0</v>
      </c>
      <c r="BG59" s="5">
        <f t="shared" si="95"/>
        <v>0</v>
      </c>
      <c r="BH59" s="5">
        <f t="shared" si="95"/>
        <v>0</v>
      </c>
      <c r="BI59" s="5">
        <f t="shared" si="95"/>
        <v>0</v>
      </c>
    </row>
    <row r="60" spans="2:71" s="6" customFormat="1" x14ac:dyDescent="0.25">
      <c r="C60" s="6" t="s">
        <v>212</v>
      </c>
      <c r="D60" s="6" t="s">
        <v>32</v>
      </c>
      <c r="E60" s="7"/>
      <c r="F60" s="7"/>
      <c r="G60" s="7"/>
      <c r="H60" s="7"/>
      <c r="I60" s="7">
        <f t="shared" ref="I60:Q60" si="96">I31+SUM(I57:I59)</f>
        <v>267</v>
      </c>
      <c r="J60" s="7">
        <f t="shared" si="96"/>
        <v>288</v>
      </c>
      <c r="K60" s="7">
        <f t="shared" si="96"/>
        <v>290</v>
      </c>
      <c r="L60" s="7">
        <f t="shared" si="96"/>
        <v>318</v>
      </c>
      <c r="M60" s="7">
        <f t="shared" si="96"/>
        <v>300</v>
      </c>
      <c r="N60" s="7">
        <f t="shared" si="96"/>
        <v>351</v>
      </c>
      <c r="O60" s="7">
        <f t="shared" si="96"/>
        <v>358</v>
      </c>
      <c r="P60" s="7">
        <f t="shared" si="96"/>
        <v>375</v>
      </c>
      <c r="Q60" s="7">
        <f t="shared" si="96"/>
        <v>476</v>
      </c>
      <c r="R60" s="7">
        <f t="shared" ref="R60:AL60" si="97">R31+SUM(R57:R59)</f>
        <v>375</v>
      </c>
      <c r="S60" s="7">
        <f t="shared" si="97"/>
        <v>352</v>
      </c>
      <c r="T60" s="7">
        <f t="shared" si="97"/>
        <v>414</v>
      </c>
      <c r="U60" s="7">
        <f t="shared" si="97"/>
        <v>330</v>
      </c>
      <c r="V60" s="7">
        <f t="shared" si="97"/>
        <v>364</v>
      </c>
      <c r="W60" s="7">
        <f t="shared" si="97"/>
        <v>380</v>
      </c>
      <c r="X60" s="7">
        <f t="shared" si="97"/>
        <v>342</v>
      </c>
      <c r="Y60" s="7">
        <f t="shared" si="97"/>
        <v>281</v>
      </c>
      <c r="Z60" s="7">
        <f t="shared" si="97"/>
        <v>427</v>
      </c>
      <c r="AA60" s="7">
        <f t="shared" si="97"/>
        <v>264</v>
      </c>
      <c r="AB60" s="7">
        <f t="shared" si="97"/>
        <v>494</v>
      </c>
      <c r="AC60" s="7">
        <f t="shared" si="97"/>
        <v>266</v>
      </c>
      <c r="AD60" s="7">
        <f t="shared" si="97"/>
        <v>520</v>
      </c>
      <c r="AE60" s="7">
        <f t="shared" si="97"/>
        <v>251</v>
      </c>
      <c r="AF60" s="7">
        <f t="shared" si="97"/>
        <v>557</v>
      </c>
      <c r="AG60" s="7">
        <f t="shared" si="97"/>
        <v>325</v>
      </c>
      <c r="AH60" s="7">
        <f t="shared" ca="1" si="97"/>
        <v>553.82187513419763</v>
      </c>
      <c r="AI60" s="7">
        <f t="shared" ca="1" si="97"/>
        <v>461.14430891395801</v>
      </c>
      <c r="AJ60" s="7">
        <f t="shared" ca="1" si="97"/>
        <v>474.43328996205611</v>
      </c>
      <c r="AK60" s="7">
        <f t="shared" ca="1" si="97"/>
        <v>480.48071549370633</v>
      </c>
      <c r="AL60" s="7">
        <f t="shared" ca="1" si="97"/>
        <v>494.34464713804743</v>
      </c>
      <c r="AM60" s="7">
        <f ca="1">AM31+SUM(AM57:AM59)</f>
        <v>500.35762912331802</v>
      </c>
      <c r="AN60" s="7">
        <f ca="1">AN31+SUM(AN57:AN59)</f>
        <v>514.60600647845092</v>
      </c>
      <c r="AO60" s="7">
        <f ca="1">AO31+SUM(AO57:AO59)</f>
        <v>520.51367909050703</v>
      </c>
      <c r="AP60" s="7">
        <f ca="1">AP31+SUM(AP57:AP59)</f>
        <v>535.52983367323407</v>
      </c>
      <c r="AR60" s="22"/>
      <c r="AS60" s="7">
        <f t="shared" ref="AS60:BG60" si="98">AS31+SUM(AS57:AS59)</f>
        <v>555</v>
      </c>
      <c r="AT60" s="7">
        <f t="shared" si="98"/>
        <v>608</v>
      </c>
      <c r="AU60" s="7">
        <f t="shared" si="98"/>
        <v>651</v>
      </c>
      <c r="AV60" s="7">
        <f t="shared" si="98"/>
        <v>733</v>
      </c>
      <c r="AW60" s="7">
        <f t="shared" si="98"/>
        <v>851</v>
      </c>
      <c r="AX60" s="7">
        <f t="shared" si="98"/>
        <v>766</v>
      </c>
      <c r="AY60" s="7">
        <f t="shared" si="98"/>
        <v>694</v>
      </c>
      <c r="AZ60" s="7">
        <f t="shared" si="98"/>
        <v>722</v>
      </c>
      <c r="BA60" s="7">
        <f t="shared" si="98"/>
        <v>708</v>
      </c>
      <c r="BB60" s="7">
        <f t="shared" si="98"/>
        <v>758</v>
      </c>
      <c r="BC60" s="7">
        <f t="shared" si="98"/>
        <v>786</v>
      </c>
      <c r="BD60" s="7">
        <f t="shared" si="98"/>
        <v>808</v>
      </c>
      <c r="BE60" s="7">
        <f t="shared" ca="1" si="98"/>
        <v>878.82187513419751</v>
      </c>
      <c r="BF60" s="7">
        <f t="shared" ca="1" si="98"/>
        <v>935.57759887601389</v>
      </c>
      <c r="BG60" s="7">
        <f t="shared" ca="1" si="98"/>
        <v>974.82536263175416</v>
      </c>
      <c r="BH60" s="7">
        <f ca="1">BH31+SUM(BH57:BH59)</f>
        <v>1014.9636356017688</v>
      </c>
      <c r="BI60" s="7">
        <f ca="1">BI31+SUM(BI57:BI59)</f>
        <v>1056.0435127637411</v>
      </c>
      <c r="BM60" s="22"/>
      <c r="BN60"/>
      <c r="BO60"/>
      <c r="BP60"/>
      <c r="BQ60"/>
      <c r="BR60"/>
      <c r="BS60"/>
    </row>
    <row r="61" spans="2:71" x14ac:dyDescent="0.25"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</row>
    <row r="62" spans="2:71" x14ac:dyDescent="0.25">
      <c r="C62" t="s">
        <v>46</v>
      </c>
      <c r="D62" t="s">
        <v>32</v>
      </c>
      <c r="E62" s="21"/>
      <c r="F62" s="21"/>
      <c r="G62" s="21"/>
      <c r="H62" s="21"/>
      <c r="I62" s="21">
        <v>44</v>
      </c>
      <c r="J62" s="21">
        <f>119-I62</f>
        <v>75</v>
      </c>
      <c r="K62" s="21">
        <v>170</v>
      </c>
      <c r="L62" s="21">
        <f>297-K62</f>
        <v>127</v>
      </c>
      <c r="M62" s="21">
        <v>433</v>
      </c>
      <c r="N62" s="21">
        <f>-432-M62</f>
        <v>-865</v>
      </c>
      <c r="O62" s="21">
        <v>196</v>
      </c>
      <c r="P62" s="21">
        <f>264-O62</f>
        <v>68</v>
      </c>
      <c r="Q62" s="21">
        <v>124</v>
      </c>
      <c r="R62" s="21">
        <f>133-Q62</f>
        <v>9</v>
      </c>
      <c r="S62" s="21">
        <v>22</v>
      </c>
      <c r="T62" s="21">
        <f>-202-S62</f>
        <v>-224</v>
      </c>
      <c r="U62" s="21">
        <v>198</v>
      </c>
      <c r="V62" s="21">
        <f>-452-U62</f>
        <v>-650</v>
      </c>
      <c r="W62" s="21">
        <v>24</v>
      </c>
      <c r="X62" s="21">
        <f>433-W62</f>
        <v>409</v>
      </c>
      <c r="Y62" s="21">
        <v>522</v>
      </c>
      <c r="Z62" s="21">
        <f>738-Y62</f>
        <v>216</v>
      </c>
      <c r="AA62" s="21">
        <v>21</v>
      </c>
      <c r="AB62" s="5">
        <f>Logistics!AB86+Workplace!AB59+'Town Centres'!AB86</f>
        <v>-337</v>
      </c>
      <c r="AC62" s="21">
        <v>-164</v>
      </c>
      <c r="AD62" s="21">
        <f>-307-AC62</f>
        <v>-143</v>
      </c>
      <c r="AE62" s="21">
        <v>105</v>
      </c>
      <c r="AF62" s="21">
        <f>220-AE62</f>
        <v>115</v>
      </c>
      <c r="AG62" s="21">
        <v>32</v>
      </c>
      <c r="AH62" s="5">
        <f>Logistics!AH86+Workplace!AH59+'Town Centres'!AH86</f>
        <v>191.19268361359545</v>
      </c>
      <c r="AI62" s="5">
        <f>Logistics!AI86+Workplace!AI59+'Town Centres'!AI86</f>
        <v>224.34512637583083</v>
      </c>
      <c r="AJ62" s="5">
        <f>Logistics!AJ86+Workplace!AJ59+'Town Centres'!AJ86</f>
        <v>193.97191535772521</v>
      </c>
      <c r="AK62" s="5">
        <f>Logistics!AK86+Workplace!AK59+'Town Centres'!AK86</f>
        <v>188.35494247303913</v>
      </c>
      <c r="AL62" s="5">
        <f>Logistics!AL86+Workplace!AL59+'Town Centres'!AL86</f>
        <v>192.62835498818649</v>
      </c>
      <c r="AM62" s="5">
        <f>Logistics!AM86+Workplace!AM59+'Town Centres'!AM86</f>
        <v>196.97762334104422</v>
      </c>
      <c r="AN62" s="5">
        <f>Logistics!AN86+Workplace!AN59+'Town Centres'!AN86</f>
        <v>201.40416322906444</v>
      </c>
      <c r="AO62" s="5">
        <f>Logistics!AO86+Workplace!AO59+'Town Centres'!AO86</f>
        <v>205.90941742290951</v>
      </c>
      <c r="AP62" s="5">
        <f>Logistics!AP86+Workplace!AP59+'Town Centres'!AP86</f>
        <v>210.49485629123555</v>
      </c>
      <c r="AS62" s="5">
        <f t="shared" ref="AS62:BI63" si="99">SUMIF($E$4:$AR$4,AS$4,$E62:$AR62)</f>
        <v>119</v>
      </c>
      <c r="AT62" s="5">
        <f t="shared" si="99"/>
        <v>297</v>
      </c>
      <c r="AU62" s="5">
        <f t="shared" si="99"/>
        <v>-432</v>
      </c>
      <c r="AV62" s="5">
        <f t="shared" si="99"/>
        <v>264</v>
      </c>
      <c r="AW62" s="5">
        <f t="shared" si="99"/>
        <v>133</v>
      </c>
      <c r="AX62" s="5">
        <f t="shared" si="99"/>
        <v>-202</v>
      </c>
      <c r="AY62" s="5">
        <f t="shared" si="99"/>
        <v>-452</v>
      </c>
      <c r="AZ62" s="5">
        <f t="shared" si="99"/>
        <v>433</v>
      </c>
      <c r="BA62" s="5">
        <f t="shared" si="99"/>
        <v>738</v>
      </c>
      <c r="BB62" s="5">
        <f t="shared" si="99"/>
        <v>-316</v>
      </c>
      <c r="BC62" s="5">
        <f t="shared" si="99"/>
        <v>-307</v>
      </c>
      <c r="BD62" s="5">
        <f t="shared" si="99"/>
        <v>220</v>
      </c>
      <c r="BE62" s="5">
        <f t="shared" si="99"/>
        <v>223.19268361359545</v>
      </c>
      <c r="BF62" s="5">
        <f t="shared" si="99"/>
        <v>418.31704173355604</v>
      </c>
      <c r="BG62" s="5">
        <f t="shared" si="99"/>
        <v>380.98329746122562</v>
      </c>
      <c r="BH62" s="5">
        <f t="shared" si="99"/>
        <v>398.38178657010866</v>
      </c>
      <c r="BI62" s="5">
        <f t="shared" si="99"/>
        <v>416.40427371414506</v>
      </c>
    </row>
    <row r="63" spans="2:71" x14ac:dyDescent="0.25">
      <c r="C63" t="s">
        <v>11</v>
      </c>
      <c r="D63" t="s">
        <v>32</v>
      </c>
      <c r="E63" s="21"/>
      <c r="F63" s="21"/>
      <c r="G63" s="21"/>
      <c r="H63" s="21"/>
      <c r="I63" s="21">
        <f t="shared" ref="I63:Q63" si="100">I64-I62-I60</f>
        <v>-13</v>
      </c>
      <c r="J63" s="21">
        <f t="shared" si="100"/>
        <v>-134</v>
      </c>
      <c r="K63" s="21">
        <f t="shared" si="100"/>
        <v>2</v>
      </c>
      <c r="L63" s="21">
        <f t="shared" si="100"/>
        <v>-4</v>
      </c>
      <c r="M63" s="21">
        <f t="shared" si="100"/>
        <v>-37</v>
      </c>
      <c r="N63" s="21">
        <f t="shared" si="100"/>
        <v>707</v>
      </c>
      <c r="O63" s="21">
        <f t="shared" si="100"/>
        <v>148</v>
      </c>
      <c r="P63" s="21">
        <f t="shared" si="100"/>
        <v>50</v>
      </c>
      <c r="Q63" s="21">
        <f t="shared" si="100"/>
        <v>84</v>
      </c>
      <c r="R63" s="21">
        <f t="shared" ref="R63:AG63" si="101">R64-R62-R60</f>
        <v>-43</v>
      </c>
      <c r="S63" s="21">
        <f t="shared" si="101"/>
        <v>-74</v>
      </c>
      <c r="T63" s="21">
        <f t="shared" si="101"/>
        <v>-179</v>
      </c>
      <c r="U63" s="21">
        <f t="shared" si="101"/>
        <v>-24</v>
      </c>
      <c r="V63" s="21">
        <f t="shared" si="101"/>
        <v>-239</v>
      </c>
      <c r="W63" s="21">
        <f t="shared" si="101"/>
        <v>-54</v>
      </c>
      <c r="X63" s="21">
        <f t="shared" si="101"/>
        <v>4</v>
      </c>
      <c r="Y63" s="21">
        <f t="shared" si="101"/>
        <v>47</v>
      </c>
      <c r="Z63" s="21">
        <f t="shared" si="101"/>
        <v>-112</v>
      </c>
      <c r="AA63" s="21">
        <f t="shared" si="101"/>
        <v>16</v>
      </c>
      <c r="AB63" s="5"/>
      <c r="AC63" s="21">
        <f t="shared" si="101"/>
        <v>0</v>
      </c>
      <c r="AD63" s="21">
        <f t="shared" si="101"/>
        <v>-174</v>
      </c>
      <c r="AE63" s="21">
        <f t="shared" si="101"/>
        <v>-111</v>
      </c>
      <c r="AF63" s="21">
        <f t="shared" si="101"/>
        <v>-91</v>
      </c>
      <c r="AG63" s="21">
        <f t="shared" si="101"/>
        <v>-65</v>
      </c>
      <c r="AH63" s="5"/>
      <c r="AI63" s="5"/>
      <c r="AJ63" s="5"/>
      <c r="AK63" s="5"/>
      <c r="AL63" s="5"/>
      <c r="AM63" s="5"/>
      <c r="AN63" s="5"/>
      <c r="AO63" s="5"/>
      <c r="AP63" s="5"/>
      <c r="AS63" s="5">
        <f t="shared" si="99"/>
        <v>-147</v>
      </c>
      <c r="AT63" s="5">
        <f t="shared" si="99"/>
        <v>-2</v>
      </c>
      <c r="AU63" s="5">
        <f t="shared" si="99"/>
        <v>670</v>
      </c>
      <c r="AV63" s="5">
        <f t="shared" si="99"/>
        <v>198</v>
      </c>
      <c r="AW63" s="5">
        <f t="shared" si="99"/>
        <v>41</v>
      </c>
      <c r="AX63" s="5">
        <f t="shared" si="99"/>
        <v>-253</v>
      </c>
      <c r="AY63" s="5">
        <f t="shared" si="99"/>
        <v>-263</v>
      </c>
      <c r="AZ63" s="5">
        <f t="shared" si="99"/>
        <v>-50</v>
      </c>
      <c r="BA63" s="5">
        <f t="shared" si="99"/>
        <v>-65</v>
      </c>
      <c r="BB63" s="5">
        <f t="shared" si="99"/>
        <v>16</v>
      </c>
      <c r="BC63" s="5">
        <f t="shared" si="99"/>
        <v>-174</v>
      </c>
      <c r="BD63" s="5">
        <f t="shared" si="99"/>
        <v>-202</v>
      </c>
      <c r="BE63" s="5">
        <f t="shared" si="99"/>
        <v>-65</v>
      </c>
      <c r="BF63" s="5">
        <f t="shared" si="99"/>
        <v>0</v>
      </c>
      <c r="BG63" s="5">
        <f t="shared" si="99"/>
        <v>0</v>
      </c>
      <c r="BH63" s="5">
        <f t="shared" si="99"/>
        <v>0</v>
      </c>
      <c r="BI63" s="5">
        <f t="shared" si="99"/>
        <v>0</v>
      </c>
    </row>
    <row r="64" spans="2:71" s="6" customFormat="1" x14ac:dyDescent="0.25">
      <c r="C64" s="6" t="s">
        <v>47</v>
      </c>
      <c r="D64" s="6" t="s">
        <v>32</v>
      </c>
      <c r="E64" s="7"/>
      <c r="F64" s="7"/>
      <c r="G64" s="7"/>
      <c r="H64" s="7"/>
      <c r="I64" s="7">
        <v>298</v>
      </c>
      <c r="J64" s="7">
        <f>527-I64</f>
        <v>229</v>
      </c>
      <c r="K64" s="7">
        <v>462</v>
      </c>
      <c r="L64" s="7">
        <f>903-K64</f>
        <v>441</v>
      </c>
      <c r="M64" s="7">
        <v>696</v>
      </c>
      <c r="N64" s="7">
        <f>889-M64</f>
        <v>193</v>
      </c>
      <c r="O64" s="7">
        <v>702</v>
      </c>
      <c r="P64" s="7">
        <f>1195-O64</f>
        <v>493</v>
      </c>
      <c r="Q64" s="7">
        <v>684</v>
      </c>
      <c r="R64" s="7">
        <f>1025-Q64</f>
        <v>341</v>
      </c>
      <c r="S64" s="7">
        <v>300</v>
      </c>
      <c r="T64" s="7">
        <f>311-S64</f>
        <v>11</v>
      </c>
      <c r="U64" s="7">
        <v>504</v>
      </c>
      <c r="V64" s="7">
        <f>-21-U64</f>
        <v>-525</v>
      </c>
      <c r="W64" s="7">
        <v>350</v>
      </c>
      <c r="X64" s="7">
        <f>1105-W64</f>
        <v>755</v>
      </c>
      <c r="Y64" s="7">
        <v>850</v>
      </c>
      <c r="Z64" s="7">
        <f>1381-Y64</f>
        <v>531</v>
      </c>
      <c r="AA64" s="7">
        <v>301</v>
      </c>
      <c r="AB64" s="7">
        <f t="shared" ref="AB64:AJ64" si="102">AB31+AB62+AB63</f>
        <v>157</v>
      </c>
      <c r="AC64" s="7">
        <v>102</v>
      </c>
      <c r="AD64" s="7">
        <f>305-AC64</f>
        <v>203</v>
      </c>
      <c r="AE64" s="7">
        <v>245</v>
      </c>
      <c r="AF64" s="7">
        <f>826-AE64</f>
        <v>581</v>
      </c>
      <c r="AG64" s="7">
        <v>292</v>
      </c>
      <c r="AH64" s="7">
        <f t="shared" ca="1" si="102"/>
        <v>745.0145587477931</v>
      </c>
      <c r="AI64" s="7">
        <f t="shared" ca="1" si="102"/>
        <v>685.48943528978884</v>
      </c>
      <c r="AJ64" s="7">
        <f t="shared" ca="1" si="102"/>
        <v>668.40520531978132</v>
      </c>
      <c r="AK64" s="7">
        <f t="shared" ref="AK64:AP64" ca="1" si="103">AK31+AK62+AK63</f>
        <v>668.83565796674543</v>
      </c>
      <c r="AL64" s="7">
        <f t="shared" ca="1" si="103"/>
        <v>686.97300212623395</v>
      </c>
      <c r="AM64" s="7">
        <f t="shared" ca="1" si="103"/>
        <v>697.33525246436227</v>
      </c>
      <c r="AN64" s="7">
        <f t="shared" ca="1" si="103"/>
        <v>716.01016970751539</v>
      </c>
      <c r="AO64" s="7">
        <f t="shared" ca="1" si="103"/>
        <v>726.42309651341657</v>
      </c>
      <c r="AP64" s="7">
        <f t="shared" ca="1" si="103"/>
        <v>746.02468996446964</v>
      </c>
      <c r="AR64" s="22"/>
      <c r="AS64" s="7">
        <f t="shared" ref="AS64:BF64" si="104">AS31+AS62+AS63</f>
        <v>545</v>
      </c>
      <c r="AT64" s="7">
        <f t="shared" si="104"/>
        <v>952</v>
      </c>
      <c r="AU64" s="7">
        <f t="shared" si="104"/>
        <v>978</v>
      </c>
      <c r="AV64" s="7">
        <f t="shared" si="104"/>
        <v>1264</v>
      </c>
      <c r="AW64" s="7">
        <f t="shared" si="104"/>
        <v>1037</v>
      </c>
      <c r="AX64" s="7">
        <f t="shared" si="104"/>
        <v>442</v>
      </c>
      <c r="AY64" s="7">
        <f t="shared" si="104"/>
        <v>110</v>
      </c>
      <c r="AZ64" s="7">
        <f t="shared" si="104"/>
        <v>1171</v>
      </c>
      <c r="BA64" s="7">
        <f t="shared" si="104"/>
        <v>1527</v>
      </c>
      <c r="BB64" s="7">
        <f t="shared" si="104"/>
        <v>547</v>
      </c>
      <c r="BC64" s="7">
        <f t="shared" si="104"/>
        <v>305</v>
      </c>
      <c r="BD64" s="7">
        <f t="shared" si="104"/>
        <v>826</v>
      </c>
      <c r="BE64" s="7">
        <f t="shared" ca="1" si="104"/>
        <v>1037.014558747793</v>
      </c>
      <c r="BF64" s="7">
        <f t="shared" ca="1" si="104"/>
        <v>1353.8946406095699</v>
      </c>
      <c r="BG64" s="7">
        <f ca="1">BG31+BG62+BG63</f>
        <v>1355.8086600929798</v>
      </c>
      <c r="BH64" s="7">
        <f ca="1">BH31+BH62+BH63</f>
        <v>1413.3454221718775</v>
      </c>
      <c r="BI64" s="7">
        <f ca="1">BI31+BI62+BI63</f>
        <v>1472.4477864778862</v>
      </c>
      <c r="BM64" s="22"/>
      <c r="BN64"/>
      <c r="BO64"/>
      <c r="BP64"/>
      <c r="BQ64"/>
      <c r="BR64"/>
      <c r="BS64"/>
    </row>
    <row r="65" spans="1:71" x14ac:dyDescent="0.25">
      <c r="E65" s="5"/>
      <c r="F65" s="5"/>
      <c r="G65" s="5"/>
      <c r="H65" s="5"/>
      <c r="I65" s="21"/>
      <c r="J65" s="21"/>
      <c r="K65" s="21"/>
      <c r="L65" s="21"/>
      <c r="M65" s="21"/>
      <c r="N65" s="21"/>
      <c r="O65" s="21"/>
      <c r="P65" s="21"/>
      <c r="Q65" s="21"/>
      <c r="R65" s="21"/>
      <c r="S65" s="21"/>
      <c r="T65" s="21"/>
      <c r="U65" s="21"/>
      <c r="V65" s="21"/>
      <c r="W65" s="21"/>
      <c r="X65" s="21"/>
      <c r="Y65" s="21"/>
      <c r="Z65" s="21"/>
      <c r="AA65" s="21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</row>
    <row r="66" spans="1:71" x14ac:dyDescent="0.25">
      <c r="C66" t="s">
        <v>48</v>
      </c>
      <c r="D66" t="s">
        <v>32</v>
      </c>
      <c r="E66" s="5"/>
      <c r="F66" s="5"/>
      <c r="G66" s="5"/>
      <c r="H66" s="5"/>
      <c r="I66" s="5">
        <f>(Debt!I82+Debt!I83+Debt!I84+Debt!I86)*-1</f>
        <v>25</v>
      </c>
      <c r="J66" s="5">
        <f>(Debt!J82+Debt!J83+Debt!J84+Debt!J86)*-1</f>
        <v>9</v>
      </c>
      <c r="K66" s="5">
        <f>(Debt!K82+Debt!K83+Debt!K84+Debt!K86)*-1</f>
        <v>-3</v>
      </c>
      <c r="L66" s="5">
        <f>(Debt!L82+Debt!L83+Debt!L84+Debt!L86)*-1</f>
        <v>2</v>
      </c>
      <c r="M66" s="5">
        <f>(Debt!M82+Debt!M83+Debt!M84+Debt!M86)*-1</f>
        <v>-4</v>
      </c>
      <c r="N66" s="5">
        <f>(Debt!N82+Debt!N83+Debt!N84+Debt!N86)*-1</f>
        <v>8</v>
      </c>
      <c r="O66" s="5">
        <f>(Debt!O82+Debt!O83+Debt!O84+Debt!O86)*-1</f>
        <v>15</v>
      </c>
      <c r="P66" s="5">
        <f>(Debt!P82+Debt!P83+Debt!P84+Debt!P86)*-1</f>
        <v>7</v>
      </c>
      <c r="Q66" s="5">
        <f>(Debt!Q82+Debt!Q83+Debt!Q84+Debt!Q86)*-1</f>
        <v>-14</v>
      </c>
      <c r="R66" s="5">
        <f>(Debt!R82+Debt!R83+Debt!R84+Debt!R86)*-1</f>
        <v>-36</v>
      </c>
      <c r="S66" s="5">
        <f>(Debt!S82+Debt!S83+Debt!S84+Debt!S86)*-1</f>
        <v>-47</v>
      </c>
      <c r="T66" s="5">
        <f>(Debt!T82+Debt!T83+Debt!T84+Debt!T86)*-1</f>
        <v>1</v>
      </c>
      <c r="U66" s="5">
        <f>(Debt!U82+Debt!U83+Debt!U84+Debt!U86)*-1</f>
        <v>16</v>
      </c>
      <c r="V66" s="5">
        <f>(Debt!V82+Debt!V83+Debt!V84+Debt!V86)*-1</f>
        <v>-2</v>
      </c>
      <c r="W66" s="5">
        <f>(Debt!W82+Debt!W83+Debt!W84+Debt!W86)*-1</f>
        <v>-19</v>
      </c>
      <c r="X66" s="5">
        <f>(Debt!X82+Debt!X83+Debt!X84+Debt!X86)*-1</f>
        <v>4</v>
      </c>
      <c r="Y66" s="5">
        <f>(Debt!Y82+Debt!Y83+Debt!Y84+Debt!Y86)*-1</f>
        <v>-30</v>
      </c>
      <c r="Z66" s="5">
        <f>(Debt!Z82+Debt!Z83+Debt!Z84+Debt!Z86)*-1</f>
        <v>-1</v>
      </c>
      <c r="AA66" s="5">
        <f>(Debt!AA82+Debt!AA83+Debt!AA84+Debt!AA86)*-1</f>
        <v>-15</v>
      </c>
      <c r="AB66" s="5">
        <f>(Debt!AB82+Debt!AB83+Debt!AB84+Debt!AB86)*-1</f>
        <v>-3</v>
      </c>
      <c r="AC66" s="5">
        <f>(Debt!AC82+Debt!AC83+Debt!AC84+Debt!AC86)*-1</f>
        <v>-30</v>
      </c>
      <c r="AD66" s="5">
        <f>(Debt!AD82+Debt!AD83+Debt!AD84+Debt!AD86)*-1</f>
        <v>1</v>
      </c>
      <c r="AE66" s="5">
        <f>(Debt!AE82+Debt!AE83+Debt!AE84+Debt!AE86)*-1</f>
        <v>-52</v>
      </c>
      <c r="AF66" s="5">
        <f>(Debt!AF82+Debt!AF83+Debt!AF84+Debt!AF86)*-1</f>
        <v>-24</v>
      </c>
      <c r="AG66" s="5">
        <f>(Debt!AG82+Debt!AG83+Debt!AG84+Debt!AG86)*-1</f>
        <v>-62</v>
      </c>
      <c r="AH66" s="5">
        <f>(Debt!AH82+Debt!AH83+Debt!AH84+Debt!AH86)*-1</f>
        <v>-55.148544702644031</v>
      </c>
      <c r="AI66" s="5">
        <f>(Debt!AI82+Debt!AI83+Debt!AI84+Debt!AI86)*-1</f>
        <v>-54.07053734744467</v>
      </c>
      <c r="AJ66" s="5">
        <f>(Debt!AJ82+Debt!AJ83+Debt!AJ84+Debt!AJ86)*-1</f>
        <v>-45.747279745311829</v>
      </c>
      <c r="AK66" s="5">
        <f>(Debt!AK82+Debt!AK83+Debt!AK84+Debt!AK86)*-1</f>
        <v>-36.767025602300222</v>
      </c>
      <c r="AL66" s="5">
        <f>(Debt!AL82+Debt!AL83+Debt!AL84+Debt!AL86)*-1</f>
        <v>-34.3831853984383</v>
      </c>
      <c r="AM66" s="5">
        <f>(Debt!AM82+Debt!AM83+Debt!AM84+Debt!AM86)*-1</f>
        <v>-31.880592404534951</v>
      </c>
      <c r="AN66" s="5">
        <f>(Debt!AN82+Debt!AN83+Debt!AN84+Debt!AN86)*-1</f>
        <v>-28.715583074672978</v>
      </c>
      <c r="AO66" s="5">
        <f>(Debt!AO82+Debt!AO83+Debt!AO84+Debt!AO86)*-1</f>
        <v>-25.414195171983664</v>
      </c>
      <c r="AP66" s="5">
        <f>(Debt!AP82+Debt!AP83+Debt!AP84+Debt!AP86)*-1</f>
        <v>-21.408854379041131</v>
      </c>
      <c r="AS66" s="5">
        <f t="shared" ref="AS66:BI66" si="105">SUMIF($E$4:$AR$4,AS$4,$E66:$AR66)</f>
        <v>34</v>
      </c>
      <c r="AT66" s="5">
        <f t="shared" si="105"/>
        <v>-1</v>
      </c>
      <c r="AU66" s="5">
        <f t="shared" si="105"/>
        <v>4</v>
      </c>
      <c r="AV66" s="5">
        <f t="shared" si="105"/>
        <v>22</v>
      </c>
      <c r="AW66" s="5">
        <f t="shared" si="105"/>
        <v>-50</v>
      </c>
      <c r="AX66" s="5">
        <f t="shared" si="105"/>
        <v>-46</v>
      </c>
      <c r="AY66" s="5">
        <f t="shared" si="105"/>
        <v>14</v>
      </c>
      <c r="AZ66" s="5">
        <f t="shared" si="105"/>
        <v>-15</v>
      </c>
      <c r="BA66" s="5">
        <f t="shared" si="105"/>
        <v>-31</v>
      </c>
      <c r="BB66" s="5">
        <f t="shared" si="105"/>
        <v>-18</v>
      </c>
      <c r="BC66" s="5">
        <f t="shared" si="105"/>
        <v>-29</v>
      </c>
      <c r="BD66" s="5">
        <f t="shared" si="105"/>
        <v>-76</v>
      </c>
      <c r="BE66" s="5">
        <f t="shared" si="105"/>
        <v>-117.14854470264403</v>
      </c>
      <c r="BF66" s="5">
        <f t="shared" si="105"/>
        <v>-99.817817092756499</v>
      </c>
      <c r="BG66" s="5">
        <f t="shared" si="105"/>
        <v>-71.150211000738523</v>
      </c>
      <c r="BH66" s="5">
        <f t="shared" si="105"/>
        <v>-60.596175479207929</v>
      </c>
      <c r="BI66" s="5">
        <f t="shared" si="105"/>
        <v>-46.823049551024795</v>
      </c>
    </row>
    <row r="67" spans="1:71" s="6" customFormat="1" x14ac:dyDescent="0.25">
      <c r="C67" s="6" t="s">
        <v>49</v>
      </c>
      <c r="D67" s="6" t="s">
        <v>32</v>
      </c>
      <c r="E67" s="7"/>
      <c r="F67" s="7"/>
      <c r="G67" s="7"/>
      <c r="H67" s="7"/>
      <c r="I67" s="7">
        <f t="shared" ref="I67:AL67" si="106">I36+I66</f>
        <v>294</v>
      </c>
      <c r="J67" s="7">
        <f t="shared" si="106"/>
        <v>313</v>
      </c>
      <c r="K67" s="7">
        <f t="shared" si="106"/>
        <v>304</v>
      </c>
      <c r="L67" s="7">
        <f t="shared" si="106"/>
        <v>352</v>
      </c>
      <c r="M67" s="7">
        <f t="shared" si="106"/>
        <v>280</v>
      </c>
      <c r="N67" s="7">
        <f t="shared" si="106"/>
        <v>348</v>
      </c>
      <c r="O67" s="7">
        <f t="shared" si="106"/>
        <v>326.5</v>
      </c>
      <c r="P67" s="7">
        <f t="shared" si="106"/>
        <v>382.5</v>
      </c>
      <c r="Q67" s="7">
        <f t="shared" si="106"/>
        <v>364</v>
      </c>
      <c r="R67" s="7">
        <f t="shared" si="106"/>
        <v>342</v>
      </c>
      <c r="S67" s="7">
        <f t="shared" si="106"/>
        <v>305</v>
      </c>
      <c r="T67" s="7">
        <f t="shared" si="106"/>
        <v>429</v>
      </c>
      <c r="U67" s="7">
        <f t="shared" si="106"/>
        <v>354</v>
      </c>
      <c r="V67" s="7">
        <f t="shared" si="106"/>
        <v>396</v>
      </c>
      <c r="W67" s="7">
        <f t="shared" si="106"/>
        <v>318</v>
      </c>
      <c r="X67" s="7">
        <f t="shared" si="106"/>
        <v>318</v>
      </c>
      <c r="Y67" s="7">
        <f t="shared" si="106"/>
        <v>263</v>
      </c>
      <c r="Z67" s="7">
        <f t="shared" si="106"/>
        <v>438</v>
      </c>
      <c r="AA67" s="7">
        <f t="shared" si="106"/>
        <v>295</v>
      </c>
      <c r="AB67" s="7">
        <f t="shared" si="106"/>
        <v>420</v>
      </c>
      <c r="AC67" s="7">
        <f>AC36+AC66</f>
        <v>191</v>
      </c>
      <c r="AD67" s="7">
        <f t="shared" si="106"/>
        <v>439</v>
      </c>
      <c r="AE67" s="7">
        <f t="shared" si="106"/>
        <v>154</v>
      </c>
      <c r="AF67" s="7">
        <f t="shared" si="106"/>
        <v>465</v>
      </c>
      <c r="AG67" s="7">
        <f t="shared" si="106"/>
        <v>199</v>
      </c>
      <c r="AH67" s="7">
        <f t="shared" ca="1" si="106"/>
        <v>439.1183304315536</v>
      </c>
      <c r="AI67" s="7">
        <f t="shared" ca="1" si="106"/>
        <v>342.11377156651338</v>
      </c>
      <c r="AJ67" s="7">
        <f t="shared" ca="1" si="106"/>
        <v>368.23768521674424</v>
      </c>
      <c r="AK67" s="7">
        <f t="shared" ca="1" si="106"/>
        <v>377.77928989140611</v>
      </c>
      <c r="AL67" s="7">
        <f t="shared" ca="1" si="106"/>
        <v>398.60641186460919</v>
      </c>
      <c r="AM67" s="7">
        <f ca="1">AM36+AM66</f>
        <v>401.55362071878312</v>
      </c>
      <c r="AN67" s="7">
        <f ca="1">AN36+AN66</f>
        <v>423.61504778065296</v>
      </c>
      <c r="AO67" s="7">
        <f ca="1">AO36+AO66</f>
        <v>427.17221667852334</v>
      </c>
      <c r="AP67" s="7">
        <f ca="1">AP36+AP66</f>
        <v>450.91147303672108</v>
      </c>
      <c r="AR67" s="22"/>
      <c r="AS67" s="7">
        <f t="shared" ref="AS67:BF67" si="107">AS36+AS66</f>
        <v>607</v>
      </c>
      <c r="AT67" s="7">
        <f t="shared" si="107"/>
        <v>656</v>
      </c>
      <c r="AU67" s="7">
        <f t="shared" si="107"/>
        <v>628</v>
      </c>
      <c r="AV67" s="7">
        <f t="shared" si="107"/>
        <v>709</v>
      </c>
      <c r="AW67" s="7">
        <f t="shared" si="107"/>
        <v>706</v>
      </c>
      <c r="AX67" s="7">
        <f t="shared" si="107"/>
        <v>734</v>
      </c>
      <c r="AY67" s="7">
        <f t="shared" si="107"/>
        <v>750</v>
      </c>
      <c r="AZ67" s="7">
        <f t="shared" si="107"/>
        <v>636</v>
      </c>
      <c r="BA67" s="7">
        <f t="shared" si="107"/>
        <v>701</v>
      </c>
      <c r="BB67" s="7">
        <f t="shared" si="107"/>
        <v>715</v>
      </c>
      <c r="BC67" s="7">
        <f t="shared" si="107"/>
        <v>630</v>
      </c>
      <c r="BD67" s="7">
        <f t="shared" si="107"/>
        <v>619</v>
      </c>
      <c r="BE67" s="7">
        <f t="shared" ca="1" si="107"/>
        <v>638.11833043155355</v>
      </c>
      <c r="BF67" s="7">
        <f t="shared" ca="1" si="107"/>
        <v>710.35145678325739</v>
      </c>
      <c r="BG67" s="7">
        <f ca="1">BG36+BG66</f>
        <v>776.38570175601569</v>
      </c>
      <c r="BH67" s="7">
        <f ca="1">BH36+BH66</f>
        <v>825.16866849943597</v>
      </c>
      <c r="BI67" s="7">
        <f ca="1">BI36+BI66</f>
        <v>878.08368971524442</v>
      </c>
      <c r="BM67" s="22"/>
      <c r="BN67"/>
      <c r="BO67"/>
      <c r="BP67"/>
      <c r="BQ67"/>
      <c r="BR67"/>
      <c r="BS67"/>
    </row>
    <row r="68" spans="1:71" x14ac:dyDescent="0.25"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</row>
    <row r="69" spans="1:71" s="4" customFormat="1" x14ac:dyDescent="0.25">
      <c r="A69" s="4" t="s">
        <v>50</v>
      </c>
      <c r="E69" s="31"/>
      <c r="F69" s="31"/>
      <c r="G69" s="31"/>
      <c r="H69" s="31"/>
      <c r="I69" s="31"/>
      <c r="J69" s="31"/>
      <c r="K69" s="31"/>
      <c r="L69" s="31"/>
      <c r="M69" s="31"/>
      <c r="N69" s="31"/>
      <c r="O69" s="31"/>
      <c r="P69" s="31"/>
      <c r="Q69" s="31"/>
      <c r="R69" s="31"/>
      <c r="S69" s="31"/>
      <c r="T69" s="31"/>
      <c r="U69" s="31"/>
      <c r="V69" s="31"/>
      <c r="W69" s="31"/>
      <c r="X69" s="31"/>
      <c r="Y69" s="31"/>
      <c r="Z69" s="31"/>
      <c r="AA69" s="31"/>
      <c r="AB69" s="31"/>
      <c r="AC69" s="31"/>
      <c r="AD69" s="31"/>
      <c r="AE69" s="31"/>
      <c r="AF69" s="31"/>
      <c r="AG69" s="31"/>
      <c r="AH69" s="31"/>
      <c r="AI69" s="31"/>
      <c r="AJ69" s="31"/>
      <c r="AK69" s="31"/>
      <c r="AL69" s="31"/>
      <c r="AM69" s="31"/>
      <c r="AN69" s="31"/>
      <c r="AO69" s="31"/>
      <c r="AP69" s="31"/>
      <c r="AR69" s="20"/>
      <c r="AV69" s="31"/>
      <c r="AW69" s="31"/>
      <c r="AX69" s="31"/>
      <c r="AY69" s="31"/>
      <c r="AZ69" s="31"/>
      <c r="BA69" s="31"/>
      <c r="BB69" s="31"/>
      <c r="BC69" s="31"/>
      <c r="BD69" s="31"/>
      <c r="BE69" s="31"/>
      <c r="BF69" s="31"/>
      <c r="BG69" s="31"/>
      <c r="BH69" s="31"/>
      <c r="BI69" s="31"/>
      <c r="BM69" s="20"/>
      <c r="BN69"/>
      <c r="BO69"/>
      <c r="BP69"/>
      <c r="BQ69"/>
      <c r="BR69"/>
      <c r="BS69"/>
    </row>
    <row r="70" spans="1:71" x14ac:dyDescent="0.25">
      <c r="C70" t="s">
        <v>17</v>
      </c>
      <c r="D70" t="s">
        <v>32</v>
      </c>
      <c r="E70" s="21">
        <v>95.2</v>
      </c>
      <c r="F70" s="21">
        <v>135.6</v>
      </c>
      <c r="G70" s="21">
        <v>165.3</v>
      </c>
      <c r="H70" s="21">
        <v>227.1</v>
      </c>
      <c r="I70" s="21">
        <v>200.8</v>
      </c>
      <c r="J70" s="21">
        <v>231</v>
      </c>
      <c r="K70" s="21">
        <v>523</v>
      </c>
      <c r="L70" s="21">
        <v>170</v>
      </c>
      <c r="M70" s="21">
        <v>279</v>
      </c>
      <c r="N70" s="21">
        <v>208</v>
      </c>
      <c r="O70" s="21">
        <v>282</v>
      </c>
      <c r="P70" s="21">
        <v>238</v>
      </c>
      <c r="Q70" s="21">
        <v>174</v>
      </c>
      <c r="R70" s="21">
        <v>333</v>
      </c>
      <c r="S70" s="21">
        <v>178</v>
      </c>
      <c r="T70" s="21">
        <v>140</v>
      </c>
      <c r="U70" s="21">
        <v>245</v>
      </c>
      <c r="V70" s="21">
        <v>443</v>
      </c>
      <c r="W70" s="21">
        <v>434</v>
      </c>
      <c r="X70" s="21">
        <v>1162</v>
      </c>
      <c r="Y70" s="21">
        <v>277</v>
      </c>
      <c r="Z70" s="21">
        <v>378</v>
      </c>
      <c r="AA70" s="21">
        <v>208</v>
      </c>
      <c r="AB70" s="21">
        <v>271</v>
      </c>
      <c r="AC70" s="21">
        <v>693</v>
      </c>
      <c r="AD70" s="21">
        <v>719</v>
      </c>
      <c r="AE70" s="21">
        <v>506</v>
      </c>
      <c r="AF70" s="21">
        <v>647</v>
      </c>
      <c r="AG70" s="21">
        <v>376</v>
      </c>
      <c r="AH70" s="5">
        <f t="shared" ref="AH70:AL70" ca="1" si="108">AH143</f>
        <v>286.9172741635582</v>
      </c>
      <c r="AI70" s="5">
        <f t="shared" ca="1" si="108"/>
        <v>235.95595417233559</v>
      </c>
      <c r="AJ70" s="5">
        <f t="shared" ca="1" si="108"/>
        <v>376.2997056840523</v>
      </c>
      <c r="AK70" s="5">
        <f t="shared" ca="1" si="108"/>
        <v>348.9440832255118</v>
      </c>
      <c r="AL70" s="5">
        <f t="shared" ca="1" si="108"/>
        <v>511.26252194705842</v>
      </c>
      <c r="AM70" s="5">
        <f ca="1">AM143</f>
        <v>505.88789868586889</v>
      </c>
      <c r="AN70" s="5">
        <f ca="1">AN143</f>
        <v>602.23499502037635</v>
      </c>
      <c r="AO70" s="5">
        <f ca="1">AO143</f>
        <v>697.69734472921141</v>
      </c>
      <c r="AP70" s="5">
        <f ca="1">AP143</f>
        <v>806.90651313178796</v>
      </c>
      <c r="AS70" s="5">
        <f t="shared" ref="AS70:BI77" si="109">SUMIF($E$2:$AR$2,AS$2,$E70:$AR70)</f>
        <v>231</v>
      </c>
      <c r="AT70" s="5">
        <f t="shared" si="109"/>
        <v>170</v>
      </c>
      <c r="AU70" s="5">
        <f t="shared" si="109"/>
        <v>208</v>
      </c>
      <c r="AV70" s="5">
        <f t="shared" si="109"/>
        <v>238</v>
      </c>
      <c r="AW70" s="5">
        <f t="shared" si="109"/>
        <v>333</v>
      </c>
      <c r="AX70" s="5">
        <f t="shared" si="109"/>
        <v>140</v>
      </c>
      <c r="AY70" s="5">
        <f t="shared" si="109"/>
        <v>443</v>
      </c>
      <c r="AZ70" s="5">
        <f t="shared" si="109"/>
        <v>1162</v>
      </c>
      <c r="BA70" s="5">
        <f t="shared" si="109"/>
        <v>378</v>
      </c>
      <c r="BB70" s="5">
        <f t="shared" si="109"/>
        <v>271</v>
      </c>
      <c r="BC70" s="5">
        <f t="shared" si="109"/>
        <v>719</v>
      </c>
      <c r="BD70" s="5">
        <f t="shared" si="109"/>
        <v>647</v>
      </c>
      <c r="BE70" s="5">
        <f t="shared" ca="1" si="109"/>
        <v>286.9172741635582</v>
      </c>
      <c r="BF70" s="5">
        <f t="shared" ca="1" si="109"/>
        <v>376.2997056840523</v>
      </c>
      <c r="BG70" s="5">
        <f t="shared" ca="1" si="109"/>
        <v>511.26252194705842</v>
      </c>
      <c r="BH70" s="5">
        <f t="shared" ca="1" si="109"/>
        <v>602.23499502037635</v>
      </c>
      <c r="BI70" s="5">
        <f t="shared" ca="1" si="109"/>
        <v>806.90651313178796</v>
      </c>
    </row>
    <row r="71" spans="1:71" x14ac:dyDescent="0.25">
      <c r="C71" t="s">
        <v>191</v>
      </c>
      <c r="D71" t="s">
        <v>32</v>
      </c>
      <c r="E71" s="21">
        <v>2887.8</v>
      </c>
      <c r="F71" s="21">
        <v>2705.2</v>
      </c>
      <c r="G71" s="21">
        <v>2401.3000000000002</v>
      </c>
      <c r="H71" s="21">
        <v>2358.3000000000002</v>
      </c>
      <c r="I71" s="21">
        <v>2417.1000000000004</v>
      </c>
      <c r="J71" s="21">
        <v>2316</v>
      </c>
      <c r="K71" s="21">
        <v>2408</v>
      </c>
      <c r="L71" s="21">
        <v>2540</v>
      </c>
      <c r="M71" s="21">
        <f>2592-M72</f>
        <v>2533</v>
      </c>
      <c r="N71" s="21">
        <f>2515-N72</f>
        <v>2458</v>
      </c>
      <c r="O71" s="21">
        <f>2499-O72</f>
        <v>2441</v>
      </c>
      <c r="P71" s="21">
        <f>2481-P72</f>
        <v>2421</v>
      </c>
      <c r="Q71" s="21">
        <f>3394-Q72</f>
        <v>3355</v>
      </c>
      <c r="R71" s="21">
        <f>3465-R72</f>
        <v>3437</v>
      </c>
      <c r="S71" s="21">
        <f>3682-S72</f>
        <v>3626</v>
      </c>
      <c r="T71" s="21">
        <f>3505-T72</f>
        <v>3443</v>
      </c>
      <c r="U71" s="21">
        <f>3467-U72</f>
        <v>3381</v>
      </c>
      <c r="V71" s="21">
        <f>3530-V72</f>
        <v>3438</v>
      </c>
      <c r="W71" s="21">
        <f>3378-W72</f>
        <v>3257</v>
      </c>
      <c r="X71" s="21">
        <f>3368-X72</f>
        <v>3235</v>
      </c>
      <c r="Y71" s="21">
        <f>3696-Y72</f>
        <v>3613</v>
      </c>
      <c r="Z71" s="21">
        <f>3736-Z72</f>
        <v>3600</v>
      </c>
      <c r="AA71" s="21">
        <f>4014-AA72</f>
        <v>3873</v>
      </c>
      <c r="AB71" s="21">
        <f>1289+2584-AB72</f>
        <v>3705</v>
      </c>
      <c r="AC71" s="21">
        <f>1562+2758-AC72</f>
        <v>4185</v>
      </c>
      <c r="AD71" s="21">
        <f>1553+2496-AD72</f>
        <v>3902</v>
      </c>
      <c r="AE71" s="21">
        <f>1946+2618-AE72</f>
        <v>4380</v>
      </c>
      <c r="AF71" s="21">
        <f>1687+2707-AF72</f>
        <v>3831</v>
      </c>
      <c r="AG71" s="21">
        <f>2271+3338-AG72</f>
        <v>5046</v>
      </c>
      <c r="AH71" s="5">
        <f>AG71-AH118+Debt!AH82</f>
        <v>5355.6803961006399</v>
      </c>
      <c r="AI71" s="5">
        <f>AH71-AI118+Debt!AI82</f>
        <v>5461.531318266856</v>
      </c>
      <c r="AJ71" s="5">
        <f>AI71-AJ118+Debt!AJ82</f>
        <v>5567.0766122325849</v>
      </c>
      <c r="AK71" s="5">
        <f>AJ71-AK118+Debt!AK82</f>
        <v>5671.9482434458669</v>
      </c>
      <c r="AL71" s="5">
        <f>AK71-AL118+Debt!AL82</f>
        <v>5775.9435407110905</v>
      </c>
      <c r="AM71" s="5">
        <f>AL71-AM118+Debt!AM82</f>
        <v>5878.7110863566322</v>
      </c>
      <c r="AN71" s="5">
        <f>AM71-AN118+Debt!AN82</f>
        <v>5979.8863879230685</v>
      </c>
      <c r="AO71" s="5">
        <f>AN71-AO118+Debt!AO82</f>
        <v>6079.0913566538266</v>
      </c>
      <c r="AP71" s="5">
        <f>AO71-AP118+Debt!AP82</f>
        <v>6175.9324426171552</v>
      </c>
      <c r="AS71" s="5">
        <f t="shared" si="109"/>
        <v>2316</v>
      </c>
      <c r="AT71" s="5">
        <f t="shared" si="109"/>
        <v>2540</v>
      </c>
      <c r="AU71" s="5">
        <f t="shared" si="109"/>
        <v>2458</v>
      </c>
      <c r="AV71" s="5">
        <f t="shared" si="109"/>
        <v>2421</v>
      </c>
      <c r="AW71" s="5">
        <f t="shared" si="109"/>
        <v>3437</v>
      </c>
      <c r="AX71" s="5">
        <f t="shared" si="109"/>
        <v>3443</v>
      </c>
      <c r="AY71" s="5">
        <f t="shared" si="109"/>
        <v>3438</v>
      </c>
      <c r="AZ71" s="5">
        <f t="shared" si="109"/>
        <v>3235</v>
      </c>
      <c r="BA71" s="5">
        <f t="shared" si="109"/>
        <v>3600</v>
      </c>
      <c r="BB71" s="5">
        <f t="shared" si="109"/>
        <v>3705</v>
      </c>
      <c r="BC71" s="5">
        <f t="shared" si="109"/>
        <v>3902</v>
      </c>
      <c r="BD71" s="5">
        <f t="shared" si="109"/>
        <v>3831</v>
      </c>
      <c r="BE71" s="5">
        <f t="shared" si="109"/>
        <v>5355.6803961006399</v>
      </c>
      <c r="BF71" s="5">
        <f t="shared" si="109"/>
        <v>5567.0766122325849</v>
      </c>
      <c r="BG71" s="5">
        <f t="shared" si="109"/>
        <v>5775.9435407110905</v>
      </c>
      <c r="BH71" s="5">
        <f t="shared" si="109"/>
        <v>5979.8863879230685</v>
      </c>
      <c r="BI71" s="5">
        <f t="shared" si="109"/>
        <v>6175.9324426171552</v>
      </c>
    </row>
    <row r="72" spans="1:71" x14ac:dyDescent="0.25">
      <c r="C72" s="45" t="s">
        <v>192</v>
      </c>
      <c r="D72" t="s">
        <v>32</v>
      </c>
      <c r="E72" s="21"/>
      <c r="F72" s="21"/>
      <c r="G72" s="21"/>
      <c r="H72" s="21"/>
      <c r="I72" s="21"/>
      <c r="J72" s="21"/>
      <c r="K72" s="21"/>
      <c r="L72" s="21"/>
      <c r="M72" s="21">
        <f>51+8</f>
        <v>59</v>
      </c>
      <c r="N72" s="21">
        <f>50+7</f>
        <v>57</v>
      </c>
      <c r="O72" s="21">
        <f>53+5</f>
        <v>58</v>
      </c>
      <c r="P72" s="21">
        <f>55+5</f>
        <v>60</v>
      </c>
      <c r="Q72" s="21">
        <f>37+2</f>
        <v>39</v>
      </c>
      <c r="R72" s="21">
        <f>26+2</f>
        <v>28</v>
      </c>
      <c r="S72" s="21">
        <f>53+3</f>
        <v>56</v>
      </c>
      <c r="T72" s="21">
        <f>59+3</f>
        <v>62</v>
      </c>
      <c r="U72" s="21">
        <f>86</f>
        <v>86</v>
      </c>
      <c r="V72" s="21">
        <f>92</f>
        <v>92</v>
      </c>
      <c r="W72" s="21">
        <f>121</f>
        <v>121</v>
      </c>
      <c r="X72" s="21">
        <v>133</v>
      </c>
      <c r="Y72" s="21">
        <f>83</f>
        <v>83</v>
      </c>
      <c r="Z72" s="21">
        <v>136</v>
      </c>
      <c r="AA72" s="21">
        <v>141</v>
      </c>
      <c r="AB72" s="21">
        <f>142+26</f>
        <v>168</v>
      </c>
      <c r="AC72" s="21">
        <f>114+21</f>
        <v>135</v>
      </c>
      <c r="AD72" s="21">
        <f>126+21</f>
        <v>147</v>
      </c>
      <c r="AE72" s="21">
        <f>132+21+31</f>
        <v>184</v>
      </c>
      <c r="AF72" s="21">
        <v>563</v>
      </c>
      <c r="AG72" s="21">
        <f t="shared" ref="AG72:AL73" si="110">AF72</f>
        <v>563</v>
      </c>
      <c r="AH72" s="5">
        <f t="shared" si="110"/>
        <v>563</v>
      </c>
      <c r="AI72" s="5">
        <f t="shared" si="110"/>
        <v>563</v>
      </c>
      <c r="AJ72" s="5">
        <f t="shared" si="110"/>
        <v>563</v>
      </c>
      <c r="AK72" s="5">
        <f t="shared" si="110"/>
        <v>563</v>
      </c>
      <c r="AL72" s="5">
        <f t="shared" si="110"/>
        <v>563</v>
      </c>
      <c r="AM72" s="5">
        <f t="shared" ref="AM72:AP73" si="111">AL72</f>
        <v>563</v>
      </c>
      <c r="AN72" s="5">
        <f t="shared" si="111"/>
        <v>563</v>
      </c>
      <c r="AO72" s="5">
        <f t="shared" si="111"/>
        <v>563</v>
      </c>
      <c r="AP72" s="5">
        <f t="shared" si="111"/>
        <v>563</v>
      </c>
      <c r="AS72" s="5">
        <f t="shared" si="109"/>
        <v>0</v>
      </c>
      <c r="AT72" s="5">
        <f t="shared" si="109"/>
        <v>0</v>
      </c>
      <c r="AU72" s="5">
        <f t="shared" si="109"/>
        <v>57</v>
      </c>
      <c r="AV72" s="5">
        <f t="shared" si="109"/>
        <v>60</v>
      </c>
      <c r="AW72" s="5">
        <f t="shared" si="109"/>
        <v>28</v>
      </c>
      <c r="AX72" s="5">
        <f t="shared" si="109"/>
        <v>62</v>
      </c>
      <c r="AY72" s="5">
        <f t="shared" si="109"/>
        <v>92</v>
      </c>
      <c r="AZ72" s="5">
        <f t="shared" si="109"/>
        <v>133</v>
      </c>
      <c r="BA72" s="5">
        <f t="shared" si="109"/>
        <v>136</v>
      </c>
      <c r="BB72" s="5">
        <f t="shared" si="109"/>
        <v>168</v>
      </c>
      <c r="BC72" s="5">
        <f t="shared" si="109"/>
        <v>147</v>
      </c>
      <c r="BD72" s="5">
        <f t="shared" si="109"/>
        <v>563</v>
      </c>
      <c r="BE72" s="5">
        <f t="shared" si="109"/>
        <v>563</v>
      </c>
      <c r="BF72" s="5">
        <f t="shared" si="109"/>
        <v>563</v>
      </c>
      <c r="BG72" s="5">
        <f t="shared" si="109"/>
        <v>563</v>
      </c>
      <c r="BH72" s="5">
        <f t="shared" si="109"/>
        <v>563</v>
      </c>
      <c r="BI72" s="5">
        <f t="shared" si="109"/>
        <v>563</v>
      </c>
    </row>
    <row r="73" spans="1:71" x14ac:dyDescent="0.25">
      <c r="C73" s="45" t="s">
        <v>198</v>
      </c>
      <c r="D73" t="s">
        <v>32</v>
      </c>
      <c r="E73" s="21"/>
      <c r="F73" s="21"/>
      <c r="G73" s="21"/>
      <c r="H73" s="21"/>
      <c r="I73" s="21"/>
      <c r="J73" s="21"/>
      <c r="K73" s="21"/>
      <c r="L73" s="21"/>
      <c r="M73" s="21">
        <v>163</v>
      </c>
      <c r="N73" s="21">
        <v>202</v>
      </c>
      <c r="O73" s="21">
        <v>265</v>
      </c>
      <c r="P73" s="21">
        <v>312</v>
      </c>
      <c r="Q73" s="21">
        <v>308</v>
      </c>
      <c r="R73" s="21">
        <v>208</v>
      </c>
      <c r="S73" s="21">
        <v>162</v>
      </c>
      <c r="T73" s="21">
        <v>190</v>
      </c>
      <c r="U73" s="21">
        <v>155</v>
      </c>
      <c r="V73" s="21">
        <v>307</v>
      </c>
      <c r="W73" s="21">
        <v>396</v>
      </c>
      <c r="X73" s="21">
        <f>449-166</f>
        <v>283</v>
      </c>
      <c r="Y73" s="21">
        <f>415-166</f>
        <v>249</v>
      </c>
      <c r="Z73" s="21">
        <f>522-248</f>
        <v>274</v>
      </c>
      <c r="AA73" s="21">
        <f>505-142</f>
        <v>363</v>
      </c>
      <c r="AB73" s="21">
        <f>627-4</f>
        <v>623</v>
      </c>
      <c r="AC73" s="21">
        <v>585</v>
      </c>
      <c r="AD73" s="21">
        <v>649</v>
      </c>
      <c r="AE73" s="21">
        <v>489</v>
      </c>
      <c r="AF73" s="21">
        <v>427</v>
      </c>
      <c r="AG73" s="21">
        <v>323</v>
      </c>
      <c r="AH73" s="5">
        <f t="shared" si="110"/>
        <v>323</v>
      </c>
      <c r="AI73" s="5">
        <f t="shared" si="110"/>
        <v>323</v>
      </c>
      <c r="AJ73" s="5">
        <f t="shared" si="110"/>
        <v>323</v>
      </c>
      <c r="AK73" s="5">
        <f t="shared" si="110"/>
        <v>323</v>
      </c>
      <c r="AL73" s="5">
        <f t="shared" si="110"/>
        <v>323</v>
      </c>
      <c r="AM73" s="5">
        <f t="shared" si="111"/>
        <v>323</v>
      </c>
      <c r="AN73" s="5">
        <f t="shared" si="111"/>
        <v>323</v>
      </c>
      <c r="AO73" s="5">
        <f t="shared" si="111"/>
        <v>323</v>
      </c>
      <c r="AP73" s="5">
        <f t="shared" si="111"/>
        <v>323</v>
      </c>
      <c r="AS73" s="5">
        <f t="shared" si="109"/>
        <v>0</v>
      </c>
      <c r="AT73" s="5">
        <f t="shared" si="109"/>
        <v>0</v>
      </c>
      <c r="AU73" s="5">
        <f t="shared" si="109"/>
        <v>202</v>
      </c>
      <c r="AV73" s="5">
        <f t="shared" si="109"/>
        <v>312</v>
      </c>
      <c r="AW73" s="5">
        <f t="shared" si="109"/>
        <v>208</v>
      </c>
      <c r="AX73" s="5">
        <f t="shared" si="109"/>
        <v>190</v>
      </c>
      <c r="AY73" s="5">
        <f t="shared" si="109"/>
        <v>307</v>
      </c>
      <c r="AZ73" s="5">
        <f t="shared" si="109"/>
        <v>283</v>
      </c>
      <c r="BA73" s="5">
        <f t="shared" si="109"/>
        <v>274</v>
      </c>
      <c r="BB73" s="5">
        <f t="shared" si="109"/>
        <v>623</v>
      </c>
      <c r="BC73" s="5">
        <f t="shared" si="109"/>
        <v>649</v>
      </c>
      <c r="BD73" s="5">
        <f t="shared" si="109"/>
        <v>427</v>
      </c>
      <c r="BE73" s="5">
        <f t="shared" si="109"/>
        <v>323</v>
      </c>
      <c r="BF73" s="5">
        <f t="shared" si="109"/>
        <v>323</v>
      </c>
      <c r="BG73" s="5">
        <f t="shared" si="109"/>
        <v>323</v>
      </c>
      <c r="BH73" s="5">
        <f t="shared" si="109"/>
        <v>323</v>
      </c>
      <c r="BI73" s="5">
        <f t="shared" si="109"/>
        <v>323</v>
      </c>
    </row>
    <row r="74" spans="1:71" x14ac:dyDescent="0.25">
      <c r="C74" t="s">
        <v>20</v>
      </c>
      <c r="D74" t="s">
        <v>32</v>
      </c>
      <c r="E74" s="21">
        <v>6595.2999999999993</v>
      </c>
      <c r="F74" s="21">
        <v>6849.4000000000005</v>
      </c>
      <c r="G74" s="21">
        <v>7026.9000000000005</v>
      </c>
      <c r="H74" s="21">
        <v>6907</v>
      </c>
      <c r="I74" s="21">
        <v>7016.5</v>
      </c>
      <c r="J74" s="21">
        <v>7268</v>
      </c>
      <c r="K74" s="21">
        <v>7241</v>
      </c>
      <c r="L74" s="21">
        <v>7722</v>
      </c>
      <c r="M74" s="21">
        <v>8161.2284092811833</v>
      </c>
      <c r="N74" s="21">
        <v>8598</v>
      </c>
      <c r="O74" s="21">
        <v>8807</v>
      </c>
      <c r="P74" s="21">
        <v>8904.2121212121219</v>
      </c>
      <c r="Q74" s="21">
        <v>9065.424242424242</v>
      </c>
      <c r="R74" s="21">
        <v>8862.636363636364</v>
      </c>
      <c r="S74" s="21">
        <v>8745</v>
      </c>
      <c r="T74" s="21">
        <v>8349</v>
      </c>
      <c r="U74" s="21">
        <v>8710</v>
      </c>
      <c r="V74" s="21">
        <v>9359</v>
      </c>
      <c r="W74" s="21">
        <v>9280</v>
      </c>
      <c r="X74" s="21">
        <v>9337</v>
      </c>
      <c r="Y74" s="21">
        <v>9911</v>
      </c>
      <c r="Z74" s="21">
        <v>10491</v>
      </c>
      <c r="AA74" s="21">
        <v>10519</v>
      </c>
      <c r="AB74" s="21">
        <v>10532</v>
      </c>
      <c r="AC74" s="21">
        <f>AB74-AC34-AC35+AC62-AC127-AC128-AC129+Debt!AC83-AC130</f>
        <v>10634</v>
      </c>
      <c r="AD74" s="21">
        <f>10098-AD73</f>
        <v>9449</v>
      </c>
      <c r="AE74" s="21">
        <f>529+9467-AE73</f>
        <v>9507</v>
      </c>
      <c r="AF74" s="21">
        <f>9502-AF73</f>
        <v>9075</v>
      </c>
      <c r="AG74" s="21">
        <f>9374-AG73</f>
        <v>9051</v>
      </c>
      <c r="AH74" s="5">
        <f>AG74-AH34-AH35+AH62-AH127-AH128-AH129+Debt!AH83</f>
        <v>9107.0253502802625</v>
      </c>
      <c r="AI74" s="5">
        <f>AH74-AI34-AI35+AI62-AI127-AI128-AI129+Debt!AI83</f>
        <v>9490.384143322759</v>
      </c>
      <c r="AJ74" s="5">
        <f>AI74-AJ34-AJ35+AJ62-AJ127-AJ128-AJ129+Debt!AJ83</f>
        <v>9836.0813836804828</v>
      </c>
      <c r="AK74" s="5">
        <f>AJ74-AK34-AK35+AK62-AK127-AK128-AK129+Debt!AK83</f>
        <v>10181.134392820188</v>
      </c>
      <c r="AL74" s="5">
        <f>AK74-AL34-AL35+AL62-AL127-AL128-AL129+Debt!AL83</f>
        <v>10525.881464350041</v>
      </c>
      <c r="AM74" s="5">
        <f>AL74-AM34-AM35+AM62-AM127-AM128-AM129+Debt!AM83</f>
        <v>10880.546170357753</v>
      </c>
      <c r="AN74" s="5">
        <f>AM74-AN34-AN35+AN62-AN127-AN128-AN129+Debt!AN83</f>
        <v>11234.989375876608</v>
      </c>
      <c r="AO74" s="5">
        <f>AN74-AO34-AO35+AO62-AO127-AO128-AO129+Debt!AO83</f>
        <v>11599.589727206185</v>
      </c>
      <c r="AP74" s="5">
        <f>AO74-AP34-AP35+AP62-AP127-AP128-AP129+Debt!AP83</f>
        <v>11964.057756421558</v>
      </c>
      <c r="AS74" s="5">
        <f t="shared" si="109"/>
        <v>7268</v>
      </c>
      <c r="AT74" s="5">
        <f t="shared" si="109"/>
        <v>7722</v>
      </c>
      <c r="AU74" s="5">
        <f t="shared" si="109"/>
        <v>8598</v>
      </c>
      <c r="AV74" s="5">
        <f t="shared" si="109"/>
        <v>8904.2121212121219</v>
      </c>
      <c r="AW74" s="5">
        <f t="shared" si="109"/>
        <v>8862.636363636364</v>
      </c>
      <c r="AX74" s="5">
        <f t="shared" si="109"/>
        <v>8349</v>
      </c>
      <c r="AY74" s="5">
        <f t="shared" si="109"/>
        <v>9359</v>
      </c>
      <c r="AZ74" s="5">
        <f t="shared" si="109"/>
        <v>9337</v>
      </c>
      <c r="BA74" s="5">
        <f t="shared" si="109"/>
        <v>10491</v>
      </c>
      <c r="BB74" s="5">
        <f t="shared" si="109"/>
        <v>10532</v>
      </c>
      <c r="BC74" s="5">
        <f t="shared" si="109"/>
        <v>9449</v>
      </c>
      <c r="BD74" s="5">
        <f t="shared" si="109"/>
        <v>9075</v>
      </c>
      <c r="BE74" s="5">
        <f t="shared" si="109"/>
        <v>9107.0253502802625</v>
      </c>
      <c r="BF74" s="5">
        <f t="shared" si="109"/>
        <v>9836.0813836804828</v>
      </c>
      <c r="BG74" s="5">
        <f t="shared" si="109"/>
        <v>10525.881464350041</v>
      </c>
      <c r="BH74" s="5">
        <f t="shared" si="109"/>
        <v>11234.989375876608</v>
      </c>
      <c r="BI74" s="5">
        <f t="shared" si="109"/>
        <v>11964.057756421558</v>
      </c>
    </row>
    <row r="75" spans="1:71" x14ac:dyDescent="0.25">
      <c r="C75" t="s">
        <v>51</v>
      </c>
      <c r="D75" t="s">
        <v>32</v>
      </c>
      <c r="E75" s="21">
        <v>780.1</v>
      </c>
      <c r="F75" s="21">
        <v>608.9</v>
      </c>
      <c r="G75" s="21">
        <v>602.70000000000005</v>
      </c>
      <c r="H75" s="21">
        <v>543</v>
      </c>
      <c r="I75" s="21">
        <v>543.70000000000005</v>
      </c>
      <c r="J75" s="21">
        <v>650</v>
      </c>
      <c r="K75" s="21">
        <v>757</v>
      </c>
      <c r="L75" s="21">
        <v>518</v>
      </c>
      <c r="M75" s="21">
        <v>575</v>
      </c>
      <c r="N75" s="21">
        <v>524</v>
      </c>
      <c r="O75" s="21">
        <v>549</v>
      </c>
      <c r="P75" s="21">
        <v>574</v>
      </c>
      <c r="Q75" s="21">
        <v>570</v>
      </c>
      <c r="R75" s="21">
        <v>613</v>
      </c>
      <c r="S75" s="21">
        <v>606</v>
      </c>
      <c r="T75" s="21">
        <v>612</v>
      </c>
      <c r="U75" s="21">
        <v>355</v>
      </c>
      <c r="V75" s="21">
        <v>354</v>
      </c>
      <c r="W75" s="21">
        <v>371</v>
      </c>
      <c r="X75" s="21">
        <v>392</v>
      </c>
      <c r="Y75" s="21">
        <v>409</v>
      </c>
      <c r="Z75" s="21">
        <v>592</v>
      </c>
      <c r="AA75" s="21">
        <v>715</v>
      </c>
      <c r="AB75" s="21">
        <v>675</v>
      </c>
      <c r="AC75" s="21">
        <v>746</v>
      </c>
      <c r="AD75" s="21">
        <v>687</v>
      </c>
      <c r="AE75" s="21">
        <v>1197</v>
      </c>
      <c r="AF75" s="21">
        <v>1629</v>
      </c>
      <c r="AG75" s="21">
        <v>1789</v>
      </c>
      <c r="AH75" s="5">
        <f t="shared" ref="AH75:AJ77" si="112">AG75</f>
        <v>1789</v>
      </c>
      <c r="AI75" s="5">
        <f t="shared" si="112"/>
        <v>1789</v>
      </c>
      <c r="AJ75" s="5">
        <f t="shared" si="112"/>
        <v>1789</v>
      </c>
      <c r="AK75" s="5">
        <f t="shared" ref="AK75:AL77" si="113">AJ75</f>
        <v>1789</v>
      </c>
      <c r="AL75" s="5">
        <f t="shared" si="113"/>
        <v>1789</v>
      </c>
      <c r="AM75" s="5">
        <f t="shared" ref="AM75:AN77" si="114">AL75</f>
        <v>1789</v>
      </c>
      <c r="AN75" s="5">
        <f t="shared" si="114"/>
        <v>1789</v>
      </c>
      <c r="AO75" s="5">
        <f t="shared" ref="AO75:AO77" si="115">AN75</f>
        <v>1789</v>
      </c>
      <c r="AP75" s="5">
        <f t="shared" ref="AP75:AP77" si="116">AO75</f>
        <v>1789</v>
      </c>
      <c r="AS75" s="5">
        <f t="shared" si="109"/>
        <v>650</v>
      </c>
      <c r="AT75" s="5">
        <f t="shared" si="109"/>
        <v>518</v>
      </c>
      <c r="AU75" s="5">
        <f t="shared" si="109"/>
        <v>524</v>
      </c>
      <c r="AV75" s="5">
        <f t="shared" si="109"/>
        <v>574</v>
      </c>
      <c r="AW75" s="5">
        <f t="shared" si="109"/>
        <v>613</v>
      </c>
      <c r="AX75" s="5">
        <f t="shared" si="109"/>
        <v>612</v>
      </c>
      <c r="AY75" s="5">
        <f t="shared" si="109"/>
        <v>354</v>
      </c>
      <c r="AZ75" s="5">
        <f t="shared" si="109"/>
        <v>392</v>
      </c>
      <c r="BA75" s="5">
        <f t="shared" si="109"/>
        <v>592</v>
      </c>
      <c r="BB75" s="5">
        <f t="shared" si="109"/>
        <v>675</v>
      </c>
      <c r="BC75" s="5">
        <f t="shared" si="109"/>
        <v>687</v>
      </c>
      <c r="BD75" s="5">
        <f t="shared" si="109"/>
        <v>1629</v>
      </c>
      <c r="BE75" s="5">
        <f t="shared" si="109"/>
        <v>1789</v>
      </c>
      <c r="BF75" s="5">
        <f t="shared" si="109"/>
        <v>1789</v>
      </c>
      <c r="BG75" s="5">
        <f t="shared" si="109"/>
        <v>1789</v>
      </c>
      <c r="BH75" s="5">
        <f t="shared" si="109"/>
        <v>1789</v>
      </c>
      <c r="BI75" s="5">
        <f t="shared" si="109"/>
        <v>1789</v>
      </c>
    </row>
    <row r="76" spans="1:71" x14ac:dyDescent="0.25">
      <c r="C76" t="s">
        <v>52</v>
      </c>
      <c r="D76" t="s">
        <v>32</v>
      </c>
      <c r="E76" s="21">
        <v>116.6</v>
      </c>
      <c r="F76" s="21">
        <v>116.6</v>
      </c>
      <c r="G76" s="21">
        <v>116.6</v>
      </c>
      <c r="H76" s="21">
        <v>116.6</v>
      </c>
      <c r="I76" s="21">
        <v>116.6</v>
      </c>
      <c r="J76" s="21">
        <v>94</v>
      </c>
      <c r="K76" s="21">
        <v>94</v>
      </c>
      <c r="L76" s="21">
        <v>98</v>
      </c>
      <c r="M76" s="21">
        <v>97</v>
      </c>
      <c r="N76" s="21">
        <v>122</v>
      </c>
      <c r="O76" s="21">
        <v>140</v>
      </c>
      <c r="P76" s="21">
        <v>156</v>
      </c>
      <c r="Q76" s="21">
        <v>174</v>
      </c>
      <c r="R76" s="21">
        <v>194</v>
      </c>
      <c r="S76" s="21">
        <v>192</v>
      </c>
      <c r="T76" s="21">
        <v>193</v>
      </c>
      <c r="U76" s="21">
        <v>174</v>
      </c>
      <c r="V76" s="21">
        <v>170</v>
      </c>
      <c r="W76" s="21">
        <v>183</v>
      </c>
      <c r="X76" s="21">
        <v>77</v>
      </c>
      <c r="Y76" s="21">
        <v>68</v>
      </c>
      <c r="Z76" s="21">
        <v>65</v>
      </c>
      <c r="AA76" s="21">
        <v>71</v>
      </c>
      <c r="AB76" s="21">
        <v>62</v>
      </c>
      <c r="AC76" s="21">
        <v>56</v>
      </c>
      <c r="AD76" s="21">
        <v>56</v>
      </c>
      <c r="AE76" s="21">
        <v>50</v>
      </c>
      <c r="AF76" s="21">
        <v>51</v>
      </c>
      <c r="AG76" s="21">
        <v>50</v>
      </c>
      <c r="AH76" s="5">
        <f t="shared" si="112"/>
        <v>50</v>
      </c>
      <c r="AI76" s="5">
        <f t="shared" si="112"/>
        <v>50</v>
      </c>
      <c r="AJ76" s="5">
        <f t="shared" si="112"/>
        <v>50</v>
      </c>
      <c r="AK76" s="5">
        <f t="shared" si="113"/>
        <v>50</v>
      </c>
      <c r="AL76" s="5">
        <f t="shared" si="113"/>
        <v>50</v>
      </c>
      <c r="AM76" s="5">
        <f t="shared" si="114"/>
        <v>50</v>
      </c>
      <c r="AN76" s="5">
        <f t="shared" si="114"/>
        <v>50</v>
      </c>
      <c r="AO76" s="5">
        <f t="shared" si="115"/>
        <v>50</v>
      </c>
      <c r="AP76" s="5">
        <f t="shared" si="116"/>
        <v>50</v>
      </c>
      <c r="AS76" s="5">
        <f t="shared" si="109"/>
        <v>94</v>
      </c>
      <c r="AT76" s="5">
        <f t="shared" si="109"/>
        <v>98</v>
      </c>
      <c r="AU76" s="5">
        <f t="shared" si="109"/>
        <v>122</v>
      </c>
      <c r="AV76" s="5">
        <f t="shared" si="109"/>
        <v>156</v>
      </c>
      <c r="AW76" s="5">
        <f t="shared" si="109"/>
        <v>194</v>
      </c>
      <c r="AX76" s="5">
        <f t="shared" si="109"/>
        <v>193</v>
      </c>
      <c r="AY76" s="5">
        <f t="shared" si="109"/>
        <v>170</v>
      </c>
      <c r="AZ76" s="5">
        <f t="shared" si="109"/>
        <v>77</v>
      </c>
      <c r="BA76" s="5">
        <f t="shared" si="109"/>
        <v>65</v>
      </c>
      <c r="BB76" s="5">
        <f t="shared" si="109"/>
        <v>62</v>
      </c>
      <c r="BC76" s="5">
        <f t="shared" si="109"/>
        <v>56</v>
      </c>
      <c r="BD76" s="5">
        <f t="shared" si="109"/>
        <v>51</v>
      </c>
      <c r="BE76" s="5">
        <f t="shared" si="109"/>
        <v>50</v>
      </c>
      <c r="BF76" s="5">
        <f t="shared" si="109"/>
        <v>50</v>
      </c>
      <c r="BG76" s="5">
        <f t="shared" si="109"/>
        <v>50</v>
      </c>
      <c r="BH76" s="5">
        <f t="shared" si="109"/>
        <v>50</v>
      </c>
      <c r="BI76" s="5">
        <f t="shared" si="109"/>
        <v>50</v>
      </c>
    </row>
    <row r="77" spans="1:71" x14ac:dyDescent="0.25">
      <c r="C77" t="s">
        <v>18</v>
      </c>
      <c r="D77" t="s">
        <v>32</v>
      </c>
      <c r="E77" s="21">
        <f>E78-SUM(E70:E76)</f>
        <v>4141.1999999999989</v>
      </c>
      <c r="F77" s="21">
        <f t="shared" ref="F77:AG77" si="117">F78-SUM(F70:F76)</f>
        <v>4118.2000000000007</v>
      </c>
      <c r="G77" s="21">
        <f t="shared" si="117"/>
        <v>3938.6000000000022</v>
      </c>
      <c r="H77" s="21">
        <f t="shared" si="117"/>
        <v>3917.6999999999989</v>
      </c>
      <c r="I77" s="21">
        <f t="shared" si="117"/>
        <v>4024.4999999999964</v>
      </c>
      <c r="J77" s="21">
        <f t="shared" si="117"/>
        <v>4341</v>
      </c>
      <c r="K77" s="21">
        <f t="shared" si="117"/>
        <v>4143</v>
      </c>
      <c r="L77" s="21">
        <f t="shared" si="117"/>
        <v>4681</v>
      </c>
      <c r="M77" s="21">
        <f t="shared" si="117"/>
        <v>4713.7715907188176</v>
      </c>
      <c r="N77" s="21">
        <f t="shared" si="117"/>
        <v>4773</v>
      </c>
      <c r="O77" s="21">
        <f t="shared" si="117"/>
        <v>4890</v>
      </c>
      <c r="P77" s="21">
        <f t="shared" si="117"/>
        <v>4829.7878787878781</v>
      </c>
      <c r="Q77" s="21">
        <f t="shared" si="117"/>
        <v>5181.575757575758</v>
      </c>
      <c r="R77" s="21">
        <f t="shared" si="117"/>
        <v>5615.363636363636</v>
      </c>
      <c r="S77" s="21">
        <f t="shared" si="117"/>
        <v>5969</v>
      </c>
      <c r="T77" s="21">
        <f t="shared" si="117"/>
        <v>6010</v>
      </c>
      <c r="U77" s="21">
        <f t="shared" si="117"/>
        <v>6155</v>
      </c>
      <c r="V77" s="21">
        <f t="shared" si="117"/>
        <v>5068</v>
      </c>
      <c r="W77" s="21">
        <f t="shared" si="117"/>
        <v>4370</v>
      </c>
      <c r="X77" s="21">
        <f t="shared" si="117"/>
        <v>4686</v>
      </c>
      <c r="Y77" s="21">
        <f t="shared" si="117"/>
        <v>5406</v>
      </c>
      <c r="Z77" s="21">
        <f t="shared" si="117"/>
        <v>4878</v>
      </c>
      <c r="AA77" s="21">
        <f t="shared" si="117"/>
        <v>1068</v>
      </c>
      <c r="AB77" s="21">
        <f t="shared" si="117"/>
        <v>604</v>
      </c>
      <c r="AC77" s="21">
        <f t="shared" si="117"/>
        <v>509</v>
      </c>
      <c r="AD77" s="21">
        <f t="shared" si="117"/>
        <v>1451</v>
      </c>
      <c r="AE77" s="21">
        <f t="shared" si="117"/>
        <v>1326</v>
      </c>
      <c r="AF77" s="21">
        <f t="shared" si="117"/>
        <v>1520</v>
      </c>
      <c r="AG77" s="21">
        <f t="shared" si="117"/>
        <v>1587</v>
      </c>
      <c r="AH77" s="5">
        <f t="shared" si="112"/>
        <v>1587</v>
      </c>
      <c r="AI77" s="5">
        <f t="shared" si="112"/>
        <v>1587</v>
      </c>
      <c r="AJ77" s="5">
        <f t="shared" si="112"/>
        <v>1587</v>
      </c>
      <c r="AK77" s="5">
        <f t="shared" si="113"/>
        <v>1587</v>
      </c>
      <c r="AL77" s="5">
        <f t="shared" si="113"/>
        <v>1587</v>
      </c>
      <c r="AM77" s="5">
        <f t="shared" si="114"/>
        <v>1587</v>
      </c>
      <c r="AN77" s="5">
        <f t="shared" si="114"/>
        <v>1587</v>
      </c>
      <c r="AO77" s="5">
        <f t="shared" si="115"/>
        <v>1587</v>
      </c>
      <c r="AP77" s="5">
        <f t="shared" si="116"/>
        <v>1587</v>
      </c>
      <c r="AS77" s="5">
        <f t="shared" si="109"/>
        <v>4341</v>
      </c>
      <c r="AT77" s="5">
        <f t="shared" si="109"/>
        <v>4681</v>
      </c>
      <c r="AU77" s="5">
        <f t="shared" si="109"/>
        <v>4773</v>
      </c>
      <c r="AV77" s="5">
        <f t="shared" si="109"/>
        <v>4829.7878787878781</v>
      </c>
      <c r="AW77" s="5">
        <f t="shared" si="109"/>
        <v>5615.363636363636</v>
      </c>
      <c r="AX77" s="5">
        <f t="shared" si="109"/>
        <v>6010</v>
      </c>
      <c r="AY77" s="5">
        <f t="shared" si="109"/>
        <v>5068</v>
      </c>
      <c r="AZ77" s="5">
        <f t="shared" si="109"/>
        <v>4686</v>
      </c>
      <c r="BA77" s="5">
        <f t="shared" si="109"/>
        <v>4878</v>
      </c>
      <c r="BB77" s="5">
        <f t="shared" si="109"/>
        <v>604</v>
      </c>
      <c r="BC77" s="5">
        <f t="shared" si="109"/>
        <v>1451</v>
      </c>
      <c r="BD77" s="5">
        <f t="shared" si="109"/>
        <v>1520</v>
      </c>
      <c r="BE77" s="5">
        <f t="shared" si="109"/>
        <v>1587</v>
      </c>
      <c r="BF77" s="5">
        <f t="shared" si="109"/>
        <v>1587</v>
      </c>
      <c r="BG77" s="5">
        <f t="shared" si="109"/>
        <v>1587</v>
      </c>
      <c r="BH77" s="5">
        <f t="shared" si="109"/>
        <v>1587</v>
      </c>
      <c r="BI77" s="5">
        <f t="shared" si="109"/>
        <v>1587</v>
      </c>
    </row>
    <row r="78" spans="1:71" s="6" customFormat="1" x14ac:dyDescent="0.25">
      <c r="C78" s="6" t="s">
        <v>19</v>
      </c>
      <c r="D78" s="6" t="s">
        <v>32</v>
      </c>
      <c r="E78" s="7">
        <v>14616.199999999999</v>
      </c>
      <c r="F78" s="7">
        <v>14533.900000000001</v>
      </c>
      <c r="G78" s="7">
        <v>14251.400000000003</v>
      </c>
      <c r="H78" s="7">
        <v>14069.699999999999</v>
      </c>
      <c r="I78" s="7">
        <v>14319.199999999999</v>
      </c>
      <c r="J78" s="7">
        <v>14900</v>
      </c>
      <c r="K78" s="7">
        <v>15166</v>
      </c>
      <c r="L78" s="7">
        <v>15729</v>
      </c>
      <c r="M78" s="7">
        <v>16581</v>
      </c>
      <c r="N78" s="7">
        <v>16942</v>
      </c>
      <c r="O78" s="7">
        <v>17432</v>
      </c>
      <c r="P78" s="7">
        <v>17495</v>
      </c>
      <c r="Q78" s="7">
        <v>18867</v>
      </c>
      <c r="R78" s="7">
        <v>19291</v>
      </c>
      <c r="S78" s="7">
        <v>19534</v>
      </c>
      <c r="T78" s="7">
        <v>18999</v>
      </c>
      <c r="U78" s="7">
        <v>19261</v>
      </c>
      <c r="V78" s="7">
        <v>19231</v>
      </c>
      <c r="W78" s="7">
        <v>18412</v>
      </c>
      <c r="X78" s="7">
        <v>19305</v>
      </c>
      <c r="Y78" s="7">
        <v>20016</v>
      </c>
      <c r="Z78" s="7">
        <v>20414</v>
      </c>
      <c r="AA78" s="7">
        <v>16958</v>
      </c>
      <c r="AB78" s="7">
        <v>16640</v>
      </c>
      <c r="AC78" s="7">
        <v>17543</v>
      </c>
      <c r="AD78" s="7">
        <v>17060</v>
      </c>
      <c r="AE78" s="7">
        <v>17639</v>
      </c>
      <c r="AF78" s="7">
        <v>17743</v>
      </c>
      <c r="AG78" s="7">
        <v>18785</v>
      </c>
      <c r="AH78" s="7">
        <f t="shared" ref="AH78:AL78" ca="1" si="118">SUM(AH70:AH77)</f>
        <v>19061.623020544459</v>
      </c>
      <c r="AI78" s="7">
        <f t="shared" ca="1" si="118"/>
        <v>19499.871415761951</v>
      </c>
      <c r="AJ78" s="7">
        <f t="shared" ca="1" si="118"/>
        <v>20091.457701597119</v>
      </c>
      <c r="AK78" s="7">
        <f t="shared" ca="1" si="118"/>
        <v>20514.026719491565</v>
      </c>
      <c r="AL78" s="7">
        <f t="shared" ca="1" si="118"/>
        <v>21125.087527008189</v>
      </c>
      <c r="AM78" s="7">
        <f ca="1">SUM(AM70:AM77)</f>
        <v>21577.145155400256</v>
      </c>
      <c r="AN78" s="7">
        <f ca="1">SUM(AN70:AN77)</f>
        <v>22129.110758820054</v>
      </c>
      <c r="AO78" s="7">
        <f ca="1">SUM(AO70:AO77)</f>
        <v>22688.378428589222</v>
      </c>
      <c r="AP78" s="7">
        <f ca="1">SUM(AP70:AP77)</f>
        <v>23258.896712170499</v>
      </c>
      <c r="AR78" s="22"/>
      <c r="AS78" s="7">
        <f t="shared" ref="AS78:BG78" si="119">SUM(AS70:AS77)</f>
        <v>14900</v>
      </c>
      <c r="AT78" s="7">
        <f t="shared" si="119"/>
        <v>15729</v>
      </c>
      <c r="AU78" s="7">
        <f t="shared" si="119"/>
        <v>16942</v>
      </c>
      <c r="AV78" s="7">
        <f t="shared" si="119"/>
        <v>17495</v>
      </c>
      <c r="AW78" s="7">
        <f t="shared" si="119"/>
        <v>19291</v>
      </c>
      <c r="AX78" s="7">
        <f t="shared" si="119"/>
        <v>18999</v>
      </c>
      <c r="AY78" s="7">
        <f t="shared" si="119"/>
        <v>19231</v>
      </c>
      <c r="AZ78" s="7">
        <f t="shared" si="119"/>
        <v>19305</v>
      </c>
      <c r="BA78" s="7">
        <f t="shared" si="119"/>
        <v>20414</v>
      </c>
      <c r="BB78" s="7">
        <f t="shared" si="119"/>
        <v>16640</v>
      </c>
      <c r="BC78" s="7">
        <f t="shared" si="119"/>
        <v>17060</v>
      </c>
      <c r="BD78" s="7">
        <f t="shared" si="119"/>
        <v>17743</v>
      </c>
      <c r="BE78" s="7">
        <f t="shared" ca="1" si="119"/>
        <v>19061.623020544459</v>
      </c>
      <c r="BF78" s="7">
        <f t="shared" ca="1" si="119"/>
        <v>20091.457701597119</v>
      </c>
      <c r="BG78" s="7">
        <f t="shared" ca="1" si="119"/>
        <v>21125.087527008189</v>
      </c>
      <c r="BH78" s="7">
        <f ca="1">SUM(BH70:BH77)</f>
        <v>22129.110758820054</v>
      </c>
      <c r="BI78" s="7">
        <f ca="1">SUM(BI70:BI77)</f>
        <v>23258.896712170499</v>
      </c>
      <c r="BM78" s="22"/>
      <c r="BN78"/>
      <c r="BO78"/>
      <c r="BP78"/>
      <c r="BQ78"/>
      <c r="BR78"/>
      <c r="BS78"/>
    </row>
    <row r="79" spans="1:71" x14ac:dyDescent="0.25"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</row>
    <row r="80" spans="1:71" x14ac:dyDescent="0.25">
      <c r="C80" t="s">
        <v>193</v>
      </c>
      <c r="D80" t="s">
        <v>32</v>
      </c>
      <c r="E80" s="21">
        <v>135.9</v>
      </c>
      <c r="F80" s="21">
        <v>144.5</v>
      </c>
      <c r="G80" s="21">
        <v>188</v>
      </c>
      <c r="H80" s="21">
        <v>267.89999999999998</v>
      </c>
      <c r="I80" s="21">
        <v>367.9</v>
      </c>
      <c r="J80" s="21">
        <v>427</v>
      </c>
      <c r="K80" s="21">
        <v>413</v>
      </c>
      <c r="L80" s="21">
        <v>398</v>
      </c>
      <c r="M80" s="21">
        <v>441</v>
      </c>
      <c r="N80" s="21">
        <v>397</v>
      </c>
      <c r="O80" s="21">
        <v>342</v>
      </c>
      <c r="P80" s="21">
        <v>428</v>
      </c>
      <c r="Q80" s="21">
        <v>862</v>
      </c>
      <c r="R80" s="21">
        <v>923</v>
      </c>
      <c r="S80" s="21">
        <v>673</v>
      </c>
      <c r="T80" s="21">
        <v>713</v>
      </c>
      <c r="U80" s="21">
        <v>644</v>
      </c>
      <c r="V80" s="21">
        <v>791</v>
      </c>
      <c r="W80" s="21">
        <v>653</v>
      </c>
      <c r="X80" s="21">
        <v>615</v>
      </c>
      <c r="Y80" s="21">
        <v>607</v>
      </c>
      <c r="Z80" s="21">
        <v>726</v>
      </c>
      <c r="AA80" s="21">
        <v>678</v>
      </c>
      <c r="AB80" s="5">
        <f>453+201</f>
        <v>654</v>
      </c>
      <c r="AC80" s="5">
        <f>204+141</f>
        <v>345</v>
      </c>
      <c r="AD80" s="21">
        <f>269+147</f>
        <v>416</v>
      </c>
      <c r="AE80" s="21">
        <f>283+176</f>
        <v>459</v>
      </c>
      <c r="AF80" s="21">
        <f>1028+58</f>
        <v>1086</v>
      </c>
      <c r="AG80" s="21">
        <f>287+138</f>
        <v>425</v>
      </c>
      <c r="AH80" s="5">
        <f t="shared" ref="AH80:AL80" si="120">AG80</f>
        <v>425</v>
      </c>
      <c r="AI80" s="5">
        <f t="shared" si="120"/>
        <v>425</v>
      </c>
      <c r="AJ80" s="5">
        <f t="shared" si="120"/>
        <v>425</v>
      </c>
      <c r="AK80" s="5">
        <f t="shared" si="120"/>
        <v>425</v>
      </c>
      <c r="AL80" s="5">
        <f t="shared" si="120"/>
        <v>425</v>
      </c>
      <c r="AM80" s="5">
        <f>AL80</f>
        <v>425</v>
      </c>
      <c r="AN80" s="5">
        <f>AM80</f>
        <v>425</v>
      </c>
      <c r="AO80" s="5">
        <f>AN80</f>
        <v>425</v>
      </c>
      <c r="AP80" s="5">
        <f>AO80</f>
        <v>425</v>
      </c>
      <c r="AS80" s="5">
        <f t="shared" ref="AS80:BI83" si="121">SUMIF($E$2:$AR$2,AS$2,$E80:$AR80)</f>
        <v>427</v>
      </c>
      <c r="AT80" s="5">
        <f t="shared" si="121"/>
        <v>398</v>
      </c>
      <c r="AU80" s="5">
        <f t="shared" si="121"/>
        <v>397</v>
      </c>
      <c r="AV80" s="5">
        <f t="shared" si="121"/>
        <v>428</v>
      </c>
      <c r="AW80" s="5">
        <f t="shared" si="121"/>
        <v>923</v>
      </c>
      <c r="AX80" s="5">
        <f t="shared" si="121"/>
        <v>713</v>
      </c>
      <c r="AY80" s="5">
        <f t="shared" si="121"/>
        <v>791</v>
      </c>
      <c r="AZ80" s="5">
        <f t="shared" si="121"/>
        <v>615</v>
      </c>
      <c r="BA80" s="5">
        <f t="shared" si="121"/>
        <v>726</v>
      </c>
      <c r="BB80" s="5">
        <f t="shared" si="121"/>
        <v>654</v>
      </c>
      <c r="BC80" s="5">
        <f t="shared" si="121"/>
        <v>416</v>
      </c>
      <c r="BD80" s="5">
        <f t="shared" si="121"/>
        <v>1086</v>
      </c>
      <c r="BE80" s="5">
        <f t="shared" si="121"/>
        <v>425</v>
      </c>
      <c r="BF80" s="5">
        <f t="shared" si="121"/>
        <v>425</v>
      </c>
      <c r="BG80" s="5">
        <f t="shared" si="121"/>
        <v>425</v>
      </c>
      <c r="BH80" s="5">
        <f t="shared" si="121"/>
        <v>425</v>
      </c>
      <c r="BI80" s="5">
        <f t="shared" si="121"/>
        <v>425</v>
      </c>
    </row>
    <row r="81" spans="2:71" x14ac:dyDescent="0.25">
      <c r="C81" t="s">
        <v>303</v>
      </c>
      <c r="D81" t="s">
        <v>32</v>
      </c>
      <c r="E81" s="21">
        <v>400</v>
      </c>
      <c r="F81" s="21">
        <v>398.1</v>
      </c>
      <c r="G81" s="21">
        <v>280.3</v>
      </c>
      <c r="H81" s="21">
        <v>298.5</v>
      </c>
      <c r="I81" s="21">
        <v>263.3</v>
      </c>
      <c r="J81" s="21">
        <v>554</v>
      </c>
      <c r="K81" s="21">
        <v>557</v>
      </c>
      <c r="L81" s="21">
        <v>595</v>
      </c>
      <c r="M81" s="43">
        <f t="shared" ref="M81:AB81" si="122">M40</f>
        <v>290.03572414964549</v>
      </c>
      <c r="N81" s="43">
        <f t="shared" si="122"/>
        <v>294.26373069783438</v>
      </c>
      <c r="O81" s="43">
        <f t="shared" si="122"/>
        <v>303.03475914599994</v>
      </c>
      <c r="P81" s="43">
        <f t="shared" si="122"/>
        <v>311.97361831800004</v>
      </c>
      <c r="Q81" s="43">
        <f t="shared" si="122"/>
        <v>316.48018874296338</v>
      </c>
      <c r="R81" s="43">
        <f t="shared" si="122"/>
        <v>328.6525036946158</v>
      </c>
      <c r="S81" s="43">
        <f t="shared" si="122"/>
        <v>324.70714957499996</v>
      </c>
      <c r="T81" s="43">
        <f t="shared" si="122"/>
        <v>336.193561923</v>
      </c>
      <c r="U81" s="43">
        <f t="shared" si="122"/>
        <v>321.06442500000003</v>
      </c>
      <c r="V81" s="43">
        <f t="shared" si="122"/>
        <v>252.09503000000004</v>
      </c>
      <c r="W81" s="43">
        <f t="shared" si="122"/>
        <v>269.154022</v>
      </c>
      <c r="X81" s="43">
        <f t="shared" si="122"/>
        <v>317.49383104600003</v>
      </c>
      <c r="Y81" s="43">
        <f t="shared" si="122"/>
        <v>286.46059944000001</v>
      </c>
      <c r="Z81" s="43">
        <f t="shared" si="122"/>
        <v>348.5270626520001</v>
      </c>
      <c r="AA81" s="43">
        <f t="shared" si="122"/>
        <v>281.68625611600004</v>
      </c>
      <c r="AB81" s="43">
        <f t="shared" si="122"/>
        <v>343.75271932800001</v>
      </c>
      <c r="AC81" s="43">
        <f t="shared" ref="AC81:AL81" si="123">IFERROR(AC40,0)</f>
        <v>190.56511999999998</v>
      </c>
      <c r="AD81" s="5">
        <f t="shared" si="123"/>
        <v>468</v>
      </c>
      <c r="AE81" s="5">
        <f t="shared" si="123"/>
        <v>190.56511999999998</v>
      </c>
      <c r="AF81" s="5">
        <f t="shared" si="123"/>
        <v>412.76869600000003</v>
      </c>
      <c r="AG81" s="5">
        <f t="shared" si="123"/>
        <v>218.01320487000001</v>
      </c>
      <c r="AH81" s="5">
        <f t="shared" si="123"/>
        <v>393.60104007229796</v>
      </c>
      <c r="AI81" s="5">
        <f t="shared" si="123"/>
        <v>218.66724448461002</v>
      </c>
      <c r="AJ81" s="5">
        <f t="shared" si="123"/>
        <v>393.60104007229796</v>
      </c>
      <c r="AK81" s="5">
        <f t="shared" si="123"/>
        <v>218.66724448461002</v>
      </c>
      <c r="AL81" s="5">
        <f t="shared" si="123"/>
        <v>393.60104007229796</v>
      </c>
      <c r="AM81" s="5">
        <f ca="1">IFERROR(AM40,0)</f>
        <v>307.71994191084059</v>
      </c>
      <c r="AN81" s="5">
        <f ca="1">IFERROR(AN40,0)</f>
        <v>316.48269398424731</v>
      </c>
      <c r="AO81" s="5">
        <f ca="1">IFERROR(AO40,0)</f>
        <v>320.1159126406618</v>
      </c>
      <c r="AP81" s="5">
        <f ca="1">IFERROR(AP40,0)</f>
        <v>329.35084770903893</v>
      </c>
      <c r="AS81" s="5">
        <f t="shared" si="121"/>
        <v>554</v>
      </c>
      <c r="AT81" s="5">
        <f t="shared" si="121"/>
        <v>595</v>
      </c>
      <c r="AU81" s="5">
        <f t="shared" si="121"/>
        <v>294.26373069783438</v>
      </c>
      <c r="AV81" s="5">
        <f t="shared" si="121"/>
        <v>311.97361831800004</v>
      </c>
      <c r="AW81" s="5">
        <f t="shared" si="121"/>
        <v>328.6525036946158</v>
      </c>
      <c r="AX81" s="5">
        <f t="shared" si="121"/>
        <v>336.193561923</v>
      </c>
      <c r="AY81" s="5">
        <f t="shared" si="121"/>
        <v>252.09503000000004</v>
      </c>
      <c r="AZ81" s="5">
        <f t="shared" si="121"/>
        <v>317.49383104600003</v>
      </c>
      <c r="BA81" s="5">
        <f t="shared" si="121"/>
        <v>348.5270626520001</v>
      </c>
      <c r="BB81" s="5">
        <f t="shared" si="121"/>
        <v>343.75271932800001</v>
      </c>
      <c r="BC81" s="5">
        <f t="shared" si="121"/>
        <v>468</v>
      </c>
      <c r="BD81" s="5">
        <f t="shared" si="121"/>
        <v>412.76869600000003</v>
      </c>
      <c r="BE81" s="5">
        <f t="shared" si="121"/>
        <v>393.60104007229796</v>
      </c>
      <c r="BF81" s="5">
        <f t="shared" si="121"/>
        <v>393.60104007229796</v>
      </c>
      <c r="BG81" s="5">
        <f t="shared" si="121"/>
        <v>393.60104007229796</v>
      </c>
      <c r="BH81" s="5">
        <f t="shared" ca="1" si="121"/>
        <v>316.48269398424731</v>
      </c>
      <c r="BI81" s="5">
        <f t="shared" ca="1" si="121"/>
        <v>329.35084770903893</v>
      </c>
    </row>
    <row r="82" spans="2:71" x14ac:dyDescent="0.25">
      <c r="C82" t="s">
        <v>21</v>
      </c>
      <c r="D82" t="s">
        <v>32</v>
      </c>
      <c r="E82" s="21">
        <v>2557.2000000000003</v>
      </c>
      <c r="F82" s="21">
        <v>2867.6</v>
      </c>
      <c r="G82" s="21">
        <v>3009.2999999999997</v>
      </c>
      <c r="H82" s="21">
        <v>2461.5</v>
      </c>
      <c r="I82" s="21">
        <v>2880.7</v>
      </c>
      <c r="J82" s="21">
        <v>3118</v>
      </c>
      <c r="K82" s="21">
        <v>3235</v>
      </c>
      <c r="L82" s="21">
        <v>3283</v>
      </c>
      <c r="M82" s="21">
        <v>3677</v>
      </c>
      <c r="N82" s="21">
        <v>3800</v>
      </c>
      <c r="O82" s="21">
        <v>3916</v>
      </c>
      <c r="P82" s="21">
        <v>3529</v>
      </c>
      <c r="Q82" s="21">
        <v>3794</v>
      </c>
      <c r="R82" s="21">
        <v>3938</v>
      </c>
      <c r="S82" s="21">
        <v>4692</v>
      </c>
      <c r="T82" s="21">
        <v>4704</v>
      </c>
      <c r="U82" s="21">
        <v>4745</v>
      </c>
      <c r="V82" s="21">
        <v>5022</v>
      </c>
      <c r="W82" s="21">
        <v>4410</v>
      </c>
      <c r="X82" s="21">
        <v>4754</v>
      </c>
      <c r="Y82" s="21">
        <v>4439</v>
      </c>
      <c r="Z82" s="21">
        <v>4472</v>
      </c>
      <c r="AA82" s="21">
        <v>3899</v>
      </c>
      <c r="AB82" s="21">
        <f>200+3707</f>
        <v>3907</v>
      </c>
      <c r="AC82" s="21">
        <f>381+4896</f>
        <v>5277</v>
      </c>
      <c r="AD82" s="21">
        <f>261+4469</f>
        <v>4730</v>
      </c>
      <c r="AE82" s="21">
        <f>4984+525</f>
        <v>5509</v>
      </c>
      <c r="AF82" s="21">
        <f>1058+4121</f>
        <v>5179</v>
      </c>
      <c r="AG82" s="21">
        <f>1350+4320</f>
        <v>5670</v>
      </c>
      <c r="AH82" s="5">
        <f t="shared" ref="AH82:AL82" ca="1" si="124">AG82+AH135</f>
        <v>4876.0190256926671</v>
      </c>
      <c r="AI82" s="5">
        <f t="shared" ca="1" si="124"/>
        <v>5022.3790256926668</v>
      </c>
      <c r="AJ82" s="5">
        <f t="shared" ca="1" si="124"/>
        <v>5164.2273506926667</v>
      </c>
      <c r="AK82" s="5">
        <f t="shared" ca="1" si="124"/>
        <v>5311.5617506926665</v>
      </c>
      <c r="AL82" s="5">
        <f t="shared" ca="1" si="124"/>
        <v>5454.3168005676662</v>
      </c>
      <c r="AM82" s="5">
        <f ca="1">AL82+AM135</f>
        <v>5602.6402165676654</v>
      </c>
      <c r="AN82" s="5">
        <f ca="1">AM82+AN135</f>
        <v>5746.3155921907901</v>
      </c>
      <c r="AO82" s="5">
        <f ca="1">AN82+AO135</f>
        <v>5895.6428594307899</v>
      </c>
      <c r="AP82" s="5">
        <f ca="1">AO82+AP135</f>
        <v>6040.2523656882613</v>
      </c>
      <c r="AS82" s="5">
        <f t="shared" si="121"/>
        <v>3118</v>
      </c>
      <c r="AT82" s="5">
        <f t="shared" si="121"/>
        <v>3283</v>
      </c>
      <c r="AU82" s="5">
        <f t="shared" si="121"/>
        <v>3800</v>
      </c>
      <c r="AV82" s="5">
        <f t="shared" si="121"/>
        <v>3529</v>
      </c>
      <c r="AW82" s="5">
        <f t="shared" si="121"/>
        <v>3938</v>
      </c>
      <c r="AX82" s="5">
        <f t="shared" si="121"/>
        <v>4704</v>
      </c>
      <c r="AY82" s="5">
        <f t="shared" si="121"/>
        <v>5022</v>
      </c>
      <c r="AZ82" s="5">
        <f t="shared" si="121"/>
        <v>4754</v>
      </c>
      <c r="BA82" s="5">
        <f t="shared" si="121"/>
        <v>4472</v>
      </c>
      <c r="BB82" s="5">
        <f t="shared" si="121"/>
        <v>3907</v>
      </c>
      <c r="BC82" s="5">
        <f t="shared" si="121"/>
        <v>4730</v>
      </c>
      <c r="BD82" s="5">
        <f t="shared" si="121"/>
        <v>5179</v>
      </c>
      <c r="BE82" s="5">
        <f t="shared" ca="1" si="121"/>
        <v>4876.0190256926671</v>
      </c>
      <c r="BF82" s="5">
        <f t="shared" ca="1" si="121"/>
        <v>5164.2273506926667</v>
      </c>
      <c r="BG82" s="5">
        <f t="shared" ca="1" si="121"/>
        <v>5454.3168005676662</v>
      </c>
      <c r="BH82" s="5">
        <f t="shared" ca="1" si="121"/>
        <v>5746.3155921907901</v>
      </c>
      <c r="BI82" s="5">
        <f t="shared" ca="1" si="121"/>
        <v>6040.2523656882613</v>
      </c>
    </row>
    <row r="83" spans="2:71" x14ac:dyDescent="0.25">
      <c r="C83" t="s">
        <v>22</v>
      </c>
      <c r="D83" t="s">
        <v>32</v>
      </c>
      <c r="E83" s="21">
        <f>E84-SUM(E80:E82)</f>
        <v>2861.2999999999993</v>
      </c>
      <c r="F83" s="21">
        <f t="shared" ref="F83:AG83" si="125">F84-SUM(F80:F82)</f>
        <v>2896.3</v>
      </c>
      <c r="G83" s="21">
        <f t="shared" si="125"/>
        <v>2969.4</v>
      </c>
      <c r="H83" s="21">
        <f t="shared" si="125"/>
        <v>2846.9</v>
      </c>
      <c r="I83" s="21">
        <f t="shared" si="125"/>
        <v>2574.6000000000004</v>
      </c>
      <c r="J83" s="21">
        <f t="shared" si="125"/>
        <v>2503</v>
      </c>
      <c r="K83" s="21">
        <f t="shared" si="125"/>
        <v>2406</v>
      </c>
      <c r="L83" s="21">
        <f t="shared" si="125"/>
        <v>2666</v>
      </c>
      <c r="M83" s="21">
        <f t="shared" si="125"/>
        <v>2885.9642758503542</v>
      </c>
      <c r="N83" s="21">
        <f t="shared" si="125"/>
        <v>3196.736269302166</v>
      </c>
      <c r="O83" s="21">
        <f t="shared" si="125"/>
        <v>3108.9652408540005</v>
      </c>
      <c r="P83" s="21">
        <f t="shared" si="125"/>
        <v>3299.0263816819997</v>
      </c>
      <c r="Q83" s="21">
        <f t="shared" si="125"/>
        <v>3554.5198112570361</v>
      </c>
      <c r="R83" s="21">
        <f t="shared" si="125"/>
        <v>3725.3474963053841</v>
      </c>
      <c r="S83" s="21">
        <f t="shared" si="125"/>
        <v>3581.2928504250003</v>
      </c>
      <c r="T83" s="21">
        <f t="shared" si="125"/>
        <v>3417.8064380770002</v>
      </c>
      <c r="U83" s="21">
        <f t="shared" si="125"/>
        <v>3557.9355749999995</v>
      </c>
      <c r="V83" s="21">
        <f t="shared" si="125"/>
        <v>4015.9049699999996</v>
      </c>
      <c r="W83" s="21">
        <f t="shared" si="125"/>
        <v>3878.8459780000003</v>
      </c>
      <c r="X83" s="21">
        <f t="shared" si="125"/>
        <v>4034.5061689539998</v>
      </c>
      <c r="Y83" s="21">
        <f t="shared" si="125"/>
        <v>4523.5394005600001</v>
      </c>
      <c r="Z83" s="21">
        <f t="shared" si="125"/>
        <v>4506.4729373480004</v>
      </c>
      <c r="AA83" s="21">
        <f t="shared" si="125"/>
        <v>1731.3137438840004</v>
      </c>
      <c r="AB83" s="21">
        <f t="shared" si="125"/>
        <v>1559.2472806719998</v>
      </c>
      <c r="AC83" s="21">
        <f t="shared" si="125"/>
        <v>1657.4348799999998</v>
      </c>
      <c r="AD83" s="21">
        <f t="shared" si="125"/>
        <v>1553</v>
      </c>
      <c r="AE83" s="21">
        <f t="shared" si="125"/>
        <v>1538.4348799999998</v>
      </c>
      <c r="AF83" s="21">
        <f t="shared" si="125"/>
        <v>880.23130399999991</v>
      </c>
      <c r="AG83" s="21">
        <f t="shared" si="125"/>
        <v>2126.9867951300002</v>
      </c>
      <c r="AH83" s="5">
        <f t="shared" ref="AH83:AL83" si="126">AG83</f>
        <v>2126.9867951300002</v>
      </c>
      <c r="AI83" s="5">
        <f t="shared" si="126"/>
        <v>2126.9867951300002</v>
      </c>
      <c r="AJ83" s="5">
        <f t="shared" si="126"/>
        <v>2126.9867951300002</v>
      </c>
      <c r="AK83" s="5">
        <f t="shared" si="126"/>
        <v>2126.9867951300002</v>
      </c>
      <c r="AL83" s="5">
        <f t="shared" si="126"/>
        <v>2126.9867951300002</v>
      </c>
      <c r="AM83" s="5">
        <f>AL83</f>
        <v>2126.9867951300002</v>
      </c>
      <c r="AN83" s="5">
        <f>AM83</f>
        <v>2126.9867951300002</v>
      </c>
      <c r="AO83" s="5">
        <f>AN83</f>
        <v>2126.9867951300002</v>
      </c>
      <c r="AP83" s="5">
        <f>AO83</f>
        <v>2126.9867951300002</v>
      </c>
      <c r="AS83" s="5">
        <f t="shared" si="121"/>
        <v>2503</v>
      </c>
      <c r="AT83" s="5">
        <f t="shared" si="121"/>
        <v>2666</v>
      </c>
      <c r="AU83" s="5">
        <f t="shared" si="121"/>
        <v>3196.736269302166</v>
      </c>
      <c r="AV83" s="5">
        <f t="shared" si="121"/>
        <v>3299.0263816819997</v>
      </c>
      <c r="AW83" s="5">
        <f t="shared" si="121"/>
        <v>3725.3474963053841</v>
      </c>
      <c r="AX83" s="5">
        <f t="shared" si="121"/>
        <v>3417.8064380770002</v>
      </c>
      <c r="AY83" s="5">
        <f t="shared" si="121"/>
        <v>4015.9049699999996</v>
      </c>
      <c r="AZ83" s="5">
        <f t="shared" si="121"/>
        <v>4034.5061689539998</v>
      </c>
      <c r="BA83" s="5">
        <f t="shared" si="121"/>
        <v>4506.4729373480004</v>
      </c>
      <c r="BB83" s="5">
        <f t="shared" si="121"/>
        <v>1559.2472806719998</v>
      </c>
      <c r="BC83" s="5">
        <f t="shared" si="121"/>
        <v>1553</v>
      </c>
      <c r="BD83" s="5">
        <f t="shared" si="121"/>
        <v>880.23130399999991</v>
      </c>
      <c r="BE83" s="5">
        <f t="shared" si="121"/>
        <v>2126.9867951300002</v>
      </c>
      <c r="BF83" s="5">
        <f t="shared" si="121"/>
        <v>2126.9867951300002</v>
      </c>
      <c r="BG83" s="5">
        <f t="shared" si="121"/>
        <v>2126.9867951300002</v>
      </c>
      <c r="BH83" s="5">
        <f t="shared" si="121"/>
        <v>2126.9867951300002</v>
      </c>
      <c r="BI83" s="5">
        <f t="shared" si="121"/>
        <v>2126.9867951300002</v>
      </c>
    </row>
    <row r="84" spans="2:71" s="6" customFormat="1" x14ac:dyDescent="0.25">
      <c r="C84" s="6" t="s">
        <v>23</v>
      </c>
      <c r="D84" s="6" t="s">
        <v>32</v>
      </c>
      <c r="E84" s="7">
        <v>5954.4</v>
      </c>
      <c r="F84" s="7">
        <v>6306.5</v>
      </c>
      <c r="G84" s="7">
        <v>6447</v>
      </c>
      <c r="H84" s="7">
        <v>5874.8</v>
      </c>
      <c r="I84" s="7">
        <v>6086.5</v>
      </c>
      <c r="J84" s="7">
        <v>6602</v>
      </c>
      <c r="K84" s="7">
        <v>6611</v>
      </c>
      <c r="L84" s="7">
        <v>6942</v>
      </c>
      <c r="M84" s="7">
        <v>7294</v>
      </c>
      <c r="N84" s="7">
        <v>7688</v>
      </c>
      <c r="O84" s="7">
        <v>7670</v>
      </c>
      <c r="P84" s="7">
        <v>7568</v>
      </c>
      <c r="Q84" s="7">
        <v>8527</v>
      </c>
      <c r="R84" s="7">
        <v>8915</v>
      </c>
      <c r="S84" s="7">
        <v>9271</v>
      </c>
      <c r="T84" s="7">
        <v>9171</v>
      </c>
      <c r="U84" s="7">
        <v>9268</v>
      </c>
      <c r="V84" s="7">
        <v>10081</v>
      </c>
      <c r="W84" s="7">
        <v>9211</v>
      </c>
      <c r="X84" s="7">
        <v>9721</v>
      </c>
      <c r="Y84" s="7">
        <v>9856</v>
      </c>
      <c r="Z84" s="7">
        <v>10053</v>
      </c>
      <c r="AA84" s="7">
        <v>6590</v>
      </c>
      <c r="AB84" s="7">
        <v>6464</v>
      </c>
      <c r="AC84" s="7">
        <v>7470</v>
      </c>
      <c r="AD84" s="7">
        <v>7167</v>
      </c>
      <c r="AE84" s="7">
        <v>7697</v>
      </c>
      <c r="AF84" s="7">
        <v>7558</v>
      </c>
      <c r="AG84" s="7">
        <v>8440</v>
      </c>
      <c r="AH84" s="7">
        <f t="shared" ref="AH84:AL84" ca="1" si="127">SUM(AH80:AH83)</f>
        <v>7821.6068608949654</v>
      </c>
      <c r="AI84" s="7">
        <f t="shared" ca="1" si="127"/>
        <v>7793.033065307277</v>
      </c>
      <c r="AJ84" s="7">
        <f t="shared" ca="1" si="127"/>
        <v>8109.815185894965</v>
      </c>
      <c r="AK84" s="7">
        <f t="shared" ca="1" si="127"/>
        <v>8082.2157903072766</v>
      </c>
      <c r="AL84" s="7">
        <f t="shared" ca="1" si="127"/>
        <v>8399.9046357699644</v>
      </c>
      <c r="AM84" s="7">
        <f ca="1">SUM(AM80:AM83)</f>
        <v>8462.3469536085067</v>
      </c>
      <c r="AN84" s="7">
        <f ca="1">SUM(AN80:AN83)</f>
        <v>8614.7850813050372</v>
      </c>
      <c r="AO84" s="7">
        <f ca="1">SUM(AO80:AO83)</f>
        <v>8767.7455672014512</v>
      </c>
      <c r="AP84" s="7">
        <f ca="1">SUM(AP80:AP83)</f>
        <v>8921.5900085273006</v>
      </c>
      <c r="AR84" s="22"/>
      <c r="AS84" s="7">
        <f>SUM(AS80:AS83)</f>
        <v>6602</v>
      </c>
      <c r="AT84" s="7">
        <f>SUM(AT80:AT83)</f>
        <v>6942</v>
      </c>
      <c r="AU84" s="7">
        <f>SUM(AU80:AU83)</f>
        <v>7688</v>
      </c>
      <c r="AV84" s="7">
        <f t="shared" ref="AV84:BF84" si="128">SUM(AV80:AV83)</f>
        <v>7568</v>
      </c>
      <c r="AW84" s="7">
        <f t="shared" si="128"/>
        <v>8915</v>
      </c>
      <c r="AX84" s="7">
        <f t="shared" si="128"/>
        <v>9171</v>
      </c>
      <c r="AY84" s="7">
        <f t="shared" si="128"/>
        <v>10081</v>
      </c>
      <c r="AZ84" s="7">
        <f t="shared" si="128"/>
        <v>9721</v>
      </c>
      <c r="BA84" s="7">
        <f t="shared" si="128"/>
        <v>10053</v>
      </c>
      <c r="BB84" s="7">
        <f t="shared" si="128"/>
        <v>6464</v>
      </c>
      <c r="BC84" s="7">
        <f t="shared" si="128"/>
        <v>7167</v>
      </c>
      <c r="BD84" s="7">
        <f t="shared" si="128"/>
        <v>7558</v>
      </c>
      <c r="BE84" s="7">
        <f t="shared" ca="1" si="128"/>
        <v>7821.6068608949654</v>
      </c>
      <c r="BF84" s="7">
        <f t="shared" ca="1" si="128"/>
        <v>8109.815185894965</v>
      </c>
      <c r="BG84" s="7">
        <f ca="1">SUM(BG80:BG83)</f>
        <v>8399.9046357699644</v>
      </c>
      <c r="BH84" s="7">
        <f ca="1">SUM(BH80:BH83)</f>
        <v>8614.7850813050372</v>
      </c>
      <c r="BI84" s="7">
        <f ca="1">SUM(BI80:BI83)</f>
        <v>8921.5900085273006</v>
      </c>
      <c r="BM84" s="22"/>
      <c r="BN84"/>
      <c r="BO84"/>
      <c r="BP84"/>
      <c r="BQ84"/>
      <c r="BR84"/>
      <c r="BS84"/>
    </row>
    <row r="85" spans="2:71" x14ac:dyDescent="0.25"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</row>
    <row r="86" spans="2:71" s="6" customFormat="1" x14ac:dyDescent="0.25">
      <c r="C86" s="6" t="s">
        <v>24</v>
      </c>
      <c r="D86" s="6" t="s">
        <v>32</v>
      </c>
      <c r="E86" s="7">
        <f t="shared" ref="E86:P86" si="129">E78-E84</f>
        <v>8661.7999999999993</v>
      </c>
      <c r="F86" s="7">
        <f t="shared" si="129"/>
        <v>8227.4000000000015</v>
      </c>
      <c r="G86" s="7">
        <f t="shared" si="129"/>
        <v>7804.4000000000033</v>
      </c>
      <c r="H86" s="7">
        <f t="shared" si="129"/>
        <v>8194.8999999999978</v>
      </c>
      <c r="I86" s="7">
        <f t="shared" si="129"/>
        <v>8232.6999999999989</v>
      </c>
      <c r="J86" s="7">
        <f t="shared" si="129"/>
        <v>8298</v>
      </c>
      <c r="K86" s="7">
        <f t="shared" si="129"/>
        <v>8555</v>
      </c>
      <c r="L86" s="7">
        <f t="shared" si="129"/>
        <v>8787</v>
      </c>
      <c r="M86" s="7">
        <f t="shared" si="129"/>
        <v>9287</v>
      </c>
      <c r="N86" s="7">
        <f t="shared" si="129"/>
        <v>9254</v>
      </c>
      <c r="O86" s="7">
        <f t="shared" si="129"/>
        <v>9762</v>
      </c>
      <c r="P86" s="7">
        <f t="shared" si="129"/>
        <v>9927</v>
      </c>
      <c r="Q86" s="7">
        <f t="shared" ref="Q86:AF86" si="130">Q78-Q84</f>
        <v>10340</v>
      </c>
      <c r="R86" s="7">
        <f t="shared" si="130"/>
        <v>10376</v>
      </c>
      <c r="S86" s="7">
        <f t="shared" si="130"/>
        <v>10263</v>
      </c>
      <c r="T86" s="7">
        <f t="shared" si="130"/>
        <v>9828</v>
      </c>
      <c r="U86" s="7">
        <f t="shared" si="130"/>
        <v>9993</v>
      </c>
      <c r="V86" s="7">
        <f t="shared" si="130"/>
        <v>9150</v>
      </c>
      <c r="W86" s="7">
        <f t="shared" si="130"/>
        <v>9201</v>
      </c>
      <c r="X86" s="7">
        <f t="shared" si="130"/>
        <v>9584</v>
      </c>
      <c r="Y86" s="7">
        <f t="shared" si="130"/>
        <v>10160</v>
      </c>
      <c r="Z86" s="7">
        <f t="shared" si="130"/>
        <v>10361</v>
      </c>
      <c r="AA86" s="7">
        <f t="shared" si="130"/>
        <v>10368</v>
      </c>
      <c r="AB86" s="7">
        <f t="shared" si="130"/>
        <v>10176</v>
      </c>
      <c r="AC86" s="7">
        <f t="shared" si="130"/>
        <v>10073</v>
      </c>
      <c r="AD86" s="7">
        <f t="shared" si="130"/>
        <v>9893</v>
      </c>
      <c r="AE86" s="7">
        <f t="shared" si="130"/>
        <v>9942</v>
      </c>
      <c r="AF86" s="7">
        <f t="shared" si="130"/>
        <v>10185</v>
      </c>
      <c r="AG86" s="7">
        <f t="shared" ref="AG86:AL86" si="131">AG78-AG84</f>
        <v>10345</v>
      </c>
      <c r="AH86" s="7">
        <f t="shared" ca="1" si="131"/>
        <v>11240.016159649495</v>
      </c>
      <c r="AI86" s="7">
        <f t="shared" ca="1" si="131"/>
        <v>11706.838350454673</v>
      </c>
      <c r="AJ86" s="7">
        <f t="shared" ca="1" si="131"/>
        <v>11981.642515702155</v>
      </c>
      <c r="AK86" s="7">
        <f t="shared" ca="1" si="131"/>
        <v>12431.810929184288</v>
      </c>
      <c r="AL86" s="7">
        <f t="shared" ca="1" si="131"/>
        <v>12725.182891238224</v>
      </c>
      <c r="AM86" s="7">
        <f ca="1">AM78-AM84</f>
        <v>13114.798201791749</v>
      </c>
      <c r="AN86" s="7">
        <f ca="1">AN78-AN84</f>
        <v>13514.325677515017</v>
      </c>
      <c r="AO86" s="7">
        <f ca="1">AO78-AO84</f>
        <v>13920.63286138777</v>
      </c>
      <c r="AP86" s="7">
        <f ca="1">AP78-AP84</f>
        <v>14337.306703643198</v>
      </c>
      <c r="AR86" s="22"/>
      <c r="AS86" s="7">
        <f>AS78-AS84</f>
        <v>8298</v>
      </c>
      <c r="AT86" s="7">
        <f>AT78-AT84</f>
        <v>8787</v>
      </c>
      <c r="AU86" s="7">
        <f>AU78-AU84</f>
        <v>9254</v>
      </c>
      <c r="AV86" s="7">
        <f t="shared" ref="AV86:BF86" si="132">AV78-AV84</f>
        <v>9927</v>
      </c>
      <c r="AW86" s="7">
        <f t="shared" si="132"/>
        <v>10376</v>
      </c>
      <c r="AX86" s="7">
        <f t="shared" si="132"/>
        <v>9828</v>
      </c>
      <c r="AY86" s="7">
        <f t="shared" si="132"/>
        <v>9150</v>
      </c>
      <c r="AZ86" s="7">
        <f t="shared" si="132"/>
        <v>9584</v>
      </c>
      <c r="BA86" s="7">
        <f t="shared" si="132"/>
        <v>10361</v>
      </c>
      <c r="BB86" s="7">
        <f t="shared" si="132"/>
        <v>10176</v>
      </c>
      <c r="BC86" s="7">
        <f t="shared" si="132"/>
        <v>9893</v>
      </c>
      <c r="BD86" s="7">
        <f t="shared" si="132"/>
        <v>10185</v>
      </c>
      <c r="BE86" s="7">
        <f t="shared" ca="1" si="132"/>
        <v>11240.016159649495</v>
      </c>
      <c r="BF86" s="7">
        <f t="shared" ca="1" si="132"/>
        <v>11981.642515702155</v>
      </c>
      <c r="BG86" s="7">
        <f ca="1">BG78-BG84</f>
        <v>12725.182891238224</v>
      </c>
      <c r="BH86" s="7">
        <f ca="1">BH78-BH84</f>
        <v>13514.325677515017</v>
      </c>
      <c r="BI86" s="7">
        <f ca="1">BI78-BI84</f>
        <v>14337.306703643198</v>
      </c>
      <c r="BM86" s="22"/>
      <c r="BN86"/>
      <c r="BO86"/>
      <c r="BP86"/>
      <c r="BQ86"/>
      <c r="BR86"/>
      <c r="BS86"/>
    </row>
    <row r="87" spans="2:71" x14ac:dyDescent="0.25"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</row>
    <row r="88" spans="2:71" x14ac:dyDescent="0.25">
      <c r="C88" t="s">
        <v>53</v>
      </c>
      <c r="D88" t="s">
        <v>32</v>
      </c>
      <c r="E88" s="21">
        <v>8312.1</v>
      </c>
      <c r="F88" s="21">
        <v>7962.5</v>
      </c>
      <c r="G88" s="21">
        <v>7958.3</v>
      </c>
      <c r="H88" s="21">
        <v>8348.1</v>
      </c>
      <c r="I88" s="21">
        <v>8347.6</v>
      </c>
      <c r="J88" s="21">
        <v>8420</v>
      </c>
      <c r="K88" s="21">
        <v>8507</v>
      </c>
      <c r="L88" s="21">
        <v>8560</v>
      </c>
      <c r="M88" s="21">
        <v>8625</v>
      </c>
      <c r="N88" s="21">
        <v>8681</v>
      </c>
      <c r="O88" s="21">
        <v>8737</v>
      </c>
      <c r="P88" s="21">
        <v>8790</v>
      </c>
      <c r="Q88" s="21">
        <v>8849</v>
      </c>
      <c r="R88" s="21">
        <v>8850</v>
      </c>
      <c r="S88" s="21">
        <v>8734</v>
      </c>
      <c r="T88" s="21">
        <v>8657</v>
      </c>
      <c r="U88" s="21">
        <v>8657</v>
      </c>
      <c r="V88" s="21">
        <v>8656</v>
      </c>
      <c r="W88" s="21">
        <v>8661</v>
      </c>
      <c r="X88" s="21">
        <v>8663</v>
      </c>
      <c r="Y88" s="21">
        <v>8656</v>
      </c>
      <c r="Z88" s="21">
        <v>8655</v>
      </c>
      <c r="AA88" s="21">
        <v>8649</v>
      </c>
      <c r="AB88" s="21">
        <v>8652</v>
      </c>
      <c r="AC88" s="21">
        <v>8642</v>
      </c>
      <c r="AD88" s="21">
        <v>8644</v>
      </c>
      <c r="AE88" s="21">
        <v>8634</v>
      </c>
      <c r="AF88" s="21">
        <v>8694</v>
      </c>
      <c r="AG88" s="21">
        <v>8783</v>
      </c>
      <c r="AH88" s="5">
        <f t="shared" ref="AH88:AL88" si="133">AH98</f>
        <v>8826.6026409740007</v>
      </c>
      <c r="AI88" s="5">
        <f t="shared" si="133"/>
        <v>8826.6026409740007</v>
      </c>
      <c r="AJ88" s="5">
        <f t="shared" si="133"/>
        <v>8826.6026409740007</v>
      </c>
      <c r="AK88" s="5">
        <f t="shared" si="133"/>
        <v>8826.6026409740007</v>
      </c>
      <c r="AL88" s="5">
        <f t="shared" si="133"/>
        <v>8826.6026409740007</v>
      </c>
      <c r="AM88" s="5">
        <f>AM98</f>
        <v>8826.6026409740007</v>
      </c>
      <c r="AN88" s="5">
        <f ca="1">AN98</f>
        <v>8826.6026409740007</v>
      </c>
      <c r="AO88" s="5">
        <f ca="1">AO98</f>
        <v>8826.6026409740007</v>
      </c>
      <c r="AP88" s="5">
        <f ca="1">AP98</f>
        <v>8826.6026409740007</v>
      </c>
      <c r="AS88" s="5">
        <f t="shared" ref="AS88:BI89" si="134">SUMIF($E$2:$AR$2,AS$2,$E88:$AR88)</f>
        <v>8420</v>
      </c>
      <c r="AT88" s="5">
        <f t="shared" si="134"/>
        <v>8560</v>
      </c>
      <c r="AU88" s="5">
        <f t="shared" si="134"/>
        <v>8681</v>
      </c>
      <c r="AV88" s="5">
        <f t="shared" si="134"/>
        <v>8790</v>
      </c>
      <c r="AW88" s="5">
        <f t="shared" si="134"/>
        <v>8850</v>
      </c>
      <c r="AX88" s="5">
        <f t="shared" si="134"/>
        <v>8657</v>
      </c>
      <c r="AY88" s="5">
        <f t="shared" si="134"/>
        <v>8656</v>
      </c>
      <c r="AZ88" s="5">
        <f t="shared" si="134"/>
        <v>8663</v>
      </c>
      <c r="BA88" s="5">
        <f t="shared" si="134"/>
        <v>8655</v>
      </c>
      <c r="BB88" s="5">
        <f t="shared" si="134"/>
        <v>8652</v>
      </c>
      <c r="BC88" s="5">
        <f t="shared" si="134"/>
        <v>8644</v>
      </c>
      <c r="BD88" s="5">
        <f t="shared" si="134"/>
        <v>8694</v>
      </c>
      <c r="BE88" s="5">
        <f t="shared" si="134"/>
        <v>8826.6026409740007</v>
      </c>
      <c r="BF88" s="5">
        <f t="shared" si="134"/>
        <v>8826.6026409740007</v>
      </c>
      <c r="BG88" s="5">
        <f t="shared" si="134"/>
        <v>8826.6026409740007</v>
      </c>
      <c r="BH88" s="5">
        <f t="shared" ca="1" si="134"/>
        <v>8826.6026409740007</v>
      </c>
      <c r="BI88" s="5">
        <f t="shared" ca="1" si="134"/>
        <v>8826.6026409740007</v>
      </c>
    </row>
    <row r="89" spans="2:71" x14ac:dyDescent="0.25">
      <c r="C89" t="s">
        <v>54</v>
      </c>
      <c r="D89" t="s">
        <v>32</v>
      </c>
      <c r="E89" s="21">
        <v>349.69999999999891</v>
      </c>
      <c r="F89" s="21">
        <v>264.90000000000146</v>
      </c>
      <c r="G89" s="21">
        <v>-153.89999999999691</v>
      </c>
      <c r="H89" s="21">
        <v>-153.20000000000255</v>
      </c>
      <c r="I89" s="21">
        <v>-114.90000000000146</v>
      </c>
      <c r="J89" s="21">
        <v>-122</v>
      </c>
      <c r="K89" s="21">
        <v>48</v>
      </c>
      <c r="L89" s="21">
        <v>227</v>
      </c>
      <c r="M89" s="21">
        <v>662</v>
      </c>
      <c r="N89" s="21">
        <v>573</v>
      </c>
      <c r="O89" s="21">
        <v>1025</v>
      </c>
      <c r="P89" s="21">
        <v>1137</v>
      </c>
      <c r="Q89" s="21">
        <v>1491</v>
      </c>
      <c r="R89" s="21">
        <v>1526</v>
      </c>
      <c r="S89" s="21">
        <v>1529</v>
      </c>
      <c r="T89" s="21">
        <v>1171</v>
      </c>
      <c r="U89" s="21">
        <v>1336</v>
      </c>
      <c r="V89" s="21">
        <v>494</v>
      </c>
      <c r="W89" s="21">
        <v>540</v>
      </c>
      <c r="X89" s="21">
        <v>921</v>
      </c>
      <c r="Y89" s="21">
        <v>1504</v>
      </c>
      <c r="Z89" s="21">
        <v>1706</v>
      </c>
      <c r="AA89" s="21">
        <v>1719</v>
      </c>
      <c r="AB89" s="21">
        <f>29+1495</f>
        <v>1524</v>
      </c>
      <c r="AC89" s="21">
        <f>25+1406</f>
        <v>1431</v>
      </c>
      <c r="AD89" s="21">
        <f>36+1213</f>
        <v>1249</v>
      </c>
      <c r="AE89" s="21">
        <f>41+1267</f>
        <v>1308</v>
      </c>
      <c r="AF89" s="21">
        <f>56+1435</f>
        <v>1491</v>
      </c>
      <c r="AG89" s="21">
        <f>53+1509</f>
        <v>1562</v>
      </c>
      <c r="AH89" s="5">
        <f t="shared" ref="AH89:AL89" ca="1" si="135">AH105</f>
        <v>2413.4135186754938</v>
      </c>
      <c r="AI89" s="5">
        <f t="shared" ca="1" si="135"/>
        <v>2880.235709480673</v>
      </c>
      <c r="AJ89" s="5">
        <f t="shared" ca="1" si="135"/>
        <v>3155.0398747281561</v>
      </c>
      <c r="AK89" s="5">
        <f t="shared" ca="1" si="135"/>
        <v>3605.2082882102877</v>
      </c>
      <c r="AL89" s="5">
        <f t="shared" ca="1" si="135"/>
        <v>3898.5802502642237</v>
      </c>
      <c r="AM89" s="5">
        <f ca="1">AM105</f>
        <v>4288.195560817745</v>
      </c>
      <c r="AN89" s="5">
        <f ca="1">AN105</f>
        <v>4687.7230365410132</v>
      </c>
      <c r="AO89" s="5">
        <f ca="1">AO105</f>
        <v>5094.0302204137679</v>
      </c>
      <c r="AP89" s="5">
        <f ca="1">AP105</f>
        <v>5510.7040626691987</v>
      </c>
      <c r="AS89" s="5">
        <f t="shared" si="134"/>
        <v>-122</v>
      </c>
      <c r="AT89" s="5">
        <f t="shared" si="134"/>
        <v>227</v>
      </c>
      <c r="AU89" s="5">
        <f t="shared" si="134"/>
        <v>573</v>
      </c>
      <c r="AV89" s="5">
        <f t="shared" si="134"/>
        <v>1137</v>
      </c>
      <c r="AW89" s="5">
        <f t="shared" si="134"/>
        <v>1526</v>
      </c>
      <c r="AX89" s="5">
        <f t="shared" si="134"/>
        <v>1171</v>
      </c>
      <c r="AY89" s="5">
        <f t="shared" si="134"/>
        <v>494</v>
      </c>
      <c r="AZ89" s="5">
        <f t="shared" si="134"/>
        <v>921</v>
      </c>
      <c r="BA89" s="5">
        <f t="shared" si="134"/>
        <v>1706</v>
      </c>
      <c r="BB89" s="5">
        <f t="shared" si="134"/>
        <v>1524</v>
      </c>
      <c r="BC89" s="5">
        <f t="shared" si="134"/>
        <v>1249</v>
      </c>
      <c r="BD89" s="5">
        <f t="shared" si="134"/>
        <v>1491</v>
      </c>
      <c r="BE89" s="5">
        <f t="shared" ca="1" si="134"/>
        <v>2413.4135186754938</v>
      </c>
      <c r="BF89" s="5">
        <f t="shared" ca="1" si="134"/>
        <v>3155.0398747281561</v>
      </c>
      <c r="BG89" s="5">
        <f t="shared" ca="1" si="134"/>
        <v>3898.5802502642237</v>
      </c>
      <c r="BH89" s="5">
        <f t="shared" ca="1" si="134"/>
        <v>4687.7230365410132</v>
      </c>
      <c r="BI89" s="5">
        <f t="shared" ca="1" si="134"/>
        <v>5510.7040626691987</v>
      </c>
    </row>
    <row r="90" spans="2:71" s="6" customFormat="1" x14ac:dyDescent="0.25">
      <c r="C90" s="6" t="s">
        <v>55</v>
      </c>
      <c r="D90" s="6" t="s">
        <v>32</v>
      </c>
      <c r="E90" s="7">
        <f t="shared" ref="E90:P90" si="136">SUM(E88:E89)</f>
        <v>8661.7999999999993</v>
      </c>
      <c r="F90" s="7">
        <f t="shared" si="136"/>
        <v>8227.4000000000015</v>
      </c>
      <c r="G90" s="7">
        <f t="shared" si="136"/>
        <v>7804.4000000000033</v>
      </c>
      <c r="H90" s="7">
        <f t="shared" si="136"/>
        <v>8194.8999999999978</v>
      </c>
      <c r="I90" s="7">
        <f t="shared" si="136"/>
        <v>8232.6999999999989</v>
      </c>
      <c r="J90" s="7">
        <f t="shared" si="136"/>
        <v>8298</v>
      </c>
      <c r="K90" s="7">
        <f t="shared" si="136"/>
        <v>8555</v>
      </c>
      <c r="L90" s="7">
        <f t="shared" si="136"/>
        <v>8787</v>
      </c>
      <c r="M90" s="7">
        <f t="shared" si="136"/>
        <v>9287</v>
      </c>
      <c r="N90" s="7">
        <f t="shared" si="136"/>
        <v>9254</v>
      </c>
      <c r="O90" s="7">
        <f t="shared" si="136"/>
        <v>9762</v>
      </c>
      <c r="P90" s="7">
        <f t="shared" si="136"/>
        <v>9927</v>
      </c>
      <c r="Q90" s="7">
        <f t="shared" ref="Q90:AF90" si="137">SUM(Q88:Q89)</f>
        <v>10340</v>
      </c>
      <c r="R90" s="7">
        <f t="shared" si="137"/>
        <v>10376</v>
      </c>
      <c r="S90" s="7">
        <f t="shared" si="137"/>
        <v>10263</v>
      </c>
      <c r="T90" s="7">
        <f t="shared" si="137"/>
        <v>9828</v>
      </c>
      <c r="U90" s="7">
        <f t="shared" si="137"/>
        <v>9993</v>
      </c>
      <c r="V90" s="7">
        <f t="shared" si="137"/>
        <v>9150</v>
      </c>
      <c r="W90" s="7">
        <f t="shared" si="137"/>
        <v>9201</v>
      </c>
      <c r="X90" s="7">
        <f t="shared" si="137"/>
        <v>9584</v>
      </c>
      <c r="Y90" s="7">
        <f t="shared" si="137"/>
        <v>10160</v>
      </c>
      <c r="Z90" s="7">
        <f t="shared" si="137"/>
        <v>10361</v>
      </c>
      <c r="AA90" s="7">
        <f t="shared" si="137"/>
        <v>10368</v>
      </c>
      <c r="AB90" s="7">
        <f t="shared" si="137"/>
        <v>10176</v>
      </c>
      <c r="AC90" s="7">
        <f t="shared" si="137"/>
        <v>10073</v>
      </c>
      <c r="AD90" s="7">
        <f t="shared" si="137"/>
        <v>9893</v>
      </c>
      <c r="AE90" s="7">
        <f t="shared" si="137"/>
        <v>9942</v>
      </c>
      <c r="AF90" s="7">
        <f t="shared" si="137"/>
        <v>10185</v>
      </c>
      <c r="AG90" s="7">
        <f t="shared" ref="AG90:AL90" si="138">SUM(AG88:AG89)</f>
        <v>10345</v>
      </c>
      <c r="AH90" s="7">
        <f t="shared" ca="1" si="138"/>
        <v>11240.016159649495</v>
      </c>
      <c r="AI90" s="7">
        <f t="shared" ca="1" si="138"/>
        <v>11706.838350454673</v>
      </c>
      <c r="AJ90" s="7">
        <f t="shared" ca="1" si="138"/>
        <v>11981.642515702157</v>
      </c>
      <c r="AK90" s="7">
        <f t="shared" ca="1" si="138"/>
        <v>12431.810929184288</v>
      </c>
      <c r="AL90" s="7">
        <f t="shared" ca="1" si="138"/>
        <v>12725.182891238224</v>
      </c>
      <c r="AM90" s="7">
        <f ca="1">SUM(AM88:AM89)</f>
        <v>13114.798201791746</v>
      </c>
      <c r="AN90" s="7">
        <f ca="1">SUM(AN88:AN89)</f>
        <v>13514.325677515015</v>
      </c>
      <c r="AO90" s="7">
        <f ca="1">SUM(AO88:AO89)</f>
        <v>13920.632861387769</v>
      </c>
      <c r="AP90" s="7">
        <f ca="1">SUM(AP88:AP89)</f>
        <v>14337.3067036432</v>
      </c>
      <c r="AR90" s="22"/>
      <c r="AS90" s="7">
        <f>SUM(AS88:AS89)</f>
        <v>8298</v>
      </c>
      <c r="AT90" s="7">
        <f>SUM(AT88:AT89)</f>
        <v>8787</v>
      </c>
      <c r="AU90" s="7">
        <f>SUM(AU88:AU89)</f>
        <v>9254</v>
      </c>
      <c r="AV90" s="7">
        <f t="shared" ref="AV90:BF90" si="139">SUM(AV88:AV89)</f>
        <v>9927</v>
      </c>
      <c r="AW90" s="7">
        <f t="shared" si="139"/>
        <v>10376</v>
      </c>
      <c r="AX90" s="7">
        <f t="shared" si="139"/>
        <v>9828</v>
      </c>
      <c r="AY90" s="7">
        <f t="shared" si="139"/>
        <v>9150</v>
      </c>
      <c r="AZ90" s="7">
        <f t="shared" si="139"/>
        <v>9584</v>
      </c>
      <c r="BA90" s="7">
        <f t="shared" si="139"/>
        <v>10361</v>
      </c>
      <c r="BB90" s="7">
        <f t="shared" si="139"/>
        <v>10176</v>
      </c>
      <c r="BC90" s="7">
        <f t="shared" si="139"/>
        <v>9893</v>
      </c>
      <c r="BD90" s="7">
        <f t="shared" si="139"/>
        <v>10185</v>
      </c>
      <c r="BE90" s="7">
        <f t="shared" ca="1" si="139"/>
        <v>11240.016159649495</v>
      </c>
      <c r="BF90" s="7">
        <f t="shared" ca="1" si="139"/>
        <v>11981.642515702157</v>
      </c>
      <c r="BG90" s="7">
        <f ca="1">SUM(BG88:BG89)</f>
        <v>12725.182891238224</v>
      </c>
      <c r="BH90" s="7">
        <f ca="1">SUM(BH88:BH89)</f>
        <v>13514.325677515015</v>
      </c>
      <c r="BI90" s="7">
        <f ca="1">SUM(BI88:BI89)</f>
        <v>14337.3067036432</v>
      </c>
      <c r="BM90" s="22"/>
      <c r="BN90"/>
      <c r="BO90"/>
      <c r="BP90"/>
      <c r="BQ90"/>
      <c r="BR90"/>
      <c r="BS90"/>
    </row>
    <row r="91" spans="2:71" x14ac:dyDescent="0.25"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</row>
    <row r="92" spans="2:71" x14ac:dyDescent="0.25">
      <c r="C92" t="s">
        <v>56</v>
      </c>
      <c r="E92" s="32">
        <f t="shared" ref="E92:P92" si="140">E86-E90</f>
        <v>0</v>
      </c>
      <c r="F92" s="32">
        <f t="shared" si="140"/>
        <v>0</v>
      </c>
      <c r="G92" s="32">
        <f t="shared" si="140"/>
        <v>0</v>
      </c>
      <c r="H92" s="32">
        <f t="shared" si="140"/>
        <v>0</v>
      </c>
      <c r="I92" s="32">
        <f t="shared" si="140"/>
        <v>0</v>
      </c>
      <c r="J92" s="32">
        <f t="shared" si="140"/>
        <v>0</v>
      </c>
      <c r="K92" s="32">
        <f t="shared" si="140"/>
        <v>0</v>
      </c>
      <c r="L92" s="32">
        <f t="shared" si="140"/>
        <v>0</v>
      </c>
      <c r="M92" s="32">
        <f t="shared" si="140"/>
        <v>0</v>
      </c>
      <c r="N92" s="32">
        <f t="shared" si="140"/>
        <v>0</v>
      </c>
      <c r="O92" s="32">
        <f t="shared" si="140"/>
        <v>0</v>
      </c>
      <c r="P92" s="32">
        <f t="shared" si="140"/>
        <v>0</v>
      </c>
      <c r="Q92" s="32">
        <f t="shared" ref="Q92:AF92" si="141">Q86-Q90</f>
        <v>0</v>
      </c>
      <c r="R92" s="32">
        <f t="shared" si="141"/>
        <v>0</v>
      </c>
      <c r="S92" s="32">
        <f t="shared" si="141"/>
        <v>0</v>
      </c>
      <c r="T92" s="32">
        <f t="shared" si="141"/>
        <v>0</v>
      </c>
      <c r="U92" s="32">
        <f t="shared" si="141"/>
        <v>0</v>
      </c>
      <c r="V92" s="32">
        <f t="shared" si="141"/>
        <v>0</v>
      </c>
      <c r="W92" s="32">
        <f t="shared" si="141"/>
        <v>0</v>
      </c>
      <c r="X92" s="32">
        <f t="shared" si="141"/>
        <v>0</v>
      </c>
      <c r="Y92" s="32">
        <f t="shared" si="141"/>
        <v>0</v>
      </c>
      <c r="Z92" s="32">
        <f t="shared" si="141"/>
        <v>0</v>
      </c>
      <c r="AA92" s="32">
        <f t="shared" si="141"/>
        <v>0</v>
      </c>
      <c r="AB92" s="32">
        <f t="shared" si="141"/>
        <v>0</v>
      </c>
      <c r="AC92" s="32">
        <f t="shared" si="141"/>
        <v>0</v>
      </c>
      <c r="AD92" s="32">
        <f t="shared" si="141"/>
        <v>0</v>
      </c>
      <c r="AE92" s="32">
        <f t="shared" si="141"/>
        <v>0</v>
      </c>
      <c r="AF92" s="32">
        <f t="shared" si="141"/>
        <v>0</v>
      </c>
      <c r="AG92" s="32">
        <f t="shared" ref="AG92:AL92" si="142">AG86-AG90</f>
        <v>0</v>
      </c>
      <c r="AH92" s="32">
        <f t="shared" ca="1" si="142"/>
        <v>0</v>
      </c>
      <c r="AI92" s="32">
        <f t="shared" ca="1" si="142"/>
        <v>0</v>
      </c>
      <c r="AJ92" s="32">
        <f t="shared" ca="1" si="142"/>
        <v>0</v>
      </c>
      <c r="AK92" s="32">
        <f t="shared" ca="1" si="142"/>
        <v>0</v>
      </c>
      <c r="AL92" s="32">
        <f t="shared" ca="1" si="142"/>
        <v>0</v>
      </c>
      <c r="AM92" s="32">
        <f ca="1">AM86-AM90</f>
        <v>0</v>
      </c>
      <c r="AN92" s="32">
        <f ca="1">AN86-AN90</f>
        <v>0</v>
      </c>
      <c r="AO92" s="32">
        <f ca="1">AO86-AO90</f>
        <v>0</v>
      </c>
      <c r="AP92" s="32">
        <f ca="1">AP86-AP90</f>
        <v>0</v>
      </c>
      <c r="AV92" s="32">
        <f t="shared" ref="AV92:BF92" si="143">AV86-AV90</f>
        <v>0</v>
      </c>
      <c r="AW92" s="32">
        <f t="shared" si="143"/>
        <v>0</v>
      </c>
      <c r="AX92" s="32">
        <f t="shared" si="143"/>
        <v>0</v>
      </c>
      <c r="AY92" s="32">
        <f t="shared" si="143"/>
        <v>0</v>
      </c>
      <c r="AZ92" s="32">
        <f t="shared" si="143"/>
        <v>0</v>
      </c>
      <c r="BA92" s="32">
        <f t="shared" si="143"/>
        <v>0</v>
      </c>
      <c r="BB92" s="32">
        <f t="shared" si="143"/>
        <v>0</v>
      </c>
      <c r="BC92" s="32">
        <f t="shared" si="143"/>
        <v>0</v>
      </c>
      <c r="BD92" s="32">
        <f t="shared" si="143"/>
        <v>0</v>
      </c>
      <c r="BE92" s="32">
        <f t="shared" ca="1" si="143"/>
        <v>0</v>
      </c>
      <c r="BF92" s="32">
        <f t="shared" ca="1" si="143"/>
        <v>0</v>
      </c>
      <c r="BG92" s="32">
        <f ca="1">BG86-BG90</f>
        <v>0</v>
      </c>
      <c r="BH92" s="32">
        <f ca="1">BH86-BH90</f>
        <v>0</v>
      </c>
      <c r="BI92" s="32">
        <f ca="1">BI86-BI90</f>
        <v>0</v>
      </c>
    </row>
    <row r="93" spans="2:71" x14ac:dyDescent="0.25"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>
        <f>AC92-AB92</f>
        <v>0</v>
      </c>
      <c r="AD93" s="5">
        <f t="shared" ref="AD93:AL93" si="144">AD92-AC92</f>
        <v>0</v>
      </c>
      <c r="AE93" s="5">
        <f t="shared" si="144"/>
        <v>0</v>
      </c>
      <c r="AF93" s="5">
        <f t="shared" si="144"/>
        <v>0</v>
      </c>
      <c r="AG93" s="5">
        <f t="shared" si="144"/>
        <v>0</v>
      </c>
      <c r="AH93" s="5">
        <f t="shared" ca="1" si="144"/>
        <v>0</v>
      </c>
      <c r="AI93" s="5">
        <f t="shared" ca="1" si="144"/>
        <v>0</v>
      </c>
      <c r="AJ93" s="5">
        <f t="shared" ca="1" si="144"/>
        <v>0</v>
      </c>
      <c r="AK93" s="5">
        <f t="shared" ca="1" si="144"/>
        <v>0</v>
      </c>
      <c r="AL93" s="5">
        <f t="shared" ca="1" si="144"/>
        <v>0</v>
      </c>
      <c r="AM93" s="5">
        <f ca="1">AM92-AL92</f>
        <v>0</v>
      </c>
      <c r="AN93" s="5">
        <f ca="1">AN92-AM92</f>
        <v>0</v>
      </c>
      <c r="AO93" s="5">
        <f ca="1">AO92-AN92</f>
        <v>0</v>
      </c>
      <c r="AP93" s="5">
        <f ca="1">AP92-AO92</f>
        <v>0</v>
      </c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</row>
    <row r="94" spans="2:71" s="23" customFormat="1" x14ac:dyDescent="0.25">
      <c r="B94" s="23" t="s">
        <v>57</v>
      </c>
      <c r="E94" s="24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  <c r="AA94" s="24"/>
      <c r="AB94" s="24"/>
      <c r="AC94" s="24"/>
      <c r="AD94" s="24"/>
      <c r="AE94" s="24"/>
      <c r="AF94" s="24"/>
      <c r="AG94" s="24"/>
      <c r="AH94" s="24"/>
      <c r="AI94" s="24"/>
      <c r="AJ94" s="24"/>
      <c r="AK94" s="24"/>
      <c r="AL94" s="24"/>
      <c r="AM94" s="24"/>
      <c r="AN94" s="24"/>
      <c r="AO94" s="24"/>
      <c r="AP94" s="24"/>
      <c r="AR94" s="25"/>
      <c r="AV94" s="24"/>
      <c r="AW94" s="24"/>
      <c r="AX94" s="24"/>
      <c r="AY94" s="24"/>
      <c r="AZ94" s="24"/>
      <c r="BA94" s="24"/>
      <c r="BB94" s="24"/>
      <c r="BC94" s="24"/>
      <c r="BD94" s="24"/>
      <c r="BE94" s="24"/>
      <c r="BF94" s="24"/>
      <c r="BG94" s="24"/>
      <c r="BH94" s="24"/>
      <c r="BI94" s="24"/>
      <c r="BM94" s="25"/>
      <c r="BN94"/>
      <c r="BO94"/>
      <c r="BP94"/>
      <c r="BQ94"/>
      <c r="BR94"/>
      <c r="BS94"/>
    </row>
    <row r="95" spans="2:71" x14ac:dyDescent="0.25">
      <c r="C95" t="s">
        <v>58</v>
      </c>
      <c r="D95" t="s">
        <v>32</v>
      </c>
      <c r="E95" s="5"/>
      <c r="F95" s="5">
        <f t="shared" ref="F95:Q95" si="145">E98</f>
        <v>8312.1</v>
      </c>
      <c r="G95" s="5">
        <f t="shared" si="145"/>
        <v>7962.5</v>
      </c>
      <c r="H95" s="5">
        <f t="shared" si="145"/>
        <v>7958.3</v>
      </c>
      <c r="I95" s="5">
        <f t="shared" si="145"/>
        <v>8348.1</v>
      </c>
      <c r="J95" s="5">
        <f t="shared" si="145"/>
        <v>8347.6</v>
      </c>
      <c r="K95" s="5">
        <f t="shared" si="145"/>
        <v>8420</v>
      </c>
      <c r="L95" s="5">
        <f t="shared" si="145"/>
        <v>8507</v>
      </c>
      <c r="M95" s="5">
        <f t="shared" si="145"/>
        <v>8560</v>
      </c>
      <c r="N95" s="5">
        <f t="shared" si="145"/>
        <v>8625</v>
      </c>
      <c r="O95" s="5">
        <f t="shared" si="145"/>
        <v>8681</v>
      </c>
      <c r="P95" s="5">
        <f t="shared" si="145"/>
        <v>8737</v>
      </c>
      <c r="Q95" s="5">
        <f t="shared" si="145"/>
        <v>8790</v>
      </c>
      <c r="R95" s="5">
        <f t="shared" ref="R95:AF95" si="146">Q98</f>
        <v>8849</v>
      </c>
      <c r="S95" s="5">
        <f t="shared" si="146"/>
        <v>8850</v>
      </c>
      <c r="T95" s="5">
        <f t="shared" si="146"/>
        <v>8734</v>
      </c>
      <c r="U95" s="5">
        <f t="shared" si="146"/>
        <v>8657</v>
      </c>
      <c r="V95" s="5">
        <f t="shared" si="146"/>
        <v>8657</v>
      </c>
      <c r="W95" s="5">
        <f t="shared" si="146"/>
        <v>8656</v>
      </c>
      <c r="X95" s="5">
        <f t="shared" si="146"/>
        <v>8661</v>
      </c>
      <c r="Y95" s="5">
        <f t="shared" si="146"/>
        <v>8663</v>
      </c>
      <c r="Z95" s="5">
        <f t="shared" si="146"/>
        <v>8656</v>
      </c>
      <c r="AA95" s="5">
        <f t="shared" si="146"/>
        <v>8655</v>
      </c>
      <c r="AB95" s="5">
        <f t="shared" si="146"/>
        <v>8649</v>
      </c>
      <c r="AC95" s="5">
        <f t="shared" si="146"/>
        <v>8652</v>
      </c>
      <c r="AD95" s="5">
        <f t="shared" si="146"/>
        <v>8642</v>
      </c>
      <c r="AE95" s="5">
        <f t="shared" si="146"/>
        <v>8644</v>
      </c>
      <c r="AF95" s="5">
        <f t="shared" si="146"/>
        <v>8634</v>
      </c>
      <c r="AG95" s="5">
        <f t="shared" ref="AG95:AL95" si="147">AF98</f>
        <v>8694</v>
      </c>
      <c r="AH95" s="5">
        <f t="shared" si="147"/>
        <v>8783</v>
      </c>
      <c r="AI95" s="5">
        <f t="shared" si="147"/>
        <v>8826.6026409740007</v>
      </c>
      <c r="AJ95" s="5">
        <f t="shared" si="147"/>
        <v>8826.6026409740007</v>
      </c>
      <c r="AK95" s="5">
        <f t="shared" si="147"/>
        <v>8826.6026409740007</v>
      </c>
      <c r="AL95" s="5">
        <f t="shared" si="147"/>
        <v>8826.6026409740007</v>
      </c>
      <c r="AM95" s="5">
        <f>AL98</f>
        <v>8826.6026409740007</v>
      </c>
      <c r="AN95" s="5">
        <f>AM98</f>
        <v>8826.6026409740007</v>
      </c>
      <c r="AO95" s="5">
        <f ca="1">AN98</f>
        <v>8826.6026409740007</v>
      </c>
      <c r="AP95" s="5">
        <f ca="1">AO98</f>
        <v>8826.6026409740007</v>
      </c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</row>
    <row r="96" spans="2:71" x14ac:dyDescent="0.25">
      <c r="C96" t="s">
        <v>59</v>
      </c>
      <c r="D96" t="s">
        <v>32</v>
      </c>
      <c r="E96" s="5"/>
      <c r="F96" s="5">
        <f t="shared" ref="F96:Q96" si="148">F133</f>
        <v>0</v>
      </c>
      <c r="G96" s="5">
        <f t="shared" si="148"/>
        <v>0</v>
      </c>
      <c r="H96" s="5">
        <f t="shared" si="148"/>
        <v>0</v>
      </c>
      <c r="I96" s="5">
        <f t="shared" si="148"/>
        <v>0</v>
      </c>
      <c r="J96" s="5">
        <f t="shared" si="148"/>
        <v>0</v>
      </c>
      <c r="K96" s="5">
        <f t="shared" si="148"/>
        <v>0</v>
      </c>
      <c r="L96" s="5">
        <f t="shared" si="148"/>
        <v>0</v>
      </c>
      <c r="M96" s="5">
        <f t="shared" si="148"/>
        <v>0</v>
      </c>
      <c r="N96" s="5">
        <f t="shared" si="148"/>
        <v>0</v>
      </c>
      <c r="O96" s="5">
        <f t="shared" si="148"/>
        <v>0</v>
      </c>
      <c r="P96" s="5">
        <f t="shared" si="148"/>
        <v>0</v>
      </c>
      <c r="Q96" s="5">
        <f t="shared" si="148"/>
        <v>0</v>
      </c>
      <c r="R96" s="5">
        <f t="shared" ref="R96:AL96" si="149">R133</f>
        <v>0</v>
      </c>
      <c r="S96" s="5">
        <f t="shared" si="149"/>
        <v>-115</v>
      </c>
      <c r="T96" s="5">
        <f t="shared" si="149"/>
        <v>-77</v>
      </c>
      <c r="U96" s="5">
        <f t="shared" si="149"/>
        <v>0</v>
      </c>
      <c r="V96" s="5">
        <f t="shared" si="149"/>
        <v>0</v>
      </c>
      <c r="W96" s="5">
        <f t="shared" si="149"/>
        <v>0</v>
      </c>
      <c r="X96" s="5">
        <f t="shared" si="149"/>
        <v>0</v>
      </c>
      <c r="Y96" s="5">
        <f t="shared" si="149"/>
        <v>0</v>
      </c>
      <c r="Z96" s="5">
        <f t="shared" si="149"/>
        <v>0</v>
      </c>
      <c r="AA96" s="5">
        <f t="shared" si="149"/>
        <v>0</v>
      </c>
      <c r="AB96" s="5">
        <f t="shared" si="149"/>
        <v>0</v>
      </c>
      <c r="AC96" s="5">
        <f t="shared" si="149"/>
        <v>0</v>
      </c>
      <c r="AD96" s="5">
        <f t="shared" si="149"/>
        <v>0</v>
      </c>
      <c r="AE96" s="5">
        <f t="shared" si="149"/>
        <v>0</v>
      </c>
      <c r="AF96" s="5">
        <f t="shared" si="149"/>
        <v>0</v>
      </c>
      <c r="AG96" s="5">
        <f t="shared" si="149"/>
        <v>0</v>
      </c>
      <c r="AH96" s="5">
        <f t="shared" si="149"/>
        <v>43.602640974000003</v>
      </c>
      <c r="AI96" s="5">
        <f t="shared" si="149"/>
        <v>0</v>
      </c>
      <c r="AJ96" s="5">
        <f t="shared" si="149"/>
        <v>0</v>
      </c>
      <c r="AK96" s="5">
        <f t="shared" si="149"/>
        <v>0</v>
      </c>
      <c r="AL96" s="5">
        <f t="shared" si="149"/>
        <v>0</v>
      </c>
      <c r="AM96" s="5">
        <f>AM133</f>
        <v>0</v>
      </c>
      <c r="AN96" s="5">
        <f ca="1">AN133</f>
        <v>0</v>
      </c>
      <c r="AO96" s="5">
        <f ca="1">AO133</f>
        <v>0</v>
      </c>
      <c r="AP96" s="5">
        <f ca="1">AP133</f>
        <v>0</v>
      </c>
      <c r="AS96" s="5">
        <f t="shared" ref="AS96:BI97" si="150">SUMIF($E$4:$AR$4,AS$4,$E96:$AR96)</f>
        <v>0</v>
      </c>
      <c r="AT96" s="5">
        <f t="shared" si="150"/>
        <v>0</v>
      </c>
      <c r="AU96" s="5">
        <f t="shared" si="150"/>
        <v>0</v>
      </c>
      <c r="AV96" s="5">
        <f t="shared" si="150"/>
        <v>0</v>
      </c>
      <c r="AW96" s="5">
        <f t="shared" si="150"/>
        <v>0</v>
      </c>
      <c r="AX96" s="5">
        <f t="shared" si="150"/>
        <v>-192</v>
      </c>
      <c r="AY96" s="5">
        <f t="shared" si="150"/>
        <v>0</v>
      </c>
      <c r="AZ96" s="5">
        <f t="shared" si="150"/>
        <v>0</v>
      </c>
      <c r="BA96" s="5">
        <f t="shared" si="150"/>
        <v>0</v>
      </c>
      <c r="BB96" s="5">
        <f t="shared" si="150"/>
        <v>0</v>
      </c>
      <c r="BC96" s="5">
        <f t="shared" si="150"/>
        <v>0</v>
      </c>
      <c r="BD96" s="5">
        <f t="shared" si="150"/>
        <v>0</v>
      </c>
      <c r="BE96" s="5">
        <f t="shared" si="150"/>
        <v>43.602640974000003</v>
      </c>
      <c r="BF96" s="5">
        <f t="shared" si="150"/>
        <v>0</v>
      </c>
      <c r="BG96" s="5">
        <f t="shared" si="150"/>
        <v>0</v>
      </c>
      <c r="BH96" s="5">
        <f t="shared" ca="1" si="150"/>
        <v>0</v>
      </c>
      <c r="BI96" s="5">
        <f t="shared" ca="1" si="150"/>
        <v>0</v>
      </c>
    </row>
    <row r="97" spans="2:71" x14ac:dyDescent="0.25">
      <c r="C97" t="s">
        <v>11</v>
      </c>
      <c r="D97" t="s">
        <v>32</v>
      </c>
      <c r="E97" s="5"/>
      <c r="F97" s="21">
        <f t="shared" ref="F97:Q97" si="151">F98-F95-F96</f>
        <v>-349.60000000000036</v>
      </c>
      <c r="G97" s="21">
        <f t="shared" si="151"/>
        <v>-4.1999999999998181</v>
      </c>
      <c r="H97" s="21">
        <f t="shared" si="151"/>
        <v>389.80000000000018</v>
      </c>
      <c r="I97" s="21">
        <f t="shared" si="151"/>
        <v>-0.5</v>
      </c>
      <c r="J97" s="21">
        <f t="shared" si="151"/>
        <v>72.399999999999636</v>
      </c>
      <c r="K97" s="21">
        <f t="shared" si="151"/>
        <v>87</v>
      </c>
      <c r="L97" s="21">
        <f t="shared" si="151"/>
        <v>53</v>
      </c>
      <c r="M97" s="21">
        <f t="shared" si="151"/>
        <v>65</v>
      </c>
      <c r="N97" s="21">
        <f t="shared" si="151"/>
        <v>56</v>
      </c>
      <c r="O97" s="21">
        <f t="shared" si="151"/>
        <v>56</v>
      </c>
      <c r="P97" s="21">
        <f t="shared" si="151"/>
        <v>53</v>
      </c>
      <c r="Q97" s="21">
        <f t="shared" si="151"/>
        <v>59</v>
      </c>
      <c r="R97" s="21">
        <f t="shared" ref="R97:X97" si="152">R98-R95-R96</f>
        <v>1</v>
      </c>
      <c r="S97" s="21">
        <f t="shared" si="152"/>
        <v>-1</v>
      </c>
      <c r="T97" s="21">
        <f t="shared" si="152"/>
        <v>0</v>
      </c>
      <c r="U97" s="21">
        <f t="shared" si="152"/>
        <v>0</v>
      </c>
      <c r="V97" s="21">
        <f t="shared" si="152"/>
        <v>-1</v>
      </c>
      <c r="W97" s="21">
        <f t="shared" si="152"/>
        <v>5</v>
      </c>
      <c r="X97" s="21">
        <f t="shared" si="152"/>
        <v>2</v>
      </c>
      <c r="Y97" s="21">
        <f t="shared" ref="Y97:AD97" si="153">Y98-Y95-Y96</f>
        <v>-7</v>
      </c>
      <c r="Z97" s="21">
        <f t="shared" si="153"/>
        <v>-1</v>
      </c>
      <c r="AA97" s="21">
        <f t="shared" si="153"/>
        <v>-6</v>
      </c>
      <c r="AB97" s="21">
        <f t="shared" si="153"/>
        <v>3</v>
      </c>
      <c r="AC97" s="21">
        <f t="shared" si="153"/>
        <v>-10</v>
      </c>
      <c r="AD97" s="21">
        <f t="shared" si="153"/>
        <v>2</v>
      </c>
      <c r="AE97" s="21">
        <f>AE98-AE95-AE96</f>
        <v>-10</v>
      </c>
      <c r="AF97" s="21">
        <f>AF98-AF95-AF96</f>
        <v>60</v>
      </c>
      <c r="AG97" s="21">
        <f>AG98-AG95-AG96</f>
        <v>89</v>
      </c>
      <c r="AH97" s="5"/>
      <c r="AI97" s="5"/>
      <c r="AJ97" s="5"/>
      <c r="AK97" s="5"/>
      <c r="AL97" s="5"/>
      <c r="AM97" s="5"/>
      <c r="AN97" s="5"/>
      <c r="AO97" s="5"/>
      <c r="AP97" s="5"/>
      <c r="AS97" s="5">
        <f t="shared" si="150"/>
        <v>71.899999999999636</v>
      </c>
      <c r="AT97" s="5">
        <f t="shared" si="150"/>
        <v>140</v>
      </c>
      <c r="AU97" s="5">
        <f t="shared" si="150"/>
        <v>121</v>
      </c>
      <c r="AV97" s="5">
        <f t="shared" si="150"/>
        <v>109</v>
      </c>
      <c r="AW97" s="5">
        <f t="shared" si="150"/>
        <v>60</v>
      </c>
      <c r="AX97" s="5">
        <f t="shared" si="150"/>
        <v>-1</v>
      </c>
      <c r="AY97" s="5">
        <f t="shared" si="150"/>
        <v>-1</v>
      </c>
      <c r="AZ97" s="5">
        <f t="shared" si="150"/>
        <v>7</v>
      </c>
      <c r="BA97" s="5">
        <f t="shared" si="150"/>
        <v>-8</v>
      </c>
      <c r="BB97" s="5">
        <f t="shared" si="150"/>
        <v>-3</v>
      </c>
      <c r="BC97" s="5">
        <f t="shared" si="150"/>
        <v>-8</v>
      </c>
      <c r="BD97" s="5">
        <f t="shared" si="150"/>
        <v>50</v>
      </c>
      <c r="BE97" s="5">
        <f t="shared" si="150"/>
        <v>89</v>
      </c>
      <c r="BF97" s="5">
        <f t="shared" si="150"/>
        <v>0</v>
      </c>
      <c r="BG97" s="5">
        <f t="shared" si="150"/>
        <v>0</v>
      </c>
      <c r="BH97" s="5">
        <f t="shared" si="150"/>
        <v>0</v>
      </c>
      <c r="BI97" s="5">
        <f t="shared" si="150"/>
        <v>0</v>
      </c>
    </row>
    <row r="98" spans="2:71" s="6" customFormat="1" x14ac:dyDescent="0.25">
      <c r="C98" s="6" t="s">
        <v>60</v>
      </c>
      <c r="D98" s="6" t="s">
        <v>32</v>
      </c>
      <c r="E98" s="33">
        <f t="shared" ref="E98:Q98" si="154">E88</f>
        <v>8312.1</v>
      </c>
      <c r="F98" s="33">
        <f t="shared" si="154"/>
        <v>7962.5</v>
      </c>
      <c r="G98" s="33">
        <f t="shared" si="154"/>
        <v>7958.3</v>
      </c>
      <c r="H98" s="33">
        <f t="shared" si="154"/>
        <v>8348.1</v>
      </c>
      <c r="I98" s="33">
        <f t="shared" si="154"/>
        <v>8347.6</v>
      </c>
      <c r="J98" s="33">
        <f t="shared" si="154"/>
        <v>8420</v>
      </c>
      <c r="K98" s="33">
        <f t="shared" si="154"/>
        <v>8507</v>
      </c>
      <c r="L98" s="33">
        <f t="shared" si="154"/>
        <v>8560</v>
      </c>
      <c r="M98" s="33">
        <f t="shared" si="154"/>
        <v>8625</v>
      </c>
      <c r="N98" s="33">
        <f t="shared" si="154"/>
        <v>8681</v>
      </c>
      <c r="O98" s="33">
        <f t="shared" si="154"/>
        <v>8737</v>
      </c>
      <c r="P98" s="33">
        <f t="shared" si="154"/>
        <v>8790</v>
      </c>
      <c r="Q98" s="33">
        <f t="shared" si="154"/>
        <v>8849</v>
      </c>
      <c r="R98" s="33">
        <f t="shared" ref="R98:X98" si="155">R88</f>
        <v>8850</v>
      </c>
      <c r="S98" s="33">
        <f t="shared" si="155"/>
        <v>8734</v>
      </c>
      <c r="T98" s="33">
        <f t="shared" si="155"/>
        <v>8657</v>
      </c>
      <c r="U98" s="33">
        <f t="shared" si="155"/>
        <v>8657</v>
      </c>
      <c r="V98" s="33">
        <f t="shared" si="155"/>
        <v>8656</v>
      </c>
      <c r="W98" s="33">
        <f t="shared" si="155"/>
        <v>8661</v>
      </c>
      <c r="X98" s="33">
        <f t="shared" si="155"/>
        <v>8663</v>
      </c>
      <c r="Y98" s="33">
        <f t="shared" ref="Y98:AD98" si="156">Y88</f>
        <v>8656</v>
      </c>
      <c r="Z98" s="33">
        <f t="shared" si="156"/>
        <v>8655</v>
      </c>
      <c r="AA98" s="33">
        <f t="shared" si="156"/>
        <v>8649</v>
      </c>
      <c r="AB98" s="33">
        <f t="shared" si="156"/>
        <v>8652</v>
      </c>
      <c r="AC98" s="33">
        <f t="shared" si="156"/>
        <v>8642</v>
      </c>
      <c r="AD98" s="33">
        <f t="shared" si="156"/>
        <v>8644</v>
      </c>
      <c r="AE98" s="33">
        <f>AE88</f>
        <v>8634</v>
      </c>
      <c r="AF98" s="33">
        <f>AF88</f>
        <v>8694</v>
      </c>
      <c r="AG98" s="33">
        <f>AG88</f>
        <v>8783</v>
      </c>
      <c r="AH98" s="7">
        <f t="shared" ref="AH98:AL98" si="157">SUM(AH95:AH97)</f>
        <v>8826.6026409740007</v>
      </c>
      <c r="AI98" s="7">
        <f t="shared" si="157"/>
        <v>8826.6026409740007</v>
      </c>
      <c r="AJ98" s="7">
        <f t="shared" si="157"/>
        <v>8826.6026409740007</v>
      </c>
      <c r="AK98" s="7">
        <f t="shared" si="157"/>
        <v>8826.6026409740007</v>
      </c>
      <c r="AL98" s="7">
        <f t="shared" si="157"/>
        <v>8826.6026409740007</v>
      </c>
      <c r="AM98" s="7">
        <f>SUM(AM95:AM97)</f>
        <v>8826.6026409740007</v>
      </c>
      <c r="AN98" s="7">
        <f ca="1">SUM(AN95:AN97)</f>
        <v>8826.6026409740007</v>
      </c>
      <c r="AO98" s="7">
        <f ca="1">SUM(AO95:AO97)</f>
        <v>8826.6026409740007</v>
      </c>
      <c r="AP98" s="7">
        <f ca="1">SUM(AP95:AP97)</f>
        <v>8826.6026409740007</v>
      </c>
      <c r="AR98" s="22"/>
      <c r="AV98" s="7"/>
      <c r="AW98" s="7"/>
      <c r="AX98" s="7"/>
      <c r="AY98" s="7"/>
      <c r="AZ98" s="7"/>
      <c r="BA98" s="7"/>
      <c r="BB98" s="7"/>
      <c r="BC98" s="7"/>
      <c r="BD98" s="7"/>
      <c r="BE98" s="7"/>
      <c r="BF98" s="7"/>
      <c r="BG98" s="7"/>
      <c r="BH98" s="7"/>
      <c r="BI98" s="7"/>
      <c r="BM98" s="22"/>
      <c r="BN98"/>
      <c r="BO98"/>
      <c r="BP98"/>
      <c r="BQ98"/>
      <c r="BR98"/>
      <c r="BS98"/>
    </row>
    <row r="99" spans="2:71" x14ac:dyDescent="0.25"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</row>
    <row r="100" spans="2:71" s="23" customFormat="1" x14ac:dyDescent="0.25">
      <c r="B100" s="23" t="s">
        <v>61</v>
      </c>
      <c r="E100" s="24"/>
      <c r="F100" s="24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  <c r="AA100" s="24"/>
      <c r="AB100" s="24"/>
      <c r="AC100" s="24"/>
      <c r="AD100" s="24"/>
      <c r="AE100" s="24"/>
      <c r="AF100" s="24"/>
      <c r="AG100" s="24"/>
      <c r="AH100" s="24"/>
      <c r="AI100" s="24"/>
      <c r="AJ100" s="24"/>
      <c r="AK100" s="24"/>
      <c r="AL100" s="24"/>
      <c r="AM100" s="24"/>
      <c r="AN100" s="24"/>
      <c r="AO100" s="24"/>
      <c r="AP100" s="24"/>
      <c r="AR100" s="25"/>
      <c r="AV100" s="24"/>
      <c r="AW100" s="24"/>
      <c r="AX100" s="24"/>
      <c r="AY100" s="24"/>
      <c r="AZ100" s="24"/>
      <c r="BA100" s="24"/>
      <c r="BB100" s="24"/>
      <c r="BC100" s="24"/>
      <c r="BD100" s="24"/>
      <c r="BE100" s="24"/>
      <c r="BF100" s="24"/>
      <c r="BG100" s="24"/>
      <c r="BH100" s="24"/>
      <c r="BI100" s="24"/>
      <c r="BM100" s="25"/>
      <c r="BN100"/>
      <c r="BO100"/>
      <c r="BP100"/>
      <c r="BQ100"/>
      <c r="BR100"/>
      <c r="BS100"/>
    </row>
    <row r="101" spans="2:71" x14ac:dyDescent="0.25">
      <c r="C101" t="s">
        <v>62</v>
      </c>
      <c r="D101" t="s">
        <v>32</v>
      </c>
      <c r="E101" s="5"/>
      <c r="F101" s="5">
        <f t="shared" ref="F101:P101" si="158">E105</f>
        <v>349.69999999999891</v>
      </c>
      <c r="G101" s="5">
        <f t="shared" si="158"/>
        <v>264.90000000000146</v>
      </c>
      <c r="H101" s="5">
        <f t="shared" si="158"/>
        <v>-153.89999999999691</v>
      </c>
      <c r="I101" s="5">
        <f t="shared" si="158"/>
        <v>-153.20000000000255</v>
      </c>
      <c r="J101" s="5">
        <f t="shared" si="158"/>
        <v>-114.90000000000146</v>
      </c>
      <c r="K101" s="5">
        <f t="shared" si="158"/>
        <v>-122</v>
      </c>
      <c r="L101" s="5">
        <f t="shared" si="158"/>
        <v>48</v>
      </c>
      <c r="M101" s="5">
        <f t="shared" si="158"/>
        <v>227</v>
      </c>
      <c r="N101" s="5">
        <f t="shared" si="158"/>
        <v>662</v>
      </c>
      <c r="O101" s="5">
        <f t="shared" si="158"/>
        <v>573</v>
      </c>
      <c r="P101" s="5">
        <f t="shared" si="158"/>
        <v>1025</v>
      </c>
      <c r="Q101" s="5">
        <f t="shared" ref="Q101:AF101" si="159">P105</f>
        <v>1137</v>
      </c>
      <c r="R101" s="5">
        <f t="shared" si="159"/>
        <v>1491</v>
      </c>
      <c r="S101" s="5">
        <f t="shared" si="159"/>
        <v>1526</v>
      </c>
      <c r="T101" s="5">
        <f t="shared" si="159"/>
        <v>1529</v>
      </c>
      <c r="U101" s="5">
        <f t="shared" si="159"/>
        <v>1171</v>
      </c>
      <c r="V101" s="5">
        <f t="shared" si="159"/>
        <v>1336</v>
      </c>
      <c r="W101" s="5">
        <f t="shared" si="159"/>
        <v>494</v>
      </c>
      <c r="X101" s="5">
        <f t="shared" si="159"/>
        <v>540</v>
      </c>
      <c r="Y101" s="5">
        <f t="shared" si="159"/>
        <v>921</v>
      </c>
      <c r="Z101" s="5">
        <f t="shared" si="159"/>
        <v>1504</v>
      </c>
      <c r="AA101" s="5">
        <f t="shared" si="159"/>
        <v>1706</v>
      </c>
      <c r="AB101" s="5">
        <f t="shared" si="159"/>
        <v>1719</v>
      </c>
      <c r="AC101" s="5">
        <f t="shared" si="159"/>
        <v>1524</v>
      </c>
      <c r="AD101" s="5">
        <f t="shared" si="159"/>
        <v>1431</v>
      </c>
      <c r="AE101" s="5">
        <f t="shared" si="159"/>
        <v>1249</v>
      </c>
      <c r="AF101" s="5">
        <f t="shared" si="159"/>
        <v>1308</v>
      </c>
      <c r="AG101" s="5">
        <f t="shared" ref="AG101:AL101" si="160">AF105</f>
        <v>1491</v>
      </c>
      <c r="AH101" s="5">
        <f t="shared" si="160"/>
        <v>1562</v>
      </c>
      <c r="AI101" s="5">
        <f t="shared" ca="1" si="160"/>
        <v>2413.4135186754938</v>
      </c>
      <c r="AJ101" s="5">
        <f t="shared" ca="1" si="160"/>
        <v>2880.235709480673</v>
      </c>
      <c r="AK101" s="5">
        <f t="shared" ca="1" si="160"/>
        <v>3155.0398747281561</v>
      </c>
      <c r="AL101" s="5">
        <f t="shared" ca="1" si="160"/>
        <v>3605.2082882102877</v>
      </c>
      <c r="AM101" s="5">
        <f ca="1">AL105</f>
        <v>3898.5802502642237</v>
      </c>
      <c r="AN101" s="5">
        <f ca="1">AM105</f>
        <v>4288.195560817745</v>
      </c>
      <c r="AO101" s="5">
        <f ca="1">AN105</f>
        <v>4687.7230365410132</v>
      </c>
      <c r="AP101" s="5">
        <f ca="1">AO105</f>
        <v>5094.0302204137679</v>
      </c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</row>
    <row r="102" spans="2:71" x14ac:dyDescent="0.25">
      <c r="C102" t="s">
        <v>63</v>
      </c>
      <c r="D102" t="s">
        <v>32</v>
      </c>
      <c r="E102" s="5"/>
      <c r="F102" s="5">
        <f t="shared" ref="F102:P102" si="161">F64</f>
        <v>0</v>
      </c>
      <c r="G102" s="5">
        <f t="shared" si="161"/>
        <v>0</v>
      </c>
      <c r="H102" s="5">
        <f t="shared" si="161"/>
        <v>0</v>
      </c>
      <c r="I102" s="5">
        <f t="shared" si="161"/>
        <v>298</v>
      </c>
      <c r="J102" s="5">
        <f t="shared" si="161"/>
        <v>229</v>
      </c>
      <c r="K102" s="5">
        <f t="shared" si="161"/>
        <v>462</v>
      </c>
      <c r="L102" s="5">
        <f t="shared" si="161"/>
        <v>441</v>
      </c>
      <c r="M102" s="5">
        <f t="shared" si="161"/>
        <v>696</v>
      </c>
      <c r="N102" s="5">
        <f t="shared" si="161"/>
        <v>193</v>
      </c>
      <c r="O102" s="5">
        <f t="shared" si="161"/>
        <v>702</v>
      </c>
      <c r="P102" s="5">
        <f t="shared" si="161"/>
        <v>493</v>
      </c>
      <c r="Q102" s="5">
        <f t="shared" ref="Q102:AL102" si="162">Q64</f>
        <v>684</v>
      </c>
      <c r="R102" s="5">
        <f t="shared" si="162"/>
        <v>341</v>
      </c>
      <c r="S102" s="5">
        <f t="shared" si="162"/>
        <v>300</v>
      </c>
      <c r="T102" s="5">
        <f t="shared" si="162"/>
        <v>11</v>
      </c>
      <c r="U102" s="5">
        <f t="shared" si="162"/>
        <v>504</v>
      </c>
      <c r="V102" s="5">
        <f t="shared" si="162"/>
        <v>-525</v>
      </c>
      <c r="W102" s="5">
        <f t="shared" si="162"/>
        <v>350</v>
      </c>
      <c r="X102" s="5">
        <f t="shared" si="162"/>
        <v>755</v>
      </c>
      <c r="Y102" s="5">
        <f t="shared" si="162"/>
        <v>850</v>
      </c>
      <c r="Z102" s="5">
        <f t="shared" si="162"/>
        <v>531</v>
      </c>
      <c r="AA102" s="5">
        <f t="shared" si="162"/>
        <v>301</v>
      </c>
      <c r="AB102" s="5">
        <f t="shared" si="162"/>
        <v>157</v>
      </c>
      <c r="AC102" s="5">
        <f t="shared" si="162"/>
        <v>102</v>
      </c>
      <c r="AD102" s="5">
        <f t="shared" si="162"/>
        <v>203</v>
      </c>
      <c r="AE102" s="5">
        <f t="shared" si="162"/>
        <v>245</v>
      </c>
      <c r="AF102" s="5">
        <f t="shared" si="162"/>
        <v>581</v>
      </c>
      <c r="AG102" s="5">
        <f t="shared" si="162"/>
        <v>292</v>
      </c>
      <c r="AH102" s="5">
        <f t="shared" ca="1" si="162"/>
        <v>745.0145587477931</v>
      </c>
      <c r="AI102" s="5">
        <f t="shared" ca="1" si="162"/>
        <v>685.48943528978884</v>
      </c>
      <c r="AJ102" s="5">
        <f t="shared" ca="1" si="162"/>
        <v>668.40520531978132</v>
      </c>
      <c r="AK102" s="5">
        <f t="shared" ca="1" si="162"/>
        <v>668.83565796674543</v>
      </c>
      <c r="AL102" s="5">
        <f t="shared" ca="1" si="162"/>
        <v>686.97300212623395</v>
      </c>
      <c r="AM102" s="5">
        <f ca="1">AM64</f>
        <v>697.33525246436227</v>
      </c>
      <c r="AN102" s="5">
        <f ca="1">AN64</f>
        <v>716.01016970751539</v>
      </c>
      <c r="AO102" s="5">
        <f ca="1">AO64</f>
        <v>726.42309651341657</v>
      </c>
      <c r="AP102" s="5">
        <f ca="1">AP64</f>
        <v>746.02468996446964</v>
      </c>
      <c r="AS102" s="5">
        <f t="shared" ref="AS102:BI104" si="163">SUMIF($E$4:$AR$4,AS$4,$E102:$AR102)</f>
        <v>527</v>
      </c>
      <c r="AT102" s="5">
        <f t="shared" si="163"/>
        <v>903</v>
      </c>
      <c r="AU102" s="5">
        <f t="shared" si="163"/>
        <v>889</v>
      </c>
      <c r="AV102" s="5">
        <f t="shared" si="163"/>
        <v>1195</v>
      </c>
      <c r="AW102" s="5">
        <f t="shared" si="163"/>
        <v>1025</v>
      </c>
      <c r="AX102" s="5">
        <f t="shared" si="163"/>
        <v>311</v>
      </c>
      <c r="AY102" s="5">
        <f t="shared" si="163"/>
        <v>-21</v>
      </c>
      <c r="AZ102" s="5">
        <f t="shared" si="163"/>
        <v>1105</v>
      </c>
      <c r="BA102" s="5">
        <f t="shared" si="163"/>
        <v>1381</v>
      </c>
      <c r="BB102" s="5">
        <f t="shared" si="163"/>
        <v>458</v>
      </c>
      <c r="BC102" s="5">
        <f t="shared" si="163"/>
        <v>305</v>
      </c>
      <c r="BD102" s="5">
        <f t="shared" si="163"/>
        <v>826</v>
      </c>
      <c r="BE102" s="5">
        <f t="shared" ca="1" si="163"/>
        <v>1037.0145587477932</v>
      </c>
      <c r="BF102" s="5">
        <f t="shared" ca="1" si="163"/>
        <v>1353.8946406095702</v>
      </c>
      <c r="BG102" s="5">
        <f t="shared" ca="1" si="163"/>
        <v>1355.8086600929794</v>
      </c>
      <c r="BH102" s="5">
        <f t="shared" ca="1" si="163"/>
        <v>1413.3454221718775</v>
      </c>
      <c r="BI102" s="5">
        <f t="shared" ca="1" si="163"/>
        <v>1472.4477864778862</v>
      </c>
    </row>
    <row r="103" spans="2:71" x14ac:dyDescent="0.25">
      <c r="C103" t="s">
        <v>64</v>
      </c>
      <c r="D103" t="s">
        <v>32</v>
      </c>
      <c r="E103" s="5"/>
      <c r="F103" s="5">
        <f t="shared" ref="F103:P103" si="164">-F40</f>
        <v>0</v>
      </c>
      <c r="G103" s="5">
        <f t="shared" si="164"/>
        <v>0</v>
      </c>
      <c r="H103" s="5">
        <f t="shared" si="164"/>
        <v>0</v>
      </c>
      <c r="I103" s="5">
        <f t="shared" si="164"/>
        <v>-276.69008964</v>
      </c>
      <c r="J103" s="5">
        <f t="shared" si="164"/>
        <v>-279.23742720000001</v>
      </c>
      <c r="K103" s="5">
        <f t="shared" si="164"/>
        <v>-281.84960927999998</v>
      </c>
      <c r="L103" s="5">
        <f t="shared" si="164"/>
        <v>-283.40614343999999</v>
      </c>
      <c r="M103" s="5">
        <f t="shared" si="164"/>
        <v>-290.03572414964549</v>
      </c>
      <c r="N103" s="5">
        <f t="shared" si="164"/>
        <v>-294.26373069783438</v>
      </c>
      <c r="O103" s="5">
        <f t="shared" si="164"/>
        <v>-303.03475914599994</v>
      </c>
      <c r="P103" s="5">
        <f t="shared" si="164"/>
        <v>-311.97361831800004</v>
      </c>
      <c r="Q103" s="5">
        <f t="shared" ref="Q103:AL103" si="165">-Q40</f>
        <v>-316.48018874296338</v>
      </c>
      <c r="R103" s="5">
        <f t="shared" si="165"/>
        <v>-328.6525036946158</v>
      </c>
      <c r="S103" s="5">
        <f t="shared" si="165"/>
        <v>-324.70714957499996</v>
      </c>
      <c r="T103" s="5">
        <f t="shared" si="165"/>
        <v>-336.193561923</v>
      </c>
      <c r="U103" s="5">
        <f t="shared" si="165"/>
        <v>-321.06442500000003</v>
      </c>
      <c r="V103" s="5">
        <f t="shared" si="165"/>
        <v>-252.09503000000004</v>
      </c>
      <c r="W103" s="5">
        <f t="shared" si="165"/>
        <v>-269.154022</v>
      </c>
      <c r="X103" s="5">
        <f t="shared" si="165"/>
        <v>-317.49383104600003</v>
      </c>
      <c r="Y103" s="5">
        <f t="shared" si="165"/>
        <v>-286.46059944000001</v>
      </c>
      <c r="Z103" s="5">
        <f t="shared" si="165"/>
        <v>-348.5270626520001</v>
      </c>
      <c r="AA103" s="5">
        <f t="shared" si="165"/>
        <v>-281.68625611600004</v>
      </c>
      <c r="AB103" s="5">
        <f t="shared" si="165"/>
        <v>-343.75271932800001</v>
      </c>
      <c r="AC103" s="5">
        <f t="shared" si="165"/>
        <v>-190.56511999999998</v>
      </c>
      <c r="AD103" s="5">
        <f t="shared" si="165"/>
        <v>-468</v>
      </c>
      <c r="AE103" s="5">
        <f t="shared" si="165"/>
        <v>-190.56511999999998</v>
      </c>
      <c r="AF103" s="5">
        <f t="shared" si="165"/>
        <v>-412.76869600000003</v>
      </c>
      <c r="AG103" s="5">
        <f t="shared" si="165"/>
        <v>-218.01320487000001</v>
      </c>
      <c r="AH103" s="5">
        <f t="shared" si="165"/>
        <v>-393.60104007229796</v>
      </c>
      <c r="AI103" s="5">
        <f t="shared" si="165"/>
        <v>-218.66724448461002</v>
      </c>
      <c r="AJ103" s="5">
        <f t="shared" si="165"/>
        <v>-393.60104007229796</v>
      </c>
      <c r="AK103" s="5">
        <f t="shared" si="165"/>
        <v>-218.66724448461002</v>
      </c>
      <c r="AL103" s="5">
        <f t="shared" si="165"/>
        <v>-393.60104007229796</v>
      </c>
      <c r="AM103" s="5">
        <f ca="1">-AM40</f>
        <v>-307.71994191084059</v>
      </c>
      <c r="AN103" s="5">
        <f ca="1">-AN40</f>
        <v>-316.48269398424731</v>
      </c>
      <c r="AO103" s="5">
        <f ca="1">-AO40</f>
        <v>-320.1159126406618</v>
      </c>
      <c r="AP103" s="5">
        <f ca="1">-AP40</f>
        <v>-329.35084770903893</v>
      </c>
      <c r="AS103" s="5">
        <f t="shared" si="163"/>
        <v>-555.92751683999995</v>
      </c>
      <c r="AT103" s="5">
        <f t="shared" si="163"/>
        <v>-565.25575271999992</v>
      </c>
      <c r="AU103" s="5">
        <f t="shared" si="163"/>
        <v>-584.29945484747986</v>
      </c>
      <c r="AV103" s="5">
        <f t="shared" si="163"/>
        <v>-615.00837746399998</v>
      </c>
      <c r="AW103" s="5">
        <f t="shared" si="163"/>
        <v>-645.13269243757918</v>
      </c>
      <c r="AX103" s="5">
        <f t="shared" si="163"/>
        <v>-660.90071149799996</v>
      </c>
      <c r="AY103" s="5">
        <f t="shared" si="163"/>
        <v>-573.15945500000009</v>
      </c>
      <c r="AZ103" s="5">
        <f t="shared" si="163"/>
        <v>-586.64785304600002</v>
      </c>
      <c r="BA103" s="5">
        <f t="shared" si="163"/>
        <v>-634.98766209200016</v>
      </c>
      <c r="BB103" s="5">
        <f t="shared" si="163"/>
        <v>-625.43897544400011</v>
      </c>
      <c r="BC103" s="5">
        <f t="shared" si="163"/>
        <v>-658.56511999999998</v>
      </c>
      <c r="BD103" s="5">
        <f t="shared" si="163"/>
        <v>-603.33381600000007</v>
      </c>
      <c r="BE103" s="5">
        <f t="shared" si="163"/>
        <v>-611.614244942298</v>
      </c>
      <c r="BF103" s="5">
        <f t="shared" si="163"/>
        <v>-612.26828455690793</v>
      </c>
      <c r="BG103" s="5">
        <f t="shared" si="163"/>
        <v>-612.26828455690793</v>
      </c>
      <c r="BH103" s="5">
        <f t="shared" ca="1" si="163"/>
        <v>-624.20263589508795</v>
      </c>
      <c r="BI103" s="5">
        <f t="shared" ca="1" si="163"/>
        <v>-649.46676034970073</v>
      </c>
    </row>
    <row r="104" spans="2:71" x14ac:dyDescent="0.25">
      <c r="C104" t="s">
        <v>11</v>
      </c>
      <c r="D104" t="s">
        <v>32</v>
      </c>
      <c r="E104" s="21"/>
      <c r="F104" s="21">
        <f t="shared" ref="F104:P104" si="166">F105-F103-F102-F101</f>
        <v>-84.799999999997453</v>
      </c>
      <c r="G104" s="21">
        <f t="shared" si="166"/>
        <v>-418.79999999999836</v>
      </c>
      <c r="H104" s="21">
        <f t="shared" si="166"/>
        <v>0.69999999999436113</v>
      </c>
      <c r="I104" s="21">
        <f t="shared" si="166"/>
        <v>16.990089640001088</v>
      </c>
      <c r="J104" s="21">
        <f t="shared" si="166"/>
        <v>43.137427200001468</v>
      </c>
      <c r="K104" s="21">
        <f t="shared" si="166"/>
        <v>-10.150390720000019</v>
      </c>
      <c r="L104" s="21">
        <f t="shared" si="166"/>
        <v>21.406143439999994</v>
      </c>
      <c r="M104" s="21">
        <f t="shared" si="166"/>
        <v>29.035724149645489</v>
      </c>
      <c r="N104" s="21">
        <f t="shared" si="166"/>
        <v>12.263730697834376</v>
      </c>
      <c r="O104" s="21">
        <f t="shared" si="166"/>
        <v>53.034759145999942</v>
      </c>
      <c r="P104" s="21">
        <f t="shared" si="166"/>
        <v>-69.026381681999965</v>
      </c>
      <c r="Q104" s="21">
        <f t="shared" ref="Q104:X104" si="167">Q105-Q103-Q102-Q101</f>
        <v>-13.519811257036508</v>
      </c>
      <c r="R104" s="21">
        <f t="shared" si="167"/>
        <v>22.652503694615916</v>
      </c>
      <c r="S104" s="21">
        <f t="shared" si="167"/>
        <v>27.707149574999903</v>
      </c>
      <c r="T104" s="21">
        <f t="shared" si="167"/>
        <v>-32.806438076999939</v>
      </c>
      <c r="U104" s="21">
        <f t="shared" si="167"/>
        <v>-17.935574999999972</v>
      </c>
      <c r="V104" s="21">
        <f t="shared" si="167"/>
        <v>-64.904970000000048</v>
      </c>
      <c r="W104" s="21">
        <f t="shared" si="167"/>
        <v>-34.845978000000059</v>
      </c>
      <c r="X104" s="21">
        <f t="shared" si="167"/>
        <v>-56.506168954000032</v>
      </c>
      <c r="Y104" s="21">
        <f t="shared" ref="Y104:AD104" si="168">Y105-Y103-Y102-Y101</f>
        <v>19.460599439999896</v>
      </c>
      <c r="Z104" s="21">
        <f t="shared" si="168"/>
        <v>19.527062652000041</v>
      </c>
      <c r="AA104" s="21">
        <f t="shared" si="168"/>
        <v>-6.3137438839999049</v>
      </c>
      <c r="AB104" s="21">
        <f t="shared" si="168"/>
        <v>-8.247280671999988</v>
      </c>
      <c r="AC104" s="21">
        <f t="shared" si="168"/>
        <v>-4.434880000000021</v>
      </c>
      <c r="AD104" s="21">
        <f t="shared" si="168"/>
        <v>83</v>
      </c>
      <c r="AE104" s="21">
        <f>AE105-AE103-AE102-AE101</f>
        <v>4.565119999999979</v>
      </c>
      <c r="AF104" s="21">
        <f>AF105-AF103-AF102-AF101</f>
        <v>14.768696000000091</v>
      </c>
      <c r="AG104" s="21">
        <f>AG105-AG103-AG102-AG101</f>
        <v>-2.9867951300000186</v>
      </c>
      <c r="AH104" s="5">
        <f ca="1">AH86-AH98-AH103-AH102-AH101</f>
        <v>499.99999999999864</v>
      </c>
      <c r="AI104" s="5">
        <f t="shared" ref="AI104:AN104" ca="1" si="169">AI86-AI98-AI103-AI102-AI101</f>
        <v>0</v>
      </c>
      <c r="AJ104" s="5">
        <f t="shared" ca="1" si="169"/>
        <v>0</v>
      </c>
      <c r="AK104" s="5">
        <f t="shared" ca="1" si="169"/>
        <v>-3.637978807091713E-12</v>
      </c>
      <c r="AL104" s="5">
        <f t="shared" ca="1" si="169"/>
        <v>0</v>
      </c>
      <c r="AM104" s="5">
        <f t="shared" ca="1" si="169"/>
        <v>0</v>
      </c>
      <c r="AN104" s="5">
        <f t="shared" ca="1" si="169"/>
        <v>0</v>
      </c>
      <c r="AO104" s="5">
        <f t="shared" ref="AO104:AP104" ca="1" si="170">AO86-AO98-AO103-AO102-AO101</f>
        <v>0</v>
      </c>
      <c r="AP104" s="5">
        <f t="shared" ca="1" si="170"/>
        <v>0</v>
      </c>
      <c r="AS104" s="5">
        <f t="shared" si="163"/>
        <v>60.127516840002556</v>
      </c>
      <c r="AT104" s="5">
        <f t="shared" si="163"/>
        <v>11.255752719999975</v>
      </c>
      <c r="AU104" s="5">
        <f t="shared" si="163"/>
        <v>41.299454847479865</v>
      </c>
      <c r="AV104" s="5">
        <f t="shared" si="163"/>
        <v>-15.991622536000023</v>
      </c>
      <c r="AW104" s="5">
        <f t="shared" si="163"/>
        <v>9.1326924375794079</v>
      </c>
      <c r="AX104" s="5">
        <f t="shared" si="163"/>
        <v>-5.0992885020000358</v>
      </c>
      <c r="AY104" s="5">
        <f t="shared" si="163"/>
        <v>-82.84054500000002</v>
      </c>
      <c r="AZ104" s="5">
        <f t="shared" si="163"/>
        <v>-91.352146954000091</v>
      </c>
      <c r="BA104" s="5">
        <f t="shared" si="163"/>
        <v>38.987662091999937</v>
      </c>
      <c r="BB104" s="5">
        <f t="shared" si="163"/>
        <v>-14.561024555999893</v>
      </c>
      <c r="BC104" s="5">
        <f t="shared" si="163"/>
        <v>78.565119999999979</v>
      </c>
      <c r="BD104" s="5">
        <f t="shared" si="163"/>
        <v>19.33381600000007</v>
      </c>
      <c r="BE104" s="5">
        <f t="shared" ca="1" si="163"/>
        <v>497.01320486999862</v>
      </c>
      <c r="BF104" s="5">
        <f t="shared" ca="1" si="163"/>
        <v>0</v>
      </c>
      <c r="BG104" s="5">
        <f t="shared" ca="1" si="163"/>
        <v>-3.637978807091713E-12</v>
      </c>
      <c r="BH104" s="5">
        <f t="shared" ca="1" si="163"/>
        <v>0</v>
      </c>
      <c r="BI104" s="5">
        <f t="shared" ca="1" si="163"/>
        <v>0</v>
      </c>
    </row>
    <row r="105" spans="2:71" s="6" customFormat="1" x14ac:dyDescent="0.25">
      <c r="C105" s="6" t="s">
        <v>65</v>
      </c>
      <c r="D105" s="6" t="s">
        <v>32</v>
      </c>
      <c r="E105" s="33">
        <f>E89</f>
        <v>349.69999999999891</v>
      </c>
      <c r="F105" s="33">
        <f t="shared" ref="F105:P105" si="171">F89</f>
        <v>264.90000000000146</v>
      </c>
      <c r="G105" s="33">
        <f t="shared" si="171"/>
        <v>-153.89999999999691</v>
      </c>
      <c r="H105" s="33">
        <f t="shared" si="171"/>
        <v>-153.20000000000255</v>
      </c>
      <c r="I105" s="33">
        <f t="shared" si="171"/>
        <v>-114.90000000000146</v>
      </c>
      <c r="J105" s="33">
        <f t="shared" si="171"/>
        <v>-122</v>
      </c>
      <c r="K105" s="33">
        <f t="shared" si="171"/>
        <v>48</v>
      </c>
      <c r="L105" s="33">
        <f t="shared" si="171"/>
        <v>227</v>
      </c>
      <c r="M105" s="33">
        <f t="shared" si="171"/>
        <v>662</v>
      </c>
      <c r="N105" s="33">
        <f t="shared" si="171"/>
        <v>573</v>
      </c>
      <c r="O105" s="33">
        <f t="shared" si="171"/>
        <v>1025</v>
      </c>
      <c r="P105" s="33">
        <f t="shared" si="171"/>
        <v>1137</v>
      </c>
      <c r="Q105" s="33">
        <f t="shared" ref="Q105:X105" si="172">Q89</f>
        <v>1491</v>
      </c>
      <c r="R105" s="33">
        <f t="shared" si="172"/>
        <v>1526</v>
      </c>
      <c r="S105" s="33">
        <f t="shared" si="172"/>
        <v>1529</v>
      </c>
      <c r="T105" s="33">
        <f t="shared" si="172"/>
        <v>1171</v>
      </c>
      <c r="U105" s="33">
        <f t="shared" si="172"/>
        <v>1336</v>
      </c>
      <c r="V105" s="33">
        <f t="shared" si="172"/>
        <v>494</v>
      </c>
      <c r="W105" s="33">
        <f t="shared" si="172"/>
        <v>540</v>
      </c>
      <c r="X105" s="33">
        <f t="shared" si="172"/>
        <v>921</v>
      </c>
      <c r="Y105" s="33">
        <f t="shared" ref="Y105:AD105" si="173">Y89</f>
        <v>1504</v>
      </c>
      <c r="Z105" s="33">
        <f t="shared" si="173"/>
        <v>1706</v>
      </c>
      <c r="AA105" s="33">
        <f t="shared" si="173"/>
        <v>1719</v>
      </c>
      <c r="AB105" s="33">
        <f t="shared" si="173"/>
        <v>1524</v>
      </c>
      <c r="AC105" s="33">
        <f t="shared" si="173"/>
        <v>1431</v>
      </c>
      <c r="AD105" s="33">
        <f t="shared" si="173"/>
        <v>1249</v>
      </c>
      <c r="AE105" s="33">
        <f>AE89</f>
        <v>1308</v>
      </c>
      <c r="AF105" s="33">
        <f>AF89</f>
        <v>1491</v>
      </c>
      <c r="AG105" s="33">
        <f>AG89</f>
        <v>1562</v>
      </c>
      <c r="AH105" s="7">
        <f t="shared" ref="AH105:AN105" ca="1" si="174">SUM(AH101:AH104)</f>
        <v>2413.4135186754938</v>
      </c>
      <c r="AI105" s="7">
        <f t="shared" ca="1" si="174"/>
        <v>2880.235709480673</v>
      </c>
      <c r="AJ105" s="7">
        <f t="shared" ca="1" si="174"/>
        <v>3155.0398747281561</v>
      </c>
      <c r="AK105" s="7">
        <f t="shared" ca="1" si="174"/>
        <v>3605.2082882102877</v>
      </c>
      <c r="AL105" s="7">
        <f t="shared" ca="1" si="174"/>
        <v>3898.5802502642237</v>
      </c>
      <c r="AM105" s="7">
        <f t="shared" ca="1" si="174"/>
        <v>4288.195560817745</v>
      </c>
      <c r="AN105" s="7">
        <f t="shared" ca="1" si="174"/>
        <v>4687.7230365410132</v>
      </c>
      <c r="AO105" s="7">
        <f t="shared" ref="AO105:AP105" ca="1" si="175">SUM(AO101:AO104)</f>
        <v>5094.0302204137679</v>
      </c>
      <c r="AP105" s="7">
        <f t="shared" ca="1" si="175"/>
        <v>5510.7040626691987</v>
      </c>
      <c r="AR105" s="22"/>
      <c r="AV105" s="7"/>
      <c r="AW105" s="7"/>
      <c r="AX105" s="7"/>
      <c r="AY105" s="7"/>
      <c r="AZ105" s="7"/>
      <c r="BA105" s="7"/>
      <c r="BB105" s="7"/>
      <c r="BC105" s="7"/>
      <c r="BD105" s="7"/>
      <c r="BE105" s="7"/>
      <c r="BF105" s="7"/>
      <c r="BG105" s="7"/>
      <c r="BH105" s="7"/>
      <c r="BI105" s="7"/>
      <c r="BM105" s="22"/>
      <c r="BN105"/>
      <c r="BO105"/>
      <c r="BP105"/>
      <c r="BQ105"/>
      <c r="BR105"/>
      <c r="BS105"/>
    </row>
    <row r="106" spans="2:71" x14ac:dyDescent="0.25"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</row>
    <row r="107" spans="2:71" s="23" customFormat="1" x14ac:dyDescent="0.25">
      <c r="B107" s="23" t="s">
        <v>66</v>
      </c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  <c r="AA107" s="24"/>
      <c r="AB107" s="24"/>
      <c r="AC107" s="24"/>
      <c r="AD107" s="24"/>
      <c r="AE107" s="24"/>
      <c r="AF107" s="24"/>
      <c r="AG107" s="24"/>
      <c r="AH107" s="24"/>
      <c r="AI107" s="24"/>
      <c r="AJ107" s="24"/>
      <c r="AK107" s="24"/>
      <c r="AL107" s="24"/>
      <c r="AM107" s="24"/>
      <c r="AN107" s="24"/>
      <c r="AO107" s="24"/>
      <c r="AP107" s="24"/>
      <c r="AR107" s="25"/>
      <c r="AV107" s="24"/>
      <c r="AW107" s="24"/>
      <c r="AX107" s="24"/>
      <c r="AY107" s="24"/>
      <c r="AZ107" s="24"/>
      <c r="BA107" s="24"/>
      <c r="BB107" s="24"/>
      <c r="BC107" s="24"/>
      <c r="BD107" s="24"/>
      <c r="BE107" s="24"/>
      <c r="BF107" s="24"/>
      <c r="BG107" s="24"/>
      <c r="BH107" s="24"/>
      <c r="BI107" s="24"/>
      <c r="BM107" s="25"/>
      <c r="BN107"/>
      <c r="BO107"/>
      <c r="BP107"/>
      <c r="BQ107"/>
      <c r="BR107"/>
      <c r="BS107"/>
    </row>
    <row r="108" spans="2:71" x14ac:dyDescent="0.25">
      <c r="C108" t="s">
        <v>26</v>
      </c>
      <c r="D108" t="s">
        <v>67</v>
      </c>
      <c r="E108" s="29">
        <f t="shared" ref="E108:AL108" si="176">(E86-E76)/E151</f>
        <v>3.689070354516518</v>
      </c>
      <c r="F108" s="29">
        <f t="shared" si="176"/>
        <v>3.6809398678076288</v>
      </c>
      <c r="G108" s="29">
        <f t="shared" si="176"/>
        <v>3.4902377623483991</v>
      </c>
      <c r="H108" s="29">
        <f t="shared" si="176"/>
        <v>3.5035443490631546</v>
      </c>
      <c r="I108" s="29">
        <f t="shared" si="176"/>
        <v>3.5199381418654263</v>
      </c>
      <c r="J108" s="29">
        <f t="shared" si="176"/>
        <v>3.5256018860784004</v>
      </c>
      <c r="K108" s="29">
        <f t="shared" si="176"/>
        <v>3.6023466649242111</v>
      </c>
      <c r="L108" s="29">
        <f t="shared" si="176"/>
        <v>3.6791016148905258</v>
      </c>
      <c r="M108" s="29">
        <f t="shared" si="176"/>
        <v>3.8656617328337153</v>
      </c>
      <c r="N108" s="29">
        <f t="shared" si="176"/>
        <v>3.8171065028513431</v>
      </c>
      <c r="O108" s="29">
        <f t="shared" si="176"/>
        <v>4.0007687679679274</v>
      </c>
      <c r="P108" s="29">
        <f t="shared" si="176"/>
        <v>4.0402743244628869</v>
      </c>
      <c r="Q108" s="29">
        <f t="shared" si="176"/>
        <v>4.1758696026099482</v>
      </c>
      <c r="R108" s="29">
        <f t="shared" si="176"/>
        <v>4.1824418939380772</v>
      </c>
      <c r="S108" s="29">
        <f t="shared" si="176"/>
        <v>4.1871113764495869</v>
      </c>
      <c r="T108" s="29">
        <f t="shared" si="176"/>
        <v>4.0409310405270391</v>
      </c>
      <c r="U108" s="29">
        <f t="shared" si="176"/>
        <v>4.12865735591852</v>
      </c>
      <c r="V108" s="29">
        <f t="shared" si="176"/>
        <v>3.7758776918370822</v>
      </c>
      <c r="W108" s="29">
        <f t="shared" si="176"/>
        <v>3.7860626879281787</v>
      </c>
      <c r="X108" s="29">
        <f t="shared" si="176"/>
        <v>3.9825372223273314</v>
      </c>
      <c r="Y108" s="29">
        <f t="shared" si="176"/>
        <v>4.2275971018962268</v>
      </c>
      <c r="Z108" s="29">
        <f t="shared" si="176"/>
        <v>4.3130538804125598</v>
      </c>
      <c r="AA108" s="29">
        <f t="shared" si="176"/>
        <v>4.3134727861896005</v>
      </c>
      <c r="AB108" s="29">
        <f t="shared" si="176"/>
        <v>4.2368130289911257</v>
      </c>
      <c r="AC108" s="29">
        <f t="shared" si="176"/>
        <v>4.2051766871083229</v>
      </c>
      <c r="AD108" s="29">
        <f t="shared" si="176"/>
        <v>4.1296119667649567</v>
      </c>
      <c r="AE108" s="29">
        <f>(AE86-AE76)/AE151</f>
        <v>4.1527011868698747</v>
      </c>
      <c r="AF108" s="29">
        <f t="shared" si="176"/>
        <v>4.2228202305341487</v>
      </c>
      <c r="AG108" s="29">
        <f t="shared" si="176"/>
        <v>4.2499719251065384</v>
      </c>
      <c r="AH108" s="29">
        <f t="shared" ca="1" si="176"/>
        <v>4.6056347247716616</v>
      </c>
      <c r="AI108" s="29">
        <f t="shared" ca="1" si="176"/>
        <v>4.7977713992493198</v>
      </c>
      <c r="AJ108" s="29">
        <f t="shared" ca="1" si="176"/>
        <v>4.9108764732651684</v>
      </c>
      <c r="AK108" s="29">
        <f t="shared" ca="1" si="176"/>
        <v>5.0961587148230416</v>
      </c>
      <c r="AL108" s="29">
        <f t="shared" ca="1" si="176"/>
        <v>5.2169060020863265</v>
      </c>
      <c r="AM108" s="29">
        <f ca="1">(AM86-AM76)/AM151</f>
        <v>5.3772655384790085</v>
      </c>
      <c r="AN108" s="29">
        <f ca="1">(AN86-AN76)/AN151</f>
        <v>5.5417047662190591</v>
      </c>
      <c r="AO108" s="29">
        <f ca="1">(AO86-AO76)/AO151</f>
        <v>5.7089344152446202</v>
      </c>
      <c r="AP108" s="29">
        <f ca="1">(AP86-AP76)/AP151</f>
        <v>5.8804308178785671</v>
      </c>
      <c r="AS108" s="5">
        <f t="shared" ref="AS108:BF108" si="177">(AS86-AS76)/AS151</f>
        <v>3.5256018860784004</v>
      </c>
      <c r="AT108" s="5">
        <f t="shared" si="177"/>
        <v>3.6791016148905258</v>
      </c>
      <c r="AU108" s="5">
        <f t="shared" si="177"/>
        <v>3.8171065028513431</v>
      </c>
      <c r="AV108" s="5">
        <f t="shared" si="177"/>
        <v>4.0402743244628869</v>
      </c>
      <c r="AW108" s="5">
        <f t="shared" si="177"/>
        <v>4.1824418939380772</v>
      </c>
      <c r="AX108" s="5">
        <f t="shared" si="177"/>
        <v>4.0409310405270391</v>
      </c>
      <c r="AY108" s="5">
        <f t="shared" si="177"/>
        <v>3.7758776918370822</v>
      </c>
      <c r="AZ108" s="5">
        <f t="shared" si="177"/>
        <v>3.9825372223273314</v>
      </c>
      <c r="BA108" s="5">
        <f t="shared" si="177"/>
        <v>4.3130538804125598</v>
      </c>
      <c r="BB108" s="5">
        <f t="shared" si="177"/>
        <v>4.2368130289911257</v>
      </c>
      <c r="BC108" s="5">
        <f t="shared" si="177"/>
        <v>4.1296119667649567</v>
      </c>
      <c r="BD108" s="5">
        <f t="shared" si="177"/>
        <v>4.2228202305341487</v>
      </c>
      <c r="BE108" s="5">
        <f t="shared" ca="1" si="177"/>
        <v>4.6056347247716616</v>
      </c>
      <c r="BF108" s="5">
        <f t="shared" ca="1" si="177"/>
        <v>4.9108764732651684</v>
      </c>
      <c r="BG108" s="5">
        <f ca="1">(BG86-BG76)/BG151</f>
        <v>5.2169060020863265</v>
      </c>
      <c r="BH108" s="5">
        <f ca="1">(BH86-BH76)/BH151</f>
        <v>5.5417047662190591</v>
      </c>
      <c r="BI108" s="5">
        <f ca="1">(BI86-BI76)/BI151</f>
        <v>5.8804308178785671</v>
      </c>
    </row>
    <row r="109" spans="2:71" x14ac:dyDescent="0.25">
      <c r="C109" t="s">
        <v>68</v>
      </c>
      <c r="D109" t="s">
        <v>38</v>
      </c>
      <c r="E109" s="8">
        <f t="shared" ref="E109:P109" si="178">(E82-E70)/(E78-E76-E70)</f>
        <v>0.17091999666768493</v>
      </c>
      <c r="F109" s="8">
        <f t="shared" si="178"/>
        <v>0.19129375354474606</v>
      </c>
      <c r="G109" s="8">
        <f t="shared" si="178"/>
        <v>0.20358638462364428</v>
      </c>
      <c r="H109" s="8">
        <f t="shared" si="178"/>
        <v>0.16278595366457821</v>
      </c>
      <c r="I109" s="8">
        <f t="shared" si="178"/>
        <v>0.19139682040880457</v>
      </c>
      <c r="J109" s="8">
        <f t="shared" si="178"/>
        <v>0.19807890222984562</v>
      </c>
      <c r="K109" s="8">
        <f t="shared" si="178"/>
        <v>0.18640456388755242</v>
      </c>
      <c r="L109" s="8">
        <f t="shared" si="178"/>
        <v>0.20134532048379794</v>
      </c>
      <c r="M109" s="8">
        <f t="shared" si="178"/>
        <v>0.20968836778771985</v>
      </c>
      <c r="N109" s="8">
        <f t="shared" si="178"/>
        <v>0.21622923188056825</v>
      </c>
      <c r="O109" s="8">
        <f t="shared" si="178"/>
        <v>0.21363903586125807</v>
      </c>
      <c r="P109" s="8">
        <f t="shared" si="178"/>
        <v>0.19244488626396117</v>
      </c>
      <c r="Q109" s="8">
        <f t="shared" ref="Q109:AL109" si="179">(Q82-Q70)/(Q78-Q76-Q70)</f>
        <v>0.19547491765214103</v>
      </c>
      <c r="R109" s="8">
        <f t="shared" si="179"/>
        <v>0.19212321466638244</v>
      </c>
      <c r="S109" s="8">
        <f t="shared" si="179"/>
        <v>0.23554581506992278</v>
      </c>
      <c r="T109" s="8">
        <f t="shared" si="179"/>
        <v>0.24450873245473054</v>
      </c>
      <c r="U109" s="8">
        <f t="shared" si="179"/>
        <v>0.23882814987793227</v>
      </c>
      <c r="V109" s="8">
        <f t="shared" si="179"/>
        <v>0.24594478461703728</v>
      </c>
      <c r="W109" s="8">
        <f t="shared" si="179"/>
        <v>0.22343354874964877</v>
      </c>
      <c r="X109" s="8">
        <f t="shared" si="179"/>
        <v>0.19882652496402081</v>
      </c>
      <c r="Y109" s="8">
        <f t="shared" si="179"/>
        <v>0.21158049921203803</v>
      </c>
      <c r="Z109" s="8">
        <f t="shared" si="179"/>
        <v>0.20499724600670974</v>
      </c>
      <c r="AA109" s="8">
        <f t="shared" si="179"/>
        <v>0.22129624078182145</v>
      </c>
      <c r="AB109" s="8">
        <f t="shared" si="179"/>
        <v>0.22297172993193107</v>
      </c>
      <c r="AC109" s="8">
        <f t="shared" si="179"/>
        <v>0.27295462665237585</v>
      </c>
      <c r="AD109" s="8">
        <f t="shared" si="179"/>
        <v>0.24630027632790913</v>
      </c>
      <c r="AE109" s="8">
        <f t="shared" si="179"/>
        <v>0.29286425100977581</v>
      </c>
      <c r="AF109" s="8">
        <f t="shared" si="179"/>
        <v>0.26588442358462894</v>
      </c>
      <c r="AG109" s="8">
        <f t="shared" si="179"/>
        <v>0.28835993245819491</v>
      </c>
      <c r="AH109" s="8">
        <f t="shared" ca="1" si="179"/>
        <v>0.24508271658240011</v>
      </c>
      <c r="AI109" s="8">
        <f t="shared" ca="1" si="179"/>
        <v>0.24911232075985926</v>
      </c>
      <c r="AJ109" s="8">
        <f t="shared" ca="1" si="179"/>
        <v>0.2434726253409035</v>
      </c>
      <c r="AK109" s="8">
        <f t="shared" ca="1" si="179"/>
        <v>0.24671127418188735</v>
      </c>
      <c r="AL109" s="8">
        <f t="shared" ca="1" si="179"/>
        <v>0.24037620809377791</v>
      </c>
      <c r="AM109" s="8">
        <f ca="1">(AM82-AM70)/(AM78-AM76-AM70)</f>
        <v>0.242457064087061</v>
      </c>
      <c r="AN109" s="8">
        <f ca="1">(AN82-AN70)/(AN78-AN76-AN70)</f>
        <v>0.2395171743667211</v>
      </c>
      <c r="AO109" s="8">
        <f ca="1">(AO82-AO70)/(AO78-AO76-AO70)</f>
        <v>0.23690903189533566</v>
      </c>
      <c r="AP109" s="8">
        <f ca="1">(AP82-AP70)/(AP78-AP76-AP70)</f>
        <v>0.23361075538641385</v>
      </c>
      <c r="AS109" s="8">
        <f t="shared" ref="AS109:BF109" si="180">(AS82-AS70)/(AS78-AS76-AS70)</f>
        <v>0.19807890222984562</v>
      </c>
      <c r="AT109" s="8">
        <f t="shared" si="180"/>
        <v>0.20134532048379794</v>
      </c>
      <c r="AU109" s="8">
        <f t="shared" si="180"/>
        <v>0.21622923188056825</v>
      </c>
      <c r="AV109" s="8">
        <f t="shared" si="180"/>
        <v>0.19244488626396117</v>
      </c>
      <c r="AW109" s="8">
        <f t="shared" si="180"/>
        <v>0.19212321466638244</v>
      </c>
      <c r="AX109" s="8">
        <f t="shared" si="180"/>
        <v>0.24450873245473054</v>
      </c>
      <c r="AY109" s="8">
        <f t="shared" si="180"/>
        <v>0.24594478461703728</v>
      </c>
      <c r="AZ109" s="8">
        <f t="shared" si="180"/>
        <v>0.19882652496402081</v>
      </c>
      <c r="BA109" s="8">
        <f t="shared" si="180"/>
        <v>0.20499724600670974</v>
      </c>
      <c r="BB109" s="8">
        <f t="shared" si="180"/>
        <v>0.22297172993193107</v>
      </c>
      <c r="BC109" s="8">
        <f t="shared" si="180"/>
        <v>0.24630027632790913</v>
      </c>
      <c r="BD109" s="8">
        <f t="shared" si="180"/>
        <v>0.26588442358462894</v>
      </c>
      <c r="BE109" s="8">
        <f t="shared" ca="1" si="180"/>
        <v>0.24508271658240011</v>
      </c>
      <c r="BF109" s="8">
        <f t="shared" ca="1" si="180"/>
        <v>0.2434726253409035</v>
      </c>
      <c r="BG109" s="8">
        <f ca="1">(BG82-BG70)/(BG78-BG76-BG70)</f>
        <v>0.24037620809377791</v>
      </c>
      <c r="BH109" s="8">
        <f ca="1">(BH82-BH70)/(BH78-BH76-BH70)</f>
        <v>0.2395171743667211</v>
      </c>
      <c r="BI109" s="8">
        <f ca="1">(BI82-BI70)/(BI78-BI76-BI70)</f>
        <v>0.23361075538641385</v>
      </c>
    </row>
    <row r="110" spans="2:71" s="10" customFormat="1" x14ac:dyDescent="0.25">
      <c r="C110" s="10" t="s">
        <v>69</v>
      </c>
      <c r="D110" s="10" t="s">
        <v>32</v>
      </c>
      <c r="E110" s="11"/>
      <c r="F110" s="11"/>
      <c r="G110" s="11"/>
      <c r="H110" s="11"/>
      <c r="I110" s="11"/>
      <c r="J110" s="11"/>
      <c r="K110" s="11"/>
      <c r="L110" s="11"/>
      <c r="M110" s="11"/>
      <c r="N110" s="79">
        <v>-480</v>
      </c>
      <c r="O110" s="79">
        <v>-570</v>
      </c>
      <c r="P110" s="79">
        <v>-760</v>
      </c>
      <c r="Q110" s="79">
        <v>-820</v>
      </c>
      <c r="R110" s="79">
        <v>-730</v>
      </c>
      <c r="S110" s="79">
        <v>-730</v>
      </c>
      <c r="T110" s="79">
        <v>-580</v>
      </c>
      <c r="U110" s="79">
        <v>-570</v>
      </c>
      <c r="V110" s="79">
        <v>-210</v>
      </c>
      <c r="W110" s="79">
        <v>-440</v>
      </c>
      <c r="X110" s="79">
        <v>-360</v>
      </c>
      <c r="Y110" s="79">
        <v>-550</v>
      </c>
      <c r="Z110" s="79">
        <v>-750</v>
      </c>
      <c r="AA110" s="79">
        <v>0</v>
      </c>
      <c r="AB110" s="79">
        <v>90</v>
      </c>
      <c r="AC110" s="79">
        <v>110</v>
      </c>
      <c r="AD110" s="79">
        <f t="shared" ref="AD110:AL110" si="181">AC110</f>
        <v>110</v>
      </c>
      <c r="AE110" s="79">
        <v>320</v>
      </c>
      <c r="AF110" s="79">
        <f t="shared" si="181"/>
        <v>320</v>
      </c>
      <c r="AG110" s="79">
        <v>180</v>
      </c>
      <c r="AH110" s="11">
        <f t="shared" si="181"/>
        <v>180</v>
      </c>
      <c r="AI110" s="11">
        <f t="shared" si="181"/>
        <v>180</v>
      </c>
      <c r="AJ110" s="11">
        <f t="shared" si="181"/>
        <v>180</v>
      </c>
      <c r="AK110" s="11">
        <f t="shared" si="181"/>
        <v>180</v>
      </c>
      <c r="AL110" s="11">
        <f t="shared" si="181"/>
        <v>180</v>
      </c>
      <c r="AM110" s="11">
        <f>AL110</f>
        <v>180</v>
      </c>
      <c r="AN110" s="11">
        <f>AM110</f>
        <v>180</v>
      </c>
      <c r="AO110" s="11">
        <f>AN110</f>
        <v>180</v>
      </c>
      <c r="AP110" s="11">
        <f>AO110</f>
        <v>180</v>
      </c>
      <c r="AR110" s="28"/>
      <c r="AS110" s="11">
        <f t="shared" ref="AS110:BI110" si="182">SUMIF($E$2:$AR$2,AS$2,$E110:$AR110)</f>
        <v>0</v>
      </c>
      <c r="AT110" s="11">
        <f t="shared" si="182"/>
        <v>0</v>
      </c>
      <c r="AU110" s="11">
        <f t="shared" si="182"/>
        <v>-480</v>
      </c>
      <c r="AV110" s="11">
        <f t="shared" si="182"/>
        <v>-760</v>
      </c>
      <c r="AW110" s="11">
        <f t="shared" si="182"/>
        <v>-730</v>
      </c>
      <c r="AX110" s="11">
        <f t="shared" si="182"/>
        <v>-580</v>
      </c>
      <c r="AY110" s="11">
        <f t="shared" si="182"/>
        <v>-210</v>
      </c>
      <c r="AZ110" s="11">
        <f t="shared" si="182"/>
        <v>-360</v>
      </c>
      <c r="BA110" s="11">
        <f t="shared" si="182"/>
        <v>-750</v>
      </c>
      <c r="BB110" s="11">
        <f t="shared" si="182"/>
        <v>90</v>
      </c>
      <c r="BC110" s="11">
        <f t="shared" si="182"/>
        <v>110</v>
      </c>
      <c r="BD110" s="11">
        <f t="shared" si="182"/>
        <v>320</v>
      </c>
      <c r="BE110" s="11">
        <f t="shared" si="182"/>
        <v>180</v>
      </c>
      <c r="BF110" s="11">
        <f t="shared" si="182"/>
        <v>180</v>
      </c>
      <c r="BG110" s="11">
        <f t="shared" si="182"/>
        <v>180</v>
      </c>
      <c r="BH110" s="11">
        <f t="shared" si="182"/>
        <v>180</v>
      </c>
      <c r="BI110" s="11">
        <f t="shared" si="182"/>
        <v>180</v>
      </c>
      <c r="BM110" s="28"/>
      <c r="BN110"/>
      <c r="BO110"/>
      <c r="BP110"/>
      <c r="BQ110"/>
      <c r="BR110"/>
      <c r="BS110"/>
    </row>
    <row r="111" spans="2:71" x14ac:dyDescent="0.25">
      <c r="C111" t="s">
        <v>70</v>
      </c>
      <c r="D111" t="s">
        <v>38</v>
      </c>
      <c r="E111" s="8">
        <f t="shared" ref="E111:P111" si="183">(E82-E70-E110)/(E78-E76-E70-E110)</f>
        <v>0.17091999666768493</v>
      </c>
      <c r="F111" s="8">
        <f t="shared" si="183"/>
        <v>0.19129375354474606</v>
      </c>
      <c r="G111" s="8">
        <f t="shared" si="183"/>
        <v>0.20358638462364428</v>
      </c>
      <c r="H111" s="8">
        <f t="shared" si="183"/>
        <v>0.16278595366457821</v>
      </c>
      <c r="I111" s="8">
        <f t="shared" si="183"/>
        <v>0.19139682040880457</v>
      </c>
      <c r="J111" s="8">
        <f t="shared" si="183"/>
        <v>0.19807890222984562</v>
      </c>
      <c r="K111" s="8">
        <f t="shared" si="183"/>
        <v>0.18640456388755242</v>
      </c>
      <c r="L111" s="8">
        <f t="shared" si="183"/>
        <v>0.20134532048379794</v>
      </c>
      <c r="M111" s="8">
        <f t="shared" si="183"/>
        <v>0.20968836778771985</v>
      </c>
      <c r="N111" s="8">
        <f t="shared" si="183"/>
        <v>0.23824011233325532</v>
      </c>
      <c r="O111" s="8">
        <f t="shared" si="183"/>
        <v>0.23913538111490329</v>
      </c>
      <c r="P111" s="8">
        <f t="shared" si="183"/>
        <v>0.22680700968590783</v>
      </c>
      <c r="Q111" s="8">
        <f t="shared" ref="Q111:AL111" si="184">(Q82-Q70-Q110)/(Q78-Q76-Q70-Q110)</f>
        <v>0.22958787941465433</v>
      </c>
      <c r="R111" s="8">
        <f t="shared" si="184"/>
        <v>0.22237611572791627</v>
      </c>
      <c r="S111" s="8">
        <f t="shared" si="184"/>
        <v>0.26359706444154019</v>
      </c>
      <c r="T111" s="8">
        <f t="shared" si="184"/>
        <v>0.26727631715681183</v>
      </c>
      <c r="U111" s="8">
        <f t="shared" si="184"/>
        <v>0.26117865237997118</v>
      </c>
      <c r="V111" s="8">
        <f t="shared" si="184"/>
        <v>0.25435521563628638</v>
      </c>
      <c r="W111" s="8">
        <f t="shared" si="184"/>
        <v>0.24217164792980531</v>
      </c>
      <c r="X111" s="8">
        <f t="shared" si="184"/>
        <v>0.2144795397807446</v>
      </c>
      <c r="Y111" s="8">
        <f t="shared" si="184"/>
        <v>0.23302507294396915</v>
      </c>
      <c r="Z111" s="8">
        <f t="shared" si="184"/>
        <v>0.23377250132715602</v>
      </c>
      <c r="AA111" s="8">
        <f t="shared" si="184"/>
        <v>0.22129624078182145</v>
      </c>
      <c r="AB111" s="8">
        <f t="shared" si="184"/>
        <v>0.21865943146081274</v>
      </c>
      <c r="AC111" s="8">
        <f t="shared" si="184"/>
        <v>0.26816111244305924</v>
      </c>
      <c r="AD111" s="8">
        <f t="shared" si="184"/>
        <v>0.24117465224111284</v>
      </c>
      <c r="AE111" s="8">
        <f t="shared" si="184"/>
        <v>0.27936526874664441</v>
      </c>
      <c r="AF111" s="8">
        <f t="shared" si="184"/>
        <v>0.25183856502242152</v>
      </c>
      <c r="AG111" s="8">
        <f t="shared" si="184"/>
        <v>0.28131360360855934</v>
      </c>
      <c r="AH111" s="8">
        <f t="shared" ca="1" si="184"/>
        <v>0.23775528238778171</v>
      </c>
      <c r="AI111" s="8">
        <f t="shared" ca="1" si="184"/>
        <v>0.24201132346185308</v>
      </c>
      <c r="AJ111" s="8">
        <f t="shared" ca="1" si="184"/>
        <v>0.23648397646942915</v>
      </c>
      <c r="AK111" s="8">
        <f t="shared" ca="1" si="184"/>
        <v>0.23990959830618314</v>
      </c>
      <c r="AL111" s="8">
        <f t="shared" ca="1" si="184"/>
        <v>0.23366832659905498</v>
      </c>
      <c r="AM111" s="8">
        <f ca="1">(AM82-AM70-AM110)/(AM78-AM76-AM70-AM110)</f>
        <v>0.23591438161907319</v>
      </c>
      <c r="AN111" s="8">
        <f ca="1">(AN82-AN70-AN110)/(AN78-AN76-AN70-AN110)</f>
        <v>0.23308961615902052</v>
      </c>
      <c r="AO111" s="8">
        <f ca="1">(AO82-AO70-AO110)/(AO78-AO76-AO70-AO110)</f>
        <v>0.2305968960881197</v>
      </c>
      <c r="AP111" s="8">
        <f ca="1">(AP82-AP70-AP110)/(AP78-AP76-AP70-AP110)</f>
        <v>0.22740293768895067</v>
      </c>
      <c r="AS111" s="8">
        <f t="shared" ref="AS111:BG111" si="185">(AS82-AS70-AS110)/(AS78-AS76-AS70-AS110)</f>
        <v>0.19807890222984562</v>
      </c>
      <c r="AT111" s="8">
        <f t="shared" si="185"/>
        <v>0.20134532048379794</v>
      </c>
      <c r="AU111" s="8">
        <f t="shared" si="185"/>
        <v>0.23824011233325532</v>
      </c>
      <c r="AV111" s="8">
        <f t="shared" si="185"/>
        <v>0.22680700968590783</v>
      </c>
      <c r="AW111" s="8">
        <f t="shared" si="185"/>
        <v>0.22237611572791627</v>
      </c>
      <c r="AX111" s="8">
        <f t="shared" si="185"/>
        <v>0.26727631715681183</v>
      </c>
      <c r="AY111" s="8">
        <f t="shared" si="185"/>
        <v>0.25435521563628638</v>
      </c>
      <c r="AZ111" s="8">
        <f t="shared" si="185"/>
        <v>0.2144795397807446</v>
      </c>
      <c r="BA111" s="8">
        <f t="shared" si="185"/>
        <v>0.23377250132715602</v>
      </c>
      <c r="BB111" s="8">
        <f t="shared" si="185"/>
        <v>0.21865943146081274</v>
      </c>
      <c r="BC111" s="8">
        <f t="shared" si="185"/>
        <v>0.24117465224111284</v>
      </c>
      <c r="BD111" s="8">
        <f t="shared" si="185"/>
        <v>0.25183856502242152</v>
      </c>
      <c r="BE111" s="8">
        <f t="shared" ca="1" si="185"/>
        <v>0.23775528238778171</v>
      </c>
      <c r="BF111" s="8">
        <f t="shared" ca="1" si="185"/>
        <v>0.23648397646942915</v>
      </c>
      <c r="BG111" s="8">
        <f t="shared" ca="1" si="185"/>
        <v>0.23366832659905498</v>
      </c>
      <c r="BH111" s="8">
        <f ca="1">(BH82-BH70-BH110)/(BH78-BH76-BH70-BH110)</f>
        <v>0.23308961615902052</v>
      </c>
      <c r="BI111" s="8">
        <f ca="1">(BI82-BI70-BI110)/(BI78-BI76-BI70-BI110)</f>
        <v>0.22740293768895067</v>
      </c>
    </row>
    <row r="112" spans="2:71" x14ac:dyDescent="0.25">
      <c r="C112" t="s">
        <v>10</v>
      </c>
      <c r="D112" t="s">
        <v>71</v>
      </c>
      <c r="E112" s="5"/>
      <c r="F112" s="5"/>
      <c r="G112" s="5"/>
      <c r="H112" s="5"/>
      <c r="I112" s="5">
        <f t="shared" ref="I112:AL112" si="186">I27/I29*-1</f>
        <v>8.0789473684210531</v>
      </c>
      <c r="J112" s="5">
        <f t="shared" si="186"/>
        <v>8.4146341463414629</v>
      </c>
      <c r="K112" s="5">
        <f t="shared" si="186"/>
        <v>9.5277777777777786</v>
      </c>
      <c r="L112" s="5">
        <f t="shared" si="186"/>
        <v>11.606060606060606</v>
      </c>
      <c r="M112" s="5">
        <f t="shared" si="186"/>
        <v>10</v>
      </c>
      <c r="N112" s="5">
        <f t="shared" si="186"/>
        <v>12.055555555555555</v>
      </c>
      <c r="O112" s="5">
        <f t="shared" si="186"/>
        <v>10.225</v>
      </c>
      <c r="P112" s="5">
        <f t="shared" si="186"/>
        <v>12.102564102564102</v>
      </c>
      <c r="Q112" s="5">
        <f t="shared" si="186"/>
        <v>13.111111111111111</v>
      </c>
      <c r="R112" s="5">
        <f t="shared" si="186"/>
        <v>12.236842105263158</v>
      </c>
      <c r="S112" s="5">
        <f t="shared" si="186"/>
        <v>12</v>
      </c>
      <c r="T112" s="5">
        <f t="shared" si="186"/>
        <v>11.652173913043478</v>
      </c>
      <c r="U112" s="5">
        <f t="shared" si="186"/>
        <v>9</v>
      </c>
      <c r="V112" s="5">
        <f t="shared" si="186"/>
        <v>12.605263157894736</v>
      </c>
      <c r="W112" s="5">
        <f t="shared" si="186"/>
        <v>9.7727272727272734</v>
      </c>
      <c r="X112" s="5">
        <f t="shared" si="186"/>
        <v>10.571428571428571</v>
      </c>
      <c r="Y112" s="5">
        <f t="shared" si="186"/>
        <v>10.45945945945946</v>
      </c>
      <c r="Z112" s="5">
        <f t="shared" si="186"/>
        <v>15.4</v>
      </c>
      <c r="AA112" s="5">
        <f t="shared" si="186"/>
        <v>11.696969696969697</v>
      </c>
      <c r="AB112" s="5">
        <f t="shared" si="186"/>
        <v>13.619047619047619</v>
      </c>
      <c r="AC112" s="5">
        <f t="shared" si="186"/>
        <v>5.836363636363636</v>
      </c>
      <c r="AD112" s="5">
        <f t="shared" si="186"/>
        <v>13.020833333333334</v>
      </c>
      <c r="AE112" s="5">
        <f t="shared" si="186"/>
        <v>8.1714285714285708</v>
      </c>
      <c r="AF112" s="5">
        <f t="shared" si="186"/>
        <v>15.340909090909092</v>
      </c>
      <c r="AG112" s="5">
        <f t="shared" si="186"/>
        <v>13.5</v>
      </c>
      <c r="AH112" s="5">
        <f t="shared" ca="1" si="186"/>
        <v>24.409704077017533</v>
      </c>
      <c r="AI112" s="5">
        <f t="shared" ca="1" si="186"/>
        <v>19.744970146653966</v>
      </c>
      <c r="AJ112" s="5">
        <f t="shared" ca="1" si="186"/>
        <v>15.354487712077535</v>
      </c>
      <c r="AK112" s="5">
        <f t="shared" ca="1" si="186"/>
        <v>13.629594793500157</v>
      </c>
      <c r="AL112" s="5">
        <f t="shared" ca="1" si="186"/>
        <v>12.621350049278016</v>
      </c>
      <c r="AM112" s="5">
        <f ca="1">AM27/AM29*-1</f>
        <v>11.735073903945933</v>
      </c>
      <c r="AN112" s="5">
        <f ca="1">AN27/AN29*-1</f>
        <v>10.968596546294835</v>
      </c>
      <c r="AO112" s="5">
        <f ca="1">AO27/AO29*-1</f>
        <v>10.199655008901594</v>
      </c>
      <c r="AP112" s="5">
        <f ca="1">AP27/AP29*-1</f>
        <v>9.6634334700928868</v>
      </c>
      <c r="AS112" s="5">
        <f t="shared" ref="AS112:BF112" si="187">AS27/AS29*-1</f>
        <v>8.2531645569620249</v>
      </c>
      <c r="AT112" s="5">
        <f t="shared" si="187"/>
        <v>10.521739130434783</v>
      </c>
      <c r="AU112" s="5">
        <f t="shared" si="187"/>
        <v>11</v>
      </c>
      <c r="AV112" s="5">
        <f t="shared" si="187"/>
        <v>11.151898734177216</v>
      </c>
      <c r="AW112" s="5">
        <f t="shared" si="187"/>
        <v>12.662162162162161</v>
      </c>
      <c r="AX112" s="5">
        <f t="shared" si="187"/>
        <v>11.80722891566265</v>
      </c>
      <c r="AY112" s="5">
        <f t="shared" si="187"/>
        <v>10.593023255813954</v>
      </c>
      <c r="AZ112" s="5">
        <f t="shared" si="187"/>
        <v>10.162790697674419</v>
      </c>
      <c r="BA112" s="5">
        <f t="shared" si="187"/>
        <v>12.861111111111111</v>
      </c>
      <c r="BB112" s="5">
        <f t="shared" si="187"/>
        <v>12.773333333333333</v>
      </c>
      <c r="BC112" s="5">
        <f t="shared" si="187"/>
        <v>9.1844660194174761</v>
      </c>
      <c r="BD112" s="5">
        <f t="shared" si="187"/>
        <v>12.164556962025317</v>
      </c>
      <c r="BE112" s="5">
        <f t="shared" ca="1" si="187"/>
        <v>19.044084211290116</v>
      </c>
      <c r="BF112" s="5">
        <f t="shared" ca="1" si="187"/>
        <v>17.229234660924362</v>
      </c>
      <c r="BG112" s="5">
        <f ca="1">BG27/BG29*-1</f>
        <v>13.097342594506365</v>
      </c>
      <c r="BH112" s="5">
        <f ca="1">BH27/BH29*-1</f>
        <v>11.332253121588716</v>
      </c>
      <c r="BI112" s="5">
        <f ca="1">BI27/BI29*-1</f>
        <v>9.9196684596803557</v>
      </c>
    </row>
    <row r="113" spans="1:71" x14ac:dyDescent="0.25">
      <c r="C113" t="s">
        <v>12</v>
      </c>
      <c r="D113" t="s">
        <v>38</v>
      </c>
      <c r="E113" s="8">
        <f t="shared" ref="E113:AL113" si="188">E31/E82</f>
        <v>0</v>
      </c>
      <c r="F113" s="8">
        <f t="shared" si="188"/>
        <v>0</v>
      </c>
      <c r="G113" s="8">
        <f t="shared" si="188"/>
        <v>0</v>
      </c>
      <c r="H113" s="8">
        <f t="shared" si="188"/>
        <v>0</v>
      </c>
      <c r="I113" s="8">
        <f t="shared" si="188"/>
        <v>9.338008123025654E-2</v>
      </c>
      <c r="J113" s="8">
        <f t="shared" si="188"/>
        <v>9.7498396407953811E-2</v>
      </c>
      <c r="K113" s="8">
        <f t="shared" si="188"/>
        <v>9.4899536321483777E-2</v>
      </c>
      <c r="L113" s="8">
        <f t="shared" si="188"/>
        <v>0.10660980810234541</v>
      </c>
      <c r="M113" s="8">
        <f t="shared" si="188"/>
        <v>9.3010606472667942E-2</v>
      </c>
      <c r="N113" s="8">
        <f t="shared" si="188"/>
        <v>0.10473684210526316</v>
      </c>
      <c r="O113" s="8">
        <f t="shared" si="188"/>
        <v>9.4228804902962204E-2</v>
      </c>
      <c r="P113" s="8">
        <f t="shared" si="188"/>
        <v>0.12269764805894021</v>
      </c>
      <c r="Q113" s="8">
        <f t="shared" si="188"/>
        <v>0.11491829204006326</v>
      </c>
      <c r="R113" s="8">
        <f t="shared" si="188"/>
        <v>0.10843067546978162</v>
      </c>
      <c r="S113" s="8">
        <f t="shared" si="188"/>
        <v>8.6743393009377667E-2</v>
      </c>
      <c r="T113" s="8">
        <f t="shared" si="188"/>
        <v>0.10416666666666667</v>
      </c>
      <c r="U113" s="8">
        <f t="shared" si="188"/>
        <v>8.092729188619599E-2</v>
      </c>
      <c r="V113" s="8">
        <f t="shared" si="188"/>
        <v>8.7813620071684584E-2</v>
      </c>
      <c r="W113" s="8">
        <f t="shared" si="188"/>
        <v>8.752834467120181E-2</v>
      </c>
      <c r="X113" s="8">
        <f t="shared" si="188"/>
        <v>8.456037021455616E-2</v>
      </c>
      <c r="Y113" s="8">
        <f t="shared" si="188"/>
        <v>7.8846587069159715E-2</v>
      </c>
      <c r="Z113" s="8">
        <f t="shared" si="188"/>
        <v>0.11270125223613596</v>
      </c>
      <c r="AA113" s="8">
        <f t="shared" si="188"/>
        <v>9.053603488073865E-2</v>
      </c>
      <c r="AB113" s="8">
        <f t="shared" si="188"/>
        <v>0.12643972357307398</v>
      </c>
      <c r="AC113" s="8">
        <f t="shared" si="188"/>
        <v>5.0407428463141939E-2</v>
      </c>
      <c r="AD113" s="8">
        <f t="shared" si="188"/>
        <v>0.10993657505285412</v>
      </c>
      <c r="AE113" s="8">
        <f t="shared" si="188"/>
        <v>4.5561807950626247E-2</v>
      </c>
      <c r="AF113" s="8">
        <f t="shared" si="188"/>
        <v>0.10754972002317049</v>
      </c>
      <c r="AG113" s="8">
        <f t="shared" si="188"/>
        <v>5.7319223985890649E-2</v>
      </c>
      <c r="AH113" s="8">
        <f t="shared" ca="1" si="188"/>
        <v>0.11358074532031261</v>
      </c>
      <c r="AI113" s="8">
        <f t="shared" ca="1" si="188"/>
        <v>9.1817902741890098E-2</v>
      </c>
      <c r="AJ113" s="8">
        <f t="shared" ca="1" si="188"/>
        <v>9.1869171851704276E-2</v>
      </c>
      <c r="AK113" s="8">
        <f t="shared" ca="1" si="188"/>
        <v>9.0459404982168964E-2</v>
      </c>
      <c r="AL113" s="8">
        <f t="shared" ca="1" si="188"/>
        <v>9.0633651328539955E-2</v>
      </c>
      <c r="AM113" s="8">
        <f ca="1">AM31/AM82</f>
        <v>8.9307471081884165E-2</v>
      </c>
      <c r="AN113" s="8">
        <f ca="1">AN31/AN82</f>
        <v>8.9554080040051665E-2</v>
      </c>
      <c r="AO113" s="8">
        <f ca="1">AO31/AO82</f>
        <v>8.8287857914914711E-2</v>
      </c>
      <c r="AP113" s="8">
        <f ca="1">AP31/AP82</f>
        <v>8.8660175312428799E-2</v>
      </c>
      <c r="AS113" s="8">
        <f t="shared" ref="AS113:BF113" si="189">AS31/AS82</f>
        <v>0.18377164849262348</v>
      </c>
      <c r="AT113" s="8">
        <f t="shared" si="189"/>
        <v>0.2001218397806884</v>
      </c>
      <c r="AU113" s="8">
        <f t="shared" si="189"/>
        <v>0.19473684210526315</v>
      </c>
      <c r="AV113" s="8">
        <f t="shared" si="189"/>
        <v>0.22725984698214791</v>
      </c>
      <c r="AW113" s="8">
        <f t="shared" si="189"/>
        <v>0.2191467750126968</v>
      </c>
      <c r="AX113" s="8">
        <f t="shared" si="189"/>
        <v>0.19068877551020408</v>
      </c>
      <c r="AY113" s="8">
        <f t="shared" si="189"/>
        <v>0.16427718040621267</v>
      </c>
      <c r="AZ113" s="8">
        <f t="shared" si="189"/>
        <v>0.16575515355490114</v>
      </c>
      <c r="BA113" s="8">
        <f t="shared" si="189"/>
        <v>0.1909660107334526</v>
      </c>
      <c r="BB113" s="8">
        <f t="shared" si="189"/>
        <v>0.21679037624776043</v>
      </c>
      <c r="BC113" s="8">
        <f t="shared" si="189"/>
        <v>0.16617336152219872</v>
      </c>
      <c r="BD113" s="8">
        <f t="shared" si="189"/>
        <v>0.15601467464761537</v>
      </c>
      <c r="BE113" s="8">
        <f t="shared" ca="1" si="189"/>
        <v>0.18023347950521085</v>
      </c>
      <c r="BF113" s="8">
        <f t="shared" ca="1" si="189"/>
        <v>0.18116506794584225</v>
      </c>
      <c r="BG113" s="8">
        <f ca="1">BG31/BG82</f>
        <v>0.17872547530247926</v>
      </c>
      <c r="BH113" s="8">
        <f ca="1">BH31/BH82</f>
        <v>0.17662859258567326</v>
      </c>
      <c r="BI113" s="8">
        <f ca="1">BI31/BI82</f>
        <v>0.17483433618810551</v>
      </c>
    </row>
    <row r="114" spans="1:71" x14ac:dyDescent="0.25"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</row>
    <row r="115" spans="1:71" x14ac:dyDescent="0.25"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</row>
    <row r="116" spans="1:71" s="4" customFormat="1" x14ac:dyDescent="0.25">
      <c r="A116" s="4" t="s">
        <v>72</v>
      </c>
      <c r="E116" s="31"/>
      <c r="F116" s="31"/>
      <c r="G116" s="31"/>
      <c r="H116" s="31"/>
      <c r="I116" s="31"/>
      <c r="J116" s="31"/>
      <c r="K116" s="31"/>
      <c r="L116" s="31"/>
      <c r="M116" s="31"/>
      <c r="N116" s="31"/>
      <c r="O116" s="31"/>
      <c r="P116" s="31"/>
      <c r="Q116" s="31"/>
      <c r="R116" s="31"/>
      <c r="S116" s="31"/>
      <c r="T116" s="31"/>
      <c r="U116" s="31"/>
      <c r="V116" s="31"/>
      <c r="W116" s="31"/>
      <c r="X116" s="31"/>
      <c r="Y116" s="31"/>
      <c r="Z116" s="31"/>
      <c r="AA116" s="31"/>
      <c r="AB116" s="31"/>
      <c r="AC116" s="31"/>
      <c r="AD116" s="31"/>
      <c r="AE116" s="31"/>
      <c r="AF116" s="31"/>
      <c r="AG116" s="31"/>
      <c r="AH116" s="31"/>
      <c r="AI116" s="31"/>
      <c r="AJ116" s="31"/>
      <c r="AK116" s="31"/>
      <c r="AL116" s="31"/>
      <c r="AM116" s="31"/>
      <c r="AN116" s="31"/>
      <c r="AO116" s="31"/>
      <c r="AP116" s="31"/>
      <c r="AR116" s="20"/>
      <c r="AV116" s="31"/>
      <c r="AW116" s="31"/>
      <c r="AX116" s="31"/>
      <c r="AY116" s="31"/>
      <c r="AZ116" s="31"/>
      <c r="BA116" s="31"/>
      <c r="BB116" s="31"/>
      <c r="BC116" s="31"/>
      <c r="BD116" s="31"/>
      <c r="BE116" s="31"/>
      <c r="BF116" s="31"/>
      <c r="BG116" s="31"/>
      <c r="BH116" s="31"/>
      <c r="BI116" s="31"/>
      <c r="BM116" s="20"/>
      <c r="BN116"/>
      <c r="BO116"/>
      <c r="BP116"/>
      <c r="BQ116"/>
      <c r="BR116"/>
      <c r="BS116"/>
    </row>
    <row r="117" spans="1:71" x14ac:dyDescent="0.25">
      <c r="C117" t="s">
        <v>9</v>
      </c>
      <c r="D117" t="s">
        <v>32</v>
      </c>
      <c r="E117" s="21"/>
      <c r="F117" s="21"/>
      <c r="G117" s="21"/>
      <c r="H117" s="21"/>
      <c r="I117" s="21"/>
      <c r="J117" s="21"/>
      <c r="K117" s="21"/>
      <c r="L117" s="21"/>
      <c r="M117" s="21">
        <f>1139-734+22+147-81</f>
        <v>493</v>
      </c>
      <c r="N117" s="21">
        <f>2496-1575+35+1+371-164-M117</f>
        <v>671</v>
      </c>
      <c r="O117" s="21">
        <f>1323-922+17+148-80</f>
        <v>486</v>
      </c>
      <c r="P117" s="21">
        <f>3004-1847+33+378-165-O117</f>
        <v>917</v>
      </c>
      <c r="Q117" s="21">
        <f>1510-900+16+115-74</f>
        <v>667</v>
      </c>
      <c r="R117" s="21">
        <f>3055-1785+30+272-150-Q117</f>
        <v>755</v>
      </c>
      <c r="S117" s="21">
        <f>1235-1032+137-84+26</f>
        <v>282</v>
      </c>
      <c r="T117" s="21">
        <f>2797-1805+51+295-172-S117</f>
        <v>884</v>
      </c>
      <c r="U117" s="21">
        <f>1365-805+14+163-72</f>
        <v>665</v>
      </c>
      <c r="V117" s="21">
        <f>2880-1462+25+332-145-U117</f>
        <v>965</v>
      </c>
      <c r="W117" s="21">
        <f>1379-802+9+148-61</f>
        <v>673</v>
      </c>
      <c r="X117" s="21">
        <f>2931-1434+20+326-169-W117</f>
        <v>1001</v>
      </c>
      <c r="Y117" s="21">
        <f>1307-877+13+154-79</f>
        <v>518</v>
      </c>
      <c r="Z117" s="21">
        <f>3001-1511+25+311-145-Y117</f>
        <v>1163</v>
      </c>
      <c r="AA117" s="21">
        <f>1235-997+27+10-11</f>
        <v>264</v>
      </c>
      <c r="AB117" s="21">
        <f>2918-1871+97+10-11-AA117</f>
        <v>879</v>
      </c>
      <c r="AC117" s="21">
        <f>1314-1155+19</f>
        <v>178</v>
      </c>
      <c r="AD117" s="21">
        <f>3493-2353-AC117+46</f>
        <v>1008</v>
      </c>
      <c r="AE117" s="21">
        <f>1327-1296+61</f>
        <v>92</v>
      </c>
      <c r="AF117" s="21">
        <f>3331-2444+78-AE117</f>
        <v>873</v>
      </c>
      <c r="AG117" s="21">
        <f>1443-1477+12</f>
        <v>-22</v>
      </c>
      <c r="AH117" s="5">
        <f t="shared" ref="AH117:AL117" si="190">AH27</f>
        <v>655.76129457878938</v>
      </c>
      <c r="AI117" s="5">
        <f t="shared" si="190"/>
        <v>538.22033676622709</v>
      </c>
      <c r="AJ117" s="5">
        <f t="shared" si="190"/>
        <v>561.64419396406129</v>
      </c>
      <c r="AK117" s="5">
        <f t="shared" si="190"/>
        <v>574.23793955589031</v>
      </c>
      <c r="AL117" s="5">
        <f t="shared" si="190"/>
        <v>594.60980102548058</v>
      </c>
      <c r="AM117" s="5">
        <f>AM27</f>
        <v>606.11399247451561</v>
      </c>
      <c r="AN117" s="5">
        <f>AN27</f>
        <v>627.53791071673299</v>
      </c>
      <c r="AO117" s="5">
        <f>AO27</f>
        <v>639.98386941893125</v>
      </c>
      <c r="AP117" s="5">
        <f>AP27</f>
        <v>662.54249798464559</v>
      </c>
      <c r="AS117" s="5">
        <f t="shared" ref="AS117:BI124" si="191">SUMIF($E$4:$AR$4,AS$4,$E117:$AR117)</f>
        <v>0</v>
      </c>
      <c r="AT117" s="5">
        <f t="shared" si="191"/>
        <v>0</v>
      </c>
      <c r="AU117" s="5">
        <f t="shared" si="191"/>
        <v>1164</v>
      </c>
      <c r="AV117" s="5">
        <f t="shared" si="191"/>
        <v>1403</v>
      </c>
      <c r="AW117" s="5">
        <f t="shared" si="191"/>
        <v>1422</v>
      </c>
      <c r="AX117" s="5">
        <f t="shared" si="191"/>
        <v>1166</v>
      </c>
      <c r="AY117" s="5">
        <f t="shared" si="191"/>
        <v>1630</v>
      </c>
      <c r="AZ117" s="5">
        <f t="shared" si="191"/>
        <v>1674</v>
      </c>
      <c r="BA117" s="5">
        <f t="shared" si="191"/>
        <v>1681</v>
      </c>
      <c r="BB117" s="5">
        <f t="shared" si="191"/>
        <v>1143</v>
      </c>
      <c r="BC117" s="5">
        <f t="shared" si="191"/>
        <v>1186</v>
      </c>
      <c r="BD117" s="5">
        <f t="shared" si="191"/>
        <v>965</v>
      </c>
      <c r="BE117" s="5">
        <f t="shared" si="191"/>
        <v>633.76129457878938</v>
      </c>
      <c r="BF117" s="5">
        <f t="shared" si="191"/>
        <v>1099.8645307302884</v>
      </c>
      <c r="BG117" s="5">
        <f t="shared" si="191"/>
        <v>1168.847740581371</v>
      </c>
      <c r="BH117" s="5">
        <f t="shared" si="191"/>
        <v>1233.6519031912485</v>
      </c>
      <c r="BI117" s="5">
        <f t="shared" si="191"/>
        <v>1302.5263674035768</v>
      </c>
    </row>
    <row r="118" spans="1:71" x14ac:dyDescent="0.25">
      <c r="C118" t="s">
        <v>195</v>
      </c>
      <c r="D118" t="s">
        <v>32</v>
      </c>
      <c r="E118" s="21"/>
      <c r="F118" s="21"/>
      <c r="G118" s="21"/>
      <c r="H118" s="21"/>
      <c r="I118" s="21"/>
      <c r="J118" s="21"/>
      <c r="K118" s="21"/>
      <c r="L118" s="21"/>
      <c r="M118" s="21">
        <v>-90</v>
      </c>
      <c r="N118" s="21">
        <f>-186-M118</f>
        <v>-96</v>
      </c>
      <c r="O118" s="21">
        <v>-70</v>
      </c>
      <c r="P118" s="21">
        <f>-283-O118</f>
        <v>-213</v>
      </c>
      <c r="Q118" s="21">
        <v>-392</v>
      </c>
      <c r="R118" s="21">
        <f>-496-Q118</f>
        <v>-104</v>
      </c>
      <c r="S118" s="21">
        <v>-322</v>
      </c>
      <c r="T118" s="21">
        <f>-576-S118</f>
        <v>-254</v>
      </c>
      <c r="U118" s="21">
        <v>-123</v>
      </c>
      <c r="V118" s="21">
        <f>-324-U118</f>
        <v>-201</v>
      </c>
      <c r="W118" s="21">
        <v>-104</v>
      </c>
      <c r="X118" s="21">
        <f>-477-W118</f>
        <v>-373</v>
      </c>
      <c r="Y118" s="21">
        <v>-268</v>
      </c>
      <c r="Z118" s="21">
        <f>-618-Y118</f>
        <v>-350</v>
      </c>
      <c r="AA118" s="21">
        <v>-366</v>
      </c>
      <c r="AB118" s="21">
        <f>-649-AA118</f>
        <v>-283</v>
      </c>
      <c r="AC118" s="21">
        <v>-429</v>
      </c>
      <c r="AD118" s="21">
        <f>-786-AC118</f>
        <v>-357</v>
      </c>
      <c r="AE118" s="21">
        <v>-106</v>
      </c>
      <c r="AF118" s="21">
        <f>-298-AE118</f>
        <v>-192</v>
      </c>
      <c r="AG118" s="21">
        <v>-135</v>
      </c>
      <c r="AH118" s="5">
        <v>-200</v>
      </c>
      <c r="AI118" s="5">
        <f>Debt!AI15*-1</f>
        <v>0</v>
      </c>
      <c r="AJ118" s="5">
        <f>Debt!AJ15*-1</f>
        <v>0</v>
      </c>
      <c r="AK118" s="5">
        <f>Debt!AK15*-1</f>
        <v>0</v>
      </c>
      <c r="AL118" s="5">
        <f>Debt!AL15*-1</f>
        <v>0</v>
      </c>
      <c r="AM118" s="5">
        <f>Debt!AM15*-1</f>
        <v>0</v>
      </c>
      <c r="AN118" s="5">
        <f>Debt!AN15*-1</f>
        <v>0</v>
      </c>
      <c r="AO118" s="5">
        <f>Debt!AO15*-1</f>
        <v>0</v>
      </c>
      <c r="AP118" s="5">
        <f>Debt!AP15*-1</f>
        <v>0</v>
      </c>
      <c r="AS118" s="5">
        <f t="shared" si="191"/>
        <v>0</v>
      </c>
      <c r="AT118" s="5">
        <f t="shared" si="191"/>
        <v>0</v>
      </c>
      <c r="AU118" s="5">
        <f t="shared" si="191"/>
        <v>-186</v>
      </c>
      <c r="AV118" s="5">
        <f t="shared" si="191"/>
        <v>-283</v>
      </c>
      <c r="AW118" s="5">
        <f t="shared" si="191"/>
        <v>-496</v>
      </c>
      <c r="AX118" s="5">
        <f t="shared" si="191"/>
        <v>-576</v>
      </c>
      <c r="AY118" s="5">
        <f t="shared" si="191"/>
        <v>-324</v>
      </c>
      <c r="AZ118" s="5">
        <f t="shared" si="191"/>
        <v>-477</v>
      </c>
      <c r="BA118" s="5">
        <f t="shared" si="191"/>
        <v>-618</v>
      </c>
      <c r="BB118" s="5">
        <f t="shared" si="191"/>
        <v>-649</v>
      </c>
      <c r="BC118" s="5">
        <f t="shared" si="191"/>
        <v>-786</v>
      </c>
      <c r="BD118" s="5">
        <f t="shared" si="191"/>
        <v>-298</v>
      </c>
      <c r="BE118" s="5">
        <f t="shared" si="191"/>
        <v>-335</v>
      </c>
      <c r="BF118" s="5">
        <f t="shared" si="191"/>
        <v>0</v>
      </c>
      <c r="BG118" s="5">
        <f t="shared" si="191"/>
        <v>0</v>
      </c>
      <c r="BH118" s="5">
        <f t="shared" si="191"/>
        <v>0</v>
      </c>
      <c r="BI118" s="5">
        <f t="shared" si="191"/>
        <v>0</v>
      </c>
    </row>
    <row r="119" spans="1:71" x14ac:dyDescent="0.25">
      <c r="C119" t="s">
        <v>73</v>
      </c>
      <c r="D119" t="s">
        <v>32</v>
      </c>
      <c r="E119" s="21"/>
      <c r="F119" s="21"/>
      <c r="G119" s="21"/>
      <c r="H119" s="21"/>
      <c r="I119" s="21"/>
      <c r="J119" s="21"/>
      <c r="K119" s="21"/>
      <c r="L119" s="21"/>
      <c r="M119" s="21">
        <v>3</v>
      </c>
      <c r="N119" s="21">
        <f>8-M119</f>
        <v>5</v>
      </c>
      <c r="O119" s="21">
        <v>1</v>
      </c>
      <c r="P119" s="21">
        <f>3-O119</f>
        <v>2</v>
      </c>
      <c r="Q119" s="21">
        <v>1</v>
      </c>
      <c r="R119" s="21">
        <f>3-Q119</f>
        <v>2</v>
      </c>
      <c r="S119" s="21">
        <v>2</v>
      </c>
      <c r="T119" s="21">
        <f>4-S119</f>
        <v>2</v>
      </c>
      <c r="U119" s="21">
        <v>1</v>
      </c>
      <c r="V119" s="21">
        <f>2-U119</f>
        <v>1</v>
      </c>
      <c r="W119" s="21">
        <v>1</v>
      </c>
      <c r="X119" s="21">
        <f>4-W119</f>
        <v>3</v>
      </c>
      <c r="Y119" s="21">
        <v>1</v>
      </c>
      <c r="Z119" s="21">
        <f>3-Y119</f>
        <v>2</v>
      </c>
      <c r="AA119" s="21">
        <v>4</v>
      </c>
      <c r="AB119" s="21">
        <f>10-AA119</f>
        <v>6</v>
      </c>
      <c r="AC119" s="21">
        <v>6</v>
      </c>
      <c r="AD119" s="21">
        <f>19-AC119</f>
        <v>13</v>
      </c>
      <c r="AE119" s="21">
        <v>10</v>
      </c>
      <c r="AF119" s="21">
        <f>18-AE119</f>
        <v>8</v>
      </c>
      <c r="AG119" s="21">
        <v>6</v>
      </c>
      <c r="AH119" s="5">
        <f ca="1">IFERROR(Debt!AH80,0)</f>
        <v>6.4801297572195331</v>
      </c>
      <c r="AI119" s="5">
        <f ca="1">IFERROR(Debt!AI80,0)</f>
        <v>5.1111752525502814</v>
      </c>
      <c r="AJ119" s="5">
        <f ca="1">IFERROR(Debt!AJ80,0)</f>
        <v>5.9849038109128827</v>
      </c>
      <c r="AK119" s="5">
        <f ca="1">IFERROR(Debt!AK80,0)</f>
        <v>7.0893821007777547</v>
      </c>
      <c r="AL119" s="5">
        <f ca="1">IFERROR(Debt!AL80,0)</f>
        <v>8.4086667172294263</v>
      </c>
      <c r="AM119" s="5">
        <f ca="1">IFERROR(Debt!AM80,0)</f>
        <v>9.9428193610256823</v>
      </c>
      <c r="AN119" s="5">
        <f ca="1">IFERROR(Debt!AN80,0)</f>
        <v>10.832090847568379</v>
      </c>
      <c r="AO119" s="5">
        <f ca="1">IFERROR(Debt!AO80,0)</f>
        <v>12.707060994619626</v>
      </c>
      <c r="AP119" s="5">
        <f ca="1">IFERROR(Debt!AP80,0)</f>
        <v>14.707760096392956</v>
      </c>
      <c r="AS119" s="5">
        <f t="shared" si="191"/>
        <v>0</v>
      </c>
      <c r="AT119" s="5">
        <f t="shared" si="191"/>
        <v>0</v>
      </c>
      <c r="AU119" s="5">
        <f t="shared" si="191"/>
        <v>8</v>
      </c>
      <c r="AV119" s="5">
        <f t="shared" si="191"/>
        <v>3</v>
      </c>
      <c r="AW119" s="5">
        <f t="shared" si="191"/>
        <v>3</v>
      </c>
      <c r="AX119" s="5">
        <f t="shared" si="191"/>
        <v>4</v>
      </c>
      <c r="AY119" s="5">
        <f t="shared" si="191"/>
        <v>2</v>
      </c>
      <c r="AZ119" s="5">
        <f t="shared" si="191"/>
        <v>4</v>
      </c>
      <c r="BA119" s="5">
        <f t="shared" si="191"/>
        <v>3</v>
      </c>
      <c r="BB119" s="5">
        <f t="shared" si="191"/>
        <v>10</v>
      </c>
      <c r="BC119" s="5">
        <f t="shared" si="191"/>
        <v>19</v>
      </c>
      <c r="BD119" s="5">
        <f t="shared" si="191"/>
        <v>18</v>
      </c>
      <c r="BE119" s="5">
        <f t="shared" ca="1" si="191"/>
        <v>12.480129757219533</v>
      </c>
      <c r="BF119" s="5">
        <f t="shared" ca="1" si="191"/>
        <v>11.096079063463165</v>
      </c>
      <c r="BG119" s="5">
        <f t="shared" ca="1" si="191"/>
        <v>15.498048818007181</v>
      </c>
      <c r="BH119" s="5">
        <f t="shared" ca="1" si="191"/>
        <v>20.774910208594061</v>
      </c>
      <c r="BI119" s="5">
        <f t="shared" ca="1" si="191"/>
        <v>27.414821091012584</v>
      </c>
    </row>
    <row r="120" spans="1:71" x14ac:dyDescent="0.25">
      <c r="C120" t="s">
        <v>74</v>
      </c>
      <c r="D120" t="s">
        <v>32</v>
      </c>
      <c r="E120" s="21"/>
      <c r="F120" s="21"/>
      <c r="G120" s="21"/>
      <c r="H120" s="21"/>
      <c r="I120" s="21"/>
      <c r="J120" s="21"/>
      <c r="K120" s="21"/>
      <c r="L120" s="21"/>
      <c r="M120" s="21">
        <v>-104</v>
      </c>
      <c r="N120" s="21">
        <f>-199-M120</f>
        <v>-95</v>
      </c>
      <c r="O120" s="21">
        <v>-102</v>
      </c>
      <c r="P120" s="21">
        <f>-202-O120</f>
        <v>-100</v>
      </c>
      <c r="Q120" s="21">
        <v>-98</v>
      </c>
      <c r="R120" s="21">
        <f>-201-Q120</f>
        <v>-103</v>
      </c>
      <c r="S120" s="21">
        <v>-98</v>
      </c>
      <c r="T120" s="21">
        <f>-200-S120</f>
        <v>-102</v>
      </c>
      <c r="U120" s="21">
        <v>-97</v>
      </c>
      <c r="V120" s="21">
        <f>-181-U120</f>
        <v>-84</v>
      </c>
      <c r="W120" s="21">
        <v>-77</v>
      </c>
      <c r="X120" s="21">
        <f>-154-W120</f>
        <v>-77</v>
      </c>
      <c r="Y120" s="21">
        <v>-79</v>
      </c>
      <c r="Z120" s="21">
        <f>-148-Y120</f>
        <v>-69</v>
      </c>
      <c r="AA120" s="21">
        <v>-76</v>
      </c>
      <c r="AB120" s="21">
        <f>-172-AA120</f>
        <v>-96</v>
      </c>
      <c r="AC120" s="21">
        <v>-117</v>
      </c>
      <c r="AD120" s="21">
        <f>-265-AC120</f>
        <v>-148</v>
      </c>
      <c r="AE120" s="21">
        <v>-122</v>
      </c>
      <c r="AF120" s="21">
        <f>-275-AE120</f>
        <v>-153</v>
      </c>
      <c r="AG120" s="21">
        <v>-136</v>
      </c>
      <c r="AH120" s="5">
        <f ca="1">IFERROR(Debt!AH81,0)</f>
        <v>-158.23630441108267</v>
      </c>
      <c r="AI120" s="5">
        <f ca="1">IFERROR(Debt!AI81,0)</f>
        <v>-150.87436882216534</v>
      </c>
      <c r="AJ120" s="5">
        <f ca="1">IFERROR(Debt!AJ81,0)</f>
        <v>-157.98570202216533</v>
      </c>
      <c r="AK120" s="5">
        <f ca="1">IFERROR(Debt!AK81,0)</f>
        <v>-163.45637562216533</v>
      </c>
      <c r="AL120" s="5">
        <f ca="1">IFERROR(Debt!AL81,0)</f>
        <v>-168.87905682016532</v>
      </c>
      <c r="AM120" s="5">
        <f ca="1">IFERROR(Debt!AM81,0)</f>
        <v>-173.72381227416531</v>
      </c>
      <c r="AN120" s="5">
        <f ca="1">IFERROR(Debt!AN81,0)</f>
        <v>-178.58329294013532</v>
      </c>
      <c r="AO120" s="5">
        <f ca="1">IFERROR(Debt!AO81,0)</f>
        <v>-184.02133522594528</v>
      </c>
      <c r="AP120" s="5">
        <f ca="1">IFERROR(Debt!AP81,0)</f>
        <v>-189.47432360190484</v>
      </c>
      <c r="AS120" s="5">
        <f t="shared" si="191"/>
        <v>0</v>
      </c>
      <c r="AT120" s="5">
        <f t="shared" si="191"/>
        <v>0</v>
      </c>
      <c r="AU120" s="5">
        <f t="shared" si="191"/>
        <v>-199</v>
      </c>
      <c r="AV120" s="5">
        <f t="shared" si="191"/>
        <v>-202</v>
      </c>
      <c r="AW120" s="5">
        <f t="shared" si="191"/>
        <v>-201</v>
      </c>
      <c r="AX120" s="5">
        <f t="shared" si="191"/>
        <v>-200</v>
      </c>
      <c r="AY120" s="5">
        <f t="shared" si="191"/>
        <v>-181</v>
      </c>
      <c r="AZ120" s="5">
        <f t="shared" si="191"/>
        <v>-154</v>
      </c>
      <c r="BA120" s="5">
        <f t="shared" si="191"/>
        <v>-148</v>
      </c>
      <c r="BB120" s="5">
        <f t="shared" si="191"/>
        <v>-172</v>
      </c>
      <c r="BC120" s="5">
        <f t="shared" si="191"/>
        <v>-265</v>
      </c>
      <c r="BD120" s="5">
        <f t="shared" si="191"/>
        <v>-275</v>
      </c>
      <c r="BE120" s="5">
        <f t="shared" ca="1" si="191"/>
        <v>-294.23630441108264</v>
      </c>
      <c r="BF120" s="5">
        <f t="shared" ca="1" si="191"/>
        <v>-308.86007084433066</v>
      </c>
      <c r="BG120" s="5">
        <f t="shared" ca="1" si="191"/>
        <v>-332.33543244233067</v>
      </c>
      <c r="BH120" s="5">
        <f t="shared" ca="1" si="191"/>
        <v>-352.30710521430063</v>
      </c>
      <c r="BI120" s="5">
        <f t="shared" ca="1" si="191"/>
        <v>-373.49565882785009</v>
      </c>
    </row>
    <row r="121" spans="1:71" x14ac:dyDescent="0.25">
      <c r="C121" t="s">
        <v>5</v>
      </c>
      <c r="D121" t="s">
        <v>32</v>
      </c>
      <c r="E121" s="21"/>
      <c r="F121" s="21"/>
      <c r="G121" s="21"/>
      <c r="H121" s="21"/>
      <c r="I121" s="21"/>
      <c r="J121" s="21"/>
      <c r="K121" s="21"/>
      <c r="L121" s="21"/>
      <c r="M121" s="21"/>
      <c r="N121" s="21"/>
      <c r="O121" s="21"/>
      <c r="P121" s="21"/>
      <c r="Q121" s="21"/>
      <c r="R121" s="21"/>
      <c r="S121" s="21"/>
      <c r="T121" s="21"/>
      <c r="U121" s="21"/>
      <c r="V121" s="21"/>
      <c r="W121" s="21"/>
      <c r="X121" s="21"/>
      <c r="Y121" s="21"/>
      <c r="Z121" s="21"/>
      <c r="AA121" s="21"/>
      <c r="AB121" s="5"/>
      <c r="AC121" s="5"/>
      <c r="AD121" s="21">
        <v>-40</v>
      </c>
      <c r="AE121" s="21">
        <v>-61</v>
      </c>
      <c r="AF121" s="21">
        <f>-82-AE121</f>
        <v>-21</v>
      </c>
      <c r="AG121" s="21">
        <v>-28</v>
      </c>
      <c r="AH121" s="5">
        <f t="shared" ref="AH121:AL121" ca="1" si="192">AH30</f>
        <v>-75.074640891368432</v>
      </c>
      <c r="AI121" s="5">
        <f t="shared" ca="1" si="192"/>
        <v>-49.817423115536386</v>
      </c>
      <c r="AJ121" s="5">
        <f t="shared" ca="1" si="192"/>
        <v>-50.63239975648203</v>
      </c>
      <c r="AK121" s="5">
        <f t="shared" ca="1" si="192"/>
        <v>-51.625528420744971</v>
      </c>
      <c r="AL121" s="5">
        <f t="shared" ca="1" si="192"/>
        <v>-53.153727716387827</v>
      </c>
      <c r="AM121" s="5">
        <f ca="1">AM30</f>
        <v>-54.10658275026681</v>
      </c>
      <c r="AN121" s="5">
        <f ca="1">AN30</f>
        <v>-55.719670378817717</v>
      </c>
      <c r="AO121" s="5">
        <f ca="1">AO30</f>
        <v>-56.724551494522956</v>
      </c>
      <c r="AP121" s="5">
        <f ca="1">AP30</f>
        <v>-58.450853435894956</v>
      </c>
      <c r="AS121" s="5">
        <f t="shared" si="191"/>
        <v>0</v>
      </c>
      <c r="AT121" s="5">
        <f t="shared" si="191"/>
        <v>0</v>
      </c>
      <c r="AU121" s="5">
        <f t="shared" si="191"/>
        <v>0</v>
      </c>
      <c r="AV121" s="5">
        <f t="shared" si="191"/>
        <v>0</v>
      </c>
      <c r="AW121" s="5">
        <f t="shared" si="191"/>
        <v>0</v>
      </c>
      <c r="AX121" s="5">
        <f t="shared" si="191"/>
        <v>0</v>
      </c>
      <c r="AY121" s="5">
        <f t="shared" si="191"/>
        <v>0</v>
      </c>
      <c r="AZ121" s="5">
        <f t="shared" si="191"/>
        <v>0</v>
      </c>
      <c r="BA121" s="5">
        <f t="shared" si="191"/>
        <v>0</v>
      </c>
      <c r="BB121" s="5">
        <f t="shared" si="191"/>
        <v>0</v>
      </c>
      <c r="BC121" s="5">
        <f t="shared" si="191"/>
        <v>-40</v>
      </c>
      <c r="BD121" s="5">
        <f t="shared" si="191"/>
        <v>-82</v>
      </c>
      <c r="BE121" s="5">
        <f t="shared" ca="1" si="191"/>
        <v>-103.07464089136843</v>
      </c>
      <c r="BF121" s="5">
        <f t="shared" ca="1" si="191"/>
        <v>-100.44982287201842</v>
      </c>
      <c r="BG121" s="5">
        <f t="shared" ca="1" si="191"/>
        <v>-104.77925613713279</v>
      </c>
      <c r="BH121" s="5">
        <f t="shared" ca="1" si="191"/>
        <v>-109.82625312908453</v>
      </c>
      <c r="BI121" s="5">
        <f t="shared" ca="1" si="191"/>
        <v>-115.17540493041791</v>
      </c>
    </row>
    <row r="122" spans="1:71" x14ac:dyDescent="0.25">
      <c r="C122" t="s">
        <v>7</v>
      </c>
      <c r="D122" t="s">
        <v>32</v>
      </c>
      <c r="E122" s="21"/>
      <c r="F122" s="21"/>
      <c r="G122" s="21"/>
      <c r="H122" s="21"/>
      <c r="I122" s="21"/>
      <c r="J122" s="21"/>
      <c r="K122" s="21"/>
      <c r="L122" s="21"/>
      <c r="M122" s="21"/>
      <c r="N122" s="21"/>
      <c r="O122" s="21"/>
      <c r="P122" s="21"/>
      <c r="Q122" s="21"/>
      <c r="R122" s="21"/>
      <c r="S122" s="21"/>
      <c r="T122" s="21"/>
      <c r="U122" s="21"/>
      <c r="V122" s="21"/>
      <c r="W122" s="21"/>
      <c r="X122" s="21"/>
      <c r="Y122" s="21"/>
      <c r="Z122" s="21"/>
      <c r="AA122" s="21"/>
      <c r="AB122" s="5"/>
      <c r="AC122" s="5"/>
      <c r="AD122" s="5"/>
      <c r="AE122" s="5"/>
      <c r="AF122" s="5"/>
      <c r="AG122" s="5"/>
      <c r="AH122" s="5">
        <f t="shared" ref="AH122:AL122" si="193">AH34</f>
        <v>-22</v>
      </c>
      <c r="AI122" s="5">
        <f t="shared" si="193"/>
        <v>-22.33</v>
      </c>
      <c r="AJ122" s="5">
        <f t="shared" si="193"/>
        <v>-22.33</v>
      </c>
      <c r="AK122" s="5">
        <f t="shared" si="193"/>
        <v>-22.664949999999997</v>
      </c>
      <c r="AL122" s="5">
        <f t="shared" si="193"/>
        <v>-22.664949999999997</v>
      </c>
      <c r="AM122" s="5">
        <f t="shared" ref="AM122:AP123" si="194">AM34</f>
        <v>-23.004924249999995</v>
      </c>
      <c r="AN122" s="5">
        <f t="shared" si="194"/>
        <v>-23.004924249999995</v>
      </c>
      <c r="AO122" s="5">
        <f t="shared" si="194"/>
        <v>-23.349998113749994</v>
      </c>
      <c r="AP122" s="5">
        <f t="shared" si="194"/>
        <v>-23.349998113749994</v>
      </c>
      <c r="AS122" s="5">
        <f t="shared" si="191"/>
        <v>0</v>
      </c>
      <c r="AT122" s="5">
        <f t="shared" si="191"/>
        <v>0</v>
      </c>
      <c r="AU122" s="5">
        <f t="shared" si="191"/>
        <v>0</v>
      </c>
      <c r="AV122" s="5">
        <f t="shared" si="191"/>
        <v>0</v>
      </c>
      <c r="AW122" s="5">
        <f t="shared" si="191"/>
        <v>0</v>
      </c>
      <c r="AX122" s="5">
        <f t="shared" si="191"/>
        <v>0</v>
      </c>
      <c r="AY122" s="5">
        <f t="shared" si="191"/>
        <v>0</v>
      </c>
      <c r="AZ122" s="5">
        <f t="shared" si="191"/>
        <v>0</v>
      </c>
      <c r="BA122" s="5">
        <f t="shared" si="191"/>
        <v>0</v>
      </c>
      <c r="BB122" s="5">
        <f t="shared" si="191"/>
        <v>0</v>
      </c>
      <c r="BC122" s="5">
        <f t="shared" si="191"/>
        <v>0</v>
      </c>
      <c r="BD122" s="5">
        <f t="shared" si="191"/>
        <v>0</v>
      </c>
      <c r="BE122" s="5">
        <f t="shared" si="191"/>
        <v>-22</v>
      </c>
      <c r="BF122" s="5">
        <f t="shared" si="191"/>
        <v>-44.66</v>
      </c>
      <c r="BG122" s="5">
        <f t="shared" si="191"/>
        <v>-45.329899999999995</v>
      </c>
      <c r="BH122" s="5">
        <f t="shared" si="191"/>
        <v>-46.00984849999999</v>
      </c>
      <c r="BI122" s="5">
        <f t="shared" si="191"/>
        <v>-46.699996227499987</v>
      </c>
    </row>
    <row r="123" spans="1:71" x14ac:dyDescent="0.25">
      <c r="C123" t="s">
        <v>35</v>
      </c>
      <c r="D123" t="s">
        <v>32</v>
      </c>
      <c r="E123" s="21"/>
      <c r="F123" s="21"/>
      <c r="G123" s="21"/>
      <c r="H123" s="21"/>
      <c r="I123" s="21"/>
      <c r="J123" s="21"/>
      <c r="K123" s="21"/>
      <c r="L123" s="21"/>
      <c r="M123" s="21"/>
      <c r="N123" s="21"/>
      <c r="O123" s="21"/>
      <c r="P123" s="21"/>
      <c r="Q123" s="21"/>
      <c r="R123" s="21"/>
      <c r="S123" s="21"/>
      <c r="T123" s="21"/>
      <c r="U123" s="21"/>
      <c r="V123" s="21"/>
      <c r="W123" s="21"/>
      <c r="X123" s="21"/>
      <c r="Y123" s="21"/>
      <c r="Z123" s="21"/>
      <c r="AA123" s="21"/>
      <c r="AB123" s="5"/>
      <c r="AC123" s="5"/>
      <c r="AD123" s="5"/>
      <c r="AE123" s="5"/>
      <c r="AF123" s="5"/>
      <c r="AG123" s="5"/>
      <c r="AH123" s="5">
        <f t="shared" ref="AH123:AL123" si="195">AH35</f>
        <v>-37.555</v>
      </c>
      <c r="AI123" s="5">
        <f t="shared" si="195"/>
        <v>-42.629999999999995</v>
      </c>
      <c r="AJ123" s="5">
        <f t="shared" si="195"/>
        <v>-38.118324999999999</v>
      </c>
      <c r="AK123" s="5">
        <f t="shared" si="195"/>
        <v>-43.269449999999992</v>
      </c>
      <c r="AL123" s="5">
        <f t="shared" si="195"/>
        <v>-38.690099874999994</v>
      </c>
      <c r="AM123" s="5">
        <f t="shared" si="194"/>
        <v>-43.918491749999987</v>
      </c>
      <c r="AN123" s="5">
        <f t="shared" si="194"/>
        <v>-39.270451373124992</v>
      </c>
      <c r="AO123" s="5">
        <f t="shared" si="194"/>
        <v>-44.577269126249981</v>
      </c>
      <c r="AP123" s="5">
        <f t="shared" si="194"/>
        <v>-39.859508143721861</v>
      </c>
      <c r="AS123" s="5">
        <f t="shared" si="191"/>
        <v>0</v>
      </c>
      <c r="AT123" s="5">
        <f t="shared" si="191"/>
        <v>0</v>
      </c>
      <c r="AU123" s="5">
        <f t="shared" si="191"/>
        <v>0</v>
      </c>
      <c r="AV123" s="5">
        <f t="shared" si="191"/>
        <v>0</v>
      </c>
      <c r="AW123" s="5">
        <f t="shared" si="191"/>
        <v>0</v>
      </c>
      <c r="AX123" s="5">
        <f t="shared" si="191"/>
        <v>0</v>
      </c>
      <c r="AY123" s="5">
        <f t="shared" si="191"/>
        <v>0</v>
      </c>
      <c r="AZ123" s="5">
        <f t="shared" si="191"/>
        <v>0</v>
      </c>
      <c r="BA123" s="5">
        <f t="shared" si="191"/>
        <v>0</v>
      </c>
      <c r="BB123" s="5">
        <f t="shared" si="191"/>
        <v>0</v>
      </c>
      <c r="BC123" s="5">
        <f t="shared" si="191"/>
        <v>0</v>
      </c>
      <c r="BD123" s="5">
        <f t="shared" si="191"/>
        <v>0</v>
      </c>
      <c r="BE123" s="5">
        <f t="shared" si="191"/>
        <v>-37.555</v>
      </c>
      <c r="BF123" s="5">
        <f t="shared" si="191"/>
        <v>-80.748324999999994</v>
      </c>
      <c r="BG123" s="5">
        <f t="shared" si="191"/>
        <v>-81.959549874999993</v>
      </c>
      <c r="BH123" s="5">
        <f t="shared" si="191"/>
        <v>-83.188943123124972</v>
      </c>
      <c r="BI123" s="5">
        <f t="shared" si="191"/>
        <v>-84.436777269971842</v>
      </c>
    </row>
    <row r="124" spans="1:71" x14ac:dyDescent="0.25">
      <c r="C124" t="s">
        <v>11</v>
      </c>
      <c r="D124" t="s">
        <v>32</v>
      </c>
      <c r="E124" s="21"/>
      <c r="F124" s="21"/>
      <c r="G124" s="21"/>
      <c r="H124" s="21"/>
      <c r="I124" s="21"/>
      <c r="J124" s="21"/>
      <c r="K124" s="21"/>
      <c r="L124" s="21"/>
      <c r="M124" s="21">
        <f>M125-SUM(M117:M123)</f>
        <v>0</v>
      </c>
      <c r="N124" s="21">
        <f>N125-SUM(N117:N123)</f>
        <v>0</v>
      </c>
      <c r="O124" s="21">
        <f>O125-SUM(O117:O123)</f>
        <v>0</v>
      </c>
      <c r="P124" s="21">
        <f>P125-SUM(P117:P123)</f>
        <v>0</v>
      </c>
      <c r="Q124" s="21">
        <f t="shared" ref="Q124:AC124" si="196">Q125-SUM(Q117:Q123)</f>
        <v>0</v>
      </c>
      <c r="R124" s="21">
        <f t="shared" si="196"/>
        <v>0</v>
      </c>
      <c r="S124" s="21">
        <f t="shared" si="196"/>
        <v>0</v>
      </c>
      <c r="T124" s="21">
        <f t="shared" si="196"/>
        <v>0</v>
      </c>
      <c r="U124" s="21">
        <f t="shared" si="196"/>
        <v>0</v>
      </c>
      <c r="V124" s="21">
        <f t="shared" si="196"/>
        <v>0</v>
      </c>
      <c r="W124" s="21">
        <f t="shared" si="196"/>
        <v>0</v>
      </c>
      <c r="X124" s="21">
        <f t="shared" si="196"/>
        <v>0</v>
      </c>
      <c r="Y124" s="21">
        <f t="shared" si="196"/>
        <v>0</v>
      </c>
      <c r="Z124" s="21">
        <f t="shared" si="196"/>
        <v>0</v>
      </c>
      <c r="AA124" s="21">
        <f t="shared" si="196"/>
        <v>0</v>
      </c>
      <c r="AB124" s="21">
        <f t="shared" si="196"/>
        <v>0</v>
      </c>
      <c r="AC124" s="21">
        <f t="shared" si="196"/>
        <v>0</v>
      </c>
      <c r="AD124" s="21">
        <v>0</v>
      </c>
      <c r="AE124" s="21">
        <v>0</v>
      </c>
      <c r="AF124" s="21">
        <v>0</v>
      </c>
      <c r="AG124" s="21">
        <v>0</v>
      </c>
      <c r="AH124" s="5">
        <v>500</v>
      </c>
      <c r="AI124" s="5"/>
      <c r="AJ124" s="5"/>
      <c r="AK124" s="5"/>
      <c r="AL124" s="5"/>
      <c r="AM124" s="5"/>
      <c r="AN124" s="5"/>
      <c r="AO124" s="5"/>
      <c r="AP124" s="5"/>
      <c r="AS124" s="5">
        <f t="shared" si="191"/>
        <v>0</v>
      </c>
      <c r="AT124" s="5">
        <f t="shared" si="191"/>
        <v>0</v>
      </c>
      <c r="AU124" s="5">
        <f t="shared" si="191"/>
        <v>0</v>
      </c>
      <c r="AV124" s="5">
        <f t="shared" si="191"/>
        <v>0</v>
      </c>
      <c r="AW124" s="5">
        <f t="shared" si="191"/>
        <v>0</v>
      </c>
      <c r="AX124" s="5">
        <f t="shared" si="191"/>
        <v>0</v>
      </c>
      <c r="AY124" s="5">
        <f t="shared" si="191"/>
        <v>0</v>
      </c>
      <c r="AZ124" s="5">
        <f t="shared" si="191"/>
        <v>0</v>
      </c>
      <c r="BA124" s="5">
        <f t="shared" si="191"/>
        <v>0</v>
      </c>
      <c r="BB124" s="5">
        <f t="shared" si="191"/>
        <v>0</v>
      </c>
      <c r="BC124" s="5">
        <f t="shared" si="191"/>
        <v>0</v>
      </c>
      <c r="BD124" s="5">
        <f t="shared" si="191"/>
        <v>0</v>
      </c>
      <c r="BE124" s="5">
        <f t="shared" si="191"/>
        <v>500</v>
      </c>
      <c r="BF124" s="5">
        <f t="shared" si="191"/>
        <v>0</v>
      </c>
      <c r="BG124" s="5">
        <f t="shared" si="191"/>
        <v>0</v>
      </c>
      <c r="BH124" s="5">
        <f t="shared" si="191"/>
        <v>0</v>
      </c>
      <c r="BI124" s="5">
        <f t="shared" si="191"/>
        <v>0</v>
      </c>
    </row>
    <row r="125" spans="1:71" s="6" customFormat="1" x14ac:dyDescent="0.25">
      <c r="C125" s="6" t="s">
        <v>75</v>
      </c>
      <c r="D125" s="6" t="s">
        <v>32</v>
      </c>
      <c r="E125" s="7"/>
      <c r="F125" s="7"/>
      <c r="G125" s="7">
        <v>189.39999999999998</v>
      </c>
      <c r="H125" s="7">
        <v>435.80000000000007</v>
      </c>
      <c r="I125" s="7">
        <v>302.7</v>
      </c>
      <c r="J125" s="7">
        <v>449.3</v>
      </c>
      <c r="K125" s="7">
        <v>137</v>
      </c>
      <c r="L125" s="7">
        <v>264</v>
      </c>
      <c r="M125" s="7">
        <v>302</v>
      </c>
      <c r="N125" s="7">
        <v>485</v>
      </c>
      <c r="O125" s="7">
        <v>315</v>
      </c>
      <c r="P125" s="7">
        <v>606</v>
      </c>
      <c r="Q125" s="7">
        <v>178</v>
      </c>
      <c r="R125" s="7">
        <v>550</v>
      </c>
      <c r="S125" s="7">
        <v>-136</v>
      </c>
      <c r="T125" s="7">
        <v>530</v>
      </c>
      <c r="U125" s="7">
        <v>446</v>
      </c>
      <c r="V125" s="7">
        <v>681</v>
      </c>
      <c r="W125" s="7">
        <v>493</v>
      </c>
      <c r="X125" s="7">
        <v>554</v>
      </c>
      <c r="Y125" s="7">
        <v>172</v>
      </c>
      <c r="Z125" s="7">
        <v>746</v>
      </c>
      <c r="AA125" s="7">
        <v>-174</v>
      </c>
      <c r="AB125" s="7">
        <f>332-AA125</f>
        <v>506</v>
      </c>
      <c r="AC125" s="7">
        <v>-362</v>
      </c>
      <c r="AD125" s="7">
        <f t="shared" ref="AD125:AL125" si="197">SUM(AD117:AD124)</f>
        <v>476</v>
      </c>
      <c r="AE125" s="7">
        <f t="shared" si="197"/>
        <v>-187</v>
      </c>
      <c r="AF125" s="7">
        <f t="shared" si="197"/>
        <v>515</v>
      </c>
      <c r="AG125" s="7">
        <f t="shared" si="197"/>
        <v>-315</v>
      </c>
      <c r="AH125" s="7">
        <f t="shared" ca="1" si="197"/>
        <v>669.37547903355778</v>
      </c>
      <c r="AI125" s="7">
        <f t="shared" ca="1" si="197"/>
        <v>277.67972008107569</v>
      </c>
      <c r="AJ125" s="7">
        <f t="shared" ca="1" si="197"/>
        <v>298.5626709963268</v>
      </c>
      <c r="AK125" s="7">
        <f t="shared" ca="1" si="197"/>
        <v>300.31101761375788</v>
      </c>
      <c r="AL125" s="7">
        <f t="shared" ca="1" si="197"/>
        <v>319.63063333115684</v>
      </c>
      <c r="AM125" s="7">
        <f ca="1">SUM(AM117:AM124)</f>
        <v>321.30300081110926</v>
      </c>
      <c r="AN125" s="7">
        <f ca="1">SUM(AN117:AN124)</f>
        <v>341.79166262222327</v>
      </c>
      <c r="AO125" s="7">
        <f ca="1">SUM(AO117:AO124)</f>
        <v>344.01777645308266</v>
      </c>
      <c r="AP125" s="7">
        <f ca="1">SUM(AP117:AP124)</f>
        <v>366.1155747857668</v>
      </c>
      <c r="AR125" s="22"/>
      <c r="AS125" s="7">
        <f t="shared" ref="AS125:BG125" si="198">SUM(AS117:AS124)</f>
        <v>0</v>
      </c>
      <c r="AT125" s="7">
        <f t="shared" si="198"/>
        <v>0</v>
      </c>
      <c r="AU125" s="7">
        <f t="shared" si="198"/>
        <v>787</v>
      </c>
      <c r="AV125" s="7">
        <f t="shared" si="198"/>
        <v>921</v>
      </c>
      <c r="AW125" s="7">
        <f t="shared" si="198"/>
        <v>728</v>
      </c>
      <c r="AX125" s="7">
        <f t="shared" si="198"/>
        <v>394</v>
      </c>
      <c r="AY125" s="7">
        <f t="shared" si="198"/>
        <v>1127</v>
      </c>
      <c r="AZ125" s="7">
        <f t="shared" si="198"/>
        <v>1047</v>
      </c>
      <c r="BA125" s="7">
        <f t="shared" si="198"/>
        <v>918</v>
      </c>
      <c r="BB125" s="7">
        <f t="shared" si="198"/>
        <v>332</v>
      </c>
      <c r="BC125" s="7">
        <f t="shared" si="198"/>
        <v>114</v>
      </c>
      <c r="BD125" s="7">
        <f t="shared" si="198"/>
        <v>328</v>
      </c>
      <c r="BE125" s="7">
        <f t="shared" ca="1" si="198"/>
        <v>354.37547903355778</v>
      </c>
      <c r="BF125" s="7">
        <f t="shared" ca="1" si="198"/>
        <v>576.24239107740232</v>
      </c>
      <c r="BG125" s="7">
        <f t="shared" ca="1" si="198"/>
        <v>619.94165094491473</v>
      </c>
      <c r="BH125" s="7">
        <f ca="1">SUM(BH117:BH124)</f>
        <v>663.09466343333236</v>
      </c>
      <c r="BI125" s="7">
        <f ca="1">SUM(BI117:BI124)</f>
        <v>710.13335123884951</v>
      </c>
      <c r="BM125" s="22"/>
      <c r="BN125"/>
      <c r="BO125"/>
      <c r="BP125"/>
      <c r="BQ125"/>
      <c r="BR125"/>
      <c r="BS125"/>
    </row>
    <row r="126" spans="1:71" x14ac:dyDescent="0.25"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</row>
    <row r="127" spans="1:71" x14ac:dyDescent="0.25">
      <c r="C127" t="s">
        <v>76</v>
      </c>
      <c r="D127" t="s">
        <v>32</v>
      </c>
      <c r="E127" s="21"/>
      <c r="F127" s="21"/>
      <c r="G127" s="21"/>
      <c r="H127" s="21"/>
      <c r="I127" s="21"/>
      <c r="J127" s="21"/>
      <c r="K127" s="21"/>
      <c r="L127" s="21"/>
      <c r="M127" s="21">
        <f>-197-74-33</f>
        <v>-304</v>
      </c>
      <c r="N127" s="21">
        <f>-431-167-107-M127</f>
        <v>-401</v>
      </c>
      <c r="O127" s="21">
        <f>-186-60-1</f>
        <v>-247</v>
      </c>
      <c r="P127" s="21">
        <f>-374-133-1-O127</f>
        <v>-261</v>
      </c>
      <c r="Q127" s="21">
        <f>-262-96</f>
        <v>-358</v>
      </c>
      <c r="R127" s="21">
        <f>-463-213-Q127</f>
        <v>-318</v>
      </c>
      <c r="S127" s="21">
        <f>-168-86</f>
        <v>-254</v>
      </c>
      <c r="T127" s="21">
        <f>-290-149-2-S127</f>
        <v>-187</v>
      </c>
      <c r="U127" s="21">
        <f>-548-31-8</f>
        <v>-587</v>
      </c>
      <c r="V127" s="21">
        <f>-664-47-12-U127</f>
        <v>-136</v>
      </c>
      <c r="W127" s="21">
        <f>-190-27-40</f>
        <v>-257</v>
      </c>
      <c r="X127" s="21">
        <f>-318-68-24-W127</f>
        <v>-153</v>
      </c>
      <c r="Y127" s="21">
        <f>-260-13-26-4-332</f>
        <v>-635</v>
      </c>
      <c r="Z127" s="21">
        <f>-655-531-17-57-185-Y127</f>
        <v>-810</v>
      </c>
      <c r="AA127" s="21">
        <f>-158-70</f>
        <v>-228</v>
      </c>
      <c r="AB127" s="21">
        <f>-363-111-AA127</f>
        <v>-246</v>
      </c>
      <c r="AC127" s="21">
        <f>-299-1-46</f>
        <v>-346</v>
      </c>
      <c r="AD127" s="21">
        <f>-534-4-77-AC127</f>
        <v>-269</v>
      </c>
      <c r="AE127" s="21">
        <f>-262-156</f>
        <v>-418</v>
      </c>
      <c r="AF127" s="21">
        <f>-522-AE127-307</f>
        <v>-411</v>
      </c>
      <c r="AG127" s="21">
        <f>-111-160</f>
        <v>-271</v>
      </c>
      <c r="AH127" s="5">
        <f>(Logistics!AH93+Workplace!AH66+'Town Centres'!AH93)*-1</f>
        <v>0</v>
      </c>
      <c r="AI127" s="5">
        <f>(Logistics!AI93+Workplace!AI66+'Town Centres'!AI93)*-1</f>
        <v>0</v>
      </c>
      <c r="AJ127" s="5">
        <f>(Logistics!AJ93+Workplace!AJ66+'Town Centres'!AJ93)*-1</f>
        <v>0</v>
      </c>
      <c r="AK127" s="5">
        <f>(Logistics!AK93+Workplace!AK66+'Town Centres'!AK93)*-1</f>
        <v>0</v>
      </c>
      <c r="AL127" s="5">
        <f>(Logistics!AL93+Workplace!AL66+'Town Centres'!AL93)*-1</f>
        <v>0</v>
      </c>
      <c r="AM127" s="5">
        <f>(Logistics!AM93+Workplace!AM66+'Town Centres'!AM93)*-1</f>
        <v>0</v>
      </c>
      <c r="AN127" s="5">
        <f>(Logistics!AN93+Workplace!AN66+'Town Centres'!AN93)*-1</f>
        <v>0</v>
      </c>
      <c r="AO127" s="5">
        <f>(Logistics!AO93+Workplace!AO66+'Town Centres'!AO93)*-1</f>
        <v>0</v>
      </c>
      <c r="AP127" s="5">
        <f>(Logistics!AP93+Workplace!AP66+'Town Centres'!AP93)*-1</f>
        <v>0</v>
      </c>
      <c r="AS127" s="5">
        <f t="shared" ref="AS127:BI130" si="199">SUMIF($E$4:$AR$4,AS$4,$E127:$AR127)</f>
        <v>0</v>
      </c>
      <c r="AT127" s="5">
        <f t="shared" si="199"/>
        <v>0</v>
      </c>
      <c r="AU127" s="5">
        <f t="shared" si="199"/>
        <v>-705</v>
      </c>
      <c r="AV127" s="5">
        <f t="shared" si="199"/>
        <v>-508</v>
      </c>
      <c r="AW127" s="5">
        <f t="shared" si="199"/>
        <v>-676</v>
      </c>
      <c r="AX127" s="5">
        <f t="shared" si="199"/>
        <v>-441</v>
      </c>
      <c r="AY127" s="5">
        <f t="shared" si="199"/>
        <v>-723</v>
      </c>
      <c r="AZ127" s="5">
        <f t="shared" si="199"/>
        <v>-410</v>
      </c>
      <c r="BA127" s="5">
        <f t="shared" si="199"/>
        <v>-1445</v>
      </c>
      <c r="BB127" s="5">
        <f t="shared" si="199"/>
        <v>-474</v>
      </c>
      <c r="BC127" s="5">
        <f t="shared" si="199"/>
        <v>-615</v>
      </c>
      <c r="BD127" s="5">
        <f t="shared" si="199"/>
        <v>-829</v>
      </c>
      <c r="BE127" s="5">
        <f t="shared" si="199"/>
        <v>-271</v>
      </c>
      <c r="BF127" s="5">
        <f t="shared" si="199"/>
        <v>0</v>
      </c>
      <c r="BG127" s="5">
        <f t="shared" si="199"/>
        <v>0</v>
      </c>
      <c r="BH127" s="5">
        <f t="shared" si="199"/>
        <v>0</v>
      </c>
      <c r="BI127" s="5">
        <f t="shared" si="199"/>
        <v>0</v>
      </c>
    </row>
    <row r="128" spans="1:71" x14ac:dyDescent="0.25">
      <c r="C128" t="s">
        <v>77</v>
      </c>
      <c r="D128" t="s">
        <v>32</v>
      </c>
      <c r="E128" s="21"/>
      <c r="F128" s="21"/>
      <c r="G128" s="21"/>
      <c r="H128" s="21"/>
      <c r="I128" s="21"/>
      <c r="J128" s="21"/>
      <c r="K128" s="21"/>
      <c r="L128" s="21"/>
      <c r="M128" s="21">
        <v>220</v>
      </c>
      <c r="N128" s="21">
        <f>221-M128</f>
        <v>1</v>
      </c>
      <c r="O128" s="21">
        <f>18+74</f>
        <v>92</v>
      </c>
      <c r="P128" s="21">
        <f>74+20-O128</f>
        <v>2</v>
      </c>
      <c r="Q128" s="21">
        <f>27+77</f>
        <v>104</v>
      </c>
      <c r="R128" s="21">
        <f>278+29-Q128</f>
        <v>203</v>
      </c>
      <c r="S128" s="21">
        <f>155+25</f>
        <v>180</v>
      </c>
      <c r="T128" s="21">
        <f>329+25-S128</f>
        <v>174</v>
      </c>
      <c r="U128" s="21">
        <f>331+331</f>
        <v>662</v>
      </c>
      <c r="V128" s="21">
        <f>369+336-U128</f>
        <v>43</v>
      </c>
      <c r="W128" s="21">
        <f>333</f>
        <v>333</v>
      </c>
      <c r="X128" s="21">
        <f>568-W128</f>
        <v>235</v>
      </c>
      <c r="Y128" s="21">
        <v>172</v>
      </c>
      <c r="Z128" s="21">
        <f>491-Y128</f>
        <v>319</v>
      </c>
      <c r="AA128" s="21">
        <f>181+914</f>
        <v>1095</v>
      </c>
      <c r="AB128" s="21">
        <f>346+914-AA128</f>
        <v>165</v>
      </c>
      <c r="AC128" s="21">
        <v>137</v>
      </c>
      <c r="AD128" s="21">
        <f>716-AC128</f>
        <v>579</v>
      </c>
      <c r="AE128" s="21">
        <v>232</v>
      </c>
      <c r="AF128" s="21">
        <f>683-AE128</f>
        <v>451</v>
      </c>
      <c r="AG128" s="21">
        <v>28</v>
      </c>
      <c r="AH128" s="5">
        <f>Logistics!AH101+Workplace!AH73+'Town Centres'!AH107+'Land lease'!AH33+300</f>
        <v>350</v>
      </c>
      <c r="AI128" s="5">
        <f>Logistics!AI101+Workplace!AI73+'Town Centres'!AI107+'Land lease'!AI33</f>
        <v>0</v>
      </c>
      <c r="AJ128" s="5">
        <f>Logistics!AJ101+Workplace!AJ73+'Town Centres'!AJ107+'Land lease'!AJ33</f>
        <v>0</v>
      </c>
      <c r="AK128" s="5">
        <f>Logistics!AK101+Workplace!AK73+'Town Centres'!AK107+'Land lease'!AK33</f>
        <v>0</v>
      </c>
      <c r="AL128" s="5">
        <f>Logistics!AL101+Workplace!AL73+'Town Centres'!AL107+'Land lease'!AL33</f>
        <v>0</v>
      </c>
      <c r="AM128" s="5">
        <f>Logistics!AM101+Workplace!AM73+'Town Centres'!AM107+'Land lease'!AM33</f>
        <v>0</v>
      </c>
      <c r="AN128" s="5">
        <f>Logistics!AN101+Workplace!AN73+'Town Centres'!AN107+'Land lease'!AN33</f>
        <v>0</v>
      </c>
      <c r="AO128" s="5">
        <f>Logistics!AO101+Workplace!AO73+'Town Centres'!AO107+'Land lease'!AO33</f>
        <v>0</v>
      </c>
      <c r="AP128" s="5">
        <f>Logistics!AP101+Workplace!AP73+'Town Centres'!AP107+'Land lease'!AP33</f>
        <v>0</v>
      </c>
      <c r="AS128" s="5">
        <f t="shared" si="199"/>
        <v>0</v>
      </c>
      <c r="AT128" s="5">
        <f t="shared" si="199"/>
        <v>0</v>
      </c>
      <c r="AU128" s="5">
        <f t="shared" si="199"/>
        <v>221</v>
      </c>
      <c r="AV128" s="5">
        <f t="shared" si="199"/>
        <v>94</v>
      </c>
      <c r="AW128" s="5">
        <f t="shared" si="199"/>
        <v>307</v>
      </c>
      <c r="AX128" s="5">
        <f t="shared" si="199"/>
        <v>354</v>
      </c>
      <c r="AY128" s="5">
        <f t="shared" si="199"/>
        <v>705</v>
      </c>
      <c r="AZ128" s="5">
        <f t="shared" si="199"/>
        <v>568</v>
      </c>
      <c r="BA128" s="5">
        <f t="shared" si="199"/>
        <v>491</v>
      </c>
      <c r="BB128" s="5">
        <f t="shared" si="199"/>
        <v>1260</v>
      </c>
      <c r="BC128" s="5">
        <f t="shared" si="199"/>
        <v>716</v>
      </c>
      <c r="BD128" s="5">
        <f t="shared" si="199"/>
        <v>683</v>
      </c>
      <c r="BE128" s="5">
        <f t="shared" si="199"/>
        <v>378</v>
      </c>
      <c r="BF128" s="5">
        <f t="shared" si="199"/>
        <v>0</v>
      </c>
      <c r="BG128" s="5">
        <f t="shared" si="199"/>
        <v>0</v>
      </c>
      <c r="BH128" s="5">
        <f t="shared" si="199"/>
        <v>0</v>
      </c>
      <c r="BI128" s="5">
        <f t="shared" si="199"/>
        <v>0</v>
      </c>
    </row>
    <row r="129" spans="3:71" x14ac:dyDescent="0.25">
      <c r="C129" t="s">
        <v>13</v>
      </c>
      <c r="D129" t="s">
        <v>32</v>
      </c>
      <c r="E129" s="21"/>
      <c r="F129" s="21"/>
      <c r="G129" s="21"/>
      <c r="H129" s="21"/>
      <c r="I129" s="21"/>
      <c r="J129" s="21"/>
      <c r="K129" s="21"/>
      <c r="L129" s="21"/>
      <c r="M129" s="21"/>
      <c r="N129" s="21"/>
      <c r="O129" s="21"/>
      <c r="P129" s="21"/>
      <c r="Q129" s="21"/>
      <c r="R129" s="21"/>
      <c r="S129" s="21"/>
      <c r="T129" s="21"/>
      <c r="U129" s="21"/>
      <c r="V129" s="21"/>
      <c r="W129" s="21"/>
      <c r="X129" s="21"/>
      <c r="Y129" s="21"/>
      <c r="Z129" s="21"/>
      <c r="AA129" s="21"/>
      <c r="AB129" s="21"/>
      <c r="AC129" s="21">
        <v>0</v>
      </c>
      <c r="AD129" s="21">
        <v>0</v>
      </c>
      <c r="AE129" s="21">
        <v>0</v>
      </c>
      <c r="AF129" s="21">
        <v>0</v>
      </c>
      <c r="AG129" s="21">
        <v>0</v>
      </c>
      <c r="AH129" s="5">
        <f>(Logistics!AH107+Workplace!AH79+'Town Centres'!AH113)*-1</f>
        <v>-140.06666666666666</v>
      </c>
      <c r="AI129" s="5">
        <f>(Logistics!AI107+Workplace!AI79+'Town Centres'!AI113)*-1</f>
        <v>-81.400000000000006</v>
      </c>
      <c r="AJ129" s="5">
        <f>(Logistics!AJ107+Workplace!AJ79+'Town Centres'!AJ113)*-1</f>
        <v>-81.400000000000006</v>
      </c>
      <c r="AK129" s="5">
        <f>(Logistics!AK107+Workplace!AK79+'Town Centres'!AK113)*-1</f>
        <v>-81.400000000000006</v>
      </c>
      <c r="AL129" s="5">
        <f>(Logistics!AL107+Workplace!AL79+'Town Centres'!AL113)*-1</f>
        <v>-81.400000000000006</v>
      </c>
      <c r="AM129" s="5">
        <f>(Logistics!AM107+Workplace!AM79+'Town Centres'!AM113)*-1</f>
        <v>-81.400000000000006</v>
      </c>
      <c r="AN129" s="5">
        <f>(Logistics!AN107+Workplace!AN79+'Town Centres'!AN113)*-1</f>
        <v>-81.400000000000006</v>
      </c>
      <c r="AO129" s="5">
        <f>(Logistics!AO107+Workplace!AO79+'Town Centres'!AO113)*-1</f>
        <v>-81.400000000000006</v>
      </c>
      <c r="AP129" s="5">
        <f>(Logistics!AP107+Workplace!AP79+'Town Centres'!AP113)*-1</f>
        <v>-81.400000000000006</v>
      </c>
      <c r="AS129" s="5">
        <f t="shared" si="199"/>
        <v>0</v>
      </c>
      <c r="AT129" s="5">
        <f t="shared" si="199"/>
        <v>0</v>
      </c>
      <c r="AU129" s="5">
        <f t="shared" si="199"/>
        <v>0</v>
      </c>
      <c r="AV129" s="5">
        <f t="shared" si="199"/>
        <v>0</v>
      </c>
      <c r="AW129" s="5">
        <f t="shared" si="199"/>
        <v>0</v>
      </c>
      <c r="AX129" s="5">
        <f t="shared" si="199"/>
        <v>0</v>
      </c>
      <c r="AY129" s="5">
        <f t="shared" si="199"/>
        <v>0</v>
      </c>
      <c r="AZ129" s="5">
        <f t="shared" si="199"/>
        <v>0</v>
      </c>
      <c r="BA129" s="5">
        <f t="shared" si="199"/>
        <v>0</v>
      </c>
      <c r="BB129" s="5">
        <f t="shared" si="199"/>
        <v>0</v>
      </c>
      <c r="BC129" s="5">
        <f t="shared" si="199"/>
        <v>0</v>
      </c>
      <c r="BD129" s="5">
        <f t="shared" si="199"/>
        <v>0</v>
      </c>
      <c r="BE129" s="5">
        <f t="shared" si="199"/>
        <v>-140.06666666666666</v>
      </c>
      <c r="BF129" s="5">
        <f t="shared" si="199"/>
        <v>-162.80000000000001</v>
      </c>
      <c r="BG129" s="5">
        <f t="shared" si="199"/>
        <v>-162.80000000000001</v>
      </c>
      <c r="BH129" s="5">
        <f t="shared" si="199"/>
        <v>-162.80000000000001</v>
      </c>
      <c r="BI129" s="5">
        <f t="shared" si="199"/>
        <v>-162.80000000000001</v>
      </c>
    </row>
    <row r="130" spans="3:71" x14ac:dyDescent="0.25">
      <c r="C130" t="s">
        <v>11</v>
      </c>
      <c r="D130" t="s">
        <v>32</v>
      </c>
      <c r="E130" s="21"/>
      <c r="F130" s="21"/>
      <c r="G130" s="21"/>
      <c r="H130" s="21"/>
      <c r="I130" s="21"/>
      <c r="J130" s="21"/>
      <c r="K130" s="21"/>
      <c r="L130" s="21"/>
      <c r="M130" s="21">
        <f>M131-SUM(M127:M129)</f>
        <v>-10</v>
      </c>
      <c r="N130" s="21">
        <f>N131-SUM(N127:N129)</f>
        <v>-14</v>
      </c>
      <c r="O130" s="21">
        <f>O131-SUM(O127:O129)</f>
        <v>-19</v>
      </c>
      <c r="P130" s="21">
        <f>P131-SUM(P127:P129)</f>
        <v>53</v>
      </c>
      <c r="Q130" s="21">
        <f t="shared" ref="Q130:AB130" si="200">Q131-SUM(Q127:Q129)</f>
        <v>-32</v>
      </c>
      <c r="R130" s="21">
        <f t="shared" si="200"/>
        <v>-25</v>
      </c>
      <c r="S130" s="21">
        <f t="shared" si="200"/>
        <v>-27</v>
      </c>
      <c r="T130" s="21">
        <f t="shared" si="200"/>
        <v>-23</v>
      </c>
      <c r="U130" s="21">
        <f t="shared" si="200"/>
        <v>-118</v>
      </c>
      <c r="V130" s="21">
        <f t="shared" si="200"/>
        <v>-12</v>
      </c>
      <c r="W130" s="21">
        <f t="shared" si="200"/>
        <v>-63</v>
      </c>
      <c r="X130" s="21">
        <f t="shared" si="200"/>
        <v>0</v>
      </c>
      <c r="Y130" s="21">
        <f t="shared" si="200"/>
        <v>-26</v>
      </c>
      <c r="Z130" s="21">
        <f t="shared" si="200"/>
        <v>-17</v>
      </c>
      <c r="AA130" s="21">
        <f t="shared" si="200"/>
        <v>-3</v>
      </c>
      <c r="AB130" s="21">
        <f t="shared" si="200"/>
        <v>-20</v>
      </c>
      <c r="AC130" s="21">
        <v>0</v>
      </c>
      <c r="AD130" s="21">
        <v>0</v>
      </c>
      <c r="AE130" s="21">
        <v>-4</v>
      </c>
      <c r="AF130" s="21">
        <f>10-3-AE130</f>
        <v>11</v>
      </c>
      <c r="AG130" s="21">
        <f>-3+44</f>
        <v>41</v>
      </c>
      <c r="AH130" s="5"/>
      <c r="AI130" s="5"/>
      <c r="AJ130" s="5"/>
      <c r="AK130" s="5"/>
      <c r="AL130" s="5"/>
      <c r="AM130" s="5"/>
      <c r="AN130" s="5"/>
      <c r="AO130" s="5"/>
      <c r="AP130" s="5"/>
      <c r="AS130" s="5">
        <f t="shared" si="199"/>
        <v>0</v>
      </c>
      <c r="AT130" s="5">
        <f t="shared" si="199"/>
        <v>0</v>
      </c>
      <c r="AU130" s="5">
        <f t="shared" si="199"/>
        <v>-24</v>
      </c>
      <c r="AV130" s="5">
        <f t="shared" si="199"/>
        <v>34</v>
      </c>
      <c r="AW130" s="5">
        <f t="shared" si="199"/>
        <v>-57</v>
      </c>
      <c r="AX130" s="5">
        <f t="shared" si="199"/>
        <v>-50</v>
      </c>
      <c r="AY130" s="5">
        <f t="shared" si="199"/>
        <v>-130</v>
      </c>
      <c r="AZ130" s="5">
        <f t="shared" si="199"/>
        <v>-63</v>
      </c>
      <c r="BA130" s="5">
        <f t="shared" si="199"/>
        <v>-43</v>
      </c>
      <c r="BB130" s="5">
        <f t="shared" si="199"/>
        <v>-23</v>
      </c>
      <c r="BC130" s="5">
        <f t="shared" si="199"/>
        <v>0</v>
      </c>
      <c r="BD130" s="5">
        <f t="shared" si="199"/>
        <v>7</v>
      </c>
      <c r="BE130" s="5">
        <f t="shared" si="199"/>
        <v>41</v>
      </c>
      <c r="BF130" s="5">
        <f t="shared" si="199"/>
        <v>0</v>
      </c>
      <c r="BG130" s="5">
        <f t="shared" si="199"/>
        <v>0</v>
      </c>
      <c r="BH130" s="5">
        <f t="shared" si="199"/>
        <v>0</v>
      </c>
      <c r="BI130" s="5">
        <f t="shared" si="199"/>
        <v>0</v>
      </c>
    </row>
    <row r="131" spans="3:71" s="6" customFormat="1" x14ac:dyDescent="0.25">
      <c r="C131" s="6" t="s">
        <v>78</v>
      </c>
      <c r="D131" s="6" t="s">
        <v>32</v>
      </c>
      <c r="E131" s="7"/>
      <c r="F131" s="7"/>
      <c r="G131" s="7">
        <v>-41.999999999999972</v>
      </c>
      <c r="H131" s="7">
        <v>146.5</v>
      </c>
      <c r="I131" s="7">
        <v>-176</v>
      </c>
      <c r="J131" s="7">
        <v>-517</v>
      </c>
      <c r="K131" s="7">
        <v>519</v>
      </c>
      <c r="L131" s="7">
        <v>-335</v>
      </c>
      <c r="M131" s="7">
        <v>-94</v>
      </c>
      <c r="N131" s="7">
        <v>-414</v>
      </c>
      <c r="O131" s="7">
        <v>-174</v>
      </c>
      <c r="P131" s="7">
        <v>-206</v>
      </c>
      <c r="Q131" s="7">
        <v>-286</v>
      </c>
      <c r="R131" s="7">
        <v>-140</v>
      </c>
      <c r="S131" s="7">
        <v>-101</v>
      </c>
      <c r="T131" s="7">
        <v>-36</v>
      </c>
      <c r="U131" s="7">
        <v>-43</v>
      </c>
      <c r="V131" s="7">
        <v>-105</v>
      </c>
      <c r="W131" s="7">
        <v>13</v>
      </c>
      <c r="X131" s="7">
        <v>82</v>
      </c>
      <c r="Y131" s="7">
        <v>-489</v>
      </c>
      <c r="Z131" s="7">
        <v>-508</v>
      </c>
      <c r="AA131" s="7">
        <v>864</v>
      </c>
      <c r="AB131" s="7">
        <f>763-AA131</f>
        <v>-101</v>
      </c>
      <c r="AC131" s="7">
        <f t="shared" ref="AC131:AL131" si="201">SUM(AC127:AC130)</f>
        <v>-209</v>
      </c>
      <c r="AD131" s="7">
        <f t="shared" si="201"/>
        <v>310</v>
      </c>
      <c r="AE131" s="7">
        <f t="shared" si="201"/>
        <v>-190</v>
      </c>
      <c r="AF131" s="7">
        <f t="shared" si="201"/>
        <v>51</v>
      </c>
      <c r="AG131" s="7">
        <f t="shared" si="201"/>
        <v>-202</v>
      </c>
      <c r="AH131" s="7">
        <f t="shared" si="201"/>
        <v>209.93333333333334</v>
      </c>
      <c r="AI131" s="7">
        <f t="shared" si="201"/>
        <v>-81.400000000000006</v>
      </c>
      <c r="AJ131" s="7">
        <f t="shared" si="201"/>
        <v>-81.400000000000006</v>
      </c>
      <c r="AK131" s="7">
        <f t="shared" si="201"/>
        <v>-81.400000000000006</v>
      </c>
      <c r="AL131" s="7">
        <f t="shared" si="201"/>
        <v>-81.400000000000006</v>
      </c>
      <c r="AM131" s="7">
        <f>SUM(AM127:AM130)</f>
        <v>-81.400000000000006</v>
      </c>
      <c r="AN131" s="7">
        <f>SUM(AN127:AN130)</f>
        <v>-81.400000000000006</v>
      </c>
      <c r="AO131" s="7">
        <f>SUM(AO127:AO130)</f>
        <v>-81.400000000000006</v>
      </c>
      <c r="AP131" s="7">
        <f>SUM(AP127:AP130)</f>
        <v>-81.400000000000006</v>
      </c>
      <c r="AR131" s="22"/>
      <c r="AS131" s="7">
        <f>SUM(AS127:AS130)</f>
        <v>0</v>
      </c>
      <c r="AT131" s="7">
        <f>SUM(AT127:AT130)</f>
        <v>0</v>
      </c>
      <c r="AU131" s="7">
        <f>SUM(AU127:AU130)</f>
        <v>-508</v>
      </c>
      <c r="AV131" s="7">
        <f t="shared" ref="AV131:BF131" si="202">SUM(AV127:AV130)</f>
        <v>-380</v>
      </c>
      <c r="AW131" s="7">
        <f t="shared" si="202"/>
        <v>-426</v>
      </c>
      <c r="AX131" s="7">
        <f t="shared" si="202"/>
        <v>-137</v>
      </c>
      <c r="AY131" s="7">
        <f t="shared" si="202"/>
        <v>-148</v>
      </c>
      <c r="AZ131" s="7">
        <f t="shared" si="202"/>
        <v>95</v>
      </c>
      <c r="BA131" s="7">
        <f t="shared" si="202"/>
        <v>-997</v>
      </c>
      <c r="BB131" s="7">
        <f t="shared" si="202"/>
        <v>763</v>
      </c>
      <c r="BC131" s="7">
        <f t="shared" si="202"/>
        <v>101</v>
      </c>
      <c r="BD131" s="7">
        <f t="shared" si="202"/>
        <v>-139</v>
      </c>
      <c r="BE131" s="7">
        <f t="shared" si="202"/>
        <v>7.9333333333333371</v>
      </c>
      <c r="BF131" s="7">
        <f t="shared" si="202"/>
        <v>-162.80000000000001</v>
      </c>
      <c r="BG131" s="7">
        <f>SUM(BG127:BG130)</f>
        <v>-162.80000000000001</v>
      </c>
      <c r="BH131" s="7">
        <f>SUM(BH127:BH130)</f>
        <v>-162.80000000000001</v>
      </c>
      <c r="BI131" s="7">
        <f>SUM(BI127:BI130)</f>
        <v>-162.80000000000001</v>
      </c>
      <c r="BM131" s="22"/>
      <c r="BN131"/>
      <c r="BO131"/>
      <c r="BP131"/>
      <c r="BQ131"/>
      <c r="BR131"/>
      <c r="BS131"/>
    </row>
    <row r="132" spans="3:71" x14ac:dyDescent="0.25"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</row>
    <row r="133" spans="3:71" x14ac:dyDescent="0.25">
      <c r="C133" t="s">
        <v>14</v>
      </c>
      <c r="D133" t="s">
        <v>32</v>
      </c>
      <c r="E133" s="21"/>
      <c r="F133" s="21"/>
      <c r="G133" s="21"/>
      <c r="H133" s="21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>
        <v>-115</v>
      </c>
      <c r="T133" s="21">
        <f>-192-S133</f>
        <v>-77</v>
      </c>
      <c r="U133" s="21"/>
      <c r="V133" s="21"/>
      <c r="W133" s="21"/>
      <c r="X133" s="21"/>
      <c r="Y133" s="21"/>
      <c r="Z133" s="21"/>
      <c r="AA133" s="21"/>
      <c r="AB133" s="5"/>
      <c r="AC133" s="5"/>
      <c r="AD133" s="5"/>
      <c r="AE133" s="5"/>
      <c r="AF133" s="5">
        <v>0</v>
      </c>
      <c r="AG133" s="5">
        <v>0</v>
      </c>
      <c r="AH133" s="5">
        <f t="shared" ref="AH133:AN133" si="203">AH162+AH170+AH178+AH185+AH192</f>
        <v>43.602640974000003</v>
      </c>
      <c r="AI133" s="5">
        <f t="shared" si="203"/>
        <v>0</v>
      </c>
      <c r="AJ133" s="5">
        <f t="shared" si="203"/>
        <v>0</v>
      </c>
      <c r="AK133" s="5">
        <f t="shared" si="203"/>
        <v>0</v>
      </c>
      <c r="AL133" s="5">
        <f t="shared" si="203"/>
        <v>0</v>
      </c>
      <c r="AM133" s="5">
        <f t="shared" si="203"/>
        <v>0</v>
      </c>
      <c r="AN133" s="5">
        <f t="shared" ca="1" si="203"/>
        <v>0</v>
      </c>
      <c r="AO133" s="5">
        <f t="shared" ref="AO133:AP133" ca="1" si="204">AO162+AO170+AO178+AO185+AO192</f>
        <v>0</v>
      </c>
      <c r="AP133" s="5">
        <f t="shared" ca="1" si="204"/>
        <v>0</v>
      </c>
      <c r="AS133" s="5">
        <f t="shared" ref="AS133:BI137" si="205">SUMIF($E$4:$AR$4,AS$4,$E133:$AR133)</f>
        <v>0</v>
      </c>
      <c r="AT133" s="5">
        <f t="shared" si="205"/>
        <v>0</v>
      </c>
      <c r="AU133" s="5">
        <f t="shared" si="205"/>
        <v>0</v>
      </c>
      <c r="AV133" s="5">
        <f t="shared" si="205"/>
        <v>0</v>
      </c>
      <c r="AW133" s="5">
        <f t="shared" si="205"/>
        <v>0</v>
      </c>
      <c r="AX133" s="5">
        <f t="shared" si="205"/>
        <v>-192</v>
      </c>
      <c r="AY133" s="5">
        <f t="shared" si="205"/>
        <v>0</v>
      </c>
      <c r="AZ133" s="5">
        <f t="shared" si="205"/>
        <v>0</v>
      </c>
      <c r="BA133" s="5">
        <f t="shared" si="205"/>
        <v>0</v>
      </c>
      <c r="BB133" s="5">
        <f t="shared" si="205"/>
        <v>0</v>
      </c>
      <c r="BC133" s="5">
        <f t="shared" si="205"/>
        <v>0</v>
      </c>
      <c r="BD133" s="5">
        <f t="shared" si="205"/>
        <v>0</v>
      </c>
      <c r="BE133" s="5">
        <f t="shared" si="205"/>
        <v>43.602640974000003</v>
      </c>
      <c r="BF133" s="5">
        <f t="shared" si="205"/>
        <v>0</v>
      </c>
      <c r="BG133" s="5">
        <f t="shared" si="205"/>
        <v>0</v>
      </c>
      <c r="BH133" s="5">
        <f t="shared" ca="1" si="205"/>
        <v>0</v>
      </c>
      <c r="BI133" s="5">
        <f t="shared" ca="1" si="205"/>
        <v>0</v>
      </c>
    </row>
    <row r="134" spans="3:71" x14ac:dyDescent="0.25">
      <c r="C134" t="s">
        <v>15</v>
      </c>
      <c r="D134" t="s">
        <v>32</v>
      </c>
      <c r="E134" s="21"/>
      <c r="F134" s="21"/>
      <c r="G134" s="21"/>
      <c r="H134" s="21"/>
      <c r="I134" s="21"/>
      <c r="J134" s="21"/>
      <c r="K134" s="21"/>
      <c r="L134" s="21"/>
      <c r="M134" s="21">
        <v>-218</v>
      </c>
      <c r="N134" s="21">
        <f>-448-M134</f>
        <v>-230</v>
      </c>
      <c r="O134" s="21">
        <v>-231</v>
      </c>
      <c r="P134" s="21">
        <f>-476-O134</f>
        <v>-245</v>
      </c>
      <c r="Q134" s="21">
        <v>-245</v>
      </c>
      <c r="R134" s="21">
        <f>-561-Q134</f>
        <v>-316</v>
      </c>
      <c r="S134" s="21">
        <v>-329</v>
      </c>
      <c r="T134" s="21">
        <f>-653-S134</f>
        <v>-324</v>
      </c>
      <c r="U134" s="21">
        <v>-336</v>
      </c>
      <c r="V134" s="21">
        <f>-658-U134</f>
        <v>-322</v>
      </c>
      <c r="W134" s="21">
        <v>-253</v>
      </c>
      <c r="X134" s="21">
        <f>-523-W134</f>
        <v>-270</v>
      </c>
      <c r="Y134" s="21">
        <v>-317</v>
      </c>
      <c r="Z134" s="21">
        <f>-603-Y134</f>
        <v>-286</v>
      </c>
      <c r="AA134" s="21">
        <v>-349</v>
      </c>
      <c r="AB134" s="21">
        <f>-631-AA134</f>
        <v>-282</v>
      </c>
      <c r="AC134" s="21">
        <v>-344</v>
      </c>
      <c r="AD134" s="21">
        <f>-535-AC134</f>
        <v>-191</v>
      </c>
      <c r="AE134" s="21">
        <v>-396</v>
      </c>
      <c r="AF134" s="21">
        <f>-525-AE134</f>
        <v>-129</v>
      </c>
      <c r="AG134" s="21">
        <v>-290</v>
      </c>
      <c r="AH134" s="5">
        <f t="shared" ref="AH134:AL134" si="206">-AG81</f>
        <v>-218.01320487000001</v>
      </c>
      <c r="AI134" s="5">
        <f t="shared" si="206"/>
        <v>-393.60104007229796</v>
      </c>
      <c r="AJ134" s="5">
        <f t="shared" si="206"/>
        <v>-218.66724448461002</v>
      </c>
      <c r="AK134" s="5">
        <f t="shared" si="206"/>
        <v>-393.60104007229796</v>
      </c>
      <c r="AL134" s="5">
        <f t="shared" si="206"/>
        <v>-218.66724448461002</v>
      </c>
      <c r="AM134" s="5">
        <f>-AL81</f>
        <v>-393.60104007229796</v>
      </c>
      <c r="AN134" s="5">
        <f ca="1">-AM81</f>
        <v>-307.71994191084059</v>
      </c>
      <c r="AO134" s="5">
        <f ca="1">-AN81</f>
        <v>-316.48269398424731</v>
      </c>
      <c r="AP134" s="5">
        <f ca="1">-AO81</f>
        <v>-320.1159126406618</v>
      </c>
      <c r="AS134" s="5">
        <f t="shared" si="205"/>
        <v>0</v>
      </c>
      <c r="AT134" s="5">
        <f t="shared" si="205"/>
        <v>0</v>
      </c>
      <c r="AU134" s="5">
        <f t="shared" si="205"/>
        <v>-448</v>
      </c>
      <c r="AV134" s="5">
        <f t="shared" si="205"/>
        <v>-476</v>
      </c>
      <c r="AW134" s="5">
        <f t="shared" si="205"/>
        <v>-561</v>
      </c>
      <c r="AX134" s="5">
        <f t="shared" si="205"/>
        <v>-653</v>
      </c>
      <c r="AY134" s="5">
        <f t="shared" si="205"/>
        <v>-658</v>
      </c>
      <c r="AZ134" s="5">
        <f t="shared" si="205"/>
        <v>-523</v>
      </c>
      <c r="BA134" s="5">
        <f t="shared" si="205"/>
        <v>-603</v>
      </c>
      <c r="BB134" s="5">
        <f t="shared" si="205"/>
        <v>-631</v>
      </c>
      <c r="BC134" s="5">
        <f t="shared" si="205"/>
        <v>-535</v>
      </c>
      <c r="BD134" s="5">
        <f t="shared" si="205"/>
        <v>-525</v>
      </c>
      <c r="BE134" s="5">
        <f t="shared" si="205"/>
        <v>-508.01320486999998</v>
      </c>
      <c r="BF134" s="5">
        <f t="shared" si="205"/>
        <v>-612.26828455690793</v>
      </c>
      <c r="BG134" s="5">
        <f t="shared" si="205"/>
        <v>-612.26828455690793</v>
      </c>
      <c r="BH134" s="5">
        <f t="shared" ca="1" si="205"/>
        <v>-701.32098198313861</v>
      </c>
      <c r="BI134" s="5">
        <f t="shared" ca="1" si="205"/>
        <v>-636.59860662490905</v>
      </c>
    </row>
    <row r="135" spans="3:71" x14ac:dyDescent="0.25">
      <c r="C135" t="s">
        <v>79</v>
      </c>
      <c r="D135" t="s">
        <v>32</v>
      </c>
      <c r="E135" s="21"/>
      <c r="F135" s="21"/>
      <c r="G135" s="21"/>
      <c r="H135" s="21"/>
      <c r="I135" s="21"/>
      <c r="J135" s="21"/>
      <c r="K135" s="21"/>
      <c r="L135" s="21"/>
      <c r="M135" s="21">
        <f>2619-2375</f>
        <v>244</v>
      </c>
      <c r="N135" s="21">
        <f>2589-2254-M135</f>
        <v>91</v>
      </c>
      <c r="O135" s="21">
        <f>868-688</f>
        <v>180</v>
      </c>
      <c r="P135" s="21">
        <f>1563-1582-O135</f>
        <v>-199</v>
      </c>
      <c r="Q135" s="21">
        <f>990-681</f>
        <v>309</v>
      </c>
      <c r="R135" s="21">
        <f>2510-2136-Q135</f>
        <v>65</v>
      </c>
      <c r="S135" s="21">
        <f>1201-614</f>
        <v>587</v>
      </c>
      <c r="T135" s="21">
        <f>2426-1969-S135</f>
        <v>-130</v>
      </c>
      <c r="U135" s="21">
        <f>744-691</f>
        <v>53</v>
      </c>
      <c r="V135" s="21">
        <f>1430-1412-U135</f>
        <v>-35</v>
      </c>
      <c r="W135" s="21">
        <f>100-361</f>
        <v>-261</v>
      </c>
      <c r="X135" s="21">
        <f>665-561-W135</f>
        <v>365</v>
      </c>
      <c r="Y135" s="21">
        <f>754-989</f>
        <v>-235</v>
      </c>
      <c r="Z135" s="21">
        <f>3980-4058-Y135</f>
        <v>157</v>
      </c>
      <c r="AA135" s="21">
        <f>712-1229</f>
        <v>-517</v>
      </c>
      <c r="AB135" s="21">
        <f>3062-3639-AA135</f>
        <v>-60</v>
      </c>
      <c r="AC135" s="21">
        <f>2452-1092</f>
        <v>1360</v>
      </c>
      <c r="AD135" s="21">
        <f>4171-3380-AC135</f>
        <v>-569</v>
      </c>
      <c r="AE135" s="21">
        <f>1466-879</f>
        <v>587</v>
      </c>
      <c r="AF135" s="21">
        <f>4967-4672-AE135</f>
        <v>-292</v>
      </c>
      <c r="AG135" s="21">
        <f>2726-2132</f>
        <v>594</v>
      </c>
      <c r="AH135" s="5">
        <f ca="1">Debt!AH21-Debt!AH11</f>
        <v>-793.98097430733287</v>
      </c>
      <c r="AI135" s="5">
        <f ca="1">Debt!AI21-Debt!AI11</f>
        <v>146.35999999999967</v>
      </c>
      <c r="AJ135" s="5">
        <f ca="1">Debt!AJ21-Debt!AJ11</f>
        <v>141.84832499999993</v>
      </c>
      <c r="AK135" s="5">
        <f ca="1">Debt!AK21-Debt!AK11</f>
        <v>147.33439999999973</v>
      </c>
      <c r="AL135" s="5">
        <f ca="1">Debt!AL21-Debt!AL11</f>
        <v>142.75504987499971</v>
      </c>
      <c r="AM135" s="5">
        <f ca="1">Debt!AM21-Debt!AM11</f>
        <v>148.32341599999927</v>
      </c>
      <c r="AN135" s="5">
        <f ca="1">Debt!AN21-Debt!AN11</f>
        <v>143.67537562312464</v>
      </c>
      <c r="AO135" s="5">
        <f ca="1">Debt!AO21-Debt!AO11</f>
        <v>149.32726723999986</v>
      </c>
      <c r="AP135" s="5">
        <f ca="1">Debt!AP21-Debt!AP11</f>
        <v>144.60950625747137</v>
      </c>
      <c r="AS135" s="5">
        <f t="shared" si="205"/>
        <v>0</v>
      </c>
      <c r="AT135" s="5">
        <f t="shared" si="205"/>
        <v>0</v>
      </c>
      <c r="AU135" s="5">
        <f t="shared" si="205"/>
        <v>335</v>
      </c>
      <c r="AV135" s="5">
        <f t="shared" si="205"/>
        <v>-19</v>
      </c>
      <c r="AW135" s="5">
        <f t="shared" si="205"/>
        <v>374</v>
      </c>
      <c r="AX135" s="5">
        <f t="shared" si="205"/>
        <v>457</v>
      </c>
      <c r="AY135" s="5">
        <f t="shared" si="205"/>
        <v>18</v>
      </c>
      <c r="AZ135" s="5">
        <f t="shared" si="205"/>
        <v>104</v>
      </c>
      <c r="BA135" s="5">
        <f t="shared" si="205"/>
        <v>-78</v>
      </c>
      <c r="BB135" s="5">
        <f t="shared" si="205"/>
        <v>-577</v>
      </c>
      <c r="BC135" s="5">
        <f t="shared" si="205"/>
        <v>791</v>
      </c>
      <c r="BD135" s="5">
        <f t="shared" si="205"/>
        <v>295</v>
      </c>
      <c r="BE135" s="5">
        <f t="shared" ca="1" si="205"/>
        <v>-199.98097430733287</v>
      </c>
      <c r="BF135" s="5">
        <f t="shared" ca="1" si="205"/>
        <v>288.2083249999996</v>
      </c>
      <c r="BG135" s="5">
        <f t="shared" ca="1" si="205"/>
        <v>290.08944987499945</v>
      </c>
      <c r="BH135" s="5">
        <f t="shared" ca="1" si="205"/>
        <v>291.99879162312391</v>
      </c>
      <c r="BI135" s="5">
        <f t="shared" ca="1" si="205"/>
        <v>293.93677349747122</v>
      </c>
    </row>
    <row r="136" spans="3:71" x14ac:dyDescent="0.25">
      <c r="C136" t="s">
        <v>196</v>
      </c>
      <c r="D136" t="s">
        <v>32</v>
      </c>
      <c r="E136" s="21"/>
      <c r="F136" s="21"/>
      <c r="G136" s="21"/>
      <c r="H136" s="21"/>
      <c r="I136" s="21"/>
      <c r="J136" s="21"/>
      <c r="K136" s="21"/>
      <c r="L136" s="21"/>
      <c r="M136" s="21"/>
      <c r="N136" s="21">
        <v>-9</v>
      </c>
      <c r="O136" s="21">
        <v>-16</v>
      </c>
      <c r="P136" s="21">
        <f>-16-O136</f>
        <v>0</v>
      </c>
      <c r="Q136" s="21">
        <v>-20</v>
      </c>
      <c r="R136" s="21">
        <v>0</v>
      </c>
      <c r="S136" s="21">
        <v>-14</v>
      </c>
      <c r="T136" s="21">
        <f>-15-S136</f>
        <v>-1</v>
      </c>
      <c r="U136" s="21">
        <v>-12</v>
      </c>
      <c r="V136" s="21">
        <f>-13-U136</f>
        <v>-1</v>
      </c>
      <c r="W136" s="21">
        <v>-1</v>
      </c>
      <c r="X136" s="21">
        <f>-4-W136</f>
        <v>-3</v>
      </c>
      <c r="Y136" s="21">
        <v>-16</v>
      </c>
      <c r="Z136" s="21">
        <f>-17-Y136</f>
        <v>-1</v>
      </c>
      <c r="AA136" s="21">
        <v>-15</v>
      </c>
      <c r="AB136" s="21">
        <f>-15-AA136</f>
        <v>0</v>
      </c>
      <c r="AC136" s="21">
        <v>-23</v>
      </c>
      <c r="AD136" s="21">
        <f>-23-AC136</f>
        <v>0</v>
      </c>
      <c r="AE136" s="21">
        <v>-27</v>
      </c>
      <c r="AF136" s="21">
        <f>-31-AE136</f>
        <v>-4</v>
      </c>
      <c r="AG136" s="21">
        <v>-53</v>
      </c>
      <c r="AH136" s="5"/>
      <c r="AI136" s="5"/>
      <c r="AJ136" s="5"/>
      <c r="AK136" s="5"/>
      <c r="AL136" s="5"/>
      <c r="AM136" s="5"/>
      <c r="AN136" s="5"/>
      <c r="AO136" s="5"/>
      <c r="AP136" s="5"/>
      <c r="AS136" s="5">
        <f t="shared" si="205"/>
        <v>0</v>
      </c>
      <c r="AT136" s="5">
        <f t="shared" si="205"/>
        <v>0</v>
      </c>
      <c r="AU136" s="5">
        <f t="shared" si="205"/>
        <v>-9</v>
      </c>
      <c r="AV136" s="5">
        <f t="shared" si="205"/>
        <v>-16</v>
      </c>
      <c r="AW136" s="5">
        <f t="shared" si="205"/>
        <v>-20</v>
      </c>
      <c r="AX136" s="5">
        <f t="shared" si="205"/>
        <v>-15</v>
      </c>
      <c r="AY136" s="5">
        <f t="shared" si="205"/>
        <v>-13</v>
      </c>
      <c r="AZ136" s="5">
        <f t="shared" si="205"/>
        <v>-4</v>
      </c>
      <c r="BA136" s="5">
        <f t="shared" si="205"/>
        <v>-17</v>
      </c>
      <c r="BB136" s="5">
        <f t="shared" si="205"/>
        <v>-15</v>
      </c>
      <c r="BC136" s="5">
        <f t="shared" si="205"/>
        <v>-23</v>
      </c>
      <c r="BD136" s="5">
        <f t="shared" si="205"/>
        <v>-31</v>
      </c>
      <c r="BE136" s="5">
        <f t="shared" si="205"/>
        <v>-53</v>
      </c>
      <c r="BF136" s="5">
        <f t="shared" si="205"/>
        <v>0</v>
      </c>
      <c r="BG136" s="5">
        <f t="shared" si="205"/>
        <v>0</v>
      </c>
      <c r="BH136" s="5">
        <f t="shared" si="205"/>
        <v>0</v>
      </c>
      <c r="BI136" s="5">
        <f t="shared" si="205"/>
        <v>0</v>
      </c>
    </row>
    <row r="137" spans="3:71" x14ac:dyDescent="0.25">
      <c r="C137" t="s">
        <v>11</v>
      </c>
      <c r="D137" t="s">
        <v>32</v>
      </c>
      <c r="E137" s="21"/>
      <c r="F137" s="21"/>
      <c r="G137" s="21"/>
      <c r="H137" s="21"/>
      <c r="I137" s="21"/>
      <c r="J137" s="21"/>
      <c r="K137" s="21"/>
      <c r="L137" s="21"/>
      <c r="M137" s="21">
        <f>M138-SUM(M133:M136)</f>
        <v>-125</v>
      </c>
      <c r="N137" s="21">
        <f>N138-SUM(N133:N136)</f>
        <v>6</v>
      </c>
      <c r="O137" s="21">
        <f>O138-SUM(O133:O136)</f>
        <v>0</v>
      </c>
      <c r="P137" s="21">
        <f>P138-SUM(P133:P136)</f>
        <v>0</v>
      </c>
      <c r="Q137" s="21">
        <f t="shared" ref="Q137:AB137" si="207">Q138-SUM(Q133:Q136)</f>
        <v>0</v>
      </c>
      <c r="R137" s="21">
        <f t="shared" si="207"/>
        <v>0</v>
      </c>
      <c r="S137" s="21">
        <f t="shared" si="207"/>
        <v>-47</v>
      </c>
      <c r="T137" s="21">
        <f t="shared" si="207"/>
        <v>0</v>
      </c>
      <c r="U137" s="21">
        <f t="shared" si="207"/>
        <v>-3</v>
      </c>
      <c r="V137" s="21">
        <f t="shared" si="207"/>
        <v>-20</v>
      </c>
      <c r="W137" s="21">
        <f t="shared" si="207"/>
        <v>0</v>
      </c>
      <c r="X137" s="21">
        <f t="shared" si="207"/>
        <v>0</v>
      </c>
      <c r="Y137" s="21">
        <f t="shared" si="207"/>
        <v>0</v>
      </c>
      <c r="Z137" s="21">
        <f t="shared" si="207"/>
        <v>-7</v>
      </c>
      <c r="AA137" s="21">
        <f t="shared" si="207"/>
        <v>21</v>
      </c>
      <c r="AB137" s="21">
        <f t="shared" si="207"/>
        <v>0</v>
      </c>
      <c r="AC137" s="21"/>
      <c r="AD137" s="5"/>
      <c r="AE137" s="5"/>
      <c r="AF137" s="5"/>
      <c r="AG137" s="21">
        <v>-5</v>
      </c>
      <c r="AH137" s="5"/>
      <c r="AI137" s="5"/>
      <c r="AJ137" s="5"/>
      <c r="AK137" s="5"/>
      <c r="AL137" s="5"/>
      <c r="AM137" s="5"/>
      <c r="AN137" s="5"/>
      <c r="AO137" s="5"/>
      <c r="AP137" s="5"/>
      <c r="AS137" s="5">
        <f t="shared" si="205"/>
        <v>0</v>
      </c>
      <c r="AT137" s="5">
        <f t="shared" si="205"/>
        <v>0</v>
      </c>
      <c r="AU137" s="5">
        <f t="shared" si="205"/>
        <v>-119</v>
      </c>
      <c r="AV137" s="5">
        <f t="shared" si="205"/>
        <v>0</v>
      </c>
      <c r="AW137" s="5">
        <f t="shared" si="205"/>
        <v>0</v>
      </c>
      <c r="AX137" s="5">
        <f t="shared" si="205"/>
        <v>-47</v>
      </c>
      <c r="AY137" s="5">
        <f t="shared" si="205"/>
        <v>-23</v>
      </c>
      <c r="AZ137" s="5">
        <f t="shared" si="205"/>
        <v>0</v>
      </c>
      <c r="BA137" s="5">
        <f t="shared" si="205"/>
        <v>-7</v>
      </c>
      <c r="BB137" s="5">
        <f t="shared" si="205"/>
        <v>21</v>
      </c>
      <c r="BC137" s="5">
        <f t="shared" si="205"/>
        <v>0</v>
      </c>
      <c r="BD137" s="5">
        <f t="shared" si="205"/>
        <v>0</v>
      </c>
      <c r="BE137" s="5">
        <f t="shared" si="205"/>
        <v>-5</v>
      </c>
      <c r="BF137" s="5">
        <f t="shared" si="205"/>
        <v>0</v>
      </c>
      <c r="BG137" s="5">
        <f t="shared" si="205"/>
        <v>0</v>
      </c>
      <c r="BH137" s="5">
        <f t="shared" si="205"/>
        <v>0</v>
      </c>
      <c r="BI137" s="5">
        <f t="shared" si="205"/>
        <v>0</v>
      </c>
    </row>
    <row r="138" spans="3:71" s="6" customFormat="1" x14ac:dyDescent="0.25">
      <c r="C138" s="6" t="s">
        <v>80</v>
      </c>
      <c r="D138" s="6" t="s">
        <v>32</v>
      </c>
      <c r="E138" s="7"/>
      <c r="F138" s="7"/>
      <c r="G138" s="7">
        <v>-117.69999999999999</v>
      </c>
      <c r="H138" s="7">
        <v>-520.5</v>
      </c>
      <c r="I138" s="7">
        <v>-153</v>
      </c>
      <c r="J138" s="7">
        <v>98</v>
      </c>
      <c r="K138" s="7">
        <v>-364</v>
      </c>
      <c r="L138" s="7">
        <v>-282</v>
      </c>
      <c r="M138" s="7">
        <v>-99</v>
      </c>
      <c r="N138" s="7">
        <v>-142</v>
      </c>
      <c r="O138" s="7">
        <v>-67</v>
      </c>
      <c r="P138" s="7">
        <v>-444</v>
      </c>
      <c r="Q138" s="7">
        <v>44</v>
      </c>
      <c r="R138" s="7">
        <v>-251</v>
      </c>
      <c r="S138" s="7">
        <v>82</v>
      </c>
      <c r="T138" s="7">
        <v>-532</v>
      </c>
      <c r="U138" s="7">
        <v>-298</v>
      </c>
      <c r="V138" s="7">
        <v>-378</v>
      </c>
      <c r="W138" s="7">
        <v>-515</v>
      </c>
      <c r="X138" s="7">
        <v>92</v>
      </c>
      <c r="Y138" s="7">
        <v>-568</v>
      </c>
      <c r="Z138" s="7">
        <v>-137</v>
      </c>
      <c r="AA138" s="7">
        <v>-860</v>
      </c>
      <c r="AB138" s="7">
        <f>-1223-AA138+21</f>
        <v>-342</v>
      </c>
      <c r="AC138" s="7">
        <f t="shared" ref="AC138:AL138" si="208">SUM(AC133:AC137)</f>
        <v>993</v>
      </c>
      <c r="AD138" s="7">
        <f t="shared" si="208"/>
        <v>-760</v>
      </c>
      <c r="AE138" s="7">
        <f t="shared" si="208"/>
        <v>164</v>
      </c>
      <c r="AF138" s="7">
        <f t="shared" si="208"/>
        <v>-425</v>
      </c>
      <c r="AG138" s="7">
        <f t="shared" si="208"/>
        <v>246</v>
      </c>
      <c r="AH138" s="7">
        <f t="shared" ca="1" si="208"/>
        <v>-968.39153820333286</v>
      </c>
      <c r="AI138" s="7">
        <f t="shared" ca="1" si="208"/>
        <v>-247.24104007229829</v>
      </c>
      <c r="AJ138" s="7">
        <f t="shared" ca="1" si="208"/>
        <v>-76.818919484610092</v>
      </c>
      <c r="AK138" s="7">
        <f t="shared" ca="1" si="208"/>
        <v>-246.26664007229823</v>
      </c>
      <c r="AL138" s="7">
        <f t="shared" ca="1" si="208"/>
        <v>-75.91219460961031</v>
      </c>
      <c r="AM138" s="7">
        <f ca="1">SUM(AM133:AM137)</f>
        <v>-245.27762407229869</v>
      </c>
      <c r="AN138" s="7">
        <f ca="1">SUM(AN133:AN137)</f>
        <v>-164.04456628771595</v>
      </c>
      <c r="AO138" s="7">
        <f ca="1">SUM(AO133:AO137)</f>
        <v>-167.15542674424745</v>
      </c>
      <c r="AP138" s="7">
        <f ca="1">SUM(AP133:AP137)</f>
        <v>-175.50640638319044</v>
      </c>
      <c r="AR138" s="22"/>
      <c r="AS138" s="7">
        <f>SUM(AS133:AS137)</f>
        <v>0</v>
      </c>
      <c r="AT138" s="7">
        <f>SUM(AT133:AT137)</f>
        <v>0</v>
      </c>
      <c r="AU138" s="7">
        <f>SUM(AU133:AU137)</f>
        <v>-241</v>
      </c>
      <c r="AV138" s="7">
        <f t="shared" ref="AV138:BF138" si="209">SUM(AV133:AV137)</f>
        <v>-511</v>
      </c>
      <c r="AW138" s="7">
        <f t="shared" si="209"/>
        <v>-207</v>
      </c>
      <c r="AX138" s="7">
        <f t="shared" si="209"/>
        <v>-450</v>
      </c>
      <c r="AY138" s="7">
        <f t="shared" si="209"/>
        <v>-676</v>
      </c>
      <c r="AZ138" s="7">
        <f t="shared" si="209"/>
        <v>-423</v>
      </c>
      <c r="BA138" s="7">
        <f t="shared" si="209"/>
        <v>-705</v>
      </c>
      <c r="BB138" s="7">
        <f t="shared" si="209"/>
        <v>-1202</v>
      </c>
      <c r="BC138" s="7">
        <f t="shared" si="209"/>
        <v>233</v>
      </c>
      <c r="BD138" s="7">
        <f t="shared" si="209"/>
        <v>-261</v>
      </c>
      <c r="BE138" s="7">
        <f t="shared" ca="1" si="209"/>
        <v>-722.39153820333286</v>
      </c>
      <c r="BF138" s="7">
        <f t="shared" ca="1" si="209"/>
        <v>-324.05995955690832</v>
      </c>
      <c r="BG138" s="7">
        <f ca="1">SUM(BG133:BG137)</f>
        <v>-322.17883468190848</v>
      </c>
      <c r="BH138" s="7">
        <f ca="1">SUM(BH133:BH137)</f>
        <v>-409.3221903600147</v>
      </c>
      <c r="BI138" s="7">
        <f ca="1">SUM(BI133:BI137)</f>
        <v>-342.66183312743783</v>
      </c>
      <c r="BM138" s="22"/>
      <c r="BN138"/>
      <c r="BO138"/>
      <c r="BP138"/>
      <c r="BQ138"/>
      <c r="BR138"/>
      <c r="BS138"/>
    </row>
    <row r="139" spans="3:71" x14ac:dyDescent="0.25"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</row>
    <row r="140" spans="3:71" x14ac:dyDescent="0.25">
      <c r="C140" t="s">
        <v>81</v>
      </c>
      <c r="D140" t="s">
        <v>32</v>
      </c>
      <c r="E140" s="5"/>
      <c r="F140" s="5"/>
      <c r="G140" s="5">
        <f t="shared" ref="G140:U140" si="210">F143</f>
        <v>135.6</v>
      </c>
      <c r="H140" s="5">
        <f t="shared" si="210"/>
        <v>165.3</v>
      </c>
      <c r="I140" s="5">
        <f t="shared" si="210"/>
        <v>227.10000000000008</v>
      </c>
      <c r="J140" s="5">
        <f t="shared" si="210"/>
        <v>200.80000000000007</v>
      </c>
      <c r="K140" s="5">
        <f t="shared" si="210"/>
        <v>231.00000000000009</v>
      </c>
      <c r="L140" s="5">
        <f t="shared" si="210"/>
        <v>523.00000000000011</v>
      </c>
      <c r="M140" s="5">
        <f t="shared" si="210"/>
        <v>170.00000000000011</v>
      </c>
      <c r="N140" s="5">
        <f t="shared" si="210"/>
        <v>279.00000000000011</v>
      </c>
      <c r="O140" s="5">
        <f t="shared" si="210"/>
        <v>208.00000000000011</v>
      </c>
      <c r="P140" s="5">
        <f t="shared" si="210"/>
        <v>282.00000000000011</v>
      </c>
      <c r="Q140" s="5">
        <f t="shared" si="210"/>
        <v>238.00000000000011</v>
      </c>
      <c r="R140" s="5">
        <f t="shared" si="210"/>
        <v>174.00000000000011</v>
      </c>
      <c r="S140" s="5">
        <f t="shared" si="210"/>
        <v>333.00000000000011</v>
      </c>
      <c r="T140" s="5">
        <f t="shared" si="210"/>
        <v>178.00000000000011</v>
      </c>
      <c r="U140" s="5">
        <f t="shared" si="210"/>
        <v>140.00000000000011</v>
      </c>
      <c r="V140" s="5">
        <f t="shared" ref="V140:AF140" si="211">U143</f>
        <v>245.00000000000011</v>
      </c>
      <c r="W140" s="5">
        <f t="shared" si="211"/>
        <v>443.00000000000011</v>
      </c>
      <c r="X140" s="5">
        <f t="shared" si="211"/>
        <v>434.00000000000011</v>
      </c>
      <c r="Y140" s="5">
        <f t="shared" si="211"/>
        <v>1162</v>
      </c>
      <c r="Z140" s="5">
        <f t="shared" si="211"/>
        <v>277</v>
      </c>
      <c r="AA140" s="5">
        <f t="shared" si="211"/>
        <v>378</v>
      </c>
      <c r="AB140" s="5">
        <f t="shared" si="211"/>
        <v>208</v>
      </c>
      <c r="AC140" s="5">
        <f t="shared" si="211"/>
        <v>271</v>
      </c>
      <c r="AD140" s="5">
        <f t="shared" si="211"/>
        <v>693</v>
      </c>
      <c r="AE140" s="5">
        <f t="shared" si="211"/>
        <v>719</v>
      </c>
      <c r="AF140" s="5">
        <f t="shared" si="211"/>
        <v>506</v>
      </c>
      <c r="AG140" s="5">
        <f t="shared" ref="AG140:AL140" si="212">AF143</f>
        <v>647</v>
      </c>
      <c r="AH140" s="5">
        <f t="shared" si="212"/>
        <v>376</v>
      </c>
      <c r="AI140" s="5">
        <f t="shared" ca="1" si="212"/>
        <v>286.9172741635582</v>
      </c>
      <c r="AJ140" s="5">
        <f t="shared" ca="1" si="212"/>
        <v>235.95595417233559</v>
      </c>
      <c r="AK140" s="5">
        <f t="shared" ca="1" si="212"/>
        <v>376.2997056840523</v>
      </c>
      <c r="AL140" s="5">
        <f t="shared" ca="1" si="212"/>
        <v>348.9440832255118</v>
      </c>
      <c r="AM140" s="5">
        <f ca="1">AL143</f>
        <v>511.26252194705842</v>
      </c>
      <c r="AN140" s="5">
        <f ca="1">AM143</f>
        <v>505.88789868586889</v>
      </c>
      <c r="AO140" s="5">
        <f ca="1">AN143</f>
        <v>602.23499502037635</v>
      </c>
      <c r="AP140" s="5">
        <f ca="1">AO143</f>
        <v>697.69734472921141</v>
      </c>
      <c r="AV140" s="5"/>
      <c r="AW140" s="5">
        <f>AV143</f>
        <v>238.00000000000011</v>
      </c>
      <c r="AX140" s="5">
        <f t="shared" ref="AX140:BI140" si="213">AW143</f>
        <v>333.00000000000011</v>
      </c>
      <c r="AY140" s="5">
        <f t="shared" si="213"/>
        <v>140.00000000000011</v>
      </c>
      <c r="AZ140" s="5">
        <f t="shared" si="213"/>
        <v>443.00000000000011</v>
      </c>
      <c r="BA140" s="5">
        <f t="shared" si="213"/>
        <v>1162</v>
      </c>
      <c r="BB140" s="5">
        <f t="shared" si="213"/>
        <v>378</v>
      </c>
      <c r="BC140" s="5">
        <f t="shared" si="213"/>
        <v>271</v>
      </c>
      <c r="BD140" s="5">
        <f t="shared" si="213"/>
        <v>719</v>
      </c>
      <c r="BE140" s="5">
        <f t="shared" si="213"/>
        <v>647</v>
      </c>
      <c r="BF140" s="5">
        <f t="shared" ca="1" si="213"/>
        <v>286.9172741635582</v>
      </c>
      <c r="BG140" s="5">
        <f t="shared" ca="1" si="213"/>
        <v>376.2997056840523</v>
      </c>
      <c r="BH140" s="5">
        <f t="shared" ca="1" si="213"/>
        <v>511.26252194705842</v>
      </c>
      <c r="BI140" s="5">
        <f t="shared" ca="1" si="213"/>
        <v>602.23499502037635</v>
      </c>
    </row>
    <row r="141" spans="3:71" x14ac:dyDescent="0.25">
      <c r="C141" t="s">
        <v>16</v>
      </c>
      <c r="D141" t="s">
        <v>32</v>
      </c>
      <c r="E141" s="5"/>
      <c r="F141" s="5"/>
      <c r="G141" s="5">
        <f t="shared" ref="G141:P141" si="214">G125+G131+G138</f>
        <v>29.700000000000017</v>
      </c>
      <c r="H141" s="5">
        <f t="shared" si="214"/>
        <v>61.800000000000068</v>
      </c>
      <c r="I141" s="5">
        <f t="shared" si="214"/>
        <v>-26.300000000000011</v>
      </c>
      <c r="J141" s="5">
        <f t="shared" si="214"/>
        <v>30.300000000000011</v>
      </c>
      <c r="K141" s="5">
        <f t="shared" si="214"/>
        <v>292</v>
      </c>
      <c r="L141" s="5">
        <f t="shared" si="214"/>
        <v>-353</v>
      </c>
      <c r="M141" s="5">
        <f t="shared" si="214"/>
        <v>109</v>
      </c>
      <c r="N141" s="5">
        <f t="shared" si="214"/>
        <v>-71</v>
      </c>
      <c r="O141" s="5">
        <f t="shared" si="214"/>
        <v>74</v>
      </c>
      <c r="P141" s="5">
        <f t="shared" si="214"/>
        <v>-44</v>
      </c>
      <c r="Q141" s="5">
        <f t="shared" ref="Q141:AJ141" si="215">Q125+Q131+Q138</f>
        <v>-64</v>
      </c>
      <c r="R141" s="5">
        <f t="shared" si="215"/>
        <v>159</v>
      </c>
      <c r="S141" s="5">
        <f t="shared" si="215"/>
        <v>-155</v>
      </c>
      <c r="T141" s="5">
        <f t="shared" si="215"/>
        <v>-38</v>
      </c>
      <c r="U141" s="5">
        <f t="shared" si="215"/>
        <v>105</v>
      </c>
      <c r="V141" s="5">
        <f t="shared" si="215"/>
        <v>198</v>
      </c>
      <c r="W141" s="5">
        <f t="shared" si="215"/>
        <v>-9</v>
      </c>
      <c r="X141" s="5">
        <f t="shared" si="215"/>
        <v>728</v>
      </c>
      <c r="Y141" s="5">
        <f t="shared" si="215"/>
        <v>-885</v>
      </c>
      <c r="Z141" s="5">
        <f t="shared" si="215"/>
        <v>101</v>
      </c>
      <c r="AA141" s="5">
        <f t="shared" si="215"/>
        <v>-170</v>
      </c>
      <c r="AB141" s="5">
        <f t="shared" si="215"/>
        <v>63</v>
      </c>
      <c r="AC141" s="5">
        <f t="shared" si="215"/>
        <v>422</v>
      </c>
      <c r="AD141" s="5">
        <f t="shared" si="215"/>
        <v>26</v>
      </c>
      <c r="AE141" s="5">
        <f t="shared" si="215"/>
        <v>-213</v>
      </c>
      <c r="AF141" s="5">
        <f t="shared" si="215"/>
        <v>141</v>
      </c>
      <c r="AG141" s="5">
        <f t="shared" si="215"/>
        <v>-271</v>
      </c>
      <c r="AH141" s="5">
        <f t="shared" ca="1" si="215"/>
        <v>-89.082725836441796</v>
      </c>
      <c r="AI141" s="5">
        <f t="shared" ca="1" si="215"/>
        <v>-50.961319991222609</v>
      </c>
      <c r="AJ141" s="5">
        <f t="shared" ca="1" si="215"/>
        <v>140.3437515117167</v>
      </c>
      <c r="AK141" s="5">
        <f t="shared" ref="AK141:AP141" ca="1" si="216">AK125+AK131+AK138</f>
        <v>-27.355622458540353</v>
      </c>
      <c r="AL141" s="5">
        <f t="shared" ca="1" si="216"/>
        <v>162.31843872154653</v>
      </c>
      <c r="AM141" s="5">
        <f t="shared" ca="1" si="216"/>
        <v>-5.3746232611894413</v>
      </c>
      <c r="AN141" s="5">
        <f t="shared" ca="1" si="216"/>
        <v>96.347096334507341</v>
      </c>
      <c r="AO141" s="5">
        <f t="shared" ca="1" si="216"/>
        <v>95.462349708835234</v>
      </c>
      <c r="AP141" s="5">
        <f t="shared" ca="1" si="216"/>
        <v>109.20916840257632</v>
      </c>
      <c r="AV141" s="5">
        <f t="shared" ref="AV141:BF141" si="217">AV125+AV131+AV138</f>
        <v>30</v>
      </c>
      <c r="AW141" s="5">
        <f t="shared" si="217"/>
        <v>95</v>
      </c>
      <c r="AX141" s="5">
        <f t="shared" si="217"/>
        <v>-193</v>
      </c>
      <c r="AY141" s="5">
        <f t="shared" si="217"/>
        <v>303</v>
      </c>
      <c r="AZ141" s="5">
        <f t="shared" si="217"/>
        <v>719</v>
      </c>
      <c r="BA141" s="5">
        <f t="shared" si="217"/>
        <v>-784</v>
      </c>
      <c r="BB141" s="5">
        <f t="shared" si="217"/>
        <v>-107</v>
      </c>
      <c r="BC141" s="5">
        <f t="shared" si="217"/>
        <v>448</v>
      </c>
      <c r="BD141" s="5">
        <f t="shared" si="217"/>
        <v>-72</v>
      </c>
      <c r="BE141" s="5">
        <f t="shared" ca="1" si="217"/>
        <v>-360.08272583644174</v>
      </c>
      <c r="BF141" s="5">
        <f t="shared" ca="1" si="217"/>
        <v>89.382431520493981</v>
      </c>
      <c r="BG141" s="5">
        <f ca="1">BG125+BG131+BG138</f>
        <v>134.96281626300623</v>
      </c>
      <c r="BH141" s="5">
        <f ca="1">BH125+BH131+BH138</f>
        <v>90.972473073317644</v>
      </c>
      <c r="BI141" s="5">
        <f ca="1">BI125+BI131+BI138</f>
        <v>204.67151811141161</v>
      </c>
    </row>
    <row r="142" spans="3:71" x14ac:dyDescent="0.25">
      <c r="C142" t="s">
        <v>82</v>
      </c>
      <c r="D142" t="s">
        <v>32</v>
      </c>
      <c r="E142" s="5"/>
      <c r="F142" s="5"/>
      <c r="G142" s="5"/>
      <c r="H142" s="5"/>
      <c r="I142" s="5"/>
      <c r="J142" s="5">
        <v>-0.1</v>
      </c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S142" s="5">
        <f t="shared" ref="AS142:BI142" si="218">SUMIF($E$4:$AR$4,AS$4,$E142:$AR142)</f>
        <v>-0.1</v>
      </c>
      <c r="AT142" s="5">
        <f t="shared" si="218"/>
        <v>0</v>
      </c>
      <c r="AU142" s="5">
        <f t="shared" si="218"/>
        <v>0</v>
      </c>
      <c r="AV142" s="5">
        <f t="shared" si="218"/>
        <v>0</v>
      </c>
      <c r="AW142" s="5">
        <f t="shared" si="218"/>
        <v>0</v>
      </c>
      <c r="AX142" s="5">
        <f t="shared" si="218"/>
        <v>0</v>
      </c>
      <c r="AY142" s="5">
        <f t="shared" si="218"/>
        <v>0</v>
      </c>
      <c r="AZ142" s="5">
        <f t="shared" si="218"/>
        <v>0</v>
      </c>
      <c r="BA142" s="5">
        <f t="shared" si="218"/>
        <v>0</v>
      </c>
      <c r="BB142" s="5">
        <f t="shared" si="218"/>
        <v>0</v>
      </c>
      <c r="BC142" s="5">
        <f t="shared" si="218"/>
        <v>0</v>
      </c>
      <c r="BD142" s="5">
        <f t="shared" si="218"/>
        <v>0</v>
      </c>
      <c r="BE142" s="5">
        <f t="shared" si="218"/>
        <v>0</v>
      </c>
      <c r="BF142" s="5">
        <f t="shared" si="218"/>
        <v>0</v>
      </c>
      <c r="BG142" s="5">
        <f t="shared" si="218"/>
        <v>0</v>
      </c>
      <c r="BH142" s="5">
        <f t="shared" si="218"/>
        <v>0</v>
      </c>
      <c r="BI142" s="5">
        <f t="shared" si="218"/>
        <v>0</v>
      </c>
    </row>
    <row r="143" spans="3:71" s="6" customFormat="1" x14ac:dyDescent="0.25">
      <c r="C143" s="6" t="s">
        <v>83</v>
      </c>
      <c r="D143" s="6" t="s">
        <v>32</v>
      </c>
      <c r="E143" s="7">
        <f>E70</f>
        <v>95.2</v>
      </c>
      <c r="F143" s="7">
        <f>F70</f>
        <v>135.6</v>
      </c>
      <c r="G143" s="7">
        <f t="shared" ref="G143:P143" si="219">SUM(G140:G142)</f>
        <v>165.3</v>
      </c>
      <c r="H143" s="7">
        <f t="shared" si="219"/>
        <v>227.10000000000008</v>
      </c>
      <c r="I143" s="7">
        <f t="shared" si="219"/>
        <v>200.80000000000007</v>
      </c>
      <c r="J143" s="7">
        <f t="shared" si="219"/>
        <v>231.00000000000009</v>
      </c>
      <c r="K143" s="7">
        <f t="shared" si="219"/>
        <v>523.00000000000011</v>
      </c>
      <c r="L143" s="7">
        <f t="shared" si="219"/>
        <v>170.00000000000011</v>
      </c>
      <c r="M143" s="7">
        <f t="shared" si="219"/>
        <v>279.00000000000011</v>
      </c>
      <c r="N143" s="7">
        <f t="shared" si="219"/>
        <v>208.00000000000011</v>
      </c>
      <c r="O143" s="7">
        <f t="shared" si="219"/>
        <v>282.00000000000011</v>
      </c>
      <c r="P143" s="7">
        <f t="shared" si="219"/>
        <v>238.00000000000011</v>
      </c>
      <c r="Q143" s="7">
        <f t="shared" ref="Q143:AF143" si="220">SUM(Q140:Q142)</f>
        <v>174.00000000000011</v>
      </c>
      <c r="R143" s="7">
        <f t="shared" si="220"/>
        <v>333.00000000000011</v>
      </c>
      <c r="S143" s="7">
        <f t="shared" si="220"/>
        <v>178.00000000000011</v>
      </c>
      <c r="T143" s="7">
        <f t="shared" si="220"/>
        <v>140.00000000000011</v>
      </c>
      <c r="U143" s="7">
        <f t="shared" si="220"/>
        <v>245.00000000000011</v>
      </c>
      <c r="V143" s="7">
        <f t="shared" si="220"/>
        <v>443.00000000000011</v>
      </c>
      <c r="W143" s="7">
        <f t="shared" si="220"/>
        <v>434.00000000000011</v>
      </c>
      <c r="X143" s="7">
        <f t="shared" si="220"/>
        <v>1162</v>
      </c>
      <c r="Y143" s="7">
        <f t="shared" si="220"/>
        <v>277</v>
      </c>
      <c r="Z143" s="7">
        <f t="shared" si="220"/>
        <v>378</v>
      </c>
      <c r="AA143" s="7">
        <f t="shared" si="220"/>
        <v>208</v>
      </c>
      <c r="AB143" s="7">
        <f t="shared" si="220"/>
        <v>271</v>
      </c>
      <c r="AC143" s="7">
        <f t="shared" si="220"/>
        <v>693</v>
      </c>
      <c r="AD143" s="7">
        <f t="shared" si="220"/>
        <v>719</v>
      </c>
      <c r="AE143" s="7">
        <f t="shared" si="220"/>
        <v>506</v>
      </c>
      <c r="AF143" s="7">
        <f t="shared" si="220"/>
        <v>647</v>
      </c>
      <c r="AG143" s="7">
        <f t="shared" ref="AG143:AL143" si="221">SUM(AG140:AG142)</f>
        <v>376</v>
      </c>
      <c r="AH143" s="7">
        <f t="shared" ca="1" si="221"/>
        <v>286.9172741635582</v>
      </c>
      <c r="AI143" s="7">
        <f t="shared" ca="1" si="221"/>
        <v>235.95595417233559</v>
      </c>
      <c r="AJ143" s="7">
        <f t="shared" ca="1" si="221"/>
        <v>376.2997056840523</v>
      </c>
      <c r="AK143" s="7">
        <f t="shared" ca="1" si="221"/>
        <v>348.94408322551192</v>
      </c>
      <c r="AL143" s="7">
        <f t="shared" ca="1" si="221"/>
        <v>511.2625219470583</v>
      </c>
      <c r="AM143" s="7">
        <f ca="1">SUM(AM140:AM142)</f>
        <v>505.887898685869</v>
      </c>
      <c r="AN143" s="7">
        <f ca="1">SUM(AN140:AN142)</f>
        <v>602.23499502037623</v>
      </c>
      <c r="AO143" s="7">
        <f ca="1">SUM(AO140:AO142)</f>
        <v>697.69734472921164</v>
      </c>
      <c r="AP143" s="7">
        <f ca="1">SUM(AP140:AP142)</f>
        <v>806.90651313178773</v>
      </c>
      <c r="AQ143" s="7"/>
      <c r="AR143" s="7"/>
      <c r="AS143" s="7"/>
      <c r="AT143" s="7"/>
      <c r="AU143" s="7"/>
      <c r="AV143" s="7">
        <f t="shared" ref="AV143:BI143" si="222">SUMIF($E$2:$AR$2,AV$2,$E143:$AR143)</f>
        <v>238.00000000000011</v>
      </c>
      <c r="AW143" s="7">
        <f t="shared" si="222"/>
        <v>333.00000000000011</v>
      </c>
      <c r="AX143" s="7">
        <f t="shared" si="222"/>
        <v>140.00000000000011</v>
      </c>
      <c r="AY143" s="7">
        <f t="shared" si="222"/>
        <v>443.00000000000011</v>
      </c>
      <c r="AZ143" s="7">
        <f t="shared" si="222"/>
        <v>1162</v>
      </c>
      <c r="BA143" s="7">
        <f t="shared" si="222"/>
        <v>378</v>
      </c>
      <c r="BB143" s="7">
        <f t="shared" si="222"/>
        <v>271</v>
      </c>
      <c r="BC143" s="7">
        <f t="shared" si="222"/>
        <v>719</v>
      </c>
      <c r="BD143" s="7">
        <f t="shared" si="222"/>
        <v>647</v>
      </c>
      <c r="BE143" s="7">
        <f t="shared" ca="1" si="222"/>
        <v>286.9172741635582</v>
      </c>
      <c r="BF143" s="7">
        <f t="shared" ca="1" si="222"/>
        <v>376.2997056840523</v>
      </c>
      <c r="BG143" s="7">
        <f t="shared" ca="1" si="222"/>
        <v>511.2625219470583</v>
      </c>
      <c r="BH143" s="7">
        <f t="shared" ca="1" si="222"/>
        <v>602.23499502037623</v>
      </c>
      <c r="BI143" s="7">
        <f t="shared" ca="1" si="222"/>
        <v>806.90651313178773</v>
      </c>
      <c r="BM143" s="22"/>
      <c r="BN143"/>
      <c r="BO143"/>
      <c r="BP143"/>
      <c r="BQ143"/>
      <c r="BR143"/>
      <c r="BS143"/>
    </row>
    <row r="144" spans="3:71" x14ac:dyDescent="0.25">
      <c r="C144" t="s">
        <v>194</v>
      </c>
      <c r="E144" s="32">
        <f t="shared" ref="E144:AL144" si="223">E143-E70</f>
        <v>0</v>
      </c>
      <c r="F144" s="32">
        <f t="shared" si="223"/>
        <v>0</v>
      </c>
      <c r="G144" s="32">
        <f t="shared" si="223"/>
        <v>0</v>
      </c>
      <c r="H144" s="32">
        <f t="shared" si="223"/>
        <v>0</v>
      </c>
      <c r="I144" s="32">
        <f t="shared" si="223"/>
        <v>0</v>
      </c>
      <c r="J144" s="32">
        <f t="shared" si="223"/>
        <v>0</v>
      </c>
      <c r="K144" s="32">
        <f t="shared" si="223"/>
        <v>0</v>
      </c>
      <c r="L144" s="32">
        <f t="shared" si="223"/>
        <v>0</v>
      </c>
      <c r="M144" s="32">
        <f t="shared" si="223"/>
        <v>0</v>
      </c>
      <c r="N144" s="32">
        <f t="shared" si="223"/>
        <v>0</v>
      </c>
      <c r="O144" s="32">
        <f t="shared" si="223"/>
        <v>0</v>
      </c>
      <c r="P144" s="32">
        <f t="shared" si="223"/>
        <v>0</v>
      </c>
      <c r="Q144" s="32">
        <f t="shared" si="223"/>
        <v>0</v>
      </c>
      <c r="R144" s="32">
        <f t="shared" si="223"/>
        <v>0</v>
      </c>
      <c r="S144" s="32">
        <f t="shared" si="223"/>
        <v>0</v>
      </c>
      <c r="T144" s="32">
        <f t="shared" si="223"/>
        <v>0</v>
      </c>
      <c r="U144" s="32">
        <f t="shared" si="223"/>
        <v>0</v>
      </c>
      <c r="V144" s="32">
        <f t="shared" si="223"/>
        <v>0</v>
      </c>
      <c r="W144" s="32">
        <f t="shared" si="223"/>
        <v>0</v>
      </c>
      <c r="X144" s="32">
        <f t="shared" si="223"/>
        <v>0</v>
      </c>
      <c r="Y144" s="32">
        <f t="shared" si="223"/>
        <v>0</v>
      </c>
      <c r="Z144" s="32">
        <f t="shared" si="223"/>
        <v>0</v>
      </c>
      <c r="AA144" s="32">
        <f t="shared" si="223"/>
        <v>0</v>
      </c>
      <c r="AB144" s="32">
        <f t="shared" si="223"/>
        <v>0</v>
      </c>
      <c r="AC144" s="32">
        <f t="shared" si="223"/>
        <v>0</v>
      </c>
      <c r="AD144" s="32">
        <f t="shared" si="223"/>
        <v>0</v>
      </c>
      <c r="AE144" s="32">
        <f t="shared" si="223"/>
        <v>0</v>
      </c>
      <c r="AF144" s="32">
        <f t="shared" si="223"/>
        <v>0</v>
      </c>
      <c r="AG144" s="32">
        <f t="shared" si="223"/>
        <v>0</v>
      </c>
      <c r="AH144" s="32">
        <f t="shared" ca="1" si="223"/>
        <v>0</v>
      </c>
      <c r="AI144" s="32">
        <f t="shared" ca="1" si="223"/>
        <v>0</v>
      </c>
      <c r="AJ144" s="32">
        <f t="shared" ca="1" si="223"/>
        <v>0</v>
      </c>
      <c r="AK144" s="32">
        <f t="shared" ca="1" si="223"/>
        <v>0</v>
      </c>
      <c r="AL144" s="32">
        <f t="shared" ca="1" si="223"/>
        <v>0</v>
      </c>
      <c r="AM144" s="32">
        <f ca="1">AM143-AM70</f>
        <v>0</v>
      </c>
      <c r="AN144" s="32">
        <f ca="1">AN143-AN70</f>
        <v>0</v>
      </c>
      <c r="AO144" s="32">
        <f ca="1">AO143-AO70</f>
        <v>0</v>
      </c>
      <c r="AP144" s="32">
        <f ca="1">AP143-AP70</f>
        <v>0</v>
      </c>
      <c r="AV144" s="5"/>
      <c r="AW144" s="5"/>
      <c r="AX144" s="34"/>
      <c r="AY144" s="34"/>
      <c r="AZ144" s="5"/>
      <c r="BA144" s="5"/>
      <c r="BB144" s="5"/>
      <c r="BC144" s="5"/>
      <c r="BD144" s="5"/>
      <c r="BE144" s="5"/>
      <c r="BF144" s="5"/>
      <c r="BG144" s="5"/>
      <c r="BH144" s="5"/>
      <c r="BI144" s="5"/>
    </row>
    <row r="145" spans="1:71" x14ac:dyDescent="0.25"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</row>
    <row r="146" spans="1:71" x14ac:dyDescent="0.25"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8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</row>
    <row r="147" spans="1:71" s="4" customFormat="1" x14ac:dyDescent="0.25">
      <c r="A147" s="4" t="s">
        <v>25</v>
      </c>
      <c r="E147" s="31"/>
      <c r="F147" s="31"/>
      <c r="G147" s="31"/>
      <c r="H147" s="31"/>
      <c r="I147" s="31"/>
      <c r="J147" s="31"/>
      <c r="K147" s="31"/>
      <c r="L147" s="31"/>
      <c r="M147" s="31"/>
      <c r="N147" s="31"/>
      <c r="O147" s="31"/>
      <c r="P147" s="31"/>
      <c r="Q147" s="31"/>
      <c r="R147" s="31"/>
      <c r="S147" s="31"/>
      <c r="T147" s="31"/>
      <c r="U147" s="31"/>
      <c r="V147" s="31"/>
      <c r="W147" s="31"/>
      <c r="X147" s="31"/>
      <c r="Y147" s="31"/>
      <c r="Z147" s="31"/>
      <c r="AA147" s="31"/>
      <c r="AB147" s="31"/>
      <c r="AC147" s="31"/>
      <c r="AD147" s="31"/>
      <c r="AE147" s="31"/>
      <c r="AF147" s="31"/>
      <c r="AG147" s="31"/>
      <c r="AH147" s="31"/>
      <c r="AI147" s="31"/>
      <c r="AJ147" s="31"/>
      <c r="AK147" s="31"/>
      <c r="AL147" s="31"/>
      <c r="AM147" s="31"/>
      <c r="AN147" s="31"/>
      <c r="AO147" s="31"/>
      <c r="AP147" s="31"/>
      <c r="AR147" s="20"/>
      <c r="AV147" s="31"/>
      <c r="AW147" s="31"/>
      <c r="AX147" s="31"/>
      <c r="AY147" s="31"/>
      <c r="AZ147" s="31"/>
      <c r="BA147" s="31"/>
      <c r="BB147" s="31"/>
      <c r="BC147" s="31"/>
      <c r="BD147" s="31"/>
      <c r="BE147" s="31"/>
      <c r="BF147" s="31"/>
      <c r="BG147" s="31"/>
      <c r="BH147" s="31"/>
      <c r="BI147" s="31"/>
      <c r="BM147" s="20"/>
      <c r="BN147"/>
      <c r="BO147"/>
      <c r="BP147"/>
      <c r="BQ147"/>
      <c r="BR147"/>
      <c r="BS147"/>
    </row>
    <row r="148" spans="1:71" x14ac:dyDescent="0.25">
      <c r="C148" t="s">
        <v>90</v>
      </c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>
        <f t="shared" ref="Q148:AF148" si="224">P151</f>
        <v>2418.400142</v>
      </c>
      <c r="R148" s="5">
        <f t="shared" si="224"/>
        <v>2434.4629903304876</v>
      </c>
      <c r="S148" s="5">
        <f t="shared" si="224"/>
        <v>2434.4629903304876</v>
      </c>
      <c r="T148" s="5">
        <f t="shared" si="224"/>
        <v>2405.2381449999998</v>
      </c>
      <c r="U148" s="5">
        <f t="shared" si="224"/>
        <v>2384.3515029999999</v>
      </c>
      <c r="V148" s="5">
        <f t="shared" si="224"/>
        <v>2378.2550000000001</v>
      </c>
      <c r="W148" s="5">
        <f t="shared" si="224"/>
        <v>2378.2550000000001</v>
      </c>
      <c r="X148" s="5">
        <f t="shared" si="224"/>
        <v>2381.8939999999998</v>
      </c>
      <c r="Y148" s="5">
        <f t="shared" si="224"/>
        <v>2387.1716620000002</v>
      </c>
      <c r="Z148" s="5">
        <f t="shared" si="224"/>
        <v>2387.1716620000002</v>
      </c>
      <c r="AA148" s="5">
        <f t="shared" si="224"/>
        <v>2387.1716620000002</v>
      </c>
      <c r="AB148" s="5">
        <f t="shared" si="224"/>
        <v>2387.1716620000002</v>
      </c>
      <c r="AC148" s="5">
        <f t="shared" si="224"/>
        <v>2387.1716620000002</v>
      </c>
      <c r="AD148" s="5">
        <f t="shared" si="224"/>
        <v>2382.0639999999999</v>
      </c>
      <c r="AE148" s="5">
        <f t="shared" si="224"/>
        <v>2382.0639999999999</v>
      </c>
      <c r="AF148" s="5">
        <f t="shared" si="224"/>
        <v>2382.0639999999999</v>
      </c>
      <c r="AG148" s="5">
        <f t="shared" ref="AG148:AL148" si="225">AF151</f>
        <v>2399.8180000000002</v>
      </c>
      <c r="AH148" s="5">
        <f t="shared" si="225"/>
        <v>2422.3689429999999</v>
      </c>
      <c r="AI148" s="5">
        <f t="shared" si="225"/>
        <v>2429.6360498290001</v>
      </c>
      <c r="AJ148" s="5">
        <f t="shared" si="225"/>
        <v>2429.6360498290001</v>
      </c>
      <c r="AK148" s="5">
        <f t="shared" si="225"/>
        <v>2429.6360498290001</v>
      </c>
      <c r="AL148" s="5">
        <f t="shared" si="225"/>
        <v>2429.6360498290001</v>
      </c>
      <c r="AM148" s="5">
        <f>AL151</f>
        <v>2429.6360498290001</v>
      </c>
      <c r="AN148" s="5">
        <f>AM151</f>
        <v>2429.6360498290001</v>
      </c>
      <c r="AO148" s="5">
        <f>AN151</f>
        <v>2429.6360498290001</v>
      </c>
      <c r="AP148" s="5">
        <f>AO151</f>
        <v>2429.6360498290001</v>
      </c>
      <c r="AV148" s="5">
        <f>E151</f>
        <v>2316.3559322033898</v>
      </c>
      <c r="AW148" s="5">
        <f>AV151</f>
        <v>2418.400142</v>
      </c>
      <c r="AX148" s="5">
        <f t="shared" ref="AX148:BI148" si="226">AW151</f>
        <v>2434.4629903304876</v>
      </c>
      <c r="AY148" s="5">
        <f t="shared" si="226"/>
        <v>2384.3515029999999</v>
      </c>
      <c r="AZ148" s="5">
        <f t="shared" si="226"/>
        <v>2378.2550000000001</v>
      </c>
      <c r="BA148" s="5">
        <f t="shared" si="226"/>
        <v>2387.1716620000002</v>
      </c>
      <c r="BB148" s="5">
        <f t="shared" si="226"/>
        <v>2387.1716620000002</v>
      </c>
      <c r="BC148" s="5">
        <f t="shared" si="226"/>
        <v>2387.1716620000002</v>
      </c>
      <c r="BD148" s="5">
        <f t="shared" si="226"/>
        <v>2382.0639999999999</v>
      </c>
      <c r="BE148" s="5">
        <f t="shared" si="226"/>
        <v>2399.8180000000002</v>
      </c>
      <c r="BF148" s="5">
        <f t="shared" si="226"/>
        <v>2429.6360498290001</v>
      </c>
      <c r="BG148" s="5">
        <f t="shared" si="226"/>
        <v>2429.6360498290001</v>
      </c>
      <c r="BH148" s="5">
        <f t="shared" si="226"/>
        <v>2429.6360498290001</v>
      </c>
      <c r="BI148" s="5">
        <f t="shared" si="226"/>
        <v>2429.6360498290001</v>
      </c>
    </row>
    <row r="149" spans="1:71" x14ac:dyDescent="0.25">
      <c r="C149" t="s">
        <v>91</v>
      </c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>
        <f t="shared" ref="Q149:AF149" si="227">Q172+Q180+Q187+Q194</f>
        <v>0</v>
      </c>
      <c r="R149" s="5">
        <f t="shared" si="227"/>
        <v>0</v>
      </c>
      <c r="S149" s="5">
        <f t="shared" si="227"/>
        <v>0</v>
      </c>
      <c r="T149" s="5">
        <f t="shared" si="227"/>
        <v>0</v>
      </c>
      <c r="U149" s="5">
        <f t="shared" si="227"/>
        <v>0</v>
      </c>
      <c r="V149" s="5">
        <f t="shared" si="227"/>
        <v>0</v>
      </c>
      <c r="W149" s="5">
        <f t="shared" si="227"/>
        <v>0</v>
      </c>
      <c r="X149" s="5">
        <f t="shared" si="227"/>
        <v>0</v>
      </c>
      <c r="Y149" s="5">
        <f t="shared" si="227"/>
        <v>0</v>
      </c>
      <c r="Z149" s="5">
        <f>Z151-Z148</f>
        <v>0</v>
      </c>
      <c r="AA149" s="5">
        <f t="shared" si="227"/>
        <v>0</v>
      </c>
      <c r="AB149" s="5">
        <f t="shared" si="227"/>
        <v>0</v>
      </c>
      <c r="AC149" s="5">
        <f t="shared" si="227"/>
        <v>0</v>
      </c>
      <c r="AD149" s="5">
        <f t="shared" si="227"/>
        <v>0</v>
      </c>
      <c r="AE149" s="5">
        <f t="shared" si="227"/>
        <v>0</v>
      </c>
      <c r="AF149" s="5">
        <f t="shared" si="227"/>
        <v>0</v>
      </c>
      <c r="AG149" s="5">
        <f t="shared" ref="AG149:AL149" si="228">AG172+AG180+AG187+AG194</f>
        <v>0</v>
      </c>
      <c r="AH149" s="5">
        <f t="shared" si="228"/>
        <v>0</v>
      </c>
      <c r="AI149" s="5">
        <f t="shared" si="228"/>
        <v>0</v>
      </c>
      <c r="AJ149" s="5">
        <f t="shared" si="228"/>
        <v>0</v>
      </c>
      <c r="AK149" s="5">
        <f t="shared" si="228"/>
        <v>0</v>
      </c>
      <c r="AL149" s="5">
        <f t="shared" si="228"/>
        <v>0</v>
      </c>
      <c r="AM149" s="5">
        <f>AM172+AM180+AM187+AM194</f>
        <v>0</v>
      </c>
      <c r="AN149" s="5">
        <f>AN172+AN180+AN187+AN194</f>
        <v>0</v>
      </c>
      <c r="AO149" s="5">
        <f>AO172+AO180+AO187+AO194</f>
        <v>0</v>
      </c>
      <c r="AP149" s="5">
        <f>AP172+AP180+AP187+AP194</f>
        <v>0</v>
      </c>
      <c r="AV149" s="5">
        <f t="shared" ref="AV149:BI150" si="229">SUMIF($E$4:$AR$4,AV$4,$E149:$AR149)</f>
        <v>0</v>
      </c>
      <c r="AW149" s="5">
        <f t="shared" si="229"/>
        <v>0</v>
      </c>
      <c r="AX149" s="5">
        <f t="shared" si="229"/>
        <v>0</v>
      </c>
      <c r="AY149" s="5">
        <f t="shared" si="229"/>
        <v>0</v>
      </c>
      <c r="AZ149" s="5">
        <f t="shared" si="229"/>
        <v>0</v>
      </c>
      <c r="BA149" s="5">
        <f t="shared" si="229"/>
        <v>0</v>
      </c>
      <c r="BB149" s="5">
        <f t="shared" si="229"/>
        <v>0</v>
      </c>
      <c r="BC149" s="5">
        <f t="shared" si="229"/>
        <v>0</v>
      </c>
      <c r="BD149" s="5">
        <f t="shared" si="229"/>
        <v>0</v>
      </c>
      <c r="BE149" s="5">
        <f t="shared" si="229"/>
        <v>0</v>
      </c>
      <c r="BF149" s="5">
        <f t="shared" si="229"/>
        <v>0</v>
      </c>
      <c r="BG149" s="5">
        <f t="shared" si="229"/>
        <v>0</v>
      </c>
      <c r="BH149" s="5">
        <f t="shared" si="229"/>
        <v>0</v>
      </c>
      <c r="BI149" s="5">
        <f t="shared" si="229"/>
        <v>0</v>
      </c>
    </row>
    <row r="150" spans="1:71" x14ac:dyDescent="0.25">
      <c r="C150" t="s">
        <v>92</v>
      </c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>
        <f t="shared" ref="Q150:AF150" si="230">Q164</f>
        <v>0</v>
      </c>
      <c r="R150" s="5">
        <f t="shared" si="230"/>
        <v>0</v>
      </c>
      <c r="S150" s="5">
        <f t="shared" si="230"/>
        <v>0</v>
      </c>
      <c r="T150" s="5">
        <f t="shared" si="230"/>
        <v>0</v>
      </c>
      <c r="U150" s="5">
        <f t="shared" si="230"/>
        <v>0</v>
      </c>
      <c r="V150" s="5">
        <f t="shared" si="230"/>
        <v>0</v>
      </c>
      <c r="W150" s="5">
        <f t="shared" si="230"/>
        <v>0</v>
      </c>
      <c r="X150" s="5">
        <f t="shared" si="230"/>
        <v>0</v>
      </c>
      <c r="Y150" s="5">
        <f t="shared" si="230"/>
        <v>0</v>
      </c>
      <c r="Z150" s="5">
        <f t="shared" si="230"/>
        <v>0</v>
      </c>
      <c r="AA150" s="5">
        <f t="shared" si="230"/>
        <v>0</v>
      </c>
      <c r="AB150" s="5">
        <f t="shared" si="230"/>
        <v>0</v>
      </c>
      <c r="AC150" s="5">
        <f t="shared" si="230"/>
        <v>0</v>
      </c>
      <c r="AD150" s="5">
        <f t="shared" si="230"/>
        <v>0</v>
      </c>
      <c r="AE150" s="5">
        <f t="shared" si="230"/>
        <v>0</v>
      </c>
      <c r="AF150" s="5">
        <f t="shared" si="230"/>
        <v>0</v>
      </c>
      <c r="AG150" s="5">
        <f t="shared" ref="AG150:AL150" si="231">AG164</f>
        <v>22.559429999999999</v>
      </c>
      <c r="AH150" s="5">
        <f t="shared" si="231"/>
        <v>7.2671068290000003</v>
      </c>
      <c r="AI150" s="5">
        <f t="shared" si="231"/>
        <v>0</v>
      </c>
      <c r="AJ150" s="5">
        <f t="shared" si="231"/>
        <v>0</v>
      </c>
      <c r="AK150" s="5">
        <f t="shared" si="231"/>
        <v>0</v>
      </c>
      <c r="AL150" s="5">
        <f t="shared" si="231"/>
        <v>0</v>
      </c>
      <c r="AM150" s="5">
        <f>AM164</f>
        <v>0</v>
      </c>
      <c r="AN150" s="5">
        <f>AN164</f>
        <v>0</v>
      </c>
      <c r="AO150" s="5">
        <f>AO164</f>
        <v>0</v>
      </c>
      <c r="AP150" s="5">
        <f>AP164</f>
        <v>0</v>
      </c>
      <c r="AV150" s="5">
        <f t="shared" si="229"/>
        <v>0</v>
      </c>
      <c r="AW150" s="5">
        <f t="shared" si="229"/>
        <v>0</v>
      </c>
      <c r="AX150" s="5">
        <f t="shared" si="229"/>
        <v>0</v>
      </c>
      <c r="AY150" s="5">
        <f t="shared" si="229"/>
        <v>0</v>
      </c>
      <c r="AZ150" s="5">
        <f t="shared" si="229"/>
        <v>0</v>
      </c>
      <c r="BA150" s="5">
        <f t="shared" si="229"/>
        <v>0</v>
      </c>
      <c r="BB150" s="5">
        <f t="shared" si="229"/>
        <v>0</v>
      </c>
      <c r="BC150" s="5">
        <f t="shared" si="229"/>
        <v>0</v>
      </c>
      <c r="BD150" s="5">
        <f t="shared" si="229"/>
        <v>0</v>
      </c>
      <c r="BE150" s="5">
        <f t="shared" si="229"/>
        <v>29.826536828999998</v>
      </c>
      <c r="BF150" s="5">
        <f t="shared" si="229"/>
        <v>0</v>
      </c>
      <c r="BG150" s="5">
        <f t="shared" si="229"/>
        <v>0</v>
      </c>
      <c r="BH150" s="5">
        <f t="shared" si="229"/>
        <v>0</v>
      </c>
      <c r="BI150" s="5">
        <f t="shared" si="229"/>
        <v>0</v>
      </c>
    </row>
    <row r="151" spans="1:71" s="6" customFormat="1" x14ac:dyDescent="0.25">
      <c r="C151" s="6" t="s">
        <v>93</v>
      </c>
      <c r="E151" s="33">
        <v>2316.3559322033898</v>
      </c>
      <c r="F151" s="33">
        <v>2203.4589782176477</v>
      </c>
      <c r="G151" s="33">
        <v>2202.6579630000001</v>
      </c>
      <c r="H151" s="33">
        <v>2305.750747</v>
      </c>
      <c r="I151" s="33">
        <v>2305.750747</v>
      </c>
      <c r="J151" s="33">
        <v>2326.97856</v>
      </c>
      <c r="K151" s="33">
        <v>2348.746744</v>
      </c>
      <c r="L151" s="33">
        <v>2361.717862</v>
      </c>
      <c r="M151" s="33">
        <v>2377.3420012266024</v>
      </c>
      <c r="N151" s="33">
        <v>2392.3880544539379</v>
      </c>
      <c r="O151" s="33">
        <v>2405.0377709999998</v>
      </c>
      <c r="P151" s="33">
        <v>2418.400142</v>
      </c>
      <c r="Q151" s="33">
        <v>2434.4629903304876</v>
      </c>
      <c r="R151" s="33">
        <v>2434.4629903304876</v>
      </c>
      <c r="S151" s="33">
        <v>2405.2381449999998</v>
      </c>
      <c r="T151" s="33">
        <v>2384.3515029999999</v>
      </c>
      <c r="U151" s="33">
        <v>2378.2550000000001</v>
      </c>
      <c r="V151" s="33">
        <v>2378.2550000000001</v>
      </c>
      <c r="W151" s="33">
        <v>2381.8939999999998</v>
      </c>
      <c r="X151" s="33">
        <v>2387.1716620000002</v>
      </c>
      <c r="Y151" s="33">
        <v>2387.1716620000002</v>
      </c>
      <c r="Z151" s="33">
        <v>2387.1716620000002</v>
      </c>
      <c r="AA151" s="33">
        <v>2387.1716620000002</v>
      </c>
      <c r="AB151" s="33">
        <v>2387.1716620000002</v>
      </c>
      <c r="AC151" s="33">
        <v>2382.0639999999999</v>
      </c>
      <c r="AD151" s="7">
        <f t="shared" ref="AD151:AL151" si="232">SUM(AD148:AD150)</f>
        <v>2382.0639999999999</v>
      </c>
      <c r="AE151" s="7">
        <f t="shared" si="232"/>
        <v>2382.0639999999999</v>
      </c>
      <c r="AF151" s="33">
        <v>2399.8180000000002</v>
      </c>
      <c r="AG151" s="7">
        <v>2422.3689429999999</v>
      </c>
      <c r="AH151" s="7">
        <f t="shared" si="232"/>
        <v>2429.6360498290001</v>
      </c>
      <c r="AI151" s="7">
        <f t="shared" si="232"/>
        <v>2429.6360498290001</v>
      </c>
      <c r="AJ151" s="7">
        <f t="shared" si="232"/>
        <v>2429.6360498290001</v>
      </c>
      <c r="AK151" s="7">
        <f t="shared" si="232"/>
        <v>2429.6360498290001</v>
      </c>
      <c r="AL151" s="7">
        <f t="shared" si="232"/>
        <v>2429.6360498290001</v>
      </c>
      <c r="AM151" s="7">
        <f>SUM(AM148:AM150)</f>
        <v>2429.6360498290001</v>
      </c>
      <c r="AN151" s="7">
        <f>SUM(AN148:AN150)</f>
        <v>2429.6360498290001</v>
      </c>
      <c r="AO151" s="7">
        <f>SUM(AO148:AO150)</f>
        <v>2429.6360498290001</v>
      </c>
      <c r="AP151" s="7">
        <f>SUM(AP148:AP150)</f>
        <v>2429.6360498290001</v>
      </c>
      <c r="AR151" s="22"/>
      <c r="AS151" s="7">
        <f t="shared" ref="AS151:BI151" si="233">SUMIF($E$2:$AR$2,AS$2,$E151:$AR151)</f>
        <v>2326.97856</v>
      </c>
      <c r="AT151" s="7">
        <f t="shared" si="233"/>
        <v>2361.717862</v>
      </c>
      <c r="AU151" s="7">
        <f t="shared" si="233"/>
        <v>2392.3880544539379</v>
      </c>
      <c r="AV151" s="7">
        <f t="shared" si="233"/>
        <v>2418.400142</v>
      </c>
      <c r="AW151" s="7">
        <f t="shared" si="233"/>
        <v>2434.4629903304876</v>
      </c>
      <c r="AX151" s="7">
        <f t="shared" si="233"/>
        <v>2384.3515029999999</v>
      </c>
      <c r="AY151" s="7">
        <f t="shared" si="233"/>
        <v>2378.2550000000001</v>
      </c>
      <c r="AZ151" s="7">
        <f t="shared" si="233"/>
        <v>2387.1716620000002</v>
      </c>
      <c r="BA151" s="7">
        <f t="shared" si="233"/>
        <v>2387.1716620000002</v>
      </c>
      <c r="BB151" s="7">
        <f t="shared" si="233"/>
        <v>2387.1716620000002</v>
      </c>
      <c r="BC151" s="7">
        <f t="shared" si="233"/>
        <v>2382.0639999999999</v>
      </c>
      <c r="BD151" s="7">
        <f t="shared" si="233"/>
        <v>2399.8180000000002</v>
      </c>
      <c r="BE151" s="7">
        <f t="shared" si="233"/>
        <v>2429.6360498290001</v>
      </c>
      <c r="BF151" s="7">
        <f t="shared" si="233"/>
        <v>2429.6360498290001</v>
      </c>
      <c r="BG151" s="7">
        <f t="shared" si="233"/>
        <v>2429.6360498290001</v>
      </c>
      <c r="BH151" s="7">
        <f t="shared" si="233"/>
        <v>2429.6360498290001</v>
      </c>
      <c r="BI151" s="7">
        <f t="shared" si="233"/>
        <v>2429.6360498290001</v>
      </c>
      <c r="BM151" s="22"/>
      <c r="BN151"/>
      <c r="BO151"/>
      <c r="BP151"/>
      <c r="BQ151"/>
      <c r="BR151"/>
      <c r="BS151"/>
    </row>
    <row r="152" spans="1:71" s="36" customFormat="1" x14ac:dyDescent="0.25">
      <c r="C152" s="36" t="s">
        <v>94</v>
      </c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>
        <f>AI151</f>
        <v>2429.6360498290001</v>
      </c>
      <c r="AJ152" s="37"/>
      <c r="AK152" s="37"/>
      <c r="AL152" s="37"/>
      <c r="AM152" s="37"/>
      <c r="AN152" s="37"/>
      <c r="AO152" s="37"/>
      <c r="AP152" s="37"/>
      <c r="AR152" s="38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M152" s="38"/>
      <c r="BN152"/>
      <c r="BO152"/>
      <c r="BP152"/>
      <c r="BQ152"/>
      <c r="BR152"/>
      <c r="BS152"/>
    </row>
    <row r="153" spans="1:71" s="36" customFormat="1" x14ac:dyDescent="0.25">
      <c r="C153" s="36" t="s">
        <v>94</v>
      </c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>
        <f>AI152</f>
        <v>2429.6360498290001</v>
      </c>
      <c r="AJ153" s="37"/>
      <c r="AK153" s="37"/>
      <c r="AL153" s="37"/>
      <c r="AM153" s="37"/>
      <c r="AN153" s="37"/>
      <c r="AO153" s="37"/>
      <c r="AP153" s="37"/>
      <c r="AR153" s="38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M153" s="38"/>
      <c r="BN153"/>
      <c r="BO153"/>
      <c r="BP153"/>
      <c r="BQ153"/>
      <c r="BR153"/>
      <c r="BS153"/>
    </row>
    <row r="154" spans="1:71" x14ac:dyDescent="0.25"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</row>
    <row r="155" spans="1:71" x14ac:dyDescent="0.25">
      <c r="C155" t="s">
        <v>95</v>
      </c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>
        <f>Q166+Q174+Q182+Q189+Q196</f>
        <v>0</v>
      </c>
      <c r="R155" s="5">
        <f t="shared" ref="R155:AF155" si="234">R166+R174+R182+R189+R196</f>
        <v>0</v>
      </c>
      <c r="S155" s="5">
        <f t="shared" si="234"/>
        <v>0</v>
      </c>
      <c r="T155" s="5">
        <f t="shared" si="234"/>
        <v>0</v>
      </c>
      <c r="U155" s="5">
        <f t="shared" si="234"/>
        <v>0</v>
      </c>
      <c r="V155" s="5">
        <f t="shared" si="234"/>
        <v>0</v>
      </c>
      <c r="W155" s="5">
        <f t="shared" si="234"/>
        <v>0</v>
      </c>
      <c r="X155" s="5">
        <f t="shared" si="234"/>
        <v>0</v>
      </c>
      <c r="Y155" s="5">
        <f t="shared" si="234"/>
        <v>0</v>
      </c>
      <c r="Z155" s="5">
        <f t="shared" si="234"/>
        <v>0</v>
      </c>
      <c r="AA155" s="5">
        <f t="shared" si="234"/>
        <v>0</v>
      </c>
      <c r="AB155" s="5">
        <f t="shared" si="234"/>
        <v>0</v>
      </c>
      <c r="AC155" s="5">
        <f t="shared" si="234"/>
        <v>0</v>
      </c>
      <c r="AD155" s="5">
        <f t="shared" si="234"/>
        <v>0</v>
      </c>
      <c r="AE155" s="5">
        <f t="shared" si="234"/>
        <v>0</v>
      </c>
      <c r="AF155" s="5">
        <f t="shared" si="234"/>
        <v>0</v>
      </c>
      <c r="AG155" s="5">
        <f t="shared" ref="AG155:AL155" si="235">AG166+AG174+AG182+AG189+AG196</f>
        <v>14.957882934782607</v>
      </c>
      <c r="AH155" s="5">
        <f t="shared" si="235"/>
        <v>4.8982709013149179</v>
      </c>
      <c r="AI155" s="5">
        <f t="shared" si="235"/>
        <v>0</v>
      </c>
      <c r="AJ155" s="5">
        <f t="shared" si="235"/>
        <v>0</v>
      </c>
      <c r="AK155" s="5">
        <f t="shared" si="235"/>
        <v>0</v>
      </c>
      <c r="AL155" s="5">
        <f t="shared" si="235"/>
        <v>0</v>
      </c>
      <c r="AM155" s="5">
        <f>AM166+AM174+AM182+AM189+AM196</f>
        <v>0</v>
      </c>
      <c r="AN155" s="5">
        <f>AN166+AN174+AN182+AN189+AN196</f>
        <v>0</v>
      </c>
      <c r="AO155" s="5">
        <f>AO166+AO174+AO182+AO189+AO196</f>
        <v>0</v>
      </c>
      <c r="AP155" s="5">
        <f>AP166+AP174+AP182+AP189+AP196</f>
        <v>0</v>
      </c>
      <c r="AV155" s="5"/>
      <c r="AW155" s="5">
        <f t="shared" ref="AW155:BF155" si="236">SUMIF($E$4:$AR$4,AW$4,$E175:$AR175)+SUMIF($E$4:$AR$4,AW$4,$E183:$AR183)+SUMIF($E$4:$AR$4,AW$4,$E190:$AR190)+SUMIF($E$4:$AR$4,AW$4,$E197:$AR197)+SUMIF($E$4:$AR$4,AW$4,$E167:$AR167)</f>
        <v>0</v>
      </c>
      <c r="AX155" s="5">
        <f t="shared" si="236"/>
        <v>0</v>
      </c>
      <c r="AY155" s="5">
        <f t="shared" si="236"/>
        <v>0</v>
      </c>
      <c r="AZ155" s="5">
        <f t="shared" si="236"/>
        <v>0</v>
      </c>
      <c r="BA155" s="5">
        <f t="shared" si="236"/>
        <v>0</v>
      </c>
      <c r="BB155" s="5">
        <f t="shared" si="236"/>
        <v>0</v>
      </c>
      <c r="BC155" s="5">
        <f t="shared" si="236"/>
        <v>0</v>
      </c>
      <c r="BD155" s="5">
        <f t="shared" si="236"/>
        <v>0</v>
      </c>
      <c r="BE155" s="5">
        <f t="shared" si="236"/>
        <v>21.156422803117806</v>
      </c>
      <c r="BF155" s="5">
        <f t="shared" si="236"/>
        <v>0</v>
      </c>
      <c r="BG155" s="5">
        <f>SUMIF($E$4:$AR$4,BG$4,$E175:$AR175)+SUMIF($E$4:$AR$4,BG$4,$E183:$AR183)+SUMIF($E$4:$AR$4,BG$4,$E190:$AR190)+SUMIF($E$4:$AR$4,BG$4,$E197:$AR197)+SUMIF($E$4:$AR$4,BG$4,$E167:$AR167)</f>
        <v>0</v>
      </c>
      <c r="BH155" s="5">
        <f>SUMIF($E$4:$AR$4,BH$4,$E175:$AR175)+SUMIF($E$4:$AR$4,BH$4,$E183:$AR183)+SUMIF($E$4:$AR$4,BH$4,$E190:$AR190)+SUMIF($E$4:$AR$4,BH$4,$E197:$AR197)+SUMIF($E$4:$AR$4,BH$4,$E167:$AR167)</f>
        <v>0</v>
      </c>
      <c r="BI155" s="5">
        <f>SUMIF($E$4:$AR$4,BI$4,$E175:$AR175)+SUMIF($E$4:$AR$4,BI$4,$E183:$AR183)+SUMIF($E$4:$AR$4,BI$4,$E190:$AR190)+SUMIF($E$4:$AR$4,BI$4,$E197:$AR197)+SUMIF($E$4:$AR$4,BI$4,$E167:$AR167)</f>
        <v>0</v>
      </c>
    </row>
    <row r="156" spans="1:71" s="6" customFormat="1" x14ac:dyDescent="0.25">
      <c r="C156" s="6" t="s">
        <v>96</v>
      </c>
      <c r="E156" s="33">
        <v>2353.7179379999998</v>
      </c>
      <c r="F156" s="33">
        <v>2259.9074552105185</v>
      </c>
      <c r="G156" s="33">
        <v>2203.0584706088239</v>
      </c>
      <c r="H156" s="33">
        <v>2212.0353749999999</v>
      </c>
      <c r="I156" s="33">
        <v>2304.2998170000001</v>
      </c>
      <c r="J156" s="33">
        <v>2318.5216869999999</v>
      </c>
      <c r="K156" s="33">
        <v>2338.8014889999999</v>
      </c>
      <c r="L156" s="33">
        <v>2349.2818040000002</v>
      </c>
      <c r="M156" s="33">
        <v>2368.3283809999998</v>
      </c>
      <c r="N156" s="33">
        <v>2387.4278171262449</v>
      </c>
      <c r="O156" s="33">
        <v>2400.8194588072192</v>
      </c>
      <c r="P156" s="33">
        <v>2413.6255195271769</v>
      </c>
      <c r="Q156" s="33">
        <v>2421.8290000000002</v>
      </c>
      <c r="R156" s="33">
        <v>2424.182812</v>
      </c>
      <c r="S156" s="33">
        <v>2415.8872270000002</v>
      </c>
      <c r="T156" s="33">
        <v>2405.2381449999998</v>
      </c>
      <c r="U156" s="33">
        <v>2378.2550000000001</v>
      </c>
      <c r="V156" s="33">
        <v>2378.2550000000001</v>
      </c>
      <c r="W156" s="33">
        <v>2381.8939999999998</v>
      </c>
      <c r="X156" s="33">
        <v>2384.532831</v>
      </c>
      <c r="Y156" s="33">
        <v>2387.1716620000002</v>
      </c>
      <c r="Z156" s="33">
        <v>2387.1716620000002</v>
      </c>
      <c r="AA156" s="33">
        <v>2387.1716620000002</v>
      </c>
      <c r="AB156" s="33">
        <v>2387.1716620000002</v>
      </c>
      <c r="AC156" s="33">
        <v>2382.0639999999999</v>
      </c>
      <c r="AD156" s="7">
        <f t="shared" ref="AD156:AL156" si="237">AD148+AD155</f>
        <v>2382.0639999999999</v>
      </c>
      <c r="AE156" s="33">
        <v>2382.6354080000001</v>
      </c>
      <c r="AF156" s="7">
        <f>AVERAGE(AE151:AF151)</f>
        <v>2390.9409999999998</v>
      </c>
      <c r="AG156" s="33">
        <v>2408.8747579999999</v>
      </c>
      <c r="AH156" s="7">
        <f t="shared" si="237"/>
        <v>2427.2672139013148</v>
      </c>
      <c r="AI156" s="7">
        <f t="shared" si="237"/>
        <v>2429.6360498290001</v>
      </c>
      <c r="AJ156" s="7">
        <f t="shared" si="237"/>
        <v>2429.6360498290001</v>
      </c>
      <c r="AK156" s="7">
        <f t="shared" si="237"/>
        <v>2429.6360498290001</v>
      </c>
      <c r="AL156" s="7">
        <f t="shared" si="237"/>
        <v>2429.6360498290001</v>
      </c>
      <c r="AM156" s="7">
        <f>AM148+AM155</f>
        <v>2429.6360498290001</v>
      </c>
      <c r="AN156" s="7">
        <f>AN148+AN155</f>
        <v>2429.6360498290001</v>
      </c>
      <c r="AO156" s="7">
        <f>AO148+AO155</f>
        <v>2429.6360498290001</v>
      </c>
      <c r="AP156" s="7">
        <f>AP148+AP155</f>
        <v>2429.6360498290001</v>
      </c>
      <c r="AR156" s="22"/>
      <c r="AT156" s="33">
        <v>2346.5665709999998</v>
      </c>
      <c r="AU156" s="33">
        <v>2375.7308459999999</v>
      </c>
      <c r="AV156" s="33">
        <v>2401.2404499999998</v>
      </c>
      <c r="AW156" s="33">
        <v>2424.182812</v>
      </c>
      <c r="AX156" s="33">
        <v>2400.941898</v>
      </c>
      <c r="AY156" s="33">
        <v>2378.133131</v>
      </c>
      <c r="AZ156" s="33">
        <v>2382.7718580000001</v>
      </c>
      <c r="BA156" s="33">
        <v>2383.3537529999999</v>
      </c>
      <c r="BB156" s="33">
        <v>2382.3876599999999</v>
      </c>
      <c r="BC156" s="33">
        <v>2382.246165</v>
      </c>
      <c r="BD156" s="33">
        <v>2386.3531410000001</v>
      </c>
      <c r="BE156" s="7">
        <f t="shared" ref="BE156:BI156" si="238">BE148+BE155</f>
        <v>2420.9744228031182</v>
      </c>
      <c r="BF156" s="7">
        <f t="shared" si="238"/>
        <v>2429.6360498290001</v>
      </c>
      <c r="BG156" s="7">
        <f t="shared" si="238"/>
        <v>2429.6360498290001</v>
      </c>
      <c r="BH156" s="7">
        <f t="shared" si="238"/>
        <v>2429.6360498290001</v>
      </c>
      <c r="BI156" s="7">
        <f t="shared" si="238"/>
        <v>2429.6360498290001</v>
      </c>
      <c r="BM156" s="22"/>
      <c r="BN156"/>
      <c r="BO156"/>
      <c r="BP156"/>
      <c r="BQ156"/>
      <c r="BR156"/>
      <c r="BS156"/>
    </row>
    <row r="157" spans="1:71" s="36" customFormat="1" x14ac:dyDescent="0.25">
      <c r="C157" s="36" t="s">
        <v>97</v>
      </c>
      <c r="E157" s="37">
        <f t="shared" ref="E157:P157" si="239">E156</f>
        <v>2353.7179379999998</v>
      </c>
      <c r="F157" s="37">
        <f t="shared" si="239"/>
        <v>2259.9074552105185</v>
      </c>
      <c r="G157" s="37">
        <f t="shared" si="239"/>
        <v>2203.0584706088239</v>
      </c>
      <c r="H157" s="37">
        <f t="shared" si="239"/>
        <v>2212.0353749999999</v>
      </c>
      <c r="I157" s="37">
        <f t="shared" si="239"/>
        <v>2304.2998170000001</v>
      </c>
      <c r="J157" s="37">
        <f t="shared" si="239"/>
        <v>2318.5216869999999</v>
      </c>
      <c r="K157" s="37">
        <f t="shared" si="239"/>
        <v>2338.8014889999999</v>
      </c>
      <c r="L157" s="37">
        <f t="shared" si="239"/>
        <v>2349.2818040000002</v>
      </c>
      <c r="M157" s="37">
        <f t="shared" si="239"/>
        <v>2368.3283809999998</v>
      </c>
      <c r="N157" s="37">
        <f t="shared" si="239"/>
        <v>2387.4278171262449</v>
      </c>
      <c r="O157" s="37">
        <f t="shared" si="239"/>
        <v>2400.8194588072192</v>
      </c>
      <c r="P157" s="37">
        <f t="shared" si="239"/>
        <v>2413.6255195271769</v>
      </c>
      <c r="Q157" s="37">
        <f t="shared" ref="Q157:AJ158" si="240">Q156</f>
        <v>2421.8290000000002</v>
      </c>
      <c r="R157" s="37">
        <f t="shared" si="240"/>
        <v>2424.182812</v>
      </c>
      <c r="S157" s="37">
        <f t="shared" si="240"/>
        <v>2415.8872270000002</v>
      </c>
      <c r="T157" s="37">
        <f t="shared" si="240"/>
        <v>2405.2381449999998</v>
      </c>
      <c r="U157" s="37">
        <f t="shared" si="240"/>
        <v>2378.2550000000001</v>
      </c>
      <c r="V157" s="37">
        <f t="shared" si="240"/>
        <v>2378.2550000000001</v>
      </c>
      <c r="W157" s="37">
        <f t="shared" si="240"/>
        <v>2381.8939999999998</v>
      </c>
      <c r="X157" s="37">
        <f t="shared" si="240"/>
        <v>2384.532831</v>
      </c>
      <c r="Y157" s="37">
        <f t="shared" si="240"/>
        <v>2387.1716620000002</v>
      </c>
      <c r="Z157" s="37">
        <f t="shared" si="240"/>
        <v>2387.1716620000002</v>
      </c>
      <c r="AA157" s="37">
        <f t="shared" si="240"/>
        <v>2387.1716620000002</v>
      </c>
      <c r="AB157" s="37">
        <f t="shared" si="240"/>
        <v>2387.1716620000002</v>
      </c>
      <c r="AC157" s="37">
        <f t="shared" si="240"/>
        <v>2382.0639999999999</v>
      </c>
      <c r="AD157" s="37">
        <f t="shared" si="240"/>
        <v>2382.0639999999999</v>
      </c>
      <c r="AE157" s="37">
        <f t="shared" si="240"/>
        <v>2382.6354080000001</v>
      </c>
      <c r="AF157" s="37">
        <f t="shared" si="240"/>
        <v>2390.9409999999998</v>
      </c>
      <c r="AG157" s="37">
        <f t="shared" si="240"/>
        <v>2408.8747579999999</v>
      </c>
      <c r="AH157" s="37">
        <f t="shared" si="240"/>
        <v>2427.2672139013148</v>
      </c>
      <c r="AI157" s="37">
        <f t="shared" si="240"/>
        <v>2429.6360498290001</v>
      </c>
      <c r="AJ157" s="37">
        <f t="shared" si="240"/>
        <v>2429.6360498290001</v>
      </c>
      <c r="AK157" s="37">
        <f t="shared" ref="AK157:AN158" si="241">AK156</f>
        <v>2429.6360498290001</v>
      </c>
      <c r="AL157" s="37">
        <f t="shared" si="241"/>
        <v>2429.6360498290001</v>
      </c>
      <c r="AM157" s="37">
        <f t="shared" si="241"/>
        <v>2429.6360498290001</v>
      </c>
      <c r="AN157" s="37">
        <f t="shared" si="241"/>
        <v>2429.6360498290001</v>
      </c>
      <c r="AO157" s="37">
        <f t="shared" ref="AO157:AP157" si="242">AO156</f>
        <v>2429.6360498290001</v>
      </c>
      <c r="AP157" s="37">
        <f t="shared" si="242"/>
        <v>2429.6360498290001</v>
      </c>
      <c r="AR157" s="38"/>
      <c r="AT157" s="37">
        <f t="shared" ref="AT157:AV158" si="243">AT156</f>
        <v>2346.5665709999998</v>
      </c>
      <c r="AU157" s="37">
        <f t="shared" si="243"/>
        <v>2375.7308459999999</v>
      </c>
      <c r="AV157" s="37">
        <f t="shared" si="243"/>
        <v>2401.2404499999998</v>
      </c>
      <c r="AW157" s="37">
        <f t="shared" ref="AW157:BF158" si="244">AW156</f>
        <v>2424.182812</v>
      </c>
      <c r="AX157" s="37">
        <f t="shared" si="244"/>
        <v>2400.941898</v>
      </c>
      <c r="AY157" s="37">
        <f t="shared" si="244"/>
        <v>2378.133131</v>
      </c>
      <c r="AZ157" s="37">
        <f t="shared" si="244"/>
        <v>2382.7718580000001</v>
      </c>
      <c r="BA157" s="37">
        <f t="shared" si="244"/>
        <v>2383.3537529999999</v>
      </c>
      <c r="BB157" s="37">
        <f t="shared" si="244"/>
        <v>2382.3876599999999</v>
      </c>
      <c r="BC157" s="37">
        <f t="shared" si="244"/>
        <v>2382.246165</v>
      </c>
      <c r="BD157" s="37">
        <f t="shared" si="244"/>
        <v>2386.3531410000001</v>
      </c>
      <c r="BE157" s="37">
        <f t="shared" si="244"/>
        <v>2420.9744228031182</v>
      </c>
      <c r="BF157" s="37">
        <f t="shared" si="244"/>
        <v>2429.6360498290001</v>
      </c>
      <c r="BG157" s="37">
        <f t="shared" ref="BG157:BI158" si="245">BG156</f>
        <v>2429.6360498290001</v>
      </c>
      <c r="BH157" s="37">
        <f t="shared" si="245"/>
        <v>2429.6360498290001</v>
      </c>
      <c r="BI157" s="37">
        <f t="shared" si="245"/>
        <v>2429.6360498290001</v>
      </c>
      <c r="BM157" s="38"/>
      <c r="BN157"/>
      <c r="BO157"/>
      <c r="BP157"/>
      <c r="BQ157"/>
      <c r="BR157"/>
      <c r="BS157"/>
    </row>
    <row r="158" spans="1:71" s="36" customFormat="1" x14ac:dyDescent="0.25">
      <c r="C158" s="36" t="s">
        <v>97</v>
      </c>
      <c r="E158" s="37">
        <f t="shared" ref="E158:P158" si="246">E157</f>
        <v>2353.7179379999998</v>
      </c>
      <c r="F158" s="37">
        <f t="shared" si="246"/>
        <v>2259.9074552105185</v>
      </c>
      <c r="G158" s="37">
        <f t="shared" si="246"/>
        <v>2203.0584706088239</v>
      </c>
      <c r="H158" s="37">
        <f t="shared" si="246"/>
        <v>2212.0353749999999</v>
      </c>
      <c r="I158" s="37">
        <f t="shared" si="246"/>
        <v>2304.2998170000001</v>
      </c>
      <c r="J158" s="37">
        <f t="shared" si="246"/>
        <v>2318.5216869999999</v>
      </c>
      <c r="K158" s="37">
        <f t="shared" si="246"/>
        <v>2338.8014889999999</v>
      </c>
      <c r="L158" s="37">
        <f t="shared" si="246"/>
        <v>2349.2818040000002</v>
      </c>
      <c r="M158" s="37">
        <f t="shared" si="246"/>
        <v>2368.3283809999998</v>
      </c>
      <c r="N158" s="37">
        <f t="shared" si="246"/>
        <v>2387.4278171262449</v>
      </c>
      <c r="O158" s="37">
        <f t="shared" si="246"/>
        <v>2400.8194588072192</v>
      </c>
      <c r="P158" s="37">
        <f t="shared" si="246"/>
        <v>2413.6255195271769</v>
      </c>
      <c r="Q158" s="37">
        <f t="shared" si="240"/>
        <v>2421.8290000000002</v>
      </c>
      <c r="R158" s="37">
        <f t="shared" si="240"/>
        <v>2424.182812</v>
      </c>
      <c r="S158" s="37">
        <f t="shared" si="240"/>
        <v>2415.8872270000002</v>
      </c>
      <c r="T158" s="37">
        <f t="shared" si="240"/>
        <v>2405.2381449999998</v>
      </c>
      <c r="U158" s="37">
        <f t="shared" si="240"/>
        <v>2378.2550000000001</v>
      </c>
      <c r="V158" s="37">
        <f t="shared" si="240"/>
        <v>2378.2550000000001</v>
      </c>
      <c r="W158" s="37">
        <f t="shared" si="240"/>
        <v>2381.8939999999998</v>
      </c>
      <c r="X158" s="37">
        <f t="shared" si="240"/>
        <v>2384.532831</v>
      </c>
      <c r="Y158" s="37">
        <f t="shared" si="240"/>
        <v>2387.1716620000002</v>
      </c>
      <c r="Z158" s="37">
        <f t="shared" si="240"/>
        <v>2387.1716620000002</v>
      </c>
      <c r="AA158" s="37">
        <f t="shared" si="240"/>
        <v>2387.1716620000002</v>
      </c>
      <c r="AB158" s="37">
        <f t="shared" si="240"/>
        <v>2387.1716620000002</v>
      </c>
      <c r="AC158" s="37">
        <f t="shared" si="240"/>
        <v>2382.0639999999999</v>
      </c>
      <c r="AD158" s="37">
        <f t="shared" si="240"/>
        <v>2382.0639999999999</v>
      </c>
      <c r="AE158" s="37">
        <f t="shared" si="240"/>
        <v>2382.6354080000001</v>
      </c>
      <c r="AF158" s="37">
        <f t="shared" si="240"/>
        <v>2390.9409999999998</v>
      </c>
      <c r="AG158" s="37">
        <f t="shared" si="240"/>
        <v>2408.8747579999999</v>
      </c>
      <c r="AH158" s="37">
        <f t="shared" si="240"/>
        <v>2427.2672139013148</v>
      </c>
      <c r="AI158" s="37">
        <f t="shared" si="240"/>
        <v>2429.6360498290001</v>
      </c>
      <c r="AJ158" s="37">
        <f t="shared" si="240"/>
        <v>2429.6360498290001</v>
      </c>
      <c r="AK158" s="37">
        <f t="shared" si="241"/>
        <v>2429.6360498290001</v>
      </c>
      <c r="AL158" s="37">
        <f t="shared" si="241"/>
        <v>2429.6360498290001</v>
      </c>
      <c r="AM158" s="37">
        <f t="shared" si="241"/>
        <v>2429.6360498290001</v>
      </c>
      <c r="AN158" s="37">
        <f t="shared" si="241"/>
        <v>2429.6360498290001</v>
      </c>
      <c r="AO158" s="37">
        <f t="shared" ref="AO158:AP158" si="247">AO157</f>
        <v>2429.6360498290001</v>
      </c>
      <c r="AP158" s="37">
        <f t="shared" si="247"/>
        <v>2429.6360498290001</v>
      </c>
      <c r="AR158" s="38"/>
      <c r="AT158" s="37">
        <f t="shared" si="243"/>
        <v>2346.5665709999998</v>
      </c>
      <c r="AU158" s="37">
        <f t="shared" si="243"/>
        <v>2375.7308459999999</v>
      </c>
      <c r="AV158" s="37">
        <f t="shared" si="243"/>
        <v>2401.2404499999998</v>
      </c>
      <c r="AW158" s="37">
        <f t="shared" si="244"/>
        <v>2424.182812</v>
      </c>
      <c r="AX158" s="37">
        <f t="shared" si="244"/>
        <v>2400.941898</v>
      </c>
      <c r="AY158" s="37">
        <f t="shared" si="244"/>
        <v>2378.133131</v>
      </c>
      <c r="AZ158" s="37">
        <f t="shared" si="244"/>
        <v>2382.7718580000001</v>
      </c>
      <c r="BA158" s="37">
        <f t="shared" si="244"/>
        <v>2383.3537529999999</v>
      </c>
      <c r="BB158" s="37">
        <f t="shared" si="244"/>
        <v>2382.3876599999999</v>
      </c>
      <c r="BC158" s="37">
        <f t="shared" si="244"/>
        <v>2382.246165</v>
      </c>
      <c r="BD158" s="37">
        <f t="shared" si="244"/>
        <v>2386.3531410000001</v>
      </c>
      <c r="BE158" s="37">
        <f t="shared" si="244"/>
        <v>2420.9744228031182</v>
      </c>
      <c r="BF158" s="37">
        <f t="shared" si="244"/>
        <v>2429.6360498290001</v>
      </c>
      <c r="BG158" s="37">
        <f t="shared" si="245"/>
        <v>2429.6360498290001</v>
      </c>
      <c r="BH158" s="37">
        <f t="shared" si="245"/>
        <v>2429.6360498290001</v>
      </c>
      <c r="BI158" s="37">
        <f t="shared" si="245"/>
        <v>2429.6360498290001</v>
      </c>
      <c r="BM158" s="38"/>
      <c r="BN158"/>
      <c r="BO158"/>
      <c r="BP158"/>
      <c r="BQ158"/>
      <c r="BR158"/>
      <c r="BS158"/>
    </row>
    <row r="159" spans="1:71" x14ac:dyDescent="0.25"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</row>
    <row r="160" spans="1:71" s="23" customFormat="1" x14ac:dyDescent="0.25">
      <c r="B160" s="23" t="s">
        <v>92</v>
      </c>
      <c r="E160" s="24"/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  <c r="AA160" s="24"/>
      <c r="AB160" s="24"/>
      <c r="AC160" s="24"/>
      <c r="AD160" s="24"/>
      <c r="AE160" s="24"/>
      <c r="AF160" s="24"/>
      <c r="AG160" s="24"/>
      <c r="AH160" s="24"/>
      <c r="AI160" s="24"/>
      <c r="AJ160" s="24"/>
      <c r="AK160" s="24"/>
      <c r="AL160" s="24"/>
      <c r="AM160" s="24"/>
      <c r="AN160" s="24"/>
      <c r="AO160" s="24"/>
      <c r="AP160" s="24"/>
      <c r="AR160" s="25"/>
      <c r="AV160" s="24"/>
      <c r="AW160" s="24"/>
      <c r="AX160" s="24"/>
      <c r="AY160" s="24"/>
      <c r="AZ160" s="24"/>
      <c r="BA160" s="24"/>
      <c r="BB160" s="24"/>
      <c r="BC160" s="24"/>
      <c r="BD160" s="24"/>
      <c r="BE160" s="24"/>
      <c r="BF160" s="24"/>
      <c r="BG160" s="24"/>
      <c r="BH160" s="24"/>
      <c r="BI160" s="24"/>
      <c r="BM160" s="25"/>
      <c r="BN160"/>
      <c r="BO160"/>
      <c r="BP160"/>
      <c r="BQ160"/>
      <c r="BR160"/>
      <c r="BS160"/>
    </row>
    <row r="161" spans="2:71" x14ac:dyDescent="0.25">
      <c r="C161" t="s">
        <v>99</v>
      </c>
      <c r="D161" t="s">
        <v>38</v>
      </c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35"/>
      <c r="Q161" s="35">
        <v>0</v>
      </c>
      <c r="R161" s="35">
        <v>0</v>
      </c>
      <c r="S161" s="35">
        <v>0</v>
      </c>
      <c r="T161" s="35">
        <v>0</v>
      </c>
      <c r="U161" s="35">
        <v>0</v>
      </c>
      <c r="V161" s="35">
        <v>0</v>
      </c>
      <c r="W161" s="35">
        <v>0</v>
      </c>
      <c r="X161" s="35">
        <v>0</v>
      </c>
      <c r="Y161" s="35">
        <v>0</v>
      </c>
      <c r="Z161" s="35">
        <v>0</v>
      </c>
      <c r="AA161" s="35">
        <v>0</v>
      </c>
      <c r="AB161" s="35">
        <v>0</v>
      </c>
      <c r="AC161" s="35">
        <v>0</v>
      </c>
      <c r="AD161" s="35">
        <v>0</v>
      </c>
      <c r="AE161" s="35">
        <v>0</v>
      </c>
      <c r="AF161" s="35">
        <v>0</v>
      </c>
      <c r="AG161" s="35">
        <v>0.2</v>
      </c>
      <c r="AH161" s="35">
        <f>AG161</f>
        <v>0.2</v>
      </c>
      <c r="AI161" s="35">
        <v>0</v>
      </c>
      <c r="AJ161" s="35">
        <v>0</v>
      </c>
      <c r="AK161" s="35">
        <v>0</v>
      </c>
      <c r="AL161" s="35">
        <v>0</v>
      </c>
      <c r="AM161" s="35">
        <v>0</v>
      </c>
      <c r="AN161" s="35">
        <v>0</v>
      </c>
      <c r="AO161" s="35">
        <v>0</v>
      </c>
      <c r="AP161" s="35">
        <v>0</v>
      </c>
      <c r="AV161" s="35"/>
      <c r="AW161" s="35"/>
      <c r="AX161" s="35"/>
      <c r="AY161" s="35"/>
      <c r="AZ161" s="35"/>
      <c r="BA161" s="35"/>
      <c r="BB161" s="35"/>
      <c r="BC161" s="35"/>
      <c r="BD161" s="35"/>
      <c r="BE161" s="35"/>
      <c r="BF161" s="35"/>
      <c r="BG161" s="35"/>
      <c r="BH161" s="35"/>
      <c r="BI161" s="35"/>
    </row>
    <row r="162" spans="2:71" x14ac:dyDescent="0.25">
      <c r="C162" t="s">
        <v>100</v>
      </c>
      <c r="D162" t="s">
        <v>32</v>
      </c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>
        <f t="shared" ref="Q162:W162" si="248">Q161*Q134</f>
        <v>0</v>
      </c>
      <c r="R162" s="5">
        <f t="shared" si="248"/>
        <v>0</v>
      </c>
      <c r="S162" s="5">
        <f t="shared" si="248"/>
        <v>0</v>
      </c>
      <c r="T162" s="5">
        <f t="shared" si="248"/>
        <v>0</v>
      </c>
      <c r="U162" s="5">
        <f t="shared" si="248"/>
        <v>0</v>
      </c>
      <c r="V162" s="5">
        <f t="shared" si="248"/>
        <v>0</v>
      </c>
      <c r="W162" s="5">
        <f t="shared" si="248"/>
        <v>0</v>
      </c>
      <c r="X162" s="5">
        <f t="shared" ref="X162:AL162" si="249">IFERROR(X161*X134,0)</f>
        <v>0</v>
      </c>
      <c r="Y162" s="5">
        <f t="shared" si="249"/>
        <v>0</v>
      </c>
      <c r="Z162" s="5">
        <f t="shared" si="249"/>
        <v>0</v>
      </c>
      <c r="AA162" s="5">
        <f t="shared" si="249"/>
        <v>0</v>
      </c>
      <c r="AB162" s="5">
        <f t="shared" si="249"/>
        <v>0</v>
      </c>
      <c r="AC162" s="5">
        <f t="shared" si="249"/>
        <v>0</v>
      </c>
      <c r="AD162" s="5">
        <f t="shared" si="249"/>
        <v>0</v>
      </c>
      <c r="AE162" s="5">
        <f t="shared" si="249"/>
        <v>0</v>
      </c>
      <c r="AF162" s="5">
        <f t="shared" si="249"/>
        <v>0</v>
      </c>
      <c r="AG162" s="5">
        <f>IFERROR(AG161*AG134,0)*-1</f>
        <v>58</v>
      </c>
      <c r="AH162" s="5">
        <f>IFERROR(AH161*AH134,0)*-1</f>
        <v>43.602640974000003</v>
      </c>
      <c r="AI162" s="5">
        <f t="shared" si="249"/>
        <v>0</v>
      </c>
      <c r="AJ162" s="5">
        <f t="shared" si="249"/>
        <v>0</v>
      </c>
      <c r="AK162" s="5">
        <f t="shared" si="249"/>
        <v>0</v>
      </c>
      <c r="AL162" s="5">
        <f t="shared" si="249"/>
        <v>0</v>
      </c>
      <c r="AM162" s="5">
        <f>IFERROR(AM161*AM134,0)</f>
        <v>0</v>
      </c>
      <c r="AN162" s="5">
        <f ca="1">IFERROR(AN161*AN134,0)</f>
        <v>0</v>
      </c>
      <c r="AO162" s="5">
        <f ca="1">IFERROR(AO161*AO134,0)</f>
        <v>0</v>
      </c>
      <c r="AP162" s="5">
        <f ca="1">IFERROR(AP161*AP134,0)</f>
        <v>0</v>
      </c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</row>
    <row r="163" spans="2:71" x14ac:dyDescent="0.25">
      <c r="C163" t="s">
        <v>101</v>
      </c>
      <c r="D163" t="s">
        <v>67</v>
      </c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>
        <v>6</v>
      </c>
      <c r="AH163" s="5">
        <v>6</v>
      </c>
      <c r="AI163" s="5"/>
      <c r="AJ163" s="5"/>
      <c r="AK163" s="5"/>
      <c r="AL163" s="5"/>
      <c r="AM163" s="5"/>
      <c r="AN163" s="5"/>
      <c r="AO163" s="5"/>
      <c r="AP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</row>
    <row r="164" spans="2:71" x14ac:dyDescent="0.25">
      <c r="C164" t="s">
        <v>102</v>
      </c>
      <c r="D164" t="s">
        <v>103</v>
      </c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>
        <v>22.559429999999999</v>
      </c>
      <c r="AH164" s="5">
        <f>AH162/AH163</f>
        <v>7.2671068290000003</v>
      </c>
      <c r="AI164" s="5"/>
      <c r="AJ164" s="5"/>
      <c r="AK164" s="5"/>
      <c r="AL164" s="5"/>
      <c r="AM164" s="5"/>
      <c r="AN164" s="5"/>
      <c r="AO164" s="5"/>
      <c r="AP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</row>
    <row r="165" spans="2:71" x14ac:dyDescent="0.25">
      <c r="C165" t="s">
        <v>104</v>
      </c>
      <c r="E165" s="39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>
        <f t="shared" ref="Q165:AN165" si="250">EOMONTH(P2,2)</f>
        <v>42978</v>
      </c>
      <c r="R165" s="39">
        <f t="shared" si="250"/>
        <v>43159</v>
      </c>
      <c r="S165" s="39">
        <f t="shared" si="250"/>
        <v>43343</v>
      </c>
      <c r="T165" s="39">
        <f t="shared" si="250"/>
        <v>43524</v>
      </c>
      <c r="U165" s="39">
        <f t="shared" si="250"/>
        <v>43708</v>
      </c>
      <c r="V165" s="39">
        <f t="shared" si="250"/>
        <v>43890</v>
      </c>
      <c r="W165" s="39">
        <f t="shared" si="250"/>
        <v>44074</v>
      </c>
      <c r="X165" s="39">
        <f t="shared" si="250"/>
        <v>44255</v>
      </c>
      <c r="Y165" s="39">
        <f t="shared" si="250"/>
        <v>44439</v>
      </c>
      <c r="Z165" s="39">
        <f t="shared" si="250"/>
        <v>44620</v>
      </c>
      <c r="AA165" s="39">
        <f t="shared" si="250"/>
        <v>44804</v>
      </c>
      <c r="AB165" s="39">
        <f t="shared" si="250"/>
        <v>44985</v>
      </c>
      <c r="AC165" s="39">
        <f t="shared" si="250"/>
        <v>45169</v>
      </c>
      <c r="AD165" s="39">
        <f t="shared" si="250"/>
        <v>45351</v>
      </c>
      <c r="AE165" s="39">
        <f t="shared" si="250"/>
        <v>45535</v>
      </c>
      <c r="AF165" s="39">
        <f t="shared" si="250"/>
        <v>45716</v>
      </c>
      <c r="AG165" s="39">
        <f t="shared" si="250"/>
        <v>45900</v>
      </c>
      <c r="AH165" s="39">
        <f t="shared" si="250"/>
        <v>46081</v>
      </c>
      <c r="AI165" s="39">
        <f t="shared" si="250"/>
        <v>46265</v>
      </c>
      <c r="AJ165" s="39">
        <f t="shared" si="250"/>
        <v>46446</v>
      </c>
      <c r="AK165" s="39">
        <f t="shared" si="250"/>
        <v>46630</v>
      </c>
      <c r="AL165" s="39">
        <f t="shared" si="250"/>
        <v>46812</v>
      </c>
      <c r="AM165" s="39">
        <f t="shared" si="250"/>
        <v>46996</v>
      </c>
      <c r="AN165" s="39">
        <f t="shared" si="250"/>
        <v>47177</v>
      </c>
      <c r="AO165" s="39">
        <f t="shared" ref="AO165" si="251">EOMONTH(AN2,2)</f>
        <v>47361</v>
      </c>
      <c r="AP165" s="39">
        <f t="shared" ref="AP165" si="252">EOMONTH(AO2,2)</f>
        <v>47542</v>
      </c>
      <c r="AV165" s="39"/>
      <c r="AW165" s="39"/>
      <c r="AX165" s="39"/>
      <c r="AY165" s="39"/>
      <c r="AZ165" s="39"/>
      <c r="BA165" s="39"/>
      <c r="BB165" s="39"/>
      <c r="BC165" s="39"/>
      <c r="BD165" s="39"/>
      <c r="BE165" s="39"/>
      <c r="BF165" s="39"/>
      <c r="BG165" s="39"/>
      <c r="BH165" s="39"/>
      <c r="BI165" s="39"/>
    </row>
    <row r="166" spans="2:71" x14ac:dyDescent="0.25">
      <c r="C166" t="s">
        <v>105</v>
      </c>
      <c r="D166" t="s">
        <v>103</v>
      </c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>
        <f>(Q$2-Q165)/(Q$2-P$2)*Q164</f>
        <v>0</v>
      </c>
      <c r="R166" s="5">
        <f t="shared" ref="R166:AF166" si="253">(R$2-R165)/(R$2-Q$2)*R164</f>
        <v>0</v>
      </c>
      <c r="S166" s="5">
        <f t="shared" si="253"/>
        <v>0</v>
      </c>
      <c r="T166" s="5">
        <f t="shared" si="253"/>
        <v>0</v>
      </c>
      <c r="U166" s="5">
        <f t="shared" si="253"/>
        <v>0</v>
      </c>
      <c r="V166" s="5">
        <f t="shared" si="253"/>
        <v>0</v>
      </c>
      <c r="W166" s="5">
        <f t="shared" si="253"/>
        <v>0</v>
      </c>
      <c r="X166" s="5">
        <f t="shared" si="253"/>
        <v>0</v>
      </c>
      <c r="Y166" s="5">
        <f t="shared" si="253"/>
        <v>0</v>
      </c>
      <c r="Z166" s="5">
        <f t="shared" si="253"/>
        <v>0</v>
      </c>
      <c r="AA166" s="5">
        <f t="shared" si="253"/>
        <v>0</v>
      </c>
      <c r="AB166" s="5">
        <f t="shared" si="253"/>
        <v>0</v>
      </c>
      <c r="AC166" s="5">
        <f t="shared" si="253"/>
        <v>0</v>
      </c>
      <c r="AD166" s="5">
        <f t="shared" si="253"/>
        <v>0</v>
      </c>
      <c r="AE166" s="5">
        <f t="shared" si="253"/>
        <v>0</v>
      </c>
      <c r="AF166" s="5">
        <f t="shared" si="253"/>
        <v>0</v>
      </c>
      <c r="AG166" s="5">
        <f t="shared" ref="AG166:AL166" si="254">(AG$2-AG165)/(AG$2-AF$2)*AG164</f>
        <v>14.957882934782607</v>
      </c>
      <c r="AH166" s="5">
        <f t="shared" si="254"/>
        <v>4.8982709013149179</v>
      </c>
      <c r="AI166" s="5">
        <f t="shared" si="254"/>
        <v>0</v>
      </c>
      <c r="AJ166" s="5">
        <f t="shared" si="254"/>
        <v>0</v>
      </c>
      <c r="AK166" s="5">
        <f t="shared" si="254"/>
        <v>0</v>
      </c>
      <c r="AL166" s="5">
        <f t="shared" si="254"/>
        <v>0</v>
      </c>
      <c r="AM166" s="5">
        <f>(AM$2-AM165)/(AM$2-AL$2)*AM164</f>
        <v>0</v>
      </c>
      <c r="AN166" s="5">
        <f>(AN$2-AN165)/(AN$2-AM$2)*AN164</f>
        <v>0</v>
      </c>
      <c r="AO166" s="5">
        <f>(AO$2-AO165)/(AO$2-AN$2)*AO164</f>
        <v>0</v>
      </c>
      <c r="AP166" s="5">
        <f>(AP$2-AP165)/(AP$2-AO$2)*AP164</f>
        <v>0</v>
      </c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</row>
    <row r="167" spans="2:71" x14ac:dyDescent="0.25">
      <c r="C167" t="s">
        <v>106</v>
      </c>
      <c r="D167" t="s">
        <v>103</v>
      </c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>
        <f>(R$2-Q165)/(R$2-P$2)*Q164</f>
        <v>0</v>
      </c>
      <c r="R167" s="5">
        <f>(R$2-R165)/(R$2-P$2)*R164</f>
        <v>0</v>
      </c>
      <c r="S167" s="5">
        <f>(T$2-S165)/(T$2-R$2)*S164</f>
        <v>0</v>
      </c>
      <c r="T167" s="5">
        <f>(T$2-T165)/(T$2-R$2)*T164</f>
        <v>0</v>
      </c>
      <c r="U167" s="5">
        <f>(V$2-U165)/(V$2-T$2)*U164</f>
        <v>0</v>
      </c>
      <c r="V167" s="5">
        <f>(V$2-V165)/(V$2-T$2)*V164</f>
        <v>0</v>
      </c>
      <c r="W167" s="5">
        <f>(X$2-W165)/(X$2-V$2)*W164</f>
        <v>0</v>
      </c>
      <c r="X167" s="5">
        <f>(X$2-X165)/(X$2-V$2)*X164</f>
        <v>0</v>
      </c>
      <c r="Y167" s="5">
        <f>(Z$2-Y165)/(Z$2-X$2)*Y164</f>
        <v>0</v>
      </c>
      <c r="Z167" s="5">
        <f>(Z$2-Z165)/(Z$2-X$2)*Z164</f>
        <v>0</v>
      </c>
      <c r="AA167" s="5">
        <f>(AB$2-AA165)/(AB$2-Z$2)*AA164</f>
        <v>0</v>
      </c>
      <c r="AB167" s="5">
        <f>(AB$2-AB165)/(AB$2-Z$2)*AB164</f>
        <v>0</v>
      </c>
      <c r="AC167" s="5">
        <f>(AD$2-AC165)/(AD$2-AB$2)*AC164</f>
        <v>0</v>
      </c>
      <c r="AD167" s="5">
        <f>(AD$2-AD165)/(AD$2-AB$2)*AD164</f>
        <v>0</v>
      </c>
      <c r="AE167" s="5">
        <f>(AF$2-AE165)/(AF$2-AD$2)*AE164</f>
        <v>0</v>
      </c>
      <c r="AF167" s="5">
        <f>(AF$2-AF165)/(AF$2-AD$2)*AF164</f>
        <v>0</v>
      </c>
      <c r="AG167" s="5">
        <f>(AH$2-AG165)/(AH$2-AF$2)*AG164</f>
        <v>18.727417232876711</v>
      </c>
      <c r="AH167" s="5">
        <f>(AH$2-AH165)/(AH$2-AF$2)*AH164</f>
        <v>2.4290055702410962</v>
      </c>
      <c r="AI167" s="5">
        <f>(AJ$2-AI165)/(AJ$2-AH$2)*AI164</f>
        <v>0</v>
      </c>
      <c r="AJ167" s="5">
        <f>(AJ$2-AJ165)/(AJ$2-AH$2)*AJ164</f>
        <v>0</v>
      </c>
      <c r="AK167" s="5">
        <f>(AL$2-AK165)/(AL$2-AJ$2)*AK164</f>
        <v>0</v>
      </c>
      <c r="AL167" s="5">
        <f>(AL$2-AL165)/(AL$2-AJ$2)*AL164</f>
        <v>0</v>
      </c>
      <c r="AM167" s="5">
        <f>(AN$2-AM165)/(AN$2-AL$2)*AM164</f>
        <v>0</v>
      </c>
      <c r="AN167" s="5">
        <f>(AN$2-AN165)/(AN$2-AL$2)*AN164</f>
        <v>0</v>
      </c>
      <c r="AO167" s="5">
        <f>(AP$2-AO165)/(AP$2-AN$2)*AO164</f>
        <v>0</v>
      </c>
      <c r="AP167" s="5">
        <f>(AP$2-AP165)/(AP$2-AN$2)*AP164</f>
        <v>0</v>
      </c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</row>
    <row r="168" spans="2:71" x14ac:dyDescent="0.25"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</row>
    <row r="169" spans="2:71" s="23" customFormat="1" x14ac:dyDescent="0.25">
      <c r="B169" s="23" t="s">
        <v>107</v>
      </c>
      <c r="E169" s="24"/>
      <c r="F169" s="24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  <c r="AA169" s="24"/>
      <c r="AB169" s="24"/>
      <c r="AC169" s="24"/>
      <c r="AD169" s="24"/>
      <c r="AE169" s="24"/>
      <c r="AF169" s="24"/>
      <c r="AG169" s="24"/>
      <c r="AH169" s="24"/>
      <c r="AI169" s="24"/>
      <c r="AJ169" s="24"/>
      <c r="AK169" s="24"/>
      <c r="AL169" s="24"/>
      <c r="AM169" s="24"/>
      <c r="AN169" s="24"/>
      <c r="AO169" s="24"/>
      <c r="AP169" s="24"/>
      <c r="AR169" s="25"/>
      <c r="AV169" s="24"/>
      <c r="AW169" s="24"/>
      <c r="AX169" s="24"/>
      <c r="AY169" s="24"/>
      <c r="AZ169" s="24"/>
      <c r="BA169" s="24"/>
      <c r="BB169" s="24"/>
      <c r="BC169" s="24"/>
      <c r="BD169" s="24"/>
      <c r="BE169" s="24"/>
      <c r="BF169" s="24"/>
      <c r="BG169" s="24"/>
      <c r="BH169" s="24"/>
      <c r="BI169" s="24"/>
      <c r="BM169" s="25"/>
      <c r="BN169"/>
      <c r="BO169"/>
      <c r="BP169"/>
      <c r="BQ169"/>
      <c r="BR169"/>
      <c r="BS169"/>
    </row>
    <row r="170" spans="2:71" s="12" customFormat="1" x14ac:dyDescent="0.25">
      <c r="C170" s="12" t="s">
        <v>108</v>
      </c>
      <c r="D170" s="12" t="s">
        <v>32</v>
      </c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  <c r="AO170" s="13"/>
      <c r="AP170" s="13"/>
      <c r="AR170" s="26"/>
      <c r="AV170" s="13"/>
      <c r="AW170" s="13"/>
      <c r="AX170" s="13"/>
      <c r="AY170" s="13"/>
      <c r="AZ170" s="13"/>
      <c r="BA170" s="13"/>
      <c r="BB170" s="13"/>
      <c r="BC170" s="13"/>
      <c r="BD170" s="13"/>
      <c r="BE170" s="13"/>
      <c r="BF170" s="13"/>
      <c r="BG170" s="13"/>
      <c r="BH170" s="13"/>
      <c r="BI170" s="13"/>
      <c r="BM170" s="26"/>
      <c r="BN170"/>
      <c r="BO170"/>
      <c r="BP170"/>
      <c r="BQ170"/>
      <c r="BR170"/>
      <c r="BS170"/>
    </row>
    <row r="171" spans="2:71" x14ac:dyDescent="0.25">
      <c r="C171" t="s">
        <v>101</v>
      </c>
      <c r="D171" t="s">
        <v>67</v>
      </c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29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</row>
    <row r="172" spans="2:71" x14ac:dyDescent="0.25">
      <c r="C172" t="s">
        <v>102</v>
      </c>
      <c r="D172" t="s">
        <v>103</v>
      </c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</row>
    <row r="173" spans="2:71" x14ac:dyDescent="0.25">
      <c r="C173" t="s">
        <v>104</v>
      </c>
      <c r="E173" s="39"/>
      <c r="F173" s="39"/>
      <c r="G173" s="39"/>
      <c r="H173" s="39"/>
      <c r="I173" s="39"/>
      <c r="J173" s="39"/>
      <c r="K173" s="39"/>
      <c r="L173" s="39"/>
      <c r="M173" s="39"/>
      <c r="N173" s="39"/>
      <c r="O173" s="39"/>
      <c r="P173" s="39"/>
      <c r="Q173" s="39"/>
      <c r="R173" s="39"/>
      <c r="S173" s="39"/>
      <c r="T173" s="39"/>
      <c r="U173" s="39"/>
      <c r="V173" s="39"/>
      <c r="W173" s="39"/>
      <c r="X173" s="39"/>
      <c r="Y173" s="39"/>
      <c r="Z173" s="39"/>
      <c r="AA173" s="39"/>
      <c r="AB173" s="39"/>
      <c r="AC173" s="39"/>
      <c r="AD173" s="39"/>
      <c r="AE173" s="39"/>
      <c r="AF173" s="39"/>
      <c r="AG173" s="39"/>
      <c r="AH173" s="39"/>
      <c r="AI173" s="39"/>
      <c r="AJ173" s="39"/>
      <c r="AK173" s="39"/>
      <c r="AL173" s="39"/>
      <c r="AM173" s="39"/>
      <c r="AN173" s="39"/>
      <c r="AO173" s="39"/>
      <c r="AP173" s="39"/>
      <c r="AV173" s="39"/>
      <c r="AW173" s="39"/>
      <c r="AX173" s="39"/>
      <c r="AY173" s="39"/>
      <c r="AZ173" s="39"/>
      <c r="BA173" s="39"/>
      <c r="BB173" s="39"/>
      <c r="BC173" s="39"/>
      <c r="BD173" s="39"/>
      <c r="BE173" s="39"/>
      <c r="BF173" s="39"/>
      <c r="BG173" s="39"/>
      <c r="BH173" s="39"/>
      <c r="BI173" s="39"/>
    </row>
    <row r="174" spans="2:71" x14ac:dyDescent="0.25">
      <c r="C174" t="s">
        <v>105</v>
      </c>
      <c r="D174" t="s">
        <v>103</v>
      </c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>
        <f t="shared" ref="Q174:AJ174" si="255">(Q$2-Q173)/(Q$2-P$2)*Q172</f>
        <v>0</v>
      </c>
      <c r="R174" s="5">
        <f t="shared" si="255"/>
        <v>0</v>
      </c>
      <c r="S174" s="5">
        <f t="shared" si="255"/>
        <v>0</v>
      </c>
      <c r="T174" s="5">
        <f t="shared" si="255"/>
        <v>0</v>
      </c>
      <c r="U174" s="5">
        <f t="shared" si="255"/>
        <v>0</v>
      </c>
      <c r="V174" s="5">
        <f t="shared" si="255"/>
        <v>0</v>
      </c>
      <c r="W174" s="5">
        <f t="shared" si="255"/>
        <v>0</v>
      </c>
      <c r="X174" s="5">
        <f t="shared" si="255"/>
        <v>0</v>
      </c>
      <c r="Y174" s="5">
        <f t="shared" si="255"/>
        <v>0</v>
      </c>
      <c r="Z174" s="5">
        <f t="shared" si="255"/>
        <v>0</v>
      </c>
      <c r="AA174" s="5">
        <f t="shared" si="255"/>
        <v>0</v>
      </c>
      <c r="AB174" s="5">
        <f t="shared" si="255"/>
        <v>0</v>
      </c>
      <c r="AC174" s="5">
        <f t="shared" si="255"/>
        <v>0</v>
      </c>
      <c r="AD174" s="5">
        <f t="shared" si="255"/>
        <v>0</v>
      </c>
      <c r="AE174" s="5">
        <f t="shared" si="255"/>
        <v>0</v>
      </c>
      <c r="AF174" s="5">
        <f t="shared" si="255"/>
        <v>0</v>
      </c>
      <c r="AG174" s="5">
        <f t="shared" si="255"/>
        <v>0</v>
      </c>
      <c r="AH174" s="5">
        <f t="shared" si="255"/>
        <v>0</v>
      </c>
      <c r="AI174" s="5">
        <f t="shared" si="255"/>
        <v>0</v>
      </c>
      <c r="AJ174" s="5">
        <f t="shared" si="255"/>
        <v>0</v>
      </c>
      <c r="AK174" s="5">
        <f t="shared" ref="AK174:AP174" si="256">(AK$2-AK173)/(AK$2-AJ$2)*AK172</f>
        <v>0</v>
      </c>
      <c r="AL174" s="5">
        <f t="shared" si="256"/>
        <v>0</v>
      </c>
      <c r="AM174" s="5">
        <f t="shared" si="256"/>
        <v>0</v>
      </c>
      <c r="AN174" s="5">
        <f t="shared" si="256"/>
        <v>0</v>
      </c>
      <c r="AO174" s="5">
        <f t="shared" si="256"/>
        <v>0</v>
      </c>
      <c r="AP174" s="5">
        <f t="shared" si="256"/>
        <v>0</v>
      </c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</row>
    <row r="175" spans="2:71" x14ac:dyDescent="0.25">
      <c r="C175" t="s">
        <v>106</v>
      </c>
      <c r="D175" t="s">
        <v>103</v>
      </c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>
        <f>(R$2-Q173)/(R$2-P$2)*Q172</f>
        <v>0</v>
      </c>
      <c r="R175" s="5">
        <f>(R$2-R173)/(R$2-P$2)*R172</f>
        <v>0</v>
      </c>
      <c r="S175" s="5">
        <f>(T$2-S173)/(T$2-R$2)*S172</f>
        <v>0</v>
      </c>
      <c r="T175" s="5">
        <f>(T$2-T173)/(T$2-R$2)*T172</f>
        <v>0</v>
      </c>
      <c r="U175" s="5">
        <f>(V$2-U173)/(V$2-T$2)*U172</f>
        <v>0</v>
      </c>
      <c r="V175" s="5">
        <f>(V$2-V173)/(V$2-T$2)*V172</f>
        <v>0</v>
      </c>
      <c r="W175" s="5">
        <f>(X$2-W173)/(X$2-V$2)*W172</f>
        <v>0</v>
      </c>
      <c r="X175" s="5">
        <f>(X$2-X173)/(X$2-V$2)*X172</f>
        <v>0</v>
      </c>
      <c r="Y175" s="5">
        <f>(Z$2-Y173)/(Z$2-X$2)*Y172</f>
        <v>0</v>
      </c>
      <c r="Z175" s="5">
        <f>(Z$2-Z173)/(Z$2-X$2)*Z172</f>
        <v>0</v>
      </c>
      <c r="AA175" s="5">
        <f>(AB$2-AA173)/(AB$2-Z$2)*AA172</f>
        <v>0</v>
      </c>
      <c r="AB175" s="5">
        <f>(AB$2-AB173)/(AB$2-Z$2)*AB172</f>
        <v>0</v>
      </c>
      <c r="AC175" s="5">
        <f>(AD$2-AC173)/(AD$2-AB$2)*AC172</f>
        <v>0</v>
      </c>
      <c r="AD175" s="5">
        <f>(AD$2-AD173)/(AD$2-AB$2)*AD172</f>
        <v>0</v>
      </c>
      <c r="AE175" s="5">
        <f>(AF$2-AE173)/(AF$2-AD$2)*AE172</f>
        <v>0</v>
      </c>
      <c r="AF175" s="5">
        <f>(AF$2-AF173)/(AF$2-AD$2)*AF172</f>
        <v>0</v>
      </c>
      <c r="AG175" s="5">
        <f>(AH$2-AG173)/(AH$2-AF$2)*AG172</f>
        <v>0</v>
      </c>
      <c r="AH175" s="5">
        <f>(AH$2-AH173)/(AH$2-AF$2)*AH172</f>
        <v>0</v>
      </c>
      <c r="AI175" s="5">
        <f>(AJ$2-AI173)/(AJ$2-AH$2)*AI172</f>
        <v>0</v>
      </c>
      <c r="AJ175" s="5">
        <f>(AJ$2-AJ173)/(AJ$2-AH$2)*AJ172</f>
        <v>0</v>
      </c>
      <c r="AK175" s="5">
        <f>(AL$2-AK173)/(AL$2-AJ$2)*AK172</f>
        <v>0</v>
      </c>
      <c r="AL175" s="5">
        <f>(AL$2-AL173)/(AL$2-AJ$2)*AL172</f>
        <v>0</v>
      </c>
      <c r="AM175" s="5">
        <f>(AN$2-AM173)/(AN$2-AL$2)*AM172</f>
        <v>0</v>
      </c>
      <c r="AN175" s="5">
        <f>(AN$2-AN173)/(AN$2-AL$2)*AN172</f>
        <v>0</v>
      </c>
      <c r="AO175" s="5">
        <f>(AP$2-AO173)/(AP$2-AN$2)*AO172</f>
        <v>0</v>
      </c>
      <c r="AP175" s="5">
        <f>(AP$2-AP173)/(AP$2-AN$2)*AP172</f>
        <v>0</v>
      </c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</row>
    <row r="176" spans="2:71" x14ac:dyDescent="0.25"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</row>
    <row r="177" spans="2:71" s="23" customFormat="1" x14ac:dyDescent="0.25">
      <c r="B177" s="23" t="s">
        <v>109</v>
      </c>
      <c r="E177" s="24"/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  <c r="AA177" s="24"/>
      <c r="AB177" s="24"/>
      <c r="AC177" s="24"/>
      <c r="AD177" s="24"/>
      <c r="AE177" s="24"/>
      <c r="AF177" s="24"/>
      <c r="AG177" s="24"/>
      <c r="AH177" s="24"/>
      <c r="AI177" s="24"/>
      <c r="AJ177" s="24"/>
      <c r="AK177" s="24"/>
      <c r="AL177" s="24"/>
      <c r="AM177" s="24"/>
      <c r="AN177" s="24"/>
      <c r="AO177" s="24"/>
      <c r="AP177" s="24"/>
      <c r="AR177" s="25"/>
      <c r="AV177" s="24"/>
      <c r="AW177" s="24"/>
      <c r="AX177" s="24"/>
      <c r="AY177" s="24"/>
      <c r="AZ177" s="24"/>
      <c r="BA177" s="24"/>
      <c r="BB177" s="24"/>
      <c r="BC177" s="24"/>
      <c r="BD177" s="24"/>
      <c r="BE177" s="24"/>
      <c r="BF177" s="24"/>
      <c r="BG177" s="24"/>
      <c r="BH177" s="24"/>
      <c r="BI177" s="24"/>
      <c r="BM177" s="25"/>
      <c r="BN177"/>
      <c r="BO177"/>
      <c r="BP177"/>
      <c r="BQ177"/>
      <c r="BR177"/>
      <c r="BS177"/>
    </row>
    <row r="178" spans="2:71" s="12" customFormat="1" x14ac:dyDescent="0.25">
      <c r="C178" s="12" t="s">
        <v>108</v>
      </c>
      <c r="D178" s="12" t="s">
        <v>32</v>
      </c>
      <c r="E178" s="13"/>
      <c r="F178" s="13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  <c r="R178" s="13"/>
      <c r="S178" s="13"/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  <c r="AN178" s="13"/>
      <c r="AO178" s="13"/>
      <c r="AP178" s="13"/>
      <c r="AR178" s="26"/>
      <c r="AV178" s="13"/>
      <c r="AW178" s="13"/>
      <c r="AX178" s="13"/>
      <c r="AY178" s="13"/>
      <c r="AZ178" s="13"/>
      <c r="BA178" s="13"/>
      <c r="BB178" s="13"/>
      <c r="BC178" s="13"/>
      <c r="BD178" s="13"/>
      <c r="BE178" s="13"/>
      <c r="BF178" s="13"/>
      <c r="BG178" s="13"/>
      <c r="BH178" s="13"/>
      <c r="BI178" s="13"/>
      <c r="BM178" s="26"/>
      <c r="BN178"/>
      <c r="BO178"/>
      <c r="BP178"/>
      <c r="BQ178"/>
      <c r="BR178"/>
      <c r="BS178"/>
    </row>
    <row r="179" spans="2:71" x14ac:dyDescent="0.25">
      <c r="C179" t="s">
        <v>101</v>
      </c>
      <c r="D179" t="s">
        <v>67</v>
      </c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29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</row>
    <row r="180" spans="2:71" x14ac:dyDescent="0.25">
      <c r="C180" t="s">
        <v>102</v>
      </c>
      <c r="D180" t="s">
        <v>103</v>
      </c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</row>
    <row r="181" spans="2:71" x14ac:dyDescent="0.25">
      <c r="C181" t="s">
        <v>104</v>
      </c>
      <c r="E181" s="39"/>
      <c r="F181" s="39"/>
      <c r="G181" s="39"/>
      <c r="H181" s="39"/>
      <c r="I181" s="39"/>
      <c r="J181" s="39"/>
      <c r="K181" s="39"/>
      <c r="L181" s="39"/>
      <c r="M181" s="39"/>
      <c r="N181" s="39"/>
      <c r="O181" s="39"/>
      <c r="P181" s="39"/>
      <c r="Q181" s="39"/>
      <c r="R181" s="39"/>
      <c r="S181" s="39"/>
      <c r="T181" s="39"/>
      <c r="U181" s="39"/>
      <c r="V181" s="39"/>
      <c r="W181" s="39"/>
      <c r="X181" s="39"/>
      <c r="Y181" s="39"/>
      <c r="Z181" s="39"/>
      <c r="AA181" s="39"/>
      <c r="AB181" s="39"/>
      <c r="AC181" s="39"/>
      <c r="AD181" s="39"/>
      <c r="AE181" s="39"/>
      <c r="AF181" s="39"/>
      <c r="AG181" s="39"/>
      <c r="AH181" s="39"/>
      <c r="AI181" s="39"/>
      <c r="AJ181" s="39"/>
      <c r="AK181" s="39"/>
      <c r="AL181" s="39"/>
      <c r="AM181" s="39"/>
      <c r="AN181" s="39"/>
      <c r="AO181" s="39"/>
      <c r="AP181" s="39"/>
      <c r="AV181" s="39"/>
      <c r="AW181" s="39"/>
      <c r="AX181" s="39"/>
      <c r="AY181" s="39"/>
      <c r="AZ181" s="39"/>
      <c r="BA181" s="39"/>
      <c r="BB181" s="39"/>
      <c r="BC181" s="39"/>
      <c r="BD181" s="39"/>
      <c r="BE181" s="39"/>
      <c r="BF181" s="39"/>
      <c r="BG181" s="39"/>
      <c r="BH181" s="39"/>
      <c r="BI181" s="39"/>
    </row>
    <row r="182" spans="2:71" x14ac:dyDescent="0.25">
      <c r="C182" t="s">
        <v>105</v>
      </c>
      <c r="D182" t="s">
        <v>103</v>
      </c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>
        <f t="shared" ref="Q182:AJ182" si="257">(Q$2-Q181)/(Q$2-P$2)*Q180</f>
        <v>0</v>
      </c>
      <c r="R182" s="5">
        <f t="shared" si="257"/>
        <v>0</v>
      </c>
      <c r="S182" s="5">
        <f t="shared" si="257"/>
        <v>0</v>
      </c>
      <c r="T182" s="5">
        <f t="shared" si="257"/>
        <v>0</v>
      </c>
      <c r="U182" s="5">
        <f t="shared" si="257"/>
        <v>0</v>
      </c>
      <c r="V182" s="5">
        <f t="shared" si="257"/>
        <v>0</v>
      </c>
      <c r="W182" s="5">
        <f t="shared" si="257"/>
        <v>0</v>
      </c>
      <c r="X182" s="5">
        <f t="shared" si="257"/>
        <v>0</v>
      </c>
      <c r="Y182" s="5">
        <f t="shared" si="257"/>
        <v>0</v>
      </c>
      <c r="Z182" s="5">
        <f t="shared" si="257"/>
        <v>0</v>
      </c>
      <c r="AA182" s="5">
        <f t="shared" si="257"/>
        <v>0</v>
      </c>
      <c r="AB182" s="5">
        <f t="shared" si="257"/>
        <v>0</v>
      </c>
      <c r="AC182" s="5">
        <f t="shared" si="257"/>
        <v>0</v>
      </c>
      <c r="AD182" s="5">
        <f t="shared" si="257"/>
        <v>0</v>
      </c>
      <c r="AE182" s="5">
        <f t="shared" si="257"/>
        <v>0</v>
      </c>
      <c r="AF182" s="5">
        <f t="shared" si="257"/>
        <v>0</v>
      </c>
      <c r="AG182" s="5">
        <f t="shared" si="257"/>
        <v>0</v>
      </c>
      <c r="AH182" s="5">
        <f t="shared" si="257"/>
        <v>0</v>
      </c>
      <c r="AI182" s="5">
        <f t="shared" si="257"/>
        <v>0</v>
      </c>
      <c r="AJ182" s="5">
        <f t="shared" si="257"/>
        <v>0</v>
      </c>
      <c r="AK182" s="5">
        <f t="shared" ref="AK182:AP182" si="258">(AK$2-AK181)/(AK$2-AJ$2)*AK180</f>
        <v>0</v>
      </c>
      <c r="AL182" s="5">
        <f t="shared" si="258"/>
        <v>0</v>
      </c>
      <c r="AM182" s="5">
        <f t="shared" si="258"/>
        <v>0</v>
      </c>
      <c r="AN182" s="5">
        <f t="shared" si="258"/>
        <v>0</v>
      </c>
      <c r="AO182" s="5">
        <f t="shared" si="258"/>
        <v>0</v>
      </c>
      <c r="AP182" s="5">
        <f t="shared" si="258"/>
        <v>0</v>
      </c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</row>
    <row r="183" spans="2:71" x14ac:dyDescent="0.25">
      <c r="C183" t="s">
        <v>106</v>
      </c>
      <c r="D183" t="s">
        <v>103</v>
      </c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>
        <f>(R$2-Q181)/(R$2-P$2)*Q180</f>
        <v>0</v>
      </c>
      <c r="R183" s="5">
        <f>(R$2-R181)/(R$2-P$2)*R180</f>
        <v>0</v>
      </c>
      <c r="S183" s="5">
        <f>(T$2-S181)/(T$2-R$2)*S180</f>
        <v>0</v>
      </c>
      <c r="T183" s="5">
        <f>(T$2-T181)/(T$2-R$2)*T180</f>
        <v>0</v>
      </c>
      <c r="U183" s="5">
        <f>(V$2-U181)/(V$2-T$2)*U180</f>
        <v>0</v>
      </c>
      <c r="V183" s="5">
        <f>(V$2-V181)/(V$2-T$2)*V180</f>
        <v>0</v>
      </c>
      <c r="W183" s="5">
        <f>(X$2-W181)/(X$2-V$2)*W180</f>
        <v>0</v>
      </c>
      <c r="X183" s="5">
        <f>(X$2-X181)/(X$2-V$2)*X180</f>
        <v>0</v>
      </c>
      <c r="Y183" s="5">
        <f>(Z$2-Y181)/(Z$2-X$2)*Y180</f>
        <v>0</v>
      </c>
      <c r="Z183" s="5">
        <f>(Z$2-Z181)/(Z$2-X$2)*Z180</f>
        <v>0</v>
      </c>
      <c r="AA183" s="5">
        <f>(AB$2-AA181)/(AB$2-Z$2)*AA180</f>
        <v>0</v>
      </c>
      <c r="AB183" s="5">
        <f>(AB$2-AB181)/(AB$2-Z$2)*AB180</f>
        <v>0</v>
      </c>
      <c r="AC183" s="5">
        <f>(AD$2-AC181)/(AD$2-AB$2)*AC180</f>
        <v>0</v>
      </c>
      <c r="AD183" s="5">
        <f>(AD$2-AD181)/(AD$2-AB$2)*AD180</f>
        <v>0</v>
      </c>
      <c r="AE183" s="5">
        <f>(AF$2-AE181)/(AF$2-AD$2)*AE180</f>
        <v>0</v>
      </c>
      <c r="AF183" s="5">
        <f>(AF$2-AF181)/(AF$2-AD$2)*AF180</f>
        <v>0</v>
      </c>
      <c r="AG183" s="5">
        <f>(AH$2-AG181)/(AH$2-AF$2)*AG180</f>
        <v>0</v>
      </c>
      <c r="AH183" s="5">
        <f>(AH$2-AH181)/(AH$2-AF$2)*AH180</f>
        <v>0</v>
      </c>
      <c r="AI183" s="5">
        <f>(AJ$2-AI181)/(AJ$2-AH$2)*AI180</f>
        <v>0</v>
      </c>
      <c r="AJ183" s="5">
        <f>(AJ$2-AJ181)/(AJ$2-AH$2)*AJ180</f>
        <v>0</v>
      </c>
      <c r="AK183" s="5">
        <f>(AL$2-AK181)/(AL$2-AJ$2)*AK180</f>
        <v>0</v>
      </c>
      <c r="AL183" s="5">
        <f>(AL$2-AL181)/(AL$2-AJ$2)*AL180</f>
        <v>0</v>
      </c>
      <c r="AM183" s="5">
        <f>(AN$2-AM181)/(AN$2-AL$2)*AM180</f>
        <v>0</v>
      </c>
      <c r="AN183" s="5">
        <f>(AN$2-AN181)/(AN$2-AL$2)*AN180</f>
        <v>0</v>
      </c>
      <c r="AO183" s="5">
        <f>(AP$2-AO181)/(AP$2-AN$2)*AO180</f>
        <v>0</v>
      </c>
      <c r="AP183" s="5">
        <f>(AP$2-AP181)/(AP$2-AN$2)*AP180</f>
        <v>0</v>
      </c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</row>
    <row r="184" spans="2:71" x14ac:dyDescent="0.25"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</row>
    <row r="185" spans="2:71" s="12" customFormat="1" x14ac:dyDescent="0.25">
      <c r="C185" s="12" t="s">
        <v>108</v>
      </c>
      <c r="D185" s="12" t="s">
        <v>32</v>
      </c>
      <c r="E185" s="13"/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  <c r="R185" s="13"/>
      <c r="S185" s="13"/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  <c r="AN185" s="13"/>
      <c r="AO185" s="13"/>
      <c r="AP185" s="13"/>
      <c r="AR185" s="26"/>
      <c r="AV185" s="13"/>
      <c r="AW185" s="13"/>
      <c r="AX185" s="13"/>
      <c r="AY185" s="13"/>
      <c r="AZ185" s="13"/>
      <c r="BA185" s="13"/>
      <c r="BB185" s="13"/>
      <c r="BC185" s="13"/>
      <c r="BD185" s="13"/>
      <c r="BE185" s="13"/>
      <c r="BF185" s="13"/>
      <c r="BG185" s="13"/>
      <c r="BH185" s="13"/>
      <c r="BI185" s="13"/>
      <c r="BM185" s="26"/>
      <c r="BN185"/>
      <c r="BO185"/>
      <c r="BP185"/>
      <c r="BQ185"/>
      <c r="BR185"/>
      <c r="BS185"/>
    </row>
    <row r="186" spans="2:71" x14ac:dyDescent="0.25">
      <c r="C186" t="s">
        <v>101</v>
      </c>
      <c r="D186" t="s">
        <v>67</v>
      </c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</row>
    <row r="187" spans="2:71" x14ac:dyDescent="0.25">
      <c r="C187" t="s">
        <v>102</v>
      </c>
      <c r="D187" t="s">
        <v>103</v>
      </c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</row>
    <row r="188" spans="2:71" x14ac:dyDescent="0.25">
      <c r="C188" t="s">
        <v>104</v>
      </c>
      <c r="E188" s="39"/>
      <c r="F188" s="39"/>
      <c r="G188" s="39"/>
      <c r="H188" s="39"/>
      <c r="I188" s="39"/>
      <c r="J188" s="39"/>
      <c r="K188" s="39"/>
      <c r="L188" s="39"/>
      <c r="M188" s="39"/>
      <c r="N188" s="39"/>
      <c r="O188" s="39"/>
      <c r="P188" s="39"/>
      <c r="Q188" s="39"/>
      <c r="R188" s="39"/>
      <c r="S188" s="39"/>
      <c r="T188" s="39"/>
      <c r="U188" s="39"/>
      <c r="V188" s="39"/>
      <c r="W188" s="39"/>
      <c r="X188" s="39"/>
      <c r="Y188" s="39"/>
      <c r="Z188" s="39"/>
      <c r="AA188" s="39"/>
      <c r="AB188" s="39"/>
      <c r="AC188" s="39"/>
      <c r="AD188" s="39"/>
      <c r="AE188" s="39"/>
      <c r="AF188" s="39"/>
      <c r="AG188" s="39"/>
      <c r="AH188" s="39"/>
      <c r="AI188" s="39"/>
      <c r="AJ188" s="39"/>
      <c r="AK188" s="39"/>
      <c r="AL188" s="39"/>
      <c r="AM188" s="39"/>
      <c r="AN188" s="39"/>
      <c r="AO188" s="39"/>
      <c r="AP188" s="39"/>
      <c r="AV188" s="39"/>
      <c r="AW188" s="39"/>
      <c r="AX188" s="39"/>
      <c r="AY188" s="39"/>
      <c r="AZ188" s="39"/>
      <c r="BA188" s="39"/>
      <c r="BB188" s="39"/>
      <c r="BC188" s="39"/>
      <c r="BD188" s="39"/>
      <c r="BE188" s="39"/>
      <c r="BF188" s="39"/>
      <c r="BG188" s="39"/>
      <c r="BH188" s="39"/>
      <c r="BI188" s="39"/>
    </row>
    <row r="189" spans="2:71" x14ac:dyDescent="0.25">
      <c r="C189" t="s">
        <v>105</v>
      </c>
      <c r="D189" t="s">
        <v>103</v>
      </c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>
        <f t="shared" ref="Q189:AJ189" si="259">(Q$2-Q188)/(Q$2-P$2)*Q187</f>
        <v>0</v>
      </c>
      <c r="R189" s="5">
        <f t="shared" si="259"/>
        <v>0</v>
      </c>
      <c r="S189" s="5">
        <f t="shared" si="259"/>
        <v>0</v>
      </c>
      <c r="T189" s="5">
        <f t="shared" si="259"/>
        <v>0</v>
      </c>
      <c r="U189" s="5">
        <f t="shared" si="259"/>
        <v>0</v>
      </c>
      <c r="V189" s="5">
        <f t="shared" si="259"/>
        <v>0</v>
      </c>
      <c r="W189" s="5">
        <f t="shared" si="259"/>
        <v>0</v>
      </c>
      <c r="X189" s="5">
        <f t="shared" si="259"/>
        <v>0</v>
      </c>
      <c r="Y189" s="5">
        <f t="shared" si="259"/>
        <v>0</v>
      </c>
      <c r="Z189" s="5">
        <f t="shared" si="259"/>
        <v>0</v>
      </c>
      <c r="AA189" s="5">
        <f t="shared" si="259"/>
        <v>0</v>
      </c>
      <c r="AB189" s="5">
        <f t="shared" si="259"/>
        <v>0</v>
      </c>
      <c r="AC189" s="5">
        <f t="shared" si="259"/>
        <v>0</v>
      </c>
      <c r="AD189" s="5">
        <f t="shared" si="259"/>
        <v>0</v>
      </c>
      <c r="AE189" s="5">
        <f t="shared" si="259"/>
        <v>0</v>
      </c>
      <c r="AF189" s="5">
        <f t="shared" si="259"/>
        <v>0</v>
      </c>
      <c r="AG189" s="5">
        <f t="shared" si="259"/>
        <v>0</v>
      </c>
      <c r="AH189" s="5">
        <f t="shared" si="259"/>
        <v>0</v>
      </c>
      <c r="AI189" s="5">
        <f t="shared" si="259"/>
        <v>0</v>
      </c>
      <c r="AJ189" s="5">
        <f t="shared" si="259"/>
        <v>0</v>
      </c>
      <c r="AK189" s="5">
        <f t="shared" ref="AK189:AP189" si="260">(AK$2-AK188)/(AK$2-AJ$2)*AK187</f>
        <v>0</v>
      </c>
      <c r="AL189" s="5">
        <f t="shared" si="260"/>
        <v>0</v>
      </c>
      <c r="AM189" s="5">
        <f t="shared" si="260"/>
        <v>0</v>
      </c>
      <c r="AN189" s="5">
        <f t="shared" si="260"/>
        <v>0</v>
      </c>
      <c r="AO189" s="5">
        <f t="shared" si="260"/>
        <v>0</v>
      </c>
      <c r="AP189" s="5">
        <f t="shared" si="260"/>
        <v>0</v>
      </c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</row>
    <row r="190" spans="2:71" x14ac:dyDescent="0.25">
      <c r="C190" t="s">
        <v>106</v>
      </c>
      <c r="D190" t="s">
        <v>103</v>
      </c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>
        <f>(R$2-Q188)/(R$2-P$2)*Q187</f>
        <v>0</v>
      </c>
      <c r="R190" s="5">
        <f>(R$2-R188)/(R$2-P$2)*R187</f>
        <v>0</v>
      </c>
      <c r="S190" s="5">
        <f>(T$2-S188)/(T$2-R$2)*S187</f>
        <v>0</v>
      </c>
      <c r="T190" s="5">
        <f>(T$2-T188)/(T$2-R$2)*T187</f>
        <v>0</v>
      </c>
      <c r="U190" s="5">
        <f>(V$2-U188)/(V$2-T$2)*U187</f>
        <v>0</v>
      </c>
      <c r="V190" s="5">
        <f>(V$2-V188)/(V$2-T$2)*V187</f>
        <v>0</v>
      </c>
      <c r="W190" s="5">
        <f>(X$2-W188)/(X$2-V$2)*W187</f>
        <v>0</v>
      </c>
      <c r="X190" s="5">
        <f>(X$2-X188)/(X$2-V$2)*X187</f>
        <v>0</v>
      </c>
      <c r="Y190" s="5">
        <f>(Z$2-Y188)/(Z$2-X$2)*Y187</f>
        <v>0</v>
      </c>
      <c r="Z190" s="5">
        <f>(Z$2-Z188)/(Z$2-X$2)*Z187</f>
        <v>0</v>
      </c>
      <c r="AA190" s="5">
        <f>(AB$2-AA188)/(AB$2-Z$2)*AA187</f>
        <v>0</v>
      </c>
      <c r="AB190" s="5">
        <f>(AB$2-AB188)/(AB$2-Z$2)*AB187</f>
        <v>0</v>
      </c>
      <c r="AC190" s="5">
        <f>(AD$2-AC188)/(AD$2-AB$2)*AC187</f>
        <v>0</v>
      </c>
      <c r="AD190" s="5">
        <f>(AD$2-AD188)/(AD$2-AB$2)*AD187</f>
        <v>0</v>
      </c>
      <c r="AE190" s="5">
        <f>(AF$2-AE188)/(AF$2-AD$2)*AE187</f>
        <v>0</v>
      </c>
      <c r="AF190" s="5">
        <f>(AF$2-AF188)/(AF$2-AD$2)*AF187</f>
        <v>0</v>
      </c>
      <c r="AG190" s="5">
        <f>(AH$2-AG188)/(AH$2-AF$2)*AG187</f>
        <v>0</v>
      </c>
      <c r="AH190" s="5">
        <f>(AH$2-AH188)/(AH$2-AF$2)*AH187</f>
        <v>0</v>
      </c>
      <c r="AI190" s="5">
        <f>(AJ$2-AI188)/(AJ$2-AH$2)*AI187</f>
        <v>0</v>
      </c>
      <c r="AJ190" s="5">
        <f>(AJ$2-AJ188)/(AJ$2-AH$2)*AJ187</f>
        <v>0</v>
      </c>
      <c r="AK190" s="5">
        <f>(AL$2-AK188)/(AL$2-AJ$2)*AK187</f>
        <v>0</v>
      </c>
      <c r="AL190" s="5">
        <f>(AL$2-AL188)/(AL$2-AJ$2)*AL187</f>
        <v>0</v>
      </c>
      <c r="AM190" s="5">
        <f>(AN$2-AM188)/(AN$2-AL$2)*AM187</f>
        <v>0</v>
      </c>
      <c r="AN190" s="5">
        <f>(AN$2-AN188)/(AN$2-AL$2)*AN187</f>
        <v>0</v>
      </c>
      <c r="AO190" s="5">
        <f>(AP$2-AO188)/(AP$2-AN$2)*AO187</f>
        <v>0</v>
      </c>
      <c r="AP190" s="5">
        <f>(AP$2-AP188)/(AP$2-AN$2)*AP187</f>
        <v>0</v>
      </c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</row>
    <row r="191" spans="2:71" x14ac:dyDescent="0.25"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</row>
    <row r="192" spans="2:71" s="12" customFormat="1" x14ac:dyDescent="0.25">
      <c r="C192" s="12" t="s">
        <v>108</v>
      </c>
      <c r="D192" s="12" t="s">
        <v>32</v>
      </c>
      <c r="E192" s="13"/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  <c r="AN192" s="13"/>
      <c r="AO192" s="13"/>
      <c r="AP192" s="13"/>
      <c r="AR192" s="26"/>
      <c r="AV192" s="13"/>
      <c r="AW192" s="13"/>
      <c r="AX192" s="13"/>
      <c r="AY192" s="13"/>
      <c r="AZ192" s="13"/>
      <c r="BA192" s="13"/>
      <c r="BB192" s="13"/>
      <c r="BC192" s="13"/>
      <c r="BD192" s="13"/>
      <c r="BE192" s="13"/>
      <c r="BF192" s="13"/>
      <c r="BG192" s="13"/>
      <c r="BH192" s="13"/>
      <c r="BI192" s="13"/>
      <c r="BM192" s="26"/>
      <c r="BN192"/>
      <c r="BO192"/>
      <c r="BP192"/>
      <c r="BQ192"/>
      <c r="BR192"/>
      <c r="BS192"/>
    </row>
    <row r="193" spans="1:71" x14ac:dyDescent="0.25">
      <c r="C193" t="s">
        <v>101</v>
      </c>
      <c r="D193" t="s">
        <v>67</v>
      </c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</row>
    <row r="194" spans="1:71" x14ac:dyDescent="0.25">
      <c r="C194" t="s">
        <v>102</v>
      </c>
      <c r="D194" t="s">
        <v>103</v>
      </c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</row>
    <row r="195" spans="1:71" x14ac:dyDescent="0.25">
      <c r="C195" t="s">
        <v>104</v>
      </c>
      <c r="E195" s="39"/>
      <c r="F195" s="39"/>
      <c r="G195" s="39"/>
      <c r="H195" s="39"/>
      <c r="I195" s="39"/>
      <c r="J195" s="39"/>
      <c r="K195" s="39"/>
      <c r="L195" s="39"/>
      <c r="M195" s="39"/>
      <c r="N195" s="39"/>
      <c r="O195" s="39"/>
      <c r="P195" s="39"/>
      <c r="Q195" s="39"/>
      <c r="R195" s="39"/>
      <c r="S195" s="39"/>
      <c r="T195" s="39"/>
      <c r="U195" s="39"/>
      <c r="V195" s="39"/>
      <c r="W195" s="39"/>
      <c r="X195" s="39"/>
      <c r="Y195" s="39"/>
      <c r="Z195" s="39"/>
      <c r="AA195" s="39"/>
      <c r="AB195" s="39"/>
      <c r="AC195" s="39"/>
      <c r="AD195" s="39"/>
      <c r="AE195" s="39"/>
      <c r="AF195" s="39"/>
      <c r="AG195" s="39"/>
      <c r="AH195" s="39"/>
      <c r="AI195" s="39"/>
      <c r="AJ195" s="39"/>
      <c r="AK195" s="39"/>
      <c r="AL195" s="39"/>
      <c r="AM195" s="39"/>
      <c r="AN195" s="39"/>
      <c r="AO195" s="39"/>
      <c r="AP195" s="39"/>
      <c r="AV195" s="39"/>
      <c r="AW195" s="39"/>
      <c r="AX195" s="39"/>
      <c r="AY195" s="39"/>
      <c r="AZ195" s="39"/>
      <c r="BA195" s="39"/>
      <c r="BB195" s="39"/>
      <c r="BC195" s="39"/>
      <c r="BD195" s="39"/>
      <c r="BE195" s="39"/>
      <c r="BF195" s="39"/>
      <c r="BG195" s="39"/>
      <c r="BH195" s="39"/>
      <c r="BI195" s="39"/>
    </row>
    <row r="196" spans="1:71" x14ac:dyDescent="0.25">
      <c r="C196" t="s">
        <v>105</v>
      </c>
      <c r="D196" t="s">
        <v>103</v>
      </c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>
        <f t="shared" ref="Q196:AJ196" si="261">(Q$2-Q195)/(Q$2-P$2)*Q194</f>
        <v>0</v>
      </c>
      <c r="R196" s="5">
        <f t="shared" si="261"/>
        <v>0</v>
      </c>
      <c r="S196" s="5">
        <f t="shared" si="261"/>
        <v>0</v>
      </c>
      <c r="T196" s="5">
        <f t="shared" si="261"/>
        <v>0</v>
      </c>
      <c r="U196" s="5">
        <f t="shared" si="261"/>
        <v>0</v>
      </c>
      <c r="V196" s="5">
        <f t="shared" si="261"/>
        <v>0</v>
      </c>
      <c r="W196" s="5">
        <f t="shared" si="261"/>
        <v>0</v>
      </c>
      <c r="X196" s="5">
        <f t="shared" si="261"/>
        <v>0</v>
      </c>
      <c r="Y196" s="5">
        <f t="shared" si="261"/>
        <v>0</v>
      </c>
      <c r="Z196" s="5">
        <f t="shared" si="261"/>
        <v>0</v>
      </c>
      <c r="AA196" s="5">
        <f t="shared" si="261"/>
        <v>0</v>
      </c>
      <c r="AB196" s="5">
        <f t="shared" si="261"/>
        <v>0</v>
      </c>
      <c r="AC196" s="5">
        <f t="shared" si="261"/>
        <v>0</v>
      </c>
      <c r="AD196" s="5">
        <f t="shared" si="261"/>
        <v>0</v>
      </c>
      <c r="AE196" s="5">
        <f t="shared" si="261"/>
        <v>0</v>
      </c>
      <c r="AF196" s="5">
        <f t="shared" si="261"/>
        <v>0</v>
      </c>
      <c r="AG196" s="5">
        <f t="shared" si="261"/>
        <v>0</v>
      </c>
      <c r="AH196" s="5">
        <f t="shared" si="261"/>
        <v>0</v>
      </c>
      <c r="AI196" s="5">
        <f t="shared" si="261"/>
        <v>0</v>
      </c>
      <c r="AJ196" s="5">
        <f t="shared" si="261"/>
        <v>0</v>
      </c>
      <c r="AK196" s="5">
        <f t="shared" ref="AK196:AP196" si="262">(AK$2-AK195)/(AK$2-AJ$2)*AK194</f>
        <v>0</v>
      </c>
      <c r="AL196" s="5">
        <f t="shared" si="262"/>
        <v>0</v>
      </c>
      <c r="AM196" s="5">
        <f t="shared" si="262"/>
        <v>0</v>
      </c>
      <c r="AN196" s="5">
        <f t="shared" si="262"/>
        <v>0</v>
      </c>
      <c r="AO196" s="5">
        <f t="shared" si="262"/>
        <v>0</v>
      </c>
      <c r="AP196" s="5">
        <f t="shared" si="262"/>
        <v>0</v>
      </c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</row>
    <row r="197" spans="1:71" x14ac:dyDescent="0.25">
      <c r="C197" t="s">
        <v>106</v>
      </c>
      <c r="D197" t="s">
        <v>103</v>
      </c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>
        <f>(R$2-Q195)/(R$2-P$2)*Q194</f>
        <v>0</v>
      </c>
      <c r="R197" s="5">
        <f>(R$2-R195)/(R$2-P$2)*R194</f>
        <v>0</v>
      </c>
      <c r="S197" s="5">
        <f>(T$2-S195)/(T$2-R$2)*S194</f>
        <v>0</v>
      </c>
      <c r="T197" s="5">
        <f>(T$2-T195)/(T$2-R$2)*T194</f>
        <v>0</v>
      </c>
      <c r="U197" s="5">
        <f>(V$2-U195)/(V$2-T$2)*U194</f>
        <v>0</v>
      </c>
      <c r="V197" s="5">
        <f>(V$2-V195)/(V$2-T$2)*V194</f>
        <v>0</v>
      </c>
      <c r="W197" s="5">
        <f>(X$2-W195)/(X$2-V$2)*W194</f>
        <v>0</v>
      </c>
      <c r="X197" s="5">
        <f>(X$2-X195)/(X$2-V$2)*X194</f>
        <v>0</v>
      </c>
      <c r="Y197" s="5">
        <f>(Z$2-Y195)/(Z$2-X$2)*Y194</f>
        <v>0</v>
      </c>
      <c r="Z197" s="5">
        <f>(Z$2-Z195)/(Z$2-X$2)*Z194</f>
        <v>0</v>
      </c>
      <c r="AA197" s="5">
        <f>(AB$2-AA195)/(AB$2-Z$2)*AA194</f>
        <v>0</v>
      </c>
      <c r="AB197" s="5">
        <f>(AB$2-AB195)/(AB$2-Z$2)*AB194</f>
        <v>0</v>
      </c>
      <c r="AC197" s="5">
        <f>(AD$2-AC195)/(AD$2-AB$2)*AC194</f>
        <v>0</v>
      </c>
      <c r="AD197" s="5">
        <f>(AD$2-AD195)/(AD$2-AB$2)*AD194</f>
        <v>0</v>
      </c>
      <c r="AE197" s="5">
        <f>(AF$2-AE195)/(AF$2-AD$2)*AE194</f>
        <v>0</v>
      </c>
      <c r="AF197" s="5">
        <f>(AF$2-AF195)/(AF$2-AD$2)*AF194</f>
        <v>0</v>
      </c>
      <c r="AG197" s="5">
        <f>(AH$2-AG195)/(AH$2-AF$2)*AG194</f>
        <v>0</v>
      </c>
      <c r="AH197" s="5">
        <f>(AH$2-AH195)/(AH$2-AF$2)*AH194</f>
        <v>0</v>
      </c>
      <c r="AI197" s="5">
        <f>(AJ$2-AI195)/(AJ$2-AH$2)*AI194</f>
        <v>0</v>
      </c>
      <c r="AJ197" s="5">
        <f>(AJ$2-AJ195)/(AJ$2-AH$2)*AJ194</f>
        <v>0</v>
      </c>
      <c r="AK197" s="5">
        <f>(AL$2-AK195)/(AL$2-AJ$2)*AK194</f>
        <v>0</v>
      </c>
      <c r="AL197" s="5">
        <f>(AL$2-AL195)/(AL$2-AJ$2)*AL194</f>
        <v>0</v>
      </c>
      <c r="AM197" s="5">
        <f>(AN$2-AM195)/(AN$2-AL$2)*AM194</f>
        <v>0</v>
      </c>
      <c r="AN197" s="5">
        <f>(AN$2-AN195)/(AN$2-AL$2)*AN194</f>
        <v>0</v>
      </c>
      <c r="AO197" s="5">
        <f>(AP$2-AO195)/(AP$2-AN$2)*AO194</f>
        <v>0</v>
      </c>
      <c r="AP197" s="5">
        <f>(AP$2-AP195)/(AP$2-AN$2)*AP194</f>
        <v>0</v>
      </c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</row>
    <row r="198" spans="1:71" x14ac:dyDescent="0.25"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</row>
    <row r="199" spans="1:71" s="4" customFormat="1" x14ac:dyDescent="0.25">
      <c r="A199" s="4" t="s">
        <v>110</v>
      </c>
      <c r="E199" s="31"/>
      <c r="F199" s="31"/>
      <c r="G199" s="31"/>
      <c r="H199" s="31"/>
      <c r="I199" s="31"/>
      <c r="J199" s="31"/>
      <c r="K199" s="31"/>
      <c r="L199" s="31"/>
      <c r="M199" s="31"/>
      <c r="N199" s="31"/>
      <c r="O199" s="31"/>
      <c r="P199" s="31"/>
      <c r="Q199" s="31"/>
      <c r="R199" s="31"/>
      <c r="S199" s="31"/>
      <c r="T199" s="31"/>
      <c r="U199" s="31"/>
      <c r="V199" s="31"/>
      <c r="W199" s="31"/>
      <c r="X199" s="31"/>
      <c r="Y199" s="31"/>
      <c r="Z199" s="31"/>
      <c r="AA199" s="31"/>
      <c r="AB199" s="31"/>
      <c r="AC199" s="31"/>
      <c r="AD199" s="31"/>
      <c r="AE199" s="31"/>
      <c r="AF199" s="31"/>
      <c r="AG199" s="31"/>
      <c r="AH199" s="31"/>
      <c r="AI199" s="31"/>
      <c r="AJ199" s="31"/>
      <c r="AK199" s="31"/>
      <c r="AL199" s="31"/>
      <c r="AM199" s="31"/>
      <c r="AN199" s="31"/>
      <c r="AO199" s="31"/>
      <c r="AP199" s="31"/>
      <c r="AR199" s="20"/>
      <c r="AV199" s="31"/>
      <c r="AW199" s="31"/>
      <c r="AX199" s="31"/>
      <c r="AY199" s="31"/>
      <c r="AZ199" s="31"/>
      <c r="BA199" s="31"/>
      <c r="BB199" s="31"/>
      <c r="BC199" s="31"/>
      <c r="BD199" s="31"/>
      <c r="BE199" s="31"/>
      <c r="BF199" s="31"/>
      <c r="BG199" s="31"/>
      <c r="BH199" s="31"/>
      <c r="BI199" s="31"/>
      <c r="BM199" s="20"/>
      <c r="BN199"/>
      <c r="BO199"/>
      <c r="BP199"/>
      <c r="BQ199"/>
      <c r="BR199"/>
      <c r="BS199"/>
    </row>
    <row r="200" spans="1:71" x14ac:dyDescent="0.25">
      <c r="C200" t="s">
        <v>111</v>
      </c>
      <c r="E200" s="9"/>
      <c r="F200" s="9"/>
      <c r="G200" s="9"/>
      <c r="H200" s="9"/>
      <c r="I200" s="9"/>
      <c r="J200" s="9"/>
      <c r="K200" s="9"/>
      <c r="L200" s="9"/>
      <c r="M200" s="9"/>
      <c r="N200" s="9"/>
      <c r="O200" s="9"/>
      <c r="P200" s="9"/>
      <c r="Q200" s="9" t="s">
        <v>98</v>
      </c>
      <c r="R200" s="9" t="s">
        <v>98</v>
      </c>
      <c r="S200" s="9" t="s">
        <v>98</v>
      </c>
      <c r="T200" s="9" t="s">
        <v>98</v>
      </c>
      <c r="U200" s="9" t="s">
        <v>98</v>
      </c>
      <c r="V200" s="9" t="s">
        <v>98</v>
      </c>
      <c r="W200" s="9" t="s">
        <v>98</v>
      </c>
      <c r="X200" s="9" t="s">
        <v>98</v>
      </c>
      <c r="Y200" s="9" t="s">
        <v>98</v>
      </c>
      <c r="Z200" s="9" t="s">
        <v>98</v>
      </c>
      <c r="AA200" s="9" t="s">
        <v>98</v>
      </c>
      <c r="AB200" s="9" t="s">
        <v>98</v>
      </c>
      <c r="AC200" s="9" t="s">
        <v>98</v>
      </c>
      <c r="AD200" s="9" t="s">
        <v>98</v>
      </c>
      <c r="AE200" s="9" t="s">
        <v>98</v>
      </c>
      <c r="AF200" s="9" t="s">
        <v>98</v>
      </c>
      <c r="AG200" s="9" t="s">
        <v>98</v>
      </c>
      <c r="AH200" s="9" t="s">
        <v>98</v>
      </c>
      <c r="AI200" s="9" t="s">
        <v>98</v>
      </c>
      <c r="AJ200" s="9" t="s">
        <v>98</v>
      </c>
      <c r="AK200" s="9" t="s">
        <v>98</v>
      </c>
      <c r="AL200" s="9" t="s">
        <v>98</v>
      </c>
      <c r="AM200" s="9" t="s">
        <v>98</v>
      </c>
      <c r="AN200" s="9" t="s">
        <v>98</v>
      </c>
      <c r="AO200" s="9" t="s">
        <v>98</v>
      </c>
      <c r="AP200" s="9" t="s">
        <v>98</v>
      </c>
      <c r="AV200" s="9" t="s">
        <v>98</v>
      </c>
      <c r="AW200" s="9" t="s">
        <v>98</v>
      </c>
      <c r="AX200" s="9" t="s">
        <v>98</v>
      </c>
      <c r="AY200" s="9" t="s">
        <v>98</v>
      </c>
      <c r="AZ200" s="9" t="s">
        <v>98</v>
      </c>
      <c r="BA200" s="9" t="s">
        <v>98</v>
      </c>
      <c r="BB200" s="9" t="s">
        <v>98</v>
      </c>
      <c r="BC200" s="9" t="s">
        <v>98</v>
      </c>
      <c r="BD200" s="9" t="s">
        <v>98</v>
      </c>
      <c r="BE200" s="9" t="s">
        <v>98</v>
      </c>
      <c r="BF200" s="9" t="s">
        <v>98</v>
      </c>
      <c r="BG200" s="9" t="s">
        <v>98</v>
      </c>
      <c r="BH200" s="9" t="s">
        <v>98</v>
      </c>
      <c r="BI200" s="9" t="s">
        <v>98</v>
      </c>
    </row>
    <row r="201" spans="1:71" x14ac:dyDescent="0.25">
      <c r="C201" t="s">
        <v>112</v>
      </c>
      <c r="E201" s="8"/>
      <c r="F201" s="8"/>
      <c r="G201" s="8"/>
      <c r="H201" s="8"/>
      <c r="I201" s="8"/>
      <c r="J201" s="8"/>
      <c r="K201" s="8"/>
      <c r="L201" s="8"/>
      <c r="M201" s="8"/>
      <c r="N201" s="8"/>
      <c r="O201" s="8"/>
      <c r="P201" s="8"/>
      <c r="Q201" s="8">
        <v>0.25</v>
      </c>
      <c r="R201" s="8">
        <v>0.25</v>
      </c>
      <c r="S201" s="8">
        <v>0.25</v>
      </c>
      <c r="T201" s="8">
        <v>0.25</v>
      </c>
      <c r="U201" s="8">
        <v>0.25</v>
      </c>
      <c r="V201" s="8">
        <v>0.25</v>
      </c>
      <c r="W201" s="8">
        <v>0.25</v>
      </c>
      <c r="X201" s="8">
        <v>0.25</v>
      </c>
      <c r="Y201" s="8">
        <v>0.25</v>
      </c>
      <c r="Z201" s="8">
        <v>0.25</v>
      </c>
      <c r="AA201" s="8">
        <v>0.25</v>
      </c>
      <c r="AB201" s="8">
        <v>0.25</v>
      </c>
      <c r="AC201" s="8">
        <v>0.25</v>
      </c>
      <c r="AD201" s="8">
        <v>0.25</v>
      </c>
      <c r="AE201" s="8">
        <v>0.25</v>
      </c>
      <c r="AF201" s="8">
        <v>0.25</v>
      </c>
      <c r="AG201" s="8">
        <v>0.25</v>
      </c>
      <c r="AH201" s="8">
        <v>0.25</v>
      </c>
      <c r="AI201" s="8">
        <v>0.25</v>
      </c>
      <c r="AJ201" s="8">
        <v>0.25</v>
      </c>
      <c r="AK201" s="8">
        <v>0.25</v>
      </c>
      <c r="AL201" s="8">
        <v>0.25</v>
      </c>
      <c r="AM201" s="8">
        <v>0.25</v>
      </c>
      <c r="AN201" s="8">
        <v>0.25</v>
      </c>
      <c r="AO201" s="8">
        <v>0.25</v>
      </c>
      <c r="AP201" s="8">
        <v>0.25</v>
      </c>
      <c r="AV201" s="8">
        <v>0.25</v>
      </c>
      <c r="AW201" s="8">
        <v>0.25</v>
      </c>
      <c r="AX201" s="8">
        <v>0.25</v>
      </c>
      <c r="AY201" s="8">
        <v>0.25</v>
      </c>
      <c r="AZ201" s="8">
        <v>0.25</v>
      </c>
      <c r="BA201" s="8">
        <v>0.25</v>
      </c>
      <c r="BB201" s="8">
        <v>0.25</v>
      </c>
      <c r="BC201" s="8">
        <v>0.25</v>
      </c>
      <c r="BD201" s="8">
        <v>0.25</v>
      </c>
      <c r="BE201" s="8">
        <v>0.25</v>
      </c>
      <c r="BF201" s="8">
        <v>0.25</v>
      </c>
      <c r="BG201" s="8">
        <v>0.25</v>
      </c>
      <c r="BH201" s="8">
        <v>0.25</v>
      </c>
      <c r="BI201" s="8">
        <v>0.25</v>
      </c>
    </row>
    <row r="202" spans="1:71" x14ac:dyDescent="0.25">
      <c r="C202" t="s">
        <v>113</v>
      </c>
      <c r="E202" s="9"/>
      <c r="F202" s="9"/>
      <c r="G202" s="9"/>
      <c r="H202" s="9"/>
      <c r="I202" s="9"/>
      <c r="J202" s="9"/>
      <c r="K202" s="9"/>
      <c r="L202" s="9"/>
      <c r="M202" s="9"/>
      <c r="N202" s="9"/>
      <c r="O202" s="9"/>
      <c r="P202" s="9"/>
      <c r="Q202" s="9" t="s">
        <v>98</v>
      </c>
      <c r="R202" s="9" t="s">
        <v>98</v>
      </c>
      <c r="S202" s="9" t="s">
        <v>98</v>
      </c>
      <c r="T202" s="9" t="s">
        <v>98</v>
      </c>
      <c r="U202" s="9" t="s">
        <v>98</v>
      </c>
      <c r="V202" s="9" t="s">
        <v>98</v>
      </c>
      <c r="W202" s="9" t="s">
        <v>98</v>
      </c>
      <c r="X202" s="9" t="s">
        <v>98</v>
      </c>
      <c r="Y202" s="9" t="s">
        <v>98</v>
      </c>
      <c r="Z202" s="9" t="s">
        <v>98</v>
      </c>
      <c r="AA202" s="9" t="s">
        <v>98</v>
      </c>
      <c r="AB202" s="9" t="s">
        <v>98</v>
      </c>
      <c r="AC202" s="9" t="s">
        <v>98</v>
      </c>
      <c r="AD202" s="9" t="s">
        <v>98</v>
      </c>
      <c r="AE202" s="9" t="s">
        <v>98</v>
      </c>
      <c r="AF202" s="9" t="s">
        <v>98</v>
      </c>
      <c r="AG202" s="9" t="s">
        <v>98</v>
      </c>
      <c r="AH202" s="9" t="s">
        <v>98</v>
      </c>
      <c r="AI202" s="9" t="s">
        <v>98</v>
      </c>
      <c r="AJ202" s="9" t="s">
        <v>98</v>
      </c>
      <c r="AK202" s="9" t="s">
        <v>98</v>
      </c>
      <c r="AL202" s="9" t="s">
        <v>98</v>
      </c>
      <c r="AM202" s="9" t="s">
        <v>98</v>
      </c>
      <c r="AN202" s="9" t="s">
        <v>98</v>
      </c>
      <c r="AO202" s="9" t="s">
        <v>98</v>
      </c>
      <c r="AP202" s="9" t="s">
        <v>98</v>
      </c>
      <c r="AV202" s="9" t="s">
        <v>98</v>
      </c>
      <c r="AW202" s="9" t="s">
        <v>98</v>
      </c>
      <c r="AX202" s="9" t="s">
        <v>98</v>
      </c>
      <c r="AY202" s="9" t="s">
        <v>98</v>
      </c>
      <c r="AZ202" s="9" t="s">
        <v>98</v>
      </c>
      <c r="BA202" s="9" t="s">
        <v>98</v>
      </c>
      <c r="BB202" s="9" t="s">
        <v>98</v>
      </c>
      <c r="BC202" s="9" t="s">
        <v>98</v>
      </c>
      <c r="BD202" s="9" t="s">
        <v>98</v>
      </c>
      <c r="BE202" s="9" t="s">
        <v>98</v>
      </c>
      <c r="BF202" s="9" t="s">
        <v>98</v>
      </c>
      <c r="BG202" s="9" t="s">
        <v>98</v>
      </c>
      <c r="BH202" s="9" t="s">
        <v>98</v>
      </c>
      <c r="BI202" s="9" t="s">
        <v>98</v>
      </c>
    </row>
    <row r="203" spans="1:71" x14ac:dyDescent="0.25"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</row>
    <row r="204" spans="1:71" s="23" customFormat="1" x14ac:dyDescent="0.25">
      <c r="B204" s="23" t="s">
        <v>114</v>
      </c>
      <c r="E204" s="24"/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  <c r="AA204" s="24"/>
      <c r="AB204" s="24"/>
      <c r="AC204" s="24"/>
      <c r="AD204" s="24"/>
      <c r="AE204" s="24"/>
      <c r="AF204" s="24"/>
      <c r="AG204" s="24"/>
      <c r="AH204" s="24"/>
      <c r="AI204" s="24"/>
      <c r="AJ204" s="24"/>
      <c r="AK204" s="24"/>
      <c r="AL204" s="24"/>
      <c r="AM204" s="24"/>
      <c r="AN204" s="24"/>
      <c r="AO204" s="24"/>
      <c r="AP204" s="24"/>
      <c r="AR204" s="25"/>
      <c r="AV204" s="24"/>
      <c r="AW204" s="24"/>
      <c r="AX204" s="24"/>
      <c r="AY204" s="24"/>
      <c r="AZ204" s="24"/>
      <c r="BA204" s="24"/>
      <c r="BB204" s="24"/>
      <c r="BC204" s="24"/>
      <c r="BD204" s="24"/>
      <c r="BE204" s="24"/>
      <c r="BF204" s="24"/>
      <c r="BG204" s="24"/>
      <c r="BH204" s="24"/>
      <c r="BI204" s="24"/>
      <c r="BM204" s="25"/>
      <c r="BN204"/>
      <c r="BO204"/>
      <c r="BP204"/>
      <c r="BQ204"/>
      <c r="BR204"/>
      <c r="BS204"/>
    </row>
    <row r="205" spans="1:71" x14ac:dyDescent="0.25">
      <c r="C205" s="40" t="s">
        <v>350</v>
      </c>
      <c r="D205" s="40"/>
      <c r="E205" s="41"/>
      <c r="F205" s="41"/>
      <c r="G205" s="41"/>
      <c r="H205" s="41"/>
      <c r="I205" s="41"/>
      <c r="J205" s="41"/>
      <c r="K205" s="41"/>
      <c r="L205" s="41"/>
      <c r="M205" s="41">
        <f>Residential!M7</f>
        <v>2738</v>
      </c>
      <c r="N205" s="41">
        <f>Residential!N7</f>
        <v>3397</v>
      </c>
      <c r="O205" s="41">
        <f>Residential!O7</f>
        <v>2732</v>
      </c>
      <c r="P205" s="41">
        <f>Residential!P7</f>
        <v>3872</v>
      </c>
      <c r="Q205" s="41">
        <f>Residential!Q7</f>
        <v>3159</v>
      </c>
      <c r="R205" s="41">
        <f>Residential!R7</f>
        <v>3182</v>
      </c>
      <c r="S205" s="41">
        <f>Residential!S7</f>
        <v>2096</v>
      </c>
      <c r="T205" s="41">
        <f>Residential!T7</f>
        <v>3338</v>
      </c>
      <c r="U205" s="41">
        <f>Residential!U7</f>
        <v>2126</v>
      </c>
      <c r="V205" s="41">
        <f>Residential!V7</f>
        <v>3118</v>
      </c>
      <c r="W205" s="41">
        <f>Residential!W7</f>
        <v>3092</v>
      </c>
      <c r="X205" s="41">
        <f>Residential!X7</f>
        <v>3229</v>
      </c>
      <c r="Y205" s="41">
        <f>Residential!Y7</f>
        <v>2302</v>
      </c>
      <c r="Z205" s="41">
        <f>Residential!Z7</f>
        <v>3613</v>
      </c>
      <c r="AA205" s="41">
        <f>Residential!AA7</f>
        <v>1845</v>
      </c>
      <c r="AB205" s="41">
        <f>Residential!AB7</f>
        <v>3499</v>
      </c>
      <c r="AC205" s="41">
        <f>Residential!AC7</f>
        <v>1590</v>
      </c>
      <c r="AD205" s="41">
        <f>Residential!AD9</f>
        <v>3982</v>
      </c>
      <c r="AE205" s="41">
        <f>Residential!AE9</f>
        <v>1937</v>
      </c>
      <c r="AF205" s="41">
        <f>Residential!AF9</f>
        <v>4871</v>
      </c>
      <c r="AG205" s="41">
        <f>Residential!AG9</f>
        <v>3134</v>
      </c>
      <c r="AH205" s="41">
        <f>Residential!AH9</f>
        <v>4675</v>
      </c>
      <c r="AI205" s="41">
        <f>Residential!AI9</f>
        <v>4003.5450000000001</v>
      </c>
      <c r="AJ205" s="41">
        <f>Residential!AJ9</f>
        <v>4106.5804500000004</v>
      </c>
      <c r="AK205" s="41">
        <f>Residential!AK9</f>
        <v>4117.3374045</v>
      </c>
      <c r="AL205" s="41">
        <f>Residential!AL9</f>
        <v>4141.9732785449996</v>
      </c>
      <c r="AM205" s="41">
        <f>Residential!AM9</f>
        <v>4152.9464478304499</v>
      </c>
      <c r="AN205" s="41">
        <f>Residential!AN9</f>
        <v>4177.9384123087548</v>
      </c>
      <c r="AO205" s="41">
        <f>Residential!AO9</f>
        <v>4189.1321422968422</v>
      </c>
      <c r="AP205" s="41">
        <f>Residential!AP9</f>
        <v>4214.4859637198097</v>
      </c>
      <c r="AQ205" s="40"/>
      <c r="AR205" s="42"/>
      <c r="AS205" s="40"/>
      <c r="AT205" s="40"/>
      <c r="AU205" s="114">
        <f t="shared" ref="AU205:BI205" si="263">SUMIF($E$4:$AR$4,AU$4,$E205:$AR205)</f>
        <v>6135</v>
      </c>
      <c r="AV205" s="114">
        <f t="shared" si="263"/>
        <v>6604</v>
      </c>
      <c r="AW205" s="114">
        <f t="shared" si="263"/>
        <v>6341</v>
      </c>
      <c r="AX205" s="115">
        <f t="shared" si="263"/>
        <v>5434</v>
      </c>
      <c r="AY205" s="115">
        <f t="shared" si="263"/>
        <v>5244</v>
      </c>
      <c r="AZ205" s="115">
        <f t="shared" si="263"/>
        <v>6321</v>
      </c>
      <c r="BA205" s="115">
        <f t="shared" si="263"/>
        <v>5915</v>
      </c>
      <c r="BB205" s="115">
        <f t="shared" si="263"/>
        <v>5344</v>
      </c>
      <c r="BC205" s="115">
        <f t="shared" si="263"/>
        <v>5572</v>
      </c>
      <c r="BD205" s="115">
        <f t="shared" si="263"/>
        <v>6808</v>
      </c>
      <c r="BE205" s="114">
        <f t="shared" si="263"/>
        <v>7809</v>
      </c>
      <c r="BF205" s="114">
        <f t="shared" si="263"/>
        <v>8110.1254500000005</v>
      </c>
      <c r="BG205" s="114">
        <f t="shared" si="263"/>
        <v>8259.3106830449997</v>
      </c>
      <c r="BH205" s="114">
        <f t="shared" si="263"/>
        <v>8330.8848601392056</v>
      </c>
      <c r="BI205" s="114">
        <f t="shared" si="263"/>
        <v>8403.6181060166527</v>
      </c>
      <c r="BJ205" s="40"/>
      <c r="BK205" s="40"/>
      <c r="BL205" s="40"/>
      <c r="BM205" s="42"/>
    </row>
    <row r="206" spans="1:71" x14ac:dyDescent="0.25">
      <c r="C206" s="40" t="s">
        <v>351</v>
      </c>
      <c r="D206" s="40"/>
      <c r="E206" s="41"/>
      <c r="F206" s="41"/>
      <c r="G206" s="41"/>
      <c r="H206" s="41"/>
      <c r="I206" s="41"/>
      <c r="J206" s="41"/>
      <c r="K206" s="41"/>
      <c r="L206" s="41"/>
      <c r="M206" s="113"/>
      <c r="N206" s="113"/>
      <c r="O206" s="113"/>
      <c r="P206" s="113"/>
      <c r="Q206" s="113"/>
      <c r="R206" s="113"/>
      <c r="S206" s="113"/>
      <c r="T206" s="113"/>
      <c r="U206" s="113"/>
      <c r="V206" s="113"/>
      <c r="W206" s="113"/>
      <c r="X206" s="113"/>
      <c r="Y206" s="113">
        <f>Residential!Y12</f>
        <v>0.26600000000000001</v>
      </c>
      <c r="Z206" s="113">
        <f>Residential!Z12</f>
        <v>0</v>
      </c>
      <c r="AA206" s="113">
        <f>Residential!AA12</f>
        <v>0.24199999999999999</v>
      </c>
      <c r="AB206" s="113">
        <f>Residential!AB12</f>
        <v>0.26942148760330581</v>
      </c>
      <c r="AC206" s="113">
        <f>Residential!AC12</f>
        <v>0.17995910020449898</v>
      </c>
      <c r="AD206" s="113">
        <f>Residential!AD12</f>
        <v>0.24857685009487665</v>
      </c>
      <c r="AE206" s="113">
        <f>Residential!AE12</f>
        <v>0.14285714285714285</v>
      </c>
      <c r="AF206" s="113">
        <f>Residential!AF12</f>
        <v>0.25528269560251288</v>
      </c>
      <c r="AG206" s="113">
        <f>Residential!AG12</f>
        <v>0.18171683389074694</v>
      </c>
      <c r="AH206" s="113">
        <f>Residential!AH12</f>
        <v>0.248</v>
      </c>
      <c r="AI206" s="113">
        <f>Residential!AI12</f>
        <v>0.22300000000000003</v>
      </c>
      <c r="AJ206" s="113">
        <f>Residential!AJ12</f>
        <v>0.22050000000000003</v>
      </c>
      <c r="AK206" s="113">
        <f>Residential!AK12</f>
        <v>0.22550000000000003</v>
      </c>
      <c r="AL206" s="113">
        <f>Residential!AL12</f>
        <v>0.22550000000000003</v>
      </c>
      <c r="AM206" s="113">
        <f>Residential!AM12</f>
        <v>0.22550000000000003</v>
      </c>
      <c r="AN206" s="113">
        <f>Residential!AN12</f>
        <v>0.22550000000000003</v>
      </c>
      <c r="AO206" s="113">
        <f>Residential!AO12</f>
        <v>0.22550000000000003</v>
      </c>
      <c r="AP206" s="113">
        <f>Residential!AP12</f>
        <v>0.22550000000000003</v>
      </c>
      <c r="AQ206" s="40"/>
      <c r="AR206" s="42"/>
      <c r="AS206" s="40"/>
      <c r="AT206" s="40"/>
      <c r="AU206" s="113">
        <f t="shared" ref="AU206:BI206" si="264">SUMIF($E$2:$AR$2,AU$2,$E206:$AR206)</f>
        <v>0</v>
      </c>
      <c r="AV206" s="113">
        <f t="shared" si="264"/>
        <v>0</v>
      </c>
      <c r="AW206" s="113">
        <f t="shared" si="264"/>
        <v>0</v>
      </c>
      <c r="AX206" s="113">
        <f t="shared" si="264"/>
        <v>0</v>
      </c>
      <c r="AY206" s="113">
        <f t="shared" si="264"/>
        <v>0</v>
      </c>
      <c r="AZ206" s="113">
        <f t="shared" si="264"/>
        <v>0</v>
      </c>
      <c r="BA206" s="113">
        <f t="shared" si="264"/>
        <v>0</v>
      </c>
      <c r="BB206" s="113">
        <f t="shared" si="264"/>
        <v>0.26942148760330581</v>
      </c>
      <c r="BC206" s="113">
        <f t="shared" si="264"/>
        <v>0.24857685009487665</v>
      </c>
      <c r="BD206" s="113">
        <f t="shared" si="264"/>
        <v>0.25528269560251288</v>
      </c>
      <c r="BE206" s="113">
        <f t="shared" si="264"/>
        <v>0.248</v>
      </c>
      <c r="BF206" s="113">
        <f t="shared" si="264"/>
        <v>0.22050000000000003</v>
      </c>
      <c r="BG206" s="113">
        <f t="shared" si="264"/>
        <v>0.22550000000000003</v>
      </c>
      <c r="BH206" s="113">
        <f t="shared" si="264"/>
        <v>0.22550000000000003</v>
      </c>
      <c r="BI206" s="113">
        <f t="shared" si="264"/>
        <v>0.22550000000000003</v>
      </c>
      <c r="BJ206" s="40"/>
      <c r="BK206" s="40"/>
      <c r="BL206" s="40"/>
      <c r="BM206" s="42"/>
    </row>
    <row r="207" spans="1:71" x14ac:dyDescent="0.25">
      <c r="C207" s="40" t="s">
        <v>352</v>
      </c>
      <c r="D207" s="40"/>
      <c r="E207" s="41"/>
      <c r="F207" s="41"/>
      <c r="G207" s="41"/>
      <c r="H207" s="41"/>
      <c r="I207" s="41"/>
      <c r="J207" s="41"/>
      <c r="K207" s="41"/>
      <c r="L207" s="41"/>
      <c r="M207" s="41">
        <f>Residential!M11</f>
        <v>243.45215485756026</v>
      </c>
      <c r="N207" s="41">
        <f>Residential!N11</f>
        <v>247.02943773918162</v>
      </c>
      <c r="O207" s="41">
        <f>Residential!O11</f>
        <v>247.97620790629574</v>
      </c>
      <c r="P207" s="41">
        <f>Residential!P11</f>
        <v>292.49431818181819</v>
      </c>
      <c r="Q207" s="41">
        <f>Residential!Q11</f>
        <v>284.89743589743591</v>
      </c>
      <c r="R207" s="41">
        <f>Residential!R11</f>
        <v>303.11753614079191</v>
      </c>
      <c r="S207" s="41">
        <f>Residential!S11</f>
        <v>323.5104961832061</v>
      </c>
      <c r="T207" s="41">
        <f>Residential!T11</f>
        <v>348.51493109646498</v>
      </c>
      <c r="U207" s="41">
        <f>Residential!U11</f>
        <v>329.02116650987773</v>
      </c>
      <c r="V207" s="41">
        <f>Residential!V11</f>
        <v>339.71744708146247</v>
      </c>
      <c r="W207" s="41">
        <f>Residential!W11</f>
        <v>292.68467011642952</v>
      </c>
      <c r="X207" s="41">
        <f>Residential!X11</f>
        <v>334.84546299163827</v>
      </c>
      <c r="Y207" s="41">
        <f>Residential!Y11</f>
        <v>331.88531711555169</v>
      </c>
      <c r="Z207" s="41">
        <f>Residential!Z11</f>
        <v>378.90949349570991</v>
      </c>
      <c r="AA207" s="41">
        <f>Residential!AA11</f>
        <v>363.14363143631437</v>
      </c>
      <c r="AB207" s="41">
        <f>Residential!AB11</f>
        <v>417.83366676193197</v>
      </c>
      <c r="AC207" s="41">
        <f>Residential!AC11</f>
        <v>388.0503144654088</v>
      </c>
      <c r="AD207" s="41">
        <f>Residential!AD11</f>
        <v>448.51833249623303</v>
      </c>
      <c r="AE207" s="41">
        <f>Residential!AE11</f>
        <v>356.22096024780586</v>
      </c>
      <c r="AF207" s="41">
        <f>Residential!AF11</f>
        <v>419.62636009033054</v>
      </c>
      <c r="AG207" s="41">
        <f>Residential!AG11</f>
        <v>399.17038927887683</v>
      </c>
      <c r="AH207" s="41">
        <f>Residential!AH11</f>
        <v>415.96073155080217</v>
      </c>
      <c r="AI207" s="41">
        <f>Residential!AI11</f>
        <v>420.81502692014203</v>
      </c>
      <c r="AJ207" s="41">
        <f>Residential!AJ11</f>
        <v>424.00322136371909</v>
      </c>
      <c r="AK207" s="41">
        <f>Residential!AK11</f>
        <v>429.37059537451074</v>
      </c>
      <c r="AL207" s="41">
        <f>Residential!AL11</f>
        <v>434.89897174965222</v>
      </c>
      <c r="AM207" s="41">
        <f>Residential!AM11</f>
        <v>440.40462831248522</v>
      </c>
      <c r="AN207" s="41">
        <f>Residential!AN11</f>
        <v>446.08244787120799</v>
      </c>
      <c r="AO207" s="41">
        <f>Residential!AO11</f>
        <v>451.72985800076322</v>
      </c>
      <c r="AP207" s="41">
        <f>Residential!AP11</f>
        <v>457.5610733892579</v>
      </c>
      <c r="AQ207" s="40"/>
      <c r="AR207" s="42"/>
      <c r="AS207" s="40"/>
      <c r="AT207" s="40"/>
      <c r="AU207" s="114">
        <f t="shared" ref="AU207:BI207" si="265">AVERAGEIF($E$4:$AR$4,AU$4,$E207:$AR207)</f>
        <v>245.24079629837092</v>
      </c>
      <c r="AV207" s="114">
        <f t="shared" si="265"/>
        <v>270.23526304405698</v>
      </c>
      <c r="AW207" s="114">
        <f t="shared" si="265"/>
        <v>294.00748601911391</v>
      </c>
      <c r="AX207" s="114">
        <f t="shared" si="265"/>
        <v>336.01271363983551</v>
      </c>
      <c r="AY207" s="114">
        <f t="shared" si="265"/>
        <v>334.36930679567013</v>
      </c>
      <c r="AZ207" s="114">
        <f t="shared" si="265"/>
        <v>313.76506655403387</v>
      </c>
      <c r="BA207" s="114">
        <f t="shared" si="265"/>
        <v>355.3974053056308</v>
      </c>
      <c r="BB207" s="114">
        <f t="shared" si="265"/>
        <v>390.48864909912317</v>
      </c>
      <c r="BC207" s="114">
        <f t="shared" si="265"/>
        <v>418.28432348082094</v>
      </c>
      <c r="BD207" s="114">
        <f t="shared" si="265"/>
        <v>387.92366016906817</v>
      </c>
      <c r="BE207" s="114">
        <f t="shared" si="265"/>
        <v>407.56556041483952</v>
      </c>
      <c r="BF207" s="114">
        <f t="shared" si="265"/>
        <v>422.40912414193053</v>
      </c>
      <c r="BG207" s="114">
        <f t="shared" si="265"/>
        <v>432.13478356208145</v>
      </c>
      <c r="BH207" s="114">
        <f t="shared" si="265"/>
        <v>443.24353809184663</v>
      </c>
      <c r="BI207" s="114">
        <f t="shared" si="265"/>
        <v>454.64546569501056</v>
      </c>
      <c r="BJ207" s="40"/>
      <c r="BK207" s="40"/>
      <c r="BL207" s="40"/>
      <c r="BM207" s="42"/>
    </row>
    <row r="208" spans="1:71" x14ac:dyDescent="0.25">
      <c r="C208" s="40"/>
      <c r="D208" s="40"/>
      <c r="E208" s="41"/>
      <c r="F208" s="41"/>
      <c r="G208" s="41"/>
      <c r="H208" s="41"/>
      <c r="I208" s="41"/>
      <c r="J208" s="41"/>
      <c r="K208" s="41"/>
      <c r="L208" s="41"/>
      <c r="M208" s="41"/>
      <c r="N208" s="41"/>
      <c r="O208" s="41"/>
      <c r="P208" s="41"/>
      <c r="Q208" s="41"/>
      <c r="R208" s="41"/>
      <c r="S208" s="41"/>
      <c r="T208" s="41"/>
      <c r="U208" s="41"/>
      <c r="V208" s="41"/>
      <c r="W208" s="41"/>
      <c r="X208" s="41"/>
      <c r="Y208" s="41"/>
      <c r="Z208" s="41"/>
      <c r="AA208" s="41"/>
      <c r="AB208" s="41"/>
      <c r="AC208" s="41"/>
      <c r="AD208" s="41"/>
      <c r="AE208" s="41"/>
      <c r="AF208" s="41"/>
      <c r="AG208" s="41"/>
      <c r="AH208" s="41"/>
      <c r="AI208" s="41"/>
      <c r="AJ208" s="41"/>
      <c r="AK208" s="41"/>
      <c r="AL208" s="41"/>
      <c r="AM208" s="41"/>
      <c r="AN208" s="41"/>
      <c r="AO208" s="41"/>
      <c r="AP208" s="41"/>
      <c r="AQ208" s="40"/>
      <c r="AR208" s="42"/>
      <c r="AS208" s="40"/>
      <c r="AT208" s="40"/>
      <c r="AU208" s="40"/>
      <c r="AV208" s="41"/>
      <c r="AW208" s="41"/>
      <c r="AX208" s="41"/>
      <c r="AY208" s="41"/>
      <c r="AZ208" s="41"/>
      <c r="BA208" s="41"/>
      <c r="BB208" s="41"/>
      <c r="BC208" s="41"/>
      <c r="BD208" s="41"/>
      <c r="BE208" s="41"/>
      <c r="BF208" s="41"/>
      <c r="BG208" s="41"/>
      <c r="BH208" s="41"/>
      <c r="BI208" s="41"/>
      <c r="BJ208" s="40"/>
      <c r="BK208" s="40"/>
      <c r="BL208" s="40"/>
      <c r="BM208" s="42"/>
    </row>
    <row r="209" spans="3:65" x14ac:dyDescent="0.25">
      <c r="C209" s="40"/>
      <c r="D209" s="40"/>
      <c r="E209" s="41"/>
      <c r="F209" s="41"/>
      <c r="G209" s="41"/>
      <c r="H209" s="41"/>
      <c r="I209" s="41"/>
      <c r="J209" s="41"/>
      <c r="K209" s="41"/>
      <c r="L209" s="41"/>
      <c r="M209" s="41"/>
      <c r="N209" s="41"/>
      <c r="O209" s="41"/>
      <c r="P209" s="41"/>
      <c r="Q209" s="41"/>
      <c r="R209" s="41"/>
      <c r="S209" s="41"/>
      <c r="T209" s="41"/>
      <c r="U209" s="41"/>
      <c r="V209" s="41"/>
      <c r="W209" s="41"/>
      <c r="X209" s="41"/>
      <c r="Y209" s="41"/>
      <c r="Z209" s="41"/>
      <c r="AA209" s="41"/>
      <c r="AB209" s="41"/>
      <c r="AC209" s="41"/>
      <c r="AD209" s="41"/>
      <c r="AE209" s="41"/>
      <c r="AF209" s="41"/>
      <c r="AG209" s="41"/>
      <c r="AH209" s="41"/>
      <c r="AI209" s="41"/>
      <c r="AJ209" s="41"/>
      <c r="AK209" s="41"/>
      <c r="AL209" s="41"/>
      <c r="AM209" s="41"/>
      <c r="AN209" s="41"/>
      <c r="AO209" s="41"/>
      <c r="AP209" s="41"/>
      <c r="AQ209" s="40"/>
      <c r="AR209" s="42"/>
      <c r="AS209" s="40"/>
      <c r="AT209" s="40"/>
      <c r="AU209" s="40"/>
      <c r="AV209" s="41"/>
      <c r="AW209" s="41"/>
      <c r="AX209" s="41"/>
      <c r="AY209" s="41"/>
      <c r="AZ209" s="41"/>
      <c r="BA209" s="41"/>
      <c r="BB209" s="41"/>
      <c r="BC209" s="41"/>
      <c r="BD209" s="41"/>
      <c r="BE209" s="41"/>
      <c r="BF209" s="41"/>
      <c r="BG209" s="41"/>
      <c r="BH209" s="41"/>
      <c r="BI209" s="41"/>
      <c r="BJ209" s="40"/>
      <c r="BK209" s="40"/>
      <c r="BL209" s="40"/>
      <c r="BM209" s="42"/>
    </row>
    <row r="210" spans="3:65" x14ac:dyDescent="0.25"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</row>
    <row r="211" spans="3:65" x14ac:dyDescent="0.25">
      <c r="C211" s="110" t="s">
        <v>343</v>
      </c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</row>
    <row r="212" spans="3:65" x14ac:dyDescent="0.25">
      <c r="C212" s="110" t="s">
        <v>345</v>
      </c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S212" s="110"/>
      <c r="AT212" s="111">
        <f>AS217</f>
        <v>8298</v>
      </c>
      <c r="AU212" s="111">
        <f t="shared" ref="AU212:BI212" si="266">AT217</f>
        <v>8787</v>
      </c>
      <c r="AV212" s="111">
        <f t="shared" si="266"/>
        <v>9254</v>
      </c>
      <c r="AW212" s="111">
        <f t="shared" si="266"/>
        <v>9927</v>
      </c>
      <c r="AX212" s="111">
        <f t="shared" si="266"/>
        <v>10376</v>
      </c>
      <c r="AY212" s="111">
        <f t="shared" si="266"/>
        <v>9828</v>
      </c>
      <c r="AZ212" s="111">
        <f t="shared" si="266"/>
        <v>9150</v>
      </c>
      <c r="BA212" s="111">
        <f t="shared" si="266"/>
        <v>9584</v>
      </c>
      <c r="BB212" s="111">
        <f t="shared" si="266"/>
        <v>10361</v>
      </c>
      <c r="BC212" s="111">
        <f t="shared" si="266"/>
        <v>10176</v>
      </c>
      <c r="BD212" s="111">
        <f t="shared" si="266"/>
        <v>9893</v>
      </c>
      <c r="BE212" s="111">
        <f t="shared" si="266"/>
        <v>10185</v>
      </c>
      <c r="BF212" s="111">
        <f t="shared" ca="1" si="266"/>
        <v>11240.016159649495</v>
      </c>
      <c r="BG212" s="111">
        <f t="shared" ca="1" si="266"/>
        <v>11981.642515702157</v>
      </c>
      <c r="BH212" s="111">
        <f t="shared" ca="1" si="266"/>
        <v>12725.182891238224</v>
      </c>
      <c r="BI212" s="111">
        <f t="shared" ca="1" si="266"/>
        <v>13514.325677515015</v>
      </c>
      <c r="BJ212" s="110"/>
      <c r="BK212" s="110"/>
      <c r="BL212" s="110"/>
      <c r="BM212" s="112"/>
    </row>
    <row r="213" spans="3:65" x14ac:dyDescent="0.25">
      <c r="C213" s="110" t="s">
        <v>344</v>
      </c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S213" s="110"/>
      <c r="AT213" s="111">
        <f>AT31</f>
        <v>657</v>
      </c>
      <c r="AU213" s="111">
        <f t="shared" ref="AU213:BG213" si="267">AU31</f>
        <v>740</v>
      </c>
      <c r="AV213" s="111">
        <f t="shared" si="267"/>
        <v>802</v>
      </c>
      <c r="AW213" s="111">
        <f t="shared" si="267"/>
        <v>863</v>
      </c>
      <c r="AX213" s="111">
        <f t="shared" si="267"/>
        <v>897</v>
      </c>
      <c r="AY213" s="111">
        <f t="shared" si="267"/>
        <v>825</v>
      </c>
      <c r="AZ213" s="111">
        <f t="shared" si="267"/>
        <v>788</v>
      </c>
      <c r="BA213" s="111">
        <f t="shared" si="267"/>
        <v>854</v>
      </c>
      <c r="BB213" s="111">
        <f t="shared" si="267"/>
        <v>847</v>
      </c>
      <c r="BC213" s="111">
        <f t="shared" si="267"/>
        <v>786</v>
      </c>
      <c r="BD213" s="111">
        <f t="shared" si="267"/>
        <v>808</v>
      </c>
      <c r="BE213" s="111">
        <f t="shared" ca="1" si="267"/>
        <v>878.82187513419751</v>
      </c>
      <c r="BF213" s="111">
        <f t="shared" ca="1" si="267"/>
        <v>935.57759887601389</v>
      </c>
      <c r="BG213" s="111">
        <f t="shared" ca="1" si="267"/>
        <v>974.82536263175416</v>
      </c>
      <c r="BH213" s="111">
        <f ca="1">BH31</f>
        <v>1014.9636356017688</v>
      </c>
      <c r="BI213" s="111">
        <f ca="1">BI31</f>
        <v>1056.0435127637411</v>
      </c>
      <c r="BJ213" s="110"/>
      <c r="BK213" s="110"/>
      <c r="BL213" s="110"/>
      <c r="BM213" s="112"/>
    </row>
    <row r="214" spans="3:65" x14ac:dyDescent="0.25">
      <c r="C214" s="110" t="s">
        <v>346</v>
      </c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S214" s="110"/>
      <c r="AT214" s="111">
        <f>AT103</f>
        <v>-565.25575271999992</v>
      </c>
      <c r="AU214" s="111">
        <f t="shared" ref="AU214:BG214" si="268">AU103</f>
        <v>-584.29945484747986</v>
      </c>
      <c r="AV214" s="111">
        <f t="shared" si="268"/>
        <v>-615.00837746399998</v>
      </c>
      <c r="AW214" s="111">
        <f t="shared" si="268"/>
        <v>-645.13269243757918</v>
      </c>
      <c r="AX214" s="111">
        <f t="shared" si="268"/>
        <v>-660.90071149799996</v>
      </c>
      <c r="AY214" s="111">
        <f t="shared" si="268"/>
        <v>-573.15945500000009</v>
      </c>
      <c r="AZ214" s="111">
        <f t="shared" si="268"/>
        <v>-586.64785304600002</v>
      </c>
      <c r="BA214" s="111">
        <f t="shared" si="268"/>
        <v>-634.98766209200016</v>
      </c>
      <c r="BB214" s="111">
        <f t="shared" si="268"/>
        <v>-625.43897544400011</v>
      </c>
      <c r="BC214" s="111">
        <f t="shared" si="268"/>
        <v>-658.56511999999998</v>
      </c>
      <c r="BD214" s="111">
        <f t="shared" si="268"/>
        <v>-603.33381600000007</v>
      </c>
      <c r="BE214" s="111">
        <f t="shared" si="268"/>
        <v>-611.614244942298</v>
      </c>
      <c r="BF214" s="111">
        <f t="shared" si="268"/>
        <v>-612.26828455690793</v>
      </c>
      <c r="BG214" s="111">
        <f t="shared" si="268"/>
        <v>-612.26828455690793</v>
      </c>
      <c r="BH214" s="111">
        <f ca="1">BH103</f>
        <v>-624.20263589508795</v>
      </c>
      <c r="BI214" s="111">
        <f ca="1">BI103</f>
        <v>-649.46676034970073</v>
      </c>
      <c r="BJ214" s="110"/>
      <c r="BK214" s="110"/>
      <c r="BL214" s="110"/>
      <c r="BM214" s="112"/>
    </row>
    <row r="215" spans="3:65" x14ac:dyDescent="0.25">
      <c r="C215" s="110" t="s">
        <v>347</v>
      </c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S215" s="110"/>
      <c r="AT215" s="111">
        <f>AT133</f>
        <v>0</v>
      </c>
      <c r="AU215" s="111">
        <f t="shared" ref="AU215:BG215" si="269">AU133</f>
        <v>0</v>
      </c>
      <c r="AV215" s="111">
        <f t="shared" si="269"/>
        <v>0</v>
      </c>
      <c r="AW215" s="111">
        <f t="shared" si="269"/>
        <v>0</v>
      </c>
      <c r="AX215" s="111">
        <f t="shared" si="269"/>
        <v>-192</v>
      </c>
      <c r="AY215" s="111">
        <f t="shared" si="269"/>
        <v>0</v>
      </c>
      <c r="AZ215" s="111">
        <f t="shared" si="269"/>
        <v>0</v>
      </c>
      <c r="BA215" s="111">
        <f t="shared" si="269"/>
        <v>0</v>
      </c>
      <c r="BB215" s="111">
        <f t="shared" si="269"/>
        <v>0</v>
      </c>
      <c r="BC215" s="111">
        <f t="shared" si="269"/>
        <v>0</v>
      </c>
      <c r="BD215" s="111">
        <f t="shared" si="269"/>
        <v>0</v>
      </c>
      <c r="BE215" s="111">
        <f t="shared" si="269"/>
        <v>43.602640974000003</v>
      </c>
      <c r="BF215" s="111">
        <f t="shared" si="269"/>
        <v>0</v>
      </c>
      <c r="BG215" s="111">
        <f t="shared" si="269"/>
        <v>0</v>
      </c>
      <c r="BH215" s="111">
        <f ca="1">BH133</f>
        <v>0</v>
      </c>
      <c r="BI215" s="111">
        <f ca="1">BI133</f>
        <v>0</v>
      </c>
      <c r="BJ215" s="110"/>
      <c r="BK215" s="110"/>
      <c r="BL215" s="110"/>
      <c r="BM215" s="112"/>
    </row>
    <row r="216" spans="3:65" x14ac:dyDescent="0.25">
      <c r="C216" s="110" t="s">
        <v>348</v>
      </c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S216" s="110"/>
      <c r="AT216" s="111">
        <f>AT217-SUM(AT212:AT215)</f>
        <v>397.2557527200006</v>
      </c>
      <c r="AU216" s="111">
        <f t="shared" ref="AU216:BG216" si="270">AU217-SUM(AU212:AU215)</f>
        <v>311.29945484747986</v>
      </c>
      <c r="AV216" s="111">
        <f t="shared" si="270"/>
        <v>486.00837746400066</v>
      </c>
      <c r="AW216" s="111">
        <f t="shared" si="270"/>
        <v>231.13269243757895</v>
      </c>
      <c r="AX216" s="111">
        <f t="shared" si="270"/>
        <v>-592.09928850200049</v>
      </c>
      <c r="AY216" s="111">
        <f t="shared" si="270"/>
        <v>-929.84054499999911</v>
      </c>
      <c r="AZ216" s="111">
        <f t="shared" si="270"/>
        <v>232.64785304600082</v>
      </c>
      <c r="BA216" s="111">
        <f t="shared" si="270"/>
        <v>557.98766209200039</v>
      </c>
      <c r="BB216" s="111">
        <f t="shared" si="270"/>
        <v>-406.56102455600012</v>
      </c>
      <c r="BC216" s="111">
        <f t="shared" si="270"/>
        <v>-410.4348800000007</v>
      </c>
      <c r="BD216" s="111">
        <f t="shared" si="270"/>
        <v>87.333816000000297</v>
      </c>
      <c r="BE216" s="111">
        <f t="shared" ca="1" si="270"/>
        <v>744.20588848359512</v>
      </c>
      <c r="BF216" s="111">
        <f t="shared" ca="1" si="270"/>
        <v>418.31704173355502</v>
      </c>
      <c r="BG216" s="111">
        <f t="shared" ca="1" si="270"/>
        <v>380.98329746121999</v>
      </c>
      <c r="BH216" s="111">
        <f ca="1">BH217-SUM(BH212:BH215)</f>
        <v>398.3817865701094</v>
      </c>
      <c r="BI216" s="111">
        <f ca="1">BI217-SUM(BI212:BI215)</f>
        <v>416.40427371414444</v>
      </c>
      <c r="BJ216" s="110"/>
      <c r="BK216" s="110"/>
      <c r="BL216" s="110"/>
      <c r="BM216" s="112"/>
    </row>
    <row r="217" spans="3:65" x14ac:dyDescent="0.25">
      <c r="C217" s="110" t="s">
        <v>349</v>
      </c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S217" s="111">
        <f>AS90</f>
        <v>8298</v>
      </c>
      <c r="AT217" s="111">
        <f t="shared" ref="AT217:BG217" si="271">AT90</f>
        <v>8787</v>
      </c>
      <c r="AU217" s="111">
        <f t="shared" si="271"/>
        <v>9254</v>
      </c>
      <c r="AV217" s="111">
        <f t="shared" si="271"/>
        <v>9927</v>
      </c>
      <c r="AW217" s="111">
        <f t="shared" si="271"/>
        <v>10376</v>
      </c>
      <c r="AX217" s="111">
        <f t="shared" si="271"/>
        <v>9828</v>
      </c>
      <c r="AY217" s="111">
        <f t="shared" si="271"/>
        <v>9150</v>
      </c>
      <c r="AZ217" s="111">
        <f t="shared" si="271"/>
        <v>9584</v>
      </c>
      <c r="BA217" s="111">
        <f t="shared" si="271"/>
        <v>10361</v>
      </c>
      <c r="BB217" s="111">
        <f t="shared" si="271"/>
        <v>10176</v>
      </c>
      <c r="BC217" s="111">
        <f t="shared" si="271"/>
        <v>9893</v>
      </c>
      <c r="BD217" s="111">
        <f t="shared" si="271"/>
        <v>10185</v>
      </c>
      <c r="BE217" s="111">
        <f t="shared" ca="1" si="271"/>
        <v>11240.016159649495</v>
      </c>
      <c r="BF217" s="111">
        <f t="shared" ca="1" si="271"/>
        <v>11981.642515702157</v>
      </c>
      <c r="BG217" s="111">
        <f t="shared" ca="1" si="271"/>
        <v>12725.182891238224</v>
      </c>
      <c r="BH217" s="111">
        <f ca="1">BH90</f>
        <v>13514.325677515015</v>
      </c>
      <c r="BI217" s="111">
        <f ca="1">BI90</f>
        <v>14337.3067036432</v>
      </c>
      <c r="BJ217" s="110"/>
      <c r="BK217" s="110"/>
      <c r="BL217" s="110"/>
      <c r="BM217" s="112"/>
    </row>
    <row r="218" spans="3:65" x14ac:dyDescent="0.25"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</row>
    <row r="219" spans="3:65" x14ac:dyDescent="0.25"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</row>
    <row r="220" spans="3:65" x14ac:dyDescent="0.25"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</row>
    <row r="221" spans="3:65" x14ac:dyDescent="0.25"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</row>
  </sheetData>
  <phoneticPr fontId="16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BD00C4-083B-4FE1-8A15-6F5A7AFA67C6}">
  <sheetPr codeName="Sheet7"/>
  <dimension ref="A1:BE98"/>
  <sheetViews>
    <sheetView zoomScale="85" zoomScaleNormal="85" workbookViewId="0">
      <pane xSplit="4" ySplit="7" topLeftCell="Z44" activePane="bottomRight" state="frozen"/>
      <selection pane="topRight" activeCell="E1" sqref="E1"/>
      <selection pane="bottomLeft" activeCell="A12" sqref="A12"/>
      <selection pane="bottomRight" activeCell="AH76" sqref="AH76"/>
    </sheetView>
  </sheetViews>
  <sheetFormatPr defaultRowHeight="15" x14ac:dyDescent="0.25"/>
  <cols>
    <col min="1" max="1" width="3.42578125" customWidth="1"/>
    <col min="2" max="2" width="4" customWidth="1"/>
    <col min="3" max="3" width="45.7109375" customWidth="1"/>
    <col min="5" max="42" width="10.7109375" customWidth="1"/>
  </cols>
  <sheetData>
    <row r="1" spans="1:57" x14ac:dyDescent="0.25">
      <c r="A1" s="1" t="str">
        <f>Group!A1</f>
        <v>SGP Model - Morgan Stanley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</row>
    <row r="2" spans="1:57" x14ac:dyDescent="0.25">
      <c r="A2" s="15" t="s">
        <v>117</v>
      </c>
      <c r="B2" s="15"/>
      <c r="C2" s="15"/>
      <c r="D2" s="15"/>
      <c r="E2" s="16">
        <v>40908</v>
      </c>
      <c r="F2" s="16">
        <f>EOMONTH(E2,6)</f>
        <v>41090</v>
      </c>
      <c r="G2" s="16">
        <f t="shared" ref="G2:AL2" si="0">EOMONTH(F2,6)</f>
        <v>41274</v>
      </c>
      <c r="H2" s="16">
        <f t="shared" si="0"/>
        <v>41455</v>
      </c>
      <c r="I2" s="16">
        <f t="shared" si="0"/>
        <v>41639</v>
      </c>
      <c r="J2" s="16">
        <f t="shared" si="0"/>
        <v>41820</v>
      </c>
      <c r="K2" s="16">
        <f t="shared" si="0"/>
        <v>42004</v>
      </c>
      <c r="L2" s="16">
        <f t="shared" si="0"/>
        <v>42185</v>
      </c>
      <c r="M2" s="16">
        <f t="shared" si="0"/>
        <v>42369</v>
      </c>
      <c r="N2" s="16">
        <f t="shared" si="0"/>
        <v>42551</v>
      </c>
      <c r="O2" s="16">
        <f t="shared" si="0"/>
        <v>42735</v>
      </c>
      <c r="P2" s="16">
        <f t="shared" si="0"/>
        <v>42916</v>
      </c>
      <c r="Q2" s="16">
        <f t="shared" si="0"/>
        <v>43100</v>
      </c>
      <c r="R2" s="16">
        <f t="shared" si="0"/>
        <v>43281</v>
      </c>
      <c r="S2" s="16">
        <f t="shared" si="0"/>
        <v>43465</v>
      </c>
      <c r="T2" s="16">
        <f t="shared" si="0"/>
        <v>43646</v>
      </c>
      <c r="U2" s="16">
        <f t="shared" si="0"/>
        <v>43830</v>
      </c>
      <c r="V2" s="16">
        <f t="shared" si="0"/>
        <v>44012</v>
      </c>
      <c r="W2" s="16">
        <f t="shared" si="0"/>
        <v>44196</v>
      </c>
      <c r="X2" s="16">
        <f t="shared" si="0"/>
        <v>44377</v>
      </c>
      <c r="Y2" s="16">
        <f t="shared" si="0"/>
        <v>44561</v>
      </c>
      <c r="Z2" s="16">
        <f t="shared" si="0"/>
        <v>44742</v>
      </c>
      <c r="AA2" s="16">
        <f t="shared" si="0"/>
        <v>44926</v>
      </c>
      <c r="AB2" s="16">
        <f t="shared" si="0"/>
        <v>45107</v>
      </c>
      <c r="AC2" s="16">
        <f t="shared" si="0"/>
        <v>45291</v>
      </c>
      <c r="AD2" s="16">
        <f t="shared" si="0"/>
        <v>45473</v>
      </c>
      <c r="AE2" s="16">
        <f t="shared" si="0"/>
        <v>45657</v>
      </c>
      <c r="AF2" s="16">
        <f t="shared" si="0"/>
        <v>45838</v>
      </c>
      <c r="AG2" s="16">
        <f t="shared" si="0"/>
        <v>46022</v>
      </c>
      <c r="AH2" s="16">
        <f t="shared" si="0"/>
        <v>46203</v>
      </c>
      <c r="AI2" s="16">
        <f t="shared" si="0"/>
        <v>46387</v>
      </c>
      <c r="AJ2" s="16">
        <f t="shared" si="0"/>
        <v>46568</v>
      </c>
      <c r="AK2" s="48">
        <f t="shared" si="0"/>
        <v>46752</v>
      </c>
      <c r="AL2" s="48">
        <f t="shared" si="0"/>
        <v>46934</v>
      </c>
      <c r="AM2" s="48">
        <f>EOMONTH(AL2,6)</f>
        <v>47118</v>
      </c>
      <c r="AN2" s="48">
        <f>EOMONTH(AM2,6)</f>
        <v>47299</v>
      </c>
      <c r="AO2" s="48">
        <f>EOMONTH(AN2,6)</f>
        <v>47483</v>
      </c>
      <c r="AP2" s="48">
        <f>EOMONTH(AO2,6)</f>
        <v>47664</v>
      </c>
    </row>
    <row r="3" spans="1:57" ht="15.75" thickBot="1" x14ac:dyDescent="0.3">
      <c r="A3" s="2"/>
      <c r="B3" s="2"/>
      <c r="C3" s="2"/>
      <c r="D3" s="2"/>
      <c r="E3" s="18" t="str">
        <f t="shared" ref="E3:AL3" si="1">E4&amp;"-"&amp;E5</f>
        <v>2012-H1</v>
      </c>
      <c r="F3" s="18" t="str">
        <f t="shared" si="1"/>
        <v>2012-H2</v>
      </c>
      <c r="G3" s="18" t="str">
        <f t="shared" si="1"/>
        <v>2013-H1</v>
      </c>
      <c r="H3" s="18" t="str">
        <f t="shared" si="1"/>
        <v>2013-H2</v>
      </c>
      <c r="I3" s="18" t="str">
        <f t="shared" si="1"/>
        <v>2014-H1</v>
      </c>
      <c r="J3" s="18" t="str">
        <f t="shared" si="1"/>
        <v>2014-H2</v>
      </c>
      <c r="K3" s="18" t="str">
        <f t="shared" si="1"/>
        <v>2015-H1</v>
      </c>
      <c r="L3" s="18" t="str">
        <f t="shared" si="1"/>
        <v>2015-H2</v>
      </c>
      <c r="M3" s="18" t="str">
        <f t="shared" si="1"/>
        <v>2016-H1</v>
      </c>
      <c r="N3" s="18" t="str">
        <f t="shared" si="1"/>
        <v>2016-H2</v>
      </c>
      <c r="O3" s="18" t="str">
        <f t="shared" si="1"/>
        <v>2017-H1</v>
      </c>
      <c r="P3" s="18" t="str">
        <f t="shared" si="1"/>
        <v>2017-H2</v>
      </c>
      <c r="Q3" s="18" t="str">
        <f t="shared" si="1"/>
        <v>2018-H1</v>
      </c>
      <c r="R3" s="18" t="str">
        <f t="shared" si="1"/>
        <v>2018-H2</v>
      </c>
      <c r="S3" s="18" t="str">
        <f t="shared" si="1"/>
        <v>2019-H1</v>
      </c>
      <c r="T3" s="18" t="str">
        <f t="shared" si="1"/>
        <v>2019-H2</v>
      </c>
      <c r="U3" s="18" t="str">
        <f t="shared" si="1"/>
        <v>2020-H1</v>
      </c>
      <c r="V3" s="18" t="str">
        <f t="shared" si="1"/>
        <v>2020-H2</v>
      </c>
      <c r="W3" s="18" t="str">
        <f t="shared" si="1"/>
        <v>2021-H1</v>
      </c>
      <c r="X3" s="18" t="str">
        <f t="shared" si="1"/>
        <v>2021-H2</v>
      </c>
      <c r="Y3" s="18" t="str">
        <f t="shared" si="1"/>
        <v>2022-H1</v>
      </c>
      <c r="Z3" s="18" t="str">
        <f t="shared" si="1"/>
        <v>2022-H2</v>
      </c>
      <c r="AA3" s="18" t="str">
        <f t="shared" si="1"/>
        <v>2023-H1</v>
      </c>
      <c r="AB3" s="18" t="str">
        <f t="shared" si="1"/>
        <v>2023-H2</v>
      </c>
      <c r="AC3" s="18" t="str">
        <f t="shared" si="1"/>
        <v>2024-H1</v>
      </c>
      <c r="AD3" s="18" t="str">
        <f t="shared" si="1"/>
        <v>2024-H2</v>
      </c>
      <c r="AE3" s="18" t="str">
        <f t="shared" si="1"/>
        <v>2025-H1</v>
      </c>
      <c r="AF3" s="18" t="str">
        <f t="shared" si="1"/>
        <v>2025-H2</v>
      </c>
      <c r="AG3" s="18" t="str">
        <f t="shared" si="1"/>
        <v>2026-H1</v>
      </c>
      <c r="AH3" s="18" t="str">
        <f t="shared" si="1"/>
        <v>2026-H2</v>
      </c>
      <c r="AI3" s="18" t="str">
        <f t="shared" si="1"/>
        <v>2027-H1</v>
      </c>
      <c r="AJ3" s="18" t="str">
        <f t="shared" si="1"/>
        <v>2027-H2</v>
      </c>
      <c r="AK3" s="18" t="str">
        <f t="shared" si="1"/>
        <v>2028-H1</v>
      </c>
      <c r="AL3" s="18" t="str">
        <f t="shared" si="1"/>
        <v>2028-H2</v>
      </c>
      <c r="AM3" s="18" t="str">
        <f>AM4&amp;"-"&amp;AM5</f>
        <v>2029-H1</v>
      </c>
      <c r="AN3" s="18" t="str">
        <f>AN4&amp;"-"&amp;AN5</f>
        <v>2029-H2</v>
      </c>
      <c r="AO3" s="18" t="str">
        <f>AO4&amp;"-"&amp;AO5</f>
        <v>2030-H1</v>
      </c>
      <c r="AP3" s="18" t="str">
        <f>AP4&amp;"-"&amp;AP5</f>
        <v>2030-H2</v>
      </c>
    </row>
    <row r="4" spans="1:57" hidden="1" x14ac:dyDescent="0.25">
      <c r="E4">
        <v>2012</v>
      </c>
      <c r="F4">
        <f>E4</f>
        <v>2012</v>
      </c>
      <c r="G4">
        <f>E4+1</f>
        <v>2013</v>
      </c>
      <c r="H4">
        <f>F4+1</f>
        <v>2013</v>
      </c>
      <c r="I4">
        <f>G4+1</f>
        <v>2014</v>
      </c>
      <c r="J4">
        <f>H4+1</f>
        <v>2014</v>
      </c>
      <c r="K4">
        <f t="shared" ref="K4:AL4" si="2">I4+1</f>
        <v>2015</v>
      </c>
      <c r="L4">
        <f t="shared" si="2"/>
        <v>2015</v>
      </c>
      <c r="M4">
        <f t="shared" si="2"/>
        <v>2016</v>
      </c>
      <c r="N4">
        <f t="shared" si="2"/>
        <v>2016</v>
      </c>
      <c r="O4">
        <f t="shared" si="2"/>
        <v>2017</v>
      </c>
      <c r="P4">
        <f t="shared" si="2"/>
        <v>2017</v>
      </c>
      <c r="Q4">
        <f t="shared" si="2"/>
        <v>2018</v>
      </c>
      <c r="R4">
        <f t="shared" si="2"/>
        <v>2018</v>
      </c>
      <c r="S4">
        <f t="shared" si="2"/>
        <v>2019</v>
      </c>
      <c r="T4">
        <f t="shared" si="2"/>
        <v>2019</v>
      </c>
      <c r="U4">
        <f t="shared" si="2"/>
        <v>2020</v>
      </c>
      <c r="V4">
        <f t="shared" si="2"/>
        <v>2020</v>
      </c>
      <c r="W4">
        <f t="shared" si="2"/>
        <v>2021</v>
      </c>
      <c r="X4">
        <f t="shared" si="2"/>
        <v>2021</v>
      </c>
      <c r="Y4">
        <f t="shared" si="2"/>
        <v>2022</v>
      </c>
      <c r="Z4">
        <f t="shared" si="2"/>
        <v>2022</v>
      </c>
      <c r="AA4">
        <f t="shared" si="2"/>
        <v>2023</v>
      </c>
      <c r="AB4">
        <f t="shared" si="2"/>
        <v>2023</v>
      </c>
      <c r="AC4">
        <f t="shared" si="2"/>
        <v>2024</v>
      </c>
      <c r="AD4">
        <f t="shared" si="2"/>
        <v>2024</v>
      </c>
      <c r="AE4">
        <f t="shared" si="2"/>
        <v>2025</v>
      </c>
      <c r="AF4">
        <f t="shared" si="2"/>
        <v>2025</v>
      </c>
      <c r="AG4">
        <f t="shared" si="2"/>
        <v>2026</v>
      </c>
      <c r="AH4">
        <f t="shared" si="2"/>
        <v>2026</v>
      </c>
      <c r="AI4">
        <f t="shared" si="2"/>
        <v>2027</v>
      </c>
      <c r="AJ4">
        <f t="shared" si="2"/>
        <v>2027</v>
      </c>
      <c r="AK4">
        <f t="shared" si="2"/>
        <v>2028</v>
      </c>
      <c r="AL4">
        <f t="shared" si="2"/>
        <v>2028</v>
      </c>
      <c r="AM4">
        <f>AK4+1</f>
        <v>2029</v>
      </c>
      <c r="AN4">
        <f>AL4+1</f>
        <v>2029</v>
      </c>
      <c r="AO4">
        <f>AM4+1</f>
        <v>2030</v>
      </c>
      <c r="AP4">
        <f>AN4+1</f>
        <v>2030</v>
      </c>
    </row>
    <row r="5" spans="1:57" hidden="1" x14ac:dyDescent="0.25">
      <c r="E5" s="3" t="s">
        <v>28</v>
      </c>
      <c r="F5" s="3" t="s">
        <v>29</v>
      </c>
      <c r="G5" s="3" t="s">
        <v>28</v>
      </c>
      <c r="H5" s="3" t="s">
        <v>29</v>
      </c>
      <c r="I5" s="3" t="s">
        <v>28</v>
      </c>
      <c r="J5" s="3" t="s">
        <v>29</v>
      </c>
      <c r="K5" s="3" t="s">
        <v>28</v>
      </c>
      <c r="L5" s="3" t="s">
        <v>29</v>
      </c>
      <c r="M5" s="3" t="s">
        <v>28</v>
      </c>
      <c r="N5" s="3" t="s">
        <v>29</v>
      </c>
      <c r="O5" s="3" t="s">
        <v>28</v>
      </c>
      <c r="P5" s="3" t="s">
        <v>29</v>
      </c>
      <c r="Q5" s="3" t="str">
        <f>E5</f>
        <v>H1</v>
      </c>
      <c r="R5" s="3" t="str">
        <f>F5</f>
        <v>H2</v>
      </c>
      <c r="S5" s="3" t="str">
        <f t="shared" ref="S5:AL5" si="3">Q5</f>
        <v>H1</v>
      </c>
      <c r="T5" s="3" t="str">
        <f t="shared" si="3"/>
        <v>H2</v>
      </c>
      <c r="U5" s="3" t="str">
        <f t="shared" si="3"/>
        <v>H1</v>
      </c>
      <c r="V5" s="3" t="str">
        <f t="shared" si="3"/>
        <v>H2</v>
      </c>
      <c r="W5" s="3" t="str">
        <f t="shared" si="3"/>
        <v>H1</v>
      </c>
      <c r="X5" s="3" t="str">
        <f t="shared" si="3"/>
        <v>H2</v>
      </c>
      <c r="Y5" s="3" t="str">
        <f t="shared" si="3"/>
        <v>H1</v>
      </c>
      <c r="Z5" s="3" t="str">
        <f t="shared" si="3"/>
        <v>H2</v>
      </c>
      <c r="AA5" s="3" t="str">
        <f t="shared" si="3"/>
        <v>H1</v>
      </c>
      <c r="AB5" s="3" t="str">
        <f t="shared" si="3"/>
        <v>H2</v>
      </c>
      <c r="AC5" s="3" t="str">
        <f t="shared" si="3"/>
        <v>H1</v>
      </c>
      <c r="AD5" s="3" t="str">
        <f t="shared" si="3"/>
        <v>H2</v>
      </c>
      <c r="AE5" s="3" t="str">
        <f t="shared" si="3"/>
        <v>H1</v>
      </c>
      <c r="AF5" s="3" t="str">
        <f t="shared" si="3"/>
        <v>H2</v>
      </c>
      <c r="AG5" s="3" t="str">
        <f t="shared" si="3"/>
        <v>H1</v>
      </c>
      <c r="AH5" s="3" t="str">
        <f t="shared" si="3"/>
        <v>H2</v>
      </c>
      <c r="AI5" s="3" t="str">
        <f t="shared" si="3"/>
        <v>H1</v>
      </c>
      <c r="AJ5" s="3" t="str">
        <f t="shared" si="3"/>
        <v>H2</v>
      </c>
      <c r="AK5" s="3" t="str">
        <f t="shared" si="3"/>
        <v>H1</v>
      </c>
      <c r="AL5" s="3" t="str">
        <f t="shared" si="3"/>
        <v>H2</v>
      </c>
      <c r="AM5" s="3" t="str">
        <f>AK5</f>
        <v>H1</v>
      </c>
      <c r="AN5" s="3" t="str">
        <f>AL5</f>
        <v>H2</v>
      </c>
      <c r="AO5" s="3" t="str">
        <f>AM5</f>
        <v>H1</v>
      </c>
      <c r="AP5" s="3" t="str">
        <f>AN5</f>
        <v>H2</v>
      </c>
    </row>
    <row r="6" spans="1:57" x14ac:dyDescent="0.25"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</row>
    <row r="7" spans="1:57" x14ac:dyDescent="0.25">
      <c r="A7" s="4" t="s">
        <v>84</v>
      </c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</row>
    <row r="9" spans="1:57" s="23" customFormat="1" x14ac:dyDescent="0.25">
      <c r="B9" s="23" t="s">
        <v>148</v>
      </c>
      <c r="E9" s="24"/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E9" s="25"/>
    </row>
    <row r="10" spans="1:57" x14ac:dyDescent="0.25">
      <c r="E10" s="58"/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  <c r="Q10" s="58"/>
      <c r="R10" s="58"/>
      <c r="S10" s="58"/>
      <c r="T10" s="58"/>
      <c r="U10" s="58"/>
      <c r="V10" s="58"/>
      <c r="W10" s="58"/>
      <c r="X10" s="58"/>
      <c r="Y10" s="58"/>
      <c r="Z10" s="58"/>
      <c r="AA10" s="58"/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</row>
    <row r="11" spans="1:57" s="6" customFormat="1" x14ac:dyDescent="0.25">
      <c r="C11" s="6" t="s">
        <v>90</v>
      </c>
      <c r="D11" s="6" t="s">
        <v>32</v>
      </c>
      <c r="E11" s="56"/>
      <c r="F11" s="56">
        <f>E21</f>
        <v>2557.2000000000003</v>
      </c>
      <c r="G11" s="56">
        <f t="shared" ref="G11:AL11" si="4">F21</f>
        <v>2867.6</v>
      </c>
      <c r="H11" s="56">
        <f t="shared" si="4"/>
        <v>3009.2999999999997</v>
      </c>
      <c r="I11" s="56">
        <f t="shared" si="4"/>
        <v>2461.5</v>
      </c>
      <c r="J11" s="56">
        <f t="shared" si="4"/>
        <v>2880.7</v>
      </c>
      <c r="K11" s="56">
        <f t="shared" si="4"/>
        <v>3118</v>
      </c>
      <c r="L11" s="56">
        <f t="shared" si="4"/>
        <v>3235</v>
      </c>
      <c r="M11" s="56">
        <f t="shared" si="4"/>
        <v>3283</v>
      </c>
      <c r="N11" s="56">
        <f t="shared" si="4"/>
        <v>3677</v>
      </c>
      <c r="O11" s="56">
        <f t="shared" si="4"/>
        <v>3800</v>
      </c>
      <c r="P11" s="56">
        <f t="shared" si="4"/>
        <v>3916</v>
      </c>
      <c r="Q11" s="56">
        <f t="shared" si="4"/>
        <v>3529</v>
      </c>
      <c r="R11" s="56">
        <f t="shared" si="4"/>
        <v>3794</v>
      </c>
      <c r="S11" s="56">
        <f t="shared" si="4"/>
        <v>3938</v>
      </c>
      <c r="T11" s="56">
        <f t="shared" si="4"/>
        <v>4692</v>
      </c>
      <c r="U11" s="56">
        <f t="shared" si="4"/>
        <v>4704</v>
      </c>
      <c r="V11" s="56">
        <f t="shared" si="4"/>
        <v>4745</v>
      </c>
      <c r="W11" s="56">
        <f t="shared" si="4"/>
        <v>5022</v>
      </c>
      <c r="X11" s="56">
        <f t="shared" si="4"/>
        <v>4410</v>
      </c>
      <c r="Y11" s="56">
        <f t="shared" si="4"/>
        <v>4754</v>
      </c>
      <c r="Z11" s="56">
        <f t="shared" si="4"/>
        <v>4439</v>
      </c>
      <c r="AA11" s="56">
        <f t="shared" si="4"/>
        <v>4472</v>
      </c>
      <c r="AB11" s="56">
        <f t="shared" si="4"/>
        <v>3899</v>
      </c>
      <c r="AC11" s="56">
        <f t="shared" ca="1" si="4"/>
        <v>4080</v>
      </c>
      <c r="AD11" s="56">
        <f t="shared" si="4"/>
        <v>5277</v>
      </c>
      <c r="AE11" s="56">
        <f t="shared" si="4"/>
        <v>4730</v>
      </c>
      <c r="AF11" s="56">
        <f t="shared" si="4"/>
        <v>5509</v>
      </c>
      <c r="AG11" s="56">
        <f t="shared" si="4"/>
        <v>5179</v>
      </c>
      <c r="AH11" s="56">
        <f t="shared" si="4"/>
        <v>5670</v>
      </c>
      <c r="AI11" s="56">
        <f t="shared" ca="1" si="4"/>
        <v>4876.0190256926671</v>
      </c>
      <c r="AJ11" s="56">
        <f t="shared" ca="1" si="4"/>
        <v>5022.3790256926668</v>
      </c>
      <c r="AK11" s="56">
        <f t="shared" ca="1" si="4"/>
        <v>5164.2273506926667</v>
      </c>
      <c r="AL11" s="56">
        <f t="shared" ca="1" si="4"/>
        <v>5311.5617506926665</v>
      </c>
      <c r="AM11" s="56">
        <f ca="1">AL21</f>
        <v>5454.3168005676662</v>
      </c>
      <c r="AN11" s="56">
        <f ca="1">AM21</f>
        <v>5602.6402165676654</v>
      </c>
      <c r="AO11" s="56">
        <f ca="1">AN21</f>
        <v>5746.3155921907901</v>
      </c>
      <c r="AP11" s="56">
        <f ca="1">AO21</f>
        <v>5895.6428594307899</v>
      </c>
    </row>
    <row r="12" spans="1:57" x14ac:dyDescent="0.25">
      <c r="C12" s="44" t="s">
        <v>149</v>
      </c>
      <c r="D12" t="s">
        <v>32</v>
      </c>
      <c r="E12" s="58">
        <f>(Group!E122+Group!E123)*-1</f>
        <v>0</v>
      </c>
      <c r="F12" s="58">
        <f>(Group!F122+Group!F123)*-1</f>
        <v>0</v>
      </c>
      <c r="G12" s="58">
        <f>(Group!G122+Group!G123)*-1</f>
        <v>0</v>
      </c>
      <c r="H12" s="58">
        <f>(Group!H122+Group!H123)*-1</f>
        <v>0</v>
      </c>
      <c r="I12" s="58">
        <f>(Group!I122+Group!I123)*-1</f>
        <v>0</v>
      </c>
      <c r="J12" s="58">
        <f>(Group!J122+Group!J123)*-1</f>
        <v>0</v>
      </c>
      <c r="K12" s="58">
        <f>(Group!K122+Group!K123)*-1</f>
        <v>0</v>
      </c>
      <c r="L12" s="58">
        <f>(Group!L122+Group!L123)*-1</f>
        <v>0</v>
      </c>
      <c r="M12" s="58">
        <f>(Group!M122+Group!M123)*-1</f>
        <v>0</v>
      </c>
      <c r="N12" s="58">
        <f>(Group!N122+Group!N123)*-1</f>
        <v>0</v>
      </c>
      <c r="O12" s="58">
        <f>(Group!O122+Group!O123)*-1</f>
        <v>0</v>
      </c>
      <c r="P12" s="58">
        <f>(Group!P122+Group!P123)*-1</f>
        <v>0</v>
      </c>
      <c r="Q12" s="58">
        <f>(Group!Q122+Group!Q123)*-1</f>
        <v>0</v>
      </c>
      <c r="R12" s="58">
        <f>(Group!R122+Group!R123)*-1</f>
        <v>0</v>
      </c>
      <c r="S12" s="58">
        <f>(Group!S122+Group!S123)*-1</f>
        <v>0</v>
      </c>
      <c r="T12" s="58">
        <f>(Group!T122+Group!T123)*-1</f>
        <v>0</v>
      </c>
      <c r="U12" s="58">
        <f>(Group!U122+Group!U123)*-1</f>
        <v>0</v>
      </c>
      <c r="V12" s="58">
        <f>(Group!V122+Group!V123)*-1</f>
        <v>0</v>
      </c>
      <c r="W12" s="58">
        <f>(Group!W122+Group!W123)*-1</f>
        <v>0</v>
      </c>
      <c r="X12" s="58">
        <f>(Group!X122+Group!X123)*-1</f>
        <v>0</v>
      </c>
      <c r="Y12" s="58">
        <f>(Group!Y122+Group!Y123)*-1</f>
        <v>0</v>
      </c>
      <c r="Z12" s="58">
        <f>(Group!Z122+Group!Z123)*-1</f>
        <v>0</v>
      </c>
      <c r="AA12" s="58">
        <f>(Group!AA122+Group!AA123)*-1</f>
        <v>0</v>
      </c>
      <c r="AB12" s="58">
        <f>(Group!AB122+Group!AB123)*-1</f>
        <v>0</v>
      </c>
      <c r="AC12" s="58">
        <f>(Group!AC122+Group!AC123)*-1</f>
        <v>0</v>
      </c>
      <c r="AD12" s="58">
        <f>(Group!AD122+Group!AD123)*-1</f>
        <v>0</v>
      </c>
      <c r="AE12" s="54">
        <f>(Group!AE122+Group!AE123)*-1</f>
        <v>0</v>
      </c>
      <c r="AF12" s="54">
        <f>(Group!AF122+Group!AF123)*-1</f>
        <v>0</v>
      </c>
      <c r="AG12" s="54">
        <f>(Group!AG122+Group!AG123)*-1</f>
        <v>0</v>
      </c>
      <c r="AH12" s="54">
        <f>(Group!AH122+Group!AH123)*-1</f>
        <v>59.555</v>
      </c>
      <c r="AI12" s="54">
        <f>(Group!AI122+Group!AI123)*-1</f>
        <v>64.959999999999994</v>
      </c>
      <c r="AJ12" s="54">
        <f>(Group!AJ122+Group!AJ123)*-1</f>
        <v>60.448324999999997</v>
      </c>
      <c r="AK12" s="54">
        <f>(Group!AK122+Group!AK123)*-1</f>
        <v>65.934399999999982</v>
      </c>
      <c r="AL12" s="54">
        <f>(Group!AL122+Group!AL123)*-1</f>
        <v>61.355049874999992</v>
      </c>
      <c r="AM12" s="54">
        <f>(Group!AM122+Group!AM123)*-1</f>
        <v>66.923415999999975</v>
      </c>
      <c r="AN12" s="54">
        <f>(Group!AN122+Group!AN123)*-1</f>
        <v>62.275375623124987</v>
      </c>
      <c r="AO12" s="54">
        <f>(Group!AO122+Group!AO123)*-1</f>
        <v>67.927267239999978</v>
      </c>
      <c r="AP12" s="54">
        <f>(Group!AP122+Group!AP123)*-1</f>
        <v>63.209506257471858</v>
      </c>
    </row>
    <row r="13" spans="1:57" x14ac:dyDescent="0.25">
      <c r="C13" s="44" t="s">
        <v>150</v>
      </c>
      <c r="D13" t="s">
        <v>32</v>
      </c>
      <c r="E13" s="58">
        <f>Group!E129*-1</f>
        <v>0</v>
      </c>
      <c r="F13" s="58">
        <f>Group!F129*-1</f>
        <v>0</v>
      </c>
      <c r="G13" s="58">
        <f>Group!G129*-1</f>
        <v>0</v>
      </c>
      <c r="H13" s="58">
        <f>Group!H129*-1</f>
        <v>0</v>
      </c>
      <c r="I13" s="58">
        <f>Group!I129*-1</f>
        <v>0</v>
      </c>
      <c r="J13" s="58">
        <f>Group!J129*-1</f>
        <v>0</v>
      </c>
      <c r="K13" s="58">
        <f>Group!K129*-1</f>
        <v>0</v>
      </c>
      <c r="L13" s="58">
        <f>Group!L129*-1</f>
        <v>0</v>
      </c>
      <c r="M13" s="58">
        <f>Group!M129*-1</f>
        <v>0</v>
      </c>
      <c r="N13" s="58">
        <f>Group!N129*-1</f>
        <v>0</v>
      </c>
      <c r="O13" s="58">
        <f>Group!O129*-1</f>
        <v>0</v>
      </c>
      <c r="P13" s="58">
        <f>Group!P129*-1</f>
        <v>0</v>
      </c>
      <c r="Q13" s="58">
        <f>Group!Q129*-1</f>
        <v>0</v>
      </c>
      <c r="R13" s="58">
        <f>Group!R129*-1</f>
        <v>0</v>
      </c>
      <c r="S13" s="58">
        <f>Group!S129*-1</f>
        <v>0</v>
      </c>
      <c r="T13" s="58">
        <f>Group!T129*-1</f>
        <v>0</v>
      </c>
      <c r="U13" s="58">
        <f>Group!U129*-1</f>
        <v>0</v>
      </c>
      <c r="V13" s="58">
        <f>Group!V129*-1</f>
        <v>0</v>
      </c>
      <c r="W13" s="58">
        <f>Group!W129*-1</f>
        <v>0</v>
      </c>
      <c r="X13" s="58">
        <f>Group!X129*-1</f>
        <v>0</v>
      </c>
      <c r="Y13" s="58">
        <f>Group!Y129*-1</f>
        <v>0</v>
      </c>
      <c r="Z13" s="58">
        <f>Group!Z129*-1</f>
        <v>0</v>
      </c>
      <c r="AA13" s="58">
        <f>Group!AA129*-1</f>
        <v>0</v>
      </c>
      <c r="AB13" s="58">
        <f>Group!AB129*-1</f>
        <v>0</v>
      </c>
      <c r="AC13" s="58">
        <f>Group!AC129*-1</f>
        <v>0</v>
      </c>
      <c r="AD13" s="58">
        <f>Group!AD129*-1</f>
        <v>0</v>
      </c>
      <c r="AE13" s="54">
        <f>Group!AE129*-1</f>
        <v>0</v>
      </c>
      <c r="AF13" s="54">
        <f>Group!AF129*-1</f>
        <v>0</v>
      </c>
      <c r="AG13" s="54">
        <f>Group!AG129*-1</f>
        <v>0</v>
      </c>
      <c r="AH13" s="54">
        <f>Group!AH129*-1</f>
        <v>140.06666666666666</v>
      </c>
      <c r="AI13" s="54">
        <f>Group!AI129*-1</f>
        <v>81.400000000000006</v>
      </c>
      <c r="AJ13" s="54">
        <f>Group!AJ129*-1</f>
        <v>81.400000000000006</v>
      </c>
      <c r="AK13" s="54">
        <f>Group!AK129*-1</f>
        <v>81.400000000000006</v>
      </c>
      <c r="AL13" s="54">
        <f>Group!AL129*-1</f>
        <v>81.400000000000006</v>
      </c>
      <c r="AM13" s="54">
        <f>Group!AM129*-1</f>
        <v>81.400000000000006</v>
      </c>
      <c r="AN13" s="54">
        <f>Group!AN129*-1</f>
        <v>81.400000000000006</v>
      </c>
      <c r="AO13" s="54">
        <f>Group!AO129*-1</f>
        <v>81.400000000000006</v>
      </c>
      <c r="AP13" s="54">
        <f>Group!AP129*-1</f>
        <v>81.400000000000006</v>
      </c>
    </row>
    <row r="14" spans="1:57" x14ac:dyDescent="0.25">
      <c r="C14" s="44" t="s">
        <v>151</v>
      </c>
      <c r="D14" t="s">
        <v>32</v>
      </c>
      <c r="E14" s="58">
        <f>Group!E42</f>
        <v>0</v>
      </c>
      <c r="F14" s="58">
        <f>Group!F42</f>
        <v>0</v>
      </c>
      <c r="G14" s="58">
        <f>Group!G42</f>
        <v>0</v>
      </c>
      <c r="H14" s="58">
        <f>Group!H42</f>
        <v>0</v>
      </c>
      <c r="I14" s="58">
        <f>Group!I42</f>
        <v>7.6900896399999965</v>
      </c>
      <c r="J14" s="58">
        <f>Group!J42</f>
        <v>0</v>
      </c>
      <c r="K14" s="58">
        <f>Group!K42</f>
        <v>0</v>
      </c>
      <c r="L14" s="58">
        <f>Group!L42</f>
        <v>0</v>
      </c>
      <c r="M14" s="58">
        <f>Group!M42</f>
        <v>6.035724149645489</v>
      </c>
      <c r="N14" s="58">
        <f>Group!N42</f>
        <v>0</v>
      </c>
      <c r="O14" s="58">
        <f>Group!O42</f>
        <v>0</v>
      </c>
      <c r="P14" s="58">
        <f>Group!P42</f>
        <v>0</v>
      </c>
      <c r="Q14" s="58">
        <f>Group!Q42</f>
        <v>0</v>
      </c>
      <c r="R14" s="58">
        <f>Group!R42</f>
        <v>0</v>
      </c>
      <c r="S14" s="58">
        <f>Group!S42</f>
        <v>0</v>
      </c>
      <c r="T14" s="58">
        <f>Group!T42</f>
        <v>0</v>
      </c>
      <c r="U14" s="58">
        <f>Group!U42</f>
        <v>0</v>
      </c>
      <c r="V14" s="58">
        <f>Group!V42</f>
        <v>0</v>
      </c>
      <c r="W14" s="58">
        <f>Group!W42</f>
        <v>0</v>
      </c>
      <c r="X14" s="58">
        <f>Group!X42</f>
        <v>3.4938310460000253</v>
      </c>
      <c r="Y14" s="58">
        <f>Group!Y42</f>
        <v>0</v>
      </c>
      <c r="Z14" s="58">
        <f>Group!Z42</f>
        <v>0</v>
      </c>
      <c r="AA14" s="58">
        <f>Group!AA42</f>
        <v>0</v>
      </c>
      <c r="AB14" s="58">
        <f>Group!AB42</f>
        <v>0</v>
      </c>
      <c r="AC14" s="58">
        <f>Group!AC42</f>
        <v>0</v>
      </c>
      <c r="AD14" s="58">
        <f>Group!AD42</f>
        <v>30</v>
      </c>
      <c r="AE14" s="58">
        <f>Group!AE42</f>
        <v>0</v>
      </c>
      <c r="AF14" s="58">
        <f>Group!AF42</f>
        <v>0</v>
      </c>
      <c r="AG14" s="58">
        <f>Group!AG42</f>
        <v>0</v>
      </c>
      <c r="AH14" s="54">
        <f ca="1">Group!AH42</f>
        <v>0</v>
      </c>
      <c r="AI14" s="54">
        <f ca="1">Group!AI42</f>
        <v>0</v>
      </c>
      <c r="AJ14" s="54">
        <f ca="1">Group!AJ42</f>
        <v>0</v>
      </c>
      <c r="AK14" s="54">
        <f ca="1">Group!AK42</f>
        <v>0</v>
      </c>
      <c r="AL14" s="54">
        <f ca="1">Group!AL42</f>
        <v>0</v>
      </c>
      <c r="AM14" s="54">
        <f ca="1">Group!AM42</f>
        <v>0</v>
      </c>
      <c r="AN14" s="54">
        <f ca="1">Group!AN42</f>
        <v>0</v>
      </c>
      <c r="AO14" s="54">
        <f ca="1">Group!AO42</f>
        <v>0</v>
      </c>
      <c r="AP14" s="54">
        <f ca="1">Group!AP42</f>
        <v>0</v>
      </c>
    </row>
    <row r="15" spans="1:57" x14ac:dyDescent="0.25">
      <c r="C15" s="44" t="s">
        <v>314</v>
      </c>
      <c r="D15" t="s">
        <v>32</v>
      </c>
      <c r="E15" s="58">
        <f>Group!E118*-1</f>
        <v>0</v>
      </c>
      <c r="F15" s="58">
        <f>Group!F118*-1</f>
        <v>0</v>
      </c>
      <c r="G15" s="58">
        <f>Group!G118*-1</f>
        <v>0</v>
      </c>
      <c r="H15" s="58">
        <f>Group!H118*-1</f>
        <v>0</v>
      </c>
      <c r="I15" s="58">
        <f>Group!I118*-1</f>
        <v>0</v>
      </c>
      <c r="J15" s="58">
        <f>Group!J118*-1</f>
        <v>0</v>
      </c>
      <c r="K15" s="58">
        <f>Group!K118*-1</f>
        <v>0</v>
      </c>
      <c r="L15" s="58">
        <f>Group!L118*-1</f>
        <v>0</v>
      </c>
      <c r="M15" s="58">
        <f>Group!M118*-1</f>
        <v>90</v>
      </c>
      <c r="N15" s="58">
        <f>Group!N118*-1</f>
        <v>96</v>
      </c>
      <c r="O15" s="58">
        <f>Group!O118*-1</f>
        <v>70</v>
      </c>
      <c r="P15" s="58">
        <f>Group!P118*-1</f>
        <v>213</v>
      </c>
      <c r="Q15" s="58">
        <f>Group!Q118*-1</f>
        <v>392</v>
      </c>
      <c r="R15" s="58">
        <f>Group!R118*-1</f>
        <v>104</v>
      </c>
      <c r="S15" s="58">
        <f>Group!S118*-1</f>
        <v>322</v>
      </c>
      <c r="T15" s="58">
        <f>Group!T118*-1</f>
        <v>254</v>
      </c>
      <c r="U15" s="58">
        <f>Group!U118*-1</f>
        <v>123</v>
      </c>
      <c r="V15" s="58">
        <f>Group!V118*-1</f>
        <v>201</v>
      </c>
      <c r="W15" s="58">
        <f>Group!W118*-1</f>
        <v>104</v>
      </c>
      <c r="X15" s="58">
        <f>Group!X118*-1</f>
        <v>373</v>
      </c>
      <c r="Y15" s="58">
        <f>Group!Y118*-1</f>
        <v>268</v>
      </c>
      <c r="Z15" s="58">
        <f>Group!Z118*-1</f>
        <v>350</v>
      </c>
      <c r="AA15" s="58">
        <f>Group!AA118*-1</f>
        <v>366</v>
      </c>
      <c r="AB15" s="58">
        <f>Group!AB118*-1</f>
        <v>283</v>
      </c>
      <c r="AC15" s="58">
        <f>Group!AC118*-1</f>
        <v>429</v>
      </c>
      <c r="AD15" s="58">
        <f>Group!AD118*-1</f>
        <v>357</v>
      </c>
      <c r="AE15" s="58">
        <f>Group!AE118*-1</f>
        <v>106</v>
      </c>
      <c r="AF15" s="58">
        <f>Group!AF118*-1</f>
        <v>192</v>
      </c>
      <c r="AG15" s="58">
        <f>Group!AG118*-1</f>
        <v>135</v>
      </c>
      <c r="AH15" s="68"/>
      <c r="AI15" s="68"/>
      <c r="AJ15" s="68"/>
      <c r="AK15" s="68"/>
      <c r="AL15" s="68"/>
      <c r="AM15" s="68"/>
      <c r="AN15" s="68"/>
      <c r="AO15" s="68"/>
      <c r="AP15" s="68"/>
    </row>
    <row r="16" spans="1:57" x14ac:dyDescent="0.25">
      <c r="C16" s="44" t="s">
        <v>153</v>
      </c>
      <c r="D16" t="s">
        <v>32</v>
      </c>
      <c r="E16" s="58">
        <f>Group!E127*-1</f>
        <v>0</v>
      </c>
      <c r="F16" s="58">
        <f>Group!F127*-1</f>
        <v>0</v>
      </c>
      <c r="G16" s="58">
        <f>Group!G127*-1</f>
        <v>0</v>
      </c>
      <c r="H16" s="58">
        <f>Group!H127*-1</f>
        <v>0</v>
      </c>
      <c r="I16" s="58">
        <f>Group!I127*-1</f>
        <v>0</v>
      </c>
      <c r="J16" s="58">
        <f>Group!J127*-1</f>
        <v>0</v>
      </c>
      <c r="K16" s="58">
        <f>Group!K127*-1</f>
        <v>0</v>
      </c>
      <c r="L16" s="58">
        <f>Group!L127*-1</f>
        <v>0</v>
      </c>
      <c r="M16" s="58">
        <f>Group!M127*-1</f>
        <v>304</v>
      </c>
      <c r="N16" s="58">
        <f>Group!N127*-1</f>
        <v>401</v>
      </c>
      <c r="O16" s="58">
        <f>Group!O127*-1</f>
        <v>247</v>
      </c>
      <c r="P16" s="58">
        <f>Group!P127*-1</f>
        <v>261</v>
      </c>
      <c r="Q16" s="58">
        <f>Group!Q127*-1</f>
        <v>358</v>
      </c>
      <c r="R16" s="58">
        <f>Group!R127*-1</f>
        <v>318</v>
      </c>
      <c r="S16" s="58">
        <f>Group!S127*-1</f>
        <v>254</v>
      </c>
      <c r="T16" s="58">
        <f>Group!T127*-1</f>
        <v>187</v>
      </c>
      <c r="U16" s="58">
        <f>Group!U127*-1</f>
        <v>587</v>
      </c>
      <c r="V16" s="58">
        <f>Group!V127*-1</f>
        <v>136</v>
      </c>
      <c r="W16" s="58">
        <f>Group!W127*-1</f>
        <v>257</v>
      </c>
      <c r="X16" s="58">
        <f>Group!X127*-1</f>
        <v>153</v>
      </c>
      <c r="Y16" s="58">
        <f>Group!Y127*-1</f>
        <v>635</v>
      </c>
      <c r="Z16" s="58">
        <f>Group!Z127*-1</f>
        <v>810</v>
      </c>
      <c r="AA16" s="58">
        <f>Group!AA127*-1</f>
        <v>228</v>
      </c>
      <c r="AB16" s="58">
        <f>Group!AB127*-1</f>
        <v>246</v>
      </c>
      <c r="AC16" s="58">
        <f>Group!AC127*-1</f>
        <v>346</v>
      </c>
      <c r="AD16" s="58">
        <f>Group!AD127*-1</f>
        <v>269</v>
      </c>
      <c r="AE16" s="58">
        <f>Group!AE127*-1</f>
        <v>418</v>
      </c>
      <c r="AF16" s="58">
        <f>Group!AF127*-1</f>
        <v>411</v>
      </c>
      <c r="AG16" s="58">
        <f>Group!AG127*-1</f>
        <v>271</v>
      </c>
      <c r="AH16" s="54">
        <f>Group!AH127*-1</f>
        <v>0</v>
      </c>
      <c r="AI16" s="54">
        <f>Group!AI127*-1</f>
        <v>0</v>
      </c>
      <c r="AJ16" s="54">
        <f>Group!AJ127*-1</f>
        <v>0</v>
      </c>
      <c r="AK16" s="54">
        <f>Group!AK127*-1</f>
        <v>0</v>
      </c>
      <c r="AL16" s="54">
        <f>Group!AL127*-1</f>
        <v>0</v>
      </c>
      <c r="AM16" s="54">
        <f>Group!AM127*-1</f>
        <v>0</v>
      </c>
      <c r="AN16" s="54">
        <f>Group!AN127*-1</f>
        <v>0</v>
      </c>
      <c r="AO16" s="54">
        <f>Group!AO127*-1</f>
        <v>0</v>
      </c>
      <c r="AP16" s="54">
        <f>Group!AP127*-1</f>
        <v>0</v>
      </c>
    </row>
    <row r="17" spans="2:57" x14ac:dyDescent="0.25">
      <c r="C17" s="44" t="s">
        <v>154</v>
      </c>
      <c r="D17" t="s">
        <v>32</v>
      </c>
      <c r="E17" s="58">
        <f>Group!E128*-1</f>
        <v>0</v>
      </c>
      <c r="F17" s="58">
        <f>Group!F128*-1</f>
        <v>0</v>
      </c>
      <c r="G17" s="58">
        <f>Group!G128*-1</f>
        <v>0</v>
      </c>
      <c r="H17" s="58">
        <f>Group!H128*-1</f>
        <v>0</v>
      </c>
      <c r="I17" s="58">
        <f>Group!I128*-1</f>
        <v>0</v>
      </c>
      <c r="J17" s="58">
        <f>Group!J128*-1</f>
        <v>0</v>
      </c>
      <c r="K17" s="58">
        <f>Group!K128*-1</f>
        <v>0</v>
      </c>
      <c r="L17" s="58">
        <f>Group!L128*-1</f>
        <v>0</v>
      </c>
      <c r="M17" s="58">
        <f>Group!M128*-1</f>
        <v>-220</v>
      </c>
      <c r="N17" s="58">
        <f>Group!N128*-1</f>
        <v>-1</v>
      </c>
      <c r="O17" s="58">
        <f>Group!O128*-1</f>
        <v>-92</v>
      </c>
      <c r="P17" s="58">
        <f>Group!P128*-1</f>
        <v>-2</v>
      </c>
      <c r="Q17" s="58">
        <f>Group!Q128*-1</f>
        <v>-104</v>
      </c>
      <c r="R17" s="58">
        <f>Group!R128*-1</f>
        <v>-203</v>
      </c>
      <c r="S17" s="58">
        <f>Group!S128*-1</f>
        <v>-180</v>
      </c>
      <c r="T17" s="58">
        <f>Group!T128*-1</f>
        <v>-174</v>
      </c>
      <c r="U17" s="58">
        <f>Group!U128*-1</f>
        <v>-662</v>
      </c>
      <c r="V17" s="58">
        <f>Group!V128*-1</f>
        <v>-43</v>
      </c>
      <c r="W17" s="58">
        <f>Group!W128*-1</f>
        <v>-333</v>
      </c>
      <c r="X17" s="58">
        <f>Group!X128*-1</f>
        <v>-235</v>
      </c>
      <c r="Y17" s="58">
        <f>Group!Y128*-1</f>
        <v>-172</v>
      </c>
      <c r="Z17" s="58">
        <f>Group!Z128*-1</f>
        <v>-319</v>
      </c>
      <c r="AA17" s="58">
        <f>Group!AA128*-1</f>
        <v>-1095</v>
      </c>
      <c r="AB17" s="58">
        <f>Group!AB128*-1</f>
        <v>-165</v>
      </c>
      <c r="AC17" s="58">
        <f>Group!AC128*-1</f>
        <v>-137</v>
      </c>
      <c r="AD17" s="58">
        <f>Group!AD128*-1</f>
        <v>-579</v>
      </c>
      <c r="AE17" s="58">
        <f>Group!AE128*-1</f>
        <v>-232</v>
      </c>
      <c r="AF17" s="58">
        <f>Group!AF128*-1</f>
        <v>-451</v>
      </c>
      <c r="AG17" s="58">
        <f>Group!AG128*-1</f>
        <v>-28</v>
      </c>
      <c r="AH17" s="54">
        <f>Group!AH128*-1</f>
        <v>-350</v>
      </c>
      <c r="AI17" s="54">
        <f>Group!AI128*-1</f>
        <v>0</v>
      </c>
      <c r="AJ17" s="54">
        <f>Group!AJ128*-1</f>
        <v>0</v>
      </c>
      <c r="AK17" s="54">
        <f>Group!AK128*-1</f>
        <v>0</v>
      </c>
      <c r="AL17" s="54">
        <f>Group!AL128*-1</f>
        <v>0</v>
      </c>
      <c r="AM17" s="54">
        <f>Group!AM128*-1</f>
        <v>0</v>
      </c>
      <c r="AN17" s="54">
        <f>Group!AN128*-1</f>
        <v>0</v>
      </c>
      <c r="AO17" s="54">
        <f>Group!AO128*-1</f>
        <v>0</v>
      </c>
      <c r="AP17" s="54">
        <f>Group!AP128*-1</f>
        <v>0</v>
      </c>
    </row>
    <row r="18" spans="2:57" x14ac:dyDescent="0.25">
      <c r="C18" s="44" t="s">
        <v>155</v>
      </c>
      <c r="D18" t="s">
        <v>32</v>
      </c>
      <c r="E18" s="58">
        <f>Group!E133*-1</f>
        <v>0</v>
      </c>
      <c r="F18" s="58">
        <f>Group!F133*-1</f>
        <v>0</v>
      </c>
      <c r="G18" s="58">
        <f>Group!G133*-1</f>
        <v>0</v>
      </c>
      <c r="H18" s="58">
        <f>Group!H133*-1</f>
        <v>0</v>
      </c>
      <c r="I18" s="58">
        <f>Group!I133*-1</f>
        <v>0</v>
      </c>
      <c r="J18" s="58">
        <f>Group!J133*-1</f>
        <v>0</v>
      </c>
      <c r="K18" s="58">
        <f>Group!K133*-1</f>
        <v>0</v>
      </c>
      <c r="L18" s="58">
        <f>Group!L133*-1</f>
        <v>0</v>
      </c>
      <c r="M18" s="58">
        <f>Group!M133*-1</f>
        <v>0</v>
      </c>
      <c r="N18" s="58">
        <f>Group!N133*-1</f>
        <v>0</v>
      </c>
      <c r="O18" s="58">
        <f>Group!O133*-1</f>
        <v>0</v>
      </c>
      <c r="P18" s="58">
        <f>Group!P133*-1</f>
        <v>0</v>
      </c>
      <c r="Q18" s="58">
        <f>Group!Q133*-1</f>
        <v>0</v>
      </c>
      <c r="R18" s="58">
        <f>Group!R133*-1</f>
        <v>0</v>
      </c>
      <c r="S18" s="58">
        <f>Group!S133*-1</f>
        <v>115</v>
      </c>
      <c r="T18" s="58">
        <f>Group!T133*-1</f>
        <v>77</v>
      </c>
      <c r="U18" s="58">
        <f>Group!U133*-1</f>
        <v>0</v>
      </c>
      <c r="V18" s="58">
        <f>Group!V133*-1</f>
        <v>0</v>
      </c>
      <c r="W18" s="58">
        <f>Group!W133*-1</f>
        <v>0</v>
      </c>
      <c r="X18" s="58">
        <f>Group!X133*-1</f>
        <v>0</v>
      </c>
      <c r="Y18" s="58">
        <f>Group!Y133*-1</f>
        <v>0</v>
      </c>
      <c r="Z18" s="58">
        <f>Group!Z133*-1</f>
        <v>0</v>
      </c>
      <c r="AA18" s="58">
        <f>Group!AA133*-1</f>
        <v>0</v>
      </c>
      <c r="AB18" s="58">
        <f>Group!AB133*-1</f>
        <v>0</v>
      </c>
      <c r="AC18" s="58">
        <f>Group!AC133*-1</f>
        <v>0</v>
      </c>
      <c r="AD18" s="58">
        <f>Group!AD133*-1</f>
        <v>0</v>
      </c>
      <c r="AE18" s="54">
        <f>Group!AE133*-1</f>
        <v>0</v>
      </c>
      <c r="AF18" s="54">
        <f>Group!AF133*-1</f>
        <v>0</v>
      </c>
      <c r="AG18" s="54">
        <f>Group!AG133*-1</f>
        <v>0</v>
      </c>
      <c r="AH18" s="54">
        <f>Group!AH133*-1</f>
        <v>-43.602640974000003</v>
      </c>
      <c r="AI18" s="54">
        <f>Group!AI133*-1</f>
        <v>0</v>
      </c>
      <c r="AJ18" s="54">
        <f>Group!AJ133*-1</f>
        <v>0</v>
      </c>
      <c r="AK18" s="54">
        <f>Group!AK133*-1</f>
        <v>0</v>
      </c>
      <c r="AL18" s="54">
        <f>Group!AL133*-1</f>
        <v>0</v>
      </c>
      <c r="AM18" s="54">
        <f>Group!AM133*-1</f>
        <v>0</v>
      </c>
      <c r="AN18" s="54">
        <f ca="1">Group!AN133*-1</f>
        <v>0</v>
      </c>
      <c r="AO18" s="54">
        <f ca="1">Group!AO133*-1</f>
        <v>0</v>
      </c>
      <c r="AP18" s="54">
        <f ca="1">Group!AP133*-1</f>
        <v>0</v>
      </c>
    </row>
    <row r="19" spans="2:57" x14ac:dyDescent="0.25">
      <c r="C19" s="44" t="s">
        <v>156</v>
      </c>
      <c r="D19" t="s">
        <v>32</v>
      </c>
      <c r="E19" s="58">
        <f t="shared" ref="E19:Z19" si="5">E12*-1</f>
        <v>0</v>
      </c>
      <c r="F19" s="58">
        <f t="shared" si="5"/>
        <v>0</v>
      </c>
      <c r="G19" s="58">
        <f t="shared" si="5"/>
        <v>0</v>
      </c>
      <c r="H19" s="58">
        <f t="shared" si="5"/>
        <v>0</v>
      </c>
      <c r="I19" s="58">
        <f t="shared" si="5"/>
        <v>0</v>
      </c>
      <c r="J19" s="58">
        <f t="shared" si="5"/>
        <v>0</v>
      </c>
      <c r="K19" s="58">
        <f t="shared" si="5"/>
        <v>0</v>
      </c>
      <c r="L19" s="58">
        <f t="shared" si="5"/>
        <v>0</v>
      </c>
      <c r="M19" s="58">
        <f t="shared" si="5"/>
        <v>0</v>
      </c>
      <c r="N19" s="58">
        <f t="shared" si="5"/>
        <v>0</v>
      </c>
      <c r="O19" s="58">
        <f t="shared" si="5"/>
        <v>0</v>
      </c>
      <c r="P19" s="58">
        <f t="shared" si="5"/>
        <v>0</v>
      </c>
      <c r="Q19" s="58">
        <f t="shared" si="5"/>
        <v>0</v>
      </c>
      <c r="R19" s="58">
        <f t="shared" si="5"/>
        <v>0</v>
      </c>
      <c r="S19" s="58">
        <f t="shared" si="5"/>
        <v>0</v>
      </c>
      <c r="T19" s="58">
        <f t="shared" si="5"/>
        <v>0</v>
      </c>
      <c r="U19" s="58">
        <f t="shared" si="5"/>
        <v>0</v>
      </c>
      <c r="V19" s="58">
        <f t="shared" si="5"/>
        <v>0</v>
      </c>
      <c r="W19" s="58">
        <f t="shared" si="5"/>
        <v>0</v>
      </c>
      <c r="X19" s="58">
        <f t="shared" si="5"/>
        <v>0</v>
      </c>
      <c r="Y19" s="58">
        <f t="shared" si="5"/>
        <v>0</v>
      </c>
      <c r="Z19" s="58">
        <f t="shared" si="5"/>
        <v>0</v>
      </c>
      <c r="AA19" s="58">
        <f>AA12*-1</f>
        <v>0</v>
      </c>
      <c r="AB19" s="58">
        <f>AB12*-1</f>
        <v>0</v>
      </c>
      <c r="AC19" s="58">
        <f>AC12*-1</f>
        <v>0</v>
      </c>
      <c r="AD19" s="58">
        <f>AD12*-1</f>
        <v>0</v>
      </c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</row>
    <row r="20" spans="2:57" x14ac:dyDescent="0.25">
      <c r="C20" s="44" t="s">
        <v>157</v>
      </c>
      <c r="D20" t="s">
        <v>32</v>
      </c>
      <c r="E20" s="58">
        <f>E21-SUM(E11:E19)</f>
        <v>2557.2000000000003</v>
      </c>
      <c r="F20" s="58">
        <f t="shared" ref="F20:AA20" si="6">F21-SUM(F11:F19)</f>
        <v>310.39999999999964</v>
      </c>
      <c r="G20" s="58">
        <f t="shared" si="6"/>
        <v>141.69999999999982</v>
      </c>
      <c r="H20" s="58">
        <f t="shared" si="6"/>
        <v>-547.79999999999973</v>
      </c>
      <c r="I20" s="58">
        <f t="shared" si="6"/>
        <v>411.50991035999959</v>
      </c>
      <c r="J20" s="58">
        <f t="shared" si="6"/>
        <v>237.30000000000018</v>
      </c>
      <c r="K20" s="58">
        <f t="shared" si="6"/>
        <v>117</v>
      </c>
      <c r="L20" s="58">
        <f t="shared" si="6"/>
        <v>48</v>
      </c>
      <c r="M20" s="58">
        <f t="shared" si="6"/>
        <v>213.96427585035462</v>
      </c>
      <c r="N20" s="58">
        <f t="shared" si="6"/>
        <v>-373</v>
      </c>
      <c r="O20" s="58">
        <f t="shared" si="6"/>
        <v>-109</v>
      </c>
      <c r="P20" s="58">
        <f t="shared" si="6"/>
        <v>-859</v>
      </c>
      <c r="Q20" s="58">
        <f t="shared" si="6"/>
        <v>-381</v>
      </c>
      <c r="R20" s="58">
        <f t="shared" si="6"/>
        <v>-75</v>
      </c>
      <c r="S20" s="58">
        <f t="shared" si="6"/>
        <v>243</v>
      </c>
      <c r="T20" s="58">
        <f t="shared" si="6"/>
        <v>-332</v>
      </c>
      <c r="U20" s="58">
        <f t="shared" si="6"/>
        <v>-7</v>
      </c>
      <c r="V20" s="58">
        <f t="shared" si="6"/>
        <v>-17</v>
      </c>
      <c r="W20" s="58">
        <f t="shared" si="6"/>
        <v>-640</v>
      </c>
      <c r="X20" s="58">
        <f t="shared" si="6"/>
        <v>49.506168953999804</v>
      </c>
      <c r="Y20" s="58">
        <f t="shared" si="6"/>
        <v>-1046</v>
      </c>
      <c r="Z20" s="58">
        <f t="shared" si="6"/>
        <v>-808</v>
      </c>
      <c r="AA20" s="58">
        <f t="shared" si="6"/>
        <v>-72</v>
      </c>
      <c r="AB20" s="58">
        <f t="shared" ref="AB20:AG20" ca="1" si="7">AB21-SUM(AB11:AB19)</f>
        <v>-183</v>
      </c>
      <c r="AC20" s="58">
        <f t="shared" ca="1" si="7"/>
        <v>559</v>
      </c>
      <c r="AD20" s="58">
        <f t="shared" si="7"/>
        <v>-624</v>
      </c>
      <c r="AE20" s="58">
        <f t="shared" si="7"/>
        <v>487</v>
      </c>
      <c r="AF20" s="58">
        <f t="shared" si="7"/>
        <v>-482</v>
      </c>
      <c r="AG20" s="58">
        <f t="shared" si="7"/>
        <v>113</v>
      </c>
      <c r="AH20" s="68">
        <v>-600</v>
      </c>
      <c r="AI20" s="68"/>
      <c r="AJ20" s="68"/>
      <c r="AK20" s="68"/>
      <c r="AL20" s="68"/>
      <c r="AM20" s="68"/>
      <c r="AN20" s="68"/>
      <c r="AO20" s="68"/>
      <c r="AP20" s="68"/>
    </row>
    <row r="21" spans="2:57" s="6" customFormat="1" x14ac:dyDescent="0.25">
      <c r="C21" s="6" t="s">
        <v>158</v>
      </c>
      <c r="D21" s="6" t="s">
        <v>32</v>
      </c>
      <c r="E21" s="56">
        <f>Group!E82</f>
        <v>2557.2000000000003</v>
      </c>
      <c r="F21" s="56">
        <f>Group!F82</f>
        <v>2867.6</v>
      </c>
      <c r="G21" s="56">
        <f>Group!G82</f>
        <v>3009.2999999999997</v>
      </c>
      <c r="H21" s="56">
        <f>Group!H82</f>
        <v>2461.5</v>
      </c>
      <c r="I21" s="56">
        <f>Group!I82</f>
        <v>2880.7</v>
      </c>
      <c r="J21" s="56">
        <f>Group!J82</f>
        <v>3118</v>
      </c>
      <c r="K21" s="56">
        <f>Group!K82</f>
        <v>3235</v>
      </c>
      <c r="L21" s="56">
        <f>Group!L82</f>
        <v>3283</v>
      </c>
      <c r="M21" s="56">
        <f>Group!M82</f>
        <v>3677</v>
      </c>
      <c r="N21" s="56">
        <f>Group!N82</f>
        <v>3800</v>
      </c>
      <c r="O21" s="56">
        <f>Group!O82</f>
        <v>3916</v>
      </c>
      <c r="P21" s="56">
        <f>Group!P82</f>
        <v>3529</v>
      </c>
      <c r="Q21" s="56">
        <f>Group!Q82</f>
        <v>3794</v>
      </c>
      <c r="R21" s="56">
        <f>Group!R82</f>
        <v>3938</v>
      </c>
      <c r="S21" s="56">
        <f>Group!S82</f>
        <v>4692</v>
      </c>
      <c r="T21" s="56">
        <f>Group!T82</f>
        <v>4704</v>
      </c>
      <c r="U21" s="56">
        <f>Group!U82</f>
        <v>4745</v>
      </c>
      <c r="V21" s="56">
        <f>Group!V82</f>
        <v>5022</v>
      </c>
      <c r="W21" s="56">
        <f>Group!W82</f>
        <v>4410</v>
      </c>
      <c r="X21" s="56">
        <f>Group!X82</f>
        <v>4754</v>
      </c>
      <c r="Y21" s="56">
        <f>Group!Y82</f>
        <v>4439</v>
      </c>
      <c r="Z21" s="56">
        <f>Group!Z82</f>
        <v>4472</v>
      </c>
      <c r="AA21" s="56">
        <f>Group!AA82</f>
        <v>3899</v>
      </c>
      <c r="AB21" s="56">
        <f t="shared" ref="AB21:AL21" ca="1" si="8">SUM(AB11:AB20)</f>
        <v>4080</v>
      </c>
      <c r="AC21" s="56">
        <f>Group!AC82</f>
        <v>5277</v>
      </c>
      <c r="AD21" s="56">
        <f>Group!AD82</f>
        <v>4730</v>
      </c>
      <c r="AE21" s="56">
        <f>Group!AE82</f>
        <v>5509</v>
      </c>
      <c r="AF21" s="56">
        <f>Group!AF82</f>
        <v>5179</v>
      </c>
      <c r="AG21" s="56">
        <f>Group!AG82</f>
        <v>5670</v>
      </c>
      <c r="AH21" s="56">
        <f t="shared" ca="1" si="8"/>
        <v>4876.0190256926671</v>
      </c>
      <c r="AI21" s="56">
        <f t="shared" ca="1" si="8"/>
        <v>5022.3790256926668</v>
      </c>
      <c r="AJ21" s="56">
        <f t="shared" ca="1" si="8"/>
        <v>5164.2273506926667</v>
      </c>
      <c r="AK21" s="56">
        <f t="shared" ca="1" si="8"/>
        <v>5311.5617506926665</v>
      </c>
      <c r="AL21" s="56">
        <f t="shared" ca="1" si="8"/>
        <v>5454.3168005676662</v>
      </c>
      <c r="AM21" s="56">
        <f ca="1">SUM(AM11:AM20)</f>
        <v>5602.6402165676654</v>
      </c>
      <c r="AN21" s="56">
        <f ca="1">SUM(AN11:AN20)</f>
        <v>5746.3155921907901</v>
      </c>
      <c r="AO21" s="56">
        <f ca="1">SUM(AO11:AO20)</f>
        <v>5895.6428594307899</v>
      </c>
      <c r="AP21" s="56">
        <f ca="1">SUM(AP11:AP20)</f>
        <v>6040.2523656882613</v>
      </c>
    </row>
    <row r="22" spans="2:57" s="75" customFormat="1" x14ac:dyDescent="0.25">
      <c r="C22" s="76" t="s">
        <v>159</v>
      </c>
      <c r="D22" s="75" t="s">
        <v>32</v>
      </c>
      <c r="E22" s="77">
        <f>Group!E82</f>
        <v>2557.2000000000003</v>
      </c>
      <c r="F22" s="77">
        <f>Group!F82</f>
        <v>2867.6</v>
      </c>
      <c r="G22" s="77">
        <f>Group!G82</f>
        <v>3009.2999999999997</v>
      </c>
      <c r="H22" s="77">
        <f>Group!H82</f>
        <v>2461.5</v>
      </c>
      <c r="I22" s="77">
        <f>Group!I82</f>
        <v>2880.7</v>
      </c>
      <c r="J22" s="77">
        <f>Group!J82</f>
        <v>3118</v>
      </c>
      <c r="K22" s="77">
        <f>Group!K82</f>
        <v>3235</v>
      </c>
      <c r="L22" s="77">
        <f>Group!L82</f>
        <v>3283</v>
      </c>
      <c r="M22" s="77">
        <f>Group!M82</f>
        <v>3677</v>
      </c>
      <c r="N22" s="77">
        <f>Group!N82</f>
        <v>3800</v>
      </c>
      <c r="O22" s="77">
        <f>Group!O82</f>
        <v>3916</v>
      </c>
      <c r="P22" s="77">
        <f>Group!P82</f>
        <v>3529</v>
      </c>
      <c r="Q22" s="77">
        <f>Group!Q82</f>
        <v>3794</v>
      </c>
      <c r="R22" s="77">
        <f>Group!R82</f>
        <v>3938</v>
      </c>
      <c r="S22" s="77">
        <f>Group!S82</f>
        <v>4692</v>
      </c>
      <c r="T22" s="77">
        <f>Group!T82</f>
        <v>4704</v>
      </c>
      <c r="U22" s="77">
        <f>Group!U82</f>
        <v>4745</v>
      </c>
      <c r="V22" s="77">
        <f>Group!V82</f>
        <v>5022</v>
      </c>
      <c r="W22" s="77">
        <f>Group!W82</f>
        <v>4410</v>
      </c>
      <c r="X22" s="77">
        <f>Group!X82</f>
        <v>4754</v>
      </c>
      <c r="Y22" s="77">
        <f>Group!Y82</f>
        <v>4439</v>
      </c>
      <c r="Z22" s="77">
        <f>Group!Z82</f>
        <v>4472</v>
      </c>
      <c r="AA22" s="77">
        <f>Group!AA82</f>
        <v>3899</v>
      </c>
      <c r="AB22" s="77">
        <f>Group!AB82</f>
        <v>3907</v>
      </c>
      <c r="AC22" s="77">
        <f>Group!AC82</f>
        <v>5277</v>
      </c>
      <c r="AD22" s="77">
        <f>Group!AD82</f>
        <v>4730</v>
      </c>
      <c r="AE22" s="77">
        <f>Group!AE82</f>
        <v>5509</v>
      </c>
      <c r="AF22" s="77">
        <f>Group!AF82</f>
        <v>5179</v>
      </c>
      <c r="AG22" s="77">
        <f>Group!AG82</f>
        <v>5670</v>
      </c>
      <c r="AH22" s="77">
        <f ca="1">Group!AH82</f>
        <v>4876.0190256926671</v>
      </c>
      <c r="AI22" s="77">
        <f ca="1">Group!AI82</f>
        <v>5022.3790256926668</v>
      </c>
      <c r="AJ22" s="77">
        <f ca="1">Group!AJ82</f>
        <v>5164.2273506926667</v>
      </c>
      <c r="AK22" s="77">
        <f ca="1">Group!AK82</f>
        <v>5311.5617506926665</v>
      </c>
      <c r="AL22" s="77">
        <f ca="1">Group!AL82</f>
        <v>5454.3168005676662</v>
      </c>
      <c r="AM22" s="77">
        <f ca="1">Group!AM82</f>
        <v>5602.6402165676654</v>
      </c>
      <c r="AN22" s="77">
        <f ca="1">Group!AN82</f>
        <v>5746.3155921907901</v>
      </c>
      <c r="AO22" s="77">
        <f ca="1">Group!AO82</f>
        <v>5895.6428594307899</v>
      </c>
      <c r="AP22" s="77">
        <f ca="1">Group!AP82</f>
        <v>6040.2523656882613</v>
      </c>
    </row>
    <row r="23" spans="2:57" x14ac:dyDescent="0.25">
      <c r="E23" s="58"/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8"/>
      <c r="R23" s="58"/>
      <c r="S23" s="58"/>
      <c r="T23" s="58"/>
      <c r="U23" s="58"/>
      <c r="V23" s="58"/>
      <c r="W23" s="54"/>
      <c r="X23" s="58"/>
      <c r="Y23" s="58"/>
      <c r="Z23" s="58"/>
      <c r="AA23" s="58"/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</row>
    <row r="24" spans="2:57" x14ac:dyDescent="0.25"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58"/>
      <c r="S24" s="58"/>
      <c r="T24" s="58"/>
      <c r="U24" s="58"/>
      <c r="V24" s="58"/>
      <c r="W24" s="58"/>
      <c r="X24" s="58"/>
      <c r="Y24" s="58"/>
      <c r="Z24" s="58"/>
      <c r="AA24" s="58"/>
      <c r="AB24" s="54">
        <f ca="1">4.3%*AB21</f>
        <v>175.44</v>
      </c>
      <c r="AC24" s="54">
        <f>5.5%*AC21</f>
        <v>290.23500000000001</v>
      </c>
      <c r="AD24" s="54">
        <f>AC24+40</f>
        <v>330.23500000000001</v>
      </c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</row>
    <row r="25" spans="2:57" s="23" customFormat="1" x14ac:dyDescent="0.25">
      <c r="B25" s="23" t="s">
        <v>74</v>
      </c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  <c r="AA25" s="24"/>
      <c r="AB25" s="24"/>
      <c r="AC25" s="24"/>
      <c r="AD25" s="24"/>
      <c r="AE25" s="24"/>
      <c r="AF25" s="24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E25" s="25"/>
    </row>
    <row r="26" spans="2:57" s="12" customFormat="1" x14ac:dyDescent="0.25">
      <c r="C26" s="12" t="s">
        <v>160</v>
      </c>
      <c r="E26" s="67"/>
      <c r="F26" s="67"/>
      <c r="G26" s="67"/>
      <c r="H26" s="67"/>
      <c r="I26" s="67"/>
      <c r="J26" s="67"/>
      <c r="K26" s="67"/>
      <c r="L26" s="67"/>
      <c r="M26" s="67"/>
      <c r="N26" s="67"/>
      <c r="O26" s="67"/>
      <c r="P26" s="67"/>
      <c r="Q26" s="67"/>
      <c r="R26" s="67"/>
      <c r="S26" s="67"/>
      <c r="T26" s="67"/>
      <c r="U26" s="67"/>
      <c r="V26" s="67"/>
      <c r="W26" s="67"/>
      <c r="X26" s="67"/>
      <c r="Y26" s="67"/>
      <c r="Z26" s="67"/>
      <c r="AA26" s="67"/>
      <c r="AB26" s="67"/>
      <c r="AC26" s="67"/>
      <c r="AD26" s="67"/>
      <c r="AE26" s="67"/>
      <c r="AF26" s="67"/>
      <c r="AG26" s="67"/>
      <c r="AH26" s="67"/>
      <c r="AI26" s="67"/>
      <c r="AJ26" s="67"/>
      <c r="AK26" s="67"/>
      <c r="AL26" s="67"/>
      <c r="AM26" s="67"/>
      <c r="AN26" s="67"/>
      <c r="AO26" s="67"/>
      <c r="AP26" s="67"/>
    </row>
    <row r="27" spans="2:57" x14ac:dyDescent="0.25">
      <c r="C27" t="s">
        <v>161</v>
      </c>
      <c r="D27" t="s">
        <v>32</v>
      </c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8">
        <v>3340</v>
      </c>
      <c r="T27" s="58">
        <v>3837</v>
      </c>
      <c r="U27" s="58">
        <v>3632</v>
      </c>
      <c r="V27" s="58">
        <v>3118</v>
      </c>
      <c r="W27" s="58">
        <v>2939</v>
      </c>
      <c r="X27" s="58">
        <v>3080</v>
      </c>
      <c r="Y27" s="58">
        <v>2952</v>
      </c>
      <c r="Z27" s="58">
        <f>AVERAGE(2855,2453)</f>
        <v>2654</v>
      </c>
      <c r="AA27" s="58">
        <v>2301</v>
      </c>
      <c r="AB27" s="58">
        <v>2203</v>
      </c>
      <c r="AC27" s="58">
        <v>2562</v>
      </c>
      <c r="AD27" s="58">
        <v>2700</v>
      </c>
      <c r="AE27" s="58">
        <v>3750</v>
      </c>
      <c r="AF27" s="58">
        <v>3500</v>
      </c>
      <c r="AG27" s="58">
        <v>3500</v>
      </c>
      <c r="AH27" s="68">
        <v>3500</v>
      </c>
      <c r="AI27" s="68">
        <f>AVERAGE(AH27,AJ27)</f>
        <v>3000</v>
      </c>
      <c r="AJ27" s="68">
        <v>2500</v>
      </c>
      <c r="AK27" s="68">
        <f>AVERAGE(AJ27,AL27)</f>
        <v>2375</v>
      </c>
      <c r="AL27" s="68">
        <v>2250</v>
      </c>
      <c r="AM27" s="68">
        <f>AVERAGE(AL27,AN27)</f>
        <v>2125</v>
      </c>
      <c r="AN27" s="68">
        <v>2000</v>
      </c>
      <c r="AO27" s="68">
        <f>AVERAGE(AN27,AP27)</f>
        <v>1500</v>
      </c>
      <c r="AP27" s="68">
        <v>1000</v>
      </c>
    </row>
    <row r="28" spans="2:57" x14ac:dyDescent="0.25">
      <c r="C28" t="s">
        <v>162</v>
      </c>
      <c r="E28" s="64"/>
      <c r="F28" s="64"/>
      <c r="G28" s="64"/>
      <c r="H28" s="64"/>
      <c r="I28" s="64"/>
      <c r="J28" s="64"/>
      <c r="K28" s="64"/>
      <c r="L28" s="64"/>
      <c r="M28" s="64"/>
      <c r="N28" s="64"/>
      <c r="O28" s="64"/>
      <c r="P28" s="64"/>
      <c r="Q28" s="64"/>
      <c r="R28" s="64"/>
      <c r="S28" s="65">
        <v>3.4000000000000002E-2</v>
      </c>
      <c r="T28" s="65">
        <f>2.6%/79%</f>
        <v>3.2911392405063293E-2</v>
      </c>
      <c r="U28" s="65">
        <f>3.1%/84%</f>
        <v>3.6904761904761905E-2</v>
      </c>
      <c r="V28" s="65">
        <f>2.3%/72%</f>
        <v>3.1944444444444442E-2</v>
      </c>
      <c r="W28" s="65">
        <f>2.1%/69%</f>
        <v>3.0434782608695657E-2</v>
      </c>
      <c r="X28" s="65">
        <f>2.2%/72%</f>
        <v>3.0555555555555558E-2</v>
      </c>
      <c r="Y28" s="65">
        <f>2.1%/70%</f>
        <v>3.0000000000000002E-2</v>
      </c>
      <c r="Z28" s="65">
        <f>2.1%/64%</f>
        <v>3.2812500000000001E-2</v>
      </c>
      <c r="AA28" s="65">
        <f>1.8%/59%</f>
        <v>3.0508474576271191E-2</v>
      </c>
      <c r="AB28" s="65">
        <f>1.9%/62%*1.05</f>
        <v>3.2177419354838713E-2</v>
      </c>
      <c r="AC28" s="65">
        <f>2%/56%</f>
        <v>3.5714285714285712E-2</v>
      </c>
      <c r="AD28" s="65">
        <v>3.3000000000000002E-2</v>
      </c>
      <c r="AE28" s="65">
        <v>3.2000000000000001E-2</v>
      </c>
      <c r="AF28" s="69">
        <v>3.3000000000000002E-2</v>
      </c>
      <c r="AG28" s="69">
        <f>AVERAGE(AF28,AH28)</f>
        <v>3.3000000000000002E-2</v>
      </c>
      <c r="AH28" s="69">
        <v>3.3000000000000002E-2</v>
      </c>
      <c r="AI28" s="69">
        <f>AVERAGE(AH28,AJ28)</f>
        <v>3.4000000000000002E-2</v>
      </c>
      <c r="AJ28" s="69">
        <v>3.5000000000000003E-2</v>
      </c>
      <c r="AK28" s="69">
        <f>AVERAGE(AJ28,AL28)</f>
        <v>3.5500000000000004E-2</v>
      </c>
      <c r="AL28" s="69">
        <v>3.5999999999999997E-2</v>
      </c>
      <c r="AM28" s="69">
        <f>AVERAGE(AL28,AN28)</f>
        <v>3.5999999999999997E-2</v>
      </c>
      <c r="AN28" s="69">
        <v>3.5999999999999997E-2</v>
      </c>
      <c r="AO28" s="69">
        <f>AVERAGE(AN28,AP28)</f>
        <v>3.5999999999999997E-2</v>
      </c>
      <c r="AP28" s="69">
        <v>3.5999999999999997E-2</v>
      </c>
    </row>
    <row r="29" spans="2:57" x14ac:dyDescent="0.25">
      <c r="C29" t="s">
        <v>129</v>
      </c>
      <c r="E29" s="64">
        <v>1.7000000000000001E-2</v>
      </c>
      <c r="F29" s="64">
        <f>E29</f>
        <v>1.7000000000000001E-2</v>
      </c>
      <c r="G29" s="64">
        <f t="shared" ref="G29:AL29" si="9">F29</f>
        <v>1.7000000000000001E-2</v>
      </c>
      <c r="H29" s="64">
        <f t="shared" si="9"/>
        <v>1.7000000000000001E-2</v>
      </c>
      <c r="I29" s="64">
        <f t="shared" si="9"/>
        <v>1.7000000000000001E-2</v>
      </c>
      <c r="J29" s="64">
        <f t="shared" si="9"/>
        <v>1.7000000000000001E-2</v>
      </c>
      <c r="K29" s="64">
        <f t="shared" si="9"/>
        <v>1.7000000000000001E-2</v>
      </c>
      <c r="L29" s="64">
        <f t="shared" si="9"/>
        <v>1.7000000000000001E-2</v>
      </c>
      <c r="M29" s="64">
        <f t="shared" si="9"/>
        <v>1.7000000000000001E-2</v>
      </c>
      <c r="N29" s="64">
        <f t="shared" si="9"/>
        <v>1.7000000000000001E-2</v>
      </c>
      <c r="O29" s="64">
        <f t="shared" si="9"/>
        <v>1.7000000000000001E-2</v>
      </c>
      <c r="P29" s="64">
        <f t="shared" si="9"/>
        <v>1.7000000000000001E-2</v>
      </c>
      <c r="Q29" s="64">
        <f t="shared" si="9"/>
        <v>1.7000000000000001E-2</v>
      </c>
      <c r="R29" s="64">
        <f t="shared" si="9"/>
        <v>1.7000000000000001E-2</v>
      </c>
      <c r="S29" s="65">
        <v>2.3E-2</v>
      </c>
      <c r="T29" s="65">
        <v>1.9E-2</v>
      </c>
      <c r="U29" s="65">
        <v>1.55E-2</v>
      </c>
      <c r="V29" s="65">
        <v>1.7500000000000002E-2</v>
      </c>
      <c r="W29" s="65">
        <v>2.4500000000000001E-2</v>
      </c>
      <c r="X29" s="65">
        <v>2.1999999999999999E-2</v>
      </c>
      <c r="Y29" s="65">
        <v>2.1499999999999998E-2</v>
      </c>
      <c r="Z29" s="65">
        <v>2.1999999999999999E-2</v>
      </c>
      <c r="AA29" s="65">
        <v>1.2E-2</v>
      </c>
      <c r="AB29" s="64">
        <v>1.4999999999999999E-2</v>
      </c>
      <c r="AC29" s="64">
        <v>1.2E-2</v>
      </c>
      <c r="AD29" s="64">
        <v>1.2999999999999999E-2</v>
      </c>
      <c r="AE29" s="64">
        <v>1.4999999999999999E-2</v>
      </c>
      <c r="AF29" s="64">
        <f t="shared" si="9"/>
        <v>1.4999999999999999E-2</v>
      </c>
      <c r="AG29" s="64">
        <v>2.5000000000000001E-2</v>
      </c>
      <c r="AH29" s="64">
        <f t="shared" si="9"/>
        <v>2.5000000000000001E-2</v>
      </c>
      <c r="AI29" s="64">
        <f t="shared" si="9"/>
        <v>2.5000000000000001E-2</v>
      </c>
      <c r="AJ29" s="64">
        <f t="shared" si="9"/>
        <v>2.5000000000000001E-2</v>
      </c>
      <c r="AK29" s="64">
        <f t="shared" si="9"/>
        <v>2.5000000000000001E-2</v>
      </c>
      <c r="AL29" s="64">
        <f t="shared" si="9"/>
        <v>2.5000000000000001E-2</v>
      </c>
      <c r="AM29" s="64">
        <f>AL29</f>
        <v>2.5000000000000001E-2</v>
      </c>
      <c r="AN29" s="64">
        <f>AM29</f>
        <v>2.5000000000000001E-2</v>
      </c>
      <c r="AO29" s="64">
        <f>AN29</f>
        <v>2.5000000000000001E-2</v>
      </c>
      <c r="AP29" s="64">
        <f>AO29</f>
        <v>2.5000000000000001E-2</v>
      </c>
    </row>
    <row r="30" spans="2:57" x14ac:dyDescent="0.25">
      <c r="C30" t="s">
        <v>163</v>
      </c>
      <c r="E30" s="64">
        <f>E28+E29</f>
        <v>1.7000000000000001E-2</v>
      </c>
      <c r="F30" s="64">
        <f t="shared" ref="F30:AL30" si="10">F28+F29</f>
        <v>1.7000000000000001E-2</v>
      </c>
      <c r="G30" s="64">
        <f t="shared" si="10"/>
        <v>1.7000000000000001E-2</v>
      </c>
      <c r="H30" s="64">
        <f t="shared" si="10"/>
        <v>1.7000000000000001E-2</v>
      </c>
      <c r="I30" s="64">
        <f t="shared" si="10"/>
        <v>1.7000000000000001E-2</v>
      </c>
      <c r="J30" s="64">
        <f t="shared" si="10"/>
        <v>1.7000000000000001E-2</v>
      </c>
      <c r="K30" s="64">
        <f t="shared" si="10"/>
        <v>1.7000000000000001E-2</v>
      </c>
      <c r="L30" s="64">
        <f t="shared" si="10"/>
        <v>1.7000000000000001E-2</v>
      </c>
      <c r="M30" s="64">
        <f t="shared" si="10"/>
        <v>1.7000000000000001E-2</v>
      </c>
      <c r="N30" s="64">
        <f t="shared" si="10"/>
        <v>1.7000000000000001E-2</v>
      </c>
      <c r="O30" s="64">
        <f t="shared" si="10"/>
        <v>1.7000000000000001E-2</v>
      </c>
      <c r="P30" s="64">
        <f t="shared" si="10"/>
        <v>1.7000000000000001E-2</v>
      </c>
      <c r="Q30" s="64">
        <f t="shared" si="10"/>
        <v>1.7000000000000001E-2</v>
      </c>
      <c r="R30" s="64">
        <f t="shared" si="10"/>
        <v>1.7000000000000001E-2</v>
      </c>
      <c r="S30" s="64">
        <f t="shared" si="10"/>
        <v>5.7000000000000002E-2</v>
      </c>
      <c r="T30" s="64">
        <f t="shared" si="10"/>
        <v>5.1911392405063289E-2</v>
      </c>
      <c r="U30" s="64">
        <f t="shared" si="10"/>
        <v>5.2404761904761905E-2</v>
      </c>
      <c r="V30" s="64">
        <f t="shared" si="10"/>
        <v>4.9444444444444444E-2</v>
      </c>
      <c r="W30" s="64">
        <f t="shared" si="10"/>
        <v>5.4934782608695658E-2</v>
      </c>
      <c r="X30" s="64">
        <f t="shared" si="10"/>
        <v>5.2555555555555557E-2</v>
      </c>
      <c r="Y30" s="64">
        <f t="shared" si="10"/>
        <v>5.1500000000000004E-2</v>
      </c>
      <c r="Z30" s="64">
        <f t="shared" si="10"/>
        <v>5.48125E-2</v>
      </c>
      <c r="AA30" s="64">
        <f t="shared" si="10"/>
        <v>4.2508474576271188E-2</v>
      </c>
      <c r="AB30" s="64">
        <f t="shared" si="10"/>
        <v>4.7177419354838712E-2</v>
      </c>
      <c r="AC30" s="64">
        <f t="shared" si="10"/>
        <v>4.7714285714285709E-2</v>
      </c>
      <c r="AD30" s="64">
        <f t="shared" si="10"/>
        <v>4.5999999999999999E-2</v>
      </c>
      <c r="AE30" s="64">
        <f t="shared" si="10"/>
        <v>4.7E-2</v>
      </c>
      <c r="AF30" s="64">
        <f t="shared" si="10"/>
        <v>4.8000000000000001E-2</v>
      </c>
      <c r="AG30" s="64">
        <f t="shared" si="10"/>
        <v>5.8000000000000003E-2</v>
      </c>
      <c r="AH30" s="64">
        <f t="shared" si="10"/>
        <v>5.8000000000000003E-2</v>
      </c>
      <c r="AI30" s="64">
        <f t="shared" si="10"/>
        <v>5.9000000000000004E-2</v>
      </c>
      <c r="AJ30" s="64">
        <f t="shared" si="10"/>
        <v>6.0000000000000005E-2</v>
      </c>
      <c r="AK30" s="64">
        <f t="shared" si="10"/>
        <v>6.0500000000000005E-2</v>
      </c>
      <c r="AL30" s="64">
        <f t="shared" si="10"/>
        <v>6.0999999999999999E-2</v>
      </c>
      <c r="AM30" s="64">
        <f>AM28+AM29</f>
        <v>6.0999999999999999E-2</v>
      </c>
      <c r="AN30" s="64">
        <f>AN28+AN29</f>
        <v>6.0999999999999999E-2</v>
      </c>
      <c r="AO30" s="64">
        <f>AO28+AO29</f>
        <v>6.0999999999999999E-2</v>
      </c>
      <c r="AP30" s="64">
        <f>AP28+AP29</f>
        <v>6.0999999999999999E-2</v>
      </c>
    </row>
    <row r="31" spans="2:57" s="6" customFormat="1" x14ac:dyDescent="0.25">
      <c r="C31" s="6" t="s">
        <v>171</v>
      </c>
      <c r="D31" s="6" t="s">
        <v>32</v>
      </c>
      <c r="E31" s="46">
        <f t="shared" ref="E31:AL31" si="11">E27*E30*0.5</f>
        <v>0</v>
      </c>
      <c r="F31" s="46">
        <f t="shared" si="11"/>
        <v>0</v>
      </c>
      <c r="G31" s="46">
        <f t="shared" si="11"/>
        <v>0</v>
      </c>
      <c r="H31" s="46">
        <f t="shared" si="11"/>
        <v>0</v>
      </c>
      <c r="I31" s="46">
        <f t="shared" si="11"/>
        <v>0</v>
      </c>
      <c r="J31" s="46">
        <f t="shared" si="11"/>
        <v>0</v>
      </c>
      <c r="K31" s="46">
        <f t="shared" si="11"/>
        <v>0</v>
      </c>
      <c r="L31" s="46">
        <f t="shared" si="11"/>
        <v>0</v>
      </c>
      <c r="M31" s="46">
        <f t="shared" si="11"/>
        <v>0</v>
      </c>
      <c r="N31" s="46">
        <f t="shared" si="11"/>
        <v>0</v>
      </c>
      <c r="O31" s="46">
        <f t="shared" si="11"/>
        <v>0</v>
      </c>
      <c r="P31" s="46">
        <f t="shared" si="11"/>
        <v>0</v>
      </c>
      <c r="Q31" s="46">
        <f t="shared" si="11"/>
        <v>0</v>
      </c>
      <c r="R31" s="46">
        <f t="shared" si="11"/>
        <v>0</v>
      </c>
      <c r="S31" s="46">
        <f t="shared" si="11"/>
        <v>95.19</v>
      </c>
      <c r="T31" s="46">
        <f t="shared" si="11"/>
        <v>99.592006329113914</v>
      </c>
      <c r="U31" s="46">
        <f t="shared" si="11"/>
        <v>95.167047619047622</v>
      </c>
      <c r="V31" s="46">
        <f t="shared" si="11"/>
        <v>77.083888888888893</v>
      </c>
      <c r="W31" s="46">
        <f t="shared" si="11"/>
        <v>80.726663043478268</v>
      </c>
      <c r="X31" s="46">
        <f t="shared" si="11"/>
        <v>80.935555555555553</v>
      </c>
      <c r="Y31" s="46">
        <f t="shared" si="11"/>
        <v>76.01400000000001</v>
      </c>
      <c r="Z31" s="46">
        <f t="shared" si="11"/>
        <v>72.7361875</v>
      </c>
      <c r="AA31" s="46">
        <f t="shared" si="11"/>
        <v>48.905999999999999</v>
      </c>
      <c r="AB31" s="46">
        <f t="shared" si="11"/>
        <v>51.965927419354841</v>
      </c>
      <c r="AC31" s="46">
        <f t="shared" si="11"/>
        <v>61.121999999999993</v>
      </c>
      <c r="AD31" s="46">
        <f t="shared" si="11"/>
        <v>62.1</v>
      </c>
      <c r="AE31" s="46">
        <f t="shared" si="11"/>
        <v>88.125</v>
      </c>
      <c r="AF31" s="46">
        <f t="shared" si="11"/>
        <v>84</v>
      </c>
      <c r="AG31" s="46">
        <f t="shared" si="11"/>
        <v>101.5</v>
      </c>
      <c r="AH31" s="46">
        <f t="shared" si="11"/>
        <v>101.5</v>
      </c>
      <c r="AI31" s="46">
        <f t="shared" si="11"/>
        <v>88.5</v>
      </c>
      <c r="AJ31" s="46">
        <f t="shared" si="11"/>
        <v>75</v>
      </c>
      <c r="AK31" s="46">
        <f t="shared" si="11"/>
        <v>71.84375</v>
      </c>
      <c r="AL31" s="46">
        <f t="shared" si="11"/>
        <v>68.625</v>
      </c>
      <c r="AM31" s="46">
        <f>AM27*AM30*0.5</f>
        <v>64.8125</v>
      </c>
      <c r="AN31" s="46">
        <f>AN27*AN30*0.5</f>
        <v>61</v>
      </c>
      <c r="AO31" s="46">
        <f>AO27*AO30*0.5</f>
        <v>45.75</v>
      </c>
      <c r="AP31" s="46">
        <f>AP27*AP30*0.5</f>
        <v>30.5</v>
      </c>
    </row>
    <row r="32" spans="2:57" x14ac:dyDescent="0.25">
      <c r="E32" s="54"/>
      <c r="F32" s="54"/>
      <c r="G32" s="54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54"/>
      <c r="T32" s="54"/>
      <c r="U32" s="54"/>
      <c r="V32" s="54"/>
      <c r="W32" s="54"/>
      <c r="X32" s="54"/>
      <c r="Y32" s="54"/>
      <c r="Z32" s="54"/>
      <c r="AA32" s="54"/>
      <c r="AB32" s="54"/>
      <c r="AC32" s="54"/>
      <c r="AD32" s="54"/>
      <c r="AE32" s="54"/>
      <c r="AF32" s="54"/>
      <c r="AG32" s="54"/>
      <c r="AH32" s="54"/>
      <c r="AI32" s="54"/>
      <c r="AJ32" s="54"/>
      <c r="AK32" s="54"/>
      <c r="AL32" s="54"/>
      <c r="AM32" s="54"/>
      <c r="AN32" s="54"/>
      <c r="AO32" s="54"/>
      <c r="AP32" s="54"/>
    </row>
    <row r="33" spans="3:42" s="12" customFormat="1" x14ac:dyDescent="0.25">
      <c r="C33" s="12" t="s">
        <v>164</v>
      </c>
      <c r="E33" s="67"/>
      <c r="F33" s="67"/>
      <c r="G33" s="67"/>
      <c r="H33" s="67"/>
      <c r="I33" s="67"/>
      <c r="J33" s="67"/>
      <c r="K33" s="67"/>
      <c r="L33" s="67"/>
      <c r="M33" s="67"/>
      <c r="N33" s="67"/>
      <c r="O33" s="67"/>
      <c r="P33" s="67"/>
      <c r="Q33" s="67"/>
      <c r="R33" s="67"/>
      <c r="S33" s="67"/>
      <c r="T33" s="67"/>
      <c r="U33" s="67"/>
      <c r="V33" s="67"/>
      <c r="W33" s="67"/>
      <c r="X33" s="67"/>
      <c r="Y33" s="67"/>
      <c r="Z33" s="67"/>
      <c r="AA33" s="67"/>
      <c r="AB33" s="67"/>
      <c r="AC33" s="67"/>
      <c r="AD33" s="67"/>
      <c r="AE33" s="67"/>
      <c r="AF33" s="67"/>
      <c r="AG33" s="67"/>
      <c r="AH33" s="67"/>
      <c r="AI33" s="67"/>
      <c r="AJ33" s="67"/>
      <c r="AK33" s="67"/>
      <c r="AL33" s="67"/>
      <c r="AM33" s="67"/>
      <c r="AN33" s="67"/>
      <c r="AO33" s="67"/>
      <c r="AP33" s="67"/>
    </row>
    <row r="34" spans="3:42" x14ac:dyDescent="0.25">
      <c r="C34" t="s">
        <v>165</v>
      </c>
      <c r="D34" t="s">
        <v>32</v>
      </c>
      <c r="E34" s="54">
        <f t="shared" ref="E34:AL34" si="12">E11-E27</f>
        <v>0</v>
      </c>
      <c r="F34" s="54">
        <f t="shared" si="12"/>
        <v>2557.2000000000003</v>
      </c>
      <c r="G34" s="54">
        <f t="shared" si="12"/>
        <v>2867.6</v>
      </c>
      <c r="H34" s="54">
        <f t="shared" si="12"/>
        <v>3009.2999999999997</v>
      </c>
      <c r="I34" s="54">
        <f t="shared" si="12"/>
        <v>2461.5</v>
      </c>
      <c r="J34" s="54">
        <f t="shared" si="12"/>
        <v>2880.7</v>
      </c>
      <c r="K34" s="54">
        <f t="shared" si="12"/>
        <v>3118</v>
      </c>
      <c r="L34" s="54">
        <f t="shared" si="12"/>
        <v>3235</v>
      </c>
      <c r="M34" s="54">
        <f t="shared" si="12"/>
        <v>3283</v>
      </c>
      <c r="N34" s="54">
        <f t="shared" si="12"/>
        <v>3677</v>
      </c>
      <c r="O34" s="54">
        <f t="shared" si="12"/>
        <v>3800</v>
      </c>
      <c r="P34" s="54">
        <f t="shared" si="12"/>
        <v>3916</v>
      </c>
      <c r="Q34" s="54">
        <f t="shared" si="12"/>
        <v>3529</v>
      </c>
      <c r="R34" s="54">
        <f t="shared" si="12"/>
        <v>3794</v>
      </c>
      <c r="S34" s="54">
        <f t="shared" si="12"/>
        <v>598</v>
      </c>
      <c r="T34" s="54">
        <f t="shared" si="12"/>
        <v>855</v>
      </c>
      <c r="U34" s="54">
        <f t="shared" si="12"/>
        <v>1072</v>
      </c>
      <c r="V34" s="54">
        <f t="shared" si="12"/>
        <v>1627</v>
      </c>
      <c r="W34" s="54">
        <f t="shared" si="12"/>
        <v>2083</v>
      </c>
      <c r="X34" s="54">
        <f t="shared" si="12"/>
        <v>1330</v>
      </c>
      <c r="Y34" s="54">
        <f t="shared" si="12"/>
        <v>1802</v>
      </c>
      <c r="Z34" s="54">
        <f t="shared" si="12"/>
        <v>1785</v>
      </c>
      <c r="AA34" s="54">
        <f t="shared" si="12"/>
        <v>2171</v>
      </c>
      <c r="AB34" s="54">
        <f t="shared" si="12"/>
        <v>1696</v>
      </c>
      <c r="AC34" s="54">
        <f t="shared" ca="1" si="12"/>
        <v>1518</v>
      </c>
      <c r="AD34" s="54">
        <f t="shared" si="12"/>
        <v>2577</v>
      </c>
      <c r="AE34" s="54">
        <f t="shared" si="12"/>
        <v>980</v>
      </c>
      <c r="AF34" s="54">
        <f t="shared" si="12"/>
        <v>2009</v>
      </c>
      <c r="AG34" s="54">
        <f t="shared" si="12"/>
        <v>1679</v>
      </c>
      <c r="AH34" s="54">
        <f t="shared" si="12"/>
        <v>2170</v>
      </c>
      <c r="AI34" s="54">
        <f t="shared" ca="1" si="12"/>
        <v>1876.0190256926671</v>
      </c>
      <c r="AJ34" s="54">
        <f t="shared" ca="1" si="12"/>
        <v>2522.3790256926668</v>
      </c>
      <c r="AK34" s="54">
        <f t="shared" ca="1" si="12"/>
        <v>2789.2273506926667</v>
      </c>
      <c r="AL34" s="54">
        <f t="shared" ca="1" si="12"/>
        <v>3061.5617506926665</v>
      </c>
      <c r="AM34" s="54">
        <f ca="1">AM11-AM27</f>
        <v>3329.3168005676662</v>
      </c>
      <c r="AN34" s="54">
        <f ca="1">AN11-AN27</f>
        <v>3602.6402165676654</v>
      </c>
      <c r="AO34" s="54">
        <f ca="1">AO11-AO27</f>
        <v>4246.3155921907901</v>
      </c>
      <c r="AP34" s="54">
        <f ca="1">AP11-AP27</f>
        <v>4895.6428594307899</v>
      </c>
    </row>
    <row r="35" spans="3:42" x14ac:dyDescent="0.25">
      <c r="C35" t="s">
        <v>167</v>
      </c>
      <c r="E35" s="64"/>
      <c r="F35" s="64"/>
      <c r="G35" s="64"/>
      <c r="H35" s="64"/>
      <c r="I35" s="64">
        <v>6.0999999999999999E-2</v>
      </c>
      <c r="J35" s="64">
        <v>5.45E-2</v>
      </c>
      <c r="K35" s="64">
        <v>5.0999999999999997E-2</v>
      </c>
      <c r="L35" s="64">
        <v>4.5499999999999999E-2</v>
      </c>
      <c r="M35" s="64">
        <v>4.3999999999999997E-2</v>
      </c>
      <c r="N35" s="64">
        <v>3.7999999999999999E-2</v>
      </c>
      <c r="O35" s="64">
        <v>3.7499999999999999E-2</v>
      </c>
      <c r="P35" s="64">
        <v>3.9E-2</v>
      </c>
      <c r="Q35" s="64">
        <v>4.2000000000000003E-2</v>
      </c>
      <c r="R35" s="64">
        <v>4.9000000000000002E-2</v>
      </c>
      <c r="S35" s="65">
        <v>1.9E-2</v>
      </c>
      <c r="T35" s="65">
        <f>0.4%/21%</f>
        <v>1.9047619047619049E-2</v>
      </c>
      <c r="U35" s="65">
        <f>0.2%/16%</f>
        <v>1.2500000000000001E-2</v>
      </c>
      <c r="V35" s="65">
        <f>0.2%/28%</f>
        <v>7.1428571428571426E-3</v>
      </c>
      <c r="W35" s="65">
        <v>0</v>
      </c>
      <c r="X35" s="65">
        <v>0</v>
      </c>
      <c r="Y35" s="65">
        <v>0</v>
      </c>
      <c r="Z35" s="65">
        <v>0</v>
      </c>
      <c r="AA35" s="65">
        <f>1.1%/41%</f>
        <v>2.682926829268293E-2</v>
      </c>
      <c r="AB35" s="65">
        <f>1.2%/38%*1.2</f>
        <v>3.7894736842105266E-2</v>
      </c>
      <c r="AC35" s="65">
        <f>1.9%/44%</f>
        <v>4.3181818181818182E-2</v>
      </c>
      <c r="AD35" s="65">
        <v>4.3999999999999997E-2</v>
      </c>
      <c r="AE35" s="65">
        <v>4.3499999999999997E-2</v>
      </c>
      <c r="AF35" s="69">
        <v>4.1000000000000002E-2</v>
      </c>
      <c r="AG35" s="69">
        <v>3.7999999999999999E-2</v>
      </c>
      <c r="AH35" s="69">
        <v>3.9E-2</v>
      </c>
      <c r="AI35" s="69">
        <f>AH35</f>
        <v>3.9E-2</v>
      </c>
      <c r="AJ35" s="69">
        <f t="shared" ref="AJ35:AP35" si="13">AI35</f>
        <v>3.9E-2</v>
      </c>
      <c r="AK35" s="69">
        <f t="shared" si="13"/>
        <v>3.9E-2</v>
      </c>
      <c r="AL35" s="69">
        <f t="shared" si="13"/>
        <v>3.9E-2</v>
      </c>
      <c r="AM35" s="69">
        <f t="shared" si="13"/>
        <v>3.9E-2</v>
      </c>
      <c r="AN35" s="69">
        <f t="shared" si="13"/>
        <v>3.9E-2</v>
      </c>
      <c r="AO35" s="69">
        <f t="shared" si="13"/>
        <v>3.9E-2</v>
      </c>
      <c r="AP35" s="69">
        <f t="shared" si="13"/>
        <v>3.9E-2</v>
      </c>
    </row>
    <row r="36" spans="3:42" x14ac:dyDescent="0.25">
      <c r="C36" t="s">
        <v>129</v>
      </c>
      <c r="E36" s="64">
        <f>E29</f>
        <v>1.7000000000000001E-2</v>
      </c>
      <c r="F36" s="64">
        <f t="shared" ref="F36:AL36" si="14">F29</f>
        <v>1.7000000000000001E-2</v>
      </c>
      <c r="G36" s="64">
        <f t="shared" si="14"/>
        <v>1.7000000000000001E-2</v>
      </c>
      <c r="H36" s="64">
        <f t="shared" si="14"/>
        <v>1.7000000000000001E-2</v>
      </c>
      <c r="I36" s="64">
        <f t="shared" si="14"/>
        <v>1.7000000000000001E-2</v>
      </c>
      <c r="J36" s="64">
        <f t="shared" si="14"/>
        <v>1.7000000000000001E-2</v>
      </c>
      <c r="K36" s="64">
        <f t="shared" si="14"/>
        <v>1.7000000000000001E-2</v>
      </c>
      <c r="L36" s="64">
        <f t="shared" si="14"/>
        <v>1.7000000000000001E-2</v>
      </c>
      <c r="M36" s="64">
        <f t="shared" si="14"/>
        <v>1.7000000000000001E-2</v>
      </c>
      <c r="N36" s="64">
        <f t="shared" si="14"/>
        <v>1.7000000000000001E-2</v>
      </c>
      <c r="O36" s="64">
        <f t="shared" si="14"/>
        <v>1.7000000000000001E-2</v>
      </c>
      <c r="P36" s="64">
        <f t="shared" si="14"/>
        <v>1.7000000000000001E-2</v>
      </c>
      <c r="Q36" s="64">
        <f t="shared" si="14"/>
        <v>1.7000000000000001E-2</v>
      </c>
      <c r="R36" s="64">
        <f t="shared" si="14"/>
        <v>1.7000000000000001E-2</v>
      </c>
      <c r="S36" s="64">
        <f t="shared" si="14"/>
        <v>2.3E-2</v>
      </c>
      <c r="T36" s="64">
        <f t="shared" si="14"/>
        <v>1.9E-2</v>
      </c>
      <c r="U36" s="64">
        <f t="shared" si="14"/>
        <v>1.55E-2</v>
      </c>
      <c r="V36" s="64">
        <f t="shared" si="14"/>
        <v>1.7500000000000002E-2</v>
      </c>
      <c r="W36" s="64">
        <f t="shared" si="14"/>
        <v>2.4500000000000001E-2</v>
      </c>
      <c r="X36" s="64">
        <f t="shared" si="14"/>
        <v>2.1999999999999999E-2</v>
      </c>
      <c r="Y36" s="64">
        <f t="shared" si="14"/>
        <v>2.1499999999999998E-2</v>
      </c>
      <c r="Z36" s="64">
        <f t="shared" si="14"/>
        <v>2.1999999999999999E-2</v>
      </c>
      <c r="AA36" s="64">
        <f t="shared" si="14"/>
        <v>1.2E-2</v>
      </c>
      <c r="AB36" s="64">
        <f t="shared" si="14"/>
        <v>1.4999999999999999E-2</v>
      </c>
      <c r="AC36" s="64">
        <f t="shared" si="14"/>
        <v>1.2E-2</v>
      </c>
      <c r="AD36" s="64">
        <f t="shared" si="14"/>
        <v>1.2999999999999999E-2</v>
      </c>
      <c r="AE36" s="64">
        <f t="shared" si="14"/>
        <v>1.4999999999999999E-2</v>
      </c>
      <c r="AF36" s="64">
        <f t="shared" si="14"/>
        <v>1.4999999999999999E-2</v>
      </c>
      <c r="AG36" s="64">
        <f t="shared" si="14"/>
        <v>2.5000000000000001E-2</v>
      </c>
      <c r="AH36" s="64">
        <f t="shared" si="14"/>
        <v>2.5000000000000001E-2</v>
      </c>
      <c r="AI36" s="64">
        <f t="shared" si="14"/>
        <v>2.5000000000000001E-2</v>
      </c>
      <c r="AJ36" s="64">
        <f t="shared" si="14"/>
        <v>2.5000000000000001E-2</v>
      </c>
      <c r="AK36" s="64">
        <f t="shared" si="14"/>
        <v>2.5000000000000001E-2</v>
      </c>
      <c r="AL36" s="64">
        <f t="shared" si="14"/>
        <v>2.5000000000000001E-2</v>
      </c>
      <c r="AM36" s="64">
        <f>AM29</f>
        <v>2.5000000000000001E-2</v>
      </c>
      <c r="AN36" s="64">
        <f>AN29</f>
        <v>2.5000000000000001E-2</v>
      </c>
      <c r="AO36" s="64">
        <f>AO29</f>
        <v>2.5000000000000001E-2</v>
      </c>
      <c r="AP36" s="64">
        <f>AP29</f>
        <v>2.5000000000000001E-2</v>
      </c>
    </row>
    <row r="37" spans="3:42" x14ac:dyDescent="0.25">
      <c r="C37" t="s">
        <v>166</v>
      </c>
      <c r="E37" s="64">
        <f>E35+E36</f>
        <v>1.7000000000000001E-2</v>
      </c>
      <c r="F37" s="64">
        <f t="shared" ref="F37:AL37" si="15">F35+F36</f>
        <v>1.7000000000000001E-2</v>
      </c>
      <c r="G37" s="64">
        <f t="shared" si="15"/>
        <v>1.7000000000000001E-2</v>
      </c>
      <c r="H37" s="64">
        <f t="shared" si="15"/>
        <v>1.7000000000000001E-2</v>
      </c>
      <c r="I37" s="64">
        <f t="shared" si="15"/>
        <v>7.8E-2</v>
      </c>
      <c r="J37" s="64">
        <f t="shared" si="15"/>
        <v>7.1500000000000008E-2</v>
      </c>
      <c r="K37" s="64">
        <f t="shared" si="15"/>
        <v>6.8000000000000005E-2</v>
      </c>
      <c r="L37" s="64">
        <f t="shared" si="15"/>
        <v>6.25E-2</v>
      </c>
      <c r="M37" s="64">
        <f t="shared" si="15"/>
        <v>6.0999999999999999E-2</v>
      </c>
      <c r="N37" s="64">
        <f t="shared" si="15"/>
        <v>5.5E-2</v>
      </c>
      <c r="O37" s="64">
        <f t="shared" si="15"/>
        <v>5.45E-2</v>
      </c>
      <c r="P37" s="64">
        <f t="shared" si="15"/>
        <v>5.6000000000000001E-2</v>
      </c>
      <c r="Q37" s="64">
        <f t="shared" si="15"/>
        <v>5.9000000000000004E-2</v>
      </c>
      <c r="R37" s="64">
        <f t="shared" si="15"/>
        <v>6.6000000000000003E-2</v>
      </c>
      <c r="S37" s="64">
        <f t="shared" si="15"/>
        <v>4.1999999999999996E-2</v>
      </c>
      <c r="T37" s="64">
        <f t="shared" si="15"/>
        <v>3.8047619047619052E-2</v>
      </c>
      <c r="U37" s="64">
        <f t="shared" si="15"/>
        <v>2.8000000000000001E-2</v>
      </c>
      <c r="V37" s="64">
        <f t="shared" si="15"/>
        <v>2.4642857142857143E-2</v>
      </c>
      <c r="W37" s="64">
        <f t="shared" si="15"/>
        <v>2.4500000000000001E-2</v>
      </c>
      <c r="X37" s="64">
        <f t="shared" si="15"/>
        <v>2.1999999999999999E-2</v>
      </c>
      <c r="Y37" s="64">
        <f t="shared" si="15"/>
        <v>2.1499999999999998E-2</v>
      </c>
      <c r="Z37" s="64">
        <f t="shared" si="15"/>
        <v>2.1999999999999999E-2</v>
      </c>
      <c r="AA37" s="64">
        <f t="shared" si="15"/>
        <v>3.8829268292682934E-2</v>
      </c>
      <c r="AB37" s="64">
        <f t="shared" si="15"/>
        <v>5.2894736842105265E-2</v>
      </c>
      <c r="AC37" s="64">
        <f t="shared" si="15"/>
        <v>5.5181818181818179E-2</v>
      </c>
      <c r="AD37" s="64">
        <f t="shared" si="15"/>
        <v>5.6999999999999995E-2</v>
      </c>
      <c r="AE37" s="64">
        <f t="shared" si="15"/>
        <v>5.8499999999999996E-2</v>
      </c>
      <c r="AF37" s="64">
        <f t="shared" si="15"/>
        <v>5.6000000000000001E-2</v>
      </c>
      <c r="AG37" s="64">
        <f t="shared" si="15"/>
        <v>6.3E-2</v>
      </c>
      <c r="AH37" s="64">
        <f t="shared" si="15"/>
        <v>6.4000000000000001E-2</v>
      </c>
      <c r="AI37" s="64">
        <f t="shared" si="15"/>
        <v>6.4000000000000001E-2</v>
      </c>
      <c r="AJ37" s="64">
        <f t="shared" si="15"/>
        <v>6.4000000000000001E-2</v>
      </c>
      <c r="AK37" s="64">
        <f t="shared" si="15"/>
        <v>6.4000000000000001E-2</v>
      </c>
      <c r="AL37" s="64">
        <f t="shared" si="15"/>
        <v>6.4000000000000001E-2</v>
      </c>
      <c r="AM37" s="64">
        <f>AM35+AM36</f>
        <v>6.4000000000000001E-2</v>
      </c>
      <c r="AN37" s="64">
        <f>AN35+AN36</f>
        <v>6.4000000000000001E-2</v>
      </c>
      <c r="AO37" s="64">
        <f>AO35+AO36</f>
        <v>6.4000000000000001E-2</v>
      </c>
      <c r="AP37" s="64">
        <f>AP35+AP36</f>
        <v>6.4000000000000001E-2</v>
      </c>
    </row>
    <row r="38" spans="3:42" s="6" customFormat="1" x14ac:dyDescent="0.25">
      <c r="C38" s="6" t="s">
        <v>170</v>
      </c>
      <c r="D38" s="6" t="s">
        <v>32</v>
      </c>
      <c r="E38" s="46">
        <f>E34*E37*0.5</f>
        <v>0</v>
      </c>
      <c r="F38" s="46">
        <f t="shared" ref="F38:AL38" si="16">F34*F37*0.5</f>
        <v>21.736200000000004</v>
      </c>
      <c r="G38" s="46">
        <f t="shared" si="16"/>
        <v>24.374600000000001</v>
      </c>
      <c r="H38" s="46">
        <f t="shared" si="16"/>
        <v>25.579049999999999</v>
      </c>
      <c r="I38" s="46">
        <f t="shared" si="16"/>
        <v>95.998499999999993</v>
      </c>
      <c r="J38" s="46">
        <f t="shared" si="16"/>
        <v>102.98502500000001</v>
      </c>
      <c r="K38" s="46">
        <f t="shared" si="16"/>
        <v>106.01200000000001</v>
      </c>
      <c r="L38" s="46">
        <f t="shared" si="16"/>
        <v>101.09375</v>
      </c>
      <c r="M38" s="46">
        <f t="shared" si="16"/>
        <v>100.1315</v>
      </c>
      <c r="N38" s="46">
        <f t="shared" si="16"/>
        <v>101.11750000000001</v>
      </c>
      <c r="O38" s="46">
        <f t="shared" si="16"/>
        <v>103.55</v>
      </c>
      <c r="P38" s="46">
        <f t="shared" si="16"/>
        <v>109.648</v>
      </c>
      <c r="Q38" s="46">
        <f t="shared" si="16"/>
        <v>104.10550000000001</v>
      </c>
      <c r="R38" s="46">
        <f t="shared" si="16"/>
        <v>125.20200000000001</v>
      </c>
      <c r="S38" s="46">
        <f t="shared" si="16"/>
        <v>12.557999999999998</v>
      </c>
      <c r="T38" s="46">
        <f t="shared" si="16"/>
        <v>16.265357142857145</v>
      </c>
      <c r="U38" s="46">
        <f t="shared" si="16"/>
        <v>15.008000000000001</v>
      </c>
      <c r="V38" s="46">
        <f t="shared" si="16"/>
        <v>20.046964285714285</v>
      </c>
      <c r="W38" s="46">
        <f t="shared" si="16"/>
        <v>25.516750000000002</v>
      </c>
      <c r="X38" s="46">
        <f t="shared" si="16"/>
        <v>14.629999999999999</v>
      </c>
      <c r="Y38" s="46">
        <f t="shared" si="16"/>
        <v>19.371499999999997</v>
      </c>
      <c r="Z38" s="46">
        <f t="shared" si="16"/>
        <v>19.634999999999998</v>
      </c>
      <c r="AA38" s="46">
        <f t="shared" si="16"/>
        <v>42.149170731707322</v>
      </c>
      <c r="AB38" s="46">
        <f t="shared" si="16"/>
        <v>44.854736842105268</v>
      </c>
      <c r="AC38" s="46">
        <f t="shared" ca="1" si="16"/>
        <v>41.882999999999996</v>
      </c>
      <c r="AD38" s="46">
        <f t="shared" si="16"/>
        <v>73.444499999999991</v>
      </c>
      <c r="AE38" s="46">
        <f t="shared" si="16"/>
        <v>28.664999999999999</v>
      </c>
      <c r="AF38" s="46">
        <f t="shared" si="16"/>
        <v>56.252000000000002</v>
      </c>
      <c r="AG38" s="46">
        <f t="shared" si="16"/>
        <v>52.888500000000001</v>
      </c>
      <c r="AH38" s="46">
        <f t="shared" si="16"/>
        <v>69.44</v>
      </c>
      <c r="AI38" s="46">
        <f t="shared" ca="1" si="16"/>
        <v>60.032608822165351</v>
      </c>
      <c r="AJ38" s="46">
        <f t="shared" ca="1" si="16"/>
        <v>80.716128822165345</v>
      </c>
      <c r="AK38" s="46">
        <f t="shared" ca="1" si="16"/>
        <v>89.255275222165338</v>
      </c>
      <c r="AL38" s="46">
        <f t="shared" ca="1" si="16"/>
        <v>97.969976022165326</v>
      </c>
      <c r="AM38" s="46">
        <f ca="1">AM34*AM37*0.5</f>
        <v>106.53813761816532</v>
      </c>
      <c r="AN38" s="46">
        <f ca="1">AN34*AN37*0.5</f>
        <v>115.2844869301653</v>
      </c>
      <c r="AO38" s="46">
        <f ca="1">AO34*AO37*0.5</f>
        <v>135.88209895010527</v>
      </c>
      <c r="AP38" s="46">
        <f ca="1">AP34*AP37*0.5</f>
        <v>156.66057150178528</v>
      </c>
    </row>
    <row r="39" spans="3:42" x14ac:dyDescent="0.25">
      <c r="E39" s="54"/>
      <c r="F39" s="54"/>
      <c r="G39" s="54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  <c r="U39" s="54"/>
      <c r="V39" s="54"/>
      <c r="W39" s="54"/>
      <c r="X39" s="54"/>
      <c r="Y39" s="54"/>
      <c r="Z39" s="54"/>
      <c r="AA39" s="54"/>
      <c r="AB39" s="54"/>
      <c r="AC39" s="54"/>
      <c r="AD39" s="54"/>
      <c r="AE39" s="54"/>
      <c r="AF39" s="54"/>
      <c r="AG39" s="54"/>
      <c r="AH39" s="54"/>
      <c r="AI39" s="54"/>
      <c r="AJ39" s="54"/>
      <c r="AK39" s="54"/>
      <c r="AL39" s="54"/>
      <c r="AM39" s="54"/>
      <c r="AN39" s="54"/>
      <c r="AO39" s="54"/>
      <c r="AP39" s="54"/>
    </row>
    <row r="40" spans="3:42" s="12" customFormat="1" x14ac:dyDescent="0.25">
      <c r="C40" s="12" t="s">
        <v>160</v>
      </c>
      <c r="E40" s="67"/>
      <c r="F40" s="67"/>
      <c r="G40" s="67"/>
      <c r="H40" s="67"/>
      <c r="I40" s="67"/>
      <c r="J40" s="67"/>
      <c r="K40" s="67"/>
      <c r="L40" s="67"/>
      <c r="M40" s="67"/>
      <c r="N40" s="67"/>
      <c r="O40" s="67"/>
      <c r="P40" s="67"/>
      <c r="Q40" s="67"/>
      <c r="R40" s="67"/>
      <c r="S40" s="67"/>
      <c r="T40" s="67"/>
      <c r="U40" s="67"/>
      <c r="V40" s="67"/>
      <c r="W40" s="67"/>
      <c r="X40" s="67"/>
      <c r="Y40" s="67"/>
      <c r="Z40" s="67"/>
      <c r="AA40" s="67"/>
      <c r="AB40" s="67"/>
      <c r="AC40" s="67"/>
      <c r="AD40" s="67"/>
      <c r="AE40" s="67"/>
      <c r="AF40" s="67"/>
      <c r="AG40" s="67"/>
      <c r="AH40" s="67"/>
      <c r="AI40" s="67"/>
      <c r="AJ40" s="67"/>
      <c r="AK40" s="67"/>
      <c r="AL40" s="67"/>
      <c r="AM40" s="67"/>
      <c r="AN40" s="67"/>
      <c r="AO40" s="67"/>
      <c r="AP40" s="67"/>
    </row>
    <row r="41" spans="3:42" x14ac:dyDescent="0.25">
      <c r="C41" t="s">
        <v>168</v>
      </c>
      <c r="D41" t="s">
        <v>32</v>
      </c>
      <c r="E41" s="54">
        <f t="shared" ref="E41:AL41" si="17">SUM(E12:E20)</f>
        <v>2557.2000000000003</v>
      </c>
      <c r="F41" s="54">
        <f t="shared" si="17"/>
        <v>310.39999999999964</v>
      </c>
      <c r="G41" s="54">
        <f t="shared" si="17"/>
        <v>141.69999999999982</v>
      </c>
      <c r="H41" s="54">
        <f t="shared" si="17"/>
        <v>-547.79999999999973</v>
      </c>
      <c r="I41" s="54">
        <f t="shared" si="17"/>
        <v>419.19999999999959</v>
      </c>
      <c r="J41" s="54">
        <f t="shared" si="17"/>
        <v>237.30000000000018</v>
      </c>
      <c r="K41" s="54">
        <f t="shared" si="17"/>
        <v>117</v>
      </c>
      <c r="L41" s="54">
        <f t="shared" si="17"/>
        <v>48</v>
      </c>
      <c r="M41" s="54">
        <f t="shared" si="17"/>
        <v>394.00000000000011</v>
      </c>
      <c r="N41" s="54">
        <f t="shared" si="17"/>
        <v>123</v>
      </c>
      <c r="O41" s="54">
        <f t="shared" si="17"/>
        <v>116</v>
      </c>
      <c r="P41" s="54">
        <f t="shared" si="17"/>
        <v>-387</v>
      </c>
      <c r="Q41" s="54">
        <f t="shared" si="17"/>
        <v>265</v>
      </c>
      <c r="R41" s="54">
        <f t="shared" si="17"/>
        <v>144</v>
      </c>
      <c r="S41" s="54">
        <f t="shared" si="17"/>
        <v>754</v>
      </c>
      <c r="T41" s="54">
        <f t="shared" si="17"/>
        <v>12</v>
      </c>
      <c r="U41" s="54">
        <f t="shared" si="17"/>
        <v>41</v>
      </c>
      <c r="V41" s="54">
        <f t="shared" si="17"/>
        <v>277</v>
      </c>
      <c r="W41" s="54">
        <f t="shared" si="17"/>
        <v>-612</v>
      </c>
      <c r="X41" s="54">
        <f t="shared" si="17"/>
        <v>343.99999999999977</v>
      </c>
      <c r="Y41" s="54">
        <f t="shared" si="17"/>
        <v>-315</v>
      </c>
      <c r="Z41" s="54">
        <f t="shared" si="17"/>
        <v>33</v>
      </c>
      <c r="AA41" s="54">
        <f t="shared" si="17"/>
        <v>-573</v>
      </c>
      <c r="AB41" s="54">
        <f t="shared" ca="1" si="17"/>
        <v>181</v>
      </c>
      <c r="AC41" s="54">
        <f t="shared" ca="1" si="17"/>
        <v>1197</v>
      </c>
      <c r="AD41" s="54">
        <f>SUM(AD12:AD20)+400</f>
        <v>-147</v>
      </c>
      <c r="AE41" s="54">
        <f t="shared" si="17"/>
        <v>779</v>
      </c>
      <c r="AF41" s="54">
        <f t="shared" si="17"/>
        <v>-330</v>
      </c>
      <c r="AG41" s="54">
        <f t="shared" si="17"/>
        <v>491</v>
      </c>
      <c r="AH41" s="54">
        <f t="shared" ca="1" si="17"/>
        <v>-793.98097430733333</v>
      </c>
      <c r="AI41" s="54">
        <f t="shared" ca="1" si="17"/>
        <v>146.36000000000001</v>
      </c>
      <c r="AJ41" s="54">
        <f t="shared" ca="1" si="17"/>
        <v>141.84832499999999</v>
      </c>
      <c r="AK41" s="54">
        <f t="shared" ca="1" si="17"/>
        <v>147.33439999999999</v>
      </c>
      <c r="AL41" s="54">
        <f t="shared" ca="1" si="17"/>
        <v>142.755049875</v>
      </c>
      <c r="AM41" s="54">
        <f ca="1">SUM(AM12:AM20)</f>
        <v>148.32341599999998</v>
      </c>
      <c r="AN41" s="54">
        <f ca="1">SUM(AN12:AN20)</f>
        <v>143.67537562312498</v>
      </c>
      <c r="AO41" s="54">
        <f ca="1">SUM(AO12:AO20)</f>
        <v>149.32726723999997</v>
      </c>
      <c r="AP41" s="54">
        <f ca="1">SUM(AP12:AP20)</f>
        <v>144.60950625747188</v>
      </c>
    </row>
    <row r="42" spans="3:42" x14ac:dyDescent="0.25">
      <c r="C42" t="str">
        <f>C37</f>
        <v>All-in floating debt rate</v>
      </c>
      <c r="E42" s="64">
        <f>E37</f>
        <v>1.7000000000000001E-2</v>
      </c>
      <c r="F42" s="64">
        <f t="shared" ref="F42:AL42" si="18">F37</f>
        <v>1.7000000000000001E-2</v>
      </c>
      <c r="G42" s="64">
        <f t="shared" si="18"/>
        <v>1.7000000000000001E-2</v>
      </c>
      <c r="H42" s="64">
        <f t="shared" si="18"/>
        <v>1.7000000000000001E-2</v>
      </c>
      <c r="I42" s="64">
        <f t="shared" si="18"/>
        <v>7.8E-2</v>
      </c>
      <c r="J42" s="64">
        <f t="shared" si="18"/>
        <v>7.1500000000000008E-2</v>
      </c>
      <c r="K42" s="64">
        <f t="shared" si="18"/>
        <v>6.8000000000000005E-2</v>
      </c>
      <c r="L42" s="64">
        <f t="shared" si="18"/>
        <v>6.25E-2</v>
      </c>
      <c r="M42" s="64">
        <f t="shared" si="18"/>
        <v>6.0999999999999999E-2</v>
      </c>
      <c r="N42" s="64">
        <f t="shared" si="18"/>
        <v>5.5E-2</v>
      </c>
      <c r="O42" s="64">
        <f t="shared" si="18"/>
        <v>5.45E-2</v>
      </c>
      <c r="P42" s="64">
        <f t="shared" si="18"/>
        <v>5.6000000000000001E-2</v>
      </c>
      <c r="Q42" s="64">
        <f t="shared" si="18"/>
        <v>5.9000000000000004E-2</v>
      </c>
      <c r="R42" s="64">
        <f t="shared" si="18"/>
        <v>6.6000000000000003E-2</v>
      </c>
      <c r="S42" s="64">
        <f t="shared" si="18"/>
        <v>4.1999999999999996E-2</v>
      </c>
      <c r="T42" s="64">
        <f t="shared" si="18"/>
        <v>3.8047619047619052E-2</v>
      </c>
      <c r="U42" s="64">
        <f t="shared" si="18"/>
        <v>2.8000000000000001E-2</v>
      </c>
      <c r="V42" s="64">
        <f t="shared" si="18"/>
        <v>2.4642857142857143E-2</v>
      </c>
      <c r="W42" s="64">
        <f t="shared" si="18"/>
        <v>2.4500000000000001E-2</v>
      </c>
      <c r="X42" s="64">
        <f t="shared" si="18"/>
        <v>2.1999999999999999E-2</v>
      </c>
      <c r="Y42" s="64">
        <f t="shared" si="18"/>
        <v>2.1499999999999998E-2</v>
      </c>
      <c r="Z42" s="64">
        <f t="shared" si="18"/>
        <v>2.1999999999999999E-2</v>
      </c>
      <c r="AA42" s="64">
        <f t="shared" si="18"/>
        <v>3.8829268292682934E-2</v>
      </c>
      <c r="AB42" s="64">
        <f t="shared" si="18"/>
        <v>5.2894736842105265E-2</v>
      </c>
      <c r="AC42" s="64">
        <f t="shared" si="18"/>
        <v>5.5181818181818179E-2</v>
      </c>
      <c r="AD42" s="64">
        <f t="shared" si="18"/>
        <v>5.6999999999999995E-2</v>
      </c>
      <c r="AE42" s="64">
        <f t="shared" si="18"/>
        <v>5.8499999999999996E-2</v>
      </c>
      <c r="AF42" s="64">
        <f t="shared" si="18"/>
        <v>5.6000000000000001E-2</v>
      </c>
      <c r="AG42" s="64">
        <f t="shared" si="18"/>
        <v>6.3E-2</v>
      </c>
      <c r="AH42" s="64">
        <f t="shared" si="18"/>
        <v>6.4000000000000001E-2</v>
      </c>
      <c r="AI42" s="64">
        <f t="shared" si="18"/>
        <v>6.4000000000000001E-2</v>
      </c>
      <c r="AJ42" s="64">
        <f t="shared" si="18"/>
        <v>6.4000000000000001E-2</v>
      </c>
      <c r="AK42" s="64">
        <f t="shared" si="18"/>
        <v>6.4000000000000001E-2</v>
      </c>
      <c r="AL42" s="64">
        <f t="shared" si="18"/>
        <v>6.4000000000000001E-2</v>
      </c>
      <c r="AM42" s="64">
        <f>AM37</f>
        <v>6.4000000000000001E-2</v>
      </c>
      <c r="AN42" s="64">
        <f>AN37</f>
        <v>6.4000000000000001E-2</v>
      </c>
      <c r="AO42" s="64">
        <f>AO37</f>
        <v>6.4000000000000001E-2</v>
      </c>
      <c r="AP42" s="64">
        <f>AP37</f>
        <v>6.4000000000000001E-2</v>
      </c>
    </row>
    <row r="43" spans="3:42" s="6" customFormat="1" x14ac:dyDescent="0.25">
      <c r="C43" s="6" t="s">
        <v>169</v>
      </c>
      <c r="D43" s="6" t="s">
        <v>32</v>
      </c>
      <c r="E43" s="46">
        <f>E41*E42*0.5*0.5</f>
        <v>10.868100000000002</v>
      </c>
      <c r="F43" s="46">
        <f t="shared" ref="F43:AL43" si="19">F41*F42*0.5*0.5</f>
        <v>1.3191999999999986</v>
      </c>
      <c r="G43" s="46">
        <f t="shared" si="19"/>
        <v>0.60222499999999923</v>
      </c>
      <c r="H43" s="46">
        <f t="shared" si="19"/>
        <v>-2.3281499999999991</v>
      </c>
      <c r="I43" s="46">
        <f t="shared" si="19"/>
        <v>8.1743999999999915</v>
      </c>
      <c r="J43" s="46">
        <f t="shared" si="19"/>
        <v>4.2417375000000037</v>
      </c>
      <c r="K43" s="46">
        <f t="shared" si="19"/>
        <v>1.9890000000000001</v>
      </c>
      <c r="L43" s="46">
        <f t="shared" si="19"/>
        <v>0.75</v>
      </c>
      <c r="M43" s="46">
        <f t="shared" si="19"/>
        <v>6.0085000000000015</v>
      </c>
      <c r="N43" s="46">
        <f t="shared" si="19"/>
        <v>1.6912499999999999</v>
      </c>
      <c r="O43" s="46">
        <f t="shared" si="19"/>
        <v>1.5805</v>
      </c>
      <c r="P43" s="46">
        <f t="shared" si="19"/>
        <v>-5.4180000000000001</v>
      </c>
      <c r="Q43" s="46">
        <f t="shared" si="19"/>
        <v>3.9087500000000004</v>
      </c>
      <c r="R43" s="46">
        <f t="shared" si="19"/>
        <v>2.3760000000000003</v>
      </c>
      <c r="S43" s="46">
        <f t="shared" si="19"/>
        <v>7.9169999999999989</v>
      </c>
      <c r="T43" s="46">
        <f t="shared" si="19"/>
        <v>0.11414285714285716</v>
      </c>
      <c r="U43" s="46">
        <f t="shared" si="19"/>
        <v>0.28700000000000003</v>
      </c>
      <c r="V43" s="46">
        <f t="shared" si="19"/>
        <v>1.7065178571428572</v>
      </c>
      <c r="W43" s="46">
        <f t="shared" si="19"/>
        <v>-3.7484999999999999</v>
      </c>
      <c r="X43" s="46">
        <f t="shared" si="19"/>
        <v>1.8919999999999986</v>
      </c>
      <c r="Y43" s="46">
        <f t="shared" si="19"/>
        <v>-1.6931249999999998</v>
      </c>
      <c r="Z43" s="46">
        <f t="shared" si="19"/>
        <v>0.18149999999999999</v>
      </c>
      <c r="AA43" s="46">
        <f t="shared" si="19"/>
        <v>-5.56229268292683</v>
      </c>
      <c r="AB43" s="46">
        <f t="shared" ca="1" si="19"/>
        <v>2.3934868421052631</v>
      </c>
      <c r="AC43" s="46">
        <f t="shared" ca="1" si="19"/>
        <v>16.513159090909092</v>
      </c>
      <c r="AD43" s="46">
        <f t="shared" si="19"/>
        <v>-2.0947499999999999</v>
      </c>
      <c r="AE43" s="46">
        <f t="shared" si="19"/>
        <v>11.392875</v>
      </c>
      <c r="AF43" s="46"/>
      <c r="AG43" s="46">
        <f t="shared" si="19"/>
        <v>7.73325</v>
      </c>
      <c r="AH43" s="46">
        <f t="shared" ca="1" si="19"/>
        <v>-12.703695588917334</v>
      </c>
      <c r="AI43" s="46">
        <f t="shared" ca="1" si="19"/>
        <v>2.3417600000000003</v>
      </c>
      <c r="AJ43" s="46">
        <f t="shared" ca="1" si="19"/>
        <v>2.2695732</v>
      </c>
      <c r="AK43" s="46">
        <f t="shared" ca="1" si="19"/>
        <v>2.3573504000000001</v>
      </c>
      <c r="AL43" s="46">
        <f t="shared" ca="1" si="19"/>
        <v>2.2840807980000002</v>
      </c>
      <c r="AM43" s="46">
        <f ca="1">AM41*AM42*0.5*0.5</f>
        <v>2.3731746559999998</v>
      </c>
      <c r="AN43" s="46">
        <f ca="1">AN41*AN42*0.5*0.5</f>
        <v>2.2988060099699998</v>
      </c>
      <c r="AO43" s="46">
        <f ca="1">AO41*AO42*0.5*0.5</f>
        <v>2.3892362758399996</v>
      </c>
      <c r="AP43" s="46">
        <f ca="1">AP41*AP42*0.5*0.5</f>
        <v>2.31375210011955</v>
      </c>
    </row>
    <row r="44" spans="3:42" x14ac:dyDescent="0.25"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4"/>
      <c r="U44" s="54"/>
      <c r="V44" s="54"/>
      <c r="W44" s="54"/>
      <c r="X44" s="54"/>
      <c r="Y44" s="54"/>
      <c r="Z44" s="54"/>
      <c r="AA44" s="54"/>
      <c r="AB44" s="54"/>
      <c r="AC44" s="54"/>
      <c r="AD44" s="54"/>
      <c r="AE44" s="54"/>
      <c r="AF44" s="54"/>
      <c r="AG44" s="54"/>
      <c r="AH44" s="54"/>
      <c r="AI44" s="54"/>
      <c r="AJ44" s="54"/>
      <c r="AK44" s="54"/>
      <c r="AL44" s="54"/>
      <c r="AM44" s="54"/>
      <c r="AN44" s="54"/>
      <c r="AO44" s="54"/>
      <c r="AP44" s="54"/>
    </row>
    <row r="45" spans="3:42" s="36" customFormat="1" x14ac:dyDescent="0.25">
      <c r="C45" s="36" t="s">
        <v>200</v>
      </c>
      <c r="D45" s="36" t="s">
        <v>32</v>
      </c>
      <c r="E45" s="80"/>
      <c r="F45" s="80"/>
      <c r="G45" s="80"/>
      <c r="H45" s="80"/>
      <c r="I45" s="80">
        <f>I31+I38+I43</f>
        <v>104.17289999999998</v>
      </c>
      <c r="J45" s="80">
        <f t="shared" ref="J45:AL45" si="20">J31+J38+J43</f>
        <v>107.22676250000001</v>
      </c>
      <c r="K45" s="80">
        <f t="shared" si="20"/>
        <v>108.00100000000002</v>
      </c>
      <c r="L45" s="80">
        <f t="shared" si="20"/>
        <v>101.84375</v>
      </c>
      <c r="M45" s="80">
        <f t="shared" si="20"/>
        <v>106.14</v>
      </c>
      <c r="N45" s="80">
        <f t="shared" si="20"/>
        <v>102.80875</v>
      </c>
      <c r="O45" s="80">
        <f t="shared" si="20"/>
        <v>105.1305</v>
      </c>
      <c r="P45" s="80">
        <f t="shared" si="20"/>
        <v>104.22999999999999</v>
      </c>
      <c r="Q45" s="80">
        <f t="shared" si="20"/>
        <v>108.01425</v>
      </c>
      <c r="R45" s="80">
        <f t="shared" si="20"/>
        <v>127.57800000000002</v>
      </c>
      <c r="S45" s="80">
        <f t="shared" si="20"/>
        <v>115.66499999999999</v>
      </c>
      <c r="T45" s="80">
        <f t="shared" si="20"/>
        <v>115.97150632911391</v>
      </c>
      <c r="U45" s="80">
        <f t="shared" si="20"/>
        <v>110.46204761904762</v>
      </c>
      <c r="V45" s="80">
        <f t="shared" si="20"/>
        <v>98.837371031746031</v>
      </c>
      <c r="W45" s="80">
        <f t="shared" si="20"/>
        <v>102.49491304347828</v>
      </c>
      <c r="X45" s="80">
        <f t="shared" si="20"/>
        <v>97.457555555555544</v>
      </c>
      <c r="Y45" s="80">
        <f t="shared" si="20"/>
        <v>93.692375000000013</v>
      </c>
      <c r="Z45" s="80">
        <f t="shared" si="20"/>
        <v>92.55268749999999</v>
      </c>
      <c r="AA45" s="80">
        <f t="shared" si="20"/>
        <v>85.492878048780497</v>
      </c>
      <c r="AB45" s="80">
        <f t="shared" ca="1" si="20"/>
        <v>99.214151103565371</v>
      </c>
      <c r="AC45" s="80">
        <f t="shared" ca="1" si="20"/>
        <v>119.51815909090908</v>
      </c>
      <c r="AD45" s="80">
        <f t="shared" si="20"/>
        <v>133.44974999999999</v>
      </c>
      <c r="AE45" s="80">
        <f t="shared" si="20"/>
        <v>128.182875</v>
      </c>
      <c r="AF45" s="80">
        <f t="shared" si="20"/>
        <v>140.25200000000001</v>
      </c>
      <c r="AG45" s="80">
        <f t="shared" si="20"/>
        <v>162.12174999999999</v>
      </c>
      <c r="AH45" s="80">
        <f t="shared" ca="1" si="20"/>
        <v>158.23630441108267</v>
      </c>
      <c r="AI45" s="80">
        <f t="shared" ca="1" si="20"/>
        <v>150.87436882216534</v>
      </c>
      <c r="AJ45" s="80">
        <f t="shared" ca="1" si="20"/>
        <v>157.98570202216533</v>
      </c>
      <c r="AK45" s="80">
        <f t="shared" ca="1" si="20"/>
        <v>163.45637562216533</v>
      </c>
      <c r="AL45" s="80">
        <f t="shared" ca="1" si="20"/>
        <v>168.87905682016532</v>
      </c>
      <c r="AM45" s="80">
        <f ca="1">AM31+AM38+AM43</f>
        <v>173.72381227416531</v>
      </c>
      <c r="AN45" s="80">
        <f ca="1">AN31+AN38+AN43</f>
        <v>178.58329294013532</v>
      </c>
      <c r="AO45" s="80">
        <f ca="1">AO31+AO38+AO43</f>
        <v>184.02133522594528</v>
      </c>
      <c r="AP45" s="80">
        <f ca="1">AP31+AP38+AP43</f>
        <v>189.47432360190484</v>
      </c>
    </row>
    <row r="46" spans="3:42" s="6" customFormat="1" x14ac:dyDescent="0.25">
      <c r="C46" s="6" t="s">
        <v>172</v>
      </c>
      <c r="D46" s="6" t="s">
        <v>32</v>
      </c>
      <c r="E46" s="46"/>
      <c r="F46" s="46"/>
      <c r="G46" s="46"/>
      <c r="H46" s="46"/>
      <c r="I46" s="33">
        <v>104</v>
      </c>
      <c r="J46" s="33">
        <f>211-I46</f>
        <v>107</v>
      </c>
      <c r="K46" s="33">
        <v>108</v>
      </c>
      <c r="L46" s="33">
        <f>210-K46</f>
        <v>102</v>
      </c>
      <c r="M46" s="33">
        <v>106</v>
      </c>
      <c r="N46" s="33">
        <f>209-M46</f>
        <v>103</v>
      </c>
      <c r="O46" s="33">
        <v>105</v>
      </c>
      <c r="P46" s="33">
        <f>209-O46</f>
        <v>104</v>
      </c>
      <c r="Q46" s="33">
        <v>108</v>
      </c>
      <c r="R46" s="33">
        <f>236-Q46</f>
        <v>128</v>
      </c>
      <c r="S46" s="33">
        <v>116</v>
      </c>
      <c r="T46" s="33">
        <f>232-S46</f>
        <v>116</v>
      </c>
      <c r="U46" s="33">
        <v>110</v>
      </c>
      <c r="V46" s="33">
        <f>209-U46</f>
        <v>99</v>
      </c>
      <c r="W46" s="33">
        <v>102</v>
      </c>
      <c r="X46" s="33">
        <f>199-W46</f>
        <v>97</v>
      </c>
      <c r="Y46" s="33">
        <v>94</v>
      </c>
      <c r="Z46" s="33">
        <f>185-Y46</f>
        <v>91</v>
      </c>
      <c r="AA46" s="33">
        <v>80</v>
      </c>
      <c r="AB46" s="33">
        <f>180-AA46</f>
        <v>100</v>
      </c>
      <c r="AC46" s="33">
        <v>118</v>
      </c>
      <c r="AD46" s="33">
        <f>249-AC46</f>
        <v>131</v>
      </c>
      <c r="AE46" s="33">
        <v>130</v>
      </c>
      <c r="AF46" s="33">
        <f>271-AE46</f>
        <v>141</v>
      </c>
      <c r="AG46" s="33">
        <v>162</v>
      </c>
      <c r="AH46" s="46">
        <f t="shared" ref="AH46:AL46" ca="1" si="21">AH31+AH38+AH43</f>
        <v>158.23630441108267</v>
      </c>
      <c r="AI46" s="46">
        <f t="shared" ca="1" si="21"/>
        <v>150.87436882216534</v>
      </c>
      <c r="AJ46" s="46">
        <f t="shared" ca="1" si="21"/>
        <v>157.98570202216533</v>
      </c>
      <c r="AK46" s="46">
        <f t="shared" ca="1" si="21"/>
        <v>163.45637562216533</v>
      </c>
      <c r="AL46" s="46">
        <f t="shared" ca="1" si="21"/>
        <v>168.87905682016532</v>
      </c>
      <c r="AM46" s="46">
        <f ca="1">AM31+AM38+AM43</f>
        <v>173.72381227416531</v>
      </c>
      <c r="AN46" s="46">
        <f ca="1">AN31+AN38+AN43</f>
        <v>178.58329294013532</v>
      </c>
      <c r="AO46" s="46">
        <f ca="1">AO31+AO38+AO43</f>
        <v>184.02133522594528</v>
      </c>
      <c r="AP46" s="46">
        <f ca="1">AP31+AP38+AP43</f>
        <v>189.47432360190484</v>
      </c>
    </row>
    <row r="47" spans="3:42" x14ac:dyDescent="0.25">
      <c r="C47" t="s">
        <v>180</v>
      </c>
      <c r="E47" s="64">
        <f>E46*2/AVERAGE(E11,E21)</f>
        <v>0</v>
      </c>
      <c r="F47" s="64">
        <f t="shared" ref="F47:AL47" si="22">F46*2/AVERAGE(F11,F21)</f>
        <v>0</v>
      </c>
      <c r="G47" s="64">
        <f t="shared" si="22"/>
        <v>0</v>
      </c>
      <c r="H47" s="64">
        <f t="shared" si="22"/>
        <v>0</v>
      </c>
      <c r="I47" s="64">
        <f t="shared" si="22"/>
        <v>7.7870540226872828E-2</v>
      </c>
      <c r="J47" s="64">
        <f t="shared" si="22"/>
        <v>7.1348792238318304E-2</v>
      </c>
      <c r="K47" s="64">
        <f t="shared" si="22"/>
        <v>6.7999370376200227E-2</v>
      </c>
      <c r="L47" s="64">
        <f t="shared" si="22"/>
        <v>6.2595888309297326E-2</v>
      </c>
      <c r="M47" s="64">
        <f t="shared" si="22"/>
        <v>6.0919540229885057E-2</v>
      </c>
      <c r="N47" s="64">
        <f t="shared" si="22"/>
        <v>5.5102313762204091E-2</v>
      </c>
      <c r="O47" s="64">
        <f t="shared" si="22"/>
        <v>5.4432348367029551E-2</v>
      </c>
      <c r="P47" s="64">
        <f t="shared" si="22"/>
        <v>5.5876427132303556E-2</v>
      </c>
      <c r="Q47" s="64">
        <f t="shared" si="22"/>
        <v>5.8992216304793114E-2</v>
      </c>
      <c r="R47" s="64">
        <f t="shared" si="22"/>
        <v>6.6218313502327986E-2</v>
      </c>
      <c r="S47" s="64">
        <f t="shared" si="22"/>
        <v>5.3765932792584008E-2</v>
      </c>
      <c r="T47" s="64">
        <f t="shared" si="22"/>
        <v>4.9382716049382713E-2</v>
      </c>
      <c r="U47" s="64">
        <f t="shared" si="22"/>
        <v>4.6565774155995346E-2</v>
      </c>
      <c r="V47" s="64">
        <f t="shared" si="22"/>
        <v>4.0544691307463909E-2</v>
      </c>
      <c r="W47" s="64">
        <f t="shared" si="22"/>
        <v>4.3256997455470736E-2</v>
      </c>
      <c r="X47" s="64">
        <f t="shared" si="22"/>
        <v>4.2339589698821477E-2</v>
      </c>
      <c r="Y47" s="64">
        <f t="shared" si="22"/>
        <v>4.0900685304035678E-2</v>
      </c>
      <c r="Z47" s="64">
        <f t="shared" si="22"/>
        <v>4.0848389630793402E-2</v>
      </c>
      <c r="AA47" s="64">
        <f t="shared" si="22"/>
        <v>3.8227212997252416E-2</v>
      </c>
      <c r="AB47" s="64">
        <f t="shared" ca="1" si="22"/>
        <v>5.0131595438024812E-2</v>
      </c>
      <c r="AC47" s="64">
        <f t="shared" ca="1" si="22"/>
        <v>5.0443518221652238E-2</v>
      </c>
      <c r="AD47" s="64">
        <f t="shared" si="22"/>
        <v>5.2363345658039372E-2</v>
      </c>
      <c r="AE47" s="64">
        <f t="shared" si="22"/>
        <v>5.0786209590780347E-2</v>
      </c>
      <c r="AF47" s="64">
        <f t="shared" si="22"/>
        <v>5.2769461077844311E-2</v>
      </c>
      <c r="AG47" s="64">
        <f t="shared" si="22"/>
        <v>5.9729007281777123E-2</v>
      </c>
      <c r="AH47" s="64">
        <f t="shared" ca="1" si="22"/>
        <v>6.001745455819131E-2</v>
      </c>
      <c r="AI47" s="64">
        <f t="shared" ca="1" si="22"/>
        <v>6.0969206547942231E-2</v>
      </c>
      <c r="AJ47" s="64">
        <f t="shared" ca="1" si="22"/>
        <v>6.2036637594403934E-2</v>
      </c>
      <c r="AK47" s="64">
        <f t="shared" ca="1" si="22"/>
        <v>6.2413007379291216E-2</v>
      </c>
      <c r="AL47" s="64">
        <f t="shared" ca="1" si="22"/>
        <v>6.2746038241494037E-2</v>
      </c>
      <c r="AM47" s="64">
        <f ca="1">AM46*2/AVERAGE(AM11,AM21)</f>
        <v>6.2846879844043815E-2</v>
      </c>
      <c r="AN47" s="64">
        <f ca="1">AN46*2/AVERAGE(AN11,AN21)</f>
        <v>6.2942634000677053E-2</v>
      </c>
      <c r="AO47" s="64">
        <f ca="1">AO46*2/AVERAGE(AO11,AO21)</f>
        <v>6.3226934193469281E-2</v>
      </c>
      <c r="AP47" s="64">
        <f ca="1">AP46*2/AVERAGE(AP11,AP21)</f>
        <v>6.3497314622251971E-2</v>
      </c>
    </row>
    <row r="48" spans="3:42" x14ac:dyDescent="0.25">
      <c r="C48" t="s">
        <v>199</v>
      </c>
      <c r="E48" s="64"/>
      <c r="F48" s="64"/>
      <c r="G48" s="64"/>
      <c r="H48" s="64"/>
      <c r="I48" s="64"/>
      <c r="J48" s="64"/>
      <c r="K48" s="64"/>
      <c r="L48" s="64"/>
      <c r="M48" s="64"/>
      <c r="N48" s="64"/>
      <c r="O48" s="64"/>
      <c r="P48" s="64"/>
      <c r="Q48" s="64"/>
      <c r="R48" s="64"/>
      <c r="S48" s="64">
        <v>4.3999999999999997E-2</v>
      </c>
      <c r="T48" s="64">
        <v>4.3999999999999997E-2</v>
      </c>
      <c r="U48" s="64">
        <v>4.3999999999999997E-2</v>
      </c>
      <c r="V48" s="64">
        <v>0.04</v>
      </c>
      <c r="W48" s="64">
        <v>3.6999999999999998E-2</v>
      </c>
      <c r="X48" s="64">
        <v>3.6999999999999998E-2</v>
      </c>
      <c r="Y48" s="64">
        <v>3.5999999999999997E-2</v>
      </c>
      <c r="Z48" s="64">
        <v>3.4000000000000002E-2</v>
      </c>
      <c r="AA48" s="64">
        <v>4.1000000000000002E-2</v>
      </c>
      <c r="AB48" s="64">
        <v>4.4999999999999998E-2</v>
      </c>
      <c r="AC48" s="64"/>
      <c r="AD48" s="64"/>
      <c r="AE48" s="64"/>
      <c r="AF48" s="64"/>
      <c r="AG48" s="64"/>
      <c r="AH48" s="64"/>
      <c r="AI48" s="64"/>
      <c r="AJ48" s="64"/>
      <c r="AK48" s="64"/>
      <c r="AL48" s="64"/>
      <c r="AM48" s="64"/>
      <c r="AN48" s="64"/>
      <c r="AO48" s="64"/>
      <c r="AP48" s="64"/>
    </row>
    <row r="49" spans="2:57" x14ac:dyDescent="0.25">
      <c r="E49" s="58"/>
      <c r="F49" s="58"/>
      <c r="G49" s="58"/>
      <c r="H49" s="58"/>
      <c r="I49" s="58"/>
      <c r="J49" s="58"/>
      <c r="K49" s="58"/>
      <c r="L49" s="58"/>
      <c r="M49" s="58"/>
      <c r="N49" s="58"/>
      <c r="O49" s="58"/>
      <c r="P49" s="58"/>
      <c r="Q49" s="58"/>
      <c r="R49" s="58"/>
      <c r="S49" s="58"/>
      <c r="T49" s="58"/>
      <c r="U49" s="58"/>
      <c r="V49" s="58"/>
      <c r="W49" s="58"/>
      <c r="X49" s="65">
        <f>X47-X48</f>
        <v>5.3395896988214786E-3</v>
      </c>
      <c r="Y49" s="65">
        <f>Y47-Y48</f>
        <v>4.9006853040356804E-3</v>
      </c>
      <c r="Z49" s="65">
        <f>Z47-Z48</f>
        <v>6.8483896307934E-3</v>
      </c>
      <c r="AA49" s="65">
        <f>AA47-AA48</f>
        <v>-2.7727870027475857E-3</v>
      </c>
      <c r="AB49" s="65">
        <f ca="1">AB47-AB48</f>
        <v>5.1315954380248135E-3</v>
      </c>
      <c r="AC49" s="64">
        <f ca="1">AC47+($AA$48-$AA$47)</f>
        <v>5.3216305224399824E-2</v>
      </c>
      <c r="AD49" s="64">
        <f t="shared" ref="AD49:AL49" si="23">AD47+($AA$48-$AA$47)</f>
        <v>5.5136132660786957E-2</v>
      </c>
      <c r="AE49" s="64">
        <f t="shared" si="23"/>
        <v>5.3558996593527933E-2</v>
      </c>
      <c r="AF49" s="64">
        <f t="shared" si="23"/>
        <v>5.5542248080591897E-2</v>
      </c>
      <c r="AG49" s="64">
        <f t="shared" si="23"/>
        <v>6.2501794284524709E-2</v>
      </c>
      <c r="AH49" s="64">
        <f t="shared" ca="1" si="23"/>
        <v>6.2790241560938903E-2</v>
      </c>
      <c r="AI49" s="64">
        <f t="shared" ca="1" si="23"/>
        <v>6.3741993550689824E-2</v>
      </c>
      <c r="AJ49" s="64">
        <f t="shared" ca="1" si="23"/>
        <v>6.4809424597151527E-2</v>
      </c>
      <c r="AK49" s="64">
        <f t="shared" ca="1" si="23"/>
        <v>6.5185794382038809E-2</v>
      </c>
      <c r="AL49" s="64">
        <f t="shared" ca="1" si="23"/>
        <v>6.551882524424163E-2</v>
      </c>
      <c r="AM49" s="64">
        <f ca="1">AM47+($AA$48-$AA$47)</f>
        <v>6.5619666846791408E-2</v>
      </c>
      <c r="AN49" s="64">
        <f ca="1">AN47+($AA$48-$AA$47)</f>
        <v>6.5715421003424646E-2</v>
      </c>
      <c r="AO49" s="64">
        <f ca="1">AO47+($AA$48-$AA$47)</f>
        <v>6.599972119621686E-2</v>
      </c>
      <c r="AP49" s="64">
        <f ca="1">AP47+($AA$48-$AA$47)</f>
        <v>6.627010162499955E-2</v>
      </c>
    </row>
    <row r="50" spans="2:57" s="23" customFormat="1" x14ac:dyDescent="0.25">
      <c r="B50" s="23" t="s">
        <v>89</v>
      </c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>
        <f>AC46+AD46</f>
        <v>249</v>
      </c>
      <c r="AE50" s="24"/>
      <c r="AF50" s="24"/>
      <c r="AG50" s="24"/>
      <c r="AH50" s="24"/>
      <c r="AI50" s="24"/>
      <c r="AJ50" s="24"/>
      <c r="AK50" s="24"/>
      <c r="AL50" s="24"/>
      <c r="AM50" s="24"/>
      <c r="AN50" s="24"/>
      <c r="AO50" s="24"/>
      <c r="AP50" s="24"/>
      <c r="AQ50" s="24"/>
      <c r="AR50" s="24"/>
      <c r="AS50" s="24"/>
      <c r="AT50" s="24"/>
      <c r="AU50" s="24"/>
      <c r="AV50" s="24"/>
      <c r="AW50" s="24"/>
      <c r="AX50" s="24"/>
      <c r="AY50" s="24"/>
      <c r="AZ50" s="24"/>
      <c r="BA50" s="24"/>
      <c r="BE50" s="25"/>
    </row>
    <row r="51" spans="2:57" x14ac:dyDescent="0.25">
      <c r="C51" t="s">
        <v>88</v>
      </c>
      <c r="D51" t="s">
        <v>32</v>
      </c>
      <c r="E51" s="54"/>
      <c r="F51" s="54">
        <f>AVERAGE(Group!E70:F70)</f>
        <v>115.4</v>
      </c>
      <c r="G51" s="54">
        <f>AVERAGE(Group!F70:G70)</f>
        <v>150.44999999999999</v>
      </c>
      <c r="H51" s="54">
        <f>AVERAGE(Group!G70:H70)</f>
        <v>196.2</v>
      </c>
      <c r="I51" s="54">
        <f>AVERAGE(Group!H70:I70)</f>
        <v>213.95</v>
      </c>
      <c r="J51" s="54">
        <f>AVERAGE(Group!I70:J70)</f>
        <v>215.9</v>
      </c>
      <c r="K51" s="54">
        <f>AVERAGE(Group!J70:K70)</f>
        <v>377</v>
      </c>
      <c r="L51" s="54">
        <f>AVERAGE(Group!K70:L70)</f>
        <v>346.5</v>
      </c>
      <c r="M51" s="54">
        <f>AVERAGE(Group!L70:M70)</f>
        <v>224.5</v>
      </c>
      <c r="N51" s="54">
        <f>AVERAGE(Group!M70:N70)</f>
        <v>243.5</v>
      </c>
      <c r="O51" s="54">
        <f>AVERAGE(Group!N70:O70)</f>
        <v>245</v>
      </c>
      <c r="P51" s="54">
        <f>AVERAGE(Group!O70:P70)</f>
        <v>260</v>
      </c>
      <c r="Q51" s="54">
        <f>AVERAGE(Group!P70:Q70)</f>
        <v>206</v>
      </c>
      <c r="R51" s="54">
        <f>AVERAGE(Group!Q70:R70)</f>
        <v>253.5</v>
      </c>
      <c r="S51" s="54">
        <f>AVERAGE(Group!R70:S70)</f>
        <v>255.5</v>
      </c>
      <c r="T51" s="54">
        <f>AVERAGE(Group!S70:T70)</f>
        <v>159</v>
      </c>
      <c r="U51" s="54">
        <f>AVERAGE(Group!T70:U70)</f>
        <v>192.5</v>
      </c>
      <c r="V51" s="54">
        <f>AVERAGE(Group!U70:V70)</f>
        <v>344</v>
      </c>
      <c r="W51" s="54">
        <f>AVERAGE(Group!V70:W70)</f>
        <v>438.5</v>
      </c>
      <c r="X51" s="54">
        <f>AVERAGE(Group!W70:X70)</f>
        <v>798</v>
      </c>
      <c r="Y51" s="54">
        <f>AVERAGE(Group!X70:Y70)</f>
        <v>719.5</v>
      </c>
      <c r="Z51" s="54">
        <f>AVERAGE(Group!Y70:Z70)</f>
        <v>327.5</v>
      </c>
      <c r="AA51" s="54">
        <f>AVERAGE(Group!Z70:AA70)</f>
        <v>293</v>
      </c>
      <c r="AB51" s="54">
        <f>AVERAGE(Group!AA70:AB70)</f>
        <v>239.5</v>
      </c>
      <c r="AC51" s="54">
        <f>AVERAGE(Group!AB70:AC70)</f>
        <v>482</v>
      </c>
      <c r="AD51" s="54">
        <f>AVERAGE(Group!AC70:AD70)</f>
        <v>706</v>
      </c>
      <c r="AE51" s="54">
        <f>AVERAGE(Group!AD70:AE70)</f>
        <v>612.5</v>
      </c>
      <c r="AF51" s="54">
        <f>AVERAGE(Group!AE70:AF70)</f>
        <v>576.5</v>
      </c>
      <c r="AG51" s="54">
        <f>AVERAGE(Group!AF70:AG70)</f>
        <v>511.5</v>
      </c>
      <c r="AH51" s="54">
        <f ca="1">AVERAGE(Group!AG70:AH70)</f>
        <v>331.4586370817791</v>
      </c>
      <c r="AI51" s="54">
        <f ca="1">AVERAGE(Group!AH70:AI70)</f>
        <v>261.43661416794691</v>
      </c>
      <c r="AJ51" s="54">
        <f ca="1">AVERAGE(Group!AI70:AJ70)</f>
        <v>306.12782992819393</v>
      </c>
      <c r="AK51" s="54">
        <f ca="1">AVERAGE(Group!AJ70:AK70)</f>
        <v>362.62189445478214</v>
      </c>
      <c r="AL51" s="54">
        <f ca="1">AVERAGE(Group!AK70:AL70)</f>
        <v>430.10330258628511</v>
      </c>
      <c r="AM51" s="54">
        <f ca="1">AVERAGE(Group!AL70:AM70)</f>
        <v>508.57521031646365</v>
      </c>
      <c r="AN51" s="54">
        <f ca="1">AVERAGE(Group!AM70:AN70)</f>
        <v>554.06144685312256</v>
      </c>
      <c r="AO51" s="54">
        <f ca="1">AVERAGE(Group!AN70:AO70)</f>
        <v>649.96616987479388</v>
      </c>
      <c r="AP51" s="54">
        <f ca="1">AVERAGE(Group!AO70:AP70)</f>
        <v>752.30192893049968</v>
      </c>
    </row>
    <row r="52" spans="2:57" x14ac:dyDescent="0.25">
      <c r="C52" t="s">
        <v>173</v>
      </c>
      <c r="E52" s="64"/>
      <c r="F52" s="64">
        <f>F53/F51*2</f>
        <v>0</v>
      </c>
      <c r="G52" s="64">
        <f t="shared" ref="G52:AG52" si="24">G53/G51*2</f>
        <v>0</v>
      </c>
      <c r="H52" s="64">
        <f t="shared" si="24"/>
        <v>0</v>
      </c>
      <c r="I52" s="64">
        <f t="shared" si="24"/>
        <v>2.8043935498948354E-2</v>
      </c>
      <c r="J52" s="64">
        <f t="shared" si="24"/>
        <v>1.8527095877721167E-2</v>
      </c>
      <c r="K52" s="64">
        <f t="shared" si="24"/>
        <v>2.1220159151193633E-2</v>
      </c>
      <c r="L52" s="64">
        <f t="shared" si="24"/>
        <v>2.3088023088023088E-2</v>
      </c>
      <c r="M52" s="64">
        <f t="shared" si="24"/>
        <v>2.6726057906458798E-2</v>
      </c>
      <c r="N52" s="64">
        <f t="shared" si="24"/>
        <v>4.1067761806981518E-2</v>
      </c>
      <c r="O52" s="64">
        <f t="shared" si="24"/>
        <v>1.6326530612244899E-2</v>
      </c>
      <c r="P52" s="64">
        <f t="shared" si="24"/>
        <v>1.5384615384615385E-2</v>
      </c>
      <c r="Q52" s="64">
        <f t="shared" si="24"/>
        <v>9.7087378640776691E-3</v>
      </c>
      <c r="R52" s="64">
        <f t="shared" si="24"/>
        <v>1.5779092702169626E-2</v>
      </c>
      <c r="S52" s="64">
        <f t="shared" si="24"/>
        <v>1.5655577299412915E-2</v>
      </c>
      <c r="T52" s="64">
        <f t="shared" si="24"/>
        <v>2.5157232704402517E-2</v>
      </c>
      <c r="U52" s="64">
        <f t="shared" si="24"/>
        <v>1.038961038961039E-2</v>
      </c>
      <c r="V52" s="64">
        <f t="shared" si="24"/>
        <v>5.8139534883720929E-3</v>
      </c>
      <c r="W52" s="64">
        <f t="shared" si="24"/>
        <v>4.5610034207525657E-3</v>
      </c>
      <c r="X52" s="64">
        <f t="shared" si="24"/>
        <v>7.5187969924812026E-3</v>
      </c>
      <c r="Y52" s="64">
        <f t="shared" si="24"/>
        <v>5.5594162612925642E-3</v>
      </c>
      <c r="Z52" s="64">
        <f t="shared" si="24"/>
        <v>6.1068702290076335E-3</v>
      </c>
      <c r="AA52" s="64">
        <f t="shared" si="24"/>
        <v>3.4129692832764506E-2</v>
      </c>
      <c r="AB52" s="64">
        <f t="shared" si="24"/>
        <v>4.1753653444676408E-2</v>
      </c>
      <c r="AC52" s="64">
        <f t="shared" si="24"/>
        <v>2.9045643153526972E-2</v>
      </c>
      <c r="AD52" s="64">
        <f t="shared" si="24"/>
        <v>3.1161473087818695E-2</v>
      </c>
      <c r="AE52" s="64">
        <f t="shared" si="24"/>
        <v>3.2653061224489799E-2</v>
      </c>
      <c r="AF52" s="64">
        <f t="shared" si="24"/>
        <v>2.0815264527320035E-2</v>
      </c>
      <c r="AG52" s="64">
        <f t="shared" si="24"/>
        <v>3.9100684261974585E-2</v>
      </c>
      <c r="AH52" s="64">
        <f t="shared" ref="AH52:AN52" si="25">AG52</f>
        <v>3.9100684261974585E-2</v>
      </c>
      <c r="AI52" s="64">
        <f t="shared" si="25"/>
        <v>3.9100684261974585E-2</v>
      </c>
      <c r="AJ52" s="64">
        <f t="shared" si="25"/>
        <v>3.9100684261974585E-2</v>
      </c>
      <c r="AK52" s="64">
        <f t="shared" si="25"/>
        <v>3.9100684261974585E-2</v>
      </c>
      <c r="AL52" s="64">
        <f t="shared" si="25"/>
        <v>3.9100684261974585E-2</v>
      </c>
      <c r="AM52" s="64">
        <f t="shared" si="25"/>
        <v>3.9100684261974585E-2</v>
      </c>
      <c r="AN52" s="64">
        <f t="shared" si="25"/>
        <v>3.9100684261974585E-2</v>
      </c>
      <c r="AO52" s="64">
        <f t="shared" ref="AO52" si="26">AN52</f>
        <v>3.9100684261974585E-2</v>
      </c>
      <c r="AP52" s="64">
        <f t="shared" ref="AP52" si="27">AO52</f>
        <v>3.9100684261974585E-2</v>
      </c>
    </row>
    <row r="53" spans="2:57" s="6" customFormat="1" x14ac:dyDescent="0.25">
      <c r="C53" s="6" t="s">
        <v>89</v>
      </c>
      <c r="D53" s="6" t="s">
        <v>32</v>
      </c>
      <c r="E53" s="33"/>
      <c r="F53" s="33"/>
      <c r="G53" s="33"/>
      <c r="H53" s="33"/>
      <c r="I53" s="33">
        <v>3</v>
      </c>
      <c r="J53" s="33">
        <f>5-I53</f>
        <v>2</v>
      </c>
      <c r="K53" s="33">
        <v>4</v>
      </c>
      <c r="L53" s="33">
        <v>4</v>
      </c>
      <c r="M53" s="33">
        <v>3</v>
      </c>
      <c r="N53" s="33">
        <v>5</v>
      </c>
      <c r="O53" s="33">
        <v>2</v>
      </c>
      <c r="P53" s="33">
        <v>2</v>
      </c>
      <c r="Q53" s="33">
        <v>1</v>
      </c>
      <c r="R53" s="33">
        <v>2</v>
      </c>
      <c r="S53" s="33">
        <v>2</v>
      </c>
      <c r="T53" s="33">
        <v>2</v>
      </c>
      <c r="U53" s="33">
        <v>1</v>
      </c>
      <c r="V53" s="33">
        <v>1</v>
      </c>
      <c r="W53" s="33">
        <v>1</v>
      </c>
      <c r="X53" s="33">
        <v>3</v>
      </c>
      <c r="Y53" s="33">
        <v>2</v>
      </c>
      <c r="Z53" s="33">
        <v>1</v>
      </c>
      <c r="AA53" s="33">
        <v>5</v>
      </c>
      <c r="AB53" s="33">
        <f>10-AA53</f>
        <v>5</v>
      </c>
      <c r="AC53" s="33">
        <v>7</v>
      </c>
      <c r="AD53" s="33">
        <f>18-AC53</f>
        <v>11</v>
      </c>
      <c r="AE53" s="33">
        <v>10</v>
      </c>
      <c r="AF53" s="33">
        <f>16-AE53</f>
        <v>6</v>
      </c>
      <c r="AG53" s="33">
        <v>10</v>
      </c>
      <c r="AH53" s="46">
        <f t="shared" ref="AH53:AL53" ca="1" si="28">AH51*AH52*0.5</f>
        <v>6.4801297572195331</v>
      </c>
      <c r="AI53" s="46">
        <f t="shared" ca="1" si="28"/>
        <v>5.1111752525502814</v>
      </c>
      <c r="AJ53" s="46">
        <f t="shared" ca="1" si="28"/>
        <v>5.9849038109128827</v>
      </c>
      <c r="AK53" s="46">
        <f t="shared" ca="1" si="28"/>
        <v>7.0893821007777547</v>
      </c>
      <c r="AL53" s="46">
        <f t="shared" ca="1" si="28"/>
        <v>8.4086667172294263</v>
      </c>
      <c r="AM53" s="46">
        <f ca="1">AM51*AM52*0.5</f>
        <v>9.9428193610256823</v>
      </c>
      <c r="AN53" s="46">
        <f ca="1">AN51*AN52*0.5</f>
        <v>10.832090847568379</v>
      </c>
      <c r="AO53" s="46">
        <f ca="1">AO51*AO52*0.5</f>
        <v>12.707060994619626</v>
      </c>
      <c r="AP53" s="46">
        <f ca="1">AP51*AP52*0.5</f>
        <v>14.707760096392956</v>
      </c>
    </row>
    <row r="54" spans="2:57" x14ac:dyDescent="0.25"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58"/>
      <c r="W54" s="58"/>
      <c r="X54" s="58"/>
      <c r="Y54" s="58"/>
      <c r="Z54" s="58"/>
      <c r="AA54" s="58"/>
      <c r="AB54" s="54"/>
      <c r="AC54" s="54"/>
      <c r="AD54" s="54"/>
      <c r="AE54" s="54"/>
      <c r="AF54" s="54"/>
      <c r="AG54" s="54"/>
      <c r="AH54" s="54"/>
      <c r="AI54" s="54"/>
      <c r="AJ54" s="54"/>
      <c r="AK54" s="54"/>
      <c r="AL54" s="54"/>
      <c r="AM54" s="54"/>
      <c r="AN54" s="54"/>
      <c r="AO54" s="54"/>
      <c r="AP54" s="54"/>
    </row>
    <row r="55" spans="2:57" x14ac:dyDescent="0.25">
      <c r="E55" s="58"/>
      <c r="F55" s="58"/>
      <c r="G55" s="58"/>
      <c r="H55" s="58"/>
      <c r="I55" s="58"/>
      <c r="J55" s="58"/>
      <c r="K55" s="58"/>
      <c r="L55" s="58"/>
      <c r="M55" s="58"/>
      <c r="N55" s="58"/>
      <c r="O55" s="58"/>
      <c r="P55" s="58"/>
      <c r="Q55" s="58"/>
      <c r="R55" s="58"/>
      <c r="S55" s="58"/>
      <c r="T55" s="58"/>
      <c r="U55" s="58"/>
      <c r="V55" s="58"/>
      <c r="W55" s="58"/>
      <c r="X55" s="58"/>
      <c r="Y55" s="58"/>
      <c r="Z55" s="58"/>
      <c r="AA55" s="58"/>
      <c r="AB55" s="54"/>
      <c r="AC55" s="54"/>
      <c r="AD55" s="54"/>
      <c r="AE55" s="54"/>
      <c r="AF55" s="54"/>
      <c r="AG55" s="54"/>
      <c r="AH55" s="54"/>
      <c r="AI55" s="54"/>
      <c r="AJ55" s="54"/>
      <c r="AK55" s="54"/>
      <c r="AL55" s="54"/>
      <c r="AM55" s="54"/>
      <c r="AN55" s="54"/>
      <c r="AO55" s="54"/>
      <c r="AP55" s="54"/>
    </row>
    <row r="56" spans="2:57" s="23" customFormat="1" x14ac:dyDescent="0.25">
      <c r="B56" s="23" t="s">
        <v>174</v>
      </c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4"/>
      <c r="AE56" s="24"/>
      <c r="AF56" s="24"/>
      <c r="AG56" s="24"/>
      <c r="AH56" s="24"/>
      <c r="AI56" s="24"/>
      <c r="AJ56" s="24"/>
      <c r="AK56" s="24"/>
      <c r="AL56" s="24"/>
      <c r="AM56" s="24"/>
      <c r="AN56" s="24"/>
      <c r="AO56" s="24"/>
      <c r="AP56" s="24"/>
      <c r="AQ56" s="24"/>
      <c r="AR56" s="24"/>
      <c r="AS56" s="24"/>
      <c r="AT56" s="24"/>
      <c r="AU56" s="24"/>
      <c r="AV56" s="24"/>
      <c r="AW56" s="24"/>
      <c r="AX56" s="24"/>
      <c r="AY56" s="24"/>
      <c r="AZ56" s="24"/>
      <c r="BA56" s="24"/>
      <c r="BE56" s="25"/>
    </row>
    <row r="57" spans="2:57" x14ac:dyDescent="0.25">
      <c r="C57" t="s">
        <v>181</v>
      </c>
      <c r="D57" t="s">
        <v>32</v>
      </c>
      <c r="E57" s="78"/>
      <c r="F57" s="78">
        <f t="shared" ref="F57:AC57" si="29">E63</f>
        <v>2887.8</v>
      </c>
      <c r="G57" s="78">
        <f t="shared" si="29"/>
        <v>2705.2</v>
      </c>
      <c r="H57" s="78">
        <f t="shared" si="29"/>
        <v>2401.3000000000002</v>
      </c>
      <c r="I57" s="78">
        <f t="shared" si="29"/>
        <v>2358.3000000000002</v>
      </c>
      <c r="J57" s="78">
        <f t="shared" si="29"/>
        <v>2417.1000000000004</v>
      </c>
      <c r="K57" s="78">
        <f t="shared" si="29"/>
        <v>2316</v>
      </c>
      <c r="L57" s="78">
        <f t="shared" si="29"/>
        <v>2408</v>
      </c>
      <c r="M57" s="78">
        <f t="shared" si="29"/>
        <v>2540</v>
      </c>
      <c r="N57" s="78">
        <f t="shared" si="29"/>
        <v>2533</v>
      </c>
      <c r="O57" s="78">
        <f t="shared" si="29"/>
        <v>2458</v>
      </c>
      <c r="P57" s="78">
        <f t="shared" si="29"/>
        <v>2441</v>
      </c>
      <c r="Q57" s="78">
        <f t="shared" si="29"/>
        <v>2421</v>
      </c>
      <c r="R57" s="78">
        <f t="shared" si="29"/>
        <v>3355</v>
      </c>
      <c r="S57" s="78">
        <f t="shared" si="29"/>
        <v>3437</v>
      </c>
      <c r="T57" s="78">
        <f t="shared" si="29"/>
        <v>3626</v>
      </c>
      <c r="U57" s="78">
        <f t="shared" si="29"/>
        <v>3443</v>
      </c>
      <c r="V57" s="78">
        <f t="shared" si="29"/>
        <v>3381</v>
      </c>
      <c r="W57" s="78">
        <f t="shared" si="29"/>
        <v>3438</v>
      </c>
      <c r="X57" s="78">
        <f t="shared" si="29"/>
        <v>3257</v>
      </c>
      <c r="Y57" s="78">
        <f t="shared" si="29"/>
        <v>3235</v>
      </c>
      <c r="Z57" s="78">
        <f t="shared" si="29"/>
        <v>3613</v>
      </c>
      <c r="AA57" s="78">
        <f t="shared" si="29"/>
        <v>3600</v>
      </c>
      <c r="AB57" s="78">
        <f t="shared" si="29"/>
        <v>3873</v>
      </c>
      <c r="AC57" s="54">
        <f t="shared" si="29"/>
        <v>3705</v>
      </c>
      <c r="AD57" s="54">
        <f t="shared" ref="AD57:AL57" si="30">AC63</f>
        <v>4185</v>
      </c>
      <c r="AE57" s="54">
        <f t="shared" si="30"/>
        <v>3902</v>
      </c>
      <c r="AF57" s="54">
        <f t="shared" si="30"/>
        <v>4380</v>
      </c>
      <c r="AG57" s="54">
        <f t="shared" si="30"/>
        <v>3831</v>
      </c>
      <c r="AH57" s="54">
        <f t="shared" si="30"/>
        <v>5046</v>
      </c>
      <c r="AI57" s="54">
        <f t="shared" si="30"/>
        <v>4703.3685422790913</v>
      </c>
      <c r="AJ57" s="54">
        <f t="shared" si="30"/>
        <v>4705.6023169400842</v>
      </c>
      <c r="AK57" s="54">
        <f t="shared" si="30"/>
        <v>4676.2015911247436</v>
      </c>
      <c r="AL57" s="54">
        <f t="shared" si="30"/>
        <v>4645.7211833892034</v>
      </c>
      <c r="AM57" s="54">
        <f>AL63</f>
        <v>4598.3052401862533</v>
      </c>
      <c r="AN57" s="54">
        <f>AM63</f>
        <v>4536.5877060841658</v>
      </c>
      <c r="AO57" s="54">
        <f>AN63</f>
        <v>4456.772433154586</v>
      </c>
      <c r="AP57" s="54">
        <f>AO63</f>
        <v>4361.4470095794341</v>
      </c>
    </row>
    <row r="58" spans="2:57" x14ac:dyDescent="0.25">
      <c r="C58" s="44" t="s">
        <v>184</v>
      </c>
      <c r="E58" s="78"/>
      <c r="F58" s="54">
        <f t="shared" ref="F58:AC58" si="31">E66</f>
        <v>0</v>
      </c>
      <c r="G58" s="54">
        <f t="shared" si="31"/>
        <v>0</v>
      </c>
      <c r="H58" s="54">
        <f t="shared" si="31"/>
        <v>0</v>
      </c>
      <c r="I58" s="54">
        <f t="shared" si="31"/>
        <v>0</v>
      </c>
      <c r="J58" s="54">
        <f t="shared" si="31"/>
        <v>60</v>
      </c>
      <c r="K58" s="54">
        <f t="shared" si="31"/>
        <v>60</v>
      </c>
      <c r="L58" s="54">
        <f t="shared" si="31"/>
        <v>62</v>
      </c>
      <c r="M58" s="54">
        <f t="shared" si="31"/>
        <v>60</v>
      </c>
      <c r="N58" s="54">
        <f t="shared" si="31"/>
        <v>60</v>
      </c>
      <c r="O58" s="54">
        <f t="shared" si="31"/>
        <v>56</v>
      </c>
      <c r="P58" s="54">
        <f t="shared" si="31"/>
        <v>57</v>
      </c>
      <c r="Q58" s="54">
        <f t="shared" si="31"/>
        <v>56</v>
      </c>
      <c r="R58" s="54">
        <f t="shared" si="31"/>
        <v>62</v>
      </c>
      <c r="S58" s="54">
        <f t="shared" si="31"/>
        <v>80</v>
      </c>
      <c r="T58" s="54">
        <f t="shared" si="31"/>
        <v>71</v>
      </c>
      <c r="U58" s="54">
        <f t="shared" si="31"/>
        <v>65</v>
      </c>
      <c r="V58" s="54">
        <f t="shared" si="31"/>
        <v>57</v>
      </c>
      <c r="W58" s="54">
        <f t="shared" si="31"/>
        <v>57</v>
      </c>
      <c r="X58" s="54">
        <f t="shared" si="31"/>
        <v>49</v>
      </c>
      <c r="Y58" s="54">
        <f t="shared" si="31"/>
        <v>50</v>
      </c>
      <c r="Z58" s="54">
        <f t="shared" si="31"/>
        <v>47</v>
      </c>
      <c r="AA58" s="54">
        <f t="shared" si="31"/>
        <v>49</v>
      </c>
      <c r="AB58" s="54">
        <f t="shared" si="31"/>
        <v>33</v>
      </c>
      <c r="AC58" s="54">
        <f t="shared" si="31"/>
        <v>43</v>
      </c>
      <c r="AD58" s="54">
        <f t="shared" ref="AD58:AL58" si="32">AC66</f>
        <v>47</v>
      </c>
      <c r="AE58" s="54">
        <f t="shared" si="32"/>
        <v>56</v>
      </c>
      <c r="AF58" s="54">
        <f t="shared" si="32"/>
        <v>71</v>
      </c>
      <c r="AG58" s="54">
        <f t="shared" si="32"/>
        <v>78</v>
      </c>
      <c r="AH58" s="54">
        <f t="shared" si="32"/>
        <v>106</v>
      </c>
      <c r="AI58" s="54">
        <f t="shared" si="32"/>
        <v>109.68039610063977</v>
      </c>
      <c r="AJ58" s="54">
        <f t="shared" si="32"/>
        <v>105.85092216621571</v>
      </c>
      <c r="AK58" s="54">
        <f t="shared" si="32"/>
        <v>105.5452939657293</v>
      </c>
      <c r="AL58" s="54">
        <f t="shared" si="32"/>
        <v>104.8716312132819</v>
      </c>
      <c r="AM58" s="54">
        <f>AL66</f>
        <v>103.99529726522388</v>
      </c>
      <c r="AN58" s="54">
        <f>AM66</f>
        <v>102.7675456455422</v>
      </c>
      <c r="AO58" s="54">
        <f>AN66</f>
        <v>101.17530156643595</v>
      </c>
      <c r="AP58" s="54">
        <f>AO66</f>
        <v>99.204968730757727</v>
      </c>
    </row>
    <row r="59" spans="2:57" x14ac:dyDescent="0.25">
      <c r="C59" s="44" t="s">
        <v>152</v>
      </c>
      <c r="E59" s="78"/>
      <c r="F59" s="54">
        <f t="shared" ref="F59:AB59" si="33">F15</f>
        <v>0</v>
      </c>
      <c r="G59" s="54">
        <f t="shared" si="33"/>
        <v>0</v>
      </c>
      <c r="H59" s="54">
        <f t="shared" si="33"/>
        <v>0</v>
      </c>
      <c r="I59" s="54">
        <f t="shared" si="33"/>
        <v>0</v>
      </c>
      <c r="J59" s="54">
        <f t="shared" si="33"/>
        <v>0</v>
      </c>
      <c r="K59" s="54">
        <f t="shared" si="33"/>
        <v>0</v>
      </c>
      <c r="L59" s="54">
        <f t="shared" si="33"/>
        <v>0</v>
      </c>
      <c r="M59" s="54">
        <f t="shared" si="33"/>
        <v>90</v>
      </c>
      <c r="N59" s="54">
        <f t="shared" si="33"/>
        <v>96</v>
      </c>
      <c r="O59" s="54">
        <f t="shared" si="33"/>
        <v>70</v>
      </c>
      <c r="P59" s="54">
        <f t="shared" si="33"/>
        <v>213</v>
      </c>
      <c r="Q59" s="54">
        <f t="shared" si="33"/>
        <v>392</v>
      </c>
      <c r="R59" s="54">
        <f t="shared" si="33"/>
        <v>104</v>
      </c>
      <c r="S59" s="54">
        <f t="shared" si="33"/>
        <v>322</v>
      </c>
      <c r="T59" s="54">
        <f t="shared" si="33"/>
        <v>254</v>
      </c>
      <c r="U59" s="54">
        <f t="shared" si="33"/>
        <v>123</v>
      </c>
      <c r="V59" s="54">
        <f t="shared" si="33"/>
        <v>201</v>
      </c>
      <c r="W59" s="54">
        <f t="shared" si="33"/>
        <v>104</v>
      </c>
      <c r="X59" s="54">
        <f t="shared" si="33"/>
        <v>373</v>
      </c>
      <c r="Y59" s="54">
        <f t="shared" si="33"/>
        <v>268</v>
      </c>
      <c r="Z59" s="54">
        <f t="shared" si="33"/>
        <v>350</v>
      </c>
      <c r="AA59" s="54">
        <f t="shared" si="33"/>
        <v>366</v>
      </c>
      <c r="AB59" s="54">
        <f t="shared" si="33"/>
        <v>283</v>
      </c>
      <c r="AC59" s="54">
        <f t="shared" ref="AC59:AL59" si="34">AC15</f>
        <v>429</v>
      </c>
      <c r="AD59" s="54">
        <f t="shared" si="34"/>
        <v>357</v>
      </c>
      <c r="AE59" s="54">
        <f t="shared" si="34"/>
        <v>106</v>
      </c>
      <c r="AF59" s="54">
        <f t="shared" si="34"/>
        <v>192</v>
      </c>
      <c r="AG59" s="54">
        <f t="shared" si="34"/>
        <v>135</v>
      </c>
      <c r="AH59" s="54">
        <f t="shared" si="34"/>
        <v>0</v>
      </c>
      <c r="AI59" s="54">
        <f t="shared" si="34"/>
        <v>0</v>
      </c>
      <c r="AJ59" s="54">
        <f t="shared" si="34"/>
        <v>0</v>
      </c>
      <c r="AK59" s="54">
        <f t="shared" si="34"/>
        <v>0</v>
      </c>
      <c r="AL59" s="54">
        <f t="shared" si="34"/>
        <v>0</v>
      </c>
      <c r="AM59" s="54">
        <f>AM15</f>
        <v>0</v>
      </c>
      <c r="AN59" s="54">
        <f>AN15</f>
        <v>0</v>
      </c>
      <c r="AO59" s="54">
        <f>AO15</f>
        <v>0</v>
      </c>
      <c r="AP59" s="54">
        <f>AP15</f>
        <v>0</v>
      </c>
    </row>
    <row r="60" spans="2:57" x14ac:dyDescent="0.25">
      <c r="C60" s="44" t="s">
        <v>197</v>
      </c>
      <c r="E60" s="78"/>
      <c r="F60" s="58"/>
      <c r="G60" s="58"/>
      <c r="H60" s="58"/>
      <c r="I60" s="58"/>
      <c r="J60" s="58"/>
      <c r="K60" s="58"/>
      <c r="L60" s="58"/>
      <c r="M60" s="58">
        <f>141+212</f>
        <v>353</v>
      </c>
      <c r="N60" s="58">
        <f>248+500-M60</f>
        <v>395</v>
      </c>
      <c r="O60" s="58">
        <f>252+194</f>
        <v>446</v>
      </c>
      <c r="P60" s="58">
        <f>373+522-O60</f>
        <v>449</v>
      </c>
      <c r="Q60" s="58">
        <f>176+243</f>
        <v>419</v>
      </c>
      <c r="R60" s="58">
        <f>389+523-Q60</f>
        <v>493</v>
      </c>
      <c r="S60" s="58">
        <f>122+380</f>
        <v>502</v>
      </c>
      <c r="T60" s="58">
        <f>305+669-S60</f>
        <v>472</v>
      </c>
      <c r="U60" s="58">
        <f>106+228</f>
        <v>334</v>
      </c>
      <c r="V60" s="58">
        <f>240+457-U60</f>
        <v>363</v>
      </c>
      <c r="W60" s="58">
        <f>113+271</f>
        <v>384</v>
      </c>
      <c r="X60" s="58">
        <f>282+446</f>
        <v>728</v>
      </c>
      <c r="Y60" s="58">
        <f>781</f>
        <v>781</v>
      </c>
      <c r="Z60" s="58">
        <f>726-Y60</f>
        <v>-55</v>
      </c>
      <c r="AA60" s="58">
        <f>629</f>
        <v>629</v>
      </c>
      <c r="AB60" s="58">
        <f>1124-AA60</f>
        <v>495</v>
      </c>
      <c r="AC60" s="58">
        <v>654</v>
      </c>
      <c r="AD60" s="58">
        <v>654</v>
      </c>
      <c r="AE60" s="58">
        <v>813</v>
      </c>
      <c r="AF60" s="58">
        <f>1454-AE60</f>
        <v>641</v>
      </c>
      <c r="AG60" s="58">
        <v>813</v>
      </c>
      <c r="AH60" s="68">
        <v>750</v>
      </c>
      <c r="AI60" s="68">
        <f t="shared" ref="AI60:AL60" si="35">AH60</f>
        <v>750</v>
      </c>
      <c r="AJ60" s="68">
        <f t="shared" si="35"/>
        <v>750</v>
      </c>
      <c r="AK60" s="68">
        <f t="shared" si="35"/>
        <v>750</v>
      </c>
      <c r="AL60" s="68">
        <f t="shared" si="35"/>
        <v>750</v>
      </c>
      <c r="AM60" s="68">
        <f>AL60</f>
        <v>750</v>
      </c>
      <c r="AN60" s="68">
        <f>AM60</f>
        <v>750</v>
      </c>
      <c r="AO60" s="68">
        <f>AN60</f>
        <v>750</v>
      </c>
      <c r="AP60" s="68">
        <f>AO60</f>
        <v>750</v>
      </c>
    </row>
    <row r="61" spans="2:57" x14ac:dyDescent="0.25">
      <c r="C61" s="44" t="s">
        <v>186</v>
      </c>
      <c r="E61" s="78"/>
      <c r="F61" s="54">
        <f>-Residential!F83</f>
        <v>0</v>
      </c>
      <c r="G61" s="54">
        <f>-Residential!G83</f>
        <v>0</v>
      </c>
      <c r="H61" s="54">
        <f>-Residential!H83</f>
        <v>0</v>
      </c>
      <c r="I61" s="54">
        <f>-Residential!I83</f>
        <v>0</v>
      </c>
      <c r="J61" s="54">
        <f>-Residential!J83</f>
        <v>0</v>
      </c>
      <c r="K61" s="54">
        <f>-Residential!K83</f>
        <v>0</v>
      </c>
      <c r="L61" s="54">
        <f>-Residential!L83</f>
        <v>0</v>
      </c>
      <c r="M61" s="68">
        <f>Residential!M76*75%*-1</f>
        <v>-498.51102272727269</v>
      </c>
      <c r="N61" s="68">
        <f>Residential!N76*75%*-1</f>
        <v>-612.98897727272731</v>
      </c>
      <c r="O61" s="68">
        <f>Residential!O76*75%*-1</f>
        <v>-531</v>
      </c>
      <c r="P61" s="68">
        <f>Residential!P76*75%*-1</f>
        <v>-794.68499999999995</v>
      </c>
      <c r="Q61" s="68">
        <f>Residential!Q76*75%*-1</f>
        <v>-652.14135749999991</v>
      </c>
      <c r="R61" s="68">
        <f>Residential!R76*75%*-1</f>
        <v>-720.35864250000009</v>
      </c>
      <c r="S61" s="68">
        <f>Residential!S76*75%*-1</f>
        <v>-493.55849999999998</v>
      </c>
      <c r="T61" s="68">
        <f>Residential!T76*75%*-1</f>
        <v>-865.52920909090903</v>
      </c>
      <c r="U61" s="68">
        <f>Residential!U76*75%*-1</f>
        <v>-584.62425000000007</v>
      </c>
      <c r="V61" s="68">
        <f>Residential!V76*75%*-1</f>
        <v>-818.42925000000002</v>
      </c>
      <c r="W61" s="68">
        <f>Residential!W76*75%*-1</f>
        <v>-585.73575000000005</v>
      </c>
      <c r="X61" s="68">
        <f>Residential!X76*75%*-1</f>
        <v>-796.51424999999995</v>
      </c>
      <c r="Y61" s="54">
        <f>-Residential!Y83</f>
        <v>-438.37559999999996</v>
      </c>
      <c r="Z61" s="68">
        <f>Residential!Z76*75%*-1</f>
        <v>-867.75</v>
      </c>
      <c r="AA61" s="54">
        <f>-Residential!AA83</f>
        <v>-384.59704999999997</v>
      </c>
      <c r="AB61" s="54">
        <f>-Residential!AB83</f>
        <v>-792.45294999999999</v>
      </c>
      <c r="AC61" s="54">
        <f>-Residential!AC83</f>
        <v>-356.25</v>
      </c>
      <c r="AD61" s="54">
        <f>-Residential!AD83</f>
        <v>-1059.25</v>
      </c>
      <c r="AE61" s="54">
        <f>-Residential!AE83</f>
        <v>-404.7</v>
      </c>
      <c r="AF61" s="54">
        <f>-Residential!AF83</f>
        <v>-1169.45</v>
      </c>
      <c r="AG61" s="54">
        <f>-Residential!AG83</f>
        <v>-642.19999999999993</v>
      </c>
      <c r="AH61" s="54">
        <f>-Residential!AH83</f>
        <v>-998.631457720909</v>
      </c>
      <c r="AI61" s="54">
        <f>-Residential!AI83</f>
        <v>-857.44662143964717</v>
      </c>
      <c r="AJ61" s="54">
        <f>-Residential!AJ83</f>
        <v>-885.25164798155663</v>
      </c>
      <c r="AK61" s="54">
        <f>-Residential!AK83</f>
        <v>-886.02570170126944</v>
      </c>
      <c r="AL61" s="54">
        <f>-Residential!AL83</f>
        <v>-902.28757441623247</v>
      </c>
      <c r="AM61" s="54">
        <f>-Residential!AM83</f>
        <v>-915.71283136731108</v>
      </c>
      <c r="AN61" s="54">
        <f>-Residential!AN83</f>
        <v>-932.58281857512145</v>
      </c>
      <c r="AO61" s="54">
        <f>-Residential!AO83</f>
        <v>-946.50072514158785</v>
      </c>
      <c r="AP61" s="54">
        <f>-Residential!AP83</f>
        <v>-964.00245781597073</v>
      </c>
    </row>
    <row r="62" spans="2:57" x14ac:dyDescent="0.25">
      <c r="C62" s="45" t="s">
        <v>115</v>
      </c>
      <c r="D62" t="s">
        <v>32</v>
      </c>
      <c r="E62" s="78"/>
      <c r="F62" s="78">
        <f t="shared" ref="F62:AC62" si="36">F63-SUM(F57:F61)</f>
        <v>-182.60000000000036</v>
      </c>
      <c r="G62" s="78">
        <f t="shared" si="36"/>
        <v>-303.89999999999964</v>
      </c>
      <c r="H62" s="78">
        <f t="shared" si="36"/>
        <v>-43</v>
      </c>
      <c r="I62" s="78">
        <f t="shared" si="36"/>
        <v>58.800000000000182</v>
      </c>
      <c r="J62" s="78">
        <f t="shared" si="36"/>
        <v>-161.10000000000036</v>
      </c>
      <c r="K62" s="78">
        <f t="shared" si="36"/>
        <v>32</v>
      </c>
      <c r="L62" s="78">
        <f t="shared" si="36"/>
        <v>70</v>
      </c>
      <c r="M62" s="78">
        <f t="shared" si="36"/>
        <v>-11.488977272727425</v>
      </c>
      <c r="N62" s="78">
        <f t="shared" si="36"/>
        <v>-13.011022727272575</v>
      </c>
      <c r="O62" s="78">
        <f t="shared" si="36"/>
        <v>-58</v>
      </c>
      <c r="P62" s="78">
        <f t="shared" si="36"/>
        <v>55.684999999999945</v>
      </c>
      <c r="Q62" s="78">
        <f t="shared" si="36"/>
        <v>719.14135749999969</v>
      </c>
      <c r="R62" s="78">
        <f t="shared" si="36"/>
        <v>143.35864250000031</v>
      </c>
      <c r="S62" s="78">
        <f t="shared" si="36"/>
        <v>-221.44149999999991</v>
      </c>
      <c r="T62" s="78">
        <f t="shared" si="36"/>
        <v>-114.47079090909119</v>
      </c>
      <c r="U62" s="78">
        <f t="shared" si="36"/>
        <v>0.6242499999998472</v>
      </c>
      <c r="V62" s="78">
        <f t="shared" si="36"/>
        <v>254.42925000000014</v>
      </c>
      <c r="W62" s="78">
        <f t="shared" si="36"/>
        <v>-140.26425000000017</v>
      </c>
      <c r="X62" s="78">
        <f t="shared" si="36"/>
        <v>-375.48574999999983</v>
      </c>
      <c r="Y62" s="78">
        <f t="shared" si="36"/>
        <v>-282.62440000000015</v>
      </c>
      <c r="Z62" s="78">
        <f t="shared" si="36"/>
        <v>512.75</v>
      </c>
      <c r="AA62" s="78">
        <f t="shared" si="36"/>
        <v>-386.40294999999969</v>
      </c>
      <c r="AB62" s="78">
        <f t="shared" si="36"/>
        <v>-186.54705000000013</v>
      </c>
      <c r="AC62" s="78">
        <f t="shared" si="36"/>
        <v>-289.75</v>
      </c>
      <c r="AD62" s="78">
        <f>AD63-SUM(AD57:AD61)</f>
        <v>-281.75</v>
      </c>
      <c r="AE62" s="78">
        <f>AE63-SUM(AE57:AE61)</f>
        <v>-92.300000000000182</v>
      </c>
      <c r="AF62" s="78">
        <f>AF63-SUM(AF57:AF61)</f>
        <v>-283.55000000000018</v>
      </c>
      <c r="AG62" s="78">
        <f>AG63-SUM(AG57:AG61)</f>
        <v>831.19999999999982</v>
      </c>
      <c r="AH62" s="54">
        <v>-200</v>
      </c>
      <c r="AI62" s="54"/>
      <c r="AJ62" s="54"/>
      <c r="AK62" s="54"/>
      <c r="AL62" s="54"/>
      <c r="AM62" s="54"/>
      <c r="AN62" s="54"/>
      <c r="AO62" s="54"/>
      <c r="AP62" s="54"/>
    </row>
    <row r="63" spans="2:57" x14ac:dyDescent="0.25">
      <c r="C63" t="s">
        <v>182</v>
      </c>
      <c r="D63" t="s">
        <v>32</v>
      </c>
      <c r="E63" s="78">
        <f>Group!E71</f>
        <v>2887.8</v>
      </c>
      <c r="F63" s="78">
        <f>Group!F71</f>
        <v>2705.2</v>
      </c>
      <c r="G63" s="78">
        <f>Group!G71</f>
        <v>2401.3000000000002</v>
      </c>
      <c r="H63" s="78">
        <f>Group!H71</f>
        <v>2358.3000000000002</v>
      </c>
      <c r="I63" s="78">
        <f>Group!I71</f>
        <v>2417.1000000000004</v>
      </c>
      <c r="J63" s="78">
        <f>Group!J71</f>
        <v>2316</v>
      </c>
      <c r="K63" s="78">
        <f>Group!K71</f>
        <v>2408</v>
      </c>
      <c r="L63" s="78">
        <f>Group!L71</f>
        <v>2540</v>
      </c>
      <c r="M63" s="78">
        <f>Group!M71</f>
        <v>2533</v>
      </c>
      <c r="N63" s="78">
        <f>Group!N71</f>
        <v>2458</v>
      </c>
      <c r="O63" s="78">
        <f>Group!O71</f>
        <v>2441</v>
      </c>
      <c r="P63" s="78">
        <f>Group!P71</f>
        <v>2421</v>
      </c>
      <c r="Q63" s="78">
        <f>Group!Q71</f>
        <v>3355</v>
      </c>
      <c r="R63" s="78">
        <f>Group!R71</f>
        <v>3437</v>
      </c>
      <c r="S63" s="78">
        <f>Group!S71</f>
        <v>3626</v>
      </c>
      <c r="T63" s="78">
        <f>Group!T71</f>
        <v>3443</v>
      </c>
      <c r="U63" s="78">
        <f>Group!U71</f>
        <v>3381</v>
      </c>
      <c r="V63" s="78">
        <f>Group!V71</f>
        <v>3438</v>
      </c>
      <c r="W63" s="78">
        <f>Group!W71</f>
        <v>3257</v>
      </c>
      <c r="X63" s="78">
        <f>Group!X71</f>
        <v>3235</v>
      </c>
      <c r="Y63" s="78">
        <f>Group!Y71</f>
        <v>3613</v>
      </c>
      <c r="Z63" s="78">
        <f>Group!Z71</f>
        <v>3600</v>
      </c>
      <c r="AA63" s="78">
        <f>Group!AA71</f>
        <v>3873</v>
      </c>
      <c r="AB63" s="78">
        <f>Group!AB71</f>
        <v>3705</v>
      </c>
      <c r="AC63" s="78">
        <f>Group!AC71</f>
        <v>4185</v>
      </c>
      <c r="AD63" s="78">
        <f>Group!AD71</f>
        <v>3902</v>
      </c>
      <c r="AE63" s="78">
        <f>Group!AE71</f>
        <v>4380</v>
      </c>
      <c r="AF63" s="78">
        <f>Group!AF71</f>
        <v>3831</v>
      </c>
      <c r="AG63" s="78">
        <f>Group!AG71</f>
        <v>5046</v>
      </c>
      <c r="AH63" s="54">
        <f t="shared" ref="AH63:AL63" si="37">SUM(AH57:AH62)</f>
        <v>4703.3685422790913</v>
      </c>
      <c r="AI63" s="54">
        <f t="shared" si="37"/>
        <v>4705.6023169400842</v>
      </c>
      <c r="AJ63" s="54">
        <f t="shared" si="37"/>
        <v>4676.2015911247436</v>
      </c>
      <c r="AK63" s="54">
        <f t="shared" si="37"/>
        <v>4645.7211833892034</v>
      </c>
      <c r="AL63" s="54">
        <f t="shared" si="37"/>
        <v>4598.3052401862533</v>
      </c>
      <c r="AM63" s="54">
        <f>SUM(AM57:AM62)</f>
        <v>4536.5877060841658</v>
      </c>
      <c r="AN63" s="54">
        <f>SUM(AN57:AN62)</f>
        <v>4456.772433154586</v>
      </c>
      <c r="AO63" s="54">
        <f>SUM(AO57:AO62)</f>
        <v>4361.4470095794341</v>
      </c>
      <c r="AP63" s="54">
        <f>SUM(AP57:AP62)</f>
        <v>4246.6495204942212</v>
      </c>
    </row>
    <row r="64" spans="2:57" s="70" customFormat="1" x14ac:dyDescent="0.25">
      <c r="C64" s="70" t="s">
        <v>183</v>
      </c>
      <c r="D64" s="70" t="s">
        <v>32</v>
      </c>
      <c r="E64" s="71">
        <f>AVERAGE(E57,E63)</f>
        <v>2887.8</v>
      </c>
      <c r="F64" s="71">
        <f t="shared" ref="F64:AL64" si="38">AVERAGE(F57,F63)</f>
        <v>2796.5</v>
      </c>
      <c r="G64" s="71">
        <f t="shared" si="38"/>
        <v>2553.25</v>
      </c>
      <c r="H64" s="71">
        <f t="shared" si="38"/>
        <v>2379.8000000000002</v>
      </c>
      <c r="I64" s="71">
        <f t="shared" si="38"/>
        <v>2387.7000000000003</v>
      </c>
      <c r="J64" s="71">
        <f t="shared" si="38"/>
        <v>2366.5500000000002</v>
      </c>
      <c r="K64" s="71">
        <f t="shared" si="38"/>
        <v>2362</v>
      </c>
      <c r="L64" s="71">
        <f t="shared" si="38"/>
        <v>2474</v>
      </c>
      <c r="M64" s="71">
        <f t="shared" si="38"/>
        <v>2536.5</v>
      </c>
      <c r="N64" s="71">
        <f t="shared" si="38"/>
        <v>2495.5</v>
      </c>
      <c r="O64" s="71">
        <f t="shared" si="38"/>
        <v>2449.5</v>
      </c>
      <c r="P64" s="71">
        <f t="shared" si="38"/>
        <v>2431</v>
      </c>
      <c r="Q64" s="71">
        <f t="shared" si="38"/>
        <v>2888</v>
      </c>
      <c r="R64" s="71">
        <f t="shared" si="38"/>
        <v>3396</v>
      </c>
      <c r="S64" s="71">
        <f t="shared" si="38"/>
        <v>3531.5</v>
      </c>
      <c r="T64" s="71">
        <f t="shared" si="38"/>
        <v>3534.5</v>
      </c>
      <c r="U64" s="71">
        <f t="shared" si="38"/>
        <v>3412</v>
      </c>
      <c r="V64" s="71">
        <f t="shared" si="38"/>
        <v>3409.5</v>
      </c>
      <c r="W64" s="71">
        <f t="shared" si="38"/>
        <v>3347.5</v>
      </c>
      <c r="X64" s="71">
        <f t="shared" si="38"/>
        <v>3246</v>
      </c>
      <c r="Y64" s="71">
        <f t="shared" si="38"/>
        <v>3424</v>
      </c>
      <c r="Z64" s="71">
        <f t="shared" si="38"/>
        <v>3606.5</v>
      </c>
      <c r="AA64" s="71">
        <f t="shared" si="38"/>
        <v>3736.5</v>
      </c>
      <c r="AB64" s="71">
        <f t="shared" si="38"/>
        <v>3789</v>
      </c>
      <c r="AC64" s="71">
        <f t="shared" si="38"/>
        <v>3945</v>
      </c>
      <c r="AD64" s="71">
        <f t="shared" si="38"/>
        <v>4043.5</v>
      </c>
      <c r="AE64" s="71">
        <f t="shared" si="38"/>
        <v>4141</v>
      </c>
      <c r="AF64" s="71">
        <f t="shared" si="38"/>
        <v>4105.5</v>
      </c>
      <c r="AG64" s="71">
        <f t="shared" si="38"/>
        <v>4438.5</v>
      </c>
      <c r="AH64" s="71">
        <f t="shared" si="38"/>
        <v>4874.6842711395457</v>
      </c>
      <c r="AI64" s="71">
        <f t="shared" si="38"/>
        <v>4704.4854296095873</v>
      </c>
      <c r="AJ64" s="71">
        <f t="shared" si="38"/>
        <v>4690.9019540324134</v>
      </c>
      <c r="AK64" s="71">
        <f t="shared" si="38"/>
        <v>4660.9613872569735</v>
      </c>
      <c r="AL64" s="71">
        <f t="shared" si="38"/>
        <v>4622.0132117877283</v>
      </c>
      <c r="AM64" s="71">
        <f>AVERAGE(AM57,AM63)</f>
        <v>4567.4464731352091</v>
      </c>
      <c r="AN64" s="71">
        <f>AVERAGE(AN57,AN63)</f>
        <v>4496.6800696193759</v>
      </c>
      <c r="AO64" s="71">
        <f>AVERAGE(AO57,AO63)</f>
        <v>4409.10972136701</v>
      </c>
      <c r="AP64" s="71">
        <f>AVERAGE(AP57,AP63)</f>
        <v>4304.0482650368276</v>
      </c>
    </row>
    <row r="65" spans="2:57" x14ac:dyDescent="0.25">
      <c r="C65" t="s">
        <v>87</v>
      </c>
      <c r="E65" s="64">
        <f>E47</f>
        <v>0</v>
      </c>
      <c r="F65" s="64">
        <f>F47</f>
        <v>0</v>
      </c>
      <c r="G65" s="64">
        <f>G47</f>
        <v>0</v>
      </c>
      <c r="H65" s="64">
        <f>H47</f>
        <v>0</v>
      </c>
      <c r="I65" s="65">
        <f t="shared" ref="I65:AG65" si="39">I66*2/I64</f>
        <v>5.0257570046488245E-2</v>
      </c>
      <c r="J65" s="65">
        <f t="shared" si="39"/>
        <v>5.0706724979400389E-2</v>
      </c>
      <c r="K65" s="65">
        <f t="shared" si="39"/>
        <v>5.2497883149872991E-2</v>
      </c>
      <c r="L65" s="65">
        <f t="shared" si="39"/>
        <v>4.8504446240905413E-2</v>
      </c>
      <c r="M65" s="65">
        <f t="shared" si="39"/>
        <v>4.730928444707274E-2</v>
      </c>
      <c r="N65" s="65">
        <f t="shared" si="39"/>
        <v>4.4880785413744739E-2</v>
      </c>
      <c r="O65" s="65">
        <f t="shared" si="39"/>
        <v>4.654011022657685E-2</v>
      </c>
      <c r="P65" s="65">
        <f t="shared" si="39"/>
        <v>4.6071575483340191E-2</v>
      </c>
      <c r="Q65" s="65">
        <f t="shared" si="39"/>
        <v>4.2936288088642659E-2</v>
      </c>
      <c r="R65" s="65">
        <f t="shared" si="39"/>
        <v>4.7114252061248529E-2</v>
      </c>
      <c r="S65" s="65">
        <f t="shared" si="39"/>
        <v>4.0209542687243381E-2</v>
      </c>
      <c r="T65" s="65">
        <f t="shared" si="39"/>
        <v>3.6780308388739566E-2</v>
      </c>
      <c r="U65" s="65">
        <f t="shared" si="39"/>
        <v>3.3411488862837048E-2</v>
      </c>
      <c r="V65" s="65">
        <f t="shared" si="39"/>
        <v>3.3435987681478221E-2</v>
      </c>
      <c r="W65" s="65">
        <f t="shared" si="39"/>
        <v>2.9275578790141896E-2</v>
      </c>
      <c r="X65" s="65">
        <f t="shared" si="39"/>
        <v>3.0807147258163893E-2</v>
      </c>
      <c r="Y65" s="65">
        <f t="shared" si="39"/>
        <v>2.7453271028037383E-2</v>
      </c>
      <c r="Z65" s="65">
        <f t="shared" si="39"/>
        <v>2.7173159572993207E-2</v>
      </c>
      <c r="AA65" s="65">
        <f t="shared" si="39"/>
        <v>1.7663588920112404E-2</v>
      </c>
      <c r="AB65" s="65">
        <f t="shared" si="39"/>
        <v>2.2697281604645025E-2</v>
      </c>
      <c r="AC65" s="65">
        <f t="shared" si="39"/>
        <v>2.3827629911280103E-2</v>
      </c>
      <c r="AD65" s="65">
        <f t="shared" si="39"/>
        <v>2.7698775813033264E-2</v>
      </c>
      <c r="AE65" s="65">
        <f t="shared" si="39"/>
        <v>3.4291234001448928E-2</v>
      </c>
      <c r="AF65" s="65">
        <f t="shared" si="39"/>
        <v>3.7997807818779684E-2</v>
      </c>
      <c r="AG65" s="65">
        <f t="shared" si="39"/>
        <v>4.7763884195110962E-2</v>
      </c>
      <c r="AH65" s="64">
        <v>4.4999999999999998E-2</v>
      </c>
      <c r="AI65" s="64">
        <f t="shared" ref="AI65:AN65" si="40">AH65</f>
        <v>4.4999999999999998E-2</v>
      </c>
      <c r="AJ65" s="64">
        <f t="shared" si="40"/>
        <v>4.4999999999999998E-2</v>
      </c>
      <c r="AK65" s="64">
        <f t="shared" si="40"/>
        <v>4.4999999999999998E-2</v>
      </c>
      <c r="AL65" s="64">
        <f t="shared" si="40"/>
        <v>4.4999999999999998E-2</v>
      </c>
      <c r="AM65" s="64">
        <f t="shared" si="40"/>
        <v>4.4999999999999998E-2</v>
      </c>
      <c r="AN65" s="64">
        <f t="shared" si="40"/>
        <v>4.4999999999999998E-2</v>
      </c>
      <c r="AO65" s="64">
        <f t="shared" ref="AO65" si="41">AN65</f>
        <v>4.4999999999999998E-2</v>
      </c>
      <c r="AP65" s="64">
        <f t="shared" ref="AP65" si="42">AO65</f>
        <v>4.4999999999999998E-2</v>
      </c>
    </row>
    <row r="66" spans="2:57" s="6" customFormat="1" x14ac:dyDescent="0.25">
      <c r="C66" s="6" t="s">
        <v>174</v>
      </c>
      <c r="D66" s="6" t="s">
        <v>32</v>
      </c>
      <c r="E66" s="46"/>
      <c r="F66" s="46"/>
      <c r="G66" s="46"/>
      <c r="H66" s="46"/>
      <c r="I66" s="33">
        <v>60</v>
      </c>
      <c r="J66" s="33">
        <f>120-I66</f>
        <v>60</v>
      </c>
      <c r="K66" s="33">
        <v>62</v>
      </c>
      <c r="L66" s="33">
        <f>122-K66</f>
        <v>60</v>
      </c>
      <c r="M66" s="33">
        <v>60</v>
      </c>
      <c r="N66" s="33">
        <f>116-M66</f>
        <v>56</v>
      </c>
      <c r="O66" s="33">
        <v>57</v>
      </c>
      <c r="P66" s="33">
        <f>113-O66</f>
        <v>56</v>
      </c>
      <c r="Q66" s="33">
        <v>62</v>
      </c>
      <c r="R66" s="33">
        <f>142-Q66</f>
        <v>80</v>
      </c>
      <c r="S66" s="33">
        <v>71</v>
      </c>
      <c r="T66" s="33">
        <f>136-S66</f>
        <v>65</v>
      </c>
      <c r="U66" s="33">
        <v>57</v>
      </c>
      <c r="V66" s="33">
        <f>114-U66</f>
        <v>57</v>
      </c>
      <c r="W66" s="33">
        <v>49</v>
      </c>
      <c r="X66" s="33">
        <f>99-W66</f>
        <v>50</v>
      </c>
      <c r="Y66" s="33">
        <v>47</v>
      </c>
      <c r="Z66" s="33">
        <f>96-Y66</f>
        <v>49</v>
      </c>
      <c r="AA66" s="33">
        <v>33</v>
      </c>
      <c r="AB66" s="33">
        <f>76-AA66</f>
        <v>43</v>
      </c>
      <c r="AC66" s="33">
        <f>43+4</f>
        <v>47</v>
      </c>
      <c r="AD66" s="33">
        <f>103-AC66</f>
        <v>56</v>
      </c>
      <c r="AE66" s="33">
        <f>53+18</f>
        <v>71</v>
      </c>
      <c r="AF66" s="33">
        <f>115+34-AE66</f>
        <v>78</v>
      </c>
      <c r="AG66" s="33">
        <f>76+3+27</f>
        <v>106</v>
      </c>
      <c r="AH66" s="46">
        <f t="shared" ref="AH66:AL66" si="43">AH64*AH65*0.5</f>
        <v>109.68039610063977</v>
      </c>
      <c r="AI66" s="46">
        <f t="shared" si="43"/>
        <v>105.85092216621571</v>
      </c>
      <c r="AJ66" s="46">
        <f t="shared" si="43"/>
        <v>105.5452939657293</v>
      </c>
      <c r="AK66" s="46">
        <f t="shared" si="43"/>
        <v>104.8716312132819</v>
      </c>
      <c r="AL66" s="46">
        <f t="shared" si="43"/>
        <v>103.99529726522388</v>
      </c>
      <c r="AM66" s="46">
        <f>AM64*AM65*0.5</f>
        <v>102.7675456455422</v>
      </c>
      <c r="AN66" s="46">
        <f>AN64*AN65*0.5</f>
        <v>101.17530156643595</v>
      </c>
      <c r="AO66" s="46">
        <f>AO64*AO65*0.5</f>
        <v>99.204968730757727</v>
      </c>
      <c r="AP66" s="46">
        <f>AP64*AP65*0.5</f>
        <v>96.841085963328624</v>
      </c>
    </row>
    <row r="67" spans="2:57" x14ac:dyDescent="0.25">
      <c r="E67" s="58"/>
      <c r="F67" s="58"/>
      <c r="G67" s="58"/>
      <c r="H67" s="58"/>
      <c r="I67" s="58"/>
      <c r="J67" s="58"/>
      <c r="K67" s="58"/>
      <c r="L67" s="58"/>
      <c r="M67" s="64"/>
      <c r="N67" s="64"/>
      <c r="O67" s="64"/>
      <c r="P67" s="64"/>
      <c r="Q67" s="64"/>
      <c r="R67" s="64"/>
      <c r="S67" s="64"/>
      <c r="T67" s="64"/>
      <c r="U67" s="64"/>
      <c r="V67" s="64"/>
      <c r="W67" s="64"/>
      <c r="X67" s="64"/>
      <c r="Y67" s="64"/>
      <c r="Z67" s="64"/>
      <c r="AA67" s="64"/>
      <c r="AB67" s="54"/>
      <c r="AC67" s="54"/>
      <c r="AD67" s="54"/>
      <c r="AE67" s="54"/>
      <c r="AF67" s="54"/>
      <c r="AG67" s="54"/>
      <c r="AH67" s="54"/>
      <c r="AI67" s="54"/>
      <c r="AJ67" s="54"/>
      <c r="AK67" s="54"/>
      <c r="AL67" s="54"/>
      <c r="AM67" s="54"/>
      <c r="AN67" s="54"/>
      <c r="AO67" s="54"/>
      <c r="AP67" s="54"/>
    </row>
    <row r="68" spans="2:57" x14ac:dyDescent="0.25">
      <c r="E68" s="58"/>
      <c r="F68" s="58"/>
      <c r="G68" s="58"/>
      <c r="H68" s="58"/>
      <c r="I68" s="58"/>
      <c r="J68" s="58"/>
      <c r="K68" s="58"/>
      <c r="L68" s="58"/>
      <c r="M68" s="58"/>
      <c r="N68" s="58"/>
      <c r="O68" s="58"/>
      <c r="P68" s="58"/>
      <c r="Q68" s="58"/>
      <c r="R68" s="58"/>
      <c r="S68" s="58"/>
      <c r="T68" s="58"/>
      <c r="U68" s="58"/>
      <c r="V68" s="58"/>
      <c r="W68" s="58"/>
      <c r="X68" s="58"/>
      <c r="Y68" s="58"/>
      <c r="Z68" s="58"/>
      <c r="AA68" s="58"/>
      <c r="AB68" s="54"/>
      <c r="AC68" s="54"/>
      <c r="AD68" s="54"/>
      <c r="AE68" s="54"/>
      <c r="AF68" s="54"/>
      <c r="AG68" s="54"/>
      <c r="AH68" s="54"/>
      <c r="AI68" s="54"/>
      <c r="AJ68" s="54"/>
      <c r="AK68" s="54"/>
      <c r="AL68" s="54"/>
      <c r="AM68" s="54"/>
      <c r="AN68" s="54"/>
      <c r="AO68" s="54"/>
      <c r="AP68" s="54"/>
    </row>
    <row r="69" spans="2:57" s="23" customFormat="1" x14ac:dyDescent="0.25">
      <c r="B69" s="23" t="s">
        <v>175</v>
      </c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24"/>
      <c r="AB69" s="24"/>
      <c r="AC69" s="24"/>
      <c r="AD69" s="24"/>
      <c r="AE69" s="24"/>
      <c r="AF69" s="24"/>
      <c r="AG69" s="24"/>
      <c r="AH69" s="24"/>
      <c r="AI69" s="24"/>
      <c r="AJ69" s="24"/>
      <c r="AK69" s="24"/>
      <c r="AL69" s="24"/>
      <c r="AM69" s="24"/>
      <c r="AN69" s="24"/>
      <c r="AO69" s="24"/>
      <c r="AP69" s="24"/>
      <c r="AQ69" s="24"/>
      <c r="AR69" s="24"/>
      <c r="AS69" s="24"/>
      <c r="AT69" s="24"/>
      <c r="AU69" s="24"/>
      <c r="AV69" s="24"/>
      <c r="AW69" s="24"/>
      <c r="AX69" s="24"/>
      <c r="AY69" s="24"/>
      <c r="AZ69" s="24"/>
      <c r="BA69" s="24"/>
      <c r="BE69" s="25"/>
    </row>
    <row r="70" spans="2:57" x14ac:dyDescent="0.25">
      <c r="C70" t="s">
        <v>188</v>
      </c>
      <c r="E70" s="58"/>
      <c r="F70" s="58"/>
      <c r="G70" s="58"/>
      <c r="H70" s="58"/>
      <c r="I70" s="58"/>
      <c r="J70" s="58"/>
      <c r="K70" s="58"/>
      <c r="L70" s="58"/>
      <c r="M70" s="54"/>
      <c r="N70" s="54">
        <f>M73</f>
        <v>222</v>
      </c>
      <c r="O70" s="54">
        <f t="shared" ref="O70:AA70" si="44">N73</f>
        <v>259</v>
      </c>
      <c r="P70" s="54">
        <f t="shared" si="44"/>
        <v>323</v>
      </c>
      <c r="Q70" s="54">
        <f t="shared" si="44"/>
        <v>372</v>
      </c>
      <c r="R70" s="54">
        <f t="shared" si="44"/>
        <v>347</v>
      </c>
      <c r="S70" s="54">
        <f t="shared" si="44"/>
        <v>236</v>
      </c>
      <c r="T70" s="54">
        <f t="shared" si="44"/>
        <v>218</v>
      </c>
      <c r="U70" s="54">
        <f t="shared" si="44"/>
        <v>252</v>
      </c>
      <c r="V70" s="54">
        <f t="shared" si="44"/>
        <v>241</v>
      </c>
      <c r="W70" s="54">
        <f t="shared" si="44"/>
        <v>399</v>
      </c>
      <c r="X70" s="54">
        <f t="shared" si="44"/>
        <v>517</v>
      </c>
      <c r="Y70" s="54">
        <f t="shared" si="44"/>
        <v>416</v>
      </c>
      <c r="Z70" s="54">
        <f t="shared" si="44"/>
        <v>332</v>
      </c>
      <c r="AA70" s="54">
        <f t="shared" si="44"/>
        <v>410</v>
      </c>
      <c r="AB70" s="54">
        <f>AA73</f>
        <v>504</v>
      </c>
      <c r="AC70" s="54">
        <f t="shared" ref="AC70:AL70" si="45">AB73</f>
        <v>791</v>
      </c>
      <c r="AD70" s="54">
        <f t="shared" si="45"/>
        <v>720</v>
      </c>
      <c r="AE70" s="54">
        <f t="shared" si="45"/>
        <v>796</v>
      </c>
      <c r="AF70" s="54">
        <f t="shared" si="45"/>
        <v>673</v>
      </c>
      <c r="AG70" s="54">
        <f t="shared" si="45"/>
        <v>990</v>
      </c>
      <c r="AH70" s="54">
        <f t="shared" si="45"/>
        <v>886</v>
      </c>
      <c r="AI70" s="54">
        <f t="shared" si="45"/>
        <v>852.4</v>
      </c>
      <c r="AJ70" s="54">
        <f t="shared" si="45"/>
        <v>593.73333333333335</v>
      </c>
      <c r="AK70" s="54">
        <f t="shared" si="45"/>
        <v>535.06666666666672</v>
      </c>
      <c r="AL70" s="54">
        <f t="shared" si="45"/>
        <v>535.06666666666672</v>
      </c>
      <c r="AM70" s="54">
        <f>AL73</f>
        <v>535.06666666666672</v>
      </c>
      <c r="AN70" s="54">
        <f>AM73</f>
        <v>535.06666666666672</v>
      </c>
      <c r="AO70" s="54">
        <f>AN73</f>
        <v>535.06666666666672</v>
      </c>
      <c r="AP70" s="54">
        <f>AO73</f>
        <v>535.06666666666672</v>
      </c>
    </row>
    <row r="71" spans="2:57" x14ac:dyDescent="0.25">
      <c r="C71" s="45" t="s">
        <v>309</v>
      </c>
      <c r="E71" s="58"/>
      <c r="F71" s="58"/>
      <c r="G71" s="58"/>
      <c r="H71" s="58"/>
      <c r="I71" s="58"/>
      <c r="J71" s="58"/>
      <c r="K71" s="58"/>
      <c r="L71" s="58"/>
      <c r="M71" s="54"/>
      <c r="N71" s="54"/>
      <c r="O71" s="54"/>
      <c r="P71" s="54"/>
      <c r="Q71" s="54"/>
      <c r="R71" s="54"/>
      <c r="S71" s="54"/>
      <c r="T71" s="54"/>
      <c r="U71" s="54"/>
      <c r="V71" s="54"/>
      <c r="W71" s="54"/>
      <c r="X71" s="54"/>
      <c r="Y71" s="54"/>
      <c r="Z71" s="54"/>
      <c r="AA71" s="54"/>
      <c r="AB71" s="54"/>
      <c r="AC71" s="54">
        <f>(Logistics!AC107-Logistics!AC108)+(Workplace!AC79-Workplace!AC80)+('Town Centres'!AC113-'Town Centres'!AC114)</f>
        <v>81.400000000000006</v>
      </c>
      <c r="AD71" s="54">
        <f>(Logistics!AD107-Logistics!AD108)+(Workplace!AD79-Workplace!AD80)+('Town Centres'!AD113-'Town Centres'!AD114)</f>
        <v>-114.6</v>
      </c>
      <c r="AE71" s="54">
        <f>(Logistics!AE107-Logistics!AE108)+(Workplace!AE79-Workplace!AE80)+('Town Centres'!AE113-'Town Centres'!AE114)</f>
        <v>-53.6</v>
      </c>
      <c r="AF71" s="54">
        <f>(Logistics!AF107-Logistics!AF108)+(Workplace!AF79-Workplace!AF80)+('Town Centres'!AF113-'Town Centres'!AF114)</f>
        <v>5.0666666666666629</v>
      </c>
      <c r="AG71" s="54">
        <f>(Logistics!AG107-Logistics!AG108)+(Workplace!AG79-Workplace!AG80)+('Town Centres'!AG113-'Town Centres'!AG114)</f>
        <v>145.06666666666666</v>
      </c>
      <c r="AH71" s="54">
        <f>(Logistics!AH107-Logistics!AH108)+(Workplace!AH79-Workplace!AH80)+('Town Centres'!AH113-'Town Centres'!AH114)</f>
        <v>-33.6</v>
      </c>
      <c r="AI71" s="54">
        <f>(Logistics!AI107-Logistics!AI108)+(Workplace!AI79-Workplace!AI80)+('Town Centres'!AI113-'Town Centres'!AI114)</f>
        <v>-258.66666666666669</v>
      </c>
      <c r="AJ71" s="54">
        <f>(Logistics!AJ107-Logistics!AJ108)+(Workplace!AJ79-Workplace!AJ80)+('Town Centres'!AJ113-'Town Centres'!AJ114)</f>
        <v>-58.666666666666664</v>
      </c>
      <c r="AK71" s="54">
        <f>(Logistics!AK107-Logistics!AK108)+(Workplace!AK79-Workplace!AK80)+('Town Centres'!AK113-'Town Centres'!AK114)</f>
        <v>0</v>
      </c>
      <c r="AL71" s="54">
        <f>(Logistics!AL107-Logistics!AL108)+(Workplace!AL79-Workplace!AL80)+('Town Centres'!AL113-'Town Centres'!AL114)</f>
        <v>0</v>
      </c>
      <c r="AM71" s="54">
        <f>(Logistics!AM107-Logistics!AM108)+(Workplace!AM79-Workplace!AM80)+('Town Centres'!AM113-'Town Centres'!AM114)</f>
        <v>0</v>
      </c>
      <c r="AN71" s="54">
        <f>(Logistics!AN107-Logistics!AN108)+(Workplace!AN79-Workplace!AN80)+('Town Centres'!AN113-'Town Centres'!AN114)</f>
        <v>0</v>
      </c>
      <c r="AO71" s="54">
        <f>(Logistics!AO107-Logistics!AO108)+(Workplace!AO79-Workplace!AO80)+('Town Centres'!AO113-'Town Centres'!AO114)</f>
        <v>0</v>
      </c>
      <c r="AP71" s="54">
        <f>(Logistics!AP107-Logistics!AP108)+(Workplace!AP79-Workplace!AP80)+('Town Centres'!AP113-'Town Centres'!AP114)</f>
        <v>0</v>
      </c>
    </row>
    <row r="72" spans="2:57" x14ac:dyDescent="0.25">
      <c r="C72" s="45" t="s">
        <v>115</v>
      </c>
      <c r="E72" s="58"/>
      <c r="F72" s="58"/>
      <c r="G72" s="58"/>
      <c r="H72" s="58"/>
      <c r="I72" s="58"/>
      <c r="J72" s="58"/>
      <c r="K72" s="58"/>
      <c r="L72" s="58"/>
      <c r="M72" s="54"/>
      <c r="N72" s="54"/>
      <c r="O72" s="54"/>
      <c r="P72" s="54"/>
      <c r="Q72" s="54"/>
      <c r="R72" s="54"/>
      <c r="S72" s="54"/>
      <c r="T72" s="54"/>
      <c r="U72" s="54"/>
      <c r="V72" s="54"/>
      <c r="W72" s="54"/>
      <c r="X72" s="54"/>
      <c r="Y72" s="54"/>
      <c r="Z72" s="54"/>
      <c r="AA72" s="54"/>
      <c r="AB72" s="68"/>
      <c r="AC72" s="68"/>
      <c r="AD72" s="68">
        <f>AD73-AD71-AD70</f>
        <v>190.60000000000002</v>
      </c>
      <c r="AE72" s="68">
        <f>AE73-AE71-AE70</f>
        <v>-69.399999999999977</v>
      </c>
      <c r="AF72" s="68">
        <f>AF73-AF71-AF70</f>
        <v>311.93333333333339</v>
      </c>
      <c r="AG72" s="68">
        <f>AG73-AG71-AG70</f>
        <v>-249.06666666666661</v>
      </c>
      <c r="AH72" s="68"/>
      <c r="AI72" s="68"/>
      <c r="AJ72" s="68"/>
      <c r="AK72" s="68"/>
      <c r="AL72" s="68"/>
      <c r="AM72" s="68"/>
      <c r="AN72" s="68"/>
      <c r="AO72" s="68"/>
      <c r="AP72" s="68"/>
    </row>
    <row r="73" spans="2:57" x14ac:dyDescent="0.25">
      <c r="C73" t="s">
        <v>189</v>
      </c>
      <c r="E73" s="58"/>
      <c r="F73" s="58"/>
      <c r="G73" s="58"/>
      <c r="H73" s="58"/>
      <c r="I73" s="58"/>
      <c r="J73" s="58"/>
      <c r="K73" s="58"/>
      <c r="L73" s="58"/>
      <c r="M73" s="54">
        <f>Group!M72+Group!M73</f>
        <v>222</v>
      </c>
      <c r="N73" s="54">
        <f>Group!N72+Group!N73</f>
        <v>259</v>
      </c>
      <c r="O73" s="54">
        <f>Group!O72+Group!O73</f>
        <v>323</v>
      </c>
      <c r="P73" s="54">
        <f>Group!P72+Group!P73</f>
        <v>372</v>
      </c>
      <c r="Q73" s="54">
        <f>Group!Q72+Group!Q73</f>
        <v>347</v>
      </c>
      <c r="R73" s="54">
        <f>Group!R72+Group!R73</f>
        <v>236</v>
      </c>
      <c r="S73" s="54">
        <f>Group!S72+Group!S73</f>
        <v>218</v>
      </c>
      <c r="T73" s="54">
        <f>Group!T72+Group!T73</f>
        <v>252</v>
      </c>
      <c r="U73" s="54">
        <f>Group!U72+Group!U73</f>
        <v>241</v>
      </c>
      <c r="V73" s="54">
        <f>Group!V72+Group!V73</f>
        <v>399</v>
      </c>
      <c r="W73" s="54">
        <f>Group!W72+Group!W73</f>
        <v>517</v>
      </c>
      <c r="X73" s="54">
        <f>Group!X72+Group!X73</f>
        <v>416</v>
      </c>
      <c r="Y73" s="54">
        <f>Group!Y72+Group!Y73</f>
        <v>332</v>
      </c>
      <c r="Z73" s="54">
        <f>Group!Z72+Group!Z73</f>
        <v>410</v>
      </c>
      <c r="AA73" s="54">
        <f>Group!AA72+Group!AA73</f>
        <v>504</v>
      </c>
      <c r="AB73" s="54">
        <f>Group!AB72+Group!AB73</f>
        <v>791</v>
      </c>
      <c r="AC73" s="54">
        <f>Group!AC72+Group!AC73</f>
        <v>720</v>
      </c>
      <c r="AD73" s="54">
        <f>Group!AD72+Group!AD73</f>
        <v>796</v>
      </c>
      <c r="AE73" s="54">
        <f>Group!AE72+Group!AE73</f>
        <v>673</v>
      </c>
      <c r="AF73" s="54">
        <f>Group!AF72+Group!AF73</f>
        <v>990</v>
      </c>
      <c r="AG73" s="54">
        <f>Group!AG72+Group!AG73</f>
        <v>886</v>
      </c>
      <c r="AH73" s="54">
        <f t="shared" ref="AH73:AL73" si="46">SUM(AH70:AH72)</f>
        <v>852.4</v>
      </c>
      <c r="AI73" s="54">
        <f t="shared" si="46"/>
        <v>593.73333333333335</v>
      </c>
      <c r="AJ73" s="54">
        <f t="shared" si="46"/>
        <v>535.06666666666672</v>
      </c>
      <c r="AK73" s="54">
        <f t="shared" si="46"/>
        <v>535.06666666666672</v>
      </c>
      <c r="AL73" s="54">
        <f t="shared" si="46"/>
        <v>535.06666666666672</v>
      </c>
      <c r="AM73" s="54">
        <f>SUM(AM70:AM72)</f>
        <v>535.06666666666672</v>
      </c>
      <c r="AN73" s="54">
        <f>SUM(AN70:AN72)</f>
        <v>535.06666666666672</v>
      </c>
      <c r="AO73" s="54">
        <f>SUM(AO70:AO72)</f>
        <v>535.06666666666672</v>
      </c>
      <c r="AP73" s="54">
        <f>SUM(AP70:AP72)</f>
        <v>535.06666666666672</v>
      </c>
    </row>
    <row r="74" spans="2:57" s="70" customFormat="1" x14ac:dyDescent="0.25">
      <c r="C74" s="70" t="s">
        <v>190</v>
      </c>
      <c r="E74" s="71"/>
      <c r="F74" s="71"/>
      <c r="G74" s="71"/>
      <c r="H74" s="71"/>
      <c r="I74" s="71"/>
      <c r="J74" s="71"/>
      <c r="K74" s="71"/>
      <c r="L74" s="71"/>
      <c r="M74" s="71">
        <f t="shared" ref="M74:AB74" si="47">AVERAGE(M73,M70)</f>
        <v>222</v>
      </c>
      <c r="N74" s="71">
        <f t="shared" si="47"/>
        <v>240.5</v>
      </c>
      <c r="O74" s="71">
        <f t="shared" si="47"/>
        <v>291</v>
      </c>
      <c r="P74" s="71">
        <f t="shared" si="47"/>
        <v>347.5</v>
      </c>
      <c r="Q74" s="71">
        <f t="shared" si="47"/>
        <v>359.5</v>
      </c>
      <c r="R74" s="71">
        <f t="shared" si="47"/>
        <v>291.5</v>
      </c>
      <c r="S74" s="71">
        <f t="shared" si="47"/>
        <v>227</v>
      </c>
      <c r="T74" s="71">
        <f t="shared" si="47"/>
        <v>235</v>
      </c>
      <c r="U74" s="71">
        <f t="shared" si="47"/>
        <v>246.5</v>
      </c>
      <c r="V74" s="71">
        <f t="shared" si="47"/>
        <v>320</v>
      </c>
      <c r="W74" s="71">
        <f t="shared" si="47"/>
        <v>458</v>
      </c>
      <c r="X74" s="71">
        <f t="shared" si="47"/>
        <v>466.5</v>
      </c>
      <c r="Y74" s="71">
        <f t="shared" si="47"/>
        <v>374</v>
      </c>
      <c r="Z74" s="71">
        <f t="shared" si="47"/>
        <v>371</v>
      </c>
      <c r="AA74" s="71">
        <f t="shared" si="47"/>
        <v>457</v>
      </c>
      <c r="AB74" s="71">
        <f t="shared" si="47"/>
        <v>647.5</v>
      </c>
      <c r="AC74" s="71">
        <f t="shared" ref="AC74:AL74" si="48">AVERAGE(AC73,AC70)</f>
        <v>755.5</v>
      </c>
      <c r="AD74" s="71">
        <f t="shared" si="48"/>
        <v>758</v>
      </c>
      <c r="AE74" s="71">
        <f t="shared" si="48"/>
        <v>734.5</v>
      </c>
      <c r="AF74" s="71">
        <f t="shared" si="48"/>
        <v>831.5</v>
      </c>
      <c r="AG74" s="71">
        <f t="shared" si="48"/>
        <v>938</v>
      </c>
      <c r="AH74" s="71">
        <f t="shared" si="48"/>
        <v>869.2</v>
      </c>
      <c r="AI74" s="71">
        <f t="shared" si="48"/>
        <v>723.06666666666661</v>
      </c>
      <c r="AJ74" s="71">
        <f t="shared" si="48"/>
        <v>564.40000000000009</v>
      </c>
      <c r="AK74" s="71">
        <f t="shared" si="48"/>
        <v>535.06666666666672</v>
      </c>
      <c r="AL74" s="71">
        <f t="shared" si="48"/>
        <v>535.06666666666672</v>
      </c>
      <c r="AM74" s="71">
        <f>AVERAGE(AM73,AM70)</f>
        <v>535.06666666666672</v>
      </c>
      <c r="AN74" s="71">
        <f>AVERAGE(AN73,AN70)</f>
        <v>535.06666666666672</v>
      </c>
      <c r="AO74" s="71">
        <f>AVERAGE(AO73,AO70)</f>
        <v>535.06666666666672</v>
      </c>
      <c r="AP74" s="71">
        <f>AVERAGE(AP73,AP70)</f>
        <v>535.06666666666672</v>
      </c>
    </row>
    <row r="75" spans="2:57" x14ac:dyDescent="0.25">
      <c r="C75" t="s">
        <v>87</v>
      </c>
      <c r="E75" s="64">
        <f t="shared" ref="E75:L75" si="49">E47</f>
        <v>0</v>
      </c>
      <c r="F75" s="64">
        <f t="shared" si="49"/>
        <v>0</v>
      </c>
      <c r="G75" s="64">
        <f t="shared" si="49"/>
        <v>0</v>
      </c>
      <c r="H75" s="64">
        <f t="shared" si="49"/>
        <v>0</v>
      </c>
      <c r="I75" s="64">
        <f t="shared" si="49"/>
        <v>7.7870540226872828E-2</v>
      </c>
      <c r="J75" s="64">
        <f t="shared" si="49"/>
        <v>7.1348792238318304E-2</v>
      </c>
      <c r="K75" s="64">
        <f t="shared" si="49"/>
        <v>6.7999370376200227E-2</v>
      </c>
      <c r="L75" s="64">
        <f t="shared" si="49"/>
        <v>6.2595888309297326E-2</v>
      </c>
      <c r="M75" s="65">
        <f t="shared" ref="M75:AG75" si="50">M76*2/M74</f>
        <v>5.4054054054054057E-2</v>
      </c>
      <c r="N75" s="65">
        <f t="shared" si="50"/>
        <v>4.9896049896049899E-2</v>
      </c>
      <c r="O75" s="65">
        <f t="shared" si="50"/>
        <v>4.1237113402061855E-2</v>
      </c>
      <c r="P75" s="65">
        <f t="shared" si="50"/>
        <v>4.0287769784172658E-2</v>
      </c>
      <c r="Q75" s="65">
        <f t="shared" si="50"/>
        <v>5.0069541029207229E-2</v>
      </c>
      <c r="R75" s="65">
        <f t="shared" si="50"/>
        <v>5.4888507718696397E-2</v>
      </c>
      <c r="S75" s="65">
        <f t="shared" si="50"/>
        <v>5.2863436123348019E-2</v>
      </c>
      <c r="T75" s="65">
        <f t="shared" si="50"/>
        <v>2.553191489361702E-2</v>
      </c>
      <c r="U75" s="65">
        <f t="shared" si="50"/>
        <v>3.2454361054766734E-2</v>
      </c>
      <c r="V75" s="65">
        <f t="shared" si="50"/>
        <v>1.8749999999999999E-2</v>
      </c>
      <c r="W75" s="65">
        <f t="shared" si="50"/>
        <v>3.4934497816593885E-2</v>
      </c>
      <c r="X75" s="65">
        <f t="shared" si="50"/>
        <v>8.5744908896034297E-3</v>
      </c>
      <c r="Y75" s="65">
        <f t="shared" si="50"/>
        <v>4.2780748663101602E-2</v>
      </c>
      <c r="Z75" s="65">
        <f t="shared" si="50"/>
        <v>3.2345013477088951E-2</v>
      </c>
      <c r="AA75" s="65">
        <f t="shared" si="50"/>
        <v>3.9387308533916851E-2</v>
      </c>
      <c r="AB75" s="65">
        <f t="shared" si="50"/>
        <v>3.0888030888030889E-2</v>
      </c>
      <c r="AC75" s="65">
        <f t="shared" si="50"/>
        <v>3.1767041694242222E-2</v>
      </c>
      <c r="AD75" s="65">
        <f t="shared" si="50"/>
        <v>3.9577836411609502E-2</v>
      </c>
      <c r="AE75" s="65">
        <f t="shared" si="50"/>
        <v>3.2675289312457452E-2</v>
      </c>
      <c r="AF75" s="65">
        <f t="shared" si="50"/>
        <v>2.6458208057727001E-2</v>
      </c>
      <c r="AG75" s="65">
        <f t="shared" si="50"/>
        <v>4.0511727078891259E-2</v>
      </c>
      <c r="AH75" s="64">
        <v>3.5000000000000003E-2</v>
      </c>
      <c r="AI75" s="64">
        <f t="shared" ref="AI75:AL75" si="51">AH75</f>
        <v>3.5000000000000003E-2</v>
      </c>
      <c r="AJ75" s="64">
        <f t="shared" si="51"/>
        <v>3.5000000000000003E-2</v>
      </c>
      <c r="AK75" s="64">
        <f t="shared" si="51"/>
        <v>3.5000000000000003E-2</v>
      </c>
      <c r="AL75" s="64">
        <f t="shared" si="51"/>
        <v>3.5000000000000003E-2</v>
      </c>
      <c r="AM75" s="64">
        <f>AL75</f>
        <v>3.5000000000000003E-2</v>
      </c>
      <c r="AN75" s="64">
        <f>AM75</f>
        <v>3.5000000000000003E-2</v>
      </c>
      <c r="AO75" s="64">
        <f>AN75</f>
        <v>3.5000000000000003E-2</v>
      </c>
      <c r="AP75" s="64">
        <f>AO75</f>
        <v>3.5000000000000003E-2</v>
      </c>
    </row>
    <row r="76" spans="2:57" s="6" customFormat="1" x14ac:dyDescent="0.25">
      <c r="C76" s="6" t="s">
        <v>174</v>
      </c>
      <c r="D76" s="6" t="s">
        <v>32</v>
      </c>
      <c r="E76" s="46"/>
      <c r="F76" s="46"/>
      <c r="G76" s="46"/>
      <c r="H76" s="46"/>
      <c r="I76" s="33">
        <v>5</v>
      </c>
      <c r="J76" s="33">
        <f>12-I76</f>
        <v>7</v>
      </c>
      <c r="K76" s="33">
        <v>8</v>
      </c>
      <c r="L76" s="33">
        <f>15-K76</f>
        <v>7</v>
      </c>
      <c r="M76" s="33">
        <v>6</v>
      </c>
      <c r="N76" s="33">
        <f>12-M76</f>
        <v>6</v>
      </c>
      <c r="O76" s="33">
        <v>6</v>
      </c>
      <c r="P76" s="33">
        <f>13-O76</f>
        <v>7</v>
      </c>
      <c r="Q76" s="33">
        <v>9</v>
      </c>
      <c r="R76" s="33">
        <f>17-Q76</f>
        <v>8</v>
      </c>
      <c r="S76" s="33">
        <v>6</v>
      </c>
      <c r="T76" s="33">
        <f>9-S76</f>
        <v>3</v>
      </c>
      <c r="U76" s="33">
        <v>4</v>
      </c>
      <c r="V76" s="33">
        <f>7-U76</f>
        <v>3</v>
      </c>
      <c r="W76" s="33">
        <v>8</v>
      </c>
      <c r="X76" s="33">
        <f>10-W76</f>
        <v>2</v>
      </c>
      <c r="Y76" s="33">
        <v>8</v>
      </c>
      <c r="Z76" s="33">
        <f>14-Y76</f>
        <v>6</v>
      </c>
      <c r="AA76" s="33">
        <v>9</v>
      </c>
      <c r="AB76" s="33">
        <f>19-AA76</f>
        <v>10</v>
      </c>
      <c r="AC76" s="33">
        <v>12</v>
      </c>
      <c r="AD76" s="33">
        <f>27-AC76</f>
        <v>15</v>
      </c>
      <c r="AE76" s="33">
        <v>12</v>
      </c>
      <c r="AF76" s="33">
        <f>23-AE76</f>
        <v>11</v>
      </c>
      <c r="AG76" s="33">
        <v>19</v>
      </c>
      <c r="AH76" s="46">
        <f t="shared" ref="AH76:AL76" si="52">AH74*AH75*0.5</f>
        <v>15.211000000000002</v>
      </c>
      <c r="AI76" s="46">
        <f t="shared" si="52"/>
        <v>12.653666666666666</v>
      </c>
      <c r="AJ76" s="46">
        <f t="shared" si="52"/>
        <v>9.8770000000000024</v>
      </c>
      <c r="AK76" s="46">
        <f t="shared" si="52"/>
        <v>9.3636666666666688</v>
      </c>
      <c r="AL76" s="46">
        <f t="shared" si="52"/>
        <v>9.3636666666666688</v>
      </c>
      <c r="AM76" s="46">
        <f>AM74*AM75*0.5</f>
        <v>9.3636666666666688</v>
      </c>
      <c r="AN76" s="46">
        <f>AN74*AN75*0.5</f>
        <v>9.3636666666666688</v>
      </c>
      <c r="AO76" s="46">
        <f>AO74*AO75*0.5</f>
        <v>9.3636666666666688</v>
      </c>
      <c r="AP76" s="46">
        <f>AP74*AP75*0.5</f>
        <v>9.3636666666666688</v>
      </c>
    </row>
    <row r="77" spans="2:57" x14ac:dyDescent="0.25">
      <c r="E77" s="58"/>
      <c r="F77" s="58"/>
      <c r="G77" s="58"/>
      <c r="H77" s="58"/>
      <c r="I77" s="58"/>
      <c r="J77" s="58"/>
      <c r="K77" s="58"/>
      <c r="L77" s="58"/>
      <c r="M77" s="58"/>
      <c r="N77" s="58"/>
      <c r="O77" s="58"/>
      <c r="P77" s="58"/>
      <c r="Q77" s="58"/>
      <c r="R77" s="58"/>
      <c r="S77" s="58"/>
      <c r="T77" s="58"/>
      <c r="U77" s="58"/>
      <c r="V77" s="58"/>
      <c r="W77" s="58"/>
      <c r="X77" s="58"/>
      <c r="Y77" s="58"/>
      <c r="Z77" s="58"/>
      <c r="AA77" s="58"/>
      <c r="AB77" s="54"/>
      <c r="AC77" s="54"/>
      <c r="AD77" s="54"/>
      <c r="AE77" s="54"/>
      <c r="AF77" s="54"/>
      <c r="AG77" s="54"/>
      <c r="AH77" s="54"/>
      <c r="AI77" s="54"/>
      <c r="AJ77" s="54"/>
      <c r="AK77" s="54"/>
      <c r="AL77" s="54"/>
      <c r="AM77" s="54"/>
      <c r="AN77" s="54"/>
      <c r="AO77" s="54"/>
      <c r="AP77" s="54"/>
    </row>
    <row r="78" spans="2:57" x14ac:dyDescent="0.25">
      <c r="E78" s="58"/>
      <c r="F78" s="58"/>
      <c r="G78" s="58"/>
      <c r="H78" s="58"/>
      <c r="I78" s="58"/>
      <c r="J78" s="58"/>
      <c r="K78" s="58"/>
      <c r="L78" s="58"/>
      <c r="M78" s="58"/>
      <c r="N78" s="58"/>
      <c r="O78" s="58"/>
      <c r="P78" s="58"/>
      <c r="Q78" s="58"/>
      <c r="R78" s="58"/>
      <c r="S78" s="58"/>
      <c r="T78" s="58"/>
      <c r="U78" s="58"/>
      <c r="V78" s="58"/>
      <c r="W78" s="58"/>
      <c r="X78" s="58"/>
      <c r="Y78" s="58"/>
      <c r="Z78" s="58"/>
      <c r="AA78" s="58"/>
      <c r="AB78" s="54"/>
      <c r="AC78" s="54"/>
      <c r="AD78" s="54">
        <f>262-18-151</f>
        <v>93</v>
      </c>
      <c r="AE78" s="54"/>
      <c r="AF78" s="54"/>
      <c r="AG78" s="54"/>
      <c r="AH78" s="54"/>
      <c r="AI78" s="54"/>
      <c r="AJ78" s="54"/>
      <c r="AK78" s="54"/>
      <c r="AL78" s="54"/>
      <c r="AM78" s="54"/>
      <c r="AN78" s="54"/>
      <c r="AO78" s="54"/>
      <c r="AP78" s="54"/>
    </row>
    <row r="79" spans="2:57" s="23" customFormat="1" x14ac:dyDescent="0.25">
      <c r="B79" s="23" t="s">
        <v>176</v>
      </c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  <c r="AA79" s="24"/>
      <c r="AB79" s="24"/>
      <c r="AC79" s="24"/>
      <c r="AD79" s="24"/>
      <c r="AE79" s="24"/>
      <c r="AF79" s="24"/>
      <c r="AG79" s="24"/>
      <c r="AH79" s="24"/>
      <c r="AI79" s="24"/>
      <c r="AJ79" s="24"/>
      <c r="AK79" s="24"/>
      <c r="AL79" s="24"/>
      <c r="AM79" s="24"/>
      <c r="AN79" s="24"/>
      <c r="AO79" s="24"/>
      <c r="AP79" s="24"/>
      <c r="AQ79" s="24"/>
      <c r="AR79" s="24"/>
      <c r="AS79" s="24"/>
      <c r="AT79" s="24"/>
      <c r="AU79" s="24"/>
      <c r="AV79" s="24"/>
      <c r="AW79" s="24"/>
      <c r="AX79" s="24"/>
      <c r="AY79" s="24"/>
      <c r="AZ79" s="24"/>
      <c r="BA79" s="24"/>
      <c r="BE79" s="25"/>
    </row>
    <row r="80" spans="2:57" s="49" customFormat="1" x14ac:dyDescent="0.25">
      <c r="C80" s="49" t="s">
        <v>89</v>
      </c>
      <c r="D80" s="49" t="s">
        <v>32</v>
      </c>
      <c r="E80" s="68">
        <f>E53</f>
        <v>0</v>
      </c>
      <c r="F80" s="68">
        <f t="shared" ref="F80:AL80" si="53">F53</f>
        <v>0</v>
      </c>
      <c r="G80" s="68">
        <f t="shared" si="53"/>
        <v>0</v>
      </c>
      <c r="H80" s="68">
        <f t="shared" si="53"/>
        <v>0</v>
      </c>
      <c r="I80" s="68">
        <f t="shared" si="53"/>
        <v>3</v>
      </c>
      <c r="J80" s="68">
        <f t="shared" si="53"/>
        <v>2</v>
      </c>
      <c r="K80" s="68">
        <f t="shared" si="53"/>
        <v>4</v>
      </c>
      <c r="L80" s="68">
        <f t="shared" si="53"/>
        <v>4</v>
      </c>
      <c r="M80" s="68">
        <f t="shared" si="53"/>
        <v>3</v>
      </c>
      <c r="N80" s="68">
        <f t="shared" si="53"/>
        <v>5</v>
      </c>
      <c r="O80" s="68">
        <f t="shared" si="53"/>
        <v>2</v>
      </c>
      <c r="P80" s="68">
        <f t="shared" si="53"/>
        <v>2</v>
      </c>
      <c r="Q80" s="68">
        <f t="shared" si="53"/>
        <v>1</v>
      </c>
      <c r="R80" s="68">
        <f t="shared" si="53"/>
        <v>2</v>
      </c>
      <c r="S80" s="68">
        <f t="shared" si="53"/>
        <v>2</v>
      </c>
      <c r="T80" s="68">
        <f t="shared" si="53"/>
        <v>2</v>
      </c>
      <c r="U80" s="68">
        <f t="shared" si="53"/>
        <v>1</v>
      </c>
      <c r="V80" s="68">
        <f t="shared" si="53"/>
        <v>1</v>
      </c>
      <c r="W80" s="68">
        <f t="shared" si="53"/>
        <v>1</v>
      </c>
      <c r="X80" s="68">
        <f t="shared" si="53"/>
        <v>3</v>
      </c>
      <c r="Y80" s="68">
        <f t="shared" si="53"/>
        <v>2</v>
      </c>
      <c r="Z80" s="68">
        <f t="shared" si="53"/>
        <v>1</v>
      </c>
      <c r="AA80" s="68">
        <f t="shared" si="53"/>
        <v>5</v>
      </c>
      <c r="AB80" s="68">
        <f t="shared" si="53"/>
        <v>5</v>
      </c>
      <c r="AC80" s="68">
        <f t="shared" si="53"/>
        <v>7</v>
      </c>
      <c r="AD80" s="68">
        <f t="shared" si="53"/>
        <v>11</v>
      </c>
      <c r="AE80" s="68">
        <f t="shared" si="53"/>
        <v>10</v>
      </c>
      <c r="AF80" s="68">
        <f t="shared" si="53"/>
        <v>6</v>
      </c>
      <c r="AG80" s="68">
        <f t="shared" si="53"/>
        <v>10</v>
      </c>
      <c r="AH80" s="68">
        <f t="shared" ca="1" si="53"/>
        <v>6.4801297572195331</v>
      </c>
      <c r="AI80" s="68">
        <f t="shared" ca="1" si="53"/>
        <v>5.1111752525502814</v>
      </c>
      <c r="AJ80" s="68">
        <f t="shared" ca="1" si="53"/>
        <v>5.9849038109128827</v>
      </c>
      <c r="AK80" s="68">
        <f t="shared" ca="1" si="53"/>
        <v>7.0893821007777547</v>
      </c>
      <c r="AL80" s="68">
        <f t="shared" ca="1" si="53"/>
        <v>8.4086667172294263</v>
      </c>
      <c r="AM80" s="68">
        <f ca="1">AM53</f>
        <v>9.9428193610256823</v>
      </c>
      <c r="AN80" s="68">
        <f ca="1">AN53</f>
        <v>10.832090847568379</v>
      </c>
      <c r="AO80" s="68">
        <f ca="1">AO53</f>
        <v>12.707060994619626</v>
      </c>
      <c r="AP80" s="68">
        <f ca="1">AP53</f>
        <v>14.707760096392956</v>
      </c>
    </row>
    <row r="81" spans="3:42" s="49" customFormat="1" x14ac:dyDescent="0.25">
      <c r="C81" s="49" t="s">
        <v>74</v>
      </c>
      <c r="D81" s="49" t="s">
        <v>32</v>
      </c>
      <c r="E81" s="68">
        <f>-E46</f>
        <v>0</v>
      </c>
      <c r="F81" s="68">
        <f t="shared" ref="F81:AL81" si="54">-F46</f>
        <v>0</v>
      </c>
      <c r="G81" s="68">
        <f t="shared" si="54"/>
        <v>0</v>
      </c>
      <c r="H81" s="68">
        <f t="shared" si="54"/>
        <v>0</v>
      </c>
      <c r="I81" s="68">
        <f t="shared" si="54"/>
        <v>-104</v>
      </c>
      <c r="J81" s="68">
        <f t="shared" si="54"/>
        <v>-107</v>
      </c>
      <c r="K81" s="68">
        <f t="shared" si="54"/>
        <v>-108</v>
      </c>
      <c r="L81" s="68">
        <f t="shared" si="54"/>
        <v>-102</v>
      </c>
      <c r="M81" s="68">
        <f t="shared" si="54"/>
        <v>-106</v>
      </c>
      <c r="N81" s="68">
        <f t="shared" si="54"/>
        <v>-103</v>
      </c>
      <c r="O81" s="68">
        <f t="shared" si="54"/>
        <v>-105</v>
      </c>
      <c r="P81" s="68">
        <f t="shared" si="54"/>
        <v>-104</v>
      </c>
      <c r="Q81" s="68">
        <f t="shared" si="54"/>
        <v>-108</v>
      </c>
      <c r="R81" s="68">
        <f t="shared" si="54"/>
        <v>-128</v>
      </c>
      <c r="S81" s="68">
        <f t="shared" si="54"/>
        <v>-116</v>
      </c>
      <c r="T81" s="68">
        <f t="shared" si="54"/>
        <v>-116</v>
      </c>
      <c r="U81" s="68">
        <f t="shared" si="54"/>
        <v>-110</v>
      </c>
      <c r="V81" s="68">
        <f t="shared" si="54"/>
        <v>-99</v>
      </c>
      <c r="W81" s="68">
        <f t="shared" si="54"/>
        <v>-102</v>
      </c>
      <c r="X81" s="68">
        <f t="shared" si="54"/>
        <v>-97</v>
      </c>
      <c r="Y81" s="68">
        <f t="shared" si="54"/>
        <v>-94</v>
      </c>
      <c r="Z81" s="68">
        <f t="shared" si="54"/>
        <v>-91</v>
      </c>
      <c r="AA81" s="68">
        <f t="shared" si="54"/>
        <v>-80</v>
      </c>
      <c r="AB81" s="68">
        <f t="shared" si="54"/>
        <v>-100</v>
      </c>
      <c r="AC81" s="68">
        <f t="shared" si="54"/>
        <v>-118</v>
      </c>
      <c r="AD81" s="68">
        <f t="shared" si="54"/>
        <v>-131</v>
      </c>
      <c r="AE81" s="68">
        <f t="shared" si="54"/>
        <v>-130</v>
      </c>
      <c r="AF81" s="68">
        <f t="shared" si="54"/>
        <v>-141</v>
      </c>
      <c r="AG81" s="68">
        <f t="shared" si="54"/>
        <v>-162</v>
      </c>
      <c r="AH81" s="68">
        <f t="shared" ca="1" si="54"/>
        <v>-158.23630441108267</v>
      </c>
      <c r="AI81" s="68">
        <f t="shared" ca="1" si="54"/>
        <v>-150.87436882216534</v>
      </c>
      <c r="AJ81" s="68">
        <f t="shared" ca="1" si="54"/>
        <v>-157.98570202216533</v>
      </c>
      <c r="AK81" s="68">
        <f t="shared" ca="1" si="54"/>
        <v>-163.45637562216533</v>
      </c>
      <c r="AL81" s="68">
        <f t="shared" ca="1" si="54"/>
        <v>-168.87905682016532</v>
      </c>
      <c r="AM81" s="68">
        <f ca="1">-AM46</f>
        <v>-173.72381227416531</v>
      </c>
      <c r="AN81" s="68">
        <f ca="1">-AN46</f>
        <v>-178.58329294013532</v>
      </c>
      <c r="AO81" s="68">
        <f ca="1">-AO46</f>
        <v>-184.02133522594528</v>
      </c>
      <c r="AP81" s="68">
        <f ca="1">-AP46</f>
        <v>-189.47432360190484</v>
      </c>
    </row>
    <row r="82" spans="3:42" s="49" customFormat="1" x14ac:dyDescent="0.25">
      <c r="C82" s="49" t="s">
        <v>174</v>
      </c>
      <c r="D82" s="49" t="s">
        <v>32</v>
      </c>
      <c r="E82" s="68">
        <f t="shared" ref="E82:AA82" si="55">E66</f>
        <v>0</v>
      </c>
      <c r="F82" s="68">
        <f t="shared" si="55"/>
        <v>0</v>
      </c>
      <c r="G82" s="68">
        <f t="shared" si="55"/>
        <v>0</v>
      </c>
      <c r="H82" s="68">
        <f t="shared" si="55"/>
        <v>0</v>
      </c>
      <c r="I82" s="68">
        <f t="shared" si="55"/>
        <v>60</v>
      </c>
      <c r="J82" s="68">
        <f t="shared" si="55"/>
        <v>60</v>
      </c>
      <c r="K82" s="68">
        <f t="shared" si="55"/>
        <v>62</v>
      </c>
      <c r="L82" s="68">
        <f t="shared" si="55"/>
        <v>60</v>
      </c>
      <c r="M82" s="68">
        <f t="shared" si="55"/>
        <v>60</v>
      </c>
      <c r="N82" s="68">
        <f t="shared" si="55"/>
        <v>56</v>
      </c>
      <c r="O82" s="68">
        <f t="shared" si="55"/>
        <v>57</v>
      </c>
      <c r="P82" s="68">
        <f t="shared" si="55"/>
        <v>56</v>
      </c>
      <c r="Q82" s="68">
        <f t="shared" si="55"/>
        <v>62</v>
      </c>
      <c r="R82" s="68">
        <f t="shared" si="55"/>
        <v>80</v>
      </c>
      <c r="S82" s="68">
        <f t="shared" si="55"/>
        <v>71</v>
      </c>
      <c r="T82" s="68">
        <f t="shared" si="55"/>
        <v>65</v>
      </c>
      <c r="U82" s="68">
        <f t="shared" si="55"/>
        <v>57</v>
      </c>
      <c r="V82" s="68">
        <f t="shared" si="55"/>
        <v>57</v>
      </c>
      <c r="W82" s="68">
        <f t="shared" si="55"/>
        <v>49</v>
      </c>
      <c r="X82" s="68">
        <f t="shared" si="55"/>
        <v>50</v>
      </c>
      <c r="Y82" s="68">
        <f t="shared" si="55"/>
        <v>47</v>
      </c>
      <c r="Z82" s="68">
        <f t="shared" si="55"/>
        <v>49</v>
      </c>
      <c r="AA82" s="68">
        <f t="shared" si="55"/>
        <v>33</v>
      </c>
      <c r="AB82" s="68">
        <f>AB66</f>
        <v>43</v>
      </c>
      <c r="AC82" s="68">
        <f t="shared" ref="AC82:AL82" si="56">AC66</f>
        <v>47</v>
      </c>
      <c r="AD82" s="68">
        <f t="shared" si="56"/>
        <v>56</v>
      </c>
      <c r="AE82" s="68">
        <f t="shared" si="56"/>
        <v>71</v>
      </c>
      <c r="AF82" s="68">
        <f t="shared" si="56"/>
        <v>78</v>
      </c>
      <c r="AG82" s="68">
        <f t="shared" si="56"/>
        <v>106</v>
      </c>
      <c r="AH82" s="68">
        <f t="shared" si="56"/>
        <v>109.68039610063977</v>
      </c>
      <c r="AI82" s="68">
        <f t="shared" si="56"/>
        <v>105.85092216621571</v>
      </c>
      <c r="AJ82" s="68">
        <f t="shared" si="56"/>
        <v>105.5452939657293</v>
      </c>
      <c r="AK82" s="68">
        <f t="shared" si="56"/>
        <v>104.8716312132819</v>
      </c>
      <c r="AL82" s="68">
        <f t="shared" si="56"/>
        <v>103.99529726522388</v>
      </c>
      <c r="AM82" s="68">
        <f>AM66</f>
        <v>102.7675456455422</v>
      </c>
      <c r="AN82" s="68">
        <f>AN66</f>
        <v>101.17530156643595</v>
      </c>
      <c r="AO82" s="68">
        <f>AO66</f>
        <v>99.204968730757727</v>
      </c>
      <c r="AP82" s="68">
        <f>AP66</f>
        <v>96.841085963328624</v>
      </c>
    </row>
    <row r="83" spans="3:42" s="49" customFormat="1" x14ac:dyDescent="0.25">
      <c r="C83" s="49" t="s">
        <v>175</v>
      </c>
      <c r="D83" s="49" t="s">
        <v>32</v>
      </c>
      <c r="E83" s="68">
        <f t="shared" ref="E83:AA83" si="57">E76</f>
        <v>0</v>
      </c>
      <c r="F83" s="68">
        <f t="shared" si="57"/>
        <v>0</v>
      </c>
      <c r="G83" s="68">
        <f t="shared" si="57"/>
        <v>0</v>
      </c>
      <c r="H83" s="68">
        <f t="shared" si="57"/>
        <v>0</v>
      </c>
      <c r="I83" s="68">
        <f t="shared" si="57"/>
        <v>5</v>
      </c>
      <c r="J83" s="68">
        <f t="shared" si="57"/>
        <v>7</v>
      </c>
      <c r="K83" s="68">
        <f t="shared" si="57"/>
        <v>8</v>
      </c>
      <c r="L83" s="68">
        <f t="shared" si="57"/>
        <v>7</v>
      </c>
      <c r="M83" s="68">
        <f t="shared" si="57"/>
        <v>6</v>
      </c>
      <c r="N83" s="68">
        <f t="shared" si="57"/>
        <v>6</v>
      </c>
      <c r="O83" s="68">
        <f t="shared" si="57"/>
        <v>6</v>
      </c>
      <c r="P83" s="68">
        <f t="shared" si="57"/>
        <v>7</v>
      </c>
      <c r="Q83" s="68">
        <f t="shared" si="57"/>
        <v>9</v>
      </c>
      <c r="R83" s="68">
        <f t="shared" si="57"/>
        <v>8</v>
      </c>
      <c r="S83" s="68">
        <f t="shared" si="57"/>
        <v>6</v>
      </c>
      <c r="T83" s="68">
        <f t="shared" si="57"/>
        <v>3</v>
      </c>
      <c r="U83" s="68">
        <f t="shared" si="57"/>
        <v>4</v>
      </c>
      <c r="V83" s="68">
        <f t="shared" si="57"/>
        <v>3</v>
      </c>
      <c r="W83" s="68">
        <f t="shared" si="57"/>
        <v>8</v>
      </c>
      <c r="X83" s="68">
        <f t="shared" si="57"/>
        <v>2</v>
      </c>
      <c r="Y83" s="68">
        <f t="shared" si="57"/>
        <v>8</v>
      </c>
      <c r="Z83" s="68">
        <f t="shared" si="57"/>
        <v>6</v>
      </c>
      <c r="AA83" s="68">
        <f t="shared" si="57"/>
        <v>9</v>
      </c>
      <c r="AB83" s="68">
        <f>AB76</f>
        <v>10</v>
      </c>
      <c r="AC83" s="68">
        <f t="shared" ref="AC83:AL83" si="58">AC76</f>
        <v>12</v>
      </c>
      <c r="AD83" s="68">
        <f t="shared" si="58"/>
        <v>15</v>
      </c>
      <c r="AE83" s="68">
        <f t="shared" si="58"/>
        <v>12</v>
      </c>
      <c r="AF83" s="68">
        <f t="shared" si="58"/>
        <v>11</v>
      </c>
      <c r="AG83" s="68">
        <f t="shared" si="58"/>
        <v>19</v>
      </c>
      <c r="AH83" s="68">
        <f t="shared" si="58"/>
        <v>15.211000000000002</v>
      </c>
      <c r="AI83" s="68">
        <f t="shared" si="58"/>
        <v>12.653666666666666</v>
      </c>
      <c r="AJ83" s="68">
        <f t="shared" si="58"/>
        <v>9.8770000000000024</v>
      </c>
      <c r="AK83" s="68">
        <f t="shared" si="58"/>
        <v>9.3636666666666688</v>
      </c>
      <c r="AL83" s="68">
        <f t="shared" si="58"/>
        <v>9.3636666666666688</v>
      </c>
      <c r="AM83" s="68">
        <f>AM76</f>
        <v>9.3636666666666688</v>
      </c>
      <c r="AN83" s="68">
        <f>AN76</f>
        <v>9.3636666666666688</v>
      </c>
      <c r="AO83" s="68">
        <f>AO76</f>
        <v>9.3636666666666688</v>
      </c>
      <c r="AP83" s="68">
        <f>AP76</f>
        <v>9.3636666666666688</v>
      </c>
    </row>
    <row r="84" spans="3:42" s="49" customFormat="1" x14ac:dyDescent="0.25">
      <c r="C84" s="49" t="s">
        <v>178</v>
      </c>
      <c r="D84" s="49" t="s">
        <v>32</v>
      </c>
      <c r="E84" s="68"/>
      <c r="F84" s="68"/>
      <c r="G84" s="68"/>
      <c r="H84" s="68"/>
      <c r="I84" s="74">
        <v>-2</v>
      </c>
      <c r="J84" s="74">
        <f>-5-I84</f>
        <v>-3</v>
      </c>
      <c r="K84" s="74">
        <v>-2</v>
      </c>
      <c r="L84" s="74">
        <f>-4-K84</f>
        <v>-2</v>
      </c>
      <c r="M84" s="74">
        <v>-1</v>
      </c>
      <c r="N84" s="74">
        <f>-1-M84</f>
        <v>0</v>
      </c>
      <c r="O84" s="74">
        <v>0</v>
      </c>
      <c r="P84" s="74">
        <v>0</v>
      </c>
      <c r="Q84" s="74">
        <v>0</v>
      </c>
      <c r="R84" s="74">
        <v>0</v>
      </c>
      <c r="S84" s="74">
        <v>0</v>
      </c>
      <c r="T84" s="74">
        <v>0</v>
      </c>
      <c r="U84" s="74">
        <v>0</v>
      </c>
      <c r="V84" s="74">
        <v>0</v>
      </c>
      <c r="W84" s="74">
        <v>0</v>
      </c>
      <c r="X84" s="74">
        <v>0</v>
      </c>
      <c r="Y84" s="74">
        <v>0</v>
      </c>
      <c r="Z84" s="74">
        <v>0</v>
      </c>
      <c r="AA84" s="74">
        <v>0</v>
      </c>
      <c r="AB84" s="74">
        <v>1</v>
      </c>
      <c r="AC84" s="74">
        <v>-3</v>
      </c>
      <c r="AD84" s="74">
        <v>1</v>
      </c>
      <c r="AE84" s="74">
        <v>2</v>
      </c>
      <c r="AF84" s="74">
        <v>2</v>
      </c>
      <c r="AG84" s="74">
        <v>1</v>
      </c>
      <c r="AH84" s="68"/>
      <c r="AI84" s="68"/>
      <c r="AJ84" s="68"/>
      <c r="AK84" s="68"/>
      <c r="AL84" s="68"/>
      <c r="AM84" s="68"/>
      <c r="AN84" s="68"/>
      <c r="AO84" s="68"/>
      <c r="AP84" s="68"/>
    </row>
    <row r="85" spans="3:42" s="6" customFormat="1" x14ac:dyDescent="0.25">
      <c r="C85" s="6" t="s">
        <v>209</v>
      </c>
      <c r="D85" s="6" t="s">
        <v>32</v>
      </c>
      <c r="E85" s="46"/>
      <c r="F85" s="46"/>
      <c r="G85" s="46"/>
      <c r="H85" s="46"/>
      <c r="I85" s="46">
        <f>SUM(I80:I84)</f>
        <v>-38</v>
      </c>
      <c r="J85" s="46">
        <f t="shared" ref="J85:AL85" si="59">SUM(J80:J84)</f>
        <v>-41</v>
      </c>
      <c r="K85" s="46">
        <f t="shared" si="59"/>
        <v>-36</v>
      </c>
      <c r="L85" s="46">
        <f t="shared" si="59"/>
        <v>-33</v>
      </c>
      <c r="M85" s="46">
        <f t="shared" si="59"/>
        <v>-38</v>
      </c>
      <c r="N85" s="46">
        <f t="shared" si="59"/>
        <v>-36</v>
      </c>
      <c r="O85" s="46">
        <f t="shared" si="59"/>
        <v>-40</v>
      </c>
      <c r="P85" s="46">
        <f t="shared" si="59"/>
        <v>-39</v>
      </c>
      <c r="Q85" s="46">
        <f t="shared" si="59"/>
        <v>-36</v>
      </c>
      <c r="R85" s="46">
        <f t="shared" si="59"/>
        <v>-38</v>
      </c>
      <c r="S85" s="46">
        <f t="shared" si="59"/>
        <v>-37</v>
      </c>
      <c r="T85" s="46">
        <f t="shared" si="59"/>
        <v>-46</v>
      </c>
      <c r="U85" s="46">
        <f t="shared" si="59"/>
        <v>-48</v>
      </c>
      <c r="V85" s="46">
        <f t="shared" si="59"/>
        <v>-38</v>
      </c>
      <c r="W85" s="46">
        <f t="shared" si="59"/>
        <v>-44</v>
      </c>
      <c r="X85" s="46">
        <f t="shared" si="59"/>
        <v>-42</v>
      </c>
      <c r="Y85" s="46">
        <f t="shared" si="59"/>
        <v>-37</v>
      </c>
      <c r="Z85" s="46">
        <f t="shared" si="59"/>
        <v>-35</v>
      </c>
      <c r="AA85" s="46">
        <f t="shared" si="59"/>
        <v>-33</v>
      </c>
      <c r="AB85" s="46">
        <f t="shared" si="59"/>
        <v>-41</v>
      </c>
      <c r="AC85" s="46">
        <f t="shared" si="59"/>
        <v>-55</v>
      </c>
      <c r="AD85" s="46">
        <f t="shared" si="59"/>
        <v>-48</v>
      </c>
      <c r="AE85" s="46">
        <f t="shared" si="59"/>
        <v>-35</v>
      </c>
      <c r="AF85" s="46">
        <f t="shared" si="59"/>
        <v>-44</v>
      </c>
      <c r="AG85" s="46">
        <f t="shared" si="59"/>
        <v>-26</v>
      </c>
      <c r="AH85" s="46">
        <f t="shared" ca="1" si="59"/>
        <v>-26.864778553223356</v>
      </c>
      <c r="AI85" s="46">
        <f t="shared" ca="1" si="59"/>
        <v>-27.258604736732678</v>
      </c>
      <c r="AJ85" s="46">
        <f t="shared" ca="1" si="59"/>
        <v>-36.578504245523156</v>
      </c>
      <c r="AK85" s="46">
        <f t="shared" ca="1" si="59"/>
        <v>-42.131695641439002</v>
      </c>
      <c r="AL85" s="46">
        <f t="shared" ca="1" si="59"/>
        <v>-47.111426171045331</v>
      </c>
      <c r="AM85" s="46">
        <f ca="1">SUM(AM80:AM84)</f>
        <v>-51.649780600930775</v>
      </c>
      <c r="AN85" s="46">
        <f ca="1">SUM(AN80:AN84)</f>
        <v>-57.212233859464341</v>
      </c>
      <c r="AO85" s="46">
        <f ca="1">SUM(AO80:AO84)</f>
        <v>-62.745638833901246</v>
      </c>
      <c r="AP85" s="46">
        <f ca="1">SUM(AP80:AP84)</f>
        <v>-68.561810875516599</v>
      </c>
    </row>
    <row r="86" spans="3:42" s="49" customFormat="1" x14ac:dyDescent="0.25">
      <c r="C86" s="49" t="s">
        <v>177</v>
      </c>
      <c r="D86" s="49" t="s">
        <v>32</v>
      </c>
      <c r="E86" s="68">
        <f>-Residential!E82</f>
        <v>0</v>
      </c>
      <c r="F86" s="68">
        <f>-Residential!F82</f>
        <v>0</v>
      </c>
      <c r="G86" s="68">
        <f>-Residential!G82</f>
        <v>0</v>
      </c>
      <c r="H86" s="68">
        <f>-Residential!H82</f>
        <v>0</v>
      </c>
      <c r="I86" s="68">
        <f>-Residential!I82</f>
        <v>-88</v>
      </c>
      <c r="J86" s="68">
        <f>-Residential!J82</f>
        <v>-73</v>
      </c>
      <c r="K86" s="68">
        <f>-Residential!K82</f>
        <v>-65</v>
      </c>
      <c r="L86" s="68">
        <f>-Residential!L82</f>
        <v>-67</v>
      </c>
      <c r="M86" s="68">
        <f>-Residential!M82</f>
        <v>-61</v>
      </c>
      <c r="N86" s="68">
        <f>-Residential!N82</f>
        <v>-70</v>
      </c>
      <c r="O86" s="68">
        <f>-Residential!O82</f>
        <v>-78</v>
      </c>
      <c r="P86" s="68">
        <f>-Residential!P82</f>
        <v>-70</v>
      </c>
      <c r="Q86" s="68">
        <f>-Residential!Q82</f>
        <v>-57</v>
      </c>
      <c r="R86" s="68">
        <f>-Residential!R82</f>
        <v>-52</v>
      </c>
      <c r="S86" s="68">
        <f>-Residential!S82</f>
        <v>-30</v>
      </c>
      <c r="T86" s="68">
        <f>-Residential!T82</f>
        <v>-69</v>
      </c>
      <c r="U86" s="68">
        <f>-Residential!U82</f>
        <v>-77</v>
      </c>
      <c r="V86" s="68">
        <f>-Residential!V82</f>
        <v>-58</v>
      </c>
      <c r="W86" s="68">
        <f>-Residential!W82</f>
        <v>-38</v>
      </c>
      <c r="X86" s="68">
        <f>-Residential!X82</f>
        <v>-56</v>
      </c>
      <c r="Y86" s="68">
        <f>-Residential!Y82</f>
        <v>-25</v>
      </c>
      <c r="Z86" s="68">
        <f>-Residential!Z82</f>
        <v>-54</v>
      </c>
      <c r="AA86" s="68">
        <f>-Residential!AA82</f>
        <v>-27</v>
      </c>
      <c r="AB86" s="68">
        <f>-Residential!AB82</f>
        <v>-51</v>
      </c>
      <c r="AC86" s="68">
        <f>-Residential!AC82</f>
        <v>-26</v>
      </c>
      <c r="AD86" s="68">
        <f>-Residential!AD82</f>
        <v>-73</v>
      </c>
      <c r="AE86" s="68">
        <f>-Residential!AE82-'Land lease'!AE40</f>
        <v>-33</v>
      </c>
      <c r="AF86" s="68">
        <f>-Residential!AF82-'Land lease'!AF40</f>
        <v>-67</v>
      </c>
      <c r="AG86" s="68">
        <f>-Residential!AG82-'Land lease'!AG40</f>
        <v>-64</v>
      </c>
      <c r="AH86" s="68">
        <f>-Residential!AH82-'Land lease'!AH40</f>
        <v>-69.742851397995736</v>
      </c>
      <c r="AI86" s="68">
        <f>-Residential!AI82-'Land lease'!AI40</f>
        <v>-64.434051485437706</v>
      </c>
      <c r="AJ86" s="68">
        <f>-Residential!AJ82-'Land lease'!AJ40</f>
        <v>-69.675014220417467</v>
      </c>
      <c r="AK86" s="68">
        <f>-Residential!AK82-'Land lease'!AK40</f>
        <v>-77.468272277648353</v>
      </c>
      <c r="AL86" s="68">
        <f>-Residential!AL82-'Land lease'!AL40</f>
        <v>-78.975778533452257</v>
      </c>
      <c r="AM86" s="68">
        <f>-Residential!AM82-'Land lease'!AM40</f>
        <v>-80.250619907673922</v>
      </c>
      <c r="AN86" s="68">
        <f>-Residential!AN82-'Land lease'!AN40</f>
        <v>-81.823385158429645</v>
      </c>
      <c r="AO86" s="68">
        <f>-Residential!AO82-'Land lease'!AO40</f>
        <v>-83.154440225440737</v>
      </c>
      <c r="AP86" s="68">
        <f>-Residential!AP82-'Land lease'!AP40</f>
        <v>-84.795898250954167</v>
      </c>
    </row>
    <row r="87" spans="3:42" s="49" customFormat="1" x14ac:dyDescent="0.25">
      <c r="C87" s="49" t="s">
        <v>214</v>
      </c>
      <c r="D87" s="49" t="s">
        <v>32</v>
      </c>
      <c r="E87" s="68"/>
      <c r="F87" s="68"/>
      <c r="G87" s="68"/>
      <c r="H87" s="68"/>
      <c r="I87" s="68"/>
      <c r="J87" s="68"/>
      <c r="K87" s="68"/>
      <c r="L87" s="68"/>
      <c r="M87" s="68"/>
      <c r="N87" s="68"/>
      <c r="O87" s="68"/>
      <c r="P87" s="68"/>
      <c r="Q87" s="68"/>
      <c r="R87" s="68"/>
      <c r="S87" s="68"/>
      <c r="T87" s="68"/>
      <c r="U87" s="68"/>
      <c r="V87" s="68"/>
      <c r="W87" s="68"/>
      <c r="X87" s="68"/>
      <c r="Y87" s="68">
        <v>-4</v>
      </c>
      <c r="Z87" s="68"/>
      <c r="AA87" s="68">
        <f>-32-AA86</f>
        <v>-5</v>
      </c>
      <c r="AB87" s="68">
        <f>-84-AA87-AA86-AB86</f>
        <v>-1</v>
      </c>
      <c r="AC87" s="68"/>
      <c r="AD87" s="68"/>
      <c r="AE87" s="68"/>
      <c r="AF87" s="68"/>
      <c r="AG87" s="68"/>
      <c r="AH87" s="68"/>
      <c r="AI87" s="68"/>
      <c r="AJ87" s="68"/>
      <c r="AK87" s="68"/>
      <c r="AL87" s="68"/>
      <c r="AM87" s="68"/>
      <c r="AN87" s="68"/>
      <c r="AO87" s="68"/>
      <c r="AP87" s="68"/>
    </row>
    <row r="88" spans="3:42" s="49" customFormat="1" x14ac:dyDescent="0.25">
      <c r="C88" s="49" t="s">
        <v>115</v>
      </c>
      <c r="D88" s="49" t="s">
        <v>32</v>
      </c>
      <c r="E88" s="74"/>
      <c r="F88" s="74"/>
      <c r="G88" s="74"/>
      <c r="H88" s="74"/>
      <c r="I88" s="74"/>
      <c r="J88" s="74"/>
      <c r="K88" s="74"/>
      <c r="L88" s="74"/>
      <c r="M88" s="74"/>
      <c r="N88" s="74"/>
      <c r="O88" s="74"/>
      <c r="P88" s="74"/>
      <c r="Q88" s="74"/>
      <c r="R88" s="74"/>
      <c r="S88" s="74"/>
      <c r="T88" s="74"/>
      <c r="U88" s="74"/>
      <c r="V88" s="74"/>
      <c r="W88" s="74"/>
      <c r="X88" s="74"/>
      <c r="Y88" s="74"/>
      <c r="Z88" s="74"/>
      <c r="AA88" s="74"/>
      <c r="AB88" s="68"/>
      <c r="AC88" s="68"/>
      <c r="AD88" s="68"/>
      <c r="AE88" s="68"/>
      <c r="AF88" s="68"/>
      <c r="AG88" s="68"/>
      <c r="AH88" s="68"/>
      <c r="AI88" s="68"/>
      <c r="AJ88" s="68"/>
      <c r="AK88" s="68"/>
      <c r="AL88" s="68"/>
      <c r="AM88" s="68"/>
      <c r="AN88" s="68"/>
      <c r="AO88" s="68"/>
      <c r="AP88" s="68"/>
    </row>
    <row r="89" spans="3:42" s="6" customFormat="1" x14ac:dyDescent="0.25">
      <c r="C89" s="6" t="s">
        <v>179</v>
      </c>
      <c r="D89" s="6" t="s">
        <v>32</v>
      </c>
      <c r="E89" s="46"/>
      <c r="F89" s="46"/>
      <c r="G89" s="46"/>
      <c r="H89" s="46"/>
      <c r="I89" s="46">
        <f t="shared" ref="I89:AL89" si="60">SUM(I85:I88)</f>
        <v>-126</v>
      </c>
      <c r="J89" s="46">
        <f t="shared" si="60"/>
        <v>-114</v>
      </c>
      <c r="K89" s="46">
        <f t="shared" si="60"/>
        <v>-101</v>
      </c>
      <c r="L89" s="46">
        <f t="shared" si="60"/>
        <v>-100</v>
      </c>
      <c r="M89" s="46">
        <f t="shared" si="60"/>
        <v>-99</v>
      </c>
      <c r="N89" s="46">
        <f t="shared" si="60"/>
        <v>-106</v>
      </c>
      <c r="O89" s="46">
        <f t="shared" si="60"/>
        <v>-118</v>
      </c>
      <c r="P89" s="46">
        <f t="shared" si="60"/>
        <v>-109</v>
      </c>
      <c r="Q89" s="46">
        <f t="shared" si="60"/>
        <v>-93</v>
      </c>
      <c r="R89" s="46">
        <f t="shared" si="60"/>
        <v>-90</v>
      </c>
      <c r="S89" s="46">
        <f t="shared" si="60"/>
        <v>-67</v>
      </c>
      <c r="T89" s="46">
        <f t="shared" si="60"/>
        <v>-115</v>
      </c>
      <c r="U89" s="46">
        <f t="shared" si="60"/>
        <v>-125</v>
      </c>
      <c r="V89" s="46">
        <f t="shared" si="60"/>
        <v>-96</v>
      </c>
      <c r="W89" s="46">
        <f t="shared" si="60"/>
        <v>-82</v>
      </c>
      <c r="X89" s="46">
        <f t="shared" si="60"/>
        <v>-98</v>
      </c>
      <c r="Y89" s="46">
        <f t="shared" si="60"/>
        <v>-66</v>
      </c>
      <c r="Z89" s="46">
        <f t="shared" si="60"/>
        <v>-89</v>
      </c>
      <c r="AA89" s="46">
        <f t="shared" si="60"/>
        <v>-65</v>
      </c>
      <c r="AB89" s="46">
        <f t="shared" si="60"/>
        <v>-93</v>
      </c>
      <c r="AC89" s="46">
        <f t="shared" si="60"/>
        <v>-81</v>
      </c>
      <c r="AD89" s="46">
        <f t="shared" si="60"/>
        <v>-121</v>
      </c>
      <c r="AE89" s="46">
        <f t="shared" si="60"/>
        <v>-68</v>
      </c>
      <c r="AF89" s="46">
        <f t="shared" si="60"/>
        <v>-111</v>
      </c>
      <c r="AG89" s="46">
        <f t="shared" si="60"/>
        <v>-90</v>
      </c>
      <c r="AH89" s="46">
        <f t="shared" ca="1" si="60"/>
        <v>-96.607629951219096</v>
      </c>
      <c r="AI89" s="46">
        <f t="shared" ca="1" si="60"/>
        <v>-91.692656222170385</v>
      </c>
      <c r="AJ89" s="46">
        <f t="shared" ca="1" si="60"/>
        <v>-106.25351846594063</v>
      </c>
      <c r="AK89" s="46">
        <f t="shared" ca="1" si="60"/>
        <v>-119.59996791908736</v>
      </c>
      <c r="AL89" s="46">
        <f t="shared" ca="1" si="60"/>
        <v>-126.08720470449759</v>
      </c>
      <c r="AM89" s="46">
        <f ca="1">SUM(AM85:AM88)</f>
        <v>-131.90040050860469</v>
      </c>
      <c r="AN89" s="46">
        <f ca="1">SUM(AN85:AN88)</f>
        <v>-139.03561901789399</v>
      </c>
      <c r="AO89" s="46">
        <f ca="1">SUM(AO85:AO88)</f>
        <v>-145.90007905934198</v>
      </c>
      <c r="AP89" s="46">
        <f ca="1">SUM(AP85:AP88)</f>
        <v>-153.35770912647075</v>
      </c>
    </row>
    <row r="90" spans="3:42" s="47" customFormat="1" x14ac:dyDescent="0.25">
      <c r="E90" s="54"/>
      <c r="F90" s="54"/>
      <c r="G90" s="54"/>
      <c r="H90" s="54"/>
      <c r="I90" s="54"/>
      <c r="J90" s="43">
        <f>I89+J89</f>
        <v>-240</v>
      </c>
      <c r="K90" s="54"/>
      <c r="L90" s="43">
        <f>K89+L89</f>
        <v>-201</v>
      </c>
      <c r="M90" s="54"/>
      <c r="N90" s="43">
        <f>M89+N89</f>
        <v>-205</v>
      </c>
      <c r="O90" s="54"/>
      <c r="P90" s="43">
        <f>O89+P89</f>
        <v>-227</v>
      </c>
      <c r="Q90" s="54"/>
      <c r="R90" s="43">
        <f>Q89+R89</f>
        <v>-183</v>
      </c>
      <c r="S90" s="54"/>
      <c r="T90" s="43">
        <f>S89+T89</f>
        <v>-182</v>
      </c>
      <c r="U90" s="54"/>
      <c r="V90" s="43">
        <f>U89+V89</f>
        <v>-221</v>
      </c>
      <c r="W90" s="54"/>
      <c r="X90" s="43">
        <f>W89+X89</f>
        <v>-180</v>
      </c>
      <c r="Y90" s="54"/>
      <c r="Z90" s="43">
        <f>Y89+Z89</f>
        <v>-155</v>
      </c>
      <c r="AA90" s="54"/>
      <c r="AB90" s="43">
        <f>AA89+AB89</f>
        <v>-158</v>
      </c>
      <c r="AC90" s="54"/>
      <c r="AD90" s="43">
        <f>AC89+AD89</f>
        <v>-202</v>
      </c>
      <c r="AE90" s="54"/>
      <c r="AF90" s="43">
        <f>AE89+AF89</f>
        <v>-179</v>
      </c>
      <c r="AG90" s="54"/>
      <c r="AH90" s="43">
        <f ca="1">AG89+AH89</f>
        <v>-186.60762995121911</v>
      </c>
      <c r="AI90" s="54"/>
      <c r="AJ90" s="43">
        <f ca="1">AI89+AJ89</f>
        <v>-197.946174688111</v>
      </c>
      <c r="AK90" s="54"/>
      <c r="AL90" s="43">
        <f ca="1">AK89+AL89</f>
        <v>-245.68717262358496</v>
      </c>
      <c r="AM90" s="54"/>
      <c r="AN90" s="43">
        <f ca="1">AM89+AN89</f>
        <v>-270.93601952649868</v>
      </c>
      <c r="AO90" s="54"/>
      <c r="AP90" s="43">
        <f ca="1">AO89+AP89</f>
        <v>-299.25778818581273</v>
      </c>
    </row>
    <row r="91" spans="3:42" x14ac:dyDescent="0.25">
      <c r="E91" s="58"/>
      <c r="F91" s="58"/>
      <c r="G91" s="58"/>
      <c r="H91" s="58"/>
      <c r="I91" s="58"/>
      <c r="J91" s="58"/>
      <c r="K91" s="58"/>
      <c r="L91" s="58"/>
      <c r="M91" s="58"/>
      <c r="N91" s="58"/>
      <c r="O91" s="58"/>
      <c r="P91" s="58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8"/>
      <c r="AB91" s="54"/>
      <c r="AC91" s="54"/>
      <c r="AD91" s="54"/>
      <c r="AE91" s="54"/>
      <c r="AF91" s="54"/>
      <c r="AG91" s="54"/>
      <c r="AH91" s="54"/>
      <c r="AI91" s="54"/>
      <c r="AJ91" s="54"/>
      <c r="AK91" s="54"/>
      <c r="AL91" s="54"/>
      <c r="AM91" s="54"/>
      <c r="AN91" s="54"/>
      <c r="AO91" s="54"/>
      <c r="AP91" s="54"/>
    </row>
    <row r="92" spans="3:42" s="10" customFormat="1" x14ac:dyDescent="0.25">
      <c r="C92" s="51"/>
      <c r="E92" s="52"/>
      <c r="F92" s="52"/>
      <c r="G92" s="52"/>
      <c r="H92" s="52"/>
      <c r="I92" s="52">
        <f>I86+I82</f>
        <v>-28</v>
      </c>
      <c r="J92" s="52">
        <f t="shared" ref="J92:AN92" si="61">J86+J82</f>
        <v>-13</v>
      </c>
      <c r="K92" s="52">
        <f t="shared" si="61"/>
        <v>-3</v>
      </c>
      <c r="L92" s="52">
        <f t="shared" si="61"/>
        <v>-7</v>
      </c>
      <c r="M92" s="52">
        <f t="shared" si="61"/>
        <v>-1</v>
      </c>
      <c r="N92" s="52">
        <f t="shared" si="61"/>
        <v>-14</v>
      </c>
      <c r="O92" s="52">
        <f t="shared" si="61"/>
        <v>-21</v>
      </c>
      <c r="P92" s="52">
        <f t="shared" si="61"/>
        <v>-14</v>
      </c>
      <c r="Q92" s="52">
        <f t="shared" si="61"/>
        <v>5</v>
      </c>
      <c r="R92" s="52">
        <f t="shared" si="61"/>
        <v>28</v>
      </c>
      <c r="S92" s="52">
        <f t="shared" si="61"/>
        <v>41</v>
      </c>
      <c r="T92" s="52">
        <f t="shared" si="61"/>
        <v>-4</v>
      </c>
      <c r="U92" s="52">
        <f t="shared" si="61"/>
        <v>-20</v>
      </c>
      <c r="V92" s="52">
        <f t="shared" si="61"/>
        <v>-1</v>
      </c>
      <c r="W92" s="52">
        <f t="shared" si="61"/>
        <v>11</v>
      </c>
      <c r="X92" s="52">
        <f t="shared" si="61"/>
        <v>-6</v>
      </c>
      <c r="Y92" s="52">
        <f t="shared" si="61"/>
        <v>22</v>
      </c>
      <c r="Z92" s="52">
        <f t="shared" si="61"/>
        <v>-5</v>
      </c>
      <c r="AA92" s="52">
        <f t="shared" si="61"/>
        <v>6</v>
      </c>
      <c r="AB92" s="52">
        <f t="shared" si="61"/>
        <v>-8</v>
      </c>
      <c r="AC92" s="52">
        <f t="shared" si="61"/>
        <v>21</v>
      </c>
      <c r="AD92" s="52">
        <f t="shared" si="61"/>
        <v>-17</v>
      </c>
      <c r="AE92" s="52">
        <f t="shared" si="61"/>
        <v>38</v>
      </c>
      <c r="AF92" s="52">
        <f t="shared" si="61"/>
        <v>11</v>
      </c>
      <c r="AG92" s="52">
        <f t="shared" si="61"/>
        <v>42</v>
      </c>
      <c r="AH92" s="52">
        <f t="shared" si="61"/>
        <v>39.937544702644033</v>
      </c>
      <c r="AI92" s="52">
        <f t="shared" si="61"/>
        <v>41.416870680778004</v>
      </c>
      <c r="AJ92" s="52">
        <f t="shared" si="61"/>
        <v>35.870279745311834</v>
      </c>
      <c r="AK92" s="52">
        <f t="shared" si="61"/>
        <v>27.403358935633548</v>
      </c>
      <c r="AL92" s="52">
        <f t="shared" si="61"/>
        <v>25.019518731771626</v>
      </c>
      <c r="AM92" s="52">
        <f t="shared" si="61"/>
        <v>22.516925737868277</v>
      </c>
      <c r="AN92" s="52">
        <f t="shared" si="61"/>
        <v>19.351916408006304</v>
      </c>
      <c r="AO92" s="52">
        <f t="shared" ref="AO92:AP92" si="62">AO86+AO82</f>
        <v>16.05052850531699</v>
      </c>
      <c r="AP92" s="52">
        <f t="shared" si="62"/>
        <v>12.045187712374457</v>
      </c>
    </row>
    <row r="93" spans="3:42" s="10" customFormat="1" x14ac:dyDescent="0.25">
      <c r="C93" s="51"/>
      <c r="E93" s="52"/>
      <c r="F93" s="52"/>
      <c r="G93" s="52"/>
      <c r="H93" s="52"/>
      <c r="I93" s="52"/>
      <c r="J93" s="52"/>
      <c r="K93" s="52"/>
      <c r="L93" s="52"/>
      <c r="M93" s="52"/>
      <c r="N93" s="52"/>
      <c r="O93" s="52"/>
      <c r="P93" s="52"/>
      <c r="Q93" s="52"/>
      <c r="R93" s="52"/>
      <c r="S93" s="52"/>
      <c r="T93" s="52"/>
      <c r="U93" s="52"/>
      <c r="V93" s="52"/>
      <c r="W93" s="52"/>
      <c r="X93" s="52"/>
      <c r="Y93" s="52"/>
      <c r="Z93" s="52"/>
      <c r="AA93" s="52"/>
      <c r="AB93" s="52"/>
      <c r="AC93" s="52"/>
      <c r="AD93" s="52"/>
      <c r="AE93" s="52"/>
      <c r="AF93" s="52"/>
      <c r="AG93" s="52"/>
      <c r="AH93" s="52"/>
      <c r="AI93" s="52"/>
      <c r="AJ93" s="52"/>
      <c r="AK93" s="11"/>
      <c r="AL93" s="11"/>
      <c r="AM93" s="11"/>
      <c r="AN93" s="11"/>
      <c r="AO93" s="11"/>
      <c r="AP93" s="11"/>
    </row>
    <row r="94" spans="3:42" s="10" customFormat="1" x14ac:dyDescent="0.25">
      <c r="C94" s="51"/>
      <c r="E94" s="52"/>
      <c r="F94" s="52"/>
      <c r="G94" s="52"/>
      <c r="H94" s="52"/>
      <c r="I94" s="52"/>
      <c r="J94" s="52"/>
      <c r="K94" s="52"/>
      <c r="L94" s="52"/>
      <c r="M94" s="52"/>
      <c r="N94" s="52"/>
      <c r="O94" s="52"/>
      <c r="P94" s="52"/>
      <c r="Q94" s="52"/>
      <c r="R94" s="52"/>
      <c r="S94" s="52"/>
      <c r="T94" s="52"/>
      <c r="U94" s="52"/>
      <c r="V94" s="52"/>
      <c r="W94" s="52"/>
      <c r="X94" s="52"/>
      <c r="Y94" s="52"/>
      <c r="Z94" s="52"/>
      <c r="AA94" s="52"/>
      <c r="AB94" s="52"/>
      <c r="AC94" s="52"/>
      <c r="AD94" s="52"/>
      <c r="AE94" s="52"/>
      <c r="AF94" s="52"/>
      <c r="AG94" s="52"/>
      <c r="AH94" s="52"/>
      <c r="AI94" s="52"/>
      <c r="AJ94" s="52"/>
      <c r="AK94" s="11"/>
      <c r="AL94" s="11"/>
      <c r="AM94" s="11"/>
      <c r="AN94" s="11"/>
      <c r="AO94" s="11"/>
      <c r="AP94" s="11"/>
    </row>
    <row r="95" spans="3:42" s="10" customFormat="1" x14ac:dyDescent="0.25">
      <c r="C95" s="51"/>
      <c r="E95" s="52"/>
      <c r="F95" s="52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11"/>
      <c r="AL95" s="11"/>
      <c r="AM95" s="11"/>
      <c r="AN95" s="11"/>
      <c r="AO95" s="11"/>
      <c r="AP95" s="11"/>
    </row>
    <row r="96" spans="3:42" s="10" customFormat="1" x14ac:dyDescent="0.25">
      <c r="C96" s="51"/>
      <c r="E96" s="52"/>
      <c r="F96" s="52"/>
      <c r="G96" s="52"/>
      <c r="H96" s="52"/>
      <c r="I96" s="52"/>
      <c r="J96" s="52"/>
      <c r="K96" s="52"/>
      <c r="L96" s="52"/>
      <c r="M96" s="52"/>
      <c r="N96" s="52"/>
      <c r="O96" s="52"/>
      <c r="P96" s="52"/>
      <c r="Q96" s="52"/>
      <c r="R96" s="52"/>
      <c r="S96" s="52"/>
      <c r="T96" s="52"/>
      <c r="U96" s="52"/>
      <c r="V96" s="52"/>
      <c r="W96" s="52"/>
      <c r="X96" s="52"/>
      <c r="Y96" s="52"/>
      <c r="Z96" s="52"/>
      <c r="AA96" s="52"/>
      <c r="AB96" s="52"/>
      <c r="AC96" s="52"/>
      <c r="AD96" s="52"/>
      <c r="AE96" s="52"/>
      <c r="AF96" s="52"/>
      <c r="AG96" s="52"/>
      <c r="AH96" s="52"/>
      <c r="AI96" s="52"/>
      <c r="AJ96" s="52"/>
      <c r="AK96" s="11"/>
      <c r="AL96" s="11"/>
      <c r="AM96" s="11"/>
      <c r="AN96" s="11"/>
      <c r="AO96" s="11"/>
      <c r="AP96" s="11"/>
    </row>
    <row r="97" spans="3:42" s="10" customFormat="1" x14ac:dyDescent="0.25">
      <c r="C97" s="51"/>
      <c r="E97" s="52"/>
      <c r="F97" s="52"/>
      <c r="G97" s="52"/>
      <c r="H97" s="52"/>
      <c r="I97" s="52"/>
      <c r="J97" s="52"/>
      <c r="K97" s="52"/>
      <c r="L97" s="52"/>
      <c r="M97" s="52"/>
      <c r="N97" s="52"/>
      <c r="O97" s="52"/>
      <c r="P97" s="52"/>
      <c r="Q97" s="52"/>
      <c r="R97" s="52"/>
      <c r="S97" s="52"/>
      <c r="T97" s="52"/>
      <c r="U97" s="52"/>
      <c r="V97" s="52"/>
      <c r="W97" s="52"/>
      <c r="X97" s="52"/>
      <c r="Y97" s="52"/>
      <c r="Z97" s="52"/>
      <c r="AA97" s="52"/>
      <c r="AB97" s="52"/>
      <c r="AC97" s="52"/>
      <c r="AD97" s="52"/>
      <c r="AE97" s="52"/>
      <c r="AF97" s="52"/>
      <c r="AG97" s="52"/>
      <c r="AH97" s="52"/>
      <c r="AI97" s="52"/>
      <c r="AJ97" s="52"/>
      <c r="AK97" s="11"/>
      <c r="AL97" s="11"/>
      <c r="AM97" s="11"/>
      <c r="AN97" s="11"/>
      <c r="AO97" s="11"/>
      <c r="AP97" s="11"/>
    </row>
    <row r="98" spans="3:42" x14ac:dyDescent="0.25">
      <c r="U98" s="35"/>
      <c r="V98" s="35"/>
      <c r="W98" s="35"/>
      <c r="X98" s="35"/>
      <c r="Y98" s="35"/>
      <c r="Z98" s="35"/>
      <c r="AA98" s="35"/>
    </row>
  </sheetData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D97"/>
  <sheetViews>
    <sheetView zoomScale="85" zoomScaleNormal="85" workbookViewId="0">
      <pane xSplit="4" ySplit="13" topLeftCell="AA20" activePane="bottomRight" state="frozen"/>
      <selection pane="topRight" activeCell="E1" sqref="E1"/>
      <selection pane="bottomLeft" activeCell="A12" sqref="A12"/>
      <selection pane="bottomRight" activeCell="AJ23" sqref="AJ23"/>
    </sheetView>
  </sheetViews>
  <sheetFormatPr defaultRowHeight="15" x14ac:dyDescent="0.25"/>
  <cols>
    <col min="1" max="1" width="3.42578125" customWidth="1"/>
    <col min="2" max="2" width="4" customWidth="1"/>
    <col min="3" max="3" width="45.7109375" customWidth="1"/>
    <col min="5" max="42" width="10.7109375" customWidth="1"/>
  </cols>
  <sheetData>
    <row r="1" spans="1:56" x14ac:dyDescent="0.25">
      <c r="A1" s="1" t="str">
        <f>Group!A1</f>
        <v>SGP Model - Morgan Stanley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</row>
    <row r="2" spans="1:56" x14ac:dyDescent="0.25">
      <c r="A2" s="15" t="s">
        <v>117</v>
      </c>
      <c r="B2" s="15"/>
      <c r="C2" s="15"/>
      <c r="D2" s="15"/>
      <c r="E2" s="16">
        <v>40908</v>
      </c>
      <c r="F2" s="16">
        <f>EOMONTH(E2,6)</f>
        <v>41090</v>
      </c>
      <c r="G2" s="16">
        <f t="shared" ref="G2:AL2" si="0">EOMONTH(F2,6)</f>
        <v>41274</v>
      </c>
      <c r="H2" s="16">
        <f t="shared" si="0"/>
        <v>41455</v>
      </c>
      <c r="I2" s="16">
        <f t="shared" si="0"/>
        <v>41639</v>
      </c>
      <c r="J2" s="16">
        <f t="shared" si="0"/>
        <v>41820</v>
      </c>
      <c r="K2" s="16">
        <f t="shared" si="0"/>
        <v>42004</v>
      </c>
      <c r="L2" s="16">
        <f t="shared" si="0"/>
        <v>42185</v>
      </c>
      <c r="M2" s="16">
        <f t="shared" si="0"/>
        <v>42369</v>
      </c>
      <c r="N2" s="16">
        <f t="shared" si="0"/>
        <v>42551</v>
      </c>
      <c r="O2" s="16">
        <f t="shared" si="0"/>
        <v>42735</v>
      </c>
      <c r="P2" s="16">
        <f t="shared" si="0"/>
        <v>42916</v>
      </c>
      <c r="Q2" s="16">
        <f t="shared" si="0"/>
        <v>43100</v>
      </c>
      <c r="R2" s="16">
        <f t="shared" si="0"/>
        <v>43281</v>
      </c>
      <c r="S2" s="16">
        <f t="shared" si="0"/>
        <v>43465</v>
      </c>
      <c r="T2" s="16">
        <f t="shared" si="0"/>
        <v>43646</v>
      </c>
      <c r="U2" s="16">
        <f t="shared" si="0"/>
        <v>43830</v>
      </c>
      <c r="V2" s="16">
        <f t="shared" si="0"/>
        <v>44012</v>
      </c>
      <c r="W2" s="16">
        <f t="shared" si="0"/>
        <v>44196</v>
      </c>
      <c r="X2" s="16">
        <f t="shared" si="0"/>
        <v>44377</v>
      </c>
      <c r="Y2" s="16">
        <f t="shared" si="0"/>
        <v>44561</v>
      </c>
      <c r="Z2" s="16">
        <f t="shared" si="0"/>
        <v>44742</v>
      </c>
      <c r="AA2" s="16">
        <f t="shared" si="0"/>
        <v>44926</v>
      </c>
      <c r="AB2" s="16">
        <f t="shared" si="0"/>
        <v>45107</v>
      </c>
      <c r="AC2" s="16">
        <f t="shared" si="0"/>
        <v>45291</v>
      </c>
      <c r="AD2" s="16">
        <f t="shared" si="0"/>
        <v>45473</v>
      </c>
      <c r="AE2" s="16">
        <f t="shared" si="0"/>
        <v>45657</v>
      </c>
      <c r="AF2" s="16">
        <f t="shared" si="0"/>
        <v>45838</v>
      </c>
      <c r="AG2" s="16">
        <f t="shared" si="0"/>
        <v>46022</v>
      </c>
      <c r="AH2" s="16">
        <f t="shared" si="0"/>
        <v>46203</v>
      </c>
      <c r="AI2" s="16">
        <f t="shared" si="0"/>
        <v>46387</v>
      </c>
      <c r="AJ2" s="16">
        <f t="shared" si="0"/>
        <v>46568</v>
      </c>
      <c r="AK2" s="48">
        <f t="shared" si="0"/>
        <v>46752</v>
      </c>
      <c r="AL2" s="48">
        <f t="shared" si="0"/>
        <v>46934</v>
      </c>
      <c r="AM2" s="48">
        <f>EOMONTH(AL2,6)</f>
        <v>47118</v>
      </c>
      <c r="AN2" s="48">
        <f>EOMONTH(AM2,6)</f>
        <v>47299</v>
      </c>
      <c r="AO2" s="48">
        <f>EOMONTH(AN2,6)</f>
        <v>47483</v>
      </c>
      <c r="AP2" s="48">
        <f>EOMONTH(AO2,6)</f>
        <v>47664</v>
      </c>
      <c r="AQ2" s="15"/>
    </row>
    <row r="3" spans="1:56" ht="15.75" thickBot="1" x14ac:dyDescent="0.3">
      <c r="A3" s="2"/>
      <c r="B3" s="2"/>
      <c r="C3" s="2"/>
      <c r="D3" s="2"/>
      <c r="E3" s="18" t="str">
        <f>E4&amp;"-"&amp;E5</f>
        <v>2012-H1</v>
      </c>
      <c r="F3" s="18" t="str">
        <f>F4&amp;"-"&amp;F5</f>
        <v>2012-H2</v>
      </c>
      <c r="G3" s="18" t="str">
        <f t="shared" ref="G3:AL3" si="1">G4&amp;"-"&amp;G5</f>
        <v>2013-H1</v>
      </c>
      <c r="H3" s="18" t="str">
        <f t="shared" si="1"/>
        <v>2013-H2</v>
      </c>
      <c r="I3" s="18" t="str">
        <f t="shared" si="1"/>
        <v>2014-H1</v>
      </c>
      <c r="J3" s="18" t="str">
        <f t="shared" si="1"/>
        <v>2014-H2</v>
      </c>
      <c r="K3" s="18" t="str">
        <f t="shared" si="1"/>
        <v>2015-H1</v>
      </c>
      <c r="L3" s="18" t="str">
        <f t="shared" si="1"/>
        <v>2015-H2</v>
      </c>
      <c r="M3" s="18" t="str">
        <f t="shared" si="1"/>
        <v>2016-H1</v>
      </c>
      <c r="N3" s="18" t="str">
        <f t="shared" si="1"/>
        <v>2016-H2</v>
      </c>
      <c r="O3" s="18" t="str">
        <f t="shared" si="1"/>
        <v>2017-H1</v>
      </c>
      <c r="P3" s="18" t="str">
        <f t="shared" si="1"/>
        <v>2017-H2</v>
      </c>
      <c r="Q3" s="18" t="str">
        <f t="shared" si="1"/>
        <v>2018-H1</v>
      </c>
      <c r="R3" s="18" t="str">
        <f t="shared" si="1"/>
        <v>2018-H2</v>
      </c>
      <c r="S3" s="18" t="str">
        <f t="shared" si="1"/>
        <v>2019-H1</v>
      </c>
      <c r="T3" s="18" t="str">
        <f t="shared" si="1"/>
        <v>2019-H2</v>
      </c>
      <c r="U3" s="18" t="str">
        <f t="shared" si="1"/>
        <v>2020-H1</v>
      </c>
      <c r="V3" s="18" t="str">
        <f t="shared" si="1"/>
        <v>2020-H2</v>
      </c>
      <c r="W3" s="18" t="str">
        <f t="shared" si="1"/>
        <v>2021-H1</v>
      </c>
      <c r="X3" s="18" t="str">
        <f t="shared" si="1"/>
        <v>2021-H2</v>
      </c>
      <c r="Y3" s="18" t="str">
        <f t="shared" si="1"/>
        <v>2022-H1</v>
      </c>
      <c r="Z3" s="18" t="str">
        <f t="shared" si="1"/>
        <v>2022-H2</v>
      </c>
      <c r="AA3" s="18" t="str">
        <f t="shared" si="1"/>
        <v>2023-H1</v>
      </c>
      <c r="AB3" s="18" t="str">
        <f t="shared" si="1"/>
        <v>2023-H2</v>
      </c>
      <c r="AC3" s="18" t="str">
        <f t="shared" si="1"/>
        <v>2024-H1</v>
      </c>
      <c r="AD3" s="18" t="str">
        <f t="shared" si="1"/>
        <v>2024-H2</v>
      </c>
      <c r="AE3" s="18" t="str">
        <f t="shared" si="1"/>
        <v>2025-H1</v>
      </c>
      <c r="AF3" s="18" t="str">
        <f t="shared" si="1"/>
        <v>2025-H2</v>
      </c>
      <c r="AG3" s="18" t="str">
        <f t="shared" si="1"/>
        <v>2026-H1</v>
      </c>
      <c r="AH3" s="18" t="str">
        <f t="shared" si="1"/>
        <v>2026-H2</v>
      </c>
      <c r="AI3" s="18" t="str">
        <f t="shared" si="1"/>
        <v>2027-H1</v>
      </c>
      <c r="AJ3" s="18" t="str">
        <f t="shared" si="1"/>
        <v>2027-H2</v>
      </c>
      <c r="AK3" s="18" t="str">
        <f t="shared" si="1"/>
        <v>2028-H1</v>
      </c>
      <c r="AL3" s="18" t="str">
        <f t="shared" si="1"/>
        <v>2028-H2</v>
      </c>
      <c r="AM3" s="18" t="str">
        <f>AM4&amp;"-"&amp;AM5</f>
        <v>2029-H1</v>
      </c>
      <c r="AN3" s="18" t="str">
        <f>AN4&amp;"-"&amp;AN5</f>
        <v>2029-H2</v>
      </c>
      <c r="AO3" s="18" t="str">
        <f>AO4&amp;"-"&amp;AO5</f>
        <v>2030-H1</v>
      </c>
      <c r="AP3" s="18" t="str">
        <f>AP4&amp;"-"&amp;AP5</f>
        <v>2030-H2</v>
      </c>
      <c r="AQ3" s="2"/>
    </row>
    <row r="4" spans="1:56" hidden="1" x14ac:dyDescent="0.25">
      <c r="E4">
        <v>2012</v>
      </c>
      <c r="F4">
        <f>E4</f>
        <v>2012</v>
      </c>
      <c r="G4">
        <f>E4+1</f>
        <v>2013</v>
      </c>
      <c r="H4">
        <f>F4+1</f>
        <v>2013</v>
      </c>
      <c r="I4">
        <f>G4+1</f>
        <v>2014</v>
      </c>
      <c r="J4">
        <f>H4+1</f>
        <v>2014</v>
      </c>
      <c r="K4">
        <f t="shared" ref="K4:Q4" si="2">I4+1</f>
        <v>2015</v>
      </c>
      <c r="L4">
        <f t="shared" si="2"/>
        <v>2015</v>
      </c>
      <c r="M4">
        <f t="shared" si="2"/>
        <v>2016</v>
      </c>
      <c r="N4">
        <f t="shared" si="2"/>
        <v>2016</v>
      </c>
      <c r="O4">
        <f t="shared" si="2"/>
        <v>2017</v>
      </c>
      <c r="P4">
        <f t="shared" si="2"/>
        <v>2017</v>
      </c>
      <c r="Q4">
        <f t="shared" si="2"/>
        <v>2018</v>
      </c>
      <c r="R4">
        <f t="shared" ref="R4:AL4" si="3">P4+1</f>
        <v>2018</v>
      </c>
      <c r="S4">
        <f t="shared" si="3"/>
        <v>2019</v>
      </c>
      <c r="T4">
        <f t="shared" si="3"/>
        <v>2019</v>
      </c>
      <c r="U4">
        <f t="shared" si="3"/>
        <v>2020</v>
      </c>
      <c r="V4">
        <f t="shared" si="3"/>
        <v>2020</v>
      </c>
      <c r="W4">
        <f t="shared" si="3"/>
        <v>2021</v>
      </c>
      <c r="X4">
        <f t="shared" si="3"/>
        <v>2021</v>
      </c>
      <c r="Y4">
        <f t="shared" si="3"/>
        <v>2022</v>
      </c>
      <c r="Z4">
        <f t="shared" si="3"/>
        <v>2022</v>
      </c>
      <c r="AA4">
        <f t="shared" si="3"/>
        <v>2023</v>
      </c>
      <c r="AB4">
        <f t="shared" si="3"/>
        <v>2023</v>
      </c>
      <c r="AC4">
        <f t="shared" si="3"/>
        <v>2024</v>
      </c>
      <c r="AD4">
        <f t="shared" si="3"/>
        <v>2024</v>
      </c>
      <c r="AE4">
        <f t="shared" si="3"/>
        <v>2025</v>
      </c>
      <c r="AF4">
        <f t="shared" si="3"/>
        <v>2025</v>
      </c>
      <c r="AG4">
        <f t="shared" si="3"/>
        <v>2026</v>
      </c>
      <c r="AH4">
        <f t="shared" si="3"/>
        <v>2026</v>
      </c>
      <c r="AI4">
        <f t="shared" si="3"/>
        <v>2027</v>
      </c>
      <c r="AJ4">
        <f t="shared" si="3"/>
        <v>2027</v>
      </c>
      <c r="AK4">
        <f t="shared" si="3"/>
        <v>2028</v>
      </c>
      <c r="AL4">
        <f t="shared" si="3"/>
        <v>2028</v>
      </c>
      <c r="AM4">
        <f>AK4+1</f>
        <v>2029</v>
      </c>
      <c r="AN4">
        <f>AL4+1</f>
        <v>2029</v>
      </c>
      <c r="AO4">
        <f>AM4+1</f>
        <v>2030</v>
      </c>
      <c r="AP4">
        <f>AN4+1</f>
        <v>2030</v>
      </c>
    </row>
    <row r="5" spans="1:56" hidden="1" x14ac:dyDescent="0.25">
      <c r="E5" s="3" t="s">
        <v>28</v>
      </c>
      <c r="F5" s="3" t="s">
        <v>29</v>
      </c>
      <c r="G5" s="3" t="s">
        <v>28</v>
      </c>
      <c r="H5" s="3" t="s">
        <v>29</v>
      </c>
      <c r="I5" s="3" t="s">
        <v>28</v>
      </c>
      <c r="J5" s="3" t="s">
        <v>29</v>
      </c>
      <c r="K5" s="3" t="s">
        <v>28</v>
      </c>
      <c r="L5" s="3" t="s">
        <v>29</v>
      </c>
      <c r="M5" s="3" t="s">
        <v>28</v>
      </c>
      <c r="N5" s="3" t="s">
        <v>29</v>
      </c>
      <c r="O5" s="3" t="s">
        <v>28</v>
      </c>
      <c r="P5" s="3" t="s">
        <v>29</v>
      </c>
      <c r="Q5" s="3" t="str">
        <f>E5</f>
        <v>H1</v>
      </c>
      <c r="R5" s="3" t="str">
        <f>F5</f>
        <v>H2</v>
      </c>
      <c r="S5" s="3" t="str">
        <f t="shared" ref="S5:AJ5" si="4">Q5</f>
        <v>H1</v>
      </c>
      <c r="T5" s="3" t="str">
        <f t="shared" si="4"/>
        <v>H2</v>
      </c>
      <c r="U5" s="3" t="str">
        <f t="shared" si="4"/>
        <v>H1</v>
      </c>
      <c r="V5" s="3" t="str">
        <f t="shared" si="4"/>
        <v>H2</v>
      </c>
      <c r="W5" s="3" t="str">
        <f t="shared" si="4"/>
        <v>H1</v>
      </c>
      <c r="X5" s="3" t="str">
        <f t="shared" si="4"/>
        <v>H2</v>
      </c>
      <c r="Y5" s="3" t="str">
        <f t="shared" si="4"/>
        <v>H1</v>
      </c>
      <c r="Z5" s="3" t="str">
        <f t="shared" si="4"/>
        <v>H2</v>
      </c>
      <c r="AA5" s="3" t="str">
        <f t="shared" si="4"/>
        <v>H1</v>
      </c>
      <c r="AB5" s="3" t="str">
        <f t="shared" si="4"/>
        <v>H2</v>
      </c>
      <c r="AC5" s="3" t="str">
        <f t="shared" si="4"/>
        <v>H1</v>
      </c>
      <c r="AD5" s="3" t="str">
        <f t="shared" si="4"/>
        <v>H2</v>
      </c>
      <c r="AE5" s="3" t="str">
        <f t="shared" si="4"/>
        <v>H1</v>
      </c>
      <c r="AF5" s="3" t="str">
        <f t="shared" si="4"/>
        <v>H2</v>
      </c>
      <c r="AG5" s="3" t="str">
        <f t="shared" si="4"/>
        <v>H1</v>
      </c>
      <c r="AH5" s="3" t="str">
        <f t="shared" si="4"/>
        <v>H2</v>
      </c>
      <c r="AI5" s="3" t="str">
        <f t="shared" si="4"/>
        <v>H1</v>
      </c>
      <c r="AJ5" s="3" t="str">
        <f t="shared" si="4"/>
        <v>H2</v>
      </c>
      <c r="AK5" s="3" t="str">
        <f t="shared" ref="AK5:AP5" si="5">AI5</f>
        <v>H1</v>
      </c>
      <c r="AL5" s="3" t="str">
        <f t="shared" si="5"/>
        <v>H2</v>
      </c>
      <c r="AM5" s="3" t="str">
        <f t="shared" si="5"/>
        <v>H1</v>
      </c>
      <c r="AN5" s="3" t="str">
        <f t="shared" si="5"/>
        <v>H2</v>
      </c>
      <c r="AO5" s="3" t="str">
        <f t="shared" si="5"/>
        <v>H1</v>
      </c>
      <c r="AP5" s="3" t="str">
        <f t="shared" si="5"/>
        <v>H2</v>
      </c>
    </row>
    <row r="6" spans="1:56" x14ac:dyDescent="0.25"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 t="s">
        <v>354</v>
      </c>
      <c r="AE6" s="3">
        <f>AC7/AD8</f>
        <v>0.28535534816941854</v>
      </c>
      <c r="AF6" s="3"/>
      <c r="AG6" s="3">
        <f>AE7/AF8</f>
        <v>0.28451821386603993</v>
      </c>
      <c r="AH6" s="3"/>
      <c r="AI6" s="3"/>
      <c r="AJ6" s="3"/>
    </row>
    <row r="7" spans="1:56" x14ac:dyDescent="0.25">
      <c r="A7" s="49"/>
      <c r="B7" s="49"/>
      <c r="C7" s="49" t="s">
        <v>126</v>
      </c>
      <c r="D7" s="49"/>
      <c r="E7" s="60">
        <f>E16+E23+E30+E37+E44</f>
        <v>2151</v>
      </c>
      <c r="F7" s="60">
        <f t="shared" ref="F7:AL7" si="6">F16+F23+F30+F37+F44</f>
        <v>3081</v>
      </c>
      <c r="G7" s="60">
        <f t="shared" si="6"/>
        <v>1978</v>
      </c>
      <c r="H7" s="60">
        <f t="shared" si="6"/>
        <v>2457</v>
      </c>
      <c r="I7" s="60">
        <f t="shared" si="6"/>
        <v>2210</v>
      </c>
      <c r="J7" s="60">
        <f t="shared" si="6"/>
        <v>2912</v>
      </c>
      <c r="K7" s="60">
        <f t="shared" si="6"/>
        <v>2706</v>
      </c>
      <c r="L7" s="60">
        <f t="shared" si="6"/>
        <v>3090</v>
      </c>
      <c r="M7" s="60">
        <f t="shared" si="6"/>
        <v>2738</v>
      </c>
      <c r="N7" s="60">
        <f t="shared" si="6"/>
        <v>3397</v>
      </c>
      <c r="O7" s="60">
        <f t="shared" si="6"/>
        <v>2732</v>
      </c>
      <c r="P7" s="60">
        <f t="shared" si="6"/>
        <v>3872</v>
      </c>
      <c r="Q7" s="60">
        <f t="shared" si="6"/>
        <v>3159</v>
      </c>
      <c r="R7" s="60">
        <f t="shared" si="6"/>
        <v>3182</v>
      </c>
      <c r="S7" s="60">
        <f t="shared" si="6"/>
        <v>2096</v>
      </c>
      <c r="T7" s="60">
        <f t="shared" si="6"/>
        <v>3338</v>
      </c>
      <c r="U7" s="60">
        <f t="shared" si="6"/>
        <v>2126</v>
      </c>
      <c r="V7" s="60">
        <f t="shared" si="6"/>
        <v>3118</v>
      </c>
      <c r="W7" s="60">
        <f t="shared" si="6"/>
        <v>3092</v>
      </c>
      <c r="X7" s="60">
        <f t="shared" si="6"/>
        <v>3229</v>
      </c>
      <c r="Y7" s="60">
        <f t="shared" si="6"/>
        <v>2302</v>
      </c>
      <c r="Z7" s="60">
        <f t="shared" si="6"/>
        <v>3613</v>
      </c>
      <c r="AA7" s="60">
        <f t="shared" si="6"/>
        <v>1845</v>
      </c>
      <c r="AB7" s="60">
        <f t="shared" si="6"/>
        <v>3499</v>
      </c>
      <c r="AC7" s="60">
        <f t="shared" si="6"/>
        <v>1590</v>
      </c>
      <c r="AD7" s="60">
        <f t="shared" si="6"/>
        <v>3982</v>
      </c>
      <c r="AE7" s="60">
        <f t="shared" si="6"/>
        <v>1937</v>
      </c>
      <c r="AF7" s="60">
        <f t="shared" si="6"/>
        <v>4871</v>
      </c>
      <c r="AG7" s="60">
        <f t="shared" si="6"/>
        <v>3134</v>
      </c>
      <c r="AH7" s="60">
        <f t="shared" si="6"/>
        <v>4675</v>
      </c>
      <c r="AI7" s="60">
        <f t="shared" si="6"/>
        <v>4003.5450000000001</v>
      </c>
      <c r="AJ7" s="60">
        <f t="shared" si="6"/>
        <v>4106.5804500000004</v>
      </c>
      <c r="AK7" s="60">
        <f t="shared" si="6"/>
        <v>4117.3374045</v>
      </c>
      <c r="AL7" s="60">
        <f t="shared" si="6"/>
        <v>4141.9732785449996</v>
      </c>
      <c r="AM7" s="60">
        <f>AM16+AM23+AM30+AM37+AM44</f>
        <v>4152.9464478304499</v>
      </c>
      <c r="AN7" s="60">
        <f>AN16+AN23+AN30+AN37+AN44</f>
        <v>4177.9384123087548</v>
      </c>
      <c r="AO7" s="60">
        <f>AO16+AO23+AO30+AO37+AO44</f>
        <v>4189.1321422968422</v>
      </c>
      <c r="AP7" s="60">
        <f>AP16+AP23+AP30+AP37+AP44</f>
        <v>4214.4859637198097</v>
      </c>
      <c r="AQ7" s="50"/>
    </row>
    <row r="8" spans="1:56" s="12" customFormat="1" x14ac:dyDescent="0.25">
      <c r="A8" s="61"/>
      <c r="B8" s="61"/>
      <c r="C8" s="61" t="s">
        <v>127</v>
      </c>
      <c r="D8" s="61"/>
      <c r="E8" s="62"/>
      <c r="F8" s="63">
        <f>E7+F7</f>
        <v>5232</v>
      </c>
      <c r="G8" s="62"/>
      <c r="H8" s="63">
        <f>G7+H7</f>
        <v>4435</v>
      </c>
      <c r="I8" s="62"/>
      <c r="J8" s="63">
        <f>I7+J7</f>
        <v>5122</v>
      </c>
      <c r="K8" s="62"/>
      <c r="L8" s="63">
        <f>K7+L7</f>
        <v>5796</v>
      </c>
      <c r="M8" s="62"/>
      <c r="N8" s="63">
        <f>M7+N7</f>
        <v>6135</v>
      </c>
      <c r="O8" s="62"/>
      <c r="P8" s="63">
        <f>O7+P7</f>
        <v>6604</v>
      </c>
      <c r="Q8" s="62"/>
      <c r="R8" s="63">
        <f>Q7+R7</f>
        <v>6341</v>
      </c>
      <c r="S8" s="62"/>
      <c r="T8" s="63">
        <f>S7+T7</f>
        <v>5434</v>
      </c>
      <c r="U8" s="62"/>
      <c r="V8" s="63">
        <f>U7+V7</f>
        <v>5244</v>
      </c>
      <c r="W8" s="62"/>
      <c r="X8" s="63">
        <f>W7+X7</f>
        <v>6321</v>
      </c>
      <c r="Y8" s="62"/>
      <c r="Z8" s="63">
        <f>Y7+Z7</f>
        <v>5915</v>
      </c>
      <c r="AA8" s="62"/>
      <c r="AB8" s="63">
        <f>AA7+AB7</f>
        <v>5344</v>
      </c>
      <c r="AC8" s="62"/>
      <c r="AD8" s="63">
        <f>AC7+AD7</f>
        <v>5572</v>
      </c>
      <c r="AE8" s="62"/>
      <c r="AF8" s="63">
        <f>AE7+AF7</f>
        <v>6808</v>
      </c>
      <c r="AG8" s="62"/>
      <c r="AH8" s="63">
        <f>AG7+AH7</f>
        <v>7809</v>
      </c>
      <c r="AI8" s="62"/>
      <c r="AJ8" s="63">
        <f>AI7+AJ7</f>
        <v>8110.1254500000005</v>
      </c>
      <c r="AK8" s="62"/>
      <c r="AL8" s="63">
        <f>AK7+AL7</f>
        <v>8259.3106830449997</v>
      </c>
      <c r="AM8" s="62"/>
      <c r="AN8" s="63">
        <f>AM7+AN7</f>
        <v>8330.8848601392056</v>
      </c>
      <c r="AO8" s="62"/>
      <c r="AP8" s="63">
        <f>AO7+AP7</f>
        <v>8403.6181060166527</v>
      </c>
      <c r="AQ8" s="62"/>
    </row>
    <row r="9" spans="1:56" x14ac:dyDescent="0.25">
      <c r="A9" s="49"/>
      <c r="B9" s="49"/>
      <c r="C9" s="49" t="s">
        <v>370</v>
      </c>
      <c r="D9" s="49"/>
      <c r="E9" s="50"/>
      <c r="F9" s="60"/>
      <c r="G9" s="50"/>
      <c r="H9" s="60"/>
      <c r="I9" s="50"/>
      <c r="J9" s="60"/>
      <c r="K9" s="50"/>
      <c r="L9" s="60"/>
      <c r="M9" s="50"/>
      <c r="N9" s="60"/>
      <c r="O9" s="50"/>
      <c r="P9" s="60"/>
      <c r="Q9" s="50"/>
      <c r="R9" s="60"/>
      <c r="S9" s="50"/>
      <c r="T9" s="60"/>
      <c r="U9" s="50"/>
      <c r="V9" s="60"/>
      <c r="W9" s="50"/>
      <c r="X9" s="60"/>
      <c r="Y9" s="50"/>
      <c r="Z9" s="60"/>
      <c r="AA9" s="50"/>
      <c r="AB9" s="60"/>
      <c r="AC9" s="60">
        <f>AC7+AC52</f>
        <v>1590</v>
      </c>
      <c r="AD9" s="60">
        <f t="shared" ref="AD9:AL9" si="7">AD7+AD52</f>
        <v>3982</v>
      </c>
      <c r="AE9" s="60">
        <f t="shared" si="7"/>
        <v>1937</v>
      </c>
      <c r="AF9" s="60">
        <f t="shared" si="7"/>
        <v>4871</v>
      </c>
      <c r="AG9" s="60">
        <f t="shared" si="7"/>
        <v>3134</v>
      </c>
      <c r="AH9" s="60">
        <f t="shared" si="7"/>
        <v>4675</v>
      </c>
      <c r="AI9" s="60">
        <f t="shared" si="7"/>
        <v>4003.5450000000001</v>
      </c>
      <c r="AJ9" s="60">
        <f t="shared" si="7"/>
        <v>4106.5804500000004</v>
      </c>
      <c r="AK9" s="60">
        <f t="shared" si="7"/>
        <v>4117.3374045</v>
      </c>
      <c r="AL9" s="60">
        <f t="shared" si="7"/>
        <v>4141.9732785449996</v>
      </c>
      <c r="AM9" s="60">
        <f>AM7+AM52</f>
        <v>4152.9464478304499</v>
      </c>
      <c r="AN9" s="60">
        <f>AN7+AN52</f>
        <v>4177.9384123087548</v>
      </c>
      <c r="AO9" s="60">
        <f>AO7+AO52</f>
        <v>4189.1321422968422</v>
      </c>
      <c r="AP9" s="60">
        <f>AP7+AP52</f>
        <v>4214.4859637198097</v>
      </c>
      <c r="AQ9" s="50"/>
    </row>
    <row r="10" spans="1:56" s="12" customFormat="1" x14ac:dyDescent="0.25">
      <c r="A10" s="61"/>
      <c r="B10" s="61"/>
      <c r="C10" s="61" t="s">
        <v>370</v>
      </c>
      <c r="D10" s="61"/>
      <c r="E10" s="62"/>
      <c r="F10" s="63"/>
      <c r="G10" s="62"/>
      <c r="H10" s="63"/>
      <c r="I10" s="62"/>
      <c r="J10" s="63"/>
      <c r="K10" s="62"/>
      <c r="L10" s="63"/>
      <c r="M10" s="62"/>
      <c r="N10" s="63"/>
      <c r="O10" s="62"/>
      <c r="P10" s="63"/>
      <c r="Q10" s="62"/>
      <c r="R10" s="63"/>
      <c r="S10" s="62"/>
      <c r="T10" s="63"/>
      <c r="U10" s="62"/>
      <c r="V10" s="63"/>
      <c r="W10" s="62"/>
      <c r="X10" s="63"/>
      <c r="Y10" s="62"/>
      <c r="Z10" s="63"/>
      <c r="AA10" s="62"/>
      <c r="AB10" s="63"/>
      <c r="AC10" s="63"/>
      <c r="AD10" s="63">
        <f>AC9+AD9</f>
        <v>5572</v>
      </c>
      <c r="AE10" s="62"/>
      <c r="AF10" s="63">
        <f>AE9+AF9</f>
        <v>6808</v>
      </c>
      <c r="AG10" s="62"/>
      <c r="AH10" s="63">
        <f>AG9+AH9</f>
        <v>7809</v>
      </c>
      <c r="AI10" s="62"/>
      <c r="AJ10" s="63">
        <f>AI9+AJ9</f>
        <v>8110.1254500000005</v>
      </c>
      <c r="AK10" s="62"/>
      <c r="AL10" s="63">
        <f>AK9+AL9</f>
        <v>8259.3106830449997</v>
      </c>
      <c r="AM10" s="62"/>
      <c r="AN10" s="63">
        <f>AM9+AN9</f>
        <v>8330.8848601392056</v>
      </c>
      <c r="AO10" s="62"/>
      <c r="AP10" s="63">
        <f>AO9+AP9</f>
        <v>8403.6181060166527</v>
      </c>
      <c r="AQ10" s="62"/>
    </row>
    <row r="11" spans="1:56" x14ac:dyDescent="0.25">
      <c r="A11" s="49"/>
      <c r="B11" s="49"/>
      <c r="C11" s="49" t="s">
        <v>128</v>
      </c>
      <c r="D11" s="49" t="s">
        <v>137</v>
      </c>
      <c r="E11" s="60">
        <f>E71*1000/E7</f>
        <v>211.53974895397491</v>
      </c>
      <c r="F11" s="60">
        <f t="shared" ref="F11:AL11" si="8">F71*1000/F7</f>
        <v>209.90457643622204</v>
      </c>
      <c r="G11" s="60">
        <f t="shared" si="8"/>
        <v>211.68048533872599</v>
      </c>
      <c r="H11" s="60">
        <f t="shared" si="8"/>
        <v>210.21855921855925</v>
      </c>
      <c r="I11" s="60">
        <f t="shared" si="8"/>
        <v>207.6787330316742</v>
      </c>
      <c r="J11" s="60">
        <f t="shared" si="8"/>
        <v>215.83058894230771</v>
      </c>
      <c r="K11" s="60">
        <f t="shared" si="8"/>
        <v>214.04582409460457</v>
      </c>
      <c r="L11" s="60">
        <f t="shared" si="8"/>
        <v>234.59708737864077</v>
      </c>
      <c r="M11" s="60">
        <f t="shared" si="8"/>
        <v>243.45215485756026</v>
      </c>
      <c r="N11" s="60">
        <f t="shared" si="8"/>
        <v>247.02943773918162</v>
      </c>
      <c r="O11" s="60">
        <f t="shared" si="8"/>
        <v>247.97620790629574</v>
      </c>
      <c r="P11" s="60">
        <f t="shared" si="8"/>
        <v>292.49431818181819</v>
      </c>
      <c r="Q11" s="60">
        <f t="shared" si="8"/>
        <v>284.89743589743591</v>
      </c>
      <c r="R11" s="60">
        <f t="shared" si="8"/>
        <v>303.11753614079191</v>
      </c>
      <c r="S11" s="60">
        <f t="shared" si="8"/>
        <v>323.5104961832061</v>
      </c>
      <c r="T11" s="60">
        <f t="shared" si="8"/>
        <v>348.51493109646498</v>
      </c>
      <c r="U11" s="60">
        <f t="shared" si="8"/>
        <v>329.02116650987773</v>
      </c>
      <c r="V11" s="60">
        <f t="shared" si="8"/>
        <v>339.71744708146247</v>
      </c>
      <c r="W11" s="60">
        <f t="shared" si="8"/>
        <v>292.68467011642952</v>
      </c>
      <c r="X11" s="60">
        <f t="shared" si="8"/>
        <v>334.84546299163827</v>
      </c>
      <c r="Y11" s="60">
        <f t="shared" si="8"/>
        <v>331.88531711555169</v>
      </c>
      <c r="Z11" s="60">
        <f t="shared" si="8"/>
        <v>378.90949349570991</v>
      </c>
      <c r="AA11" s="60">
        <f t="shared" si="8"/>
        <v>363.14363143631437</v>
      </c>
      <c r="AB11" s="60">
        <f t="shared" si="8"/>
        <v>417.83366676193197</v>
      </c>
      <c r="AC11" s="60">
        <f t="shared" si="8"/>
        <v>388.0503144654088</v>
      </c>
      <c r="AD11" s="60">
        <f t="shared" si="8"/>
        <v>448.51833249623303</v>
      </c>
      <c r="AE11" s="60">
        <f t="shared" si="8"/>
        <v>356.22096024780586</v>
      </c>
      <c r="AF11" s="60">
        <f t="shared" si="8"/>
        <v>419.62636009033054</v>
      </c>
      <c r="AG11" s="60">
        <f t="shared" si="8"/>
        <v>399.17038927887683</v>
      </c>
      <c r="AH11" s="60">
        <f t="shared" si="8"/>
        <v>415.96073155080217</v>
      </c>
      <c r="AI11" s="60">
        <f t="shared" si="8"/>
        <v>420.81502692014203</v>
      </c>
      <c r="AJ11" s="60">
        <f t="shared" si="8"/>
        <v>424.00322136371909</v>
      </c>
      <c r="AK11" s="60">
        <f t="shared" si="8"/>
        <v>429.37059537451074</v>
      </c>
      <c r="AL11" s="60">
        <f t="shared" si="8"/>
        <v>434.89897174965222</v>
      </c>
      <c r="AM11" s="60">
        <f>AM71*1000/AM7</f>
        <v>440.40462831248522</v>
      </c>
      <c r="AN11" s="60">
        <f>AN71*1000/AN7</f>
        <v>446.08244787120799</v>
      </c>
      <c r="AO11" s="60">
        <f>AO71*1000/AO7</f>
        <v>451.72985800076322</v>
      </c>
      <c r="AP11" s="60">
        <f>AP71*1000/AP7</f>
        <v>457.5610733892579</v>
      </c>
      <c r="AQ11" s="50"/>
    </row>
    <row r="12" spans="1:56" x14ac:dyDescent="0.25">
      <c r="A12" s="49"/>
      <c r="B12" s="49"/>
      <c r="C12" s="49" t="s">
        <v>129</v>
      </c>
      <c r="D12" s="49"/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50"/>
      <c r="U12" s="50"/>
      <c r="V12" s="50"/>
      <c r="W12" s="50"/>
      <c r="X12" s="50"/>
      <c r="Y12" s="66">
        <f>Y80</f>
        <v>0.26600000000000001</v>
      </c>
      <c r="Z12" s="50"/>
      <c r="AA12" s="66">
        <f>AA80</f>
        <v>0.24199999999999999</v>
      </c>
      <c r="AB12" s="66">
        <f t="shared" ref="AB12:AL12" si="9">AB80</f>
        <v>0.26942148760330581</v>
      </c>
      <c r="AC12" s="66">
        <f t="shared" si="9"/>
        <v>0.17995910020449898</v>
      </c>
      <c r="AD12" s="66">
        <f t="shared" si="9"/>
        <v>0.24857685009487665</v>
      </c>
      <c r="AE12" s="66">
        <f t="shared" si="9"/>
        <v>0.14285714285714285</v>
      </c>
      <c r="AF12" s="66">
        <f t="shared" si="9"/>
        <v>0.25528269560251288</v>
      </c>
      <c r="AG12" s="66">
        <f t="shared" si="9"/>
        <v>0.18171683389074694</v>
      </c>
      <c r="AH12" s="66">
        <f t="shared" si="9"/>
        <v>0.248</v>
      </c>
      <c r="AI12" s="66">
        <f t="shared" si="9"/>
        <v>0.22300000000000003</v>
      </c>
      <c r="AJ12" s="66">
        <f t="shared" si="9"/>
        <v>0.22050000000000003</v>
      </c>
      <c r="AK12" s="66">
        <f t="shared" si="9"/>
        <v>0.22550000000000003</v>
      </c>
      <c r="AL12" s="66">
        <f t="shared" si="9"/>
        <v>0.22550000000000003</v>
      </c>
      <c r="AM12" s="66">
        <f>AM80</f>
        <v>0.22550000000000003</v>
      </c>
      <c r="AN12" s="66">
        <f>AN80</f>
        <v>0.22550000000000003</v>
      </c>
      <c r="AO12" s="66">
        <f>AO80</f>
        <v>0.22550000000000003</v>
      </c>
      <c r="AP12" s="66">
        <f>AP80</f>
        <v>0.22550000000000003</v>
      </c>
      <c r="AQ12" s="50"/>
    </row>
    <row r="13" spans="1:56" x14ac:dyDescent="0.25">
      <c r="A13" s="4" t="s">
        <v>124</v>
      </c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>
        <f>AE7/AF10</f>
        <v>0.28451821386603993</v>
      </c>
      <c r="AF13" s="125">
        <f>AF10-AF8</f>
        <v>0</v>
      </c>
      <c r="AG13" s="4"/>
      <c r="AH13" s="125">
        <f>AH10-AH8</f>
        <v>0</v>
      </c>
      <c r="AI13" s="4"/>
      <c r="AJ13" s="125">
        <f>AJ10-AJ8</f>
        <v>0</v>
      </c>
      <c r="AK13" s="4"/>
      <c r="AL13" s="4"/>
      <c r="AM13" s="4"/>
      <c r="AN13" s="4"/>
      <c r="AO13" s="4"/>
      <c r="AP13" s="4"/>
      <c r="AQ13" s="4"/>
    </row>
    <row r="14" spans="1:56" x14ac:dyDescent="0.25">
      <c r="AC14" t="s">
        <v>353</v>
      </c>
    </row>
    <row r="15" spans="1:56" s="23" customFormat="1" x14ac:dyDescent="0.25">
      <c r="B15" s="23" t="s">
        <v>125</v>
      </c>
      <c r="E15" s="24"/>
      <c r="F15" s="24"/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  <c r="AA15" s="24"/>
      <c r="AB15" s="24"/>
      <c r="AC15" s="24"/>
      <c r="AD15" s="24"/>
      <c r="AE15" s="24"/>
      <c r="AF15" s="24"/>
      <c r="AG15" s="24"/>
      <c r="AH15" s="24"/>
      <c r="AI15" s="24"/>
      <c r="AJ15" s="24"/>
      <c r="AK15" s="24"/>
      <c r="AL15" s="24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D15" s="25"/>
    </row>
    <row r="16" spans="1:56" x14ac:dyDescent="0.25">
      <c r="C16" t="s">
        <v>130</v>
      </c>
      <c r="E16" s="58">
        <v>191</v>
      </c>
      <c r="F16" s="58">
        <v>653</v>
      </c>
      <c r="G16" s="58">
        <v>350</v>
      </c>
      <c r="H16" s="58">
        <v>259</v>
      </c>
      <c r="I16" s="58">
        <v>207</v>
      </c>
      <c r="J16" s="58">
        <v>304</v>
      </c>
      <c r="K16" s="58">
        <v>172</v>
      </c>
      <c r="L16" s="58">
        <v>591</v>
      </c>
      <c r="M16" s="58">
        <v>500</v>
      </c>
      <c r="N16" s="58">
        <v>535</v>
      </c>
      <c r="O16" s="58">
        <v>244</v>
      </c>
      <c r="P16" s="58">
        <v>1127</v>
      </c>
      <c r="Q16" s="58">
        <v>642</v>
      </c>
      <c r="R16" s="58">
        <v>695</v>
      </c>
      <c r="S16" s="58">
        <v>302</v>
      </c>
      <c r="T16" s="58">
        <v>883</v>
      </c>
      <c r="U16" s="58">
        <v>298</v>
      </c>
      <c r="V16" s="58">
        <v>546</v>
      </c>
      <c r="W16" s="58">
        <v>188</v>
      </c>
      <c r="X16" s="58">
        <v>653</v>
      </c>
      <c r="Y16" s="58">
        <v>287</v>
      </c>
      <c r="Z16" s="58">
        <v>682</v>
      </c>
      <c r="AA16" s="58">
        <v>123</v>
      </c>
      <c r="AB16" s="58">
        <f>706-AA16</f>
        <v>583</v>
      </c>
      <c r="AC16" s="58">
        <v>124</v>
      </c>
      <c r="AD16" s="58">
        <f>852-AC16</f>
        <v>728</v>
      </c>
      <c r="AE16" s="58">
        <v>66</v>
      </c>
      <c r="AF16" s="58">
        <f>1059-AE16</f>
        <v>993</v>
      </c>
      <c r="AG16" s="58">
        <v>351</v>
      </c>
      <c r="AH16" s="54">
        <f>1000-AG16</f>
        <v>649</v>
      </c>
      <c r="AI16" s="54">
        <f>AVERAGE(AG16:AH16)*(1+AI17)</f>
        <v>505</v>
      </c>
      <c r="AJ16" s="54">
        <f t="shared" ref="AJ16:AN16" si="10">AI16*(1+AJ17)</f>
        <v>510.05</v>
      </c>
      <c r="AK16" s="54">
        <f t="shared" si="10"/>
        <v>515.15049999999997</v>
      </c>
      <c r="AL16" s="54">
        <f t="shared" si="10"/>
        <v>520.30200500000001</v>
      </c>
      <c r="AM16" s="54">
        <f t="shared" si="10"/>
        <v>525.50502504999997</v>
      </c>
      <c r="AN16" s="54">
        <f t="shared" si="10"/>
        <v>530.76007530049992</v>
      </c>
      <c r="AO16" s="54">
        <f t="shared" ref="AO16" si="11">AN16*(1+AO17)</f>
        <v>536.0676760535049</v>
      </c>
      <c r="AP16" s="54">
        <f t="shared" ref="AP16" si="12">AO16*(1+AP17)</f>
        <v>541.42835281403995</v>
      </c>
      <c r="AQ16" s="54"/>
      <c r="AT16" s="116">
        <f>AC16</f>
        <v>124</v>
      </c>
      <c r="AU16" s="116">
        <f>AD16</f>
        <v>728</v>
      </c>
      <c r="AV16" s="116">
        <f>AE16</f>
        <v>66</v>
      </c>
      <c r="AW16" s="116">
        <f>AF16</f>
        <v>993</v>
      </c>
    </row>
    <row r="17" spans="2:56" s="10" customFormat="1" x14ac:dyDescent="0.25">
      <c r="C17" s="51" t="s">
        <v>27</v>
      </c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/>
      <c r="T17" s="55"/>
      <c r="U17" s="55"/>
      <c r="V17" s="55"/>
      <c r="W17" s="55"/>
      <c r="X17" s="55"/>
      <c r="Y17" s="55"/>
      <c r="Z17" s="55"/>
      <c r="AA17" s="55"/>
      <c r="AB17" s="59">
        <v>1.4999999999999999E-2</v>
      </c>
      <c r="AC17" s="59">
        <f>AB17</f>
        <v>1.4999999999999999E-2</v>
      </c>
      <c r="AD17" s="59">
        <f>AC17</f>
        <v>1.4999999999999999E-2</v>
      </c>
      <c r="AE17" s="59">
        <f>AD17</f>
        <v>1.4999999999999999E-2</v>
      </c>
      <c r="AF17" s="59">
        <v>0</v>
      </c>
      <c r="AG17" s="59">
        <v>0.05</v>
      </c>
      <c r="AH17" s="59">
        <f>AG17</f>
        <v>0.05</v>
      </c>
      <c r="AI17" s="59">
        <v>0.01</v>
      </c>
      <c r="AJ17" s="59">
        <f t="shared" ref="AJ17:AP17" si="13">AI17</f>
        <v>0.01</v>
      </c>
      <c r="AK17" s="59">
        <f t="shared" si="13"/>
        <v>0.01</v>
      </c>
      <c r="AL17" s="59">
        <f t="shared" si="13"/>
        <v>0.01</v>
      </c>
      <c r="AM17" s="59">
        <f t="shared" si="13"/>
        <v>0.01</v>
      </c>
      <c r="AN17" s="59">
        <f t="shared" si="13"/>
        <v>0.01</v>
      </c>
      <c r="AO17" s="59">
        <f t="shared" si="13"/>
        <v>0.01</v>
      </c>
      <c r="AP17" s="59">
        <f t="shared" si="13"/>
        <v>0.01</v>
      </c>
      <c r="AQ17" s="55"/>
      <c r="AT17" s="27">
        <f>AT16/SUM(AT16:AU16)</f>
        <v>0.14553990610328638</v>
      </c>
      <c r="AU17" s="27">
        <f>1-AT17</f>
        <v>0.85446009389671362</v>
      </c>
      <c r="AV17" s="27">
        <f>AV16/SUM(AV16:AW16)</f>
        <v>6.2322946175637391E-2</v>
      </c>
      <c r="AW17" s="27">
        <f>1-AV17</f>
        <v>0.93767705382436262</v>
      </c>
    </row>
    <row r="18" spans="2:56" x14ac:dyDescent="0.25">
      <c r="C18" t="s">
        <v>131</v>
      </c>
      <c r="D18" s="53" t="s">
        <v>137</v>
      </c>
      <c r="E18" s="58">
        <v>250</v>
      </c>
      <c r="F18" s="58">
        <v>215</v>
      </c>
      <c r="G18" s="58">
        <v>223</v>
      </c>
      <c r="H18" s="58">
        <v>240</v>
      </c>
      <c r="I18" s="58">
        <v>195</v>
      </c>
      <c r="J18" s="58">
        <v>230</v>
      </c>
      <c r="K18" s="58">
        <v>230</v>
      </c>
      <c r="L18" s="58">
        <v>279</v>
      </c>
      <c r="M18" s="58">
        <v>343</v>
      </c>
      <c r="N18" s="58">
        <v>365</v>
      </c>
      <c r="O18" s="58">
        <v>433</v>
      </c>
      <c r="P18" s="58">
        <v>420</v>
      </c>
      <c r="Q18" s="58">
        <v>368</v>
      </c>
      <c r="R18" s="58">
        <v>401</v>
      </c>
      <c r="S18" s="58">
        <v>429</v>
      </c>
      <c r="T18" s="58">
        <v>431.68</v>
      </c>
      <c r="U18" s="58">
        <v>412</v>
      </c>
      <c r="V18" s="58">
        <v>415.09157509157507</v>
      </c>
      <c r="W18" s="58">
        <v>461</v>
      </c>
      <c r="X18" s="58">
        <v>462</v>
      </c>
      <c r="Y18" s="58">
        <v>456</v>
      </c>
      <c r="Z18" s="58">
        <v>620.81524926686211</v>
      </c>
      <c r="AA18" s="58">
        <v>587</v>
      </c>
      <c r="AB18" s="58">
        <v>601.53173241852494</v>
      </c>
      <c r="AC18" s="58">
        <v>723</v>
      </c>
      <c r="AD18" s="58">
        <v>758.1098901098901</v>
      </c>
      <c r="AE18" s="58">
        <v>760</v>
      </c>
      <c r="AF18" s="58">
        <v>660.81873111782477</v>
      </c>
      <c r="AG18" s="58">
        <v>530</v>
      </c>
      <c r="AH18" s="128">
        <v>700</v>
      </c>
      <c r="AI18" s="54">
        <f t="shared" ref="AI18:AN18" si="14">AH18*(1+AI19)</f>
        <v>707</v>
      </c>
      <c r="AJ18" s="54">
        <f t="shared" si="14"/>
        <v>714.07</v>
      </c>
      <c r="AK18" s="54">
        <f t="shared" si="14"/>
        <v>721.21070000000009</v>
      </c>
      <c r="AL18" s="54">
        <f t="shared" si="14"/>
        <v>728.42280700000015</v>
      </c>
      <c r="AM18" s="54">
        <f t="shared" si="14"/>
        <v>735.70703507000019</v>
      </c>
      <c r="AN18" s="54">
        <f t="shared" si="14"/>
        <v>743.06410542070023</v>
      </c>
      <c r="AO18" s="54">
        <f t="shared" ref="AO18" si="15">AN18*(1+AO19)</f>
        <v>750.49474647490729</v>
      </c>
      <c r="AP18" s="54">
        <f t="shared" ref="AP18" si="16">AO18*(1+AP19)</f>
        <v>757.99969393965637</v>
      </c>
      <c r="AQ18" s="54"/>
      <c r="AT18" s="116">
        <f>AC18</f>
        <v>723</v>
      </c>
      <c r="AU18" s="117">
        <f>(AU19-AT17*AT18)/AU17</f>
        <v>758.1098901098901</v>
      </c>
      <c r="AV18" s="116">
        <f>AE18</f>
        <v>760</v>
      </c>
      <c r="AW18" s="117">
        <f>(AW19-AV17*AV18)/AW17</f>
        <v>660.81873111782477</v>
      </c>
    </row>
    <row r="19" spans="2:56" s="10" customFormat="1" x14ac:dyDescent="0.25">
      <c r="C19" s="51" t="s">
        <v>27</v>
      </c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55"/>
      <c r="T19" s="55"/>
      <c r="U19" s="55"/>
      <c r="V19" s="55"/>
      <c r="W19" s="55"/>
      <c r="X19" s="55"/>
      <c r="Y19" s="55"/>
      <c r="Z19" s="55"/>
      <c r="AA19" s="55"/>
      <c r="AB19" s="59">
        <v>0</v>
      </c>
      <c r="AC19" s="59">
        <v>0.01</v>
      </c>
      <c r="AD19" s="59">
        <v>0.02</v>
      </c>
      <c r="AE19" s="59">
        <v>0.02</v>
      </c>
      <c r="AF19" s="59">
        <v>0</v>
      </c>
      <c r="AG19" s="59">
        <v>0.01</v>
      </c>
      <c r="AH19" s="59">
        <f t="shared" ref="AH19:AN19" si="17">AG19</f>
        <v>0.01</v>
      </c>
      <c r="AI19" s="59">
        <f t="shared" si="17"/>
        <v>0.01</v>
      </c>
      <c r="AJ19" s="59">
        <f t="shared" si="17"/>
        <v>0.01</v>
      </c>
      <c r="AK19" s="59">
        <f t="shared" si="17"/>
        <v>0.01</v>
      </c>
      <c r="AL19" s="59">
        <f t="shared" si="17"/>
        <v>0.01</v>
      </c>
      <c r="AM19" s="59">
        <f t="shared" si="17"/>
        <v>0.01</v>
      </c>
      <c r="AN19" s="59">
        <f t="shared" si="17"/>
        <v>0.01</v>
      </c>
      <c r="AO19" s="59">
        <f t="shared" ref="AO19" si="18">AN19</f>
        <v>0.01</v>
      </c>
      <c r="AP19" s="59">
        <f t="shared" ref="AP19" si="19">AO19</f>
        <v>0.01</v>
      </c>
      <c r="AQ19" s="55"/>
      <c r="AU19" s="118">
        <v>753</v>
      </c>
      <c r="AW19" s="118">
        <v>667</v>
      </c>
    </row>
    <row r="20" spans="2:56" s="6" customFormat="1" x14ac:dyDescent="0.25">
      <c r="C20" s="6" t="s">
        <v>132</v>
      </c>
      <c r="D20" s="6" t="s">
        <v>32</v>
      </c>
      <c r="E20" s="56">
        <f>E16*E18/1000</f>
        <v>47.75</v>
      </c>
      <c r="F20" s="56">
        <f t="shared" ref="F20:AL20" si="20">F16*F18/1000</f>
        <v>140.39500000000001</v>
      </c>
      <c r="G20" s="56">
        <f t="shared" si="20"/>
        <v>78.05</v>
      </c>
      <c r="H20" s="56">
        <f t="shared" si="20"/>
        <v>62.16</v>
      </c>
      <c r="I20" s="56">
        <f t="shared" si="20"/>
        <v>40.365000000000002</v>
      </c>
      <c r="J20" s="56">
        <f t="shared" si="20"/>
        <v>69.92</v>
      </c>
      <c r="K20" s="56">
        <f t="shared" si="20"/>
        <v>39.56</v>
      </c>
      <c r="L20" s="56">
        <f t="shared" si="20"/>
        <v>164.88900000000001</v>
      </c>
      <c r="M20" s="56">
        <f t="shared" si="20"/>
        <v>171.5</v>
      </c>
      <c r="N20" s="56">
        <f t="shared" si="20"/>
        <v>195.27500000000001</v>
      </c>
      <c r="O20" s="56">
        <f t="shared" si="20"/>
        <v>105.652</v>
      </c>
      <c r="P20" s="56">
        <f t="shared" si="20"/>
        <v>473.34</v>
      </c>
      <c r="Q20" s="56">
        <f t="shared" si="20"/>
        <v>236.256</v>
      </c>
      <c r="R20" s="56">
        <f t="shared" si="20"/>
        <v>278.69499999999999</v>
      </c>
      <c r="S20" s="56">
        <f t="shared" si="20"/>
        <v>129.55799999999999</v>
      </c>
      <c r="T20" s="56">
        <f t="shared" si="20"/>
        <v>381.17344000000003</v>
      </c>
      <c r="U20" s="56">
        <f t="shared" si="20"/>
        <v>122.776</v>
      </c>
      <c r="V20" s="56">
        <f t="shared" si="20"/>
        <v>226.64</v>
      </c>
      <c r="W20" s="56">
        <f t="shared" si="20"/>
        <v>86.668000000000006</v>
      </c>
      <c r="X20" s="56">
        <f t="shared" si="20"/>
        <v>301.68599999999998</v>
      </c>
      <c r="Y20" s="56">
        <f t="shared" si="20"/>
        <v>130.87200000000001</v>
      </c>
      <c r="Z20" s="56">
        <f t="shared" si="20"/>
        <v>423.39599999999996</v>
      </c>
      <c r="AA20" s="56">
        <f t="shared" si="20"/>
        <v>72.200999999999993</v>
      </c>
      <c r="AB20" s="56">
        <f t="shared" si="20"/>
        <v>350.69300000000004</v>
      </c>
      <c r="AC20" s="56">
        <f t="shared" si="20"/>
        <v>89.652000000000001</v>
      </c>
      <c r="AD20" s="56">
        <f t="shared" si="20"/>
        <v>551.904</v>
      </c>
      <c r="AE20" s="56">
        <f t="shared" si="20"/>
        <v>50.16</v>
      </c>
      <c r="AF20" s="56">
        <f t="shared" si="20"/>
        <v>656.19299999999998</v>
      </c>
      <c r="AG20" s="56">
        <f t="shared" si="20"/>
        <v>186.03</v>
      </c>
      <c r="AH20" s="56">
        <f t="shared" si="20"/>
        <v>454.3</v>
      </c>
      <c r="AI20" s="56">
        <f t="shared" si="20"/>
        <v>357.03500000000003</v>
      </c>
      <c r="AJ20" s="56">
        <f t="shared" si="20"/>
        <v>364.21140350000002</v>
      </c>
      <c r="AK20" s="56">
        <f t="shared" si="20"/>
        <v>371.53205271035</v>
      </c>
      <c r="AL20" s="56">
        <f t="shared" si="20"/>
        <v>378.99984696982813</v>
      </c>
      <c r="AM20" s="56">
        <f>AM16*AM18/1000</f>
        <v>386.61774389392167</v>
      </c>
      <c r="AN20" s="56">
        <f>AN16*AN18/1000</f>
        <v>394.38876054618942</v>
      </c>
      <c r="AO20" s="56">
        <f>AO16*AO18/1000</f>
        <v>402.31597463316791</v>
      </c>
      <c r="AP20" s="56">
        <f>AP16*AP18/1000</f>
        <v>410.40252572329462</v>
      </c>
      <c r="AQ20" s="56"/>
    </row>
    <row r="21" spans="2:56" x14ac:dyDescent="0.25">
      <c r="C21" s="44"/>
      <c r="E21" s="54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4"/>
      <c r="W21" s="54"/>
      <c r="X21" s="54"/>
      <c r="Y21" s="54"/>
      <c r="Z21" s="54"/>
      <c r="AA21" s="54"/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</row>
    <row r="22" spans="2:56" s="23" customFormat="1" x14ac:dyDescent="0.25">
      <c r="B22" s="23" t="s">
        <v>136</v>
      </c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  <c r="AB22" s="57"/>
      <c r="AC22" s="57"/>
      <c r="AD22" s="57"/>
      <c r="AE22" s="57"/>
      <c r="AF22" s="57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24"/>
      <c r="AS22" s="24"/>
      <c r="AT22" s="24"/>
      <c r="AU22" s="24"/>
      <c r="AV22" s="24"/>
      <c r="AW22" s="24"/>
      <c r="AX22" s="24"/>
      <c r="AY22" s="24"/>
      <c r="AZ22" s="24"/>
      <c r="BD22" s="25"/>
    </row>
    <row r="23" spans="2:56" x14ac:dyDescent="0.25">
      <c r="C23" t="s">
        <v>130</v>
      </c>
      <c r="E23" s="58">
        <v>659</v>
      </c>
      <c r="F23" s="58">
        <v>879</v>
      </c>
      <c r="G23" s="58">
        <v>576</v>
      </c>
      <c r="H23" s="58">
        <v>799</v>
      </c>
      <c r="I23" s="58">
        <v>704</v>
      </c>
      <c r="J23" s="58">
        <v>1049</v>
      </c>
      <c r="K23" s="58">
        <v>922</v>
      </c>
      <c r="L23" s="58">
        <v>911</v>
      </c>
      <c r="M23" s="58">
        <v>732</v>
      </c>
      <c r="N23" s="58">
        <v>972</v>
      </c>
      <c r="O23" s="58">
        <v>929</v>
      </c>
      <c r="P23" s="58">
        <v>1089</v>
      </c>
      <c r="Q23" s="58">
        <v>953</v>
      </c>
      <c r="R23" s="58">
        <v>1018</v>
      </c>
      <c r="S23" s="58">
        <v>510</v>
      </c>
      <c r="T23" s="58">
        <v>1072</v>
      </c>
      <c r="U23" s="58">
        <v>537</v>
      </c>
      <c r="V23" s="58">
        <v>751</v>
      </c>
      <c r="W23" s="58">
        <v>879</v>
      </c>
      <c r="X23" s="58">
        <v>796</v>
      </c>
      <c r="Y23" s="58">
        <v>456</v>
      </c>
      <c r="Z23" s="58">
        <v>1057</v>
      </c>
      <c r="AA23" s="58">
        <v>656</v>
      </c>
      <c r="AB23" s="58">
        <f>1420-AA23</f>
        <v>764</v>
      </c>
      <c r="AC23" s="58">
        <v>346</v>
      </c>
      <c r="AD23" s="58">
        <f>1191-AC23</f>
        <v>845</v>
      </c>
      <c r="AE23" s="58">
        <v>430</v>
      </c>
      <c r="AF23" s="58">
        <f>1645-AE23</f>
        <v>1215</v>
      </c>
      <c r="AG23" s="58">
        <v>1303</v>
      </c>
      <c r="AH23" s="54">
        <f>2700-AG23</f>
        <v>1397</v>
      </c>
      <c r="AI23" s="54">
        <f>AVERAGE(AG23:AH23)*(1+AI24)</f>
        <v>1363.5</v>
      </c>
      <c r="AJ23" s="54">
        <f t="shared" ref="AJ23" si="21">AI23*(1+AJ24)</f>
        <v>1377.135</v>
      </c>
      <c r="AK23" s="54">
        <f t="shared" ref="AK23:AP23" si="22">AI23*(1+AK24)</f>
        <v>1377.135</v>
      </c>
      <c r="AL23" s="54">
        <f t="shared" si="22"/>
        <v>1390.90635</v>
      </c>
      <c r="AM23" s="54">
        <f t="shared" si="22"/>
        <v>1390.90635</v>
      </c>
      <c r="AN23" s="54">
        <f t="shared" si="22"/>
        <v>1404.8154135</v>
      </c>
      <c r="AO23" s="54">
        <f t="shared" si="22"/>
        <v>1404.8154135</v>
      </c>
      <c r="AP23" s="54">
        <f t="shared" si="22"/>
        <v>1418.863567635</v>
      </c>
      <c r="AQ23" s="54"/>
      <c r="AT23" s="116">
        <f>AC23</f>
        <v>346</v>
      </c>
      <c r="AU23" s="116">
        <f>AD23</f>
        <v>845</v>
      </c>
      <c r="AV23" s="116">
        <f>AE23</f>
        <v>430</v>
      </c>
      <c r="AW23" s="116">
        <f>AF23</f>
        <v>1215</v>
      </c>
    </row>
    <row r="24" spans="2:56" s="10" customFormat="1" x14ac:dyDescent="0.25">
      <c r="C24" s="51" t="s">
        <v>27</v>
      </c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  <c r="P24" s="55"/>
      <c r="Q24" s="55"/>
      <c r="R24" s="55"/>
      <c r="S24" s="55"/>
      <c r="T24" s="55"/>
      <c r="U24" s="55"/>
      <c r="V24" s="55"/>
      <c r="W24" s="55"/>
      <c r="X24" s="55"/>
      <c r="Y24" s="55"/>
      <c r="Z24" s="55"/>
      <c r="AA24" s="55"/>
      <c r="AB24" s="59">
        <v>1.4999999999999999E-2</v>
      </c>
      <c r="AC24" s="59">
        <f>AB24</f>
        <v>1.4999999999999999E-2</v>
      </c>
      <c r="AD24" s="59">
        <v>0.05</v>
      </c>
      <c r="AE24" s="59">
        <f t="shared" ref="AE24:AL24" si="23">AD24</f>
        <v>0.05</v>
      </c>
      <c r="AF24" s="59">
        <f t="shared" si="23"/>
        <v>0.05</v>
      </c>
      <c r="AG24" s="59">
        <v>0.05</v>
      </c>
      <c r="AH24" s="59">
        <f t="shared" si="23"/>
        <v>0.05</v>
      </c>
      <c r="AI24" s="59">
        <v>0.01</v>
      </c>
      <c r="AJ24" s="59">
        <f t="shared" si="23"/>
        <v>0.01</v>
      </c>
      <c r="AK24" s="59">
        <f t="shared" si="23"/>
        <v>0.01</v>
      </c>
      <c r="AL24" s="59">
        <f t="shared" si="23"/>
        <v>0.01</v>
      </c>
      <c r="AM24" s="59">
        <f>AL24</f>
        <v>0.01</v>
      </c>
      <c r="AN24" s="59">
        <f>AM24</f>
        <v>0.01</v>
      </c>
      <c r="AO24" s="59">
        <f>AN24</f>
        <v>0.01</v>
      </c>
      <c r="AP24" s="59">
        <f>AO24</f>
        <v>0.01</v>
      </c>
      <c r="AQ24" s="55"/>
      <c r="AT24" s="27">
        <f>AT23/SUM(AT23:AU23)</f>
        <v>0.29051217464315698</v>
      </c>
      <c r="AU24" s="27">
        <f>1-AT24</f>
        <v>0.70948782535684307</v>
      </c>
      <c r="AV24" s="27">
        <f>AV23/SUM(AV23:AW23)</f>
        <v>0.26139817629179329</v>
      </c>
      <c r="AW24" s="27">
        <f>1-AV24</f>
        <v>0.73860182370820671</v>
      </c>
    </row>
    <row r="25" spans="2:56" x14ac:dyDescent="0.25">
      <c r="C25" t="s">
        <v>131</v>
      </c>
      <c r="D25" s="53" t="s">
        <v>137</v>
      </c>
      <c r="E25" s="58">
        <v>211</v>
      </c>
      <c r="F25" s="58">
        <v>213</v>
      </c>
      <c r="G25" s="58">
        <v>201</v>
      </c>
      <c r="H25" s="58">
        <v>199</v>
      </c>
      <c r="I25" s="58">
        <v>206</v>
      </c>
      <c r="J25" s="58">
        <v>213</v>
      </c>
      <c r="K25" s="58">
        <v>210</v>
      </c>
      <c r="L25" s="58">
        <v>228</v>
      </c>
      <c r="M25" s="58">
        <v>234</v>
      </c>
      <c r="N25" s="58">
        <v>237</v>
      </c>
      <c r="O25" s="58">
        <v>245</v>
      </c>
      <c r="P25" s="58">
        <v>242</v>
      </c>
      <c r="Q25" s="58">
        <v>261</v>
      </c>
      <c r="R25" s="58">
        <v>266</v>
      </c>
      <c r="S25" s="58">
        <v>266</v>
      </c>
      <c r="T25" s="58">
        <v>292.55</v>
      </c>
      <c r="U25" s="58">
        <v>277</v>
      </c>
      <c r="V25" s="58">
        <v>266.70972037283622</v>
      </c>
      <c r="W25" s="58">
        <v>260</v>
      </c>
      <c r="X25" s="58">
        <v>255</v>
      </c>
      <c r="Y25" s="58">
        <v>323</v>
      </c>
      <c r="Z25" s="58">
        <v>292.94039735099341</v>
      </c>
      <c r="AA25" s="58">
        <v>341</v>
      </c>
      <c r="AB25" s="58">
        <v>357.72774869109946</v>
      </c>
      <c r="AC25" s="58">
        <v>377</v>
      </c>
      <c r="AD25" s="58">
        <v>374.18106508875741</v>
      </c>
      <c r="AE25" s="58">
        <v>354</v>
      </c>
      <c r="AF25" s="58">
        <v>398.67901234567898</v>
      </c>
      <c r="AG25" s="58">
        <v>430</v>
      </c>
      <c r="AH25" s="54">
        <f t="shared" ref="AH25:AN25" si="24">AG25*(1+AH26)</f>
        <v>436.44999999999993</v>
      </c>
      <c r="AI25" s="54">
        <f t="shared" si="24"/>
        <v>442.99674999999991</v>
      </c>
      <c r="AJ25" s="54">
        <f t="shared" si="24"/>
        <v>449.64170124999987</v>
      </c>
      <c r="AK25" s="54">
        <f t="shared" si="24"/>
        <v>456.38632676874983</v>
      </c>
      <c r="AL25" s="54">
        <f t="shared" si="24"/>
        <v>463.232121670281</v>
      </c>
      <c r="AM25" s="54">
        <f t="shared" si="24"/>
        <v>470.18060349533516</v>
      </c>
      <c r="AN25" s="54">
        <f t="shared" si="24"/>
        <v>477.23331254776514</v>
      </c>
      <c r="AO25" s="54">
        <f t="shared" ref="AO25" si="25">AN25*(1+AO26)</f>
        <v>484.39181223598155</v>
      </c>
      <c r="AP25" s="54">
        <f t="shared" ref="AP25" si="26">AO25*(1+AP26)</f>
        <v>491.6576894195212</v>
      </c>
      <c r="AQ25" s="54"/>
      <c r="AT25" s="116">
        <f>AC25</f>
        <v>377</v>
      </c>
      <c r="AU25" s="117">
        <f>(AU26-AT24*AT25)/AU24</f>
        <v>374.18106508875741</v>
      </c>
      <c r="AV25" s="116">
        <f>AE25</f>
        <v>354</v>
      </c>
      <c r="AW25" s="117">
        <f>(AW26-AV24*AV25)/AW24</f>
        <v>398.67901234567898</v>
      </c>
    </row>
    <row r="26" spans="2:56" s="10" customFormat="1" x14ac:dyDescent="0.25">
      <c r="C26" s="51" t="s">
        <v>27</v>
      </c>
      <c r="E26" s="55"/>
      <c r="F26" s="55"/>
      <c r="G26" s="55"/>
      <c r="H26" s="55"/>
      <c r="I26" s="55"/>
      <c r="J26" s="55"/>
      <c r="K26" s="55"/>
      <c r="L26" s="55"/>
      <c r="M26" s="55"/>
      <c r="N26" s="55"/>
      <c r="O26" s="55"/>
      <c r="P26" s="55"/>
      <c r="Q26" s="55"/>
      <c r="R26" s="55"/>
      <c r="S26" s="55"/>
      <c r="T26" s="55"/>
      <c r="U26" s="55"/>
      <c r="V26" s="55"/>
      <c r="W26" s="55"/>
      <c r="X26" s="55"/>
      <c r="Y26" s="55"/>
      <c r="Z26" s="55"/>
      <c r="AA26" s="55"/>
      <c r="AB26" s="59">
        <v>0</v>
      </c>
      <c r="AC26" s="59">
        <v>0.01</v>
      </c>
      <c r="AD26" s="59">
        <v>0.02</v>
      </c>
      <c r="AE26" s="59">
        <v>0.01</v>
      </c>
      <c r="AF26" s="59">
        <v>0.03</v>
      </c>
      <c r="AG26" s="59">
        <v>1.4999999999999999E-2</v>
      </c>
      <c r="AH26" s="59">
        <f t="shared" ref="AH26:AN26" si="27">AG26</f>
        <v>1.4999999999999999E-2</v>
      </c>
      <c r="AI26" s="59">
        <f t="shared" si="27"/>
        <v>1.4999999999999999E-2</v>
      </c>
      <c r="AJ26" s="59">
        <f t="shared" si="27"/>
        <v>1.4999999999999999E-2</v>
      </c>
      <c r="AK26" s="59">
        <f t="shared" si="27"/>
        <v>1.4999999999999999E-2</v>
      </c>
      <c r="AL26" s="59">
        <f t="shared" si="27"/>
        <v>1.4999999999999999E-2</v>
      </c>
      <c r="AM26" s="59">
        <f t="shared" si="27"/>
        <v>1.4999999999999999E-2</v>
      </c>
      <c r="AN26" s="59">
        <f t="shared" si="27"/>
        <v>1.4999999999999999E-2</v>
      </c>
      <c r="AO26" s="59">
        <f t="shared" ref="AO26" si="28">AN26</f>
        <v>1.4999999999999999E-2</v>
      </c>
      <c r="AP26" s="59">
        <f t="shared" ref="AP26" si="29">AO26</f>
        <v>1.4999999999999999E-2</v>
      </c>
      <c r="AQ26" s="55"/>
      <c r="AU26" s="118">
        <v>375</v>
      </c>
      <c r="AW26" s="118">
        <v>387</v>
      </c>
    </row>
    <row r="27" spans="2:56" s="6" customFormat="1" x14ac:dyDescent="0.25">
      <c r="C27" s="6" t="s">
        <v>132</v>
      </c>
      <c r="D27" s="6" t="s">
        <v>32</v>
      </c>
      <c r="E27" s="56">
        <f>E23*E25/1000</f>
        <v>139.04900000000001</v>
      </c>
      <c r="F27" s="56">
        <f t="shared" ref="F27:AL27" si="30">F23*F25/1000</f>
        <v>187.227</v>
      </c>
      <c r="G27" s="56">
        <f t="shared" si="30"/>
        <v>115.776</v>
      </c>
      <c r="H27" s="56">
        <f t="shared" si="30"/>
        <v>159.001</v>
      </c>
      <c r="I27" s="56">
        <f t="shared" si="30"/>
        <v>145.024</v>
      </c>
      <c r="J27" s="56">
        <f t="shared" si="30"/>
        <v>223.43700000000001</v>
      </c>
      <c r="K27" s="56">
        <f t="shared" si="30"/>
        <v>193.62</v>
      </c>
      <c r="L27" s="56">
        <f t="shared" si="30"/>
        <v>207.708</v>
      </c>
      <c r="M27" s="56">
        <f t="shared" si="30"/>
        <v>171.28800000000001</v>
      </c>
      <c r="N27" s="56">
        <f t="shared" si="30"/>
        <v>230.364</v>
      </c>
      <c r="O27" s="56">
        <f t="shared" si="30"/>
        <v>227.60499999999999</v>
      </c>
      <c r="P27" s="56">
        <f t="shared" si="30"/>
        <v>263.53800000000001</v>
      </c>
      <c r="Q27" s="56">
        <f t="shared" si="30"/>
        <v>248.733</v>
      </c>
      <c r="R27" s="56">
        <f t="shared" si="30"/>
        <v>270.78800000000001</v>
      </c>
      <c r="S27" s="56">
        <f t="shared" si="30"/>
        <v>135.66</v>
      </c>
      <c r="T27" s="56">
        <f t="shared" si="30"/>
        <v>313.61360000000002</v>
      </c>
      <c r="U27" s="56">
        <f t="shared" si="30"/>
        <v>148.749</v>
      </c>
      <c r="V27" s="56">
        <f t="shared" si="30"/>
        <v>200.29900000000001</v>
      </c>
      <c r="W27" s="56">
        <f t="shared" si="30"/>
        <v>228.54</v>
      </c>
      <c r="X27" s="56">
        <f t="shared" si="30"/>
        <v>202.98</v>
      </c>
      <c r="Y27" s="56">
        <f t="shared" si="30"/>
        <v>147.28800000000001</v>
      </c>
      <c r="Z27" s="56">
        <f t="shared" si="30"/>
        <v>309.63800000000003</v>
      </c>
      <c r="AA27" s="56">
        <f t="shared" si="30"/>
        <v>223.696</v>
      </c>
      <c r="AB27" s="56">
        <f t="shared" si="30"/>
        <v>273.30399999999997</v>
      </c>
      <c r="AC27" s="56">
        <f t="shared" si="30"/>
        <v>130.44200000000001</v>
      </c>
      <c r="AD27" s="56">
        <f t="shared" si="30"/>
        <v>316.18299999999999</v>
      </c>
      <c r="AE27" s="56">
        <f t="shared" si="30"/>
        <v>152.22</v>
      </c>
      <c r="AF27" s="56">
        <f t="shared" si="30"/>
        <v>484.39499999999992</v>
      </c>
      <c r="AG27" s="56">
        <f t="shared" si="30"/>
        <v>560.29</v>
      </c>
      <c r="AH27" s="56">
        <f t="shared" si="30"/>
        <v>609.72064999999986</v>
      </c>
      <c r="AI27" s="56">
        <f t="shared" si="30"/>
        <v>604.02606862499988</v>
      </c>
      <c r="AJ27" s="56">
        <f t="shared" si="30"/>
        <v>619.21732425091864</v>
      </c>
      <c r="AK27" s="56">
        <f t="shared" si="30"/>
        <v>628.50558411468228</v>
      </c>
      <c r="AL27" s="56">
        <f t="shared" si="30"/>
        <v>644.31249955516648</v>
      </c>
      <c r="AM27" s="56">
        <f>AM23*AM25/1000</f>
        <v>653.97718704849387</v>
      </c>
      <c r="AN27" s="56">
        <f>AN23*AN25/1000</f>
        <v>670.42471330276339</v>
      </c>
      <c r="AO27" s="56">
        <f>AO23*AO25/1000</f>
        <v>680.48108400230478</v>
      </c>
      <c r="AP27" s="56">
        <f>AP23*AP25/1000</f>
        <v>697.59518326496266</v>
      </c>
      <c r="AQ27" s="56"/>
    </row>
    <row r="28" spans="2:56" x14ac:dyDescent="0.25">
      <c r="C28" s="44"/>
      <c r="E28" s="54"/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54"/>
      <c r="T28" s="54"/>
      <c r="U28" s="54"/>
      <c r="V28" s="54"/>
      <c r="W28" s="54"/>
      <c r="X28" s="54"/>
      <c r="Y28" s="54"/>
      <c r="Z28" s="54"/>
      <c r="AA28" s="54"/>
      <c r="AB28" s="54"/>
      <c r="AC28" s="54"/>
      <c r="AD28" s="54"/>
      <c r="AE28" s="54"/>
      <c r="AF28" s="54"/>
      <c r="AG28" s="54"/>
      <c r="AH28" s="54"/>
      <c r="AI28" s="54"/>
      <c r="AJ28" s="54"/>
      <c r="AK28" s="54"/>
      <c r="AL28" s="54"/>
      <c r="AM28" s="54"/>
      <c r="AN28" s="54"/>
      <c r="AO28" s="54"/>
      <c r="AP28" s="54"/>
      <c r="AQ28" s="54"/>
    </row>
    <row r="29" spans="2:56" s="23" customFormat="1" x14ac:dyDescent="0.25">
      <c r="B29" s="23" t="s">
        <v>135</v>
      </c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  <c r="AB29" s="57"/>
      <c r="AC29" s="57"/>
      <c r="AD29" s="57"/>
      <c r="AE29" s="57"/>
      <c r="AF29" s="57"/>
      <c r="AG29" s="57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24"/>
      <c r="AS29" s="24"/>
      <c r="AT29" s="24"/>
      <c r="AU29" s="24"/>
      <c r="AV29" s="24"/>
      <c r="AW29" s="24"/>
      <c r="AX29" s="24"/>
      <c r="AY29" s="24"/>
      <c r="AZ29" s="24"/>
      <c r="BD29" s="25"/>
    </row>
    <row r="30" spans="2:56" x14ac:dyDescent="0.25">
      <c r="C30" t="s">
        <v>130</v>
      </c>
      <c r="E30" s="58">
        <v>847</v>
      </c>
      <c r="F30" s="58">
        <v>967</v>
      </c>
      <c r="G30" s="58">
        <v>458</v>
      </c>
      <c r="H30" s="58">
        <v>544</v>
      </c>
      <c r="I30" s="58">
        <v>503</v>
      </c>
      <c r="J30" s="58">
        <v>595</v>
      </c>
      <c r="K30" s="58">
        <v>687</v>
      </c>
      <c r="L30" s="58">
        <v>898</v>
      </c>
      <c r="M30" s="58">
        <v>789</v>
      </c>
      <c r="N30" s="58">
        <v>1110</v>
      </c>
      <c r="O30" s="58">
        <v>979</v>
      </c>
      <c r="P30" s="58">
        <v>1132</v>
      </c>
      <c r="Q30" s="58">
        <v>892</v>
      </c>
      <c r="R30" s="58">
        <v>825</v>
      </c>
      <c r="S30" s="58">
        <v>720</v>
      </c>
      <c r="T30" s="58">
        <v>717</v>
      </c>
      <c r="U30" s="58">
        <v>679</v>
      </c>
      <c r="V30" s="58">
        <v>1179</v>
      </c>
      <c r="W30" s="58">
        <v>1145</v>
      </c>
      <c r="X30" s="58">
        <v>898</v>
      </c>
      <c r="Y30" s="58">
        <v>1017</v>
      </c>
      <c r="Z30" s="58">
        <v>1370</v>
      </c>
      <c r="AA30" s="58">
        <v>733</v>
      </c>
      <c r="AB30" s="58">
        <f>2362-AA30</f>
        <v>1629</v>
      </c>
      <c r="AC30" s="58">
        <v>715</v>
      </c>
      <c r="AD30" s="58">
        <f>2476-AC30</f>
        <v>1761</v>
      </c>
      <c r="AE30" s="58">
        <v>918</v>
      </c>
      <c r="AF30" s="58">
        <f>2956-AE30</f>
        <v>2038</v>
      </c>
      <c r="AG30" s="58">
        <v>937</v>
      </c>
      <c r="AH30" s="54">
        <f>3000-AG30</f>
        <v>2063</v>
      </c>
      <c r="AI30" s="54">
        <f>AVERAGE(AG30:AH30)*(1+AI31)</f>
        <v>1575</v>
      </c>
      <c r="AJ30" s="54">
        <f t="shared" ref="AJ30:AP30" si="31">AI30*(1+AJ31)</f>
        <v>1653.75</v>
      </c>
      <c r="AK30" s="54">
        <f t="shared" si="31"/>
        <v>1653.75</v>
      </c>
      <c r="AL30" s="54">
        <f t="shared" si="31"/>
        <v>1653.75</v>
      </c>
      <c r="AM30" s="54">
        <f t="shared" si="31"/>
        <v>1653.75</v>
      </c>
      <c r="AN30" s="54">
        <f t="shared" si="31"/>
        <v>1653.75</v>
      </c>
      <c r="AO30" s="54">
        <f t="shared" si="31"/>
        <v>1653.75</v>
      </c>
      <c r="AP30" s="54">
        <f t="shared" si="31"/>
        <v>1653.75</v>
      </c>
      <c r="AQ30" s="54"/>
      <c r="AT30" s="116">
        <f>AC30</f>
        <v>715</v>
      </c>
      <c r="AU30" s="116">
        <f>AD30</f>
        <v>1761</v>
      </c>
      <c r="AV30" s="116">
        <f>AE30</f>
        <v>918</v>
      </c>
      <c r="AW30" s="116">
        <f>AF30</f>
        <v>2038</v>
      </c>
    </row>
    <row r="31" spans="2:56" s="10" customFormat="1" x14ac:dyDescent="0.25">
      <c r="C31" s="51" t="s">
        <v>27</v>
      </c>
      <c r="E31" s="55"/>
      <c r="F31" s="55"/>
      <c r="G31" s="55"/>
      <c r="H31" s="55"/>
      <c r="I31" s="55"/>
      <c r="J31" s="55"/>
      <c r="K31" s="55"/>
      <c r="L31" s="55"/>
      <c r="M31" s="55"/>
      <c r="N31" s="55"/>
      <c r="O31" s="55"/>
      <c r="P31" s="55"/>
      <c r="Q31" s="55"/>
      <c r="R31" s="55"/>
      <c r="S31" s="55"/>
      <c r="T31" s="55"/>
      <c r="U31" s="55"/>
      <c r="V31" s="55"/>
      <c r="W31" s="55"/>
      <c r="X31" s="55"/>
      <c r="Y31" s="55"/>
      <c r="Z31" s="55"/>
      <c r="AA31" s="55"/>
      <c r="AB31" s="59">
        <v>1.4999999999999999E-2</v>
      </c>
      <c r="AC31" s="59">
        <f>AB31</f>
        <v>1.4999999999999999E-2</v>
      </c>
      <c r="AD31" s="59">
        <f t="shared" ref="AD31:AL31" si="32">AC31</f>
        <v>1.4999999999999999E-2</v>
      </c>
      <c r="AE31" s="59">
        <f t="shared" si="32"/>
        <v>1.4999999999999999E-2</v>
      </c>
      <c r="AF31" s="59">
        <f t="shared" si="32"/>
        <v>1.4999999999999999E-2</v>
      </c>
      <c r="AG31" s="59">
        <v>0.05</v>
      </c>
      <c r="AH31" s="59">
        <f t="shared" si="32"/>
        <v>0.05</v>
      </c>
      <c r="AI31" s="59">
        <v>0.05</v>
      </c>
      <c r="AJ31" s="59">
        <f t="shared" si="32"/>
        <v>0.05</v>
      </c>
      <c r="AK31" s="59">
        <v>0</v>
      </c>
      <c r="AL31" s="59">
        <f t="shared" si="32"/>
        <v>0</v>
      </c>
      <c r="AM31" s="59">
        <f>AL31</f>
        <v>0</v>
      </c>
      <c r="AN31" s="59">
        <f>AM31</f>
        <v>0</v>
      </c>
      <c r="AO31" s="59">
        <f>AN31</f>
        <v>0</v>
      </c>
      <c r="AP31" s="59">
        <f>AO31</f>
        <v>0</v>
      </c>
      <c r="AQ31" s="55"/>
      <c r="AT31" s="27">
        <f>AT30/SUM(AT30:AU30)</f>
        <v>0.28877221324717284</v>
      </c>
      <c r="AU31" s="27">
        <f>1-AT31</f>
        <v>0.71122778675282716</v>
      </c>
      <c r="AV31" s="27">
        <f>AV30/SUM(AV30:AW30)</f>
        <v>0.31055480378890393</v>
      </c>
      <c r="AW31" s="27">
        <f>1-AV31</f>
        <v>0.68944519621109612</v>
      </c>
    </row>
    <row r="32" spans="2:56" x14ac:dyDescent="0.25">
      <c r="C32" t="s">
        <v>131</v>
      </c>
      <c r="D32" s="53" t="s">
        <v>137</v>
      </c>
      <c r="E32" s="58">
        <v>195</v>
      </c>
      <c r="F32" s="58">
        <v>206</v>
      </c>
      <c r="G32" s="58">
        <v>194</v>
      </c>
      <c r="H32" s="58">
        <v>194</v>
      </c>
      <c r="I32" s="58">
        <v>191</v>
      </c>
      <c r="J32" s="58">
        <v>193.86499999999998</v>
      </c>
      <c r="K32" s="58">
        <v>194</v>
      </c>
      <c r="L32" s="58">
        <v>201</v>
      </c>
      <c r="M32" s="58">
        <v>195</v>
      </c>
      <c r="N32" s="58">
        <v>206</v>
      </c>
      <c r="O32" s="58">
        <v>226</v>
      </c>
      <c r="P32" s="58">
        <v>250</v>
      </c>
      <c r="Q32" s="58">
        <v>231</v>
      </c>
      <c r="R32" s="58">
        <v>237</v>
      </c>
      <c r="S32" s="58">
        <v>287</v>
      </c>
      <c r="T32" s="58">
        <v>303</v>
      </c>
      <c r="U32" s="58">
        <v>292</v>
      </c>
      <c r="V32" s="58">
        <v>299.87955894826126</v>
      </c>
      <c r="W32" s="58">
        <v>287</v>
      </c>
      <c r="X32" s="58">
        <v>295</v>
      </c>
      <c r="Y32" s="58">
        <v>284</v>
      </c>
      <c r="Z32" s="58">
        <v>308.39270072992701</v>
      </c>
      <c r="AA32" s="58">
        <v>315</v>
      </c>
      <c r="AB32" s="58">
        <v>341.09944751381215</v>
      </c>
      <c r="AC32" s="58">
        <v>341</v>
      </c>
      <c r="AD32" s="58">
        <v>332.5638841567291</v>
      </c>
      <c r="AE32" s="58">
        <v>310</v>
      </c>
      <c r="AF32" s="58">
        <v>305.64867517173695</v>
      </c>
      <c r="AG32" s="58">
        <v>301</v>
      </c>
      <c r="AH32" s="54">
        <f t="shared" ref="AH32:AN32" si="33">AG32*(1+AH33)</f>
        <v>304.01</v>
      </c>
      <c r="AI32" s="54">
        <f t="shared" si="33"/>
        <v>307.05009999999999</v>
      </c>
      <c r="AJ32" s="54">
        <f t="shared" si="33"/>
        <v>310.12060099999997</v>
      </c>
      <c r="AK32" s="54">
        <f t="shared" si="33"/>
        <v>313.22180700999996</v>
      </c>
      <c r="AL32" s="54">
        <f t="shared" si="33"/>
        <v>316.35402508009997</v>
      </c>
      <c r="AM32" s="54">
        <f t="shared" si="33"/>
        <v>319.51756533090099</v>
      </c>
      <c r="AN32" s="54">
        <f t="shared" si="33"/>
        <v>322.71274098421003</v>
      </c>
      <c r="AO32" s="54">
        <f t="shared" ref="AO32" si="34">AN32*(1+AO33)</f>
        <v>325.93986839405216</v>
      </c>
      <c r="AP32" s="54">
        <f t="shared" ref="AP32" si="35">AO32*(1+AP33)</f>
        <v>329.19926707799266</v>
      </c>
      <c r="AQ32" s="54"/>
      <c r="AT32" s="116">
        <f>AC32</f>
        <v>341</v>
      </c>
      <c r="AU32" s="117">
        <f>(AU33-AT31*AT32)/AU31</f>
        <v>332.5638841567291</v>
      </c>
      <c r="AV32" s="116">
        <f>AE32</f>
        <v>310</v>
      </c>
      <c r="AW32" s="117">
        <f>(AW33-AV31*AV32)/AW31</f>
        <v>305.64867517173695</v>
      </c>
    </row>
    <row r="33" spans="2:56" s="10" customFormat="1" x14ac:dyDescent="0.25">
      <c r="C33" s="51" t="s">
        <v>27</v>
      </c>
      <c r="E33" s="55"/>
      <c r="F33" s="55"/>
      <c r="G33" s="55"/>
      <c r="H33" s="55"/>
      <c r="I33" s="55"/>
      <c r="J33" s="55"/>
      <c r="K33" s="55"/>
      <c r="L33" s="55"/>
      <c r="M33" s="55"/>
      <c r="N33" s="55"/>
      <c r="O33" s="55"/>
      <c r="P33" s="55"/>
      <c r="Q33" s="55"/>
      <c r="R33" s="55"/>
      <c r="S33" s="55"/>
      <c r="T33" s="55"/>
      <c r="U33" s="55"/>
      <c r="V33" s="55"/>
      <c r="W33" s="55"/>
      <c r="X33" s="55"/>
      <c r="Y33" s="55"/>
      <c r="Z33" s="55"/>
      <c r="AA33" s="55"/>
      <c r="AB33" s="59">
        <v>0</v>
      </c>
      <c r="AC33" s="59">
        <v>0.01</v>
      </c>
      <c r="AD33" s="59">
        <v>0.02</v>
      </c>
      <c r="AE33" s="59">
        <v>0.01</v>
      </c>
      <c r="AF33" s="59">
        <f t="shared" ref="AF33:AN33" si="36">AE33</f>
        <v>0.01</v>
      </c>
      <c r="AG33" s="59">
        <f t="shared" si="36"/>
        <v>0.01</v>
      </c>
      <c r="AH33" s="59">
        <f t="shared" si="36"/>
        <v>0.01</v>
      </c>
      <c r="AI33" s="59">
        <f t="shared" si="36"/>
        <v>0.01</v>
      </c>
      <c r="AJ33" s="59">
        <f t="shared" si="36"/>
        <v>0.01</v>
      </c>
      <c r="AK33" s="59">
        <f t="shared" si="36"/>
        <v>0.01</v>
      </c>
      <c r="AL33" s="59">
        <f t="shared" si="36"/>
        <v>0.01</v>
      </c>
      <c r="AM33" s="59">
        <f t="shared" si="36"/>
        <v>0.01</v>
      </c>
      <c r="AN33" s="59">
        <f t="shared" si="36"/>
        <v>0.01</v>
      </c>
      <c r="AO33" s="59">
        <f t="shared" ref="AO33" si="37">AN33</f>
        <v>0.01</v>
      </c>
      <c r="AP33" s="59">
        <f t="shared" ref="AP33" si="38">AO33</f>
        <v>0.01</v>
      </c>
      <c r="AQ33" s="55"/>
      <c r="AU33" s="118">
        <v>335</v>
      </c>
      <c r="AW33" s="118">
        <v>307</v>
      </c>
    </row>
    <row r="34" spans="2:56" s="6" customFormat="1" x14ac:dyDescent="0.25">
      <c r="C34" s="6" t="s">
        <v>132</v>
      </c>
      <c r="D34" s="6" t="s">
        <v>32</v>
      </c>
      <c r="E34" s="56">
        <f>E30*E32/1000</f>
        <v>165.16499999999999</v>
      </c>
      <c r="F34" s="56">
        <f t="shared" ref="F34:AL34" si="39">F30*F32/1000</f>
        <v>199.202</v>
      </c>
      <c r="G34" s="56">
        <f t="shared" si="39"/>
        <v>88.852000000000004</v>
      </c>
      <c r="H34" s="56">
        <f t="shared" si="39"/>
        <v>105.536</v>
      </c>
      <c r="I34" s="56">
        <f t="shared" si="39"/>
        <v>96.072999999999993</v>
      </c>
      <c r="J34" s="56">
        <f t="shared" si="39"/>
        <v>115.34967499999999</v>
      </c>
      <c r="K34" s="56">
        <f t="shared" si="39"/>
        <v>133.27799999999999</v>
      </c>
      <c r="L34" s="56">
        <f t="shared" si="39"/>
        <v>180.49799999999999</v>
      </c>
      <c r="M34" s="56">
        <f t="shared" si="39"/>
        <v>153.85499999999999</v>
      </c>
      <c r="N34" s="56">
        <f t="shared" si="39"/>
        <v>228.66</v>
      </c>
      <c r="O34" s="56">
        <f t="shared" si="39"/>
        <v>221.25399999999999</v>
      </c>
      <c r="P34" s="56">
        <f t="shared" si="39"/>
        <v>283</v>
      </c>
      <c r="Q34" s="56">
        <f t="shared" si="39"/>
        <v>206.05199999999999</v>
      </c>
      <c r="R34" s="56">
        <f t="shared" si="39"/>
        <v>195.52500000000001</v>
      </c>
      <c r="S34" s="56">
        <f t="shared" si="39"/>
        <v>206.64</v>
      </c>
      <c r="T34" s="56">
        <f t="shared" si="39"/>
        <v>217.251</v>
      </c>
      <c r="U34" s="56">
        <f t="shared" si="39"/>
        <v>198.268</v>
      </c>
      <c r="V34" s="56">
        <f t="shared" si="39"/>
        <v>353.55799999999999</v>
      </c>
      <c r="W34" s="56">
        <f t="shared" si="39"/>
        <v>328.61500000000001</v>
      </c>
      <c r="X34" s="56">
        <f t="shared" si="39"/>
        <v>264.91000000000003</v>
      </c>
      <c r="Y34" s="56">
        <f t="shared" si="39"/>
        <v>288.82799999999997</v>
      </c>
      <c r="Z34" s="56">
        <f t="shared" si="39"/>
        <v>422.49799999999999</v>
      </c>
      <c r="AA34" s="56">
        <f t="shared" si="39"/>
        <v>230.89500000000001</v>
      </c>
      <c r="AB34" s="56">
        <f t="shared" si="39"/>
        <v>555.65099999999995</v>
      </c>
      <c r="AC34" s="56">
        <f t="shared" si="39"/>
        <v>243.815</v>
      </c>
      <c r="AD34" s="56">
        <f t="shared" si="39"/>
        <v>585.64499999999998</v>
      </c>
      <c r="AE34" s="56">
        <f t="shared" si="39"/>
        <v>284.58</v>
      </c>
      <c r="AF34" s="56">
        <f t="shared" si="39"/>
        <v>622.91199999999992</v>
      </c>
      <c r="AG34" s="56">
        <f t="shared" si="39"/>
        <v>282.03699999999998</v>
      </c>
      <c r="AH34" s="56">
        <f t="shared" si="39"/>
        <v>627.17263000000003</v>
      </c>
      <c r="AI34" s="56">
        <f t="shared" si="39"/>
        <v>483.60390749999999</v>
      </c>
      <c r="AJ34" s="56">
        <f t="shared" si="39"/>
        <v>512.86194390374988</v>
      </c>
      <c r="AK34" s="56">
        <f t="shared" si="39"/>
        <v>517.99056334278748</v>
      </c>
      <c r="AL34" s="56">
        <f t="shared" si="39"/>
        <v>523.17046897621537</v>
      </c>
      <c r="AM34" s="56">
        <f>AM30*AM32/1000</f>
        <v>528.40217366597756</v>
      </c>
      <c r="AN34" s="56">
        <f>AN30*AN32/1000</f>
        <v>533.6861954026374</v>
      </c>
      <c r="AO34" s="56">
        <f>AO30*AO32/1000</f>
        <v>539.0230573566638</v>
      </c>
      <c r="AP34" s="56">
        <f>AP30*AP32/1000</f>
        <v>544.41328793023035</v>
      </c>
      <c r="AQ34" s="56"/>
    </row>
    <row r="35" spans="2:56" x14ac:dyDescent="0.25">
      <c r="C35" s="44"/>
      <c r="E35" s="54"/>
      <c r="F35" s="54"/>
      <c r="G35" s="54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4"/>
      <c r="T35" s="54"/>
      <c r="U35" s="54"/>
      <c r="V35" s="54"/>
      <c r="W35" s="54"/>
      <c r="X35" s="54"/>
      <c r="Y35" s="54"/>
      <c r="Z35" s="54"/>
      <c r="AA35" s="54"/>
      <c r="AB35" s="54"/>
      <c r="AC35" s="54"/>
      <c r="AD35" s="54"/>
      <c r="AE35" s="54"/>
      <c r="AF35" s="54"/>
      <c r="AG35" s="54"/>
      <c r="AH35" s="54"/>
      <c r="AI35" s="54"/>
      <c r="AJ35" s="54"/>
      <c r="AK35" s="54"/>
      <c r="AL35" s="54"/>
      <c r="AM35" s="54"/>
      <c r="AN35" s="54"/>
      <c r="AO35" s="54"/>
      <c r="AP35" s="54"/>
      <c r="AQ35" s="54"/>
    </row>
    <row r="36" spans="2:56" s="23" customFormat="1" x14ac:dyDescent="0.25">
      <c r="B36" s="23" t="s">
        <v>134</v>
      </c>
      <c r="E36" s="57"/>
      <c r="F36" s="57"/>
      <c r="G36" s="57"/>
      <c r="H36" s="57"/>
      <c r="I36" s="57"/>
      <c r="J36" s="57"/>
      <c r="K36" s="57"/>
      <c r="L36" s="57"/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  <c r="Z36" s="57"/>
      <c r="AA36" s="57"/>
      <c r="AB36" s="57"/>
      <c r="AC36" s="57"/>
      <c r="AD36" s="57"/>
      <c r="AE36" s="57"/>
      <c r="AF36" s="57"/>
      <c r="AG36" s="57"/>
      <c r="AH36" s="57"/>
      <c r="AI36" s="57"/>
      <c r="AJ36" s="57"/>
      <c r="AK36" s="57"/>
      <c r="AL36" s="57"/>
      <c r="AM36" s="57"/>
      <c r="AN36" s="57"/>
      <c r="AO36" s="57"/>
      <c r="AP36" s="57"/>
      <c r="AQ36" s="57"/>
      <c r="AR36" s="24"/>
      <c r="AS36" s="24"/>
      <c r="AT36" s="24"/>
      <c r="AU36" s="24"/>
      <c r="AV36" s="24"/>
      <c r="AW36" s="24"/>
      <c r="AX36" s="24"/>
      <c r="AY36" s="24"/>
      <c r="AZ36" s="24"/>
      <c r="BD36" s="25"/>
    </row>
    <row r="37" spans="2:56" x14ac:dyDescent="0.25">
      <c r="C37" t="s">
        <v>130</v>
      </c>
      <c r="E37" s="58">
        <v>454</v>
      </c>
      <c r="F37" s="58">
        <v>582</v>
      </c>
      <c r="G37" s="58">
        <v>594</v>
      </c>
      <c r="H37" s="58">
        <v>855</v>
      </c>
      <c r="I37" s="58">
        <v>796</v>
      </c>
      <c r="J37" s="58">
        <v>964</v>
      </c>
      <c r="K37" s="58">
        <v>925</v>
      </c>
      <c r="L37" s="58">
        <v>690</v>
      </c>
      <c r="M37" s="58">
        <v>717</v>
      </c>
      <c r="N37" s="58">
        <v>780</v>
      </c>
      <c r="O37" s="58">
        <v>580</v>
      </c>
      <c r="P37" s="58">
        <v>524</v>
      </c>
      <c r="Q37" s="58">
        <v>522</v>
      </c>
      <c r="R37" s="58">
        <v>437</v>
      </c>
      <c r="S37" s="58">
        <v>342</v>
      </c>
      <c r="T37" s="58">
        <v>418</v>
      </c>
      <c r="U37" s="58">
        <v>346</v>
      </c>
      <c r="V37" s="58">
        <v>301</v>
      </c>
      <c r="W37" s="58">
        <v>679</v>
      </c>
      <c r="X37" s="58">
        <v>588</v>
      </c>
      <c r="Y37" s="58">
        <v>325</v>
      </c>
      <c r="Z37" s="58">
        <v>270</v>
      </c>
      <c r="AA37" s="58">
        <v>220</v>
      </c>
      <c r="AB37" s="58">
        <f>479-AA37</f>
        <v>259</v>
      </c>
      <c r="AC37" s="58">
        <v>305</v>
      </c>
      <c r="AD37" s="58">
        <f>716-AC37</f>
        <v>411</v>
      </c>
      <c r="AE37" s="58">
        <v>476</v>
      </c>
      <c r="AF37" s="58">
        <f>995-AE37</f>
        <v>519</v>
      </c>
      <c r="AG37" s="58">
        <v>509</v>
      </c>
      <c r="AH37" s="54">
        <f>1000-AG37</f>
        <v>491</v>
      </c>
      <c r="AI37" s="54">
        <f>AVERAGE(AG37:AH37)*(1+AI38)</f>
        <v>505</v>
      </c>
      <c r="AJ37" s="54">
        <f t="shared" ref="AJ37:AN37" si="40">AI37*(1+AJ38)</f>
        <v>510.05</v>
      </c>
      <c r="AK37" s="54">
        <f t="shared" si="40"/>
        <v>515.15049999999997</v>
      </c>
      <c r="AL37" s="54">
        <f t="shared" si="40"/>
        <v>520.30200500000001</v>
      </c>
      <c r="AM37" s="54">
        <f t="shared" si="40"/>
        <v>525.50502504999997</v>
      </c>
      <c r="AN37" s="54">
        <f t="shared" si="40"/>
        <v>530.76007530049992</v>
      </c>
      <c r="AO37" s="54">
        <f t="shared" ref="AO37" si="41">AN37*(1+AO38)</f>
        <v>536.0676760535049</v>
      </c>
      <c r="AP37" s="54">
        <f t="shared" ref="AP37" si="42">AO37*(1+AP38)</f>
        <v>541.42835281403995</v>
      </c>
      <c r="AQ37" s="54"/>
      <c r="AT37" s="116">
        <f>AC37</f>
        <v>305</v>
      </c>
      <c r="AU37" s="116">
        <f>AD37</f>
        <v>411</v>
      </c>
      <c r="AV37" s="116">
        <f>AE37</f>
        <v>476</v>
      </c>
      <c r="AW37" s="116">
        <f>AF37</f>
        <v>519</v>
      </c>
    </row>
    <row r="38" spans="2:56" s="10" customFormat="1" x14ac:dyDescent="0.25">
      <c r="C38" s="51" t="s">
        <v>27</v>
      </c>
      <c r="E38" s="55"/>
      <c r="F38" s="55"/>
      <c r="G38" s="55"/>
      <c r="H38" s="55"/>
      <c r="I38" s="55"/>
      <c r="J38" s="55"/>
      <c r="K38" s="55"/>
      <c r="L38" s="55"/>
      <c r="M38" s="55"/>
      <c r="N38" s="55"/>
      <c r="O38" s="55"/>
      <c r="P38" s="55"/>
      <c r="Q38" s="55"/>
      <c r="R38" s="55"/>
      <c r="S38" s="55"/>
      <c r="T38" s="55"/>
      <c r="U38" s="55"/>
      <c r="V38" s="55"/>
      <c r="W38" s="55"/>
      <c r="X38" s="55"/>
      <c r="Y38" s="55"/>
      <c r="Z38" s="55"/>
      <c r="AA38" s="55"/>
      <c r="AB38" s="59">
        <v>1.4999999999999999E-2</v>
      </c>
      <c r="AC38" s="59">
        <f>AB38</f>
        <v>1.4999999999999999E-2</v>
      </c>
      <c r="AD38" s="59">
        <f t="shared" ref="AD38:AL38" si="43">AC38</f>
        <v>1.4999999999999999E-2</v>
      </c>
      <c r="AE38" s="59">
        <f t="shared" si="43"/>
        <v>1.4999999999999999E-2</v>
      </c>
      <c r="AF38" s="59">
        <f t="shared" si="43"/>
        <v>1.4999999999999999E-2</v>
      </c>
      <c r="AG38" s="59">
        <v>0.05</v>
      </c>
      <c r="AH38" s="59">
        <f t="shared" si="43"/>
        <v>0.05</v>
      </c>
      <c r="AI38" s="59">
        <v>0.01</v>
      </c>
      <c r="AJ38" s="59">
        <f t="shared" si="43"/>
        <v>0.01</v>
      </c>
      <c r="AK38" s="59">
        <f t="shared" si="43"/>
        <v>0.01</v>
      </c>
      <c r="AL38" s="59">
        <f t="shared" si="43"/>
        <v>0.01</v>
      </c>
      <c r="AM38" s="59">
        <f>AL38</f>
        <v>0.01</v>
      </c>
      <c r="AN38" s="59">
        <f>AM38</f>
        <v>0.01</v>
      </c>
      <c r="AO38" s="59">
        <f>AN38</f>
        <v>0.01</v>
      </c>
      <c r="AP38" s="59">
        <f>AO38</f>
        <v>0.01</v>
      </c>
      <c r="AQ38" s="55"/>
      <c r="AT38" s="27">
        <f>AT37/SUM(AT37:AU37)</f>
        <v>0.42597765363128492</v>
      </c>
      <c r="AU38" s="27">
        <f>1-AT38</f>
        <v>0.57402234636871508</v>
      </c>
      <c r="AV38" s="27">
        <f>AV37/SUM(AV37:AW37)</f>
        <v>0.47839195979899496</v>
      </c>
      <c r="AW38" s="27">
        <f>1-AV38</f>
        <v>0.52160804020100504</v>
      </c>
    </row>
    <row r="39" spans="2:56" x14ac:dyDescent="0.25">
      <c r="C39" t="s">
        <v>131</v>
      </c>
      <c r="D39" s="53" t="s">
        <v>137</v>
      </c>
      <c r="E39" s="58">
        <v>227</v>
      </c>
      <c r="F39" s="58">
        <v>206</v>
      </c>
      <c r="G39" s="58">
        <v>229</v>
      </c>
      <c r="H39" s="58">
        <v>222</v>
      </c>
      <c r="I39" s="58">
        <v>223</v>
      </c>
      <c r="J39" s="58">
        <v>228</v>
      </c>
      <c r="K39" s="58">
        <v>230</v>
      </c>
      <c r="L39" s="58">
        <v>249</v>
      </c>
      <c r="M39" s="58">
        <v>237</v>
      </c>
      <c r="N39" s="58">
        <v>237</v>
      </c>
      <c r="O39" s="58">
        <v>212</v>
      </c>
      <c r="P39" s="58">
        <v>215</v>
      </c>
      <c r="Q39" s="58">
        <v>225</v>
      </c>
      <c r="R39" s="58">
        <v>220</v>
      </c>
      <c r="S39" s="58">
        <v>220</v>
      </c>
      <c r="T39" s="58">
        <v>207.3</v>
      </c>
      <c r="U39" s="58">
        <v>208</v>
      </c>
      <c r="V39" s="58">
        <v>205.85049833887044</v>
      </c>
      <c r="W39" s="58">
        <v>215</v>
      </c>
      <c r="X39" s="58">
        <v>205</v>
      </c>
      <c r="Y39" s="58">
        <v>206</v>
      </c>
      <c r="Z39" s="58">
        <v>210.40740740740739</v>
      </c>
      <c r="AA39" s="58">
        <v>209</v>
      </c>
      <c r="AB39" s="58">
        <v>223.79536679536679</v>
      </c>
      <c r="AC39" s="58">
        <v>234</v>
      </c>
      <c r="AD39" s="58">
        <v>258.38929440389296</v>
      </c>
      <c r="AE39" s="58">
        <v>294</v>
      </c>
      <c r="AF39" s="58">
        <v>340.01156069364163</v>
      </c>
      <c r="AG39" s="58">
        <v>354</v>
      </c>
      <c r="AH39" s="54">
        <f t="shared" ref="AH39:AN39" si="44">AG39*(1+AH40)</f>
        <v>357.54</v>
      </c>
      <c r="AI39" s="54">
        <f t="shared" si="44"/>
        <v>361.11540000000002</v>
      </c>
      <c r="AJ39" s="54">
        <f t="shared" si="44"/>
        <v>364.72655400000002</v>
      </c>
      <c r="AK39" s="54">
        <f t="shared" si="44"/>
        <v>368.37381954</v>
      </c>
      <c r="AL39" s="54">
        <f t="shared" si="44"/>
        <v>372.0575577354</v>
      </c>
      <c r="AM39" s="54">
        <f t="shared" si="44"/>
        <v>375.77813331275399</v>
      </c>
      <c r="AN39" s="54">
        <f t="shared" si="44"/>
        <v>379.53591464588152</v>
      </c>
      <c r="AO39" s="54">
        <f t="shared" ref="AO39" si="45">AN39*(1+AO40)</f>
        <v>383.33127379234031</v>
      </c>
      <c r="AP39" s="54">
        <f t="shared" ref="AP39" si="46">AO39*(1+AP40)</f>
        <v>387.1645865302637</v>
      </c>
      <c r="AQ39" s="54"/>
      <c r="AT39" s="116">
        <f>AC39</f>
        <v>234</v>
      </c>
      <c r="AU39" s="117">
        <f>(AU40-AT38*AT39)/AU38</f>
        <v>258.38929440389296</v>
      </c>
      <c r="AV39" s="116">
        <f>AE39</f>
        <v>294</v>
      </c>
      <c r="AW39" s="117">
        <f>(AW40-AV38*AV39)/AW38</f>
        <v>340.01156069364163</v>
      </c>
    </row>
    <row r="40" spans="2:56" s="10" customFormat="1" x14ac:dyDescent="0.25">
      <c r="C40" s="51" t="s">
        <v>27</v>
      </c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9">
        <v>0</v>
      </c>
      <c r="AC40" s="59">
        <v>0.01</v>
      </c>
      <c r="AD40" s="59">
        <v>0.02</v>
      </c>
      <c r="AE40" s="59">
        <v>0.05</v>
      </c>
      <c r="AF40" s="59">
        <v>0.01</v>
      </c>
      <c r="AG40" s="59">
        <v>0.01</v>
      </c>
      <c r="AH40" s="59">
        <f t="shared" ref="AH40:AN40" si="47">AG40</f>
        <v>0.01</v>
      </c>
      <c r="AI40" s="59">
        <f t="shared" si="47"/>
        <v>0.01</v>
      </c>
      <c r="AJ40" s="59">
        <f t="shared" si="47"/>
        <v>0.01</v>
      </c>
      <c r="AK40" s="59">
        <f t="shared" si="47"/>
        <v>0.01</v>
      </c>
      <c r="AL40" s="59">
        <f t="shared" si="47"/>
        <v>0.01</v>
      </c>
      <c r="AM40" s="59">
        <f t="shared" si="47"/>
        <v>0.01</v>
      </c>
      <c r="AN40" s="59">
        <f t="shared" si="47"/>
        <v>0.01</v>
      </c>
      <c r="AO40" s="59">
        <f t="shared" ref="AO40" si="48">AN40</f>
        <v>0.01</v>
      </c>
      <c r="AP40" s="59">
        <f t="shared" ref="AP40" si="49">AO40</f>
        <v>0.01</v>
      </c>
      <c r="AQ40" s="55"/>
      <c r="AU40" s="118">
        <v>248</v>
      </c>
      <c r="AW40" s="118">
        <v>318</v>
      </c>
    </row>
    <row r="41" spans="2:56" s="6" customFormat="1" x14ac:dyDescent="0.25">
      <c r="C41" s="6" t="s">
        <v>132</v>
      </c>
      <c r="D41" s="6" t="s">
        <v>32</v>
      </c>
      <c r="E41" s="56">
        <f>E37*E39/1000</f>
        <v>103.05800000000001</v>
      </c>
      <c r="F41" s="56">
        <f t="shared" ref="F41:AL41" si="50">F37*F39/1000</f>
        <v>119.892</v>
      </c>
      <c r="G41" s="56">
        <f t="shared" si="50"/>
        <v>136.02600000000001</v>
      </c>
      <c r="H41" s="56">
        <f t="shared" si="50"/>
        <v>189.81</v>
      </c>
      <c r="I41" s="56">
        <f t="shared" si="50"/>
        <v>177.50800000000001</v>
      </c>
      <c r="J41" s="56">
        <f t="shared" si="50"/>
        <v>219.792</v>
      </c>
      <c r="K41" s="56">
        <f t="shared" si="50"/>
        <v>212.75</v>
      </c>
      <c r="L41" s="56">
        <f t="shared" si="50"/>
        <v>171.81</v>
      </c>
      <c r="M41" s="56">
        <f t="shared" si="50"/>
        <v>169.929</v>
      </c>
      <c r="N41" s="56">
        <f t="shared" si="50"/>
        <v>184.86</v>
      </c>
      <c r="O41" s="56">
        <f t="shared" si="50"/>
        <v>122.96</v>
      </c>
      <c r="P41" s="56">
        <f t="shared" si="50"/>
        <v>112.66</v>
      </c>
      <c r="Q41" s="56">
        <f t="shared" si="50"/>
        <v>117.45</v>
      </c>
      <c r="R41" s="56">
        <f t="shared" si="50"/>
        <v>96.14</v>
      </c>
      <c r="S41" s="56">
        <f t="shared" si="50"/>
        <v>75.239999999999995</v>
      </c>
      <c r="T41" s="56">
        <f t="shared" si="50"/>
        <v>86.65140000000001</v>
      </c>
      <c r="U41" s="56">
        <f t="shared" si="50"/>
        <v>71.968000000000004</v>
      </c>
      <c r="V41" s="56">
        <f t="shared" si="50"/>
        <v>61.960999999999999</v>
      </c>
      <c r="W41" s="56">
        <f t="shared" si="50"/>
        <v>145.98500000000001</v>
      </c>
      <c r="X41" s="56">
        <f t="shared" si="50"/>
        <v>120.54</v>
      </c>
      <c r="Y41" s="56">
        <f t="shared" si="50"/>
        <v>66.95</v>
      </c>
      <c r="Z41" s="56">
        <f t="shared" si="50"/>
        <v>56.809999999999995</v>
      </c>
      <c r="AA41" s="56">
        <f t="shared" si="50"/>
        <v>45.98</v>
      </c>
      <c r="AB41" s="56">
        <f t="shared" si="50"/>
        <v>57.963000000000001</v>
      </c>
      <c r="AC41" s="56">
        <f t="shared" si="50"/>
        <v>71.37</v>
      </c>
      <c r="AD41" s="56">
        <f t="shared" si="50"/>
        <v>106.19799999999999</v>
      </c>
      <c r="AE41" s="56">
        <f t="shared" si="50"/>
        <v>139.94399999999999</v>
      </c>
      <c r="AF41" s="56">
        <f t="shared" si="50"/>
        <v>176.46600000000001</v>
      </c>
      <c r="AG41" s="56">
        <f t="shared" si="50"/>
        <v>180.18600000000001</v>
      </c>
      <c r="AH41" s="56">
        <f t="shared" si="50"/>
        <v>175.55214000000001</v>
      </c>
      <c r="AI41" s="56">
        <f t="shared" si="50"/>
        <v>182.36327700000001</v>
      </c>
      <c r="AJ41" s="56">
        <f t="shared" si="50"/>
        <v>186.02877886770003</v>
      </c>
      <c r="AK41" s="56">
        <f t="shared" si="50"/>
        <v>189.76795732294076</v>
      </c>
      <c r="AL41" s="56">
        <f t="shared" si="50"/>
        <v>193.58229326513188</v>
      </c>
      <c r="AM41" s="56">
        <f>AM37*AM39/1000</f>
        <v>197.47329735976103</v>
      </c>
      <c r="AN41" s="56">
        <f>AN37*AN39/1000</f>
        <v>201.44251063669219</v>
      </c>
      <c r="AO41" s="56">
        <f>AO37*AO39/1000</f>
        <v>205.49150510048969</v>
      </c>
      <c r="AP41" s="56">
        <f>AP37*AP39/1000</f>
        <v>209.62188435300951</v>
      </c>
      <c r="AQ41" s="56"/>
    </row>
    <row r="42" spans="2:56" x14ac:dyDescent="0.25">
      <c r="C42" s="44"/>
      <c r="E42" s="54"/>
      <c r="F42" s="54"/>
      <c r="G42" s="54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4"/>
      <c r="Y42" s="54"/>
      <c r="Z42" s="54"/>
      <c r="AA42" s="54"/>
      <c r="AB42" s="54"/>
      <c r="AC42" s="54"/>
      <c r="AD42" s="54"/>
      <c r="AE42" s="54"/>
      <c r="AF42" s="54"/>
      <c r="AG42" s="54"/>
      <c r="AH42" s="54"/>
      <c r="AI42" s="54"/>
      <c r="AJ42" s="54"/>
      <c r="AK42" s="54"/>
      <c r="AL42" s="54"/>
      <c r="AM42" s="54"/>
      <c r="AN42" s="54"/>
      <c r="AO42" s="54"/>
      <c r="AP42" s="54"/>
      <c r="AQ42" s="54"/>
    </row>
    <row r="43" spans="2:56" s="23" customFormat="1" x14ac:dyDescent="0.25">
      <c r="B43" s="23" t="s">
        <v>133</v>
      </c>
      <c r="E43" s="57"/>
      <c r="F43" s="57"/>
      <c r="G43" s="57"/>
      <c r="H43" s="57"/>
      <c r="I43" s="57"/>
      <c r="J43" s="57"/>
      <c r="K43" s="57"/>
      <c r="L43" s="57"/>
      <c r="M43" s="57"/>
      <c r="N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57"/>
      <c r="AB43" s="57"/>
      <c r="AC43" s="57"/>
      <c r="AD43" s="57"/>
      <c r="AE43" s="57"/>
      <c r="AF43" s="57"/>
      <c r="AG43" s="57"/>
      <c r="AH43" s="57"/>
      <c r="AI43" s="57"/>
      <c r="AJ43" s="57"/>
      <c r="AK43" s="57"/>
      <c r="AL43" s="57"/>
      <c r="AM43" s="57"/>
      <c r="AN43" s="57"/>
      <c r="AO43" s="57"/>
      <c r="AP43" s="57"/>
      <c r="AQ43" s="57"/>
      <c r="AR43" s="24"/>
      <c r="AS43" s="24"/>
      <c r="AT43" s="24"/>
      <c r="AU43" s="24"/>
      <c r="AV43" s="24"/>
      <c r="AW43" s="24"/>
      <c r="AX43" s="24"/>
      <c r="AY43" s="24"/>
      <c r="AZ43" s="24"/>
      <c r="BD43" s="25"/>
    </row>
    <row r="44" spans="2:56" x14ac:dyDescent="0.25">
      <c r="C44" t="s">
        <v>130</v>
      </c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8">
        <v>150</v>
      </c>
      <c r="R44" s="58">
        <v>207</v>
      </c>
      <c r="S44" s="58">
        <v>222</v>
      </c>
      <c r="T44" s="58">
        <v>248</v>
      </c>
      <c r="U44" s="58">
        <v>266</v>
      </c>
      <c r="V44" s="58">
        <v>341</v>
      </c>
      <c r="W44" s="58">
        <v>201</v>
      </c>
      <c r="X44" s="58">
        <v>294</v>
      </c>
      <c r="Y44" s="58">
        <v>217</v>
      </c>
      <c r="Z44" s="58">
        <v>234</v>
      </c>
      <c r="AA44" s="58">
        <v>113</v>
      </c>
      <c r="AB44" s="58">
        <f>377-AA44</f>
        <v>264</v>
      </c>
      <c r="AC44" s="58">
        <v>100</v>
      </c>
      <c r="AD44" s="58">
        <f>337-AC44</f>
        <v>237</v>
      </c>
      <c r="AE44" s="58">
        <v>47</v>
      </c>
      <c r="AF44" s="58">
        <f>153-AE44</f>
        <v>106</v>
      </c>
      <c r="AG44" s="58">
        <v>34</v>
      </c>
      <c r="AH44" s="54">
        <v>75</v>
      </c>
      <c r="AI44" s="54">
        <f>AVERAGE(AG44:AH44)*(1+AI45)</f>
        <v>55.045000000000002</v>
      </c>
      <c r="AJ44" s="54">
        <f t="shared" ref="AJ44:AN44" si="51">AI44*(1+AJ45)</f>
        <v>55.59545</v>
      </c>
      <c r="AK44" s="54">
        <f t="shared" si="51"/>
        <v>56.151404499999998</v>
      </c>
      <c r="AL44" s="54">
        <f t="shared" si="51"/>
        <v>56.712918545000001</v>
      </c>
      <c r="AM44" s="54">
        <f t="shared" si="51"/>
        <v>57.280047730450001</v>
      </c>
      <c r="AN44" s="54">
        <f t="shared" si="51"/>
        <v>57.852848207754498</v>
      </c>
      <c r="AO44" s="54">
        <f t="shared" ref="AO44" si="52">AN44*(1+AO45)</f>
        <v>58.431376689832042</v>
      </c>
      <c r="AP44" s="54">
        <f t="shared" ref="AP44" si="53">AO44*(1+AP45)</f>
        <v>59.015690456730361</v>
      </c>
      <c r="AQ44" s="54"/>
      <c r="AT44" s="116">
        <f>AC44</f>
        <v>100</v>
      </c>
      <c r="AU44" s="116">
        <f>AD44</f>
        <v>237</v>
      </c>
      <c r="AV44" s="116">
        <f>AE44</f>
        <v>47</v>
      </c>
      <c r="AW44" s="116">
        <f>AF44</f>
        <v>106</v>
      </c>
    </row>
    <row r="45" spans="2:56" s="10" customFormat="1" x14ac:dyDescent="0.25">
      <c r="C45" s="51" t="s">
        <v>27</v>
      </c>
      <c r="E45" s="55"/>
      <c r="F45" s="55"/>
      <c r="G45" s="55"/>
      <c r="H45" s="55"/>
      <c r="I45" s="55"/>
      <c r="J45" s="55"/>
      <c r="K45" s="55"/>
      <c r="L45" s="55"/>
      <c r="M45" s="55"/>
      <c r="N45" s="55"/>
      <c r="O45" s="55"/>
      <c r="P45" s="55"/>
      <c r="Q45" s="55"/>
      <c r="R45" s="55"/>
      <c r="S45" s="55"/>
      <c r="T45" s="55"/>
      <c r="U45" s="55"/>
      <c r="V45" s="55"/>
      <c r="W45" s="55"/>
      <c r="X45" s="55"/>
      <c r="Y45" s="55"/>
      <c r="Z45" s="55"/>
      <c r="AA45" s="55"/>
      <c r="AB45" s="59">
        <v>1.4999999999999999E-2</v>
      </c>
      <c r="AC45" s="59">
        <f>AB45</f>
        <v>1.4999999999999999E-2</v>
      </c>
      <c r="AD45" s="59">
        <f t="shared" ref="AD45:AL45" si="54">AC45</f>
        <v>1.4999999999999999E-2</v>
      </c>
      <c r="AE45" s="59">
        <f t="shared" si="54"/>
        <v>1.4999999999999999E-2</v>
      </c>
      <c r="AF45" s="59">
        <f t="shared" si="54"/>
        <v>1.4999999999999999E-2</v>
      </c>
      <c r="AG45" s="59">
        <v>0.05</v>
      </c>
      <c r="AH45" s="59">
        <f t="shared" si="54"/>
        <v>0.05</v>
      </c>
      <c r="AI45" s="59">
        <v>0.01</v>
      </c>
      <c r="AJ45" s="59">
        <f t="shared" si="54"/>
        <v>0.01</v>
      </c>
      <c r="AK45" s="59">
        <f t="shared" si="54"/>
        <v>0.01</v>
      </c>
      <c r="AL45" s="59">
        <f t="shared" si="54"/>
        <v>0.01</v>
      </c>
      <c r="AM45" s="59">
        <f>AL45</f>
        <v>0.01</v>
      </c>
      <c r="AN45" s="59">
        <f>AM45</f>
        <v>0.01</v>
      </c>
      <c r="AO45" s="59">
        <f>AN45</f>
        <v>0.01</v>
      </c>
      <c r="AP45" s="59">
        <f>AO45</f>
        <v>0.01</v>
      </c>
      <c r="AQ45" s="55"/>
      <c r="AT45" s="27">
        <f>AT44/SUM(AT44:AU44)</f>
        <v>0.29673590504451036</v>
      </c>
      <c r="AU45" s="27">
        <f>1-AT45</f>
        <v>0.70326409495548958</v>
      </c>
      <c r="AV45" s="27">
        <f>AV44/SUM(AV44:AW44)</f>
        <v>0.30718954248366015</v>
      </c>
      <c r="AW45" s="27">
        <f>1-AV45</f>
        <v>0.69281045751633985</v>
      </c>
    </row>
    <row r="46" spans="2:56" x14ac:dyDescent="0.25">
      <c r="C46" t="s">
        <v>131</v>
      </c>
      <c r="D46" s="53" t="s">
        <v>137</v>
      </c>
      <c r="E46" s="54"/>
      <c r="F46" s="54"/>
      <c r="G46" s="54"/>
      <c r="H46" s="54"/>
      <c r="I46" s="54"/>
      <c r="J46" s="54"/>
      <c r="K46" s="54"/>
      <c r="L46" s="54"/>
      <c r="M46" s="54"/>
      <c r="N46" s="54"/>
      <c r="O46" s="54"/>
      <c r="P46" s="54"/>
      <c r="Q46" s="58">
        <v>610</v>
      </c>
      <c r="R46" s="58">
        <v>596</v>
      </c>
      <c r="S46" s="58">
        <v>590</v>
      </c>
      <c r="T46" s="58">
        <v>663.92499999999995</v>
      </c>
      <c r="U46" s="58">
        <v>593</v>
      </c>
      <c r="V46" s="58">
        <v>635.72140762463346</v>
      </c>
      <c r="W46" s="58">
        <v>573</v>
      </c>
      <c r="X46" s="58">
        <v>650</v>
      </c>
      <c r="Y46" s="58">
        <v>595</v>
      </c>
      <c r="Z46" s="58">
        <v>664.38461538461547</v>
      </c>
      <c r="AA46" s="58">
        <v>851</v>
      </c>
      <c r="AB46" s="58">
        <v>852.42803030303025</v>
      </c>
      <c r="AC46" s="58">
        <v>832</v>
      </c>
      <c r="AD46" s="58">
        <v>988.41350210970461</v>
      </c>
      <c r="AE46" s="58">
        <v>1281</v>
      </c>
      <c r="AF46" s="58">
        <v>885.50943396226421</v>
      </c>
      <c r="AG46" s="58">
        <v>1028</v>
      </c>
      <c r="AH46" s="54">
        <f t="shared" ref="AH46:AN46" si="55">AG46*(1+AH47)</f>
        <v>1038.28</v>
      </c>
      <c r="AI46" s="54">
        <f t="shared" si="55"/>
        <v>1048.6628000000001</v>
      </c>
      <c r="AJ46" s="54">
        <f t="shared" si="55"/>
        <v>1059.1494280000002</v>
      </c>
      <c r="AK46" s="54">
        <f t="shared" si="55"/>
        <v>1069.7409222800002</v>
      </c>
      <c r="AL46" s="54">
        <f t="shared" si="55"/>
        <v>1080.4383315028001</v>
      </c>
      <c r="AM46" s="54">
        <f t="shared" si="55"/>
        <v>1091.2427148178281</v>
      </c>
      <c r="AN46" s="54">
        <f t="shared" si="55"/>
        <v>1102.1551419660063</v>
      </c>
      <c r="AO46" s="54">
        <f t="shared" ref="AO46" si="56">AN46*(1+AO47)</f>
        <v>1113.1766933856663</v>
      </c>
      <c r="AP46" s="54">
        <f t="shared" ref="AP46" si="57">AO46*(1+AP47)</f>
        <v>1124.308460319523</v>
      </c>
      <c r="AQ46" s="54"/>
      <c r="AT46" s="116">
        <f>AC46</f>
        <v>832</v>
      </c>
      <c r="AU46" s="117">
        <f>(AU47-AT45*AT46)/AU45</f>
        <v>988.41350210970461</v>
      </c>
      <c r="AV46" s="116">
        <f>AE46</f>
        <v>1281</v>
      </c>
      <c r="AW46" s="117">
        <f>(AW47-AV45*AV46)/AW45</f>
        <v>885.50943396226421</v>
      </c>
    </row>
    <row r="47" spans="2:56" s="10" customFormat="1" x14ac:dyDescent="0.25">
      <c r="C47" s="51" t="s">
        <v>27</v>
      </c>
      <c r="E47" s="55"/>
      <c r="F47" s="55"/>
      <c r="G47" s="55"/>
      <c r="H47" s="55"/>
      <c r="I47" s="55"/>
      <c r="J47" s="55"/>
      <c r="K47" s="55"/>
      <c r="L47" s="55"/>
      <c r="M47" s="55"/>
      <c r="N47" s="55"/>
      <c r="O47" s="55"/>
      <c r="P47" s="55"/>
      <c r="Q47" s="55"/>
      <c r="R47" s="55"/>
      <c r="S47" s="55"/>
      <c r="T47" s="55"/>
      <c r="U47" s="55"/>
      <c r="V47" s="55"/>
      <c r="W47" s="55"/>
      <c r="X47" s="55"/>
      <c r="Y47" s="55"/>
      <c r="Z47" s="55"/>
      <c r="AA47" s="55"/>
      <c r="AB47" s="59">
        <v>0</v>
      </c>
      <c r="AC47" s="59">
        <f>AB47</f>
        <v>0</v>
      </c>
      <c r="AD47" s="59">
        <v>0.02</v>
      </c>
      <c r="AE47" s="59">
        <v>0.01</v>
      </c>
      <c r="AF47" s="59">
        <f t="shared" ref="AF47:AN47" si="58">AE47</f>
        <v>0.01</v>
      </c>
      <c r="AG47" s="59">
        <f t="shared" si="58"/>
        <v>0.01</v>
      </c>
      <c r="AH47" s="59">
        <f t="shared" si="58"/>
        <v>0.01</v>
      </c>
      <c r="AI47" s="59">
        <f t="shared" si="58"/>
        <v>0.01</v>
      </c>
      <c r="AJ47" s="59">
        <f t="shared" si="58"/>
        <v>0.01</v>
      </c>
      <c r="AK47" s="59">
        <f t="shared" si="58"/>
        <v>0.01</v>
      </c>
      <c r="AL47" s="59">
        <f t="shared" si="58"/>
        <v>0.01</v>
      </c>
      <c r="AM47" s="59">
        <f t="shared" si="58"/>
        <v>0.01</v>
      </c>
      <c r="AN47" s="59">
        <f t="shared" si="58"/>
        <v>0.01</v>
      </c>
      <c r="AO47" s="59">
        <f t="shared" ref="AO47" si="59">AN47</f>
        <v>0.01</v>
      </c>
      <c r="AP47" s="59">
        <f t="shared" ref="AP47" si="60">AO47</f>
        <v>0.01</v>
      </c>
      <c r="AQ47" s="55"/>
      <c r="AU47" s="118">
        <v>942</v>
      </c>
      <c r="AW47" s="118">
        <v>1007</v>
      </c>
    </row>
    <row r="48" spans="2:56" s="6" customFormat="1" x14ac:dyDescent="0.25">
      <c r="C48" s="6" t="s">
        <v>132</v>
      </c>
      <c r="D48" s="6" t="s">
        <v>32</v>
      </c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>
        <f t="shared" ref="Q48:AL48" si="61">Q44*Q46/1000</f>
        <v>91.5</v>
      </c>
      <c r="R48" s="56">
        <f t="shared" si="61"/>
        <v>123.372</v>
      </c>
      <c r="S48" s="56">
        <f t="shared" si="61"/>
        <v>130.97999999999999</v>
      </c>
      <c r="T48" s="56">
        <f t="shared" si="61"/>
        <v>164.6534</v>
      </c>
      <c r="U48" s="56">
        <f t="shared" si="61"/>
        <v>157.738</v>
      </c>
      <c r="V48" s="56">
        <f t="shared" si="61"/>
        <v>216.78100000000001</v>
      </c>
      <c r="W48" s="56">
        <f t="shared" si="61"/>
        <v>115.173</v>
      </c>
      <c r="X48" s="56">
        <f t="shared" si="61"/>
        <v>191.1</v>
      </c>
      <c r="Y48" s="56">
        <f t="shared" si="61"/>
        <v>129.11500000000001</v>
      </c>
      <c r="Z48" s="56">
        <f t="shared" si="61"/>
        <v>155.46600000000004</v>
      </c>
      <c r="AA48" s="56">
        <f t="shared" si="61"/>
        <v>96.162999999999997</v>
      </c>
      <c r="AB48" s="56">
        <f t="shared" si="61"/>
        <v>225.041</v>
      </c>
      <c r="AC48" s="56">
        <f t="shared" si="61"/>
        <v>83.2</v>
      </c>
      <c r="AD48" s="56">
        <f t="shared" si="61"/>
        <v>234.25399999999999</v>
      </c>
      <c r="AE48" s="56">
        <f t="shared" si="61"/>
        <v>60.207000000000001</v>
      </c>
      <c r="AF48" s="56">
        <f t="shared" si="61"/>
        <v>93.864000000000004</v>
      </c>
      <c r="AG48" s="56">
        <f t="shared" si="61"/>
        <v>34.951999999999998</v>
      </c>
      <c r="AH48" s="56">
        <f t="shared" si="61"/>
        <v>77.870999999999995</v>
      </c>
      <c r="AI48" s="56">
        <f t="shared" si="61"/>
        <v>57.723643826000007</v>
      </c>
      <c r="AJ48" s="56">
        <f t="shared" si="61"/>
        <v>58.883889066902604</v>
      </c>
      <c r="AK48" s="56">
        <f t="shared" si="61"/>
        <v>60.06745523714735</v>
      </c>
      <c r="AL48" s="56">
        <f t="shared" si="61"/>
        <v>61.274811087414008</v>
      </c>
      <c r="AM48" s="56">
        <f>AM44*AM46/1000</f>
        <v>62.50643479027103</v>
      </c>
      <c r="AN48" s="56">
        <f>AN44*AN46/1000</f>
        <v>63.762814129555473</v>
      </c>
      <c r="AO48" s="56">
        <f>AO44*AO46/1000</f>
        <v>65.044446693559536</v>
      </c>
      <c r="AP48" s="56">
        <f>AP44*AP46/1000</f>
        <v>66.351840072100075</v>
      </c>
      <c r="AQ48" s="56"/>
    </row>
    <row r="49" spans="2:56" s="10" customFormat="1" x14ac:dyDescent="0.25">
      <c r="C49" s="51"/>
      <c r="E49" s="52"/>
      <c r="F49" s="52"/>
      <c r="G49" s="52"/>
      <c r="H49" s="52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/>
      <c r="AA49" s="52"/>
      <c r="AB49" s="52"/>
      <c r="AC49" s="52"/>
      <c r="AD49" s="52"/>
      <c r="AE49" s="52"/>
      <c r="AF49" s="52"/>
      <c r="AG49" s="52"/>
      <c r="AH49" s="52"/>
      <c r="AI49" s="52"/>
      <c r="AJ49" s="52"/>
      <c r="AK49" s="11"/>
      <c r="AL49" s="11"/>
      <c r="AM49" s="11"/>
      <c r="AN49" s="11"/>
      <c r="AO49" s="11"/>
      <c r="AP49" s="11"/>
      <c r="AQ49" s="11"/>
    </row>
    <row r="50" spans="2:56" s="10" customFormat="1" x14ac:dyDescent="0.25">
      <c r="C50" s="51"/>
      <c r="E50" s="52"/>
      <c r="F50" s="52"/>
      <c r="G50" s="52"/>
      <c r="H50" s="52"/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Z50" s="52"/>
      <c r="AA50" s="52"/>
      <c r="AB50" s="52"/>
      <c r="AC50" s="52"/>
      <c r="AD50" s="52"/>
      <c r="AE50" s="52"/>
      <c r="AF50" s="52"/>
      <c r="AG50" s="52"/>
      <c r="AH50" s="52"/>
      <c r="AI50" s="52"/>
      <c r="AJ50" s="52"/>
      <c r="AK50" s="11"/>
      <c r="AL50" s="11"/>
      <c r="AM50" s="11"/>
      <c r="AN50" s="11"/>
      <c r="AO50" s="11"/>
      <c r="AP50" s="11"/>
      <c r="AQ50" s="11"/>
    </row>
    <row r="51" spans="2:56" s="23" customFormat="1" x14ac:dyDescent="0.25">
      <c r="B51" s="23" t="s">
        <v>363</v>
      </c>
      <c r="E51" s="57"/>
      <c r="F51" s="57"/>
      <c r="G51" s="57"/>
      <c r="H51" s="57"/>
      <c r="I51" s="57"/>
      <c r="J51" s="57"/>
      <c r="K51" s="57"/>
      <c r="L51" s="57"/>
      <c r="M51" s="57"/>
      <c r="N51" s="57"/>
      <c r="O51" s="57"/>
      <c r="P51" s="57"/>
      <c r="Q51" s="57"/>
      <c r="R51" s="57"/>
      <c r="S51" s="57"/>
      <c r="T51" s="57"/>
      <c r="U51" s="57"/>
      <c r="V51" s="57"/>
      <c r="W51" s="57"/>
      <c r="X51" s="57"/>
      <c r="Y51" s="57"/>
      <c r="Z51" s="57"/>
      <c r="AA51" s="57"/>
      <c r="AB51" s="57"/>
      <c r="AC51" s="57"/>
      <c r="AD51" s="57"/>
      <c r="AE51" s="57"/>
      <c r="AF51" s="57"/>
      <c r="AG51" s="57"/>
      <c r="AH51" s="57"/>
      <c r="AI51" s="57"/>
      <c r="AJ51" s="57"/>
      <c r="AK51" s="57"/>
      <c r="AL51" s="57"/>
      <c r="AM51" s="57"/>
      <c r="AN51" s="57"/>
      <c r="AO51" s="57"/>
      <c r="AP51" s="57"/>
      <c r="AQ51" s="57"/>
      <c r="AR51" s="24"/>
      <c r="AS51" s="24"/>
      <c r="AT51" s="24"/>
      <c r="AU51" s="24"/>
      <c r="AV51" s="24"/>
      <c r="AW51" s="24"/>
      <c r="AX51" s="24"/>
      <c r="AY51" s="24"/>
      <c r="AZ51" s="24"/>
      <c r="BD51" s="25"/>
    </row>
    <row r="52" spans="2:56" x14ac:dyDescent="0.25">
      <c r="C52" t="s">
        <v>130</v>
      </c>
      <c r="E52" s="54"/>
      <c r="F52" s="54"/>
      <c r="G52" s="54"/>
      <c r="H52" s="54"/>
      <c r="I52" s="54"/>
      <c r="J52" s="54"/>
      <c r="K52" s="54"/>
      <c r="L52" s="54"/>
      <c r="M52" s="54"/>
      <c r="N52" s="54"/>
      <c r="O52" s="54"/>
      <c r="P52" s="54"/>
      <c r="Q52" s="58"/>
      <c r="R52" s="58"/>
      <c r="S52" s="58"/>
      <c r="T52" s="58"/>
      <c r="U52" s="58"/>
      <c r="V52" s="58"/>
      <c r="W52" s="58"/>
      <c r="X52" s="58"/>
      <c r="Y52" s="58"/>
      <c r="Z52" s="58"/>
      <c r="AA52" s="58"/>
      <c r="AB52" s="58"/>
      <c r="AC52" s="68"/>
      <c r="AD52" s="68">
        <v>0</v>
      </c>
      <c r="AE52" s="68"/>
      <c r="AF52" s="68"/>
      <c r="AG52" s="54"/>
      <c r="AH52" s="54"/>
      <c r="AI52" s="54"/>
      <c r="AJ52" s="54"/>
      <c r="AK52" s="54"/>
      <c r="AL52" s="54"/>
      <c r="AM52" s="54"/>
      <c r="AN52" s="54"/>
      <c r="AO52" s="54"/>
      <c r="AP52" s="54"/>
      <c r="AQ52" s="54"/>
      <c r="AT52" s="116"/>
      <c r="AU52" s="116"/>
    </row>
    <row r="53" spans="2:56" s="10" customFormat="1" x14ac:dyDescent="0.25">
      <c r="C53" s="51" t="s">
        <v>27</v>
      </c>
      <c r="E53" s="55"/>
      <c r="F53" s="55"/>
      <c r="G53" s="55"/>
      <c r="H53" s="55"/>
      <c r="I53" s="55"/>
      <c r="J53" s="55"/>
      <c r="K53" s="55"/>
      <c r="L53" s="55"/>
      <c r="M53" s="55"/>
      <c r="N53" s="55"/>
      <c r="O53" s="55"/>
      <c r="P53" s="55"/>
      <c r="Q53" s="55"/>
      <c r="R53" s="55"/>
      <c r="S53" s="55"/>
      <c r="T53" s="55"/>
      <c r="U53" s="55"/>
      <c r="V53" s="55"/>
      <c r="W53" s="55"/>
      <c r="X53" s="55"/>
      <c r="Y53" s="55"/>
      <c r="Z53" s="55"/>
      <c r="AA53" s="55"/>
      <c r="AB53" s="59"/>
      <c r="AC53" s="59"/>
      <c r="AD53" s="59">
        <f>AC53</f>
        <v>0</v>
      </c>
      <c r="AE53" s="59">
        <f>AD53</f>
        <v>0</v>
      </c>
      <c r="AF53" s="59">
        <f>AE53</f>
        <v>0</v>
      </c>
      <c r="AG53" s="59">
        <v>0.02</v>
      </c>
      <c r="AH53" s="59">
        <f>AG53</f>
        <v>0.02</v>
      </c>
      <c r="AI53" s="59">
        <f>AH53</f>
        <v>0.02</v>
      </c>
      <c r="AJ53" s="59">
        <f>AI53</f>
        <v>0.02</v>
      </c>
      <c r="AK53" s="59">
        <v>0.04</v>
      </c>
      <c r="AL53" s="59">
        <f>AK53</f>
        <v>0.04</v>
      </c>
      <c r="AM53" s="59">
        <f>AL53</f>
        <v>0.04</v>
      </c>
      <c r="AN53" s="59">
        <f>AM53</f>
        <v>0.04</v>
      </c>
      <c r="AO53" s="59">
        <f>AN53</f>
        <v>0.04</v>
      </c>
      <c r="AP53" s="59">
        <f>AO53</f>
        <v>0.04</v>
      </c>
      <c r="AQ53" s="55"/>
      <c r="AT53" s="27"/>
      <c r="AU53" s="27"/>
    </row>
    <row r="54" spans="2:56" x14ac:dyDescent="0.25">
      <c r="C54" t="s">
        <v>131</v>
      </c>
      <c r="D54" s="53" t="s">
        <v>137</v>
      </c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8"/>
      <c r="R54" s="58"/>
      <c r="S54" s="58"/>
      <c r="T54" s="58"/>
      <c r="U54" s="58"/>
      <c r="V54" s="58"/>
      <c r="W54" s="58"/>
      <c r="X54" s="58"/>
      <c r="Y54" s="58"/>
      <c r="Z54" s="58"/>
      <c r="AA54" s="58"/>
      <c r="AB54" s="58"/>
      <c r="AC54" s="68"/>
      <c r="AD54" s="54">
        <v>320</v>
      </c>
      <c r="AE54" s="54">
        <v>320</v>
      </c>
      <c r="AF54" s="54">
        <v>450</v>
      </c>
      <c r="AG54" s="54">
        <f t="shared" ref="AG54:AN54" si="62">AF54*(1+AG55)</f>
        <v>454.5</v>
      </c>
      <c r="AH54" s="54">
        <f t="shared" si="62"/>
        <v>459.04500000000002</v>
      </c>
      <c r="AI54" s="54">
        <f t="shared" si="62"/>
        <v>463.63545000000005</v>
      </c>
      <c r="AJ54" s="54">
        <f t="shared" si="62"/>
        <v>468.27180450000003</v>
      </c>
      <c r="AK54" s="54">
        <f t="shared" si="62"/>
        <v>472.95452254500003</v>
      </c>
      <c r="AL54" s="54">
        <f t="shared" si="62"/>
        <v>477.68406777045004</v>
      </c>
      <c r="AM54" s="54">
        <f t="shared" si="62"/>
        <v>482.46090844815456</v>
      </c>
      <c r="AN54" s="54">
        <f t="shared" si="62"/>
        <v>487.28551753263611</v>
      </c>
      <c r="AO54" s="54">
        <f t="shared" ref="AO54" si="63">AN54*(1+AO55)</f>
        <v>492.15837270796249</v>
      </c>
      <c r="AP54" s="54">
        <f t="shared" ref="AP54" si="64">AO54*(1+AP55)</f>
        <v>497.07995643504211</v>
      </c>
      <c r="AQ54" s="54"/>
      <c r="AT54" s="116"/>
      <c r="AU54" s="117"/>
    </row>
    <row r="55" spans="2:56" s="10" customFormat="1" x14ac:dyDescent="0.25">
      <c r="C55" s="51" t="s">
        <v>27</v>
      </c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55"/>
      <c r="W55" s="55"/>
      <c r="X55" s="55"/>
      <c r="Y55" s="55"/>
      <c r="Z55" s="55"/>
      <c r="AA55" s="55"/>
      <c r="AB55" s="59"/>
      <c r="AC55" s="59"/>
      <c r="AD55" s="59">
        <v>0.03</v>
      </c>
      <c r="AE55" s="59">
        <v>0.01</v>
      </c>
      <c r="AF55" s="59">
        <f t="shared" ref="AF55:AN55" si="65">AE55</f>
        <v>0.01</v>
      </c>
      <c r="AG55" s="59">
        <f t="shared" si="65"/>
        <v>0.01</v>
      </c>
      <c r="AH55" s="59">
        <f t="shared" si="65"/>
        <v>0.01</v>
      </c>
      <c r="AI55" s="59">
        <f t="shared" si="65"/>
        <v>0.01</v>
      </c>
      <c r="AJ55" s="59">
        <f t="shared" si="65"/>
        <v>0.01</v>
      </c>
      <c r="AK55" s="59">
        <f t="shared" si="65"/>
        <v>0.01</v>
      </c>
      <c r="AL55" s="59">
        <f t="shared" si="65"/>
        <v>0.01</v>
      </c>
      <c r="AM55" s="59">
        <f t="shared" si="65"/>
        <v>0.01</v>
      </c>
      <c r="AN55" s="59">
        <f t="shared" si="65"/>
        <v>0.01</v>
      </c>
      <c r="AO55" s="59">
        <f t="shared" ref="AO55" si="66">AN55</f>
        <v>0.01</v>
      </c>
      <c r="AP55" s="59">
        <f t="shared" ref="AP55" si="67">AO55</f>
        <v>0.01</v>
      </c>
      <c r="AQ55" s="55"/>
      <c r="AU55" s="118"/>
    </row>
    <row r="56" spans="2:56" s="6" customFormat="1" x14ac:dyDescent="0.25">
      <c r="C56" s="6" t="s">
        <v>132</v>
      </c>
      <c r="D56" s="6" t="s">
        <v>32</v>
      </c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56"/>
      <c r="AD56" s="56">
        <f t="shared" ref="AD56:AL56" si="68">AD52*AD54/1000</f>
        <v>0</v>
      </c>
      <c r="AE56" s="56">
        <f t="shared" si="68"/>
        <v>0</v>
      </c>
      <c r="AF56" s="56">
        <f t="shared" si="68"/>
        <v>0</v>
      </c>
      <c r="AG56" s="56">
        <f t="shared" si="68"/>
        <v>0</v>
      </c>
      <c r="AH56" s="56">
        <f t="shared" si="68"/>
        <v>0</v>
      </c>
      <c r="AI56" s="56">
        <f t="shared" si="68"/>
        <v>0</v>
      </c>
      <c r="AJ56" s="56">
        <f t="shared" si="68"/>
        <v>0</v>
      </c>
      <c r="AK56" s="56">
        <f t="shared" si="68"/>
        <v>0</v>
      </c>
      <c r="AL56" s="56">
        <f t="shared" si="68"/>
        <v>0</v>
      </c>
      <c r="AM56" s="56">
        <f>AM52*AM54/1000</f>
        <v>0</v>
      </c>
      <c r="AN56" s="56">
        <f>AN52*AN54/1000</f>
        <v>0</v>
      </c>
      <c r="AO56" s="56">
        <f>AO52*AO54/1000</f>
        <v>0</v>
      </c>
      <c r="AP56" s="56">
        <f>AP52*AP54/1000</f>
        <v>0</v>
      </c>
      <c r="AQ56" s="56"/>
    </row>
    <row r="57" spans="2:56" x14ac:dyDescent="0.25">
      <c r="C57" t="s">
        <v>140</v>
      </c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  <c r="AA57" s="58"/>
      <c r="AB57" s="58"/>
      <c r="AC57" s="54"/>
      <c r="AD57" s="54">
        <f t="shared" ref="AD57:AL57" si="69">-AD56/11</f>
        <v>0</v>
      </c>
      <c r="AE57" s="54">
        <f t="shared" si="69"/>
        <v>0</v>
      </c>
      <c r="AF57" s="54">
        <f t="shared" si="69"/>
        <v>0</v>
      </c>
      <c r="AG57" s="54">
        <f t="shared" si="69"/>
        <v>0</v>
      </c>
      <c r="AH57" s="54">
        <f t="shared" si="69"/>
        <v>0</v>
      </c>
      <c r="AI57" s="54">
        <f t="shared" si="69"/>
        <v>0</v>
      </c>
      <c r="AJ57" s="54">
        <f t="shared" si="69"/>
        <v>0</v>
      </c>
      <c r="AK57" s="54">
        <f t="shared" si="69"/>
        <v>0</v>
      </c>
      <c r="AL57" s="54">
        <f t="shared" si="69"/>
        <v>0</v>
      </c>
      <c r="AM57" s="54">
        <f>-AM56/11</f>
        <v>0</v>
      </c>
      <c r="AN57" s="54">
        <f>-AN56/11</f>
        <v>0</v>
      </c>
      <c r="AO57" s="54">
        <f>-AO56/11</f>
        <v>0</v>
      </c>
      <c r="AP57" s="54">
        <f>-AP56/11</f>
        <v>0</v>
      </c>
      <c r="AQ57" s="54"/>
    </row>
    <row r="58" spans="2:56" x14ac:dyDescent="0.25">
      <c r="C58" t="s">
        <v>364</v>
      </c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4"/>
      <c r="X58" s="54"/>
      <c r="Y58" s="54"/>
      <c r="Z58" s="54"/>
      <c r="AA58" s="58"/>
      <c r="AB58" s="58"/>
      <c r="AC58" s="54"/>
      <c r="AD58" s="54">
        <f>AD57</f>
        <v>0</v>
      </c>
      <c r="AE58" s="54">
        <f t="shared" ref="AE58:AL58" si="70">AE57</f>
        <v>0</v>
      </c>
      <c r="AF58" s="54">
        <f t="shared" si="70"/>
        <v>0</v>
      </c>
      <c r="AG58" s="54">
        <f t="shared" si="70"/>
        <v>0</v>
      </c>
      <c r="AH58" s="54">
        <f t="shared" si="70"/>
        <v>0</v>
      </c>
      <c r="AI58" s="54">
        <f t="shared" si="70"/>
        <v>0</v>
      </c>
      <c r="AJ58" s="54">
        <f t="shared" si="70"/>
        <v>0</v>
      </c>
      <c r="AK58" s="54">
        <f t="shared" si="70"/>
        <v>0</v>
      </c>
      <c r="AL58" s="54">
        <f t="shared" si="70"/>
        <v>0</v>
      </c>
      <c r="AM58" s="54">
        <f>AM57</f>
        <v>0</v>
      </c>
      <c r="AN58" s="54">
        <f>AN57</f>
        <v>0</v>
      </c>
      <c r="AO58" s="54">
        <f>AO57</f>
        <v>0</v>
      </c>
      <c r="AP58" s="54">
        <f>AP57</f>
        <v>0</v>
      </c>
      <c r="AQ58" s="54"/>
    </row>
    <row r="59" spans="2:56" s="90" customFormat="1" x14ac:dyDescent="0.25">
      <c r="C59" s="90" t="s">
        <v>138</v>
      </c>
      <c r="E59" s="92"/>
      <c r="F59" s="92"/>
      <c r="G59" s="92"/>
      <c r="H59" s="92"/>
      <c r="I59" s="92"/>
      <c r="J59" s="92"/>
      <c r="K59" s="92"/>
      <c r="L59" s="92"/>
      <c r="M59" s="92"/>
      <c r="N59" s="92"/>
      <c r="O59" s="92"/>
      <c r="P59" s="92"/>
      <c r="Q59" s="92"/>
      <c r="R59" s="92"/>
      <c r="S59" s="92"/>
      <c r="T59" s="92"/>
      <c r="U59" s="92"/>
      <c r="V59" s="92"/>
      <c r="W59" s="92"/>
      <c r="X59" s="92"/>
      <c r="Y59" s="92"/>
      <c r="Z59" s="92"/>
      <c r="AA59" s="92"/>
      <c r="AB59" s="92"/>
      <c r="AC59" s="92"/>
      <c r="AD59" s="92">
        <f>AD56+AD57+AD58</f>
        <v>0</v>
      </c>
      <c r="AE59" s="92">
        <f t="shared" ref="AE59:AL59" si="71">AE56+AE57+AE58</f>
        <v>0</v>
      </c>
      <c r="AF59" s="92">
        <f t="shared" si="71"/>
        <v>0</v>
      </c>
      <c r="AG59" s="92">
        <f t="shared" si="71"/>
        <v>0</v>
      </c>
      <c r="AH59" s="92">
        <f t="shared" si="71"/>
        <v>0</v>
      </c>
      <c r="AI59" s="92">
        <f t="shared" si="71"/>
        <v>0</v>
      </c>
      <c r="AJ59" s="92">
        <f t="shared" si="71"/>
        <v>0</v>
      </c>
      <c r="AK59" s="92">
        <f t="shared" si="71"/>
        <v>0</v>
      </c>
      <c r="AL59" s="92">
        <f t="shared" si="71"/>
        <v>0</v>
      </c>
      <c r="AM59" s="92">
        <f>AM56+AM57+AM58</f>
        <v>0</v>
      </c>
      <c r="AN59" s="92">
        <f>AN56+AN57+AN58</f>
        <v>0</v>
      </c>
      <c r="AO59" s="92">
        <f>AO56+AO57+AO58</f>
        <v>0</v>
      </c>
      <c r="AP59" s="92">
        <f>AP56+AP57+AP58</f>
        <v>0</v>
      </c>
      <c r="AQ59" s="92"/>
    </row>
    <row r="60" spans="2:56" x14ac:dyDescent="0.25">
      <c r="C60" t="s">
        <v>129</v>
      </c>
      <c r="E60" s="64"/>
      <c r="F60" s="64"/>
      <c r="G60" s="64"/>
      <c r="H60" s="64"/>
      <c r="I60" s="64"/>
      <c r="J60" s="64"/>
      <c r="K60" s="64"/>
      <c r="L60" s="64"/>
      <c r="M60" s="64"/>
      <c r="N60" s="64"/>
      <c r="O60" s="64"/>
      <c r="P60" s="64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4"/>
      <c r="AD60" s="64">
        <v>0.18</v>
      </c>
      <c r="AE60" s="64">
        <f>AD60</f>
        <v>0.18</v>
      </c>
      <c r="AF60" s="64">
        <v>0.22</v>
      </c>
      <c r="AG60" s="64">
        <f>AF60+1%</f>
        <v>0.23</v>
      </c>
      <c r="AH60" s="64">
        <f t="shared" ref="AH60:AN60" si="72">AG60</f>
        <v>0.23</v>
      </c>
      <c r="AI60" s="64">
        <f>AH60+1%</f>
        <v>0.24000000000000002</v>
      </c>
      <c r="AJ60" s="64">
        <f t="shared" si="72"/>
        <v>0.24000000000000002</v>
      </c>
      <c r="AK60" s="64">
        <f t="shared" si="72"/>
        <v>0.24000000000000002</v>
      </c>
      <c r="AL60" s="64">
        <f t="shared" si="72"/>
        <v>0.24000000000000002</v>
      </c>
      <c r="AM60" s="64">
        <f t="shared" si="72"/>
        <v>0.24000000000000002</v>
      </c>
      <c r="AN60" s="64">
        <f t="shared" si="72"/>
        <v>0.24000000000000002</v>
      </c>
      <c r="AO60" s="64">
        <f t="shared" ref="AO60" si="73">AN60</f>
        <v>0.24000000000000002</v>
      </c>
      <c r="AP60" s="64">
        <f t="shared" ref="AP60" si="74">AO60</f>
        <v>0.24000000000000002</v>
      </c>
      <c r="AQ60" s="54"/>
    </row>
    <row r="61" spans="2:56" s="6" customFormat="1" x14ac:dyDescent="0.25">
      <c r="C61" s="6" t="s">
        <v>365</v>
      </c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56">
        <f>AD59*AD60</f>
        <v>0</v>
      </c>
      <c r="AE61" s="56">
        <f t="shared" ref="AE61:AL61" si="75">AE59*AE60</f>
        <v>0</v>
      </c>
      <c r="AF61" s="56">
        <f t="shared" si="75"/>
        <v>0</v>
      </c>
      <c r="AG61" s="56">
        <f t="shared" si="75"/>
        <v>0</v>
      </c>
      <c r="AH61" s="56">
        <f t="shared" si="75"/>
        <v>0</v>
      </c>
      <c r="AI61" s="56">
        <f t="shared" si="75"/>
        <v>0</v>
      </c>
      <c r="AJ61" s="56">
        <f t="shared" si="75"/>
        <v>0</v>
      </c>
      <c r="AK61" s="56">
        <f t="shared" si="75"/>
        <v>0</v>
      </c>
      <c r="AL61" s="56">
        <f t="shared" si="75"/>
        <v>0</v>
      </c>
      <c r="AM61" s="56">
        <f>AM59*AM60</f>
        <v>0</v>
      </c>
      <c r="AN61" s="56">
        <f>AN59*AN60</f>
        <v>0</v>
      </c>
      <c r="AO61" s="56">
        <f>AO59*AO60</f>
        <v>0</v>
      </c>
      <c r="AP61" s="56">
        <f>AP59*AP60</f>
        <v>0</v>
      </c>
      <c r="AQ61" s="56"/>
    </row>
    <row r="62" spans="2:56" s="10" customFormat="1" x14ac:dyDescent="0.25">
      <c r="C62" s="10" t="s">
        <v>84</v>
      </c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  <c r="P62" s="55"/>
      <c r="Q62" s="55"/>
      <c r="R62" s="55"/>
      <c r="S62" s="55"/>
      <c r="T62" s="55"/>
      <c r="U62" s="55"/>
      <c r="V62" s="55"/>
      <c r="W62" s="55"/>
      <c r="X62" s="55"/>
      <c r="Y62" s="55"/>
      <c r="Z62" s="55"/>
      <c r="AA62" s="73"/>
      <c r="AB62" s="73"/>
      <c r="AC62" s="55"/>
      <c r="AD62" s="55">
        <v>250</v>
      </c>
      <c r="AE62" s="55"/>
      <c r="AF62" s="55"/>
      <c r="AG62" s="55"/>
      <c r="AH62" s="55"/>
      <c r="AI62" s="55"/>
      <c r="AJ62" s="55"/>
      <c r="AK62" s="55"/>
      <c r="AL62" s="55"/>
      <c r="AM62" s="55"/>
      <c r="AN62" s="55"/>
      <c r="AO62" s="55"/>
      <c r="AP62" s="55"/>
      <c r="AQ62" s="55"/>
    </row>
    <row r="63" spans="2:56" s="10" customFormat="1" x14ac:dyDescent="0.25">
      <c r="C63" s="10" t="s">
        <v>87</v>
      </c>
      <c r="E63" s="59"/>
      <c r="F63" s="59"/>
      <c r="G63" s="59"/>
      <c r="H63" s="59"/>
      <c r="I63" s="59"/>
      <c r="J63" s="59"/>
      <c r="K63" s="59"/>
      <c r="L63" s="59"/>
      <c r="M63" s="59"/>
      <c r="N63" s="59"/>
      <c r="O63" s="59"/>
      <c r="P63" s="59"/>
      <c r="Q63" s="122"/>
      <c r="R63" s="122"/>
      <c r="S63" s="122"/>
      <c r="T63" s="122"/>
      <c r="U63" s="122"/>
      <c r="V63" s="122"/>
      <c r="W63" s="122"/>
      <c r="X63" s="122"/>
      <c r="Y63" s="122"/>
      <c r="Z63" s="122"/>
      <c r="AA63" s="122"/>
      <c r="AB63" s="122"/>
      <c r="AC63" s="59"/>
      <c r="AD63" s="59">
        <v>0.06</v>
      </c>
      <c r="AE63" s="59">
        <f>AD63</f>
        <v>0.06</v>
      </c>
      <c r="AF63" s="59">
        <f t="shared" ref="AF63:AL63" si="76">AE63</f>
        <v>0.06</v>
      </c>
      <c r="AG63" s="59">
        <f t="shared" si="76"/>
        <v>0.06</v>
      </c>
      <c r="AH63" s="59">
        <f t="shared" si="76"/>
        <v>0.06</v>
      </c>
      <c r="AI63" s="59">
        <f t="shared" si="76"/>
        <v>0.06</v>
      </c>
      <c r="AJ63" s="59">
        <f t="shared" si="76"/>
        <v>0.06</v>
      </c>
      <c r="AK63" s="59">
        <f t="shared" si="76"/>
        <v>0.06</v>
      </c>
      <c r="AL63" s="59">
        <f t="shared" si="76"/>
        <v>0.06</v>
      </c>
      <c r="AM63" s="59">
        <f>AL63</f>
        <v>0.06</v>
      </c>
      <c r="AN63" s="59">
        <f>AM63</f>
        <v>0.06</v>
      </c>
      <c r="AO63" s="59">
        <f>AN63</f>
        <v>0.06</v>
      </c>
      <c r="AP63" s="59">
        <f>AO63</f>
        <v>0.06</v>
      </c>
      <c r="AQ63" s="55"/>
    </row>
    <row r="64" spans="2:56" s="10" customFormat="1" x14ac:dyDescent="0.25">
      <c r="C64" s="10" t="s">
        <v>74</v>
      </c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  <c r="T64" s="55"/>
      <c r="U64" s="55"/>
      <c r="V64" s="55"/>
      <c r="W64" s="55"/>
      <c r="X64" s="55"/>
      <c r="Y64" s="55"/>
      <c r="Z64" s="55"/>
      <c r="AA64" s="73"/>
      <c r="AB64" s="73"/>
      <c r="AC64" s="55"/>
      <c r="AD64" s="55">
        <f>AD62*AD63*-1</f>
        <v>-15</v>
      </c>
      <c r="AE64" s="55">
        <f t="shared" ref="AE64:AL64" si="77">AE62*AE63*-1</f>
        <v>0</v>
      </c>
      <c r="AF64" s="55">
        <f t="shared" si="77"/>
        <v>0</v>
      </c>
      <c r="AG64" s="55">
        <f t="shared" si="77"/>
        <v>0</v>
      </c>
      <c r="AH64" s="55">
        <f t="shared" si="77"/>
        <v>0</v>
      </c>
      <c r="AI64" s="55">
        <f t="shared" si="77"/>
        <v>0</v>
      </c>
      <c r="AJ64" s="55">
        <f t="shared" si="77"/>
        <v>0</v>
      </c>
      <c r="AK64" s="55">
        <f t="shared" si="77"/>
        <v>0</v>
      </c>
      <c r="AL64" s="55">
        <f t="shared" si="77"/>
        <v>0</v>
      </c>
      <c r="AM64" s="55">
        <f>AM62*AM63*-1</f>
        <v>0</v>
      </c>
      <c r="AN64" s="55">
        <f>AN62*AN63*-1</f>
        <v>0</v>
      </c>
      <c r="AO64" s="55">
        <f>AO62*AO63*-1</f>
        <v>0</v>
      </c>
      <c r="AP64" s="55">
        <f>AP62*AP63*-1</f>
        <v>0</v>
      </c>
      <c r="AQ64" s="55"/>
    </row>
    <row r="65" spans="1:43" s="6" customFormat="1" x14ac:dyDescent="0.25">
      <c r="C65" s="6" t="s">
        <v>366</v>
      </c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/>
      <c r="AA65" s="56"/>
      <c r="AB65" s="56"/>
      <c r="AC65" s="56"/>
      <c r="AD65" s="56">
        <v>0</v>
      </c>
      <c r="AE65" s="56">
        <f t="shared" ref="AE65:AL65" si="78">AE61+AE64</f>
        <v>0</v>
      </c>
      <c r="AF65" s="56">
        <f t="shared" si="78"/>
        <v>0</v>
      </c>
      <c r="AG65" s="56">
        <f t="shared" si="78"/>
        <v>0</v>
      </c>
      <c r="AH65" s="56">
        <f t="shared" si="78"/>
        <v>0</v>
      </c>
      <c r="AI65" s="56">
        <f t="shared" si="78"/>
        <v>0</v>
      </c>
      <c r="AJ65" s="56">
        <f t="shared" si="78"/>
        <v>0</v>
      </c>
      <c r="AK65" s="56">
        <f t="shared" si="78"/>
        <v>0</v>
      </c>
      <c r="AL65" s="56">
        <f t="shared" si="78"/>
        <v>0</v>
      </c>
      <c r="AM65" s="56">
        <f>AM61+AM64</f>
        <v>0</v>
      </c>
      <c r="AN65" s="56">
        <f>AN61+AN64</f>
        <v>0</v>
      </c>
      <c r="AO65" s="56">
        <f>AO61+AO64</f>
        <v>0</v>
      </c>
      <c r="AP65" s="56">
        <f>AP61+AP64</f>
        <v>0</v>
      </c>
      <c r="AQ65" s="56"/>
    </row>
    <row r="66" spans="1:43" x14ac:dyDescent="0.25">
      <c r="C66" t="s">
        <v>367</v>
      </c>
      <c r="E66" s="54"/>
      <c r="F66" s="54"/>
      <c r="G66" s="54"/>
      <c r="H66" s="54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54"/>
      <c r="T66" s="54"/>
      <c r="U66" s="54"/>
      <c r="V66" s="54"/>
      <c r="W66" s="54"/>
      <c r="X66" s="54"/>
      <c r="Y66" s="54"/>
      <c r="Z66" s="54"/>
      <c r="AA66" s="58"/>
      <c r="AB66" s="58"/>
      <c r="AC66" s="54"/>
      <c r="AD66" s="54">
        <f>AD65*0.501</f>
        <v>0</v>
      </c>
      <c r="AE66" s="54">
        <v>0</v>
      </c>
      <c r="AF66" s="54">
        <f t="shared" ref="AF66:AL66" si="79">AF65*0.501</f>
        <v>0</v>
      </c>
      <c r="AG66" s="54">
        <f t="shared" si="79"/>
        <v>0</v>
      </c>
      <c r="AH66" s="54">
        <f t="shared" si="79"/>
        <v>0</v>
      </c>
      <c r="AI66" s="54">
        <f t="shared" si="79"/>
        <v>0</v>
      </c>
      <c r="AJ66" s="54">
        <f t="shared" si="79"/>
        <v>0</v>
      </c>
      <c r="AK66" s="54">
        <f t="shared" si="79"/>
        <v>0</v>
      </c>
      <c r="AL66" s="54">
        <f t="shared" si="79"/>
        <v>0</v>
      </c>
      <c r="AM66" s="54">
        <f>AM65*0.501</f>
        <v>0</v>
      </c>
      <c r="AN66" s="54">
        <f>AN65*0.501</f>
        <v>0</v>
      </c>
      <c r="AO66" s="54">
        <f>AO65*0.501</f>
        <v>0</v>
      </c>
      <c r="AP66" s="54">
        <f>AP65*0.501</f>
        <v>0</v>
      </c>
      <c r="AQ66" s="54"/>
    </row>
    <row r="67" spans="1:43" x14ac:dyDescent="0.25">
      <c r="C67" t="s">
        <v>368</v>
      </c>
      <c r="E67" s="54"/>
      <c r="F67" s="54"/>
      <c r="G67" s="54"/>
      <c r="H67" s="54"/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54"/>
      <c r="T67" s="54"/>
      <c r="U67" s="54"/>
      <c r="V67" s="54"/>
      <c r="W67" s="54"/>
      <c r="X67" s="54"/>
      <c r="Y67" s="54"/>
      <c r="Z67" s="54"/>
      <c r="AA67" s="58"/>
      <c r="AB67" s="58"/>
      <c r="AC67" s="54"/>
      <c r="AD67" s="54">
        <f>AD56*7%*49.9%</f>
        <v>0</v>
      </c>
      <c r="AE67" s="54">
        <f>AE56*7%*49.9%</f>
        <v>0</v>
      </c>
      <c r="AF67" s="54">
        <f t="shared" ref="AF67:AL67" si="80">AF56*7%*49.9%</f>
        <v>0</v>
      </c>
      <c r="AG67" s="54">
        <f t="shared" si="80"/>
        <v>0</v>
      </c>
      <c r="AH67" s="54">
        <f t="shared" si="80"/>
        <v>0</v>
      </c>
      <c r="AI67" s="54">
        <f t="shared" si="80"/>
        <v>0</v>
      </c>
      <c r="AJ67" s="54">
        <f t="shared" si="80"/>
        <v>0</v>
      </c>
      <c r="AK67" s="54">
        <f t="shared" si="80"/>
        <v>0</v>
      </c>
      <c r="AL67" s="54">
        <f t="shared" si="80"/>
        <v>0</v>
      </c>
      <c r="AM67" s="54">
        <f>AM56*7%*49.9%</f>
        <v>0</v>
      </c>
      <c r="AN67" s="54">
        <f>AN56*7%*49.9%</f>
        <v>0</v>
      </c>
      <c r="AO67" s="54">
        <f>AO56*7%*49.9%</f>
        <v>0</v>
      </c>
      <c r="AP67" s="54">
        <f>AP56*7%*49.9%</f>
        <v>0</v>
      </c>
      <c r="AQ67" s="54"/>
    </row>
    <row r="68" spans="1:43" s="10" customFormat="1" x14ac:dyDescent="0.25">
      <c r="C68" s="51"/>
      <c r="E68" s="52"/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52"/>
      <c r="R68" s="52"/>
      <c r="S68" s="52"/>
      <c r="T68" s="52"/>
      <c r="U68" s="52"/>
      <c r="V68" s="52"/>
      <c r="W68" s="52"/>
      <c r="X68" s="52"/>
      <c r="Y68" s="52"/>
      <c r="Z68" s="52"/>
      <c r="AA68" s="52"/>
      <c r="AB68" s="52"/>
      <c r="AC68" s="52"/>
      <c r="AD68" s="52"/>
      <c r="AE68" s="52"/>
      <c r="AF68" s="52"/>
      <c r="AG68" s="52"/>
      <c r="AH68" s="52"/>
      <c r="AI68" s="52"/>
      <c r="AJ68" s="52"/>
      <c r="AK68" s="11"/>
      <c r="AL68" s="11"/>
      <c r="AM68" s="11"/>
      <c r="AN68" s="11"/>
      <c r="AO68" s="11"/>
      <c r="AP68" s="11"/>
      <c r="AQ68" s="11"/>
    </row>
    <row r="69" spans="1:43" s="10" customFormat="1" x14ac:dyDescent="0.25">
      <c r="C69" s="51"/>
      <c r="E69" s="52"/>
      <c r="F69" s="52"/>
      <c r="G69" s="52"/>
      <c r="H69" s="52"/>
      <c r="I69" s="52"/>
      <c r="J69" s="52"/>
      <c r="K69" s="52"/>
      <c r="L69" s="52"/>
      <c r="M69" s="52"/>
      <c r="N69" s="52"/>
      <c r="O69" s="52"/>
      <c r="P69" s="52"/>
      <c r="Q69" s="52"/>
      <c r="R69" s="52"/>
      <c r="S69" s="52"/>
      <c r="T69" s="52"/>
      <c r="U69" s="52"/>
      <c r="V69" s="52"/>
      <c r="W69" s="52"/>
      <c r="X69" s="52"/>
      <c r="Y69" s="52"/>
      <c r="Z69" s="52"/>
      <c r="AA69" s="52"/>
      <c r="AB69" s="52"/>
      <c r="AC69" s="121"/>
      <c r="AD69" s="121"/>
      <c r="AE69" s="52"/>
      <c r="AF69" s="52"/>
      <c r="AG69" s="121"/>
      <c r="AH69" s="52"/>
      <c r="AI69" s="52"/>
      <c r="AJ69" s="52"/>
      <c r="AK69" s="11"/>
      <c r="AL69" s="11"/>
      <c r="AM69" s="11"/>
      <c r="AN69" s="11"/>
      <c r="AO69" s="11"/>
      <c r="AP69" s="11"/>
      <c r="AQ69" s="11"/>
    </row>
    <row r="70" spans="1:43" x14ac:dyDescent="0.25">
      <c r="A70" s="4" t="s">
        <v>138</v>
      </c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</row>
    <row r="71" spans="1:43" x14ac:dyDescent="0.25">
      <c r="C71" t="s">
        <v>139</v>
      </c>
      <c r="D71" t="s">
        <v>32</v>
      </c>
      <c r="E71" s="54">
        <f>E20+E27+E34+E41+E48</f>
        <v>455.02199999999999</v>
      </c>
      <c r="F71" s="54">
        <f t="shared" ref="F71:X71" si="81">F20+F27+F34+F41+F48</f>
        <v>646.71600000000012</v>
      </c>
      <c r="G71" s="54">
        <f t="shared" si="81"/>
        <v>418.70400000000001</v>
      </c>
      <c r="H71" s="54">
        <f t="shared" si="81"/>
        <v>516.50700000000006</v>
      </c>
      <c r="I71" s="54">
        <f t="shared" si="81"/>
        <v>458.97</v>
      </c>
      <c r="J71" s="54">
        <f t="shared" si="81"/>
        <v>628.49867500000005</v>
      </c>
      <c r="K71" s="54">
        <f t="shared" si="81"/>
        <v>579.20799999999997</v>
      </c>
      <c r="L71" s="54">
        <f t="shared" si="81"/>
        <v>724.90499999999997</v>
      </c>
      <c r="M71" s="54">
        <f t="shared" si="81"/>
        <v>666.572</v>
      </c>
      <c r="N71" s="54">
        <f t="shared" si="81"/>
        <v>839.15899999999999</v>
      </c>
      <c r="O71" s="54">
        <f t="shared" si="81"/>
        <v>677.471</v>
      </c>
      <c r="P71" s="54">
        <f t="shared" si="81"/>
        <v>1132.538</v>
      </c>
      <c r="Q71" s="54">
        <f t="shared" si="81"/>
        <v>899.9910000000001</v>
      </c>
      <c r="R71" s="54">
        <f t="shared" si="81"/>
        <v>964.51999999999987</v>
      </c>
      <c r="S71" s="54">
        <f t="shared" si="81"/>
        <v>678.07799999999997</v>
      </c>
      <c r="T71" s="54">
        <f t="shared" si="81"/>
        <v>1163.34284</v>
      </c>
      <c r="U71" s="54">
        <f t="shared" si="81"/>
        <v>699.49900000000002</v>
      </c>
      <c r="V71" s="54">
        <f t="shared" si="81"/>
        <v>1059.239</v>
      </c>
      <c r="W71" s="54">
        <f t="shared" si="81"/>
        <v>904.98099999999999</v>
      </c>
      <c r="X71" s="54">
        <f t="shared" si="81"/>
        <v>1081.2159999999999</v>
      </c>
      <c r="Y71" s="54">
        <v>764</v>
      </c>
      <c r="Z71" s="54">
        <f>2133-Y71</f>
        <v>1369</v>
      </c>
      <c r="AA71" s="58">
        <v>670</v>
      </c>
      <c r="AB71" s="58">
        <f>2132-AA71</f>
        <v>1462</v>
      </c>
      <c r="AC71" s="58">
        <v>617</v>
      </c>
      <c r="AD71" s="58">
        <f>2403-AC71</f>
        <v>1786</v>
      </c>
      <c r="AE71" s="58">
        <v>690</v>
      </c>
      <c r="AF71" s="58">
        <f>2734-AE71</f>
        <v>2044</v>
      </c>
      <c r="AG71" s="58">
        <v>1251</v>
      </c>
      <c r="AH71" s="54">
        <f t="shared" ref="AH71:AL71" si="82">AH20+AH27+AH34+AH41+AH48</f>
        <v>1944.6164200000001</v>
      </c>
      <c r="AI71" s="54">
        <f t="shared" si="82"/>
        <v>1684.7518969509999</v>
      </c>
      <c r="AJ71" s="54">
        <f t="shared" si="82"/>
        <v>1741.2033395892713</v>
      </c>
      <c r="AK71" s="54">
        <f t="shared" si="82"/>
        <v>1767.8636127279078</v>
      </c>
      <c r="AL71" s="54">
        <f t="shared" si="82"/>
        <v>1801.3399198537561</v>
      </c>
      <c r="AM71" s="54">
        <f>AM20+AM27+AM34+AM41+AM48</f>
        <v>1828.976836758425</v>
      </c>
      <c r="AN71" s="54">
        <f>AN20+AN27+AN34+AN41+AN48</f>
        <v>1863.7049940178376</v>
      </c>
      <c r="AO71" s="54">
        <f>AO20+AO27+AO34+AO41+AO48</f>
        <v>1892.3560677861856</v>
      </c>
      <c r="AP71" s="54">
        <f>AP20+AP27+AP34+AP41+AP48</f>
        <v>1928.3847213435972</v>
      </c>
      <c r="AQ71" s="54"/>
    </row>
    <row r="72" spans="1:43" x14ac:dyDescent="0.25">
      <c r="C72" t="s">
        <v>140</v>
      </c>
      <c r="D72" t="s">
        <v>32</v>
      </c>
      <c r="E72" s="54">
        <f t="shared" ref="E72:T72" si="83">-E71/11</f>
        <v>-41.365636363636362</v>
      </c>
      <c r="F72" s="54">
        <f t="shared" si="83"/>
        <v>-58.792363636363646</v>
      </c>
      <c r="G72" s="54">
        <f t="shared" si="83"/>
        <v>-38.064</v>
      </c>
      <c r="H72" s="54">
        <f t="shared" si="83"/>
        <v>-46.955181818181821</v>
      </c>
      <c r="I72" s="54">
        <f t="shared" si="83"/>
        <v>-41.724545454545456</v>
      </c>
      <c r="J72" s="54">
        <f t="shared" si="83"/>
        <v>-57.136243181818188</v>
      </c>
      <c r="K72" s="54">
        <f t="shared" si="83"/>
        <v>-52.655272727272724</v>
      </c>
      <c r="L72" s="54">
        <f t="shared" si="83"/>
        <v>-65.900454545454537</v>
      </c>
      <c r="M72" s="54">
        <f t="shared" si="83"/>
        <v>-60.597454545454546</v>
      </c>
      <c r="N72" s="54">
        <f t="shared" si="83"/>
        <v>-76.287181818181821</v>
      </c>
      <c r="O72" s="54">
        <f t="shared" si="83"/>
        <v>-61.588272727272731</v>
      </c>
      <c r="P72" s="54">
        <f t="shared" si="83"/>
        <v>-102.958</v>
      </c>
      <c r="Q72" s="54">
        <f t="shared" si="83"/>
        <v>-81.817363636363652</v>
      </c>
      <c r="R72" s="54">
        <f t="shared" si="83"/>
        <v>-87.683636363636353</v>
      </c>
      <c r="S72" s="54">
        <f t="shared" si="83"/>
        <v>-61.643454545454546</v>
      </c>
      <c r="T72" s="54">
        <f t="shared" si="83"/>
        <v>-105.75844000000001</v>
      </c>
      <c r="U72" s="54">
        <v>-63</v>
      </c>
      <c r="V72" s="54">
        <v>-103</v>
      </c>
      <c r="W72" s="54">
        <v>-81</v>
      </c>
      <c r="X72" s="54">
        <v>-102</v>
      </c>
      <c r="Y72" s="54">
        <v>-71</v>
      </c>
      <c r="Z72" s="54">
        <f>-194-Y72</f>
        <v>-123</v>
      </c>
      <c r="AA72" s="58">
        <v>-60</v>
      </c>
      <c r="AB72" s="58">
        <f>-190-AA72</f>
        <v>-130</v>
      </c>
      <c r="AC72" s="58">
        <v>-54</v>
      </c>
      <c r="AD72" s="58">
        <f>-219-AC72</f>
        <v>-165</v>
      </c>
      <c r="AE72" s="58">
        <v>-60</v>
      </c>
      <c r="AF72" s="58">
        <f>-245-AE72</f>
        <v>-185</v>
      </c>
      <c r="AG72" s="58">
        <v>-112</v>
      </c>
      <c r="AH72" s="54">
        <f t="shared" ref="AH72:AL72" si="84">-AH71/11</f>
        <v>-176.78331090909091</v>
      </c>
      <c r="AI72" s="54">
        <f t="shared" si="84"/>
        <v>-153.15926335918181</v>
      </c>
      <c r="AJ72" s="54">
        <f t="shared" si="84"/>
        <v>-158.29121268993376</v>
      </c>
      <c r="AK72" s="54">
        <f t="shared" si="84"/>
        <v>-160.71487388435526</v>
      </c>
      <c r="AL72" s="54">
        <f t="shared" si="84"/>
        <v>-163.75817453215964</v>
      </c>
      <c r="AM72" s="54">
        <f>-AM71/11</f>
        <v>-166.27062152349319</v>
      </c>
      <c r="AN72" s="54">
        <f>-AN71/11</f>
        <v>-169.42772672889433</v>
      </c>
      <c r="AO72" s="54">
        <f>-AO71/11</f>
        <v>-172.03236979874416</v>
      </c>
      <c r="AP72" s="54">
        <f>-AP71/11</f>
        <v>-175.30770194032701</v>
      </c>
      <c r="AQ72" s="54"/>
    </row>
    <row r="73" spans="1:43" x14ac:dyDescent="0.25">
      <c r="C73" t="s">
        <v>141</v>
      </c>
      <c r="D73" t="s">
        <v>32</v>
      </c>
      <c r="E73" s="58">
        <v>27.549999999999997</v>
      </c>
      <c r="F73" s="58">
        <v>75.95</v>
      </c>
      <c r="G73" s="58">
        <v>17</v>
      </c>
      <c r="H73" s="58">
        <v>48</v>
      </c>
      <c r="I73" s="58">
        <v>47</v>
      </c>
      <c r="J73" s="58">
        <v>30.97</v>
      </c>
      <c r="K73" s="58">
        <v>34</v>
      </c>
      <c r="L73" s="58">
        <v>51</v>
      </c>
      <c r="M73" s="58">
        <v>61</v>
      </c>
      <c r="N73" s="58">
        <v>48</v>
      </c>
      <c r="O73" s="58">
        <v>61</v>
      </c>
      <c r="P73" s="58">
        <v>30</v>
      </c>
      <c r="Q73" s="58">
        <v>66</v>
      </c>
      <c r="R73" s="58">
        <v>56</v>
      </c>
      <c r="S73" s="58">
        <v>45</v>
      </c>
      <c r="T73" s="58">
        <v>101</v>
      </c>
      <c r="U73" s="58">
        <v>210</v>
      </c>
      <c r="V73" s="58">
        <v>218</v>
      </c>
      <c r="W73" s="58">
        <v>32</v>
      </c>
      <c r="X73" s="58">
        <v>197</v>
      </c>
      <c r="Y73" s="58">
        <v>45</v>
      </c>
      <c r="Z73" s="58">
        <f>120-Y73</f>
        <v>75</v>
      </c>
      <c r="AA73" s="58">
        <v>58</v>
      </c>
      <c r="AB73" s="58">
        <f>99-AA73</f>
        <v>41</v>
      </c>
      <c r="AC73" s="58">
        <v>24</v>
      </c>
      <c r="AD73" s="58">
        <f>163-AC73</f>
        <v>139</v>
      </c>
      <c r="AE73" s="58">
        <v>53</v>
      </c>
      <c r="AF73" s="58">
        <f>326-AE73</f>
        <v>273</v>
      </c>
      <c r="AG73" s="58">
        <v>140</v>
      </c>
      <c r="AH73" s="54">
        <v>100</v>
      </c>
      <c r="AI73" s="54">
        <v>40</v>
      </c>
      <c r="AJ73" s="54">
        <f t="shared" ref="AJ73:AP73" si="85">AI73</f>
        <v>40</v>
      </c>
      <c r="AK73" s="54">
        <f t="shared" si="85"/>
        <v>40</v>
      </c>
      <c r="AL73" s="54">
        <f t="shared" si="85"/>
        <v>40</v>
      </c>
      <c r="AM73" s="54">
        <f t="shared" si="85"/>
        <v>40</v>
      </c>
      <c r="AN73" s="54">
        <f t="shared" si="85"/>
        <v>40</v>
      </c>
      <c r="AO73" s="54">
        <f t="shared" si="85"/>
        <v>40</v>
      </c>
      <c r="AP73" s="54">
        <f t="shared" si="85"/>
        <v>40</v>
      </c>
      <c r="AQ73" s="54"/>
    </row>
    <row r="74" spans="1:43" x14ac:dyDescent="0.25">
      <c r="C74" t="s">
        <v>142</v>
      </c>
      <c r="D74" t="s">
        <v>32</v>
      </c>
      <c r="E74" s="54"/>
      <c r="F74" s="54"/>
      <c r="G74" s="54"/>
      <c r="H74" s="54"/>
      <c r="I74" s="54"/>
      <c r="J74" s="54"/>
      <c r="K74" s="54"/>
      <c r="L74" s="54"/>
      <c r="M74" s="54"/>
      <c r="N74" s="54"/>
      <c r="O74" s="54"/>
      <c r="P74" s="54"/>
      <c r="Q74" s="58"/>
      <c r="R74" s="58"/>
      <c r="S74" s="58"/>
      <c r="T74" s="58"/>
      <c r="U74" s="58">
        <v>-67</v>
      </c>
      <c r="V74" s="58">
        <v>-85</v>
      </c>
      <c r="W74" s="58">
        <v>-75</v>
      </c>
      <c r="X74" s="58">
        <v>-118</v>
      </c>
      <c r="Y74" s="58">
        <v>-68</v>
      </c>
      <c r="Z74" s="58">
        <f>-234-Y74</f>
        <v>-166</v>
      </c>
      <c r="AA74" s="58">
        <v>-97</v>
      </c>
      <c r="AB74" s="58">
        <f>-260-AA74</f>
        <v>-163</v>
      </c>
      <c r="AC74" s="58">
        <v>-98</v>
      </c>
      <c r="AD74" s="58">
        <f>-277-AC74</f>
        <v>-179</v>
      </c>
      <c r="AE74" s="58">
        <v>-151</v>
      </c>
      <c r="AF74" s="58">
        <f>-532-AE74</f>
        <v>-381</v>
      </c>
      <c r="AG74" s="58">
        <v>-381</v>
      </c>
      <c r="AH74" s="54">
        <f>AG74</f>
        <v>-381</v>
      </c>
      <c r="AI74" s="54">
        <f t="shared" ref="AI74:AN74" si="86">AH74/AH71*AI71</f>
        <v>-330.0859059589402</v>
      </c>
      <c r="AJ74" s="54">
        <f t="shared" si="86"/>
        <v>-341.1461846977063</v>
      </c>
      <c r="AK74" s="54">
        <f t="shared" si="86"/>
        <v>-346.36961280483939</v>
      </c>
      <c r="AL74" s="54">
        <f t="shared" si="86"/>
        <v>-352.92847597382786</v>
      </c>
      <c r="AM74" s="54">
        <f t="shared" si="86"/>
        <v>-358.34325352706833</v>
      </c>
      <c r="AN74" s="54">
        <f t="shared" si="86"/>
        <v>-365.1473860951952</v>
      </c>
      <c r="AO74" s="54">
        <f t="shared" ref="AO74" si="87">AN74/AN71*AO71</f>
        <v>-370.76086286802865</v>
      </c>
      <c r="AP74" s="54">
        <f t="shared" ref="AP74" si="88">AO74/AO71*AP71</f>
        <v>-377.81979586077478</v>
      </c>
      <c r="AQ74" s="54"/>
    </row>
    <row r="75" spans="1:43" x14ac:dyDescent="0.25">
      <c r="C75" t="s">
        <v>115</v>
      </c>
      <c r="D75" t="s">
        <v>32</v>
      </c>
      <c r="E75" s="54">
        <f>E76-E74-E73-E72-E71</f>
        <v>-10.206363636363619</v>
      </c>
      <c r="F75" s="54">
        <f t="shared" ref="F75:AB75" si="89">F76-F74-F73-F72-F71</f>
        <v>-14.873636363636479</v>
      </c>
      <c r="G75" s="54">
        <f t="shared" si="89"/>
        <v>0.36000000000001364</v>
      </c>
      <c r="H75" s="54">
        <f t="shared" si="89"/>
        <v>-1.5518181818182484</v>
      </c>
      <c r="I75" s="54">
        <f t="shared" si="89"/>
        <v>-25.245454545454493</v>
      </c>
      <c r="J75" s="54">
        <f t="shared" si="89"/>
        <v>-1.9656022727273239</v>
      </c>
      <c r="K75" s="54">
        <f t="shared" si="89"/>
        <v>-1.963636363636283</v>
      </c>
      <c r="L75" s="54">
        <f t="shared" si="89"/>
        <v>-2.1749999999999545</v>
      </c>
      <c r="M75" s="54">
        <f t="shared" si="89"/>
        <v>-2.2931818181818926</v>
      </c>
      <c r="N75" s="54">
        <f t="shared" si="89"/>
        <v>6.4468181818182302</v>
      </c>
      <c r="O75" s="54">
        <f t="shared" si="89"/>
        <v>31.117272727272734</v>
      </c>
      <c r="P75" s="54">
        <f t="shared" si="89"/>
        <v>0</v>
      </c>
      <c r="Q75" s="54">
        <f t="shared" si="89"/>
        <v>-14.651826363636474</v>
      </c>
      <c r="R75" s="54">
        <f t="shared" si="89"/>
        <v>27.641826363636483</v>
      </c>
      <c r="S75" s="54">
        <f t="shared" si="89"/>
        <v>-3.3565454545454259</v>
      </c>
      <c r="T75" s="54">
        <f t="shared" si="89"/>
        <v>-4.5454545454545041</v>
      </c>
      <c r="U75" s="54">
        <f t="shared" si="89"/>
        <v>0</v>
      </c>
      <c r="V75" s="54">
        <f t="shared" si="89"/>
        <v>2</v>
      </c>
      <c r="W75" s="54">
        <f t="shared" si="89"/>
        <v>0</v>
      </c>
      <c r="X75" s="54">
        <f t="shared" si="89"/>
        <v>3.803000000000111</v>
      </c>
      <c r="Y75" s="54">
        <f t="shared" si="89"/>
        <v>-7</v>
      </c>
      <c r="Z75" s="54">
        <f t="shared" si="89"/>
        <v>2</v>
      </c>
      <c r="AA75" s="54">
        <f t="shared" si="89"/>
        <v>0</v>
      </c>
      <c r="AB75" s="54">
        <f t="shared" si="89"/>
        <v>0</v>
      </c>
      <c r="AC75" s="54"/>
      <c r="AD75" s="54"/>
      <c r="AE75" s="54"/>
      <c r="AF75" s="54"/>
      <c r="AG75" s="54"/>
      <c r="AH75" s="54"/>
      <c r="AI75" s="54"/>
      <c r="AJ75" s="54"/>
      <c r="AK75" s="54"/>
      <c r="AL75" s="54"/>
      <c r="AM75" s="54"/>
      <c r="AN75" s="54"/>
      <c r="AO75" s="54"/>
      <c r="AP75" s="54"/>
      <c r="AQ75" s="54"/>
    </row>
    <row r="76" spans="1:43" s="6" customFormat="1" x14ac:dyDescent="0.25">
      <c r="C76" s="6" t="s">
        <v>143</v>
      </c>
      <c r="D76" s="6" t="s">
        <v>32</v>
      </c>
      <c r="E76" s="56">
        <v>431</v>
      </c>
      <c r="F76" s="56">
        <v>649</v>
      </c>
      <c r="G76" s="56">
        <v>398</v>
      </c>
      <c r="H76" s="56">
        <v>516</v>
      </c>
      <c r="I76" s="56">
        <v>439.00000000000006</v>
      </c>
      <c r="J76" s="56">
        <v>600.36682954545461</v>
      </c>
      <c r="K76" s="56">
        <v>558.58909090909094</v>
      </c>
      <c r="L76" s="56">
        <v>707.8295454545455</v>
      </c>
      <c r="M76" s="56">
        <v>664.68136363636359</v>
      </c>
      <c r="N76" s="56">
        <v>817.31863636363641</v>
      </c>
      <c r="O76" s="56">
        <v>708</v>
      </c>
      <c r="P76" s="56">
        <v>1059.58</v>
      </c>
      <c r="Q76" s="56">
        <v>869.52180999999996</v>
      </c>
      <c r="R76" s="56">
        <v>960.47819000000004</v>
      </c>
      <c r="S76" s="56">
        <v>658.07799999999997</v>
      </c>
      <c r="T76" s="56">
        <v>1154.0389454545455</v>
      </c>
      <c r="U76" s="56">
        <v>779.49900000000002</v>
      </c>
      <c r="V76" s="56">
        <v>1091.239</v>
      </c>
      <c r="W76" s="56">
        <v>780.98099999999999</v>
      </c>
      <c r="X76" s="56">
        <v>1062.019</v>
      </c>
      <c r="Y76" s="56">
        <v>663</v>
      </c>
      <c r="Z76" s="56">
        <f>1820-Y76</f>
        <v>1157</v>
      </c>
      <c r="AA76" s="56">
        <v>571</v>
      </c>
      <c r="AB76" s="56">
        <f>1781-AA76</f>
        <v>1210</v>
      </c>
      <c r="AC76" s="56">
        <f t="shared" ref="AC76:AL76" si="90">SUM(AC71:AC75)</f>
        <v>489</v>
      </c>
      <c r="AD76" s="56">
        <f t="shared" si="90"/>
        <v>1581</v>
      </c>
      <c r="AE76" s="56">
        <f t="shared" si="90"/>
        <v>532</v>
      </c>
      <c r="AF76" s="56">
        <f t="shared" si="90"/>
        <v>1751</v>
      </c>
      <c r="AG76" s="56">
        <v>897</v>
      </c>
      <c r="AH76" s="56">
        <f t="shared" si="90"/>
        <v>1486.8331090909091</v>
      </c>
      <c r="AI76" s="56">
        <f t="shared" si="90"/>
        <v>1241.506727632878</v>
      </c>
      <c r="AJ76" s="56">
        <f t="shared" si="90"/>
        <v>1281.7659422016313</v>
      </c>
      <c r="AK76" s="56">
        <f t="shared" si="90"/>
        <v>1300.7791260387132</v>
      </c>
      <c r="AL76" s="56">
        <f t="shared" si="90"/>
        <v>1324.6532693477684</v>
      </c>
      <c r="AM76" s="56">
        <f>SUM(AM71:AM75)</f>
        <v>1344.3629617078634</v>
      </c>
      <c r="AN76" s="56">
        <f>SUM(AN71:AN75)</f>
        <v>1369.1298811937481</v>
      </c>
      <c r="AO76" s="56">
        <f>SUM(AO71:AO75)</f>
        <v>1389.5628351194127</v>
      </c>
      <c r="AP76" s="56">
        <f>SUM(AP71:AP75)</f>
        <v>1415.2572235424955</v>
      </c>
      <c r="AQ76" s="56"/>
    </row>
    <row r="77" spans="1:43" x14ac:dyDescent="0.25">
      <c r="C77" t="s">
        <v>146</v>
      </c>
      <c r="E77" s="64"/>
      <c r="F77" s="64"/>
      <c r="G77" s="64"/>
      <c r="H77" s="64"/>
      <c r="I77" s="64"/>
      <c r="J77" s="64"/>
      <c r="K77" s="64"/>
      <c r="L77" s="64"/>
      <c r="M77" s="64"/>
      <c r="N77" s="64"/>
      <c r="O77" s="64"/>
      <c r="P77" s="64"/>
      <c r="Q77" s="65"/>
      <c r="R77" s="65"/>
      <c r="S77" s="65"/>
      <c r="T77" s="65"/>
      <c r="U77" s="65"/>
      <c r="V77" s="65"/>
      <c r="W77" s="65"/>
      <c r="X77" s="65"/>
      <c r="Y77" s="65">
        <v>0.30399999999999999</v>
      </c>
      <c r="Z77" s="65">
        <f>Z78/Z76</f>
        <v>0.270914433880726</v>
      </c>
      <c r="AA77" s="65">
        <v>0.29099999999999998</v>
      </c>
      <c r="AB77" s="65">
        <f t="shared" ref="AB77:AG77" si="91">AB78/AB76</f>
        <v>0.31061074380165288</v>
      </c>
      <c r="AC77" s="65">
        <f t="shared" si="91"/>
        <v>0.23312883435582821</v>
      </c>
      <c r="AD77" s="65">
        <f t="shared" si="91"/>
        <v>0.29475015812776723</v>
      </c>
      <c r="AE77" s="65">
        <f t="shared" si="91"/>
        <v>0.19924812030075187</v>
      </c>
      <c r="AF77" s="65">
        <f t="shared" si="91"/>
        <v>0.29697315819531694</v>
      </c>
      <c r="AG77" s="65">
        <f t="shared" si="91"/>
        <v>0.24637681159420291</v>
      </c>
      <c r="AH77" s="64">
        <v>0.29299999999999998</v>
      </c>
      <c r="AI77" s="64">
        <v>0.27300000000000002</v>
      </c>
      <c r="AJ77" s="64">
        <f t="shared" ref="AJ77:AN77" si="92">AI77</f>
        <v>0.27300000000000002</v>
      </c>
      <c r="AK77" s="64">
        <f>AJ77+1%</f>
        <v>0.28300000000000003</v>
      </c>
      <c r="AL77" s="64">
        <f t="shared" si="92"/>
        <v>0.28300000000000003</v>
      </c>
      <c r="AM77" s="64">
        <f t="shared" si="92"/>
        <v>0.28300000000000003</v>
      </c>
      <c r="AN77" s="64">
        <f t="shared" si="92"/>
        <v>0.28300000000000003</v>
      </c>
      <c r="AO77" s="64">
        <f t="shared" ref="AO77" si="93">AN77</f>
        <v>0.28300000000000003</v>
      </c>
      <c r="AP77" s="64">
        <f t="shared" ref="AP77" si="94">AO77</f>
        <v>0.28300000000000003</v>
      </c>
      <c r="AQ77" s="54"/>
    </row>
    <row r="78" spans="1:43" s="6" customFormat="1" x14ac:dyDescent="0.25">
      <c r="C78" s="6" t="s">
        <v>144</v>
      </c>
      <c r="D78" s="6" t="s">
        <v>32</v>
      </c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>
        <f>Y76*Y77</f>
        <v>201.55199999999999</v>
      </c>
      <c r="Z78" s="56">
        <f>515-Y78</f>
        <v>313.44799999999998</v>
      </c>
      <c r="AA78" s="56">
        <f>AA76*AA77</f>
        <v>166.161</v>
      </c>
      <c r="AB78" s="56">
        <f>542-AA78</f>
        <v>375.839</v>
      </c>
      <c r="AC78" s="56">
        <v>114</v>
      </c>
      <c r="AD78" s="56">
        <f>580-AC78</f>
        <v>466</v>
      </c>
      <c r="AE78" s="56">
        <v>106</v>
      </c>
      <c r="AF78" s="56">
        <f>626-AE78</f>
        <v>520</v>
      </c>
      <c r="AG78" s="56">
        <v>221</v>
      </c>
      <c r="AH78" s="56">
        <f t="shared" ref="AH78:AL78" si="95">AH76*AH77</f>
        <v>435.64210096363638</v>
      </c>
      <c r="AI78" s="56">
        <f t="shared" si="95"/>
        <v>338.93133664377569</v>
      </c>
      <c r="AJ78" s="56">
        <f t="shared" si="95"/>
        <v>349.92210222104541</v>
      </c>
      <c r="AK78" s="56">
        <f t="shared" si="95"/>
        <v>368.12049266895588</v>
      </c>
      <c r="AL78" s="56">
        <f t="shared" si="95"/>
        <v>374.87687522541847</v>
      </c>
      <c r="AM78" s="56">
        <f>AM76*AM77</f>
        <v>380.45471816332537</v>
      </c>
      <c r="AN78" s="56">
        <f>AN76*AN77</f>
        <v>387.46375637783075</v>
      </c>
      <c r="AO78" s="56">
        <f>AO76*AO77</f>
        <v>393.24628233879383</v>
      </c>
      <c r="AP78" s="56">
        <f>AP76*AP77</f>
        <v>400.51779426252625</v>
      </c>
      <c r="AQ78" s="56"/>
    </row>
    <row r="79" spans="1:43" s="47" customFormat="1" x14ac:dyDescent="0.25">
      <c r="C79" s="47" t="s">
        <v>48</v>
      </c>
      <c r="E79" s="64"/>
      <c r="F79" s="64"/>
      <c r="G79" s="64"/>
      <c r="H79" s="64"/>
      <c r="I79" s="64"/>
      <c r="J79" s="64"/>
      <c r="K79" s="64"/>
      <c r="L79" s="64"/>
      <c r="M79" s="64"/>
      <c r="N79" s="64"/>
      <c r="O79" s="64"/>
      <c r="P79" s="64"/>
      <c r="Q79" s="64"/>
      <c r="R79" s="64"/>
      <c r="S79" s="64"/>
      <c r="T79" s="64"/>
      <c r="U79" s="64"/>
      <c r="V79" s="64"/>
      <c r="W79" s="64"/>
      <c r="X79" s="64"/>
      <c r="Y79" s="64">
        <f>Y77-Y80</f>
        <v>3.7999999999999978E-2</v>
      </c>
      <c r="Z79" s="64">
        <f>Z77-Z80</f>
        <v>4.1009507346585983E-2</v>
      </c>
      <c r="AA79" s="64">
        <f>AA77-AA80</f>
        <v>4.8999999999999988E-2</v>
      </c>
      <c r="AB79" s="64">
        <f>AB77-AB80</f>
        <v>4.1189256198347068E-2</v>
      </c>
      <c r="AC79" s="64">
        <f>AC77-AC80</f>
        <v>5.3169734151329223E-2</v>
      </c>
      <c r="AD79" s="64">
        <f>AC79</f>
        <v>5.3169734151329223E-2</v>
      </c>
      <c r="AE79" s="64">
        <f>AE77-AE80</f>
        <v>5.6390977443609019E-2</v>
      </c>
      <c r="AF79" s="64">
        <f>AF77-AF80</f>
        <v>4.1690462592804067E-2</v>
      </c>
      <c r="AG79" s="64">
        <v>4.4999999999999998E-2</v>
      </c>
      <c r="AH79" s="64">
        <f>AG79</f>
        <v>4.4999999999999998E-2</v>
      </c>
      <c r="AI79" s="64">
        <f>AH79+0.5%</f>
        <v>4.9999999999999996E-2</v>
      </c>
      <c r="AJ79" s="64">
        <f>AI79+0.25%</f>
        <v>5.2499999999999998E-2</v>
      </c>
      <c r="AK79" s="64">
        <f>AJ79+0.5%</f>
        <v>5.7499999999999996E-2</v>
      </c>
      <c r="AL79" s="64">
        <f t="shared" ref="AL79:AP79" si="96">AK79</f>
        <v>5.7499999999999996E-2</v>
      </c>
      <c r="AM79" s="64">
        <f t="shared" si="96"/>
        <v>5.7499999999999996E-2</v>
      </c>
      <c r="AN79" s="64">
        <f t="shared" si="96"/>
        <v>5.7499999999999996E-2</v>
      </c>
      <c r="AO79" s="64">
        <f t="shared" si="96"/>
        <v>5.7499999999999996E-2</v>
      </c>
      <c r="AP79" s="64">
        <f t="shared" si="96"/>
        <v>5.7499999999999996E-2</v>
      </c>
      <c r="AQ79" s="54"/>
    </row>
    <row r="80" spans="1:43" x14ac:dyDescent="0.25">
      <c r="C80" t="s">
        <v>145</v>
      </c>
      <c r="E80" s="64"/>
      <c r="F80" s="64"/>
      <c r="G80" s="64"/>
      <c r="H80" s="64"/>
      <c r="I80" s="64"/>
      <c r="J80" s="64"/>
      <c r="K80" s="64"/>
      <c r="L80" s="64"/>
      <c r="M80" s="64"/>
      <c r="N80" s="64"/>
      <c r="O80" s="64"/>
      <c r="P80" s="64"/>
      <c r="Q80" s="65"/>
      <c r="R80" s="65"/>
      <c r="S80" s="65"/>
      <c r="T80" s="65"/>
      <c r="U80" s="65"/>
      <c r="V80" s="65"/>
      <c r="W80" s="65"/>
      <c r="X80" s="65"/>
      <c r="Y80" s="65">
        <v>0.26600000000000001</v>
      </c>
      <c r="Z80" s="65">
        <f>Z81/Z76</f>
        <v>0.22990492653414002</v>
      </c>
      <c r="AA80" s="65">
        <v>0.24199999999999999</v>
      </c>
      <c r="AB80" s="65">
        <f t="shared" ref="AB80:AG80" si="97">AB81/AB76</f>
        <v>0.26942148760330581</v>
      </c>
      <c r="AC80" s="65">
        <f t="shared" si="97"/>
        <v>0.17995910020449898</v>
      </c>
      <c r="AD80" s="65">
        <f t="shared" si="97"/>
        <v>0.24857685009487665</v>
      </c>
      <c r="AE80" s="65">
        <f t="shared" si="97"/>
        <v>0.14285714285714285</v>
      </c>
      <c r="AF80" s="65">
        <f t="shared" si="97"/>
        <v>0.25528269560251288</v>
      </c>
      <c r="AG80" s="65">
        <f t="shared" si="97"/>
        <v>0.18171683389074694</v>
      </c>
      <c r="AH80" s="64">
        <f t="shared" ref="AH80:AL80" si="98">AH77-AH79</f>
        <v>0.248</v>
      </c>
      <c r="AI80" s="64">
        <f t="shared" si="98"/>
        <v>0.22300000000000003</v>
      </c>
      <c r="AJ80" s="64">
        <f t="shared" si="98"/>
        <v>0.22050000000000003</v>
      </c>
      <c r="AK80" s="64">
        <f t="shared" si="98"/>
        <v>0.22550000000000003</v>
      </c>
      <c r="AL80" s="64">
        <f t="shared" si="98"/>
        <v>0.22550000000000003</v>
      </c>
      <c r="AM80" s="64">
        <f>AM77-AM79</f>
        <v>0.22550000000000003</v>
      </c>
      <c r="AN80" s="64">
        <f>AN77-AN79</f>
        <v>0.22550000000000003</v>
      </c>
      <c r="AO80" s="64">
        <f>AO77-AO79</f>
        <v>0.22550000000000003</v>
      </c>
      <c r="AP80" s="64">
        <f>AP77-AP79</f>
        <v>0.22550000000000003</v>
      </c>
      <c r="AQ80" s="54"/>
    </row>
    <row r="81" spans="3:43" s="6" customFormat="1" x14ac:dyDescent="0.25">
      <c r="C81" s="6" t="s">
        <v>147</v>
      </c>
      <c r="D81" s="6" t="s">
        <v>32</v>
      </c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>
        <v>177</v>
      </c>
      <c r="Z81" s="56">
        <f>443-Y81</f>
        <v>266</v>
      </c>
      <c r="AA81" s="56">
        <v>138</v>
      </c>
      <c r="AB81" s="56">
        <f>464-AA81</f>
        <v>326</v>
      </c>
      <c r="AC81" s="56">
        <v>88</v>
      </c>
      <c r="AD81" s="56">
        <f>481-AC81</f>
        <v>393</v>
      </c>
      <c r="AE81" s="56">
        <v>76</v>
      </c>
      <c r="AF81" s="56">
        <f>523-AE81</f>
        <v>447</v>
      </c>
      <c r="AG81" s="56">
        <v>163</v>
      </c>
      <c r="AH81" s="56">
        <f t="shared" ref="AH81:AL81" si="99">AH76*AH80</f>
        <v>368.73461105454544</v>
      </c>
      <c r="AI81" s="56">
        <f t="shared" si="99"/>
        <v>276.85600026213183</v>
      </c>
      <c r="AJ81" s="56">
        <f t="shared" si="99"/>
        <v>282.62939025545973</v>
      </c>
      <c r="AK81" s="56">
        <f t="shared" si="99"/>
        <v>293.32569292172985</v>
      </c>
      <c r="AL81" s="56">
        <f t="shared" si="99"/>
        <v>298.70931223792184</v>
      </c>
      <c r="AM81" s="56">
        <f>AM76*AM80</f>
        <v>303.15384786512323</v>
      </c>
      <c r="AN81" s="56">
        <f>AN76*AN80</f>
        <v>308.73878820919026</v>
      </c>
      <c r="AO81" s="56">
        <f>AO76*AO80</f>
        <v>313.34641931942764</v>
      </c>
      <c r="AP81" s="56">
        <f>AP76*AP80</f>
        <v>319.14050390883278</v>
      </c>
      <c r="AQ81" s="56"/>
    </row>
    <row r="82" spans="3:43" s="72" customFormat="1" x14ac:dyDescent="0.25">
      <c r="C82" s="72" t="s">
        <v>48</v>
      </c>
      <c r="D82" s="72" t="s">
        <v>32</v>
      </c>
      <c r="E82" s="55"/>
      <c r="F82" s="55"/>
      <c r="G82" s="55"/>
      <c r="H82" s="55"/>
      <c r="I82" s="73">
        <v>88</v>
      </c>
      <c r="J82" s="73">
        <f>161-I82</f>
        <v>73</v>
      </c>
      <c r="K82" s="73">
        <v>65</v>
      </c>
      <c r="L82" s="73">
        <f>132-K82</f>
        <v>67</v>
      </c>
      <c r="M82" s="73">
        <v>61</v>
      </c>
      <c r="N82" s="73">
        <f>131-M82</f>
        <v>70</v>
      </c>
      <c r="O82" s="73">
        <v>78</v>
      </c>
      <c r="P82" s="73">
        <f>148-O82</f>
        <v>70</v>
      </c>
      <c r="Q82" s="73">
        <v>57</v>
      </c>
      <c r="R82" s="73">
        <f>109-Q82</f>
        <v>52</v>
      </c>
      <c r="S82" s="73">
        <v>30</v>
      </c>
      <c r="T82" s="73">
        <f>99-S82</f>
        <v>69</v>
      </c>
      <c r="U82" s="73">
        <v>77</v>
      </c>
      <c r="V82" s="73">
        <f>135-U82</f>
        <v>58</v>
      </c>
      <c r="W82" s="73">
        <v>38</v>
      </c>
      <c r="X82" s="73">
        <f>94-W82</f>
        <v>56</v>
      </c>
      <c r="Y82" s="73">
        <v>25</v>
      </c>
      <c r="Z82" s="73">
        <f>79-Y82</f>
        <v>54</v>
      </c>
      <c r="AA82" s="73">
        <v>27</v>
      </c>
      <c r="AB82" s="73">
        <f>78-AA82</f>
        <v>51</v>
      </c>
      <c r="AC82" s="73">
        <v>26</v>
      </c>
      <c r="AD82" s="73">
        <f>99-AC82</f>
        <v>73</v>
      </c>
      <c r="AE82" s="73">
        <v>30</v>
      </c>
      <c r="AF82" s="73">
        <f>96-AE82</f>
        <v>66</v>
      </c>
      <c r="AG82" s="73">
        <v>58</v>
      </c>
      <c r="AH82" s="55">
        <f t="shared" ref="AH82:AL82" si="100">AH78-AH81</f>
        <v>66.907489909090941</v>
      </c>
      <c r="AI82" s="55">
        <f t="shared" si="100"/>
        <v>62.075336381643865</v>
      </c>
      <c r="AJ82" s="55">
        <f t="shared" si="100"/>
        <v>67.292711965585681</v>
      </c>
      <c r="AK82" s="55">
        <f t="shared" si="100"/>
        <v>74.794799747226023</v>
      </c>
      <c r="AL82" s="55">
        <f t="shared" si="100"/>
        <v>76.167562987496638</v>
      </c>
      <c r="AM82" s="55">
        <f>AM78-AM81</f>
        <v>77.300870298202142</v>
      </c>
      <c r="AN82" s="55">
        <f>AN78-AN81</f>
        <v>78.724968168640487</v>
      </c>
      <c r="AO82" s="55">
        <f>AO78-AO81</f>
        <v>79.899863019366194</v>
      </c>
      <c r="AP82" s="55">
        <f>AP78-AP81</f>
        <v>81.377290353693468</v>
      </c>
      <c r="AQ82" s="55"/>
    </row>
    <row r="83" spans="3:43" s="72" customFormat="1" x14ac:dyDescent="0.25">
      <c r="C83" s="72" t="s">
        <v>187</v>
      </c>
      <c r="D83" s="72" t="s">
        <v>32</v>
      </c>
      <c r="E83" s="55"/>
      <c r="F83" s="55"/>
      <c r="G83" s="55"/>
      <c r="H83" s="55"/>
      <c r="I83" s="55"/>
      <c r="J83" s="55"/>
      <c r="K83" s="55"/>
      <c r="L83" s="55"/>
      <c r="M83" s="55"/>
      <c r="N83" s="55"/>
      <c r="O83" s="55"/>
      <c r="P83" s="55"/>
      <c r="Q83" s="55"/>
      <c r="R83" s="55"/>
      <c r="S83" s="55"/>
      <c r="T83" s="55"/>
      <c r="U83" s="55"/>
      <c r="V83" s="55"/>
      <c r="W83" s="55"/>
      <c r="X83" s="55"/>
      <c r="Y83" s="55">
        <f>(Y76-Y78)*0.95</f>
        <v>438.37559999999996</v>
      </c>
      <c r="Z83" s="55"/>
      <c r="AA83" s="55">
        <f>(AA76-AA78)*0.95</f>
        <v>384.59704999999997</v>
      </c>
      <c r="AB83" s="55">
        <f t="shared" ref="AB83:AL83" si="101">(AB76-AB78)*0.95</f>
        <v>792.45294999999999</v>
      </c>
      <c r="AC83" s="55">
        <f t="shared" si="101"/>
        <v>356.25</v>
      </c>
      <c r="AD83" s="55">
        <f t="shared" si="101"/>
        <v>1059.25</v>
      </c>
      <c r="AE83" s="55">
        <f t="shared" si="101"/>
        <v>404.7</v>
      </c>
      <c r="AF83" s="55">
        <f t="shared" si="101"/>
        <v>1169.45</v>
      </c>
      <c r="AG83" s="55">
        <f t="shared" si="101"/>
        <v>642.19999999999993</v>
      </c>
      <c r="AH83" s="55">
        <f t="shared" si="101"/>
        <v>998.631457720909</v>
      </c>
      <c r="AI83" s="55">
        <f t="shared" si="101"/>
        <v>857.44662143964717</v>
      </c>
      <c r="AJ83" s="55">
        <f t="shared" si="101"/>
        <v>885.25164798155663</v>
      </c>
      <c r="AK83" s="55">
        <f t="shared" si="101"/>
        <v>886.02570170126944</v>
      </c>
      <c r="AL83" s="55">
        <f t="shared" si="101"/>
        <v>902.28757441623247</v>
      </c>
      <c r="AM83" s="55">
        <f>(AM76-AM78)*0.95</f>
        <v>915.71283136731108</v>
      </c>
      <c r="AN83" s="55">
        <f>(AN76-AN78)*0.95</f>
        <v>932.58281857512145</v>
      </c>
      <c r="AO83" s="55">
        <f>(AO76-AO78)*0.95</f>
        <v>946.50072514158785</v>
      </c>
      <c r="AP83" s="55">
        <f>(AP76-AP78)*0.95</f>
        <v>964.00245781597073</v>
      </c>
      <c r="AQ83" s="55"/>
    </row>
    <row r="84" spans="3:43" s="10" customFormat="1" x14ac:dyDescent="0.25">
      <c r="C84" s="51"/>
      <c r="E84" s="52"/>
      <c r="F84" s="52"/>
      <c r="G84" s="52"/>
      <c r="H84" s="52"/>
      <c r="I84" s="52"/>
      <c r="J84" s="52"/>
      <c r="K84" s="52"/>
      <c r="L84" s="52"/>
      <c r="M84" s="52"/>
      <c r="N84" s="52"/>
      <c r="O84" s="52"/>
      <c r="P84" s="52"/>
      <c r="Q84" s="52"/>
      <c r="R84" s="52"/>
      <c r="S84" s="52"/>
      <c r="T84" s="52"/>
      <c r="U84" s="52"/>
      <c r="V84" s="52"/>
      <c r="W84" s="52"/>
      <c r="X84" s="52"/>
      <c r="Y84" s="52"/>
      <c r="Z84" s="52"/>
      <c r="AA84" s="52"/>
      <c r="AB84" s="52"/>
      <c r="AC84" s="52"/>
      <c r="AD84" s="52"/>
      <c r="AE84" s="52"/>
      <c r="AF84" s="52"/>
      <c r="AG84" s="52"/>
      <c r="AH84" s="52"/>
      <c r="AI84" s="52"/>
      <c r="AJ84" s="52"/>
      <c r="AK84" s="11"/>
      <c r="AL84" s="11"/>
      <c r="AM84" s="11"/>
      <c r="AN84" s="11"/>
      <c r="AO84" s="11"/>
      <c r="AP84" s="11"/>
      <c r="AQ84" s="11"/>
    </row>
    <row r="85" spans="3:43" s="12" customFormat="1" x14ac:dyDescent="0.25">
      <c r="C85" s="12" t="s">
        <v>369</v>
      </c>
      <c r="E85" s="67"/>
      <c r="F85" s="67"/>
      <c r="G85" s="67"/>
      <c r="H85" s="67"/>
      <c r="I85" s="67"/>
      <c r="J85" s="67"/>
      <c r="K85" s="67"/>
      <c r="L85" s="67"/>
      <c r="M85" s="67"/>
      <c r="N85" s="67"/>
      <c r="O85" s="67"/>
      <c r="P85" s="67"/>
      <c r="Q85" s="67"/>
      <c r="R85" s="67"/>
      <c r="S85" s="67"/>
      <c r="T85" s="67"/>
      <c r="U85" s="67"/>
      <c r="V85" s="67"/>
      <c r="W85" s="67"/>
      <c r="X85" s="67"/>
      <c r="Y85" s="67"/>
      <c r="Z85" s="67"/>
      <c r="AA85" s="123"/>
      <c r="AB85" s="123"/>
      <c r="AC85" s="67">
        <f>AC66+AC81</f>
        <v>88</v>
      </c>
      <c r="AD85" s="67">
        <f>AD66+AD81</f>
        <v>393</v>
      </c>
      <c r="AE85" s="67">
        <f t="shared" ref="AE85:AL85" si="102">AE66+AE81</f>
        <v>76</v>
      </c>
      <c r="AF85" s="67">
        <f t="shared" si="102"/>
        <v>447</v>
      </c>
      <c r="AG85" s="67">
        <f t="shared" si="102"/>
        <v>163</v>
      </c>
      <c r="AH85" s="67">
        <f t="shared" si="102"/>
        <v>368.73461105454544</v>
      </c>
      <c r="AI85" s="67">
        <f t="shared" si="102"/>
        <v>276.85600026213183</v>
      </c>
      <c r="AJ85" s="67">
        <f t="shared" si="102"/>
        <v>282.62939025545973</v>
      </c>
      <c r="AK85" s="67">
        <f t="shared" si="102"/>
        <v>293.32569292172985</v>
      </c>
      <c r="AL85" s="67">
        <f t="shared" si="102"/>
        <v>298.70931223792184</v>
      </c>
      <c r="AM85" s="67">
        <f>AM66+AM81</f>
        <v>303.15384786512323</v>
      </c>
      <c r="AN85" s="67">
        <f>AN66+AN81</f>
        <v>308.73878820919026</v>
      </c>
      <c r="AO85" s="67">
        <f>AO66+AO81</f>
        <v>313.34641931942764</v>
      </c>
      <c r="AP85" s="67">
        <f>AP66+AP81</f>
        <v>319.14050390883278</v>
      </c>
      <c r="AQ85" s="67"/>
    </row>
    <row r="86" spans="3:43" s="10" customFormat="1" x14ac:dyDescent="0.25">
      <c r="C86" s="51"/>
      <c r="E86" s="52"/>
      <c r="F86" s="52"/>
      <c r="G86" s="52"/>
      <c r="H86" s="52"/>
      <c r="I86" s="52"/>
      <c r="J86" s="52"/>
      <c r="K86" s="52"/>
      <c r="L86" s="52"/>
      <c r="M86" s="52"/>
      <c r="N86" s="52"/>
      <c r="O86" s="52"/>
      <c r="P86" s="52"/>
      <c r="Q86" s="52"/>
      <c r="R86" s="52"/>
      <c r="S86" s="52"/>
      <c r="T86" s="52"/>
      <c r="U86" s="52"/>
      <c r="V86" s="52"/>
      <c r="W86" s="52"/>
      <c r="X86" s="52"/>
      <c r="Y86" s="52"/>
      <c r="Z86" s="52"/>
      <c r="AA86" s="52"/>
      <c r="AB86" s="52"/>
      <c r="AC86" s="52"/>
      <c r="AD86" s="52"/>
      <c r="AE86" s="52"/>
      <c r="AF86" s="52"/>
      <c r="AG86" s="52"/>
      <c r="AH86" s="52"/>
      <c r="AI86" s="52"/>
      <c r="AJ86" s="52"/>
      <c r="AK86" s="11"/>
      <c r="AL86" s="11"/>
      <c r="AM86" s="11"/>
      <c r="AN86" s="11"/>
      <c r="AO86" s="11"/>
      <c r="AP86" s="11"/>
      <c r="AQ86" s="11"/>
    </row>
    <row r="87" spans="3:43" s="10" customFormat="1" x14ac:dyDescent="0.25">
      <c r="C87" s="51"/>
      <c r="E87" s="52"/>
      <c r="F87" s="52"/>
      <c r="G87" s="52"/>
      <c r="H87" s="52"/>
      <c r="I87" s="52"/>
      <c r="J87" s="52"/>
      <c r="K87" s="52"/>
      <c r="L87" s="52"/>
      <c r="M87" s="52"/>
      <c r="N87" s="52"/>
      <c r="O87" s="52"/>
      <c r="P87" s="52"/>
      <c r="Q87" s="52"/>
      <c r="R87" s="52"/>
      <c r="S87" s="52"/>
      <c r="T87" s="52"/>
      <c r="U87" s="52"/>
      <c r="V87" s="52"/>
      <c r="W87" s="52"/>
      <c r="X87" s="52"/>
      <c r="Y87" s="52"/>
      <c r="Z87" s="52"/>
      <c r="AA87" s="52"/>
      <c r="AB87" s="52"/>
      <c r="AC87" s="52"/>
      <c r="AD87" s="59">
        <f>AD74/SUM(AD71:AD73)</f>
        <v>-0.10170454545454545</v>
      </c>
      <c r="AE87" s="59">
        <f>AE74/SUM(AE71:AE73)</f>
        <v>-0.22108345534407028</v>
      </c>
      <c r="AF87" s="59">
        <f>AF74/SUM(AF71:AF73)</f>
        <v>-0.17870544090056284</v>
      </c>
      <c r="AG87" s="59">
        <f>AG74/SUM(AG71:AG73)</f>
        <v>-0.29788897576231432</v>
      </c>
      <c r="AH87" s="59">
        <f>AH74/SUM(AH71:AH73)</f>
        <v>-0.2039796800611571</v>
      </c>
      <c r="AI87" s="59">
        <f t="shared" ref="AI87:AP87" si="103">AI74/SUM(AI71:AI73)</f>
        <v>-0.21003273933941824</v>
      </c>
      <c r="AJ87" s="59">
        <f t="shared" si="103"/>
        <v>-0.21020619603692575</v>
      </c>
      <c r="AK87" s="59">
        <f t="shared" si="103"/>
        <v>-0.21028435661980482</v>
      </c>
      <c r="AL87" s="59">
        <f t="shared" si="103"/>
        <v>-0.21037930160963372</v>
      </c>
      <c r="AM87" s="59">
        <f t="shared" si="103"/>
        <v>-0.21045512744406453</v>
      </c>
      <c r="AN87" s="59">
        <f t="shared" si="103"/>
        <v>-0.21054729424320995</v>
      </c>
      <c r="AO87" s="59">
        <f t="shared" si="103"/>
        <v>-0.21062084393450786</v>
      </c>
      <c r="AP87" s="59">
        <f t="shared" si="103"/>
        <v>-0.21071029954224268</v>
      </c>
      <c r="AQ87" s="11"/>
    </row>
    <row r="88" spans="3:43" s="10" customFormat="1" x14ac:dyDescent="0.25">
      <c r="C88" s="51"/>
      <c r="E88" s="52"/>
      <c r="F88" s="52"/>
      <c r="G88" s="52"/>
      <c r="H88" s="52"/>
      <c r="I88" s="52"/>
      <c r="J88" s="52"/>
      <c r="K88" s="52"/>
      <c r="L88" s="52"/>
      <c r="M88" s="52"/>
      <c r="N88" s="52"/>
      <c r="O88" s="52"/>
      <c r="P88" s="52"/>
      <c r="Q88" s="52"/>
      <c r="R88" s="52"/>
      <c r="S88" s="52"/>
      <c r="T88" s="52"/>
      <c r="U88" s="52"/>
      <c r="V88" s="52"/>
      <c r="W88" s="52"/>
      <c r="X88" s="52"/>
      <c r="Y88" s="52"/>
      <c r="Z88" s="52"/>
      <c r="AA88" s="52"/>
      <c r="AB88" s="52"/>
      <c r="AC88" s="52"/>
      <c r="AD88" s="52"/>
      <c r="AE88" s="52"/>
      <c r="AF88" s="59">
        <f>SUM(AE81:AF81)/SUM(AE76:AF76)</f>
        <v>0.22908453788874289</v>
      </c>
      <c r="AG88" s="52"/>
      <c r="AH88" s="59">
        <f>SUM(AG81:AH81)/SUM(AG76:AH76)</f>
        <v>0.22305865667640049</v>
      </c>
      <c r="AI88" s="52"/>
      <c r="AJ88" s="52"/>
      <c r="AK88" s="11"/>
      <c r="AL88" s="11"/>
      <c r="AM88" s="11"/>
      <c r="AN88" s="11"/>
      <c r="AO88" s="11"/>
      <c r="AP88" s="11"/>
      <c r="AQ88" s="11"/>
    </row>
    <row r="89" spans="3:43" s="10" customFormat="1" x14ac:dyDescent="0.25">
      <c r="C89" s="51"/>
      <c r="E89" s="52"/>
      <c r="F89" s="52"/>
      <c r="G89" s="52"/>
      <c r="H89" s="52"/>
      <c r="I89" s="52"/>
      <c r="J89" s="52"/>
      <c r="K89" s="52"/>
      <c r="L89" s="52"/>
      <c r="M89" s="52"/>
      <c r="N89" s="52"/>
      <c r="O89" s="52"/>
      <c r="P89" s="52"/>
      <c r="Q89" s="52"/>
      <c r="R89" s="52"/>
      <c r="S89" s="52"/>
      <c r="T89" s="52"/>
      <c r="U89" s="52"/>
      <c r="V89" s="52"/>
      <c r="W89" s="52"/>
      <c r="X89" s="52"/>
      <c r="Y89" s="52"/>
      <c r="Z89" s="52"/>
      <c r="AA89" s="52"/>
      <c r="AB89" s="52"/>
      <c r="AC89" s="52"/>
      <c r="AD89" s="52"/>
      <c r="AE89" s="52"/>
      <c r="AF89" s="52"/>
      <c r="AG89" s="52"/>
      <c r="AH89" s="52"/>
      <c r="AI89" s="52"/>
      <c r="AJ89" s="52"/>
      <c r="AK89" s="11"/>
      <c r="AL89" s="11"/>
      <c r="AM89" s="11"/>
      <c r="AN89" s="11"/>
      <c r="AO89" s="11"/>
      <c r="AP89" s="11"/>
      <c r="AQ89" s="11"/>
    </row>
    <row r="90" spans="3:43" s="10" customFormat="1" x14ac:dyDescent="0.25">
      <c r="C90" s="51"/>
      <c r="E90" s="52"/>
      <c r="F90" s="52"/>
      <c r="G90" s="52"/>
      <c r="H90" s="52"/>
      <c r="I90" s="52"/>
      <c r="J90" s="52"/>
      <c r="K90" s="52"/>
      <c r="L90" s="52"/>
      <c r="M90" s="52"/>
      <c r="N90" s="52"/>
      <c r="O90" s="52"/>
      <c r="P90" s="52"/>
      <c r="Q90" s="52"/>
      <c r="R90" s="52"/>
      <c r="S90" s="52"/>
      <c r="T90" s="52"/>
      <c r="U90" s="52"/>
      <c r="V90" s="52"/>
      <c r="W90" s="52"/>
      <c r="X90" s="52"/>
      <c r="Y90" s="52"/>
      <c r="Z90" s="52"/>
      <c r="AA90" s="52"/>
      <c r="AB90" s="52"/>
      <c r="AC90" s="52"/>
      <c r="AD90" s="52"/>
      <c r="AE90" s="52"/>
      <c r="AF90" s="52"/>
      <c r="AG90" s="52"/>
      <c r="AH90" s="52"/>
      <c r="AI90" s="52"/>
      <c r="AJ90" s="52"/>
      <c r="AK90" s="11"/>
      <c r="AL90" s="11"/>
      <c r="AM90" s="11"/>
      <c r="AN90" s="11"/>
      <c r="AO90" s="11"/>
      <c r="AP90" s="11"/>
      <c r="AQ90" s="11"/>
    </row>
    <row r="91" spans="3:43" s="10" customFormat="1" x14ac:dyDescent="0.25">
      <c r="C91" s="51"/>
      <c r="E91" s="52"/>
      <c r="F91" s="52"/>
      <c r="G91" s="52"/>
      <c r="H91" s="52"/>
      <c r="I91" s="52"/>
      <c r="J91" s="52"/>
      <c r="K91" s="52"/>
      <c r="L91" s="52"/>
      <c r="M91" s="52"/>
      <c r="N91" s="52"/>
      <c r="O91" s="52"/>
      <c r="P91" s="52"/>
      <c r="Q91" s="52"/>
      <c r="R91" s="52"/>
      <c r="S91" s="52"/>
      <c r="T91" s="52"/>
      <c r="U91" s="52"/>
      <c r="V91" s="52"/>
      <c r="W91" s="52"/>
      <c r="X91" s="52" t="s">
        <v>355</v>
      </c>
      <c r="Y91" s="52"/>
      <c r="Z91" s="59">
        <v>0.28299999999999997</v>
      </c>
      <c r="AA91" s="59"/>
      <c r="AB91" s="59">
        <v>0.30399999999999999</v>
      </c>
      <c r="AC91" s="59"/>
      <c r="AD91" s="59"/>
      <c r="AE91" s="59"/>
      <c r="AF91" s="59"/>
      <c r="AG91" s="59"/>
      <c r="AH91" s="59"/>
      <c r="AI91" s="59"/>
      <c r="AJ91" s="59"/>
      <c r="AK91" s="59"/>
      <c r="AL91" s="59"/>
      <c r="AM91" s="59"/>
      <c r="AN91" s="59"/>
      <c r="AO91" s="59"/>
      <c r="AP91" s="59"/>
      <c r="AQ91" s="11"/>
    </row>
    <row r="92" spans="3:43" s="10" customFormat="1" x14ac:dyDescent="0.25">
      <c r="C92" s="51"/>
      <c r="E92" s="52"/>
      <c r="F92" s="52"/>
      <c r="G92" s="52"/>
      <c r="H92" s="52"/>
      <c r="I92" s="52"/>
      <c r="J92" s="52"/>
      <c r="K92" s="52"/>
      <c r="L92" s="52"/>
      <c r="M92" s="52"/>
      <c r="N92" s="52"/>
      <c r="O92" s="52"/>
      <c r="P92" s="52"/>
      <c r="Q92" s="52"/>
      <c r="R92" s="52"/>
      <c r="S92" s="52"/>
      <c r="T92" s="52"/>
      <c r="U92" s="52"/>
      <c r="V92" s="52"/>
      <c r="W92" s="52"/>
      <c r="X92" s="52" t="s">
        <v>356</v>
      </c>
      <c r="Y92" s="52"/>
      <c r="Z92" s="59">
        <v>0.24299999999999999</v>
      </c>
      <c r="AA92" s="59"/>
      <c r="AB92" s="59">
        <v>0.26</v>
      </c>
      <c r="AC92" s="59"/>
      <c r="AD92" s="59" t="s">
        <v>357</v>
      </c>
      <c r="AE92" s="59"/>
      <c r="AF92" s="59"/>
      <c r="AG92" s="59"/>
      <c r="AH92" s="59"/>
      <c r="AI92" s="59"/>
      <c r="AJ92" s="59"/>
      <c r="AK92" s="59"/>
      <c r="AL92" s="59"/>
      <c r="AM92" s="59"/>
      <c r="AN92" s="59"/>
      <c r="AO92" s="59"/>
      <c r="AP92" s="59"/>
      <c r="AQ92" s="11"/>
    </row>
    <row r="93" spans="3:43" s="10" customFormat="1" x14ac:dyDescent="0.25">
      <c r="C93" s="51"/>
      <c r="E93" s="52"/>
      <c r="F93" s="52"/>
      <c r="G93" s="52"/>
      <c r="H93" s="52"/>
      <c r="I93" s="52"/>
      <c r="J93" s="52"/>
      <c r="K93" s="52"/>
      <c r="L93" s="52"/>
      <c r="M93" s="52"/>
      <c r="N93" s="52"/>
      <c r="O93" s="52"/>
      <c r="P93" s="52"/>
      <c r="Q93" s="52"/>
      <c r="R93" s="52"/>
      <c r="S93" s="52"/>
      <c r="T93" s="52"/>
      <c r="U93" s="52"/>
      <c r="V93" s="52"/>
      <c r="W93" s="52"/>
      <c r="X93" s="52"/>
      <c r="Y93" s="52"/>
      <c r="Z93" s="52"/>
      <c r="AA93" s="52"/>
      <c r="AB93" s="52"/>
      <c r="AC93" s="52"/>
      <c r="AD93" s="52"/>
      <c r="AE93" s="52"/>
      <c r="AF93" s="52"/>
      <c r="AG93" s="52"/>
      <c r="AH93" s="52"/>
      <c r="AI93" s="52"/>
      <c r="AJ93" s="52"/>
      <c r="AK93" s="11"/>
      <c r="AL93" s="11"/>
      <c r="AM93" s="11"/>
      <c r="AN93" s="11"/>
      <c r="AO93" s="11"/>
      <c r="AP93" s="11"/>
      <c r="AQ93" s="11"/>
    </row>
    <row r="94" spans="3:43" s="10" customFormat="1" x14ac:dyDescent="0.25">
      <c r="C94" s="51"/>
      <c r="E94" s="52"/>
      <c r="F94" s="52"/>
      <c r="G94" s="52"/>
      <c r="H94" s="52"/>
      <c r="I94" s="52"/>
      <c r="J94" s="52"/>
      <c r="K94" s="52"/>
      <c r="L94" s="52"/>
      <c r="M94" s="52"/>
      <c r="N94" s="52"/>
      <c r="O94" s="52"/>
      <c r="P94" s="52"/>
      <c r="Q94" s="52"/>
      <c r="R94" s="52"/>
      <c r="S94" s="52"/>
      <c r="T94" s="52"/>
      <c r="U94" s="52"/>
      <c r="V94" s="52"/>
      <c r="W94" s="52"/>
      <c r="X94" s="52"/>
      <c r="Y94" s="52"/>
      <c r="Z94" s="52"/>
      <c r="AA94" s="52"/>
      <c r="AB94" s="52"/>
      <c r="AC94" s="52"/>
      <c r="AD94" s="52">
        <v>5200</v>
      </c>
      <c r="AE94" s="52"/>
      <c r="AF94" s="52"/>
      <c r="AG94" s="52"/>
      <c r="AH94" s="52"/>
      <c r="AI94" s="52"/>
      <c r="AJ94" s="52"/>
      <c r="AK94" s="11"/>
      <c r="AL94" s="11"/>
      <c r="AM94" s="11"/>
      <c r="AN94" s="11"/>
      <c r="AO94" s="11"/>
      <c r="AP94" s="11"/>
      <c r="AQ94" s="11"/>
    </row>
    <row r="95" spans="3:43" s="10" customFormat="1" x14ac:dyDescent="0.25">
      <c r="C95" s="51"/>
      <c r="E95" s="52"/>
      <c r="F95" s="52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>
        <v>0.3</v>
      </c>
      <c r="AE95" s="52"/>
      <c r="AF95" s="52"/>
      <c r="AG95" s="52"/>
      <c r="AH95" s="52"/>
      <c r="AI95" s="52"/>
      <c r="AJ95" s="52"/>
      <c r="AK95" s="11"/>
      <c r="AL95" s="11"/>
      <c r="AM95" s="11"/>
      <c r="AN95" s="11"/>
      <c r="AO95" s="11"/>
      <c r="AP95" s="11"/>
      <c r="AQ95" s="11"/>
    </row>
    <row r="96" spans="3:43" s="10" customFormat="1" x14ac:dyDescent="0.25">
      <c r="C96" s="51"/>
      <c r="E96" s="52"/>
      <c r="F96" s="52"/>
      <c r="G96" s="52"/>
      <c r="H96" s="52"/>
      <c r="I96" s="52"/>
      <c r="J96" s="52"/>
      <c r="K96" s="52"/>
      <c r="L96" s="52"/>
      <c r="M96" s="52"/>
      <c r="N96" s="52"/>
      <c r="O96" s="52"/>
      <c r="P96" s="52"/>
      <c r="Q96" s="52"/>
      <c r="R96" s="52"/>
      <c r="S96" s="52"/>
      <c r="T96" s="52"/>
      <c r="U96" s="52"/>
      <c r="V96" s="52"/>
      <c r="W96" s="52"/>
      <c r="X96" s="52"/>
      <c r="Y96" s="52"/>
      <c r="Z96" s="52"/>
      <c r="AA96" s="52"/>
      <c r="AB96" s="52"/>
      <c r="AC96" s="52"/>
      <c r="AD96" s="52">
        <f>AD94*AD95</f>
        <v>1560</v>
      </c>
      <c r="AE96" s="52"/>
      <c r="AF96" s="52"/>
      <c r="AG96" s="52"/>
      <c r="AH96" s="52"/>
      <c r="AI96" s="52"/>
      <c r="AJ96" s="52"/>
      <c r="AK96" s="11"/>
      <c r="AL96" s="11"/>
      <c r="AM96" s="11"/>
      <c r="AN96" s="11"/>
      <c r="AO96" s="11"/>
      <c r="AP96" s="11"/>
      <c r="AQ96" s="11"/>
    </row>
    <row r="97" spans="21:27" x14ac:dyDescent="0.25">
      <c r="U97" s="35"/>
      <c r="V97" s="35"/>
      <c r="W97" s="35"/>
      <c r="X97" s="35"/>
      <c r="Y97" s="35"/>
      <c r="Z97" s="35"/>
      <c r="AA97" s="35"/>
    </row>
  </sheetData>
  <phoneticPr fontId="16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C6DF0C-7F4A-4ED1-A468-6108E42234A7}">
  <sheetPr codeName="Sheet12"/>
  <dimension ref="A1:BE57"/>
  <sheetViews>
    <sheetView zoomScale="85" zoomScaleNormal="85" workbookViewId="0">
      <pane xSplit="4" ySplit="7" topLeftCell="X23" activePane="bottomRight" state="frozen"/>
      <selection pane="topRight" activeCell="E1" sqref="E1"/>
      <selection pane="bottomLeft" activeCell="A12" sqref="A12"/>
      <selection pane="bottomRight" activeCell="AG48" sqref="AG48"/>
    </sheetView>
  </sheetViews>
  <sheetFormatPr defaultRowHeight="15" x14ac:dyDescent="0.25"/>
  <cols>
    <col min="1" max="1" width="3.42578125" customWidth="1"/>
    <col min="2" max="2" width="4" customWidth="1"/>
    <col min="3" max="3" width="45.7109375" customWidth="1"/>
    <col min="5" max="20" width="10.7109375" hidden="1" customWidth="1"/>
    <col min="21" max="42" width="10.7109375" customWidth="1"/>
  </cols>
  <sheetData>
    <row r="1" spans="1:57" x14ac:dyDescent="0.25">
      <c r="A1" s="1" t="str">
        <f>Group!A1</f>
        <v>SGP Model - Morgan Stanley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</row>
    <row r="2" spans="1:57" x14ac:dyDescent="0.25">
      <c r="A2" s="15" t="s">
        <v>117</v>
      </c>
      <c r="B2" s="15"/>
      <c r="C2" s="15"/>
      <c r="D2" s="15"/>
      <c r="E2" s="16">
        <v>40908</v>
      </c>
      <c r="F2" s="16">
        <f>EOMONTH(E2,6)</f>
        <v>41090</v>
      </c>
      <c r="G2" s="16">
        <f t="shared" ref="G2:AL2" si="0">EOMONTH(F2,6)</f>
        <v>41274</v>
      </c>
      <c r="H2" s="16">
        <f t="shared" si="0"/>
        <v>41455</v>
      </c>
      <c r="I2" s="16">
        <f t="shared" si="0"/>
        <v>41639</v>
      </c>
      <c r="J2" s="16">
        <f t="shared" si="0"/>
        <v>41820</v>
      </c>
      <c r="K2" s="16">
        <f t="shared" si="0"/>
        <v>42004</v>
      </c>
      <c r="L2" s="16">
        <f t="shared" si="0"/>
        <v>42185</v>
      </c>
      <c r="M2" s="16">
        <f t="shared" si="0"/>
        <v>42369</v>
      </c>
      <c r="N2" s="16">
        <f t="shared" si="0"/>
        <v>42551</v>
      </c>
      <c r="O2" s="16">
        <f t="shared" si="0"/>
        <v>42735</v>
      </c>
      <c r="P2" s="16">
        <f t="shared" si="0"/>
        <v>42916</v>
      </c>
      <c r="Q2" s="16">
        <f t="shared" si="0"/>
        <v>43100</v>
      </c>
      <c r="R2" s="16">
        <f t="shared" si="0"/>
        <v>43281</v>
      </c>
      <c r="S2" s="16">
        <f t="shared" si="0"/>
        <v>43465</v>
      </c>
      <c r="T2" s="16">
        <f t="shared" si="0"/>
        <v>43646</v>
      </c>
      <c r="U2" s="16">
        <f t="shared" si="0"/>
        <v>43830</v>
      </c>
      <c r="V2" s="16">
        <f t="shared" si="0"/>
        <v>44012</v>
      </c>
      <c r="W2" s="16">
        <f t="shared" si="0"/>
        <v>44196</v>
      </c>
      <c r="X2" s="16">
        <f t="shared" si="0"/>
        <v>44377</v>
      </c>
      <c r="Y2" s="16">
        <f t="shared" si="0"/>
        <v>44561</v>
      </c>
      <c r="Z2" s="16">
        <f t="shared" si="0"/>
        <v>44742</v>
      </c>
      <c r="AA2" s="16">
        <f t="shared" si="0"/>
        <v>44926</v>
      </c>
      <c r="AB2" s="16">
        <f t="shared" si="0"/>
        <v>45107</v>
      </c>
      <c r="AC2" s="16">
        <f t="shared" si="0"/>
        <v>45291</v>
      </c>
      <c r="AD2" s="16">
        <f t="shared" si="0"/>
        <v>45473</v>
      </c>
      <c r="AE2" s="16">
        <f t="shared" si="0"/>
        <v>45657</v>
      </c>
      <c r="AF2" s="16">
        <f t="shared" si="0"/>
        <v>45838</v>
      </c>
      <c r="AG2" s="16">
        <f t="shared" si="0"/>
        <v>46022</v>
      </c>
      <c r="AH2" s="16">
        <f t="shared" si="0"/>
        <v>46203</v>
      </c>
      <c r="AI2" s="16">
        <f t="shared" si="0"/>
        <v>46387</v>
      </c>
      <c r="AJ2" s="16">
        <f t="shared" si="0"/>
        <v>46568</v>
      </c>
      <c r="AK2" s="48">
        <f t="shared" si="0"/>
        <v>46752</v>
      </c>
      <c r="AL2" s="48">
        <f t="shared" si="0"/>
        <v>46934</v>
      </c>
      <c r="AM2" s="48">
        <f>EOMONTH(AL2,6)</f>
        <v>47118</v>
      </c>
      <c r="AN2" s="48">
        <f>EOMONTH(AM2,6)</f>
        <v>47299</v>
      </c>
      <c r="AO2" s="48">
        <f>EOMONTH(AN2,6)</f>
        <v>47483</v>
      </c>
      <c r="AP2" s="48">
        <f>EOMONTH(AO2,6)</f>
        <v>47664</v>
      </c>
    </row>
    <row r="3" spans="1:57" ht="15.75" thickBot="1" x14ac:dyDescent="0.3">
      <c r="A3" s="2"/>
      <c r="B3" s="2"/>
      <c r="C3" s="2"/>
      <c r="D3" s="2"/>
      <c r="E3" s="18" t="str">
        <f>E4&amp;"-"&amp;E5</f>
        <v>2012-H1</v>
      </c>
      <c r="F3" s="18" t="str">
        <f>F4&amp;"-"&amp;F5</f>
        <v>2012-H2</v>
      </c>
      <c r="G3" s="18" t="str">
        <f t="shared" ref="G3:AL3" si="1">G4&amp;"-"&amp;G5</f>
        <v>2013-H1</v>
      </c>
      <c r="H3" s="18" t="str">
        <f t="shared" si="1"/>
        <v>2013-H2</v>
      </c>
      <c r="I3" s="18" t="str">
        <f t="shared" si="1"/>
        <v>2014-H1</v>
      </c>
      <c r="J3" s="18" t="str">
        <f t="shared" si="1"/>
        <v>2014-H2</v>
      </c>
      <c r="K3" s="18" t="str">
        <f t="shared" si="1"/>
        <v>2015-H1</v>
      </c>
      <c r="L3" s="18" t="str">
        <f t="shared" si="1"/>
        <v>2015-H2</v>
      </c>
      <c r="M3" s="18" t="str">
        <f t="shared" si="1"/>
        <v>2016-H1</v>
      </c>
      <c r="N3" s="18" t="str">
        <f t="shared" si="1"/>
        <v>2016-H2</v>
      </c>
      <c r="O3" s="18" t="str">
        <f t="shared" si="1"/>
        <v>2017-H1</v>
      </c>
      <c r="P3" s="18" t="str">
        <f t="shared" si="1"/>
        <v>2017-H2</v>
      </c>
      <c r="Q3" s="18" t="str">
        <f t="shared" si="1"/>
        <v>2018-H1</v>
      </c>
      <c r="R3" s="18" t="str">
        <f t="shared" si="1"/>
        <v>2018-H2</v>
      </c>
      <c r="S3" s="18" t="str">
        <f t="shared" si="1"/>
        <v>2019-H1</v>
      </c>
      <c r="T3" s="18" t="str">
        <f t="shared" si="1"/>
        <v>2019-H2</v>
      </c>
      <c r="U3" s="18" t="str">
        <f t="shared" si="1"/>
        <v>2020-H1</v>
      </c>
      <c r="V3" s="18" t="str">
        <f t="shared" si="1"/>
        <v>2020-H2</v>
      </c>
      <c r="W3" s="18" t="str">
        <f t="shared" si="1"/>
        <v>2021-H1</v>
      </c>
      <c r="X3" s="18" t="str">
        <f t="shared" si="1"/>
        <v>2021-H2</v>
      </c>
      <c r="Y3" s="18" t="str">
        <f t="shared" si="1"/>
        <v>2022-H1</v>
      </c>
      <c r="Z3" s="18" t="str">
        <f t="shared" si="1"/>
        <v>2022-H2</v>
      </c>
      <c r="AA3" s="18" t="str">
        <f t="shared" si="1"/>
        <v>2023-H1</v>
      </c>
      <c r="AB3" s="18" t="str">
        <f t="shared" si="1"/>
        <v>2023-H2</v>
      </c>
      <c r="AC3" s="18" t="str">
        <f t="shared" si="1"/>
        <v>2024-H1</v>
      </c>
      <c r="AD3" s="18" t="str">
        <f t="shared" si="1"/>
        <v>2024-H2</v>
      </c>
      <c r="AE3" s="18" t="str">
        <f t="shared" si="1"/>
        <v>2025-H1</v>
      </c>
      <c r="AF3" s="18" t="str">
        <f t="shared" si="1"/>
        <v>2025-H2</v>
      </c>
      <c r="AG3" s="18" t="str">
        <f t="shared" si="1"/>
        <v>2026-H1</v>
      </c>
      <c r="AH3" s="18" t="str">
        <f t="shared" si="1"/>
        <v>2026-H2</v>
      </c>
      <c r="AI3" s="18" t="str">
        <f t="shared" si="1"/>
        <v>2027-H1</v>
      </c>
      <c r="AJ3" s="18" t="str">
        <f t="shared" si="1"/>
        <v>2027-H2</v>
      </c>
      <c r="AK3" s="18" t="str">
        <f t="shared" si="1"/>
        <v>2028-H1</v>
      </c>
      <c r="AL3" s="18" t="str">
        <f t="shared" si="1"/>
        <v>2028-H2</v>
      </c>
      <c r="AM3" s="18" t="str">
        <f>AM4&amp;"-"&amp;AM5</f>
        <v>2029-H1</v>
      </c>
      <c r="AN3" s="18" t="str">
        <f>AN4&amp;"-"&amp;AN5</f>
        <v>2029-H2</v>
      </c>
      <c r="AO3" s="18" t="str">
        <f>AO4&amp;"-"&amp;AO5</f>
        <v>2030-H1</v>
      </c>
      <c r="AP3" s="18" t="str">
        <f>AP4&amp;"-"&amp;AP5</f>
        <v>2030-H2</v>
      </c>
    </row>
    <row r="4" spans="1:57" hidden="1" x14ac:dyDescent="0.25">
      <c r="E4">
        <v>2012</v>
      </c>
      <c r="F4">
        <f>E4</f>
        <v>2012</v>
      </c>
      <c r="G4">
        <f>E4+1</f>
        <v>2013</v>
      </c>
      <c r="H4">
        <f>F4+1</f>
        <v>2013</v>
      </c>
      <c r="I4">
        <f>G4+1</f>
        <v>2014</v>
      </c>
      <c r="J4">
        <f>H4+1</f>
        <v>2014</v>
      </c>
      <c r="K4">
        <f t="shared" ref="K4:AL4" si="2">I4+1</f>
        <v>2015</v>
      </c>
      <c r="L4">
        <f t="shared" si="2"/>
        <v>2015</v>
      </c>
      <c r="M4">
        <f t="shared" si="2"/>
        <v>2016</v>
      </c>
      <c r="N4">
        <f t="shared" si="2"/>
        <v>2016</v>
      </c>
      <c r="O4">
        <f t="shared" si="2"/>
        <v>2017</v>
      </c>
      <c r="P4">
        <f t="shared" si="2"/>
        <v>2017</v>
      </c>
      <c r="Q4">
        <f t="shared" si="2"/>
        <v>2018</v>
      </c>
      <c r="R4">
        <f t="shared" si="2"/>
        <v>2018</v>
      </c>
      <c r="S4">
        <f t="shared" si="2"/>
        <v>2019</v>
      </c>
      <c r="T4">
        <f t="shared" si="2"/>
        <v>2019</v>
      </c>
      <c r="U4">
        <f t="shared" si="2"/>
        <v>2020</v>
      </c>
      <c r="V4">
        <f t="shared" si="2"/>
        <v>2020</v>
      </c>
      <c r="W4">
        <f t="shared" si="2"/>
        <v>2021</v>
      </c>
      <c r="X4">
        <f t="shared" si="2"/>
        <v>2021</v>
      </c>
      <c r="Y4">
        <f t="shared" si="2"/>
        <v>2022</v>
      </c>
      <c r="Z4">
        <f t="shared" si="2"/>
        <v>2022</v>
      </c>
      <c r="AA4">
        <f t="shared" si="2"/>
        <v>2023</v>
      </c>
      <c r="AB4">
        <f t="shared" si="2"/>
        <v>2023</v>
      </c>
      <c r="AC4">
        <f t="shared" si="2"/>
        <v>2024</v>
      </c>
      <c r="AD4">
        <f t="shared" si="2"/>
        <v>2024</v>
      </c>
      <c r="AE4">
        <f t="shared" si="2"/>
        <v>2025</v>
      </c>
      <c r="AF4">
        <f t="shared" si="2"/>
        <v>2025</v>
      </c>
      <c r="AG4">
        <f t="shared" si="2"/>
        <v>2026</v>
      </c>
      <c r="AH4">
        <f t="shared" si="2"/>
        <v>2026</v>
      </c>
      <c r="AI4">
        <f t="shared" si="2"/>
        <v>2027</v>
      </c>
      <c r="AJ4">
        <f t="shared" si="2"/>
        <v>2027</v>
      </c>
      <c r="AK4">
        <f t="shared" si="2"/>
        <v>2028</v>
      </c>
      <c r="AL4">
        <f t="shared" si="2"/>
        <v>2028</v>
      </c>
      <c r="AM4">
        <f>AK4+1</f>
        <v>2029</v>
      </c>
      <c r="AN4">
        <f>AL4+1</f>
        <v>2029</v>
      </c>
      <c r="AO4">
        <f>AM4+1</f>
        <v>2030</v>
      </c>
      <c r="AP4">
        <f>AN4+1</f>
        <v>2030</v>
      </c>
    </row>
    <row r="5" spans="1:57" hidden="1" x14ac:dyDescent="0.25">
      <c r="E5" s="3" t="s">
        <v>28</v>
      </c>
      <c r="F5" s="3" t="s">
        <v>29</v>
      </c>
      <c r="G5" s="3" t="s">
        <v>28</v>
      </c>
      <c r="H5" s="3" t="s">
        <v>29</v>
      </c>
      <c r="I5" s="3" t="s">
        <v>28</v>
      </c>
      <c r="J5" s="3" t="s">
        <v>29</v>
      </c>
      <c r="K5" s="3" t="s">
        <v>28</v>
      </c>
      <c r="L5" s="3" t="s">
        <v>29</v>
      </c>
      <c r="M5" s="3" t="s">
        <v>28</v>
      </c>
      <c r="N5" s="3" t="s">
        <v>29</v>
      </c>
      <c r="O5" s="3" t="s">
        <v>28</v>
      </c>
      <c r="P5" s="3" t="s">
        <v>29</v>
      </c>
      <c r="Q5" s="3" t="str">
        <f>E5</f>
        <v>H1</v>
      </c>
      <c r="R5" s="3" t="str">
        <f>F5</f>
        <v>H2</v>
      </c>
      <c r="S5" s="3" t="str">
        <f t="shared" ref="S5:AJ5" si="3">Q5</f>
        <v>H1</v>
      </c>
      <c r="T5" s="3" t="str">
        <f t="shared" si="3"/>
        <v>H2</v>
      </c>
      <c r="U5" s="3" t="str">
        <f t="shared" si="3"/>
        <v>H1</v>
      </c>
      <c r="V5" s="3" t="str">
        <f t="shared" si="3"/>
        <v>H2</v>
      </c>
      <c r="W5" s="3" t="str">
        <f t="shared" si="3"/>
        <v>H1</v>
      </c>
      <c r="X5" s="3" t="str">
        <f t="shared" si="3"/>
        <v>H2</v>
      </c>
      <c r="Y5" s="3" t="str">
        <f t="shared" si="3"/>
        <v>H1</v>
      </c>
      <c r="Z5" s="3" t="str">
        <f t="shared" si="3"/>
        <v>H2</v>
      </c>
      <c r="AA5" s="3" t="str">
        <f t="shared" si="3"/>
        <v>H1</v>
      </c>
      <c r="AB5" s="3" t="str">
        <f t="shared" si="3"/>
        <v>H2</v>
      </c>
      <c r="AC5" s="3" t="str">
        <f t="shared" si="3"/>
        <v>H1</v>
      </c>
      <c r="AD5" s="3" t="str">
        <f t="shared" si="3"/>
        <v>H2</v>
      </c>
      <c r="AE5" s="3" t="str">
        <f t="shared" si="3"/>
        <v>H1</v>
      </c>
      <c r="AF5" s="3" t="str">
        <f t="shared" si="3"/>
        <v>H2</v>
      </c>
      <c r="AG5" s="3" t="str">
        <f t="shared" si="3"/>
        <v>H1</v>
      </c>
      <c r="AH5" s="3" t="str">
        <f t="shared" si="3"/>
        <v>H2</v>
      </c>
      <c r="AI5" s="3" t="str">
        <f t="shared" si="3"/>
        <v>H1</v>
      </c>
      <c r="AJ5" s="3" t="str">
        <f t="shared" si="3"/>
        <v>H2</v>
      </c>
      <c r="AK5" s="3" t="str">
        <f t="shared" ref="AK5:AP5" si="4">AI5</f>
        <v>H1</v>
      </c>
      <c r="AL5" s="3" t="str">
        <f t="shared" si="4"/>
        <v>H2</v>
      </c>
      <c r="AM5" s="3" t="str">
        <f t="shared" si="4"/>
        <v>H1</v>
      </c>
      <c r="AN5" s="3" t="str">
        <f t="shared" si="4"/>
        <v>H2</v>
      </c>
      <c r="AO5" s="3" t="str">
        <f t="shared" si="4"/>
        <v>H1</v>
      </c>
      <c r="AP5" s="3" t="str">
        <f t="shared" si="4"/>
        <v>H2</v>
      </c>
    </row>
    <row r="6" spans="1:57" x14ac:dyDescent="0.25"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</row>
    <row r="7" spans="1:57" x14ac:dyDescent="0.25">
      <c r="A7" s="4" t="s">
        <v>124</v>
      </c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</row>
    <row r="9" spans="1:57" s="23" customFormat="1" x14ac:dyDescent="0.25">
      <c r="B9" s="23" t="s">
        <v>315</v>
      </c>
      <c r="E9" s="24"/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E9" s="25"/>
    </row>
    <row r="10" spans="1:57" x14ac:dyDescent="0.25">
      <c r="C10" t="s">
        <v>328</v>
      </c>
      <c r="E10" s="58"/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  <c r="Q10" s="58"/>
      <c r="R10" s="58"/>
      <c r="S10" s="58"/>
      <c r="T10" s="58"/>
      <c r="U10" s="58"/>
      <c r="V10" s="58"/>
      <c r="W10" s="58"/>
      <c r="X10" s="58"/>
      <c r="Y10" s="58"/>
      <c r="Z10" s="54">
        <f>Z14-Z11</f>
        <v>1620</v>
      </c>
      <c r="AA10" s="54">
        <f>AA14-AA11</f>
        <v>1770</v>
      </c>
      <c r="AB10" s="54">
        <f>AA14</f>
        <v>1944</v>
      </c>
      <c r="AC10" s="54">
        <f t="shared" ref="AC10:AL10" si="5">AB14</f>
        <v>2152</v>
      </c>
      <c r="AD10" s="54">
        <f t="shared" si="5"/>
        <v>2507</v>
      </c>
      <c r="AE10" s="54">
        <f t="shared" si="5"/>
        <v>2799</v>
      </c>
      <c r="AF10" s="54">
        <f t="shared" si="5"/>
        <v>3047</v>
      </c>
      <c r="AG10" s="54">
        <f t="shared" si="5"/>
        <v>3325</v>
      </c>
      <c r="AH10" s="54">
        <f t="shared" si="5"/>
        <v>3369</v>
      </c>
      <c r="AI10" s="54">
        <f t="shared" si="5"/>
        <v>3819</v>
      </c>
      <c r="AJ10" s="54">
        <f t="shared" si="5"/>
        <v>4269</v>
      </c>
      <c r="AK10" s="54">
        <f t="shared" si="5"/>
        <v>4719</v>
      </c>
      <c r="AL10" s="54">
        <f t="shared" si="5"/>
        <v>5219</v>
      </c>
      <c r="AM10" s="54">
        <f>AL14</f>
        <v>5739</v>
      </c>
      <c r="AN10" s="54">
        <f>AM14</f>
        <v>6279.8</v>
      </c>
      <c r="AO10" s="54">
        <f>AN14</f>
        <v>6842.232</v>
      </c>
      <c r="AP10" s="54">
        <f>AO14</f>
        <v>7427.1612800000003</v>
      </c>
    </row>
    <row r="11" spans="1:57" x14ac:dyDescent="0.25">
      <c r="C11" s="44" t="s">
        <v>317</v>
      </c>
      <c r="E11" s="58"/>
      <c r="F11" s="58"/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  <c r="X11" s="58"/>
      <c r="Y11" s="58">
        <v>98</v>
      </c>
      <c r="Z11" s="58">
        <f>248-Y11</f>
        <v>150</v>
      </c>
      <c r="AA11" s="58">
        <v>174</v>
      </c>
      <c r="AB11" s="58">
        <f>382-AA11</f>
        <v>208</v>
      </c>
      <c r="AC11" s="54">
        <f t="shared" ref="AC11:AL11" si="6">AC26</f>
        <v>155</v>
      </c>
      <c r="AD11" s="54">
        <f t="shared" si="6"/>
        <v>289</v>
      </c>
      <c r="AE11" s="54">
        <f t="shared" si="6"/>
        <v>248</v>
      </c>
      <c r="AF11" s="54">
        <f t="shared" si="6"/>
        <v>278</v>
      </c>
      <c r="AG11" s="54">
        <f t="shared" si="6"/>
        <v>254</v>
      </c>
      <c r="AH11" s="54">
        <f t="shared" si="6"/>
        <v>450</v>
      </c>
      <c r="AI11" s="54">
        <f t="shared" si="6"/>
        <v>450</v>
      </c>
      <c r="AJ11" s="54">
        <f t="shared" si="6"/>
        <v>450</v>
      </c>
      <c r="AK11" s="54">
        <f t="shared" si="6"/>
        <v>500</v>
      </c>
      <c r="AL11" s="54">
        <f t="shared" si="6"/>
        <v>520</v>
      </c>
      <c r="AM11" s="54">
        <f>AM26</f>
        <v>540.80000000000007</v>
      </c>
      <c r="AN11" s="54">
        <f>AN26</f>
        <v>562.43200000000013</v>
      </c>
      <c r="AO11" s="54">
        <f>AO26</f>
        <v>584.92928000000018</v>
      </c>
      <c r="AP11" s="54">
        <f>AP26</f>
        <v>608.32645120000018</v>
      </c>
    </row>
    <row r="12" spans="1:57" x14ac:dyDescent="0.25">
      <c r="C12" s="44" t="s">
        <v>318</v>
      </c>
      <c r="E12" s="58"/>
      <c r="F12" s="58"/>
      <c r="G12" s="58"/>
      <c r="H12" s="58"/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  <c r="X12" s="58"/>
      <c r="Y12" s="58"/>
      <c r="Z12" s="58"/>
      <c r="AA12" s="58"/>
      <c r="AB12" s="54"/>
      <c r="AC12" s="54">
        <v>200</v>
      </c>
      <c r="AD12" s="54"/>
      <c r="AE12" s="54"/>
      <c r="AF12" s="54"/>
      <c r="AG12" s="54">
        <v>-210</v>
      </c>
      <c r="AH12" s="54"/>
      <c r="AI12" s="54"/>
      <c r="AJ12" s="54"/>
      <c r="AK12" s="54"/>
      <c r="AL12" s="54"/>
      <c r="AM12" s="54"/>
      <c r="AN12" s="54"/>
      <c r="AO12" s="54"/>
      <c r="AP12" s="54"/>
    </row>
    <row r="13" spans="1:57" x14ac:dyDescent="0.25">
      <c r="C13" s="44" t="s">
        <v>320</v>
      </c>
      <c r="E13" s="58"/>
      <c r="F13" s="58"/>
      <c r="G13" s="58"/>
      <c r="H13" s="58"/>
      <c r="I13" s="58"/>
      <c r="J13" s="58"/>
      <c r="K13" s="58"/>
      <c r="L13" s="58"/>
      <c r="M13" s="58"/>
      <c r="N13" s="58"/>
      <c r="O13" s="58"/>
      <c r="P13" s="58"/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  <c r="AB13" s="54"/>
      <c r="AC13" s="54"/>
      <c r="AD13" s="54">
        <v>3</v>
      </c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</row>
    <row r="14" spans="1:57" s="90" customFormat="1" x14ac:dyDescent="0.25">
      <c r="C14" s="90" t="s">
        <v>319</v>
      </c>
      <c r="E14" s="92"/>
      <c r="F14" s="92"/>
      <c r="G14" s="92"/>
      <c r="H14" s="92"/>
      <c r="I14" s="92"/>
      <c r="J14" s="92"/>
      <c r="K14" s="92"/>
      <c r="L14" s="92"/>
      <c r="M14" s="92"/>
      <c r="N14" s="92"/>
      <c r="O14" s="92"/>
      <c r="P14" s="92"/>
      <c r="Q14" s="92"/>
      <c r="R14" s="92"/>
      <c r="S14" s="92"/>
      <c r="T14" s="92"/>
      <c r="U14" s="92"/>
      <c r="V14" s="92"/>
      <c r="W14" s="92"/>
      <c r="X14" s="92"/>
      <c r="Y14" s="92"/>
      <c r="Z14" s="92">
        <f>AA10</f>
        <v>1770</v>
      </c>
      <c r="AA14" s="104">
        <f>1106+838</f>
        <v>1944</v>
      </c>
      <c r="AB14" s="104">
        <f>SUM(AB10:AB13)</f>
        <v>2152</v>
      </c>
      <c r="AC14" s="104">
        <f t="shared" ref="AC14:AL14" si="7">SUM(AC10:AC13)</f>
        <v>2507</v>
      </c>
      <c r="AD14" s="104">
        <v>2799</v>
      </c>
      <c r="AE14" s="104">
        <f t="shared" si="7"/>
        <v>3047</v>
      </c>
      <c r="AF14" s="104">
        <f t="shared" si="7"/>
        <v>3325</v>
      </c>
      <c r="AG14" s="104">
        <f t="shared" si="7"/>
        <v>3369</v>
      </c>
      <c r="AH14" s="92">
        <f t="shared" si="7"/>
        <v>3819</v>
      </c>
      <c r="AI14" s="92">
        <f t="shared" si="7"/>
        <v>4269</v>
      </c>
      <c r="AJ14" s="92">
        <f t="shared" si="7"/>
        <v>4719</v>
      </c>
      <c r="AK14" s="92">
        <f t="shared" si="7"/>
        <v>5219</v>
      </c>
      <c r="AL14" s="92">
        <f t="shared" si="7"/>
        <v>5739</v>
      </c>
      <c r="AM14" s="92">
        <f>SUM(AM10:AM13)</f>
        <v>6279.8</v>
      </c>
      <c r="AN14" s="92">
        <f>SUM(AN10:AN13)</f>
        <v>6842.232</v>
      </c>
      <c r="AO14" s="92">
        <f>SUM(AO10:AO13)</f>
        <v>7427.1612800000003</v>
      </c>
      <c r="AP14" s="92">
        <f>SUM(AP10:AP13)</f>
        <v>8035.4877312000008</v>
      </c>
    </row>
    <row r="15" spans="1:57" x14ac:dyDescent="0.25">
      <c r="C15" s="103" t="s">
        <v>321</v>
      </c>
      <c r="E15" s="58"/>
      <c r="F15" s="58"/>
      <c r="G15" s="58"/>
      <c r="H15" s="58"/>
      <c r="I15" s="58"/>
      <c r="J15" s="58"/>
      <c r="K15" s="58"/>
      <c r="L15" s="58"/>
      <c r="M15" s="58"/>
      <c r="N15" s="58"/>
      <c r="O15" s="58"/>
      <c r="P15" s="58"/>
      <c r="Q15" s="58"/>
      <c r="R15" s="58"/>
      <c r="S15" s="58"/>
      <c r="T15" s="58"/>
      <c r="U15" s="58"/>
      <c r="V15" s="58"/>
      <c r="W15" s="58"/>
      <c r="X15" s="58"/>
      <c r="Y15" s="58"/>
      <c r="Z15" s="58"/>
      <c r="AA15" s="58">
        <v>1106</v>
      </c>
      <c r="AB15" s="58">
        <f>AB14-AB16</f>
        <v>1106</v>
      </c>
      <c r="AC15" s="58">
        <f t="shared" ref="AC15:AL15" si="8">AC14-AC16</f>
        <v>1306</v>
      </c>
      <c r="AD15" s="58">
        <v>1319</v>
      </c>
      <c r="AE15" s="58">
        <v>1343</v>
      </c>
      <c r="AF15" s="58">
        <v>1415</v>
      </c>
      <c r="AG15" s="58">
        <v>1320</v>
      </c>
      <c r="AH15" s="54">
        <f t="shared" si="8"/>
        <v>1320</v>
      </c>
      <c r="AI15" s="54">
        <f t="shared" si="8"/>
        <v>1320</v>
      </c>
      <c r="AJ15" s="54">
        <f t="shared" si="8"/>
        <v>1320</v>
      </c>
      <c r="AK15" s="54">
        <f t="shared" si="8"/>
        <v>1320</v>
      </c>
      <c r="AL15" s="54">
        <f t="shared" si="8"/>
        <v>1320</v>
      </c>
      <c r="AM15" s="54">
        <f>AM14-AM16</f>
        <v>1320</v>
      </c>
      <c r="AN15" s="54">
        <f>AN14-AN16</f>
        <v>1320</v>
      </c>
      <c r="AO15" s="54">
        <f>AO14-AO16</f>
        <v>1320</v>
      </c>
      <c r="AP15" s="54">
        <f>AP14-AP16</f>
        <v>1320</v>
      </c>
    </row>
    <row r="16" spans="1:57" x14ac:dyDescent="0.25">
      <c r="C16" s="103" t="s">
        <v>331</v>
      </c>
      <c r="E16" s="58"/>
      <c r="F16" s="58"/>
      <c r="G16" s="58"/>
      <c r="H16" s="58"/>
      <c r="I16" s="58"/>
      <c r="J16" s="58"/>
      <c r="K16" s="58"/>
      <c r="L16" s="58"/>
      <c r="M16" s="58"/>
      <c r="N16" s="58"/>
      <c r="O16" s="58"/>
      <c r="P16" s="58"/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>
        <v>838</v>
      </c>
      <c r="AB16" s="58">
        <f>AA16+AB11</f>
        <v>1046</v>
      </c>
      <c r="AC16" s="58">
        <f t="shared" ref="AC16:AL16" si="9">AB16+AC11</f>
        <v>1201</v>
      </c>
      <c r="AD16" s="58">
        <v>1480</v>
      </c>
      <c r="AE16" s="58">
        <f>AE14-AE15</f>
        <v>1704</v>
      </c>
      <c r="AF16" s="58">
        <f>AF14-AF15</f>
        <v>1910</v>
      </c>
      <c r="AG16" s="58">
        <f>AG14-AG15</f>
        <v>2049</v>
      </c>
      <c r="AH16" s="54">
        <f t="shared" si="9"/>
        <v>2499</v>
      </c>
      <c r="AI16" s="54">
        <f t="shared" si="9"/>
        <v>2949</v>
      </c>
      <c r="AJ16" s="54">
        <f t="shared" si="9"/>
        <v>3399</v>
      </c>
      <c r="AK16" s="54">
        <f t="shared" si="9"/>
        <v>3899</v>
      </c>
      <c r="AL16" s="54">
        <f t="shared" si="9"/>
        <v>4419</v>
      </c>
      <c r="AM16" s="54">
        <f>AL16+AM11</f>
        <v>4959.8</v>
      </c>
      <c r="AN16" s="54">
        <f>AM16+AN11</f>
        <v>5522.232</v>
      </c>
      <c r="AO16" s="54">
        <f>AN16+AO11</f>
        <v>6107.1612800000003</v>
      </c>
      <c r="AP16" s="54">
        <f>AO16+AP11</f>
        <v>6715.4877312000008</v>
      </c>
    </row>
    <row r="17" spans="2:57" s="90" customFormat="1" x14ac:dyDescent="0.25">
      <c r="C17" s="90" t="s">
        <v>326</v>
      </c>
      <c r="E17" s="92"/>
      <c r="F17" s="92"/>
      <c r="G17" s="92"/>
      <c r="H17" s="92"/>
      <c r="I17" s="92"/>
      <c r="J17" s="92"/>
      <c r="K17" s="92"/>
      <c r="L17" s="92"/>
      <c r="M17" s="92"/>
      <c r="N17" s="92"/>
      <c r="O17" s="92"/>
      <c r="P17" s="92"/>
      <c r="Q17" s="92"/>
      <c r="R17" s="92"/>
      <c r="S17" s="92"/>
      <c r="T17" s="92"/>
      <c r="U17" s="92"/>
      <c r="V17" s="92"/>
      <c r="W17" s="92"/>
      <c r="X17" s="92"/>
      <c r="Y17" s="92"/>
      <c r="Z17" s="92"/>
      <c r="AA17" s="92">
        <f>AA15+AA16*50.1%</f>
        <v>1525.838</v>
      </c>
      <c r="AB17" s="92">
        <f>AB15+AB16*50.1%</f>
        <v>1630.046</v>
      </c>
      <c r="AC17" s="92">
        <f t="shared" ref="AC17:AL17" si="10">AC15+AC16*50.1%</f>
        <v>1907.701</v>
      </c>
      <c r="AD17" s="92">
        <f t="shared" si="10"/>
        <v>2060.48</v>
      </c>
      <c r="AE17" s="92">
        <f t="shared" si="10"/>
        <v>2196.7039999999997</v>
      </c>
      <c r="AF17" s="92">
        <f t="shared" si="10"/>
        <v>2371.91</v>
      </c>
      <c r="AG17" s="92">
        <f t="shared" si="10"/>
        <v>2346.549</v>
      </c>
      <c r="AH17" s="92">
        <f t="shared" si="10"/>
        <v>2571.9989999999998</v>
      </c>
      <c r="AI17" s="92">
        <f t="shared" si="10"/>
        <v>2797.4490000000001</v>
      </c>
      <c r="AJ17" s="92">
        <f t="shared" si="10"/>
        <v>3022.8990000000003</v>
      </c>
      <c r="AK17" s="92">
        <f t="shared" si="10"/>
        <v>3273.3990000000003</v>
      </c>
      <c r="AL17" s="92">
        <f t="shared" si="10"/>
        <v>3533.9189999999999</v>
      </c>
      <c r="AM17" s="92">
        <f>AM15+AM16*50.1%</f>
        <v>3804.8598000000002</v>
      </c>
      <c r="AN17" s="92">
        <f>AN15+AN16*50.1%</f>
        <v>4086.6382319999998</v>
      </c>
      <c r="AO17" s="92">
        <f>AO15+AO16*50.1%</f>
        <v>4379.6878012800007</v>
      </c>
      <c r="AP17" s="92">
        <f>AP15+AP16*50.1%</f>
        <v>4684.4593533312</v>
      </c>
    </row>
    <row r="18" spans="2:57" x14ac:dyDescent="0.25">
      <c r="C18" s="103" t="s">
        <v>322</v>
      </c>
      <c r="D18" t="s">
        <v>67</v>
      </c>
      <c r="E18" s="58"/>
      <c r="F18" s="58"/>
      <c r="G18" s="58"/>
      <c r="H18" s="58"/>
      <c r="I18" s="58"/>
      <c r="J18" s="58"/>
      <c r="K18" s="58"/>
      <c r="L18" s="58"/>
      <c r="M18" s="58"/>
      <c r="N18" s="58"/>
      <c r="O18" s="58"/>
      <c r="P18" s="58"/>
      <c r="Q18" s="58"/>
      <c r="R18" s="58"/>
      <c r="S18" s="58"/>
      <c r="T18" s="58"/>
      <c r="U18" s="58"/>
      <c r="V18" s="58"/>
      <c r="W18" s="58"/>
      <c r="X18" s="58"/>
      <c r="Y18" s="58"/>
      <c r="Z18" s="58"/>
      <c r="AA18" s="58">
        <f t="shared" ref="AA18:AG18" si="11">AA20*2*1000000/AA17/52</f>
        <v>232.67842706684229</v>
      </c>
      <c r="AB18" s="58">
        <f t="shared" si="11"/>
        <v>326.70512286047438</v>
      </c>
      <c r="AC18" s="58">
        <f t="shared" si="11"/>
        <v>279.15505558692098</v>
      </c>
      <c r="AD18" s="58">
        <f t="shared" si="11"/>
        <v>258.45646582263589</v>
      </c>
      <c r="AE18" s="58">
        <f t="shared" si="11"/>
        <v>296.30190228838165</v>
      </c>
      <c r="AF18" s="58">
        <f t="shared" si="11"/>
        <v>249.46814016187838</v>
      </c>
      <c r="AG18" s="58">
        <f t="shared" si="11"/>
        <v>302.5972061941315</v>
      </c>
      <c r="AH18" s="54">
        <f t="shared" ref="AH18:AL18" si="12">AG18*(1+AH19)^(1/2)</f>
        <v>307.10262335640925</v>
      </c>
      <c r="AI18" s="54">
        <f t="shared" si="12"/>
        <v>311.6751223799555</v>
      </c>
      <c r="AJ18" s="54">
        <f t="shared" si="12"/>
        <v>316.31570205710159</v>
      </c>
      <c r="AK18" s="54">
        <f t="shared" si="12"/>
        <v>321.02537605135421</v>
      </c>
      <c r="AL18" s="54">
        <f t="shared" si="12"/>
        <v>325.80517311881465</v>
      </c>
      <c r="AM18" s="54">
        <f>AL18*(1+AM19)^(1/2)</f>
        <v>330.65613733289484</v>
      </c>
      <c r="AN18" s="54">
        <f>AM18*(1+AN19)^(1/2)</f>
        <v>335.57932831237912</v>
      </c>
      <c r="AO18" s="54">
        <f>AN18*(1+AO19)^(1/2)</f>
        <v>340.57582145288171</v>
      </c>
      <c r="AP18" s="54">
        <f>AO18*(1+AP19)^(1/2)</f>
        <v>345.6467081617505</v>
      </c>
    </row>
    <row r="19" spans="2:57" s="10" customFormat="1" x14ac:dyDescent="0.25">
      <c r="C19" s="51" t="s">
        <v>327</v>
      </c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55"/>
      <c r="T19" s="55"/>
      <c r="U19" s="55"/>
      <c r="V19" s="55"/>
      <c r="W19" s="55"/>
      <c r="X19" s="55"/>
      <c r="Y19" s="55"/>
      <c r="Z19" s="55"/>
      <c r="AA19" s="55"/>
      <c r="AB19" s="59">
        <v>0.06</v>
      </c>
      <c r="AC19" s="59">
        <v>0.06</v>
      </c>
      <c r="AD19" s="59">
        <v>0.2</v>
      </c>
      <c r="AE19" s="59">
        <v>0.03</v>
      </c>
      <c r="AF19" s="59">
        <f t="shared" ref="AF19:AL19" si="13">AE19</f>
        <v>0.03</v>
      </c>
      <c r="AG19" s="59">
        <f t="shared" si="13"/>
        <v>0.03</v>
      </c>
      <c r="AH19" s="59">
        <f t="shared" si="13"/>
        <v>0.03</v>
      </c>
      <c r="AI19" s="59">
        <f t="shared" si="13"/>
        <v>0.03</v>
      </c>
      <c r="AJ19" s="59">
        <f t="shared" si="13"/>
        <v>0.03</v>
      </c>
      <c r="AK19" s="59">
        <f t="shared" si="13"/>
        <v>0.03</v>
      </c>
      <c r="AL19" s="59">
        <f t="shared" si="13"/>
        <v>0.03</v>
      </c>
      <c r="AM19" s="59">
        <f>AL19</f>
        <v>0.03</v>
      </c>
      <c r="AN19" s="59">
        <f>AM19</f>
        <v>0.03</v>
      </c>
      <c r="AO19" s="59">
        <f>AN19</f>
        <v>0.03</v>
      </c>
      <c r="AP19" s="59">
        <f>AO19</f>
        <v>0.03</v>
      </c>
    </row>
    <row r="20" spans="2:57" s="90" customFormat="1" x14ac:dyDescent="0.25">
      <c r="C20" s="90" t="s">
        <v>323</v>
      </c>
      <c r="D20" s="90" t="s">
        <v>32</v>
      </c>
      <c r="E20" s="92"/>
      <c r="F20" s="92"/>
      <c r="G20" s="92"/>
      <c r="H20" s="92"/>
      <c r="I20" s="92"/>
      <c r="J20" s="92"/>
      <c r="K20" s="92"/>
      <c r="L20" s="92"/>
      <c r="M20" s="92"/>
      <c r="N20" s="92"/>
      <c r="O20" s="92"/>
      <c r="P20" s="92"/>
      <c r="Q20" s="92"/>
      <c r="R20" s="92"/>
      <c r="S20" s="92"/>
      <c r="T20" s="92"/>
      <c r="U20" s="92"/>
      <c r="V20" s="92"/>
      <c r="W20" s="92"/>
      <c r="X20" s="92"/>
      <c r="Y20" s="92"/>
      <c r="Z20" s="92"/>
      <c r="AA20" s="91">
        <f t="shared" ref="AA20:AG20" si="14">AA22/AA21</f>
        <v>9.2307692307692299</v>
      </c>
      <c r="AB20" s="91">
        <f t="shared" si="14"/>
        <v>13.846153846153845</v>
      </c>
      <c r="AC20" s="91">
        <f t="shared" si="14"/>
        <v>13.846153846153845</v>
      </c>
      <c r="AD20" s="91">
        <f t="shared" si="14"/>
        <v>13.846153846153845</v>
      </c>
      <c r="AE20" s="91">
        <f t="shared" si="14"/>
        <v>16.923076923076923</v>
      </c>
      <c r="AF20" s="91">
        <f t="shared" si="14"/>
        <v>15.384615384615383</v>
      </c>
      <c r="AG20" s="91">
        <f t="shared" si="14"/>
        <v>18.46153846153846</v>
      </c>
      <c r="AH20" s="91">
        <f t="shared" ref="AH20:AL20" si="15">AH17*AH18*52*0.5/1000000</f>
        <v>20.536558644421589</v>
      </c>
      <c r="AI20" s="91">
        <f t="shared" si="15"/>
        <v>22.669276745093786</v>
      </c>
      <c r="AJ20" s="91">
        <f t="shared" si="15"/>
        <v>24.860950905250473</v>
      </c>
      <c r="AK20" s="91">
        <f t="shared" si="15"/>
        <v>27.3219477684693</v>
      </c>
      <c r="AL20" s="91">
        <f t="shared" si="15"/>
        <v>29.935596381154575</v>
      </c>
      <c r="AM20" s="91">
        <f>AM17*AM18*52*0.5/1000000</f>
        <v>32.710606358591484</v>
      </c>
      <c r="AN20" s="91">
        <f>AN17*AN18*52*0.5/1000000</f>
        <v>35.656174136706454</v>
      </c>
      <c r="AO20" s="91">
        <f>AO17*AO18*52*0.5/1000000</f>
        <v>38.782010036330639</v>
      </c>
      <c r="AP20" s="91">
        <f>AP17*AP18*52*0.5/1000000</f>
        <v>42.098366829907746</v>
      </c>
    </row>
    <row r="21" spans="2:57" x14ac:dyDescent="0.25">
      <c r="C21" s="103" t="s">
        <v>324</v>
      </c>
      <c r="E21" s="58"/>
      <c r="F21" s="58"/>
      <c r="G21" s="58"/>
      <c r="H21" s="58"/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58"/>
      <c r="T21" s="58"/>
      <c r="U21" s="58"/>
      <c r="V21" s="58"/>
      <c r="W21" s="58"/>
      <c r="X21" s="58"/>
      <c r="Y21" s="58"/>
      <c r="Z21" s="58"/>
      <c r="AA21" s="102">
        <v>0.65</v>
      </c>
      <c r="AB21" s="102">
        <v>0.65</v>
      </c>
      <c r="AC21" s="102">
        <v>0.65</v>
      </c>
      <c r="AD21" s="102">
        <v>0.65</v>
      </c>
      <c r="AE21" s="102">
        <v>0.65</v>
      </c>
      <c r="AF21" s="102">
        <v>0.65</v>
      </c>
      <c r="AG21" s="102">
        <v>0.65</v>
      </c>
      <c r="AH21" s="105">
        <f t="shared" ref="AH21:AN21" si="16">AG21</f>
        <v>0.65</v>
      </c>
      <c r="AI21" s="105">
        <f t="shared" si="16"/>
        <v>0.65</v>
      </c>
      <c r="AJ21" s="105">
        <f t="shared" si="16"/>
        <v>0.65</v>
      </c>
      <c r="AK21" s="105">
        <f t="shared" si="16"/>
        <v>0.65</v>
      </c>
      <c r="AL21" s="105">
        <f t="shared" si="16"/>
        <v>0.65</v>
      </c>
      <c r="AM21" s="105">
        <f t="shared" si="16"/>
        <v>0.65</v>
      </c>
      <c r="AN21" s="105">
        <f t="shared" si="16"/>
        <v>0.65</v>
      </c>
      <c r="AO21" s="105">
        <f t="shared" ref="AO21" si="17">AN21</f>
        <v>0.65</v>
      </c>
      <c r="AP21" s="105">
        <f t="shared" ref="AP21" si="18">AO21</f>
        <v>0.65</v>
      </c>
    </row>
    <row r="22" spans="2:57" s="6" customFormat="1" x14ac:dyDescent="0.25">
      <c r="C22" s="6" t="s">
        <v>325</v>
      </c>
      <c r="D22" s="6" t="s">
        <v>32</v>
      </c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>
        <v>6</v>
      </c>
      <c r="Z22" s="46">
        <v>3</v>
      </c>
      <c r="AA22" s="33">
        <v>6</v>
      </c>
      <c r="AB22" s="33">
        <f>15-AA22</f>
        <v>9</v>
      </c>
      <c r="AC22" s="33">
        <v>9</v>
      </c>
      <c r="AD22" s="33">
        <f>18-AC22</f>
        <v>9</v>
      </c>
      <c r="AE22" s="33">
        <v>11</v>
      </c>
      <c r="AF22" s="33">
        <f>21-AE22</f>
        <v>10</v>
      </c>
      <c r="AG22" s="33">
        <v>12</v>
      </c>
      <c r="AH22" s="46">
        <f t="shared" ref="AH22:AL22" si="19">AH21*AH20</f>
        <v>13.348763118874034</v>
      </c>
      <c r="AI22" s="46">
        <f t="shared" si="19"/>
        <v>14.735029884310961</v>
      </c>
      <c r="AJ22" s="46">
        <f t="shared" si="19"/>
        <v>16.15961808841281</v>
      </c>
      <c r="AK22" s="46">
        <f t="shared" si="19"/>
        <v>17.759266049505047</v>
      </c>
      <c r="AL22" s="46">
        <f t="shared" si="19"/>
        <v>19.458137647750473</v>
      </c>
      <c r="AM22" s="46">
        <f>AM21*AM20</f>
        <v>21.261894133084464</v>
      </c>
      <c r="AN22" s="46">
        <f>AN21*AN20</f>
        <v>23.176513188859197</v>
      </c>
      <c r="AO22" s="46">
        <f>AO21*AO20</f>
        <v>25.208306523614915</v>
      </c>
      <c r="AP22" s="46">
        <f>AP21*AP20</f>
        <v>27.363938439440037</v>
      </c>
    </row>
    <row r="23" spans="2:57" x14ac:dyDescent="0.25">
      <c r="E23" s="58"/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8"/>
      <c r="R23" s="58"/>
      <c r="S23" s="58"/>
      <c r="T23" s="58"/>
      <c r="U23" s="58"/>
      <c r="V23" s="58"/>
      <c r="W23" s="58"/>
      <c r="X23" s="58"/>
      <c r="Y23" s="58"/>
      <c r="Z23" s="58"/>
      <c r="AA23" s="65"/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</row>
    <row r="24" spans="2:57" x14ac:dyDescent="0.25"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58"/>
      <c r="S24" s="58"/>
      <c r="T24" s="58"/>
      <c r="U24" s="58"/>
      <c r="V24" s="58"/>
      <c r="W24" s="58"/>
      <c r="X24" s="58"/>
      <c r="Y24" s="58"/>
      <c r="Z24" s="58"/>
      <c r="AA24" s="58"/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</row>
    <row r="25" spans="2:57" s="23" customFormat="1" x14ac:dyDescent="0.25">
      <c r="B25" s="23" t="s">
        <v>238</v>
      </c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 t="s">
        <v>329</v>
      </c>
      <c r="AA25" s="106">
        <v>350</v>
      </c>
      <c r="AB25" s="106"/>
      <c r="AC25" s="106" t="s">
        <v>358</v>
      </c>
      <c r="AD25" s="106"/>
      <c r="AE25" s="106" t="s">
        <v>378</v>
      </c>
      <c r="AF25" s="106">
        <v>550</v>
      </c>
      <c r="AG25" s="106"/>
      <c r="AH25" s="106" t="s">
        <v>383</v>
      </c>
      <c r="AI25" s="106">
        <v>1000</v>
      </c>
      <c r="AJ25" s="106"/>
      <c r="AK25" s="106"/>
      <c r="AL25" s="106"/>
      <c r="AM25" s="106"/>
      <c r="AN25" s="106"/>
      <c r="AO25" s="106"/>
      <c r="AP25" s="106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E25" s="25"/>
    </row>
    <row r="26" spans="2:57" x14ac:dyDescent="0.25">
      <c r="C26" t="s">
        <v>130</v>
      </c>
      <c r="E26" s="58"/>
      <c r="F26" s="58"/>
      <c r="G26" s="58"/>
      <c r="H26" s="58"/>
      <c r="I26" s="58"/>
      <c r="J26" s="58"/>
      <c r="K26" s="58"/>
      <c r="L26" s="58"/>
      <c r="M26" s="58"/>
      <c r="N26" s="58"/>
      <c r="O26" s="58"/>
      <c r="P26" s="58"/>
      <c r="Q26" s="58"/>
      <c r="R26" s="58"/>
      <c r="S26" s="58"/>
      <c r="T26" s="58"/>
      <c r="U26" s="58"/>
      <c r="V26" s="58"/>
      <c r="W26" s="58"/>
      <c r="X26" s="58"/>
      <c r="Y26" s="58">
        <v>98</v>
      </c>
      <c r="Z26" s="58">
        <v>150</v>
      </c>
      <c r="AA26" s="58">
        <v>174</v>
      </c>
      <c r="AB26" s="58">
        <f>382-AA26</f>
        <v>208</v>
      </c>
      <c r="AC26" s="58">
        <v>155</v>
      </c>
      <c r="AD26" s="58">
        <f>444-AC26</f>
        <v>289</v>
      </c>
      <c r="AE26" s="58">
        <v>248</v>
      </c>
      <c r="AF26" s="58">
        <f>526-AE26</f>
        <v>278</v>
      </c>
      <c r="AG26" s="58">
        <v>254</v>
      </c>
      <c r="AH26" s="68">
        <v>450</v>
      </c>
      <c r="AI26" s="54">
        <v>450</v>
      </c>
      <c r="AJ26" s="54">
        <v>450</v>
      </c>
      <c r="AK26" s="54">
        <v>500</v>
      </c>
      <c r="AL26" s="54">
        <f>AK26*(1+AL27)</f>
        <v>520</v>
      </c>
      <c r="AM26" s="54">
        <f>AL26*(1+AM27)</f>
        <v>540.80000000000007</v>
      </c>
      <c r="AN26" s="54">
        <f>AM26*(1+AN27)</f>
        <v>562.43200000000013</v>
      </c>
      <c r="AO26" s="54">
        <f>AN26*(1+AO27)</f>
        <v>584.92928000000018</v>
      </c>
      <c r="AP26" s="54">
        <f>AO26*(1+AP27)</f>
        <v>608.32645120000018</v>
      </c>
      <c r="AS26" s="116">
        <f>AA26</f>
        <v>174</v>
      </c>
      <c r="AT26" s="116">
        <f>AB26</f>
        <v>208</v>
      </c>
    </row>
    <row r="27" spans="2:57" s="10" customFormat="1" x14ac:dyDescent="0.25">
      <c r="C27" s="51" t="s">
        <v>27</v>
      </c>
      <c r="E27" s="55"/>
      <c r="F27" s="55"/>
      <c r="G27" s="55"/>
      <c r="H27" s="55"/>
      <c r="I27" s="55"/>
      <c r="J27" s="55"/>
      <c r="K27" s="55"/>
      <c r="L27" s="55"/>
      <c r="M27" s="55"/>
      <c r="N27" s="55"/>
      <c r="O27" s="55"/>
      <c r="P27" s="55"/>
      <c r="Q27" s="55"/>
      <c r="R27" s="55"/>
      <c r="S27" s="55"/>
      <c r="T27" s="55"/>
      <c r="U27" s="55"/>
      <c r="V27" s="55"/>
      <c r="W27" s="55"/>
      <c r="X27" s="55"/>
      <c r="Y27" s="55"/>
      <c r="Z27" s="55"/>
      <c r="AA27" s="55"/>
      <c r="AB27" s="59">
        <v>1.4999999999999999E-2</v>
      </c>
      <c r="AC27" s="59">
        <f t="shared" ref="AC27:AJ27" si="20">AB27</f>
        <v>1.4999999999999999E-2</v>
      </c>
      <c r="AD27" s="59">
        <f t="shared" si="20"/>
        <v>1.4999999999999999E-2</v>
      </c>
      <c r="AE27" s="59">
        <f t="shared" si="20"/>
        <v>1.4999999999999999E-2</v>
      </c>
      <c r="AF27" s="59">
        <f t="shared" si="20"/>
        <v>1.4999999999999999E-2</v>
      </c>
      <c r="AG27" s="59">
        <f t="shared" si="20"/>
        <v>1.4999999999999999E-2</v>
      </c>
      <c r="AH27" s="59">
        <f t="shared" si="20"/>
        <v>1.4999999999999999E-2</v>
      </c>
      <c r="AI27" s="59">
        <f t="shared" si="20"/>
        <v>1.4999999999999999E-2</v>
      </c>
      <c r="AJ27" s="59">
        <f t="shared" si="20"/>
        <v>1.4999999999999999E-2</v>
      </c>
      <c r="AK27" s="59">
        <v>0.04</v>
      </c>
      <c r="AL27" s="59">
        <f>AK27</f>
        <v>0.04</v>
      </c>
      <c r="AM27" s="59">
        <f>AL27</f>
        <v>0.04</v>
      </c>
      <c r="AN27" s="59">
        <f>AM27</f>
        <v>0.04</v>
      </c>
      <c r="AO27" s="59">
        <f>AN27</f>
        <v>0.04</v>
      </c>
      <c r="AP27" s="59">
        <f>AO27</f>
        <v>0.04</v>
      </c>
      <c r="AS27" s="27">
        <f>AS26/SUM(AS26:AT26)</f>
        <v>0.45549738219895286</v>
      </c>
      <c r="AT27" s="27">
        <f>1-AS27</f>
        <v>0.54450261780104714</v>
      </c>
    </row>
    <row r="28" spans="2:57" x14ac:dyDescent="0.25">
      <c r="C28" t="s">
        <v>330</v>
      </c>
      <c r="D28" s="53" t="s">
        <v>137</v>
      </c>
      <c r="E28" s="58"/>
      <c r="F28" s="58"/>
      <c r="G28" s="58"/>
      <c r="H28" s="58"/>
      <c r="I28" s="58"/>
      <c r="J28" s="58"/>
      <c r="K28" s="58"/>
      <c r="L28" s="58"/>
      <c r="M28" s="58"/>
      <c r="N28" s="58"/>
      <c r="O28" s="58"/>
      <c r="P28" s="58"/>
      <c r="Q28" s="58"/>
      <c r="R28" s="58"/>
      <c r="S28" s="58"/>
      <c r="T28" s="58"/>
      <c r="U28" s="58"/>
      <c r="V28" s="58"/>
      <c r="W28" s="58"/>
      <c r="X28" s="58"/>
      <c r="Y28" s="58">
        <v>520.40816326530614</v>
      </c>
      <c r="Z28" s="58">
        <v>661.92000000000007</v>
      </c>
      <c r="AA28" s="58">
        <v>628</v>
      </c>
      <c r="AB28" s="58">
        <v>773.08653846153845</v>
      </c>
      <c r="AC28" s="58">
        <v>703</v>
      </c>
      <c r="AD28" s="58">
        <v>709</v>
      </c>
      <c r="AE28" s="58">
        <f>AE30/AE26*1000</f>
        <v>762.09677419354841</v>
      </c>
      <c r="AF28" s="58">
        <f>AF30/AF26*1000</f>
        <v>758.99280575539569</v>
      </c>
      <c r="AG28" s="58">
        <f>AG30/AG26*1000</f>
        <v>787.40157480314963</v>
      </c>
      <c r="AH28" s="54">
        <f t="shared" ref="AH28:AN28" si="21">AG28*(1+AH29)</f>
        <v>787.40157480314963</v>
      </c>
      <c r="AI28" s="54">
        <f t="shared" si="21"/>
        <v>795.27559055118115</v>
      </c>
      <c r="AJ28" s="54">
        <f t="shared" si="21"/>
        <v>803.22834645669298</v>
      </c>
      <c r="AK28" s="54">
        <f t="shared" si="21"/>
        <v>811.26062992125992</v>
      </c>
      <c r="AL28" s="54">
        <f t="shared" si="21"/>
        <v>819.37323622047256</v>
      </c>
      <c r="AM28" s="54">
        <f t="shared" si="21"/>
        <v>827.5669685826773</v>
      </c>
      <c r="AN28" s="54">
        <f t="shared" si="21"/>
        <v>835.84263826850406</v>
      </c>
      <c r="AO28" s="54">
        <f t="shared" ref="AO28" si="22">AN28*(1+AO29)</f>
        <v>844.20106465118909</v>
      </c>
      <c r="AP28" s="54">
        <f t="shared" ref="AP28" si="23">AO28*(1+AP29)</f>
        <v>852.64307529770099</v>
      </c>
      <c r="AS28" s="116">
        <f>AA28</f>
        <v>628</v>
      </c>
      <c r="AT28" s="117">
        <f>(AT29-AS27*AS28)/AT27</f>
        <v>773.08653846153845</v>
      </c>
    </row>
    <row r="29" spans="2:57" s="10" customFormat="1" x14ac:dyDescent="0.25">
      <c r="C29" s="51" t="s">
        <v>27</v>
      </c>
      <c r="E29" s="55"/>
      <c r="F29" s="55"/>
      <c r="G29" s="55"/>
      <c r="H29" s="55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/>
      <c r="T29" s="55"/>
      <c r="U29" s="55"/>
      <c r="V29" s="55"/>
      <c r="W29" s="55"/>
      <c r="X29" s="55"/>
      <c r="Y29" s="55"/>
      <c r="Z29" s="55"/>
      <c r="AA29" s="55"/>
      <c r="AB29" s="59">
        <v>0.1</v>
      </c>
      <c r="AC29" s="59">
        <v>0.05</v>
      </c>
      <c r="AD29" s="59">
        <v>0.09</v>
      </c>
      <c r="AE29" s="59">
        <v>0.03</v>
      </c>
      <c r="AF29" s="59">
        <v>0.01</v>
      </c>
      <c r="AG29" s="59">
        <v>0.05</v>
      </c>
      <c r="AH29" s="59">
        <v>0</v>
      </c>
      <c r="AI29" s="59">
        <v>0.01</v>
      </c>
      <c r="AJ29" s="59">
        <f t="shared" ref="AJ29:AN29" si="24">AI29</f>
        <v>0.01</v>
      </c>
      <c r="AK29" s="59">
        <f t="shared" si="24"/>
        <v>0.01</v>
      </c>
      <c r="AL29" s="59">
        <f t="shared" si="24"/>
        <v>0.01</v>
      </c>
      <c r="AM29" s="59">
        <f t="shared" si="24"/>
        <v>0.01</v>
      </c>
      <c r="AN29" s="59">
        <f t="shared" si="24"/>
        <v>0.01</v>
      </c>
      <c r="AO29" s="59">
        <f t="shared" ref="AO29" si="25">AN29</f>
        <v>0.01</v>
      </c>
      <c r="AP29" s="59">
        <f t="shared" ref="AP29" si="26">AO29</f>
        <v>0.01</v>
      </c>
      <c r="AT29" s="118">
        <v>707</v>
      </c>
    </row>
    <row r="30" spans="2:57" s="70" customFormat="1" x14ac:dyDescent="0.25">
      <c r="C30" s="70" t="s">
        <v>132</v>
      </c>
      <c r="D30" s="70" t="s">
        <v>32</v>
      </c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  <c r="W30" s="71"/>
      <c r="X30" s="71"/>
      <c r="Y30" s="107">
        <f>Y26*Y28/1000</f>
        <v>51</v>
      </c>
      <c r="Z30" s="107">
        <f>Z26*Z28/1000</f>
        <v>99.288000000000011</v>
      </c>
      <c r="AA30" s="107">
        <f>AA26*AA28/1000*50.1%</f>
        <v>54.745272</v>
      </c>
      <c r="AB30" s="107">
        <f>AB26*AB28/1000*50.1%</f>
        <v>80.561802</v>
      </c>
      <c r="AC30" s="107">
        <f>AC26*AC28/1000*50.1%</f>
        <v>54.591464999999999</v>
      </c>
      <c r="AD30" s="107">
        <f>AD26*AD28/1000*50.1%</f>
        <v>102.65540100000001</v>
      </c>
      <c r="AE30" s="127">
        <v>189</v>
      </c>
      <c r="AF30" s="127">
        <f>400-AE30</f>
        <v>211</v>
      </c>
      <c r="AG30" s="127">
        <v>200</v>
      </c>
      <c r="AH30" s="107">
        <f t="shared" ref="AH30:AN30" si="27">AH26*AH28/1000</f>
        <v>354.33070866141736</v>
      </c>
      <c r="AI30" s="107">
        <f t="shared" si="27"/>
        <v>357.87401574803147</v>
      </c>
      <c r="AJ30" s="107">
        <f t="shared" si="27"/>
        <v>361.45275590551182</v>
      </c>
      <c r="AK30" s="107">
        <f t="shared" si="27"/>
        <v>405.63031496062996</v>
      </c>
      <c r="AL30" s="107">
        <f t="shared" si="27"/>
        <v>426.07408283464576</v>
      </c>
      <c r="AM30" s="107">
        <f t="shared" si="27"/>
        <v>447.54821660951194</v>
      </c>
      <c r="AN30" s="107">
        <f t="shared" si="27"/>
        <v>470.10464672663136</v>
      </c>
      <c r="AO30" s="107">
        <f t="shared" ref="AO30:AP30" si="28">AO26*AO28/1000</f>
        <v>493.7979209216536</v>
      </c>
      <c r="AP30" s="107">
        <f t="shared" si="28"/>
        <v>518.68533613610498</v>
      </c>
    </row>
    <row r="31" spans="2:57" x14ac:dyDescent="0.25">
      <c r="C31" s="120" t="s">
        <v>140</v>
      </c>
      <c r="E31" s="54"/>
      <c r="F31" s="54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  <c r="V31" s="54"/>
      <c r="W31" s="54"/>
      <c r="X31" s="54"/>
      <c r="Y31" s="43"/>
      <c r="Z31" s="43"/>
      <c r="AA31" s="43">
        <f>AA30/11*-1</f>
        <v>-4.9768429090909088</v>
      </c>
      <c r="AB31" s="43">
        <f>AB30/11*-1</f>
        <v>-7.3238001818181822</v>
      </c>
      <c r="AC31" s="43">
        <f t="shared" ref="AC31:AL31" si="29">AC30/11*-1</f>
        <v>-4.9628604545454547</v>
      </c>
      <c r="AD31" s="43">
        <f>-31/2-AC31</f>
        <v>-10.537139545454545</v>
      </c>
      <c r="AE31" s="43">
        <v>-17</v>
      </c>
      <c r="AF31" s="43">
        <f>-36-AE31</f>
        <v>-19</v>
      </c>
      <c r="AG31" s="43">
        <v>-18</v>
      </c>
      <c r="AH31" s="43">
        <f t="shared" si="29"/>
        <v>-32.211882605583398</v>
      </c>
      <c r="AI31" s="43">
        <f t="shared" si="29"/>
        <v>-32.534001431639226</v>
      </c>
      <c r="AJ31" s="43">
        <f t="shared" si="29"/>
        <v>-32.859341445955621</v>
      </c>
      <c r="AK31" s="43">
        <f t="shared" si="29"/>
        <v>-36.875483178239087</v>
      </c>
      <c r="AL31" s="43">
        <f t="shared" si="29"/>
        <v>-38.734007530422339</v>
      </c>
      <c r="AM31" s="43">
        <f>AM30/11*-1</f>
        <v>-40.68620150995563</v>
      </c>
      <c r="AN31" s="43">
        <f>AN30/11*-1</f>
        <v>-42.736786066057398</v>
      </c>
      <c r="AO31" s="43">
        <f>AO30/11*-1</f>
        <v>-44.89072008378669</v>
      </c>
      <c r="AP31" s="43">
        <f>AP30/11*-1</f>
        <v>-47.153212376009542</v>
      </c>
    </row>
    <row r="32" spans="2:57" x14ac:dyDescent="0.25">
      <c r="C32" s="120" t="s">
        <v>379</v>
      </c>
      <c r="E32" s="54"/>
      <c r="F32" s="54"/>
      <c r="G32" s="54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54"/>
      <c r="T32" s="54"/>
      <c r="U32" s="54"/>
      <c r="V32" s="54"/>
      <c r="W32" s="54"/>
      <c r="X32" s="54"/>
      <c r="Y32" s="43"/>
      <c r="Z32" s="43"/>
      <c r="AA32" s="43"/>
      <c r="AB32" s="43"/>
      <c r="AC32" s="43"/>
      <c r="AD32" s="43"/>
      <c r="AE32" s="21">
        <v>-68</v>
      </c>
      <c r="AF32" s="21">
        <f>-136-AE32</f>
        <v>-68</v>
      </c>
      <c r="AG32" s="21">
        <v>-50</v>
      </c>
      <c r="AH32" s="43">
        <f t="shared" ref="AH32:AN32" si="30">AG32/AG30*AH30</f>
        <v>-88.58267716535434</v>
      </c>
      <c r="AI32" s="43">
        <f t="shared" si="30"/>
        <v>-89.468503937007867</v>
      </c>
      <c r="AJ32" s="43">
        <f t="shared" si="30"/>
        <v>-90.363188976377955</v>
      </c>
      <c r="AK32" s="43">
        <f t="shared" si="30"/>
        <v>-101.40757874015749</v>
      </c>
      <c r="AL32" s="43">
        <f t="shared" si="30"/>
        <v>-106.51852070866144</v>
      </c>
      <c r="AM32" s="43">
        <f t="shared" si="30"/>
        <v>-111.88705415237798</v>
      </c>
      <c r="AN32" s="43">
        <f t="shared" si="30"/>
        <v>-117.52616168165784</v>
      </c>
      <c r="AO32" s="43">
        <f t="shared" ref="AO32" si="31">AN32/AN30*AO30</f>
        <v>-123.4494802304134</v>
      </c>
      <c r="AP32" s="43">
        <f t="shared" ref="AP32" si="32">AO32/AO30*AP30</f>
        <v>-129.67133403402624</v>
      </c>
    </row>
    <row r="33" spans="2:57" x14ac:dyDescent="0.25">
      <c r="C33" s="103" t="s">
        <v>332</v>
      </c>
      <c r="D33" t="s">
        <v>32</v>
      </c>
      <c r="E33" s="58"/>
      <c r="F33" s="58"/>
      <c r="G33" s="58"/>
      <c r="H33" s="58"/>
      <c r="I33" s="58"/>
      <c r="J33" s="58"/>
      <c r="K33" s="58"/>
      <c r="L33" s="58"/>
      <c r="M33" s="58"/>
      <c r="N33" s="58"/>
      <c r="O33" s="58"/>
      <c r="P33" s="58"/>
      <c r="Q33" s="58"/>
      <c r="R33" s="58"/>
      <c r="S33" s="58"/>
      <c r="T33" s="58"/>
      <c r="U33" s="58"/>
      <c r="V33" s="58"/>
      <c r="W33" s="58"/>
      <c r="X33" s="58"/>
      <c r="Y33" s="21"/>
      <c r="Z33" s="21"/>
      <c r="AA33" s="43">
        <f>AA34-AA30-AA31</f>
        <v>77.231570909090905</v>
      </c>
      <c r="AB33" s="43">
        <f>AB34-AB30-AB31</f>
        <v>-4.238001818181818</v>
      </c>
      <c r="AC33" s="43">
        <f>AC34-AC30-AC31</f>
        <v>4.3713954545454552</v>
      </c>
      <c r="AD33" s="43">
        <f>AD34-AD30-AD31</f>
        <v>97.881738545454539</v>
      </c>
      <c r="AE33" s="21">
        <v>60</v>
      </c>
      <c r="AF33" s="21">
        <f>86-AE33-1</f>
        <v>25</v>
      </c>
      <c r="AG33" s="21">
        <v>17</v>
      </c>
      <c r="AH33" s="109">
        <v>50</v>
      </c>
      <c r="AI33" s="109"/>
      <c r="AJ33" s="109">
        <f t="shared" ref="AJ33:AP33" si="33">AI33</f>
        <v>0</v>
      </c>
      <c r="AK33" s="109">
        <f t="shared" si="33"/>
        <v>0</v>
      </c>
      <c r="AL33" s="109">
        <f t="shared" si="33"/>
        <v>0</v>
      </c>
      <c r="AM33" s="109">
        <f t="shared" si="33"/>
        <v>0</v>
      </c>
      <c r="AN33" s="109">
        <f t="shared" si="33"/>
        <v>0</v>
      </c>
      <c r="AO33" s="109">
        <f t="shared" si="33"/>
        <v>0</v>
      </c>
      <c r="AP33" s="109">
        <f t="shared" si="33"/>
        <v>0</v>
      </c>
    </row>
    <row r="34" spans="2:57" s="6" customFormat="1" x14ac:dyDescent="0.25">
      <c r="C34" s="6" t="s">
        <v>139</v>
      </c>
      <c r="D34" s="6" t="s">
        <v>32</v>
      </c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33">
        <v>51</v>
      </c>
      <c r="Z34" s="46">
        <f>Z30+Z33</f>
        <v>99.288000000000011</v>
      </c>
      <c r="AA34" s="33">
        <v>127</v>
      </c>
      <c r="AB34" s="33">
        <f>196-AA34</f>
        <v>69</v>
      </c>
      <c r="AC34" s="33">
        <v>54</v>
      </c>
      <c r="AD34" s="33">
        <f>244-AC34</f>
        <v>190</v>
      </c>
      <c r="AE34" s="33">
        <f t="shared" ref="AE34:AL34" si="34">SUM(AE30:AE33)</f>
        <v>164</v>
      </c>
      <c r="AF34" s="33">
        <f t="shared" si="34"/>
        <v>149</v>
      </c>
      <c r="AG34" s="33">
        <f t="shared" si="34"/>
        <v>149</v>
      </c>
      <c r="AH34" s="46">
        <f t="shared" si="34"/>
        <v>283.53614889047958</v>
      </c>
      <c r="AI34" s="46">
        <f t="shared" si="34"/>
        <v>235.87151037938435</v>
      </c>
      <c r="AJ34" s="46">
        <f t="shared" si="34"/>
        <v>238.23022548317823</v>
      </c>
      <c r="AK34" s="46">
        <f t="shared" si="34"/>
        <v>267.34725304223338</v>
      </c>
      <c r="AL34" s="46">
        <f t="shared" si="34"/>
        <v>280.82155459556202</v>
      </c>
      <c r="AM34" s="46">
        <f>SUM(AM30:AM33)</f>
        <v>294.97496094717832</v>
      </c>
      <c r="AN34" s="46">
        <f>SUM(AN30:AN33)</f>
        <v>309.84169897891616</v>
      </c>
      <c r="AO34" s="46">
        <f>SUM(AO30:AO33)</f>
        <v>325.45772060745355</v>
      </c>
      <c r="AP34" s="46">
        <f>SUM(AP30:AP33)</f>
        <v>341.86078972606919</v>
      </c>
    </row>
    <row r="35" spans="2:57" x14ac:dyDescent="0.25">
      <c r="C35" t="s">
        <v>146</v>
      </c>
      <c r="E35" s="64"/>
      <c r="F35" s="64"/>
      <c r="G35" s="64"/>
      <c r="H35" s="64"/>
      <c r="I35" s="64"/>
      <c r="J35" s="64"/>
      <c r="K35" s="64"/>
      <c r="L35" s="64"/>
      <c r="M35" s="64"/>
      <c r="N35" s="64"/>
      <c r="O35" s="64"/>
      <c r="P35" s="64"/>
      <c r="Q35" s="65"/>
      <c r="R35" s="65"/>
      <c r="S35" s="65"/>
      <c r="T35" s="65"/>
      <c r="U35" s="65"/>
      <c r="V35" s="65"/>
      <c r="W35" s="65"/>
      <c r="X35" s="65"/>
      <c r="Y35" s="65">
        <v>0.16600000000000001</v>
      </c>
      <c r="Z35" s="65">
        <f>Z38+Z37</f>
        <v>0.14086052695189752</v>
      </c>
      <c r="AA35" s="65">
        <v>0.29699999999999999</v>
      </c>
      <c r="AB35" s="65">
        <f t="shared" ref="AB35:AG35" si="35">AB36/AB34</f>
        <v>0.3188405797101449</v>
      </c>
      <c r="AC35" s="65">
        <f t="shared" si="35"/>
        <v>0.24074074074074073</v>
      </c>
      <c r="AD35" s="65">
        <f t="shared" si="35"/>
        <v>0.29473684210526313</v>
      </c>
      <c r="AE35" s="65">
        <f t="shared" si="35"/>
        <v>0.21951219512195122</v>
      </c>
      <c r="AF35" s="65">
        <f t="shared" si="35"/>
        <v>0.20134228187919462</v>
      </c>
      <c r="AG35" s="65">
        <f t="shared" si="35"/>
        <v>0.18791946308724833</v>
      </c>
      <c r="AH35" s="64">
        <v>0.23</v>
      </c>
      <c r="AI35" s="64">
        <f>AH35+1%</f>
        <v>0.24000000000000002</v>
      </c>
      <c r="AJ35" s="64">
        <f t="shared" ref="AJ35:AN35" si="36">AI35</f>
        <v>0.24000000000000002</v>
      </c>
      <c r="AK35" s="64">
        <f t="shared" si="36"/>
        <v>0.24000000000000002</v>
      </c>
      <c r="AL35" s="64">
        <f t="shared" si="36"/>
        <v>0.24000000000000002</v>
      </c>
      <c r="AM35" s="64">
        <f t="shared" si="36"/>
        <v>0.24000000000000002</v>
      </c>
      <c r="AN35" s="64">
        <f t="shared" si="36"/>
        <v>0.24000000000000002</v>
      </c>
      <c r="AO35" s="64">
        <f t="shared" ref="AO35" si="37">AN35</f>
        <v>0.24000000000000002</v>
      </c>
      <c r="AP35" s="64">
        <f t="shared" ref="AP35" si="38">AO35</f>
        <v>0.24000000000000002</v>
      </c>
    </row>
    <row r="36" spans="2:57" s="6" customFormat="1" x14ac:dyDescent="0.25">
      <c r="C36" s="6" t="s">
        <v>144</v>
      </c>
      <c r="D36" s="6" t="s">
        <v>32</v>
      </c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>
        <f>Y34*Y35</f>
        <v>8.4660000000000011</v>
      </c>
      <c r="Z36" s="56">
        <f>Z34*Z35</f>
        <v>13.985760000000003</v>
      </c>
      <c r="AA36" s="56">
        <v>38</v>
      </c>
      <c r="AB36" s="56">
        <f>60-AA36</f>
        <v>22</v>
      </c>
      <c r="AC36" s="56">
        <v>13</v>
      </c>
      <c r="AD36" s="56">
        <f>69-AC36</f>
        <v>56</v>
      </c>
      <c r="AE36" s="108">
        <v>36</v>
      </c>
      <c r="AF36" s="108">
        <f>66-AE36</f>
        <v>30</v>
      </c>
      <c r="AG36" s="108">
        <v>28</v>
      </c>
      <c r="AH36" s="56">
        <f t="shared" ref="AH36:AL36" si="39">AH34*AH35</f>
        <v>65.213314244810306</v>
      </c>
      <c r="AI36" s="56">
        <f t="shared" si="39"/>
        <v>56.609162491052246</v>
      </c>
      <c r="AJ36" s="56">
        <f t="shared" si="39"/>
        <v>57.17525411596278</v>
      </c>
      <c r="AK36" s="56">
        <f t="shared" si="39"/>
        <v>64.163340730136014</v>
      </c>
      <c r="AL36" s="56">
        <f t="shared" si="39"/>
        <v>67.397173102934886</v>
      </c>
      <c r="AM36" s="56">
        <f>AM34*AM35</f>
        <v>70.793990627322799</v>
      </c>
      <c r="AN36" s="56">
        <f>AN34*AN35</f>
        <v>74.362007754939881</v>
      </c>
      <c r="AO36" s="56">
        <f>AO34*AO35</f>
        <v>78.109852945788859</v>
      </c>
      <c r="AP36" s="56">
        <f>AP34*AP35</f>
        <v>82.046589534256611</v>
      </c>
    </row>
    <row r="37" spans="2:57" s="47" customFormat="1" x14ac:dyDescent="0.25">
      <c r="C37" s="47" t="s">
        <v>48</v>
      </c>
      <c r="E37" s="64"/>
      <c r="F37" s="64"/>
      <c r="G37" s="64"/>
      <c r="H37" s="64"/>
      <c r="I37" s="64"/>
      <c r="J37" s="64"/>
      <c r="K37" s="64"/>
      <c r="L37" s="64"/>
      <c r="M37" s="64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4"/>
      <c r="Y37" s="64">
        <f>Y35-Y38</f>
        <v>2.0000000000000018E-2</v>
      </c>
      <c r="Z37" s="64">
        <f>Y37</f>
        <v>2.0000000000000018E-2</v>
      </c>
      <c r="AA37" s="64">
        <f t="shared" ref="AA37:AF37" si="40">AA35-AA38</f>
        <v>5.0000000000000044E-3</v>
      </c>
      <c r="AB37" s="64">
        <f t="shared" si="40"/>
        <v>2.8985507246376774E-2</v>
      </c>
      <c r="AC37" s="64">
        <f t="shared" si="40"/>
        <v>1.8518518518518517E-2</v>
      </c>
      <c r="AD37" s="64">
        <f t="shared" si="40"/>
        <v>5.263157894736803E-3</v>
      </c>
      <c r="AE37" s="64">
        <f t="shared" si="40"/>
        <v>3.048780487804878E-2</v>
      </c>
      <c r="AF37" s="64">
        <f t="shared" si="40"/>
        <v>6.7114093959731447E-3</v>
      </c>
      <c r="AG37" s="64">
        <v>0.02</v>
      </c>
      <c r="AH37" s="64">
        <f t="shared" ref="AH37:AN37" si="41">AG37</f>
        <v>0.02</v>
      </c>
      <c r="AI37" s="64">
        <f t="shared" si="41"/>
        <v>0.02</v>
      </c>
      <c r="AJ37" s="64">
        <f t="shared" si="41"/>
        <v>0.02</v>
      </c>
      <c r="AK37" s="64">
        <f t="shared" si="41"/>
        <v>0.02</v>
      </c>
      <c r="AL37" s="64">
        <f t="shared" si="41"/>
        <v>0.02</v>
      </c>
      <c r="AM37" s="64">
        <f t="shared" si="41"/>
        <v>0.02</v>
      </c>
      <c r="AN37" s="64">
        <f t="shared" si="41"/>
        <v>0.02</v>
      </c>
      <c r="AO37" s="64">
        <f t="shared" ref="AO37" si="42">AN37</f>
        <v>0.02</v>
      </c>
      <c r="AP37" s="64">
        <f t="shared" ref="AP37" si="43">AO37</f>
        <v>0.02</v>
      </c>
    </row>
    <row r="38" spans="2:57" x14ac:dyDescent="0.25">
      <c r="C38" t="s">
        <v>145</v>
      </c>
      <c r="E38" s="64"/>
      <c r="F38" s="64"/>
      <c r="G38" s="64"/>
      <c r="H38" s="64"/>
      <c r="I38" s="64"/>
      <c r="J38" s="64"/>
      <c r="K38" s="64"/>
      <c r="L38" s="64"/>
      <c r="M38" s="64"/>
      <c r="N38" s="64"/>
      <c r="O38" s="64"/>
      <c r="P38" s="64"/>
      <c r="Q38" s="65"/>
      <c r="R38" s="65"/>
      <c r="S38" s="65"/>
      <c r="T38" s="65"/>
      <c r="U38" s="65"/>
      <c r="V38" s="65"/>
      <c r="W38" s="65"/>
      <c r="X38" s="65"/>
      <c r="Y38" s="65">
        <v>0.14599999999999999</v>
      </c>
      <c r="Z38" s="65">
        <f>Z39/Z34</f>
        <v>0.1208605269518975</v>
      </c>
      <c r="AA38" s="65">
        <v>0.29199999999999998</v>
      </c>
      <c r="AB38" s="65">
        <f t="shared" ref="AB38:AG38" si="44">AB39/AB34</f>
        <v>0.28985507246376813</v>
      </c>
      <c r="AC38" s="65">
        <f t="shared" si="44"/>
        <v>0.22222222222222221</v>
      </c>
      <c r="AD38" s="65">
        <f t="shared" si="44"/>
        <v>0.28947368421052633</v>
      </c>
      <c r="AE38" s="65">
        <f t="shared" si="44"/>
        <v>0.18902439024390244</v>
      </c>
      <c r="AF38" s="65">
        <f t="shared" si="44"/>
        <v>0.19463087248322147</v>
      </c>
      <c r="AG38" s="65">
        <f t="shared" si="44"/>
        <v>0.15436241610738255</v>
      </c>
      <c r="AH38" s="64">
        <f t="shared" ref="AH38:AL38" si="45">AH35-AH37</f>
        <v>0.21000000000000002</v>
      </c>
      <c r="AI38" s="64">
        <f t="shared" si="45"/>
        <v>0.22000000000000003</v>
      </c>
      <c r="AJ38" s="64">
        <f t="shared" si="45"/>
        <v>0.22000000000000003</v>
      </c>
      <c r="AK38" s="64">
        <f t="shared" si="45"/>
        <v>0.22000000000000003</v>
      </c>
      <c r="AL38" s="64">
        <f t="shared" si="45"/>
        <v>0.22000000000000003</v>
      </c>
      <c r="AM38" s="64">
        <f>AM35-AM37</f>
        <v>0.22000000000000003</v>
      </c>
      <c r="AN38" s="64">
        <f>AN35-AN37</f>
        <v>0.22000000000000003</v>
      </c>
      <c r="AO38" s="64">
        <f>AO35-AO37</f>
        <v>0.22000000000000003</v>
      </c>
      <c r="AP38" s="64">
        <f>AP35-AP37</f>
        <v>0.22000000000000003</v>
      </c>
    </row>
    <row r="39" spans="2:57" s="6" customFormat="1" x14ac:dyDescent="0.25">
      <c r="C39" s="6" t="s">
        <v>147</v>
      </c>
      <c r="D39" s="6" t="s">
        <v>32</v>
      </c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108">
        <v>7</v>
      </c>
      <c r="Z39" s="108">
        <v>12</v>
      </c>
      <c r="AA39" s="108">
        <v>38</v>
      </c>
      <c r="AB39" s="108">
        <f>58-AA39</f>
        <v>20</v>
      </c>
      <c r="AC39" s="108">
        <v>12</v>
      </c>
      <c r="AD39" s="108">
        <f>67-AC39</f>
        <v>55</v>
      </c>
      <c r="AE39" s="108">
        <v>31</v>
      </c>
      <c r="AF39" s="108">
        <f>60-AE39</f>
        <v>29</v>
      </c>
      <c r="AG39" s="108">
        <v>23</v>
      </c>
      <c r="AH39" s="56">
        <f t="shared" ref="AH39:AL39" si="46">AH34*AH38</f>
        <v>59.542591267000716</v>
      </c>
      <c r="AI39" s="56">
        <f t="shared" si="46"/>
        <v>51.891732283464563</v>
      </c>
      <c r="AJ39" s="56">
        <f t="shared" si="46"/>
        <v>52.410649606299216</v>
      </c>
      <c r="AK39" s="56">
        <f t="shared" si="46"/>
        <v>58.816395669291353</v>
      </c>
      <c r="AL39" s="56">
        <f t="shared" si="46"/>
        <v>61.780742011023655</v>
      </c>
      <c r="AM39" s="56">
        <f>AM34*AM38</f>
        <v>64.894491408379238</v>
      </c>
      <c r="AN39" s="56">
        <f>AN34*AN38</f>
        <v>68.165173775361566</v>
      </c>
      <c r="AO39" s="56">
        <f>AO34*AO38</f>
        <v>71.600698533639786</v>
      </c>
      <c r="AP39" s="56">
        <f>AP34*AP38</f>
        <v>75.209373739735227</v>
      </c>
    </row>
    <row r="40" spans="2:57" s="72" customFormat="1" x14ac:dyDescent="0.25">
      <c r="C40" s="72" t="s">
        <v>48</v>
      </c>
      <c r="D40" s="72" t="s">
        <v>32</v>
      </c>
      <c r="E40" s="55"/>
      <c r="F40" s="55"/>
      <c r="G40" s="55"/>
      <c r="H40" s="55"/>
      <c r="I40" s="73"/>
      <c r="J40" s="73"/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3"/>
      <c r="V40" s="73"/>
      <c r="W40" s="73"/>
      <c r="X40" s="73"/>
      <c r="Y40" s="73">
        <f>Y36-Y39</f>
        <v>1.4660000000000011</v>
      </c>
      <c r="Z40" s="55">
        <f>Z36-Z39</f>
        <v>1.9857600000000026</v>
      </c>
      <c r="AA40" s="73">
        <v>1</v>
      </c>
      <c r="AB40" s="73">
        <f>2-AA40</f>
        <v>1</v>
      </c>
      <c r="AC40" s="73">
        <v>1</v>
      </c>
      <c r="AD40" s="73">
        <v>-1</v>
      </c>
      <c r="AE40" s="73">
        <v>3</v>
      </c>
      <c r="AF40" s="73">
        <f>4-AE40</f>
        <v>1</v>
      </c>
      <c r="AG40" s="73">
        <v>6</v>
      </c>
      <c r="AH40" s="55">
        <f t="shared" ref="AH40:AN40" si="47">(AH36-AH39)*50%</f>
        <v>2.8353614889047947</v>
      </c>
      <c r="AI40" s="55">
        <f t="shared" si="47"/>
        <v>2.3587151037938412</v>
      </c>
      <c r="AJ40" s="55">
        <f t="shared" si="47"/>
        <v>2.3823022548317816</v>
      </c>
      <c r="AK40" s="55">
        <f t="shared" si="47"/>
        <v>2.6734725304223304</v>
      </c>
      <c r="AL40" s="55">
        <f t="shared" si="47"/>
        <v>2.8082155459556155</v>
      </c>
      <c r="AM40" s="55">
        <f t="shared" si="47"/>
        <v>2.9497496094717803</v>
      </c>
      <c r="AN40" s="55">
        <f t="shared" si="47"/>
        <v>3.0984169897891576</v>
      </c>
      <c r="AO40" s="55">
        <f t="shared" ref="AO40:AP40" si="48">(AO36-AO39)*50%</f>
        <v>3.2545772060745364</v>
      </c>
      <c r="AP40" s="55">
        <f t="shared" si="48"/>
        <v>3.4186078972606921</v>
      </c>
    </row>
    <row r="41" spans="2:57" x14ac:dyDescent="0.25">
      <c r="E41" s="58"/>
      <c r="F41" s="58"/>
      <c r="G41" s="58"/>
      <c r="H41" s="58"/>
      <c r="I41" s="58"/>
      <c r="J41" s="58"/>
      <c r="K41" s="58"/>
      <c r="L41" s="58"/>
      <c r="M41" s="58"/>
      <c r="N41" s="58"/>
      <c r="O41" s="58"/>
      <c r="P41" s="58"/>
      <c r="Q41" s="58"/>
      <c r="R41" s="58"/>
      <c r="S41" s="58"/>
      <c r="T41" s="58"/>
      <c r="U41" s="58"/>
      <c r="V41" s="58"/>
      <c r="W41" s="58"/>
      <c r="X41" s="58"/>
      <c r="Y41" s="58"/>
      <c r="Z41" s="58"/>
      <c r="AA41" s="58"/>
      <c r="AB41" s="54"/>
      <c r="AC41" s="54"/>
      <c r="AD41" s="54"/>
      <c r="AE41" s="54"/>
      <c r="AF41" s="54"/>
      <c r="AG41" s="54"/>
      <c r="AH41" s="54"/>
      <c r="AI41" s="54"/>
      <c r="AJ41" s="54"/>
      <c r="AK41" s="54"/>
      <c r="AL41" s="54"/>
      <c r="AM41" s="54"/>
      <c r="AN41" s="54"/>
      <c r="AO41" s="54"/>
      <c r="AP41" s="54"/>
    </row>
    <row r="42" spans="2:57" x14ac:dyDescent="0.25">
      <c r="E42" s="58"/>
      <c r="F42" s="58"/>
      <c r="G42" s="58"/>
      <c r="H42" s="58"/>
      <c r="I42" s="58"/>
      <c r="J42" s="58"/>
      <c r="K42" s="58"/>
      <c r="L42" s="58"/>
      <c r="M42" s="58"/>
      <c r="N42" s="58"/>
      <c r="O42" s="58"/>
      <c r="P42" s="58"/>
      <c r="Q42" s="58"/>
      <c r="R42" s="58"/>
      <c r="S42" s="58"/>
      <c r="T42" s="58"/>
      <c r="U42" s="58"/>
      <c r="V42" s="58"/>
      <c r="W42" s="58"/>
      <c r="X42" s="58"/>
      <c r="Y42" s="58"/>
      <c r="Z42" s="58"/>
      <c r="AA42" s="58"/>
      <c r="AB42" s="54"/>
      <c r="AC42" s="54"/>
      <c r="AD42" s="54"/>
      <c r="AE42" s="54"/>
      <c r="AF42" s="54"/>
      <c r="AG42" s="54"/>
      <c r="AH42" s="54"/>
      <c r="AI42" s="54"/>
      <c r="AJ42" s="54"/>
      <c r="AK42" s="54"/>
      <c r="AL42" s="54"/>
      <c r="AM42" s="54"/>
      <c r="AN42" s="54"/>
      <c r="AO42" s="54"/>
      <c r="AP42" s="54"/>
    </row>
    <row r="43" spans="2:57" s="23" customFormat="1" x14ac:dyDescent="0.25">
      <c r="B43" s="23" t="s">
        <v>316</v>
      </c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  <c r="AB43" s="24"/>
      <c r="AC43" s="24"/>
      <c r="AD43" s="24"/>
      <c r="AE43" s="24"/>
      <c r="AF43" s="24"/>
      <c r="AG43" s="24"/>
      <c r="AH43" s="24"/>
      <c r="AI43" s="24"/>
      <c r="AJ43" s="24"/>
      <c r="AK43" s="24"/>
      <c r="AL43" s="24"/>
      <c r="AM43" s="24"/>
      <c r="AN43" s="24"/>
      <c r="AO43" s="24"/>
      <c r="AP43" s="24"/>
      <c r="AQ43" s="24"/>
      <c r="AR43" s="24"/>
      <c r="AS43" s="24"/>
      <c r="AT43" s="24"/>
      <c r="AU43" s="24"/>
      <c r="AV43" s="24"/>
      <c r="AW43" s="24"/>
      <c r="AX43" s="24"/>
      <c r="AY43" s="24"/>
      <c r="AZ43" s="24"/>
      <c r="BA43" s="24"/>
      <c r="BE43" s="25"/>
    </row>
    <row r="44" spans="2:57" x14ac:dyDescent="0.25">
      <c r="C44" t="s">
        <v>333</v>
      </c>
      <c r="D44" t="s">
        <v>32</v>
      </c>
      <c r="E44" s="58"/>
      <c r="F44" s="58"/>
      <c r="G44" s="58"/>
      <c r="H44" s="58"/>
      <c r="I44" s="58"/>
      <c r="J44" s="58"/>
      <c r="K44" s="58"/>
      <c r="L44" s="58"/>
      <c r="M44" s="58"/>
      <c r="N44" s="58"/>
      <c r="O44" s="58"/>
      <c r="P44" s="58"/>
      <c r="Q44" s="58"/>
      <c r="R44" s="58"/>
      <c r="S44" s="58"/>
      <c r="T44" s="58"/>
      <c r="U44" s="58"/>
      <c r="V44" s="58"/>
      <c r="W44" s="58"/>
      <c r="X44" s="58"/>
      <c r="Y44" s="58"/>
      <c r="Z44" s="58"/>
      <c r="AA44" s="58">
        <f>(AA16*AA18*52*0.5/1000000)*AA21*0.499</f>
        <v>1.6443239714832107</v>
      </c>
      <c r="AB44" s="58">
        <f t="shared" ref="AB44:AL44" si="49">(AB16*AB18*52*0.5/1000000)*AB21*0.499</f>
        <v>2.8818732722880211</v>
      </c>
      <c r="AC44" s="58">
        <f t="shared" si="49"/>
        <v>2.8273251416233456</v>
      </c>
      <c r="AD44" s="58">
        <f t="shared" si="49"/>
        <v>3.2257920484547289</v>
      </c>
      <c r="AE44" s="58">
        <f t="shared" si="49"/>
        <v>4.2578590470086093</v>
      </c>
      <c r="AF44" s="58">
        <f t="shared" si="49"/>
        <v>4.018238466046351</v>
      </c>
      <c r="AG44" s="58">
        <f t="shared" si="49"/>
        <v>5.228704791589692</v>
      </c>
      <c r="AH44" s="58">
        <f t="shared" si="49"/>
        <v>6.471978005434309</v>
      </c>
      <c r="AI44" s="58">
        <f t="shared" si="49"/>
        <v>7.7511146624255449</v>
      </c>
      <c r="AJ44" s="58">
        <f t="shared" si="49"/>
        <v>9.06690709791331</v>
      </c>
      <c r="AK44" s="58">
        <f t="shared" si="49"/>
        <v>10.555525246138055</v>
      </c>
      <c r="AL44" s="58">
        <f t="shared" si="49"/>
        <v>12.141412868387551</v>
      </c>
      <c r="AM44" s="58">
        <f>(AM16*AM18*52*0.5/1000000)*AM21*0.499</f>
        <v>13.830185416586145</v>
      </c>
      <c r="AN44" s="58">
        <f>(AN16*AN18*52*0.5/1000000)*AN21*0.499</f>
        <v>15.627773167465984</v>
      </c>
      <c r="AO44" s="58">
        <f>(AO16*AO18*52*0.5/1000000)*AO21*0.499</f>
        <v>17.540438738968806</v>
      </c>
      <c r="AP44" s="58">
        <f>(AP16*AP18*52*0.5/1000000)*AP21*0.499</f>
        <v>19.57479557926165</v>
      </c>
    </row>
    <row r="45" spans="2:57" x14ac:dyDescent="0.25">
      <c r="C45" t="s">
        <v>334</v>
      </c>
      <c r="D45" t="s">
        <v>32</v>
      </c>
      <c r="E45" s="58"/>
      <c r="F45" s="58"/>
      <c r="G45" s="58"/>
      <c r="H45" s="58"/>
      <c r="I45" s="58"/>
      <c r="J45" s="58"/>
      <c r="K45" s="58"/>
      <c r="L45" s="58"/>
      <c r="M45" s="58"/>
      <c r="N45" s="58"/>
      <c r="O45" s="58"/>
      <c r="P45" s="58"/>
      <c r="Q45" s="58"/>
      <c r="R45" s="58"/>
      <c r="S45" s="58"/>
      <c r="T45" s="58"/>
      <c r="U45" s="58"/>
      <c r="V45" s="58"/>
      <c r="W45" s="58"/>
      <c r="X45" s="58"/>
      <c r="Y45" s="58"/>
      <c r="Z45" s="58"/>
      <c r="AA45" s="58">
        <f>AA30</f>
        <v>54.745272</v>
      </c>
      <c r="AB45" s="58">
        <f>AB30</f>
        <v>80.561802</v>
      </c>
      <c r="AC45" s="58">
        <f>AC30</f>
        <v>54.591464999999999</v>
      </c>
      <c r="AD45" s="58">
        <f>AD30</f>
        <v>102.65540100000001</v>
      </c>
      <c r="AE45" s="58">
        <f>AE30*49.9%</f>
        <v>94.310999999999993</v>
      </c>
      <c r="AF45" s="58">
        <f t="shared" ref="AF45:AN45" si="50">AF30*49.9%</f>
        <v>105.289</v>
      </c>
      <c r="AG45" s="58">
        <f t="shared" si="50"/>
        <v>99.8</v>
      </c>
      <c r="AH45" s="58">
        <f t="shared" si="50"/>
        <v>176.81102362204726</v>
      </c>
      <c r="AI45" s="58">
        <f t="shared" si="50"/>
        <v>178.57913385826771</v>
      </c>
      <c r="AJ45" s="58">
        <f t="shared" si="50"/>
        <v>180.36492519685041</v>
      </c>
      <c r="AK45" s="58">
        <f t="shared" si="50"/>
        <v>202.40952716535435</v>
      </c>
      <c r="AL45" s="58">
        <f t="shared" si="50"/>
        <v>212.61096733448824</v>
      </c>
      <c r="AM45" s="58">
        <f t="shared" si="50"/>
        <v>223.32656008814646</v>
      </c>
      <c r="AN45" s="58">
        <f t="shared" si="50"/>
        <v>234.58221871658904</v>
      </c>
      <c r="AO45" s="58">
        <f t="shared" ref="AO45:AP45" si="51">AO30*49.9%</f>
        <v>246.40516253990515</v>
      </c>
      <c r="AP45" s="58">
        <f t="shared" si="51"/>
        <v>258.82398273191637</v>
      </c>
    </row>
    <row r="46" spans="2:57" x14ac:dyDescent="0.25">
      <c r="C46" t="s">
        <v>335</v>
      </c>
      <c r="D46" t="s">
        <v>32</v>
      </c>
      <c r="E46" s="58"/>
      <c r="F46" s="58"/>
      <c r="G46" s="58"/>
      <c r="H46" s="58"/>
      <c r="I46" s="58"/>
      <c r="J46" s="58"/>
      <c r="K46" s="58"/>
      <c r="L46" s="58"/>
      <c r="M46" s="58"/>
      <c r="N46" s="58"/>
      <c r="O46" s="58"/>
      <c r="P46" s="58"/>
      <c r="Q46" s="58"/>
      <c r="R46" s="58"/>
      <c r="S46" s="58"/>
      <c r="T46" s="58"/>
      <c r="U46" s="58"/>
      <c r="V46" s="58"/>
      <c r="W46" s="58"/>
      <c r="X46" s="58"/>
      <c r="Y46" s="58"/>
      <c r="Z46" s="58"/>
      <c r="AA46" s="58">
        <f>Residential!AA74*-1</f>
        <v>97</v>
      </c>
      <c r="AB46" s="58">
        <f>Residential!AB74*-1</f>
        <v>163</v>
      </c>
      <c r="AC46" s="58">
        <f>Residential!AC74*-1</f>
        <v>98</v>
      </c>
      <c r="AD46" s="58">
        <f>Residential!AD74*-1</f>
        <v>179</v>
      </c>
      <c r="AE46" s="58">
        <f>Residential!AE74*-1</f>
        <v>151</v>
      </c>
      <c r="AF46" s="58">
        <f>Residential!AF74*-1</f>
        <v>381</v>
      </c>
      <c r="AG46" s="58">
        <f>Residential!AG74*-1</f>
        <v>381</v>
      </c>
      <c r="AH46" s="58">
        <f>Residential!AH74*-1</f>
        <v>381</v>
      </c>
      <c r="AI46" s="58">
        <f>Residential!AI74*-1</f>
        <v>330.0859059589402</v>
      </c>
      <c r="AJ46" s="58">
        <f>Residential!AJ74*-1</f>
        <v>341.1461846977063</v>
      </c>
      <c r="AK46" s="58">
        <f>Residential!AK74*-1</f>
        <v>346.36961280483939</v>
      </c>
      <c r="AL46" s="58">
        <f>Residential!AL74*-1</f>
        <v>352.92847597382786</v>
      </c>
      <c r="AM46" s="58">
        <f>Residential!AM74*-1</f>
        <v>358.34325352706833</v>
      </c>
      <c r="AN46" s="58">
        <f>Residential!AN74*-1</f>
        <v>365.1473860951952</v>
      </c>
      <c r="AO46" s="58">
        <f>Residential!AO74*-1</f>
        <v>370.76086286802865</v>
      </c>
      <c r="AP46" s="58">
        <f>Residential!AP74*-1</f>
        <v>377.81979586077478</v>
      </c>
    </row>
    <row r="47" spans="2:57" s="6" customFormat="1" x14ac:dyDescent="0.25">
      <c r="C47" s="6" t="s">
        <v>336</v>
      </c>
      <c r="D47" s="6" t="s">
        <v>32</v>
      </c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W47" s="56"/>
      <c r="X47" s="56"/>
      <c r="Y47" s="56">
        <f>SUM(Y44:Y46)</f>
        <v>0</v>
      </c>
      <c r="Z47" s="56">
        <f t="shared" ref="Z47:AL47" si="52">SUM(Z44:Z46)</f>
        <v>0</v>
      </c>
      <c r="AA47" s="56">
        <f t="shared" si="52"/>
        <v>153.3895959714832</v>
      </c>
      <c r="AB47" s="56">
        <f t="shared" si="52"/>
        <v>246.44367527228803</v>
      </c>
      <c r="AC47" s="56">
        <f t="shared" si="52"/>
        <v>155.41879014162333</v>
      </c>
      <c r="AD47" s="56">
        <f t="shared" si="52"/>
        <v>284.88119304845475</v>
      </c>
      <c r="AE47" s="56">
        <f t="shared" si="52"/>
        <v>249.5688590470086</v>
      </c>
      <c r="AF47" s="56">
        <f t="shared" si="52"/>
        <v>490.30723846604633</v>
      </c>
      <c r="AG47" s="56">
        <f t="shared" si="52"/>
        <v>486.02870479158969</v>
      </c>
      <c r="AH47" s="56">
        <f t="shared" si="52"/>
        <v>564.28300162748155</v>
      </c>
      <c r="AI47" s="56">
        <f t="shared" si="52"/>
        <v>516.41615447963341</v>
      </c>
      <c r="AJ47" s="56">
        <f t="shared" si="52"/>
        <v>530.57801699247</v>
      </c>
      <c r="AK47" s="56">
        <f t="shared" si="52"/>
        <v>559.33466521633181</v>
      </c>
      <c r="AL47" s="56">
        <f t="shared" si="52"/>
        <v>577.68085617670363</v>
      </c>
      <c r="AM47" s="56">
        <f>SUM(AM44:AM46)</f>
        <v>595.49999903180094</v>
      </c>
      <c r="AN47" s="56">
        <f>SUM(AN44:AN46)</f>
        <v>615.35737797925026</v>
      </c>
      <c r="AO47" s="56">
        <f>SUM(AO44:AO46)</f>
        <v>634.70646414690259</v>
      </c>
      <c r="AP47" s="56">
        <f>SUM(AP44:AP46)</f>
        <v>656.21857417195281</v>
      </c>
    </row>
    <row r="48" spans="2:57" s="47" customFormat="1" x14ac:dyDescent="0.25">
      <c r="C48" s="47" t="s">
        <v>337</v>
      </c>
      <c r="E48" s="64"/>
      <c r="F48" s="64"/>
      <c r="G48" s="64"/>
      <c r="H48" s="64"/>
      <c r="I48" s="64"/>
      <c r="J48" s="64"/>
      <c r="K48" s="64"/>
      <c r="L48" s="64"/>
      <c r="M48" s="64"/>
      <c r="N48" s="64"/>
      <c r="O48" s="64"/>
      <c r="P48" s="64"/>
      <c r="Q48" s="64"/>
      <c r="R48" s="64"/>
      <c r="S48" s="64"/>
      <c r="T48" s="64"/>
      <c r="U48" s="64"/>
      <c r="V48" s="64"/>
      <c r="W48" s="64"/>
      <c r="X48" s="64"/>
      <c r="Y48" s="64"/>
      <c r="Z48" s="64"/>
      <c r="AA48" s="64">
        <f t="shared" ref="AA48:AG48" si="53">AA49/AA47</f>
        <v>0.13038693969647211</v>
      </c>
      <c r="AB48" s="64">
        <f t="shared" si="53"/>
        <v>0.11361622475830901</v>
      </c>
      <c r="AC48" s="64">
        <f t="shared" si="53"/>
        <v>0.10938188351941855</v>
      </c>
      <c r="AD48" s="64">
        <f t="shared" si="53"/>
        <v>0.10179682164932334</v>
      </c>
      <c r="AE48" s="64">
        <f t="shared" si="53"/>
        <v>9.2158933962460984E-2</v>
      </c>
      <c r="AF48" s="64">
        <f t="shared" si="53"/>
        <v>8.9739650056271783E-2</v>
      </c>
      <c r="AG48" s="64">
        <f t="shared" si="53"/>
        <v>6.789722432988908E-2</v>
      </c>
      <c r="AH48" s="64">
        <v>0.08</v>
      </c>
      <c r="AI48" s="64">
        <f t="shared" ref="AI48:AN48" si="54">AH48</f>
        <v>0.08</v>
      </c>
      <c r="AJ48" s="64">
        <f t="shared" si="54"/>
        <v>0.08</v>
      </c>
      <c r="AK48" s="64">
        <f t="shared" si="54"/>
        <v>0.08</v>
      </c>
      <c r="AL48" s="64">
        <f t="shared" si="54"/>
        <v>0.08</v>
      </c>
      <c r="AM48" s="64">
        <f t="shared" si="54"/>
        <v>0.08</v>
      </c>
      <c r="AN48" s="64">
        <f t="shared" si="54"/>
        <v>0.08</v>
      </c>
      <c r="AO48" s="64">
        <f t="shared" ref="AO48" si="55">AN48</f>
        <v>0.08</v>
      </c>
      <c r="AP48" s="64">
        <f t="shared" ref="AP48" si="56">AO48</f>
        <v>0.08</v>
      </c>
    </row>
    <row r="49" spans="3:42" s="6" customFormat="1" x14ac:dyDescent="0.25">
      <c r="C49" s="6" t="s">
        <v>338</v>
      </c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  <c r="X49" s="56"/>
      <c r="Y49" s="108">
        <v>11</v>
      </c>
      <c r="Z49" s="108">
        <v>21</v>
      </c>
      <c r="AA49" s="108">
        <v>20</v>
      </c>
      <c r="AB49" s="108">
        <f>48-AA49</f>
        <v>28</v>
      </c>
      <c r="AC49" s="108">
        <v>17</v>
      </c>
      <c r="AD49" s="108">
        <f>46-AC49</f>
        <v>29</v>
      </c>
      <c r="AE49" s="108">
        <v>23</v>
      </c>
      <c r="AF49" s="108">
        <f>67-AE49</f>
        <v>44</v>
      </c>
      <c r="AG49" s="108">
        <v>33</v>
      </c>
      <c r="AH49" s="56">
        <f>AH47*AH48+Residential!AH67</f>
        <v>45.142640130198522</v>
      </c>
      <c r="AI49" s="56">
        <f>AI47*AI48+Residential!AI67</f>
        <v>41.313292358370674</v>
      </c>
      <c r="AJ49" s="56">
        <f>AJ47*AJ48+Residential!AJ67</f>
        <v>42.446241359397604</v>
      </c>
      <c r="AK49" s="56">
        <f>AK47*AK48+Residential!AK67</f>
        <v>44.746773217306547</v>
      </c>
      <c r="AL49" s="56">
        <f>AL47*AL48+Residential!AL67</f>
        <v>46.214468494136291</v>
      </c>
      <c r="AM49" s="56">
        <f>AM47*AM48+Residential!AM67</f>
        <v>47.639999922544078</v>
      </c>
      <c r="AN49" s="56">
        <f>AN47*AN48+Residential!AN67</f>
        <v>49.228590238340018</v>
      </c>
      <c r="AO49" s="56">
        <f>AO47*AO48+Residential!AO67</f>
        <v>50.776517131752207</v>
      </c>
      <c r="AP49" s="56">
        <f>AP47*AP48+Residential!AP67</f>
        <v>52.497485933756224</v>
      </c>
    </row>
    <row r="50" spans="3:42" x14ac:dyDescent="0.25">
      <c r="E50" s="58"/>
      <c r="F50" s="58"/>
      <c r="G50" s="58"/>
      <c r="H50" s="58"/>
      <c r="I50" s="58"/>
      <c r="J50" s="58"/>
      <c r="K50" s="58"/>
      <c r="L50" s="58"/>
      <c r="M50" s="58"/>
      <c r="N50" s="58"/>
      <c r="O50" s="58"/>
      <c r="P50" s="58"/>
      <c r="Q50" s="58"/>
      <c r="R50" s="58"/>
      <c r="S50" s="58"/>
      <c r="T50" s="58"/>
      <c r="U50" s="58"/>
      <c r="V50" s="58"/>
      <c r="W50" s="58"/>
      <c r="X50" s="58"/>
      <c r="Y50" s="58"/>
      <c r="Z50" s="58"/>
      <c r="AA50" s="58"/>
      <c r="AB50" s="54">
        <f>AA49+AB49</f>
        <v>48</v>
      </c>
      <c r="AC50" s="54"/>
      <c r="AD50" s="54">
        <f>AC49+AD49</f>
        <v>46</v>
      </c>
      <c r="AE50" s="54"/>
      <c r="AF50" s="54">
        <f>AE49+AF49</f>
        <v>67</v>
      </c>
      <c r="AG50" s="54"/>
      <c r="AH50" s="54">
        <f>AG49+AH49</f>
        <v>78.142640130198515</v>
      </c>
      <c r="AI50" s="54"/>
      <c r="AJ50" s="54">
        <f>AI49+AJ49</f>
        <v>83.759533717768278</v>
      </c>
      <c r="AK50" s="54"/>
      <c r="AL50" s="54">
        <f>AK49+AL49</f>
        <v>90.961241711442838</v>
      </c>
      <c r="AM50" s="54"/>
      <c r="AN50" s="54">
        <f>AM49+AN49</f>
        <v>96.868590160884096</v>
      </c>
      <c r="AO50" s="54"/>
      <c r="AP50" s="54">
        <f>AO49+AP49</f>
        <v>103.27400306550842</v>
      </c>
    </row>
    <row r="51" spans="3:42" x14ac:dyDescent="0.25">
      <c r="E51" s="58"/>
      <c r="F51" s="58"/>
      <c r="G51" s="58"/>
      <c r="H51" s="58"/>
      <c r="I51" s="58"/>
      <c r="J51" s="58"/>
      <c r="K51" s="58"/>
      <c r="L51" s="58"/>
      <c r="M51" s="58"/>
      <c r="N51" s="58"/>
      <c r="O51" s="58"/>
      <c r="P51" s="58"/>
      <c r="Q51" s="58"/>
      <c r="R51" s="58"/>
      <c r="S51" s="58"/>
      <c r="T51" s="58"/>
      <c r="U51" s="58"/>
      <c r="V51" s="58"/>
      <c r="W51" s="58"/>
      <c r="X51" s="58"/>
      <c r="Y51" s="58"/>
      <c r="Z51" s="58"/>
      <c r="AA51" s="58"/>
      <c r="AB51" s="54"/>
      <c r="AC51" s="54"/>
      <c r="AD51" s="54"/>
      <c r="AE51" s="54"/>
      <c r="AF51" s="54"/>
      <c r="AG51" s="54"/>
      <c r="AH51" s="54"/>
      <c r="AI51" s="54"/>
      <c r="AJ51" s="54"/>
      <c r="AK51" s="54"/>
      <c r="AL51" s="54"/>
      <c r="AM51" s="54"/>
      <c r="AN51" s="54"/>
      <c r="AO51" s="54"/>
      <c r="AP51" s="54"/>
    </row>
    <row r="52" spans="3:42" x14ac:dyDescent="0.25">
      <c r="E52" s="58"/>
      <c r="F52" s="58"/>
      <c r="G52" s="58"/>
      <c r="H52" s="58"/>
      <c r="I52" s="58"/>
      <c r="J52" s="58"/>
      <c r="K52" s="58"/>
      <c r="L52" s="58"/>
      <c r="M52" s="58"/>
      <c r="N52" s="58"/>
      <c r="O52" s="58"/>
      <c r="P52" s="58"/>
      <c r="Q52" s="58"/>
      <c r="R52" s="58"/>
      <c r="S52" s="58"/>
      <c r="T52" s="58"/>
      <c r="U52" s="58"/>
      <c r="V52" s="58"/>
      <c r="W52" s="58"/>
      <c r="X52" s="58"/>
      <c r="Y52" s="58"/>
      <c r="Z52" s="58"/>
      <c r="AA52" s="58"/>
      <c r="AB52" s="54"/>
      <c r="AC52" s="54"/>
      <c r="AD52" s="54"/>
      <c r="AE52" s="54"/>
      <c r="AF52" s="54"/>
      <c r="AG52" s="54"/>
      <c r="AH52" s="54"/>
      <c r="AI52" s="54"/>
      <c r="AJ52" s="54"/>
      <c r="AK52" s="54"/>
      <c r="AL52" s="54"/>
      <c r="AM52" s="54"/>
      <c r="AN52" s="54"/>
      <c r="AO52" s="54"/>
      <c r="AP52" s="54"/>
    </row>
    <row r="53" spans="3:42" s="10" customFormat="1" x14ac:dyDescent="0.25">
      <c r="C53" s="51"/>
      <c r="E53" s="52"/>
      <c r="F53" s="52"/>
      <c r="G53" s="52"/>
      <c r="H53" s="52"/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2"/>
      <c r="V53" s="52"/>
      <c r="W53" s="52"/>
      <c r="X53" s="52"/>
      <c r="Y53" s="52"/>
      <c r="Z53" s="52"/>
      <c r="AA53" s="52"/>
      <c r="AB53" s="52"/>
      <c r="AC53" s="52"/>
      <c r="AD53" s="52"/>
      <c r="AE53" s="52"/>
      <c r="AF53" s="52"/>
      <c r="AG53" s="52"/>
      <c r="AH53" s="52"/>
      <c r="AI53" s="52"/>
      <c r="AJ53" s="52"/>
      <c r="AK53" s="11"/>
      <c r="AL53" s="11"/>
      <c r="AM53" s="11"/>
      <c r="AN53" s="11"/>
      <c r="AO53" s="11"/>
      <c r="AP53" s="11"/>
    </row>
    <row r="54" spans="3:42" s="10" customFormat="1" x14ac:dyDescent="0.25">
      <c r="C54" s="51"/>
      <c r="E54" s="52"/>
      <c r="F54" s="52"/>
      <c r="G54" s="52"/>
      <c r="H54" s="52"/>
      <c r="I54" s="52"/>
      <c r="J54" s="52"/>
      <c r="K54" s="52"/>
      <c r="L54" s="52"/>
      <c r="M54" s="52"/>
      <c r="N54" s="52"/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52"/>
      <c r="Z54" s="52"/>
      <c r="AA54" s="52"/>
      <c r="AB54" s="52"/>
      <c r="AC54" s="52"/>
      <c r="AD54" s="52"/>
      <c r="AE54" s="52"/>
      <c r="AF54" s="52"/>
      <c r="AG54" s="52"/>
      <c r="AH54" s="52"/>
      <c r="AI54" s="52"/>
      <c r="AJ54" s="52"/>
      <c r="AK54" s="11"/>
      <c r="AL54" s="11"/>
      <c r="AM54" s="11"/>
      <c r="AN54" s="11"/>
      <c r="AO54" s="11"/>
      <c r="AP54" s="11"/>
    </row>
    <row r="55" spans="3:42" s="10" customFormat="1" x14ac:dyDescent="0.25">
      <c r="C55" s="51"/>
      <c r="E55" s="52"/>
      <c r="F55" s="52"/>
      <c r="G55" s="52"/>
      <c r="H55" s="52"/>
      <c r="I55" s="52"/>
      <c r="J55" s="52"/>
      <c r="K55" s="52"/>
      <c r="L55" s="52"/>
      <c r="M55" s="52"/>
      <c r="N55" s="52"/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2"/>
      <c r="Z55" s="52"/>
      <c r="AA55" s="52"/>
      <c r="AB55" s="52"/>
      <c r="AC55" s="52"/>
      <c r="AD55" s="52"/>
      <c r="AE55" s="52"/>
      <c r="AF55" s="52"/>
      <c r="AG55" s="52"/>
      <c r="AH55" s="52"/>
      <c r="AI55" s="52"/>
      <c r="AJ55" s="52"/>
      <c r="AK55" s="11"/>
      <c r="AL55" s="11"/>
      <c r="AM55" s="11"/>
      <c r="AN55" s="11"/>
      <c r="AO55" s="11"/>
      <c r="AP55" s="11"/>
    </row>
    <row r="56" spans="3:42" s="10" customFormat="1" x14ac:dyDescent="0.25">
      <c r="C56" s="51"/>
      <c r="E56" s="52"/>
      <c r="F56" s="52"/>
      <c r="G56" s="52"/>
      <c r="H56" s="52"/>
      <c r="I56" s="52"/>
      <c r="J56" s="52"/>
      <c r="K56" s="52"/>
      <c r="L56" s="52"/>
      <c r="M56" s="52"/>
      <c r="N56" s="52"/>
      <c r="O56" s="52"/>
      <c r="P56" s="52"/>
      <c r="Q56" s="52"/>
      <c r="R56" s="52"/>
      <c r="S56" s="52"/>
      <c r="T56" s="52"/>
      <c r="U56" s="52"/>
      <c r="V56" s="52"/>
      <c r="W56" s="52"/>
      <c r="X56" s="52"/>
      <c r="Y56" s="52"/>
      <c r="Z56" s="52"/>
      <c r="AA56" s="52"/>
      <c r="AB56" s="52"/>
      <c r="AC56" s="52"/>
      <c r="AD56" s="52"/>
      <c r="AE56" s="52"/>
      <c r="AF56" s="52"/>
      <c r="AG56" s="52"/>
      <c r="AH56" s="52"/>
      <c r="AI56" s="52"/>
      <c r="AJ56" s="52"/>
      <c r="AK56" s="11"/>
      <c r="AL56" s="11"/>
      <c r="AM56" s="11"/>
      <c r="AN56" s="11"/>
      <c r="AO56" s="11"/>
      <c r="AP56" s="11"/>
    </row>
    <row r="57" spans="3:42" x14ac:dyDescent="0.25">
      <c r="U57" s="35"/>
      <c r="V57" s="35"/>
      <c r="W57" s="35"/>
      <c r="X57" s="35"/>
      <c r="Y57" s="35"/>
      <c r="Z57" s="35"/>
      <c r="AA57" s="35"/>
    </row>
  </sheetData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DF829C-B392-46AB-8035-CF6B738EC568}">
  <sheetPr codeName="Sheet9"/>
  <dimension ref="A1:BE117"/>
  <sheetViews>
    <sheetView zoomScale="85" zoomScaleNormal="85" workbookViewId="0">
      <pane xSplit="4" ySplit="7" topLeftCell="Z78" activePane="bottomRight" state="frozen"/>
      <selection pane="topRight" activeCell="E1" sqref="E1"/>
      <selection pane="bottomLeft" activeCell="A12" sqref="A12"/>
      <selection pane="bottomRight" activeCell="AH108" sqref="AH108"/>
    </sheetView>
  </sheetViews>
  <sheetFormatPr defaultRowHeight="15" outlineLevelRow="1" x14ac:dyDescent="0.25"/>
  <cols>
    <col min="1" max="1" width="3.42578125" customWidth="1"/>
    <col min="2" max="2" width="4" customWidth="1"/>
    <col min="3" max="3" width="45.7109375" customWidth="1"/>
    <col min="5" max="36" width="10.7109375" customWidth="1"/>
    <col min="37" max="42" width="11.28515625" customWidth="1"/>
  </cols>
  <sheetData>
    <row r="1" spans="1:57" x14ac:dyDescent="0.25">
      <c r="A1" s="1" t="str">
        <f>Group!A1</f>
        <v>SGP Model - Morgan Stanley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</row>
    <row r="2" spans="1:57" x14ac:dyDescent="0.25">
      <c r="A2" s="15" t="s">
        <v>117</v>
      </c>
      <c r="B2" s="15"/>
      <c r="C2" s="15"/>
      <c r="D2" s="15"/>
      <c r="E2" s="16">
        <v>40908</v>
      </c>
      <c r="F2" s="16">
        <f>EOMONTH(E2,6)</f>
        <v>41090</v>
      </c>
      <c r="G2" s="16">
        <f t="shared" ref="G2:AL2" si="0">EOMONTH(F2,6)</f>
        <v>41274</v>
      </c>
      <c r="H2" s="16">
        <f t="shared" si="0"/>
        <v>41455</v>
      </c>
      <c r="I2" s="16">
        <f t="shared" si="0"/>
        <v>41639</v>
      </c>
      <c r="J2" s="16">
        <f t="shared" si="0"/>
        <v>41820</v>
      </c>
      <c r="K2" s="16">
        <f t="shared" si="0"/>
        <v>42004</v>
      </c>
      <c r="L2" s="16">
        <f t="shared" si="0"/>
        <v>42185</v>
      </c>
      <c r="M2" s="16">
        <f t="shared" si="0"/>
        <v>42369</v>
      </c>
      <c r="N2" s="16">
        <f t="shared" si="0"/>
        <v>42551</v>
      </c>
      <c r="O2" s="16">
        <f t="shared" si="0"/>
        <v>42735</v>
      </c>
      <c r="P2" s="16">
        <f t="shared" si="0"/>
        <v>42916</v>
      </c>
      <c r="Q2" s="16">
        <f t="shared" si="0"/>
        <v>43100</v>
      </c>
      <c r="R2" s="16">
        <f t="shared" si="0"/>
        <v>43281</v>
      </c>
      <c r="S2" s="16">
        <f t="shared" si="0"/>
        <v>43465</v>
      </c>
      <c r="T2" s="16">
        <f t="shared" si="0"/>
        <v>43646</v>
      </c>
      <c r="U2" s="16">
        <f t="shared" si="0"/>
        <v>43830</v>
      </c>
      <c r="V2" s="16">
        <f t="shared" si="0"/>
        <v>44012</v>
      </c>
      <c r="W2" s="16">
        <f t="shared" si="0"/>
        <v>44196</v>
      </c>
      <c r="X2" s="16">
        <f t="shared" si="0"/>
        <v>44377</v>
      </c>
      <c r="Y2" s="16">
        <f t="shared" si="0"/>
        <v>44561</v>
      </c>
      <c r="Z2" s="16">
        <f t="shared" si="0"/>
        <v>44742</v>
      </c>
      <c r="AA2" s="16">
        <f t="shared" si="0"/>
        <v>44926</v>
      </c>
      <c r="AB2" s="16">
        <f t="shared" si="0"/>
        <v>45107</v>
      </c>
      <c r="AC2" s="16">
        <f t="shared" si="0"/>
        <v>45291</v>
      </c>
      <c r="AD2" s="16">
        <f t="shared" si="0"/>
        <v>45473</v>
      </c>
      <c r="AE2" s="16">
        <f t="shared" si="0"/>
        <v>45657</v>
      </c>
      <c r="AF2" s="16">
        <f t="shared" si="0"/>
        <v>45838</v>
      </c>
      <c r="AG2" s="16">
        <f t="shared" si="0"/>
        <v>46022</v>
      </c>
      <c r="AH2" s="16">
        <f t="shared" si="0"/>
        <v>46203</v>
      </c>
      <c r="AI2" s="16">
        <f t="shared" si="0"/>
        <v>46387</v>
      </c>
      <c r="AJ2" s="16">
        <f t="shared" si="0"/>
        <v>46568</v>
      </c>
      <c r="AK2" s="48">
        <f t="shared" si="0"/>
        <v>46752</v>
      </c>
      <c r="AL2" s="48">
        <f t="shared" si="0"/>
        <v>46934</v>
      </c>
      <c r="AM2" s="48">
        <f>EOMONTH(AL2,6)</f>
        <v>47118</v>
      </c>
      <c r="AN2" s="48">
        <f>EOMONTH(AM2,6)</f>
        <v>47299</v>
      </c>
      <c r="AO2" s="48">
        <f>EOMONTH(AN2,6)</f>
        <v>47483</v>
      </c>
      <c r="AP2" s="48">
        <f>EOMONTH(AO2,6)</f>
        <v>47664</v>
      </c>
    </row>
    <row r="3" spans="1:57" ht="15.75" thickBot="1" x14ac:dyDescent="0.3">
      <c r="A3" s="2"/>
      <c r="B3" s="2"/>
      <c r="C3" s="2"/>
      <c r="D3" s="2"/>
      <c r="E3" s="18" t="str">
        <f t="shared" ref="E3:AL3" si="1">E4&amp;"-"&amp;E5</f>
        <v>2012-H1</v>
      </c>
      <c r="F3" s="18" t="str">
        <f t="shared" si="1"/>
        <v>2012-H2</v>
      </c>
      <c r="G3" s="18" t="str">
        <f t="shared" si="1"/>
        <v>2013-H1</v>
      </c>
      <c r="H3" s="18" t="str">
        <f t="shared" si="1"/>
        <v>2013-H2</v>
      </c>
      <c r="I3" s="18" t="str">
        <f t="shared" si="1"/>
        <v>2014-H1</v>
      </c>
      <c r="J3" s="18" t="str">
        <f t="shared" si="1"/>
        <v>2014-H2</v>
      </c>
      <c r="K3" s="18" t="str">
        <f t="shared" si="1"/>
        <v>2015-H1</v>
      </c>
      <c r="L3" s="18" t="str">
        <f t="shared" si="1"/>
        <v>2015-H2</v>
      </c>
      <c r="M3" s="18" t="str">
        <f t="shared" si="1"/>
        <v>2016-H1</v>
      </c>
      <c r="N3" s="18" t="str">
        <f t="shared" si="1"/>
        <v>2016-H2</v>
      </c>
      <c r="O3" s="18" t="str">
        <f t="shared" si="1"/>
        <v>2017-H1</v>
      </c>
      <c r="P3" s="18" t="str">
        <f t="shared" si="1"/>
        <v>2017-H2</v>
      </c>
      <c r="Q3" s="18" t="str">
        <f t="shared" si="1"/>
        <v>2018-H1</v>
      </c>
      <c r="R3" s="18" t="str">
        <f t="shared" si="1"/>
        <v>2018-H2</v>
      </c>
      <c r="S3" s="18" t="str">
        <f t="shared" si="1"/>
        <v>2019-H1</v>
      </c>
      <c r="T3" s="18" t="str">
        <f t="shared" si="1"/>
        <v>2019-H2</v>
      </c>
      <c r="U3" s="18" t="str">
        <f t="shared" si="1"/>
        <v>2020-H1</v>
      </c>
      <c r="V3" s="18" t="str">
        <f t="shared" si="1"/>
        <v>2020-H2</v>
      </c>
      <c r="W3" s="18" t="str">
        <f t="shared" si="1"/>
        <v>2021-H1</v>
      </c>
      <c r="X3" s="18" t="str">
        <f t="shared" si="1"/>
        <v>2021-H2</v>
      </c>
      <c r="Y3" s="18" t="str">
        <f t="shared" si="1"/>
        <v>2022-H1</v>
      </c>
      <c r="Z3" s="18" t="str">
        <f t="shared" si="1"/>
        <v>2022-H2</v>
      </c>
      <c r="AA3" s="18" t="str">
        <f t="shared" si="1"/>
        <v>2023-H1</v>
      </c>
      <c r="AB3" s="18" t="str">
        <f t="shared" si="1"/>
        <v>2023-H2</v>
      </c>
      <c r="AC3" s="18" t="str">
        <f t="shared" si="1"/>
        <v>2024-H1</v>
      </c>
      <c r="AD3" s="18" t="str">
        <f t="shared" si="1"/>
        <v>2024-H2</v>
      </c>
      <c r="AE3" s="18" t="str">
        <f t="shared" si="1"/>
        <v>2025-H1</v>
      </c>
      <c r="AF3" s="18" t="str">
        <f t="shared" si="1"/>
        <v>2025-H2</v>
      </c>
      <c r="AG3" s="18" t="str">
        <f t="shared" si="1"/>
        <v>2026-H1</v>
      </c>
      <c r="AH3" s="18" t="str">
        <f t="shared" si="1"/>
        <v>2026-H2</v>
      </c>
      <c r="AI3" s="18" t="str">
        <f t="shared" si="1"/>
        <v>2027-H1</v>
      </c>
      <c r="AJ3" s="18" t="str">
        <f t="shared" si="1"/>
        <v>2027-H2</v>
      </c>
      <c r="AK3" s="18" t="str">
        <f t="shared" si="1"/>
        <v>2028-H1</v>
      </c>
      <c r="AL3" s="18" t="str">
        <f t="shared" si="1"/>
        <v>2028-H2</v>
      </c>
      <c r="AM3" s="18" t="str">
        <f>AM4&amp;"-"&amp;AM5</f>
        <v>2029-H1</v>
      </c>
      <c r="AN3" s="18" t="str">
        <f>AN4&amp;"-"&amp;AN5</f>
        <v>2029-H2</v>
      </c>
      <c r="AO3" s="18" t="str">
        <f>AO4&amp;"-"&amp;AO5</f>
        <v>2030-H1</v>
      </c>
      <c r="AP3" s="18" t="str">
        <f>AP4&amp;"-"&amp;AP5</f>
        <v>2030-H2</v>
      </c>
    </row>
    <row r="4" spans="1:57" hidden="1" x14ac:dyDescent="0.25">
      <c r="E4">
        <v>2012</v>
      </c>
      <c r="F4">
        <f>E4</f>
        <v>2012</v>
      </c>
      <c r="G4">
        <f>E4+1</f>
        <v>2013</v>
      </c>
      <c r="H4">
        <f>F4+1</f>
        <v>2013</v>
      </c>
      <c r="I4">
        <f>G4+1</f>
        <v>2014</v>
      </c>
      <c r="J4">
        <f>H4+1</f>
        <v>2014</v>
      </c>
      <c r="K4">
        <f t="shared" ref="K4:AL4" si="2">I4+1</f>
        <v>2015</v>
      </c>
      <c r="L4">
        <f t="shared" si="2"/>
        <v>2015</v>
      </c>
      <c r="M4">
        <f t="shared" si="2"/>
        <v>2016</v>
      </c>
      <c r="N4">
        <f t="shared" si="2"/>
        <v>2016</v>
      </c>
      <c r="O4">
        <f t="shared" si="2"/>
        <v>2017</v>
      </c>
      <c r="P4">
        <f t="shared" si="2"/>
        <v>2017</v>
      </c>
      <c r="Q4">
        <f t="shared" si="2"/>
        <v>2018</v>
      </c>
      <c r="R4">
        <f t="shared" si="2"/>
        <v>2018</v>
      </c>
      <c r="S4">
        <f t="shared" si="2"/>
        <v>2019</v>
      </c>
      <c r="T4">
        <f t="shared" si="2"/>
        <v>2019</v>
      </c>
      <c r="U4">
        <f t="shared" si="2"/>
        <v>2020</v>
      </c>
      <c r="V4">
        <f t="shared" si="2"/>
        <v>2020</v>
      </c>
      <c r="W4">
        <f t="shared" si="2"/>
        <v>2021</v>
      </c>
      <c r="X4">
        <f t="shared" si="2"/>
        <v>2021</v>
      </c>
      <c r="Y4">
        <f t="shared" si="2"/>
        <v>2022</v>
      </c>
      <c r="Z4">
        <f t="shared" si="2"/>
        <v>2022</v>
      </c>
      <c r="AA4">
        <f t="shared" si="2"/>
        <v>2023</v>
      </c>
      <c r="AB4">
        <f t="shared" si="2"/>
        <v>2023</v>
      </c>
      <c r="AC4">
        <f t="shared" si="2"/>
        <v>2024</v>
      </c>
      <c r="AD4">
        <f t="shared" si="2"/>
        <v>2024</v>
      </c>
      <c r="AE4">
        <f t="shared" si="2"/>
        <v>2025</v>
      </c>
      <c r="AF4">
        <f t="shared" si="2"/>
        <v>2025</v>
      </c>
      <c r="AG4">
        <f t="shared" si="2"/>
        <v>2026</v>
      </c>
      <c r="AH4">
        <f t="shared" si="2"/>
        <v>2026</v>
      </c>
      <c r="AI4">
        <f t="shared" si="2"/>
        <v>2027</v>
      </c>
      <c r="AJ4">
        <f t="shared" si="2"/>
        <v>2027</v>
      </c>
      <c r="AK4">
        <f t="shared" si="2"/>
        <v>2028</v>
      </c>
      <c r="AL4">
        <f t="shared" si="2"/>
        <v>2028</v>
      </c>
      <c r="AM4">
        <f>AK4+1</f>
        <v>2029</v>
      </c>
      <c r="AN4">
        <f>AL4+1</f>
        <v>2029</v>
      </c>
      <c r="AO4">
        <f>AM4+1</f>
        <v>2030</v>
      </c>
      <c r="AP4">
        <f>AN4+1</f>
        <v>2030</v>
      </c>
    </row>
    <row r="5" spans="1:57" hidden="1" x14ac:dyDescent="0.25">
      <c r="E5" s="3" t="s">
        <v>28</v>
      </c>
      <c r="F5" s="3" t="s">
        <v>29</v>
      </c>
      <c r="G5" s="3" t="s">
        <v>28</v>
      </c>
      <c r="H5" s="3" t="s">
        <v>29</v>
      </c>
      <c r="I5" s="3" t="s">
        <v>28</v>
      </c>
      <c r="J5" s="3" t="s">
        <v>29</v>
      </c>
      <c r="K5" s="3" t="s">
        <v>28</v>
      </c>
      <c r="L5" s="3" t="s">
        <v>29</v>
      </c>
      <c r="M5" s="3" t="s">
        <v>28</v>
      </c>
      <c r="N5" s="3" t="s">
        <v>29</v>
      </c>
      <c r="O5" s="3" t="s">
        <v>28</v>
      </c>
      <c r="P5" s="3" t="s">
        <v>29</v>
      </c>
      <c r="Q5" s="3" t="str">
        <f>E5</f>
        <v>H1</v>
      </c>
      <c r="R5" s="3" t="str">
        <f>F5</f>
        <v>H2</v>
      </c>
      <c r="S5" s="3" t="str">
        <f t="shared" ref="S5:AL5" si="3">Q5</f>
        <v>H1</v>
      </c>
      <c r="T5" s="3" t="str">
        <f t="shared" si="3"/>
        <v>H2</v>
      </c>
      <c r="U5" s="3" t="str">
        <f t="shared" si="3"/>
        <v>H1</v>
      </c>
      <c r="V5" s="3" t="str">
        <f t="shared" si="3"/>
        <v>H2</v>
      </c>
      <c r="W5" s="3" t="str">
        <f t="shared" si="3"/>
        <v>H1</v>
      </c>
      <c r="X5" s="3" t="str">
        <f t="shared" si="3"/>
        <v>H2</v>
      </c>
      <c r="Y5" s="3" t="str">
        <f t="shared" si="3"/>
        <v>H1</v>
      </c>
      <c r="Z5" s="3" t="str">
        <f t="shared" si="3"/>
        <v>H2</v>
      </c>
      <c r="AA5" s="3" t="str">
        <f t="shared" si="3"/>
        <v>H1</v>
      </c>
      <c r="AB5" s="3" t="str">
        <f t="shared" si="3"/>
        <v>H2</v>
      </c>
      <c r="AC5" s="3" t="str">
        <f t="shared" si="3"/>
        <v>H1</v>
      </c>
      <c r="AD5" s="3" t="str">
        <f t="shared" si="3"/>
        <v>H2</v>
      </c>
      <c r="AE5" s="3" t="str">
        <f t="shared" si="3"/>
        <v>H1</v>
      </c>
      <c r="AF5" s="3" t="str">
        <f t="shared" si="3"/>
        <v>H2</v>
      </c>
      <c r="AG5" s="3" t="str">
        <f t="shared" si="3"/>
        <v>H1</v>
      </c>
      <c r="AH5" s="3" t="str">
        <f t="shared" si="3"/>
        <v>H2</v>
      </c>
      <c r="AI5" s="3" t="str">
        <f t="shared" si="3"/>
        <v>H1</v>
      </c>
      <c r="AJ5" s="3" t="str">
        <f t="shared" si="3"/>
        <v>H2</v>
      </c>
      <c r="AK5" s="3" t="str">
        <f t="shared" si="3"/>
        <v>H1</v>
      </c>
      <c r="AL5" s="3" t="str">
        <f t="shared" si="3"/>
        <v>H2</v>
      </c>
      <c r="AM5" s="3" t="str">
        <f>AK5</f>
        <v>H1</v>
      </c>
      <c r="AN5" s="3" t="str">
        <f>AL5</f>
        <v>H2</v>
      </c>
      <c r="AO5" s="3" t="str">
        <f>AM5</f>
        <v>H1</v>
      </c>
      <c r="AP5" s="3" t="str">
        <f>AN5</f>
        <v>H2</v>
      </c>
    </row>
    <row r="6" spans="1:57" x14ac:dyDescent="0.25"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</row>
    <row r="7" spans="1:57" x14ac:dyDescent="0.25">
      <c r="A7" s="4" t="s">
        <v>201</v>
      </c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</row>
    <row r="9" spans="1:57" s="23" customFormat="1" x14ac:dyDescent="0.25">
      <c r="B9" s="23" t="s">
        <v>243</v>
      </c>
      <c r="E9" s="24"/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E9" s="25"/>
    </row>
    <row r="10" spans="1:57" x14ac:dyDescent="0.25">
      <c r="C10" t="s">
        <v>215</v>
      </c>
      <c r="D10" t="s">
        <v>32</v>
      </c>
      <c r="E10" s="58"/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  <c r="Q10" s="58"/>
      <c r="R10" s="58"/>
      <c r="S10" s="58"/>
      <c r="T10" s="58"/>
      <c r="U10" s="58"/>
      <c r="V10" s="58"/>
      <c r="W10" s="58"/>
      <c r="X10" s="58"/>
      <c r="Y10" s="86">
        <v>1.4064999999999999</v>
      </c>
      <c r="Z10" s="86">
        <v>1.4935</v>
      </c>
      <c r="AA10" s="88">
        <f t="shared" ref="AA10:AN10" si="4">Z10*(1+AA$45)^(1/2)*AA$46/Z$46</f>
        <v>1.515736955246523</v>
      </c>
      <c r="AB10" s="88">
        <f t="shared" si="4"/>
        <v>1.5275260860860862</v>
      </c>
      <c r="AC10" s="88">
        <f t="shared" si="4"/>
        <v>1.5699820740780117</v>
      </c>
      <c r="AD10" s="88">
        <f t="shared" si="4"/>
        <v>1.6087529016516522</v>
      </c>
      <c r="AE10" s="88">
        <f t="shared" si="4"/>
        <v>1.6406124876141579</v>
      </c>
      <c r="AF10" s="88">
        <f t="shared" si="4"/>
        <v>1.6731030177177186</v>
      </c>
      <c r="AG10" s="88">
        <f t="shared" si="4"/>
        <v>1.7062369871187246</v>
      </c>
      <c r="AH10" s="88">
        <f t="shared" si="4"/>
        <v>1.7400271384264276</v>
      </c>
      <c r="AI10" s="88">
        <f t="shared" si="4"/>
        <v>1.7744864666034739</v>
      </c>
      <c r="AJ10" s="88">
        <f t="shared" si="4"/>
        <v>1.8096282239634851</v>
      </c>
      <c r="AK10" s="88">
        <f t="shared" si="4"/>
        <v>1.8454659252676131</v>
      </c>
      <c r="AL10" s="88">
        <f t="shared" si="4"/>
        <v>1.8820133529220247</v>
      </c>
      <c r="AM10" s="88">
        <f t="shared" si="4"/>
        <v>1.9192845622783177</v>
      </c>
      <c r="AN10" s="88">
        <f t="shared" si="4"/>
        <v>1.9572938870389058</v>
      </c>
      <c r="AO10" s="88">
        <f t="shared" ref="AO10:AO32" si="5">AN10*(1+AO$45)^(1/2)*AO$46/AN$46</f>
        <v>1.9960559447694506</v>
      </c>
      <c r="AP10" s="88">
        <f t="shared" ref="AP10:AP32" si="6">AO10*(1+AP$45)^(1/2)*AP$46/AO$46</f>
        <v>2.0355856425204624</v>
      </c>
    </row>
    <row r="11" spans="1:57" x14ac:dyDescent="0.25">
      <c r="C11" t="s">
        <v>216</v>
      </c>
      <c r="D11" t="s">
        <v>32</v>
      </c>
      <c r="E11" s="58"/>
      <c r="F11" s="58"/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  <c r="X11" s="58"/>
      <c r="Y11" s="86">
        <v>0.77600000000000002</v>
      </c>
      <c r="Z11" s="86">
        <v>0.82400000000000007</v>
      </c>
      <c r="AA11" s="88">
        <f t="shared" ref="AA11:AN11" si="7">Z11*(1+AA$45)^(1/2)*AA$46/Z$46</f>
        <v>0.83626866496359897</v>
      </c>
      <c r="AB11" s="88">
        <f t="shared" si="7"/>
        <v>0.84277301301301322</v>
      </c>
      <c r="AC11" s="88">
        <f t="shared" si="7"/>
        <v>0.86619700638786856</v>
      </c>
      <c r="AD11" s="88">
        <f t="shared" si="7"/>
        <v>0.88758780780780822</v>
      </c>
      <c r="AE11" s="88">
        <f t="shared" si="7"/>
        <v>0.90516551040781135</v>
      </c>
      <c r="AF11" s="88">
        <f t="shared" si="7"/>
        <v>0.92309132012012063</v>
      </c>
      <c r="AG11" s="88">
        <f t="shared" si="7"/>
        <v>0.94137213082412385</v>
      </c>
      <c r="AH11" s="88">
        <f t="shared" si="7"/>
        <v>0.96001497292492555</v>
      </c>
      <c r="AI11" s="88">
        <f t="shared" si="7"/>
        <v>0.97902701605708897</v>
      </c>
      <c r="AJ11" s="88">
        <f t="shared" si="7"/>
        <v>0.99841557184192276</v>
      </c>
      <c r="AK11" s="88">
        <f t="shared" si="7"/>
        <v>1.0181880966993726</v>
      </c>
      <c r="AL11" s="88">
        <f t="shared" si="7"/>
        <v>1.0383521947155998</v>
      </c>
      <c r="AM11" s="88">
        <f t="shared" si="7"/>
        <v>1.0589156205673478</v>
      </c>
      <c r="AN11" s="88">
        <f t="shared" si="7"/>
        <v>1.0798862825042239</v>
      </c>
      <c r="AO11" s="88">
        <f t="shared" si="5"/>
        <v>1.1012722453900419</v>
      </c>
      <c r="AP11" s="88">
        <f t="shared" si="6"/>
        <v>1.123081733804393</v>
      </c>
    </row>
    <row r="12" spans="1:57" x14ac:dyDescent="0.25">
      <c r="C12" t="s">
        <v>217</v>
      </c>
      <c r="D12" t="s">
        <v>32</v>
      </c>
      <c r="E12" s="58"/>
      <c r="F12" s="58"/>
      <c r="G12" s="58"/>
      <c r="H12" s="58"/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  <c r="X12" s="58"/>
      <c r="Y12" s="86">
        <v>0.5</v>
      </c>
      <c r="Z12" s="86">
        <v>2.5</v>
      </c>
      <c r="AA12" s="88">
        <f t="shared" ref="AA12:AN12" si="8">Z12*(1+AA$45)^(1/2)*AA$46/Z$46</f>
        <v>2.5372228912730548</v>
      </c>
      <c r="AB12" s="88">
        <f t="shared" si="8"/>
        <v>2.5569569569569568</v>
      </c>
      <c r="AC12" s="88">
        <f t="shared" si="8"/>
        <v>2.6280248980214451</v>
      </c>
      <c r="AD12" s="88">
        <f t="shared" si="8"/>
        <v>2.6929241741741743</v>
      </c>
      <c r="AE12" s="88">
        <f t="shared" si="8"/>
        <v>2.7462545825479703</v>
      </c>
      <c r="AF12" s="88">
        <f t="shared" si="8"/>
        <v>2.8006411411411416</v>
      </c>
      <c r="AG12" s="88">
        <f t="shared" si="8"/>
        <v>2.8561047658498895</v>
      </c>
      <c r="AH12" s="88">
        <f t="shared" si="8"/>
        <v>2.9126667867867879</v>
      </c>
      <c r="AI12" s="88">
        <f t="shared" si="8"/>
        <v>2.9703489564838854</v>
      </c>
      <c r="AJ12" s="88">
        <f t="shared" si="8"/>
        <v>3.0291734582582595</v>
      </c>
      <c r="AK12" s="88">
        <f t="shared" si="8"/>
        <v>3.0891629147432411</v>
      </c>
      <c r="AL12" s="88">
        <f t="shared" si="8"/>
        <v>3.1503403965885903</v>
      </c>
      <c r="AM12" s="88">
        <f t="shared" si="8"/>
        <v>3.2127294313329711</v>
      </c>
      <c r="AN12" s="88">
        <f t="shared" si="8"/>
        <v>3.2763540124521344</v>
      </c>
      <c r="AO12" s="88">
        <f t="shared" si="5"/>
        <v>3.3412386085862904</v>
      </c>
      <c r="AP12" s="88">
        <f t="shared" si="6"/>
        <v>3.4074081729502201</v>
      </c>
    </row>
    <row r="13" spans="1:57" x14ac:dyDescent="0.25">
      <c r="C13" t="s">
        <v>218</v>
      </c>
      <c r="D13" t="s">
        <v>32</v>
      </c>
      <c r="E13" s="58"/>
      <c r="F13" s="58"/>
      <c r="G13" s="58"/>
      <c r="H13" s="58"/>
      <c r="I13" s="58"/>
      <c r="J13" s="58"/>
      <c r="K13" s="58"/>
      <c r="L13" s="58"/>
      <c r="M13" s="58"/>
      <c r="N13" s="58"/>
      <c r="O13" s="58"/>
      <c r="P13" s="58"/>
      <c r="Q13" s="58"/>
      <c r="R13" s="58"/>
      <c r="S13" s="58"/>
      <c r="T13" s="58"/>
      <c r="U13" s="58"/>
      <c r="V13" s="58"/>
      <c r="W13" s="58"/>
      <c r="X13" s="58"/>
      <c r="Y13" s="86">
        <v>2.9584999999999999</v>
      </c>
      <c r="Z13" s="86">
        <v>3.1414999999999997</v>
      </c>
      <c r="AA13" s="88">
        <f t="shared" ref="AA13:AN13" si="9">Z13*(1+AA$45)^(1/2)*AA$46/Z$46</f>
        <v>3.1882742851737205</v>
      </c>
      <c r="AB13" s="88">
        <f t="shared" si="9"/>
        <v>3.2130721121121115</v>
      </c>
      <c r="AC13" s="88">
        <f t="shared" si="9"/>
        <v>3.3023760868537475</v>
      </c>
      <c r="AD13" s="88">
        <f t="shared" si="9"/>
        <v>3.3839285172672673</v>
      </c>
      <c r="AE13" s="88">
        <f t="shared" si="9"/>
        <v>3.4509435084297797</v>
      </c>
      <c r="AF13" s="88">
        <f t="shared" si="9"/>
        <v>3.5192856579579588</v>
      </c>
      <c r="AG13" s="88">
        <f t="shared" si="9"/>
        <v>3.588981248766971</v>
      </c>
      <c r="AH13" s="88">
        <f t="shared" si="9"/>
        <v>3.6600570842762776</v>
      </c>
      <c r="AI13" s="88">
        <f t="shared" si="9"/>
        <v>3.7325404987176505</v>
      </c>
      <c r="AJ13" s="88">
        <f t="shared" si="9"/>
        <v>3.8064593676473293</v>
      </c>
      <c r="AK13" s="88">
        <f t="shared" si="9"/>
        <v>3.881842118666357</v>
      </c>
      <c r="AL13" s="88">
        <f t="shared" si="9"/>
        <v>3.9587177423532229</v>
      </c>
      <c r="AM13" s="88">
        <f t="shared" si="9"/>
        <v>4.0371158034130117</v>
      </c>
      <c r="AN13" s="88">
        <f t="shared" si="9"/>
        <v>4.1170664520473519</v>
      </c>
      <c r="AO13" s="88">
        <f t="shared" si="5"/>
        <v>4.1986004355495323</v>
      </c>
      <c r="AP13" s="88">
        <f t="shared" si="6"/>
        <v>4.2817491101292466</v>
      </c>
    </row>
    <row r="14" spans="1:57" x14ac:dyDescent="0.25">
      <c r="C14" t="s">
        <v>219</v>
      </c>
      <c r="D14" t="s">
        <v>32</v>
      </c>
      <c r="E14" s="58"/>
      <c r="F14" s="58"/>
      <c r="G14" s="58"/>
      <c r="H14" s="58"/>
      <c r="I14" s="58"/>
      <c r="J14" s="58"/>
      <c r="K14" s="58"/>
      <c r="L14" s="58"/>
      <c r="M14" s="58"/>
      <c r="N14" s="58"/>
      <c r="O14" s="58"/>
      <c r="P14" s="58"/>
      <c r="Q14" s="58"/>
      <c r="R14" s="58"/>
      <c r="S14" s="58"/>
      <c r="T14" s="58"/>
      <c r="U14" s="58"/>
      <c r="V14" s="58"/>
      <c r="W14" s="58"/>
      <c r="X14" s="58"/>
      <c r="Y14" s="86">
        <v>3.2009999999999996</v>
      </c>
      <c r="Z14" s="86">
        <v>3.399</v>
      </c>
      <c r="AA14" s="88">
        <f t="shared" ref="AA14:AA32" si="10">Z14*(1+AA$45)^(1/2)*AA$46/Z$46</f>
        <v>3.4496082429748456</v>
      </c>
      <c r="AB14" s="88">
        <f t="shared" ref="AB14:AL14" si="11">AA14*(1+AB$45)^(1/2)*AB$46/AA$46</f>
        <v>3.476438678678679</v>
      </c>
      <c r="AC14" s="88">
        <f t="shared" si="11"/>
        <v>3.5730626513499573</v>
      </c>
      <c r="AD14" s="88">
        <f t="shared" si="11"/>
        <v>3.661299707207208</v>
      </c>
      <c r="AE14" s="88">
        <f t="shared" si="11"/>
        <v>3.733807730432221</v>
      </c>
      <c r="AF14" s="88">
        <f t="shared" si="11"/>
        <v>3.8077516954954969</v>
      </c>
      <c r="AG14" s="88">
        <f t="shared" si="11"/>
        <v>3.8831600396495101</v>
      </c>
      <c r="AH14" s="88">
        <f t="shared" si="11"/>
        <v>3.9600617633153172</v>
      </c>
      <c r="AI14" s="88">
        <f t="shared" si="11"/>
        <v>4.0384864412354915</v>
      </c>
      <c r="AJ14" s="88">
        <f t="shared" si="11"/>
        <v>4.1184642338479307</v>
      </c>
      <c r="AK14" s="88">
        <f t="shared" si="11"/>
        <v>4.2000258988849115</v>
      </c>
      <c r="AL14" s="88">
        <f t="shared" si="11"/>
        <v>4.2832028032018483</v>
      </c>
      <c r="AM14" s="88">
        <f t="shared" ref="AM14:AN32" si="12">AL14*(1+AM$45)^(1/2)*AM$46/AL$46</f>
        <v>4.3680269348403087</v>
      </c>
      <c r="AN14" s="88">
        <f t="shared" si="12"/>
        <v>4.4545309153299231</v>
      </c>
      <c r="AO14" s="88">
        <f t="shared" si="5"/>
        <v>4.5427480122339219</v>
      </c>
      <c r="AP14" s="88">
        <f t="shared" si="6"/>
        <v>4.6327121519431209</v>
      </c>
    </row>
    <row r="15" spans="1:57" x14ac:dyDescent="0.25">
      <c r="C15" t="s">
        <v>220</v>
      </c>
      <c r="D15" t="s">
        <v>32</v>
      </c>
      <c r="E15" s="58"/>
      <c r="F15" s="58"/>
      <c r="G15" s="58"/>
      <c r="H15" s="58"/>
      <c r="I15" s="58"/>
      <c r="J15" s="58"/>
      <c r="K15" s="58"/>
      <c r="L15" s="58"/>
      <c r="M15" s="58"/>
      <c r="N15" s="58"/>
      <c r="O15" s="58"/>
      <c r="P15" s="58"/>
      <c r="Q15" s="58"/>
      <c r="R15" s="58"/>
      <c r="S15" s="58"/>
      <c r="T15" s="58"/>
      <c r="U15" s="58"/>
      <c r="V15" s="58"/>
      <c r="W15" s="58"/>
      <c r="X15" s="58"/>
      <c r="Y15" s="86">
        <v>2.6190000000000002</v>
      </c>
      <c r="Z15" s="86">
        <v>2.7810000000000001</v>
      </c>
      <c r="AA15" s="88">
        <f t="shared" si="10"/>
        <v>2.8224067442521465</v>
      </c>
      <c r="AB15" s="88">
        <f t="shared" ref="AB15:AL15" si="13">AA15*(1+AB$45)^(1/2)*AB$46/AA$46</f>
        <v>2.8443589189189193</v>
      </c>
      <c r="AC15" s="88">
        <f t="shared" si="13"/>
        <v>2.9234148965590565</v>
      </c>
      <c r="AD15" s="88">
        <f t="shared" si="13"/>
        <v>2.9956088513513528</v>
      </c>
      <c r="AE15" s="88">
        <f t="shared" si="13"/>
        <v>3.0549335976263632</v>
      </c>
      <c r="AF15" s="88">
        <f t="shared" si="13"/>
        <v>3.1154332054054072</v>
      </c>
      <c r="AG15" s="88">
        <f t="shared" si="13"/>
        <v>3.1771309415314182</v>
      </c>
      <c r="AH15" s="88">
        <f t="shared" si="13"/>
        <v>3.2400505336216239</v>
      </c>
      <c r="AI15" s="88">
        <f t="shared" si="13"/>
        <v>3.3042161791926752</v>
      </c>
      <c r="AJ15" s="88">
        <f t="shared" si="13"/>
        <v>3.3696525549664891</v>
      </c>
      <c r="AK15" s="88">
        <f t="shared" si="13"/>
        <v>3.4363848263603827</v>
      </c>
      <c r="AL15" s="88">
        <f t="shared" si="13"/>
        <v>3.5044386571651494</v>
      </c>
      <c r="AM15" s="88">
        <f t="shared" si="12"/>
        <v>3.5738402194147985</v>
      </c>
      <c r="AN15" s="88">
        <f t="shared" si="12"/>
        <v>3.6446162034517555</v>
      </c>
      <c r="AO15" s="88">
        <f t="shared" si="5"/>
        <v>3.7167938281913906</v>
      </c>
      <c r="AP15" s="88">
        <f t="shared" si="6"/>
        <v>3.7904008515898262</v>
      </c>
    </row>
    <row r="16" spans="1:57" x14ac:dyDescent="0.25">
      <c r="C16" t="s">
        <v>221</v>
      </c>
      <c r="D16" t="s">
        <v>32</v>
      </c>
      <c r="E16" s="58"/>
      <c r="F16" s="58"/>
      <c r="G16" s="58"/>
      <c r="H16" s="58"/>
      <c r="I16" s="58"/>
      <c r="J16" s="58"/>
      <c r="K16" s="58"/>
      <c r="L16" s="58"/>
      <c r="M16" s="58"/>
      <c r="N16" s="58"/>
      <c r="O16" s="58"/>
      <c r="P16" s="58"/>
      <c r="Q16" s="58"/>
      <c r="R16" s="58"/>
      <c r="S16" s="58"/>
      <c r="T16" s="58"/>
      <c r="U16" s="58"/>
      <c r="V16" s="58"/>
      <c r="W16" s="58"/>
      <c r="X16" s="58"/>
      <c r="Y16" s="86">
        <v>4.0739999999999998</v>
      </c>
      <c r="Z16" s="86">
        <v>4.3260000000000005</v>
      </c>
      <c r="AA16" s="88">
        <f t="shared" si="10"/>
        <v>4.390410491058895</v>
      </c>
      <c r="AB16" s="88">
        <f t="shared" ref="AB16:AD32" si="14">AA16*(1+AB$45)^(1/2)*AB$46/AA$46</f>
        <v>4.4245583183183186</v>
      </c>
      <c r="AC16" s="88">
        <f t="shared" si="14"/>
        <v>4.5475342835363088</v>
      </c>
      <c r="AD16" s="88">
        <f t="shared" si="14"/>
        <v>4.6598359909909917</v>
      </c>
      <c r="AE16" s="88">
        <f>208*5.5%</f>
        <v>11.44</v>
      </c>
      <c r="AF16" s="88">
        <f>AE16*0.5</f>
        <v>5.72</v>
      </c>
      <c r="AG16" s="88">
        <f t="shared" ref="AG16:AL25" si="15">AF16*(1+AG$45)^(1/2)*AG$46/AF$46</f>
        <v>5.8332783235501457</v>
      </c>
      <c r="AH16" s="88">
        <f t="shared" si="15"/>
        <v>5.9488000000000003</v>
      </c>
      <c r="AI16" s="88">
        <f t="shared" si="15"/>
        <v>6.0666094564921522</v>
      </c>
      <c r="AJ16" s="88">
        <f t="shared" si="15"/>
        <v>6.1867520000000011</v>
      </c>
      <c r="AK16" s="88">
        <f t="shared" si="15"/>
        <v>6.3092738347518393</v>
      </c>
      <c r="AL16" s="88">
        <f t="shared" si="15"/>
        <v>6.4342220800000023</v>
      </c>
      <c r="AM16" s="88">
        <f t="shared" si="12"/>
        <v>6.5616447881419138</v>
      </c>
      <c r="AN16" s="88">
        <f t="shared" si="12"/>
        <v>6.691590963200003</v>
      </c>
      <c r="AO16" s="88">
        <f t="shared" si="5"/>
        <v>6.8241105796675914</v>
      </c>
      <c r="AP16" s="88">
        <f t="shared" si="6"/>
        <v>6.9592546017280039</v>
      </c>
    </row>
    <row r="17" spans="3:42" x14ac:dyDescent="0.25">
      <c r="C17" t="s">
        <v>222</v>
      </c>
      <c r="D17" t="s">
        <v>32</v>
      </c>
      <c r="E17" s="58"/>
      <c r="F17" s="58"/>
      <c r="G17" s="58"/>
      <c r="H17" s="58"/>
      <c r="I17" s="58"/>
      <c r="J17" s="58"/>
      <c r="K17" s="58"/>
      <c r="L17" s="58"/>
      <c r="M17" s="58"/>
      <c r="N17" s="58"/>
      <c r="O17" s="58"/>
      <c r="P17" s="58"/>
      <c r="Q17" s="58"/>
      <c r="R17" s="58"/>
      <c r="S17" s="58"/>
      <c r="T17" s="58"/>
      <c r="U17" s="58"/>
      <c r="V17" s="58"/>
      <c r="W17" s="58"/>
      <c r="X17" s="58"/>
      <c r="Y17" s="86"/>
      <c r="Z17" s="86"/>
      <c r="AA17" s="88">
        <f t="shared" si="10"/>
        <v>0</v>
      </c>
      <c r="AB17" s="88">
        <f t="shared" si="14"/>
        <v>0</v>
      </c>
      <c r="AC17" s="88">
        <f t="shared" si="14"/>
        <v>0</v>
      </c>
      <c r="AD17" s="88">
        <f t="shared" si="14"/>
        <v>0</v>
      </c>
      <c r="AE17" s="88">
        <f t="shared" ref="AE17:AF32" si="16">AD17*(1+AE$45)^(1/2)*AE$46/AD$46</f>
        <v>0</v>
      </c>
      <c r="AF17" s="88">
        <f t="shared" si="16"/>
        <v>0</v>
      </c>
      <c r="AG17" s="88">
        <f t="shared" si="15"/>
        <v>0</v>
      </c>
      <c r="AH17" s="88">
        <f t="shared" si="15"/>
        <v>0</v>
      </c>
      <c r="AI17" s="88">
        <f t="shared" si="15"/>
        <v>0</v>
      </c>
      <c r="AJ17" s="88">
        <f t="shared" si="15"/>
        <v>0</v>
      </c>
      <c r="AK17" s="88">
        <f t="shared" si="15"/>
        <v>0</v>
      </c>
      <c r="AL17" s="88">
        <f t="shared" si="15"/>
        <v>0</v>
      </c>
      <c r="AM17" s="88">
        <f t="shared" si="12"/>
        <v>0</v>
      </c>
      <c r="AN17" s="88">
        <f t="shared" si="12"/>
        <v>0</v>
      </c>
      <c r="AO17" s="88">
        <f t="shared" si="5"/>
        <v>0</v>
      </c>
      <c r="AP17" s="88">
        <f t="shared" si="6"/>
        <v>0</v>
      </c>
    </row>
    <row r="18" spans="3:42" x14ac:dyDescent="0.25">
      <c r="C18" t="s">
        <v>223</v>
      </c>
      <c r="D18" t="s">
        <v>32</v>
      </c>
      <c r="E18" s="58"/>
      <c r="F18" s="58"/>
      <c r="G18" s="58"/>
      <c r="H18" s="58"/>
      <c r="I18" s="58"/>
      <c r="J18" s="58"/>
      <c r="K18" s="58"/>
      <c r="L18" s="58"/>
      <c r="M18" s="58"/>
      <c r="N18" s="58"/>
      <c r="O18" s="58"/>
      <c r="P18" s="58"/>
      <c r="Q18" s="58"/>
      <c r="R18" s="58"/>
      <c r="S18" s="58"/>
      <c r="T18" s="58"/>
      <c r="U18" s="58"/>
      <c r="V18" s="58"/>
      <c r="W18" s="58"/>
      <c r="X18" s="58"/>
      <c r="Y18" s="86">
        <v>0.873</v>
      </c>
      <c r="Z18" s="86">
        <v>0.92700000000000005</v>
      </c>
      <c r="AA18" s="88">
        <f t="shared" si="10"/>
        <v>0.94080224808404878</v>
      </c>
      <c r="AB18" s="88">
        <f t="shared" si="14"/>
        <v>0.94811963963963963</v>
      </c>
      <c r="AC18" s="88">
        <f t="shared" si="14"/>
        <v>0.97447163218635191</v>
      </c>
      <c r="AD18" s="88">
        <f t="shared" si="14"/>
        <v>0.99853628378378401</v>
      </c>
      <c r="AE18" s="88">
        <f t="shared" si="16"/>
        <v>1.0183111992087874</v>
      </c>
      <c r="AF18" s="88">
        <f t="shared" si="16"/>
        <v>1.0384777351351353</v>
      </c>
      <c r="AG18" s="88">
        <f t="shared" si="15"/>
        <v>1.0590436471771389</v>
      </c>
      <c r="AH18" s="88">
        <f t="shared" si="15"/>
        <v>1.0800168445405409</v>
      </c>
      <c r="AI18" s="88">
        <f t="shared" si="15"/>
        <v>1.1014053930642247</v>
      </c>
      <c r="AJ18" s="88">
        <f t="shared" si="15"/>
        <v>1.1232175183221627</v>
      </c>
      <c r="AK18" s="88">
        <f t="shared" si="15"/>
        <v>1.1454616087867937</v>
      </c>
      <c r="AL18" s="88">
        <f t="shared" si="15"/>
        <v>1.1681462190550491</v>
      </c>
      <c r="AM18" s="88">
        <f t="shared" si="12"/>
        <v>1.1912800731382656</v>
      </c>
      <c r="AN18" s="88">
        <f t="shared" si="12"/>
        <v>1.2148720678172513</v>
      </c>
      <c r="AO18" s="88">
        <f t="shared" si="5"/>
        <v>1.2389312760637965</v>
      </c>
      <c r="AP18" s="88">
        <f t="shared" si="6"/>
        <v>1.2634669505299416</v>
      </c>
    </row>
    <row r="19" spans="3:42" x14ac:dyDescent="0.25">
      <c r="C19" t="s">
        <v>224</v>
      </c>
      <c r="D19" t="s">
        <v>32</v>
      </c>
      <c r="E19" s="58"/>
      <c r="F19" s="58"/>
      <c r="G19" s="58"/>
      <c r="H19" s="58"/>
      <c r="I19" s="58"/>
      <c r="J19" s="58"/>
      <c r="K19" s="58"/>
      <c r="L19" s="58"/>
      <c r="M19" s="58"/>
      <c r="N19" s="58"/>
      <c r="O19" s="58"/>
      <c r="P19" s="58"/>
      <c r="Q19" s="58"/>
      <c r="R19" s="58"/>
      <c r="S19" s="58"/>
      <c r="T19" s="58"/>
      <c r="U19" s="58"/>
      <c r="V19" s="58"/>
      <c r="W19" s="58"/>
      <c r="X19" s="58"/>
      <c r="Y19" s="86">
        <v>1.1639999999999999</v>
      </c>
      <c r="Z19" s="86">
        <v>1.236</v>
      </c>
      <c r="AA19" s="88">
        <f t="shared" si="10"/>
        <v>1.2544029974453983</v>
      </c>
      <c r="AB19" s="88">
        <f t="shared" si="14"/>
        <v>1.2641595195195194</v>
      </c>
      <c r="AC19" s="88">
        <f t="shared" si="14"/>
        <v>1.2992955095818024</v>
      </c>
      <c r="AD19" s="88">
        <f t="shared" si="14"/>
        <v>1.3313817117117117</v>
      </c>
      <c r="AE19" s="88">
        <f t="shared" si="16"/>
        <v>1.3577482656117164</v>
      </c>
      <c r="AF19" s="88">
        <f t="shared" si="16"/>
        <v>1.3846369801801803</v>
      </c>
      <c r="AG19" s="88">
        <f t="shared" si="15"/>
        <v>1.4120581962361851</v>
      </c>
      <c r="AH19" s="88">
        <f t="shared" si="15"/>
        <v>1.4400224593873876</v>
      </c>
      <c r="AI19" s="88">
        <f t="shared" si="15"/>
        <v>1.4685405240856326</v>
      </c>
      <c r="AJ19" s="88">
        <f t="shared" si="15"/>
        <v>1.4976233577628832</v>
      </c>
      <c r="AK19" s="88">
        <f t="shared" si="15"/>
        <v>1.5272821450490581</v>
      </c>
      <c r="AL19" s="88">
        <f t="shared" si="15"/>
        <v>1.5575282920733988</v>
      </c>
      <c r="AM19" s="88">
        <f t="shared" si="12"/>
        <v>1.5883734308510207</v>
      </c>
      <c r="AN19" s="88">
        <f t="shared" si="12"/>
        <v>1.6198294237563349</v>
      </c>
      <c r="AO19" s="88">
        <f t="shared" si="5"/>
        <v>1.6519083680850617</v>
      </c>
      <c r="AP19" s="88">
        <f t="shared" si="6"/>
        <v>1.6846226007065885</v>
      </c>
    </row>
    <row r="20" spans="3:42" x14ac:dyDescent="0.25">
      <c r="C20" t="s">
        <v>225</v>
      </c>
      <c r="D20" t="s">
        <v>32</v>
      </c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58"/>
      <c r="P20" s="58"/>
      <c r="Q20" s="58"/>
      <c r="R20" s="58"/>
      <c r="S20" s="58"/>
      <c r="T20" s="58"/>
      <c r="U20" s="58"/>
      <c r="V20" s="58"/>
      <c r="W20" s="58"/>
      <c r="X20" s="58"/>
      <c r="Y20" s="86">
        <v>16.732499999999998</v>
      </c>
      <c r="Z20" s="86">
        <v>17.767500000000002</v>
      </c>
      <c r="AA20" s="88">
        <f t="shared" si="10"/>
        <v>18.032043088277604</v>
      </c>
      <c r="AB20" s="88">
        <f t="shared" si="14"/>
        <v>18.172293093093099</v>
      </c>
      <c r="AC20" s="88">
        <f t="shared" si="14"/>
        <v>18.677372950238418</v>
      </c>
      <c r="AD20" s="88">
        <f t="shared" si="14"/>
        <v>19.138612105855866</v>
      </c>
      <c r="AE20" s="88">
        <f t="shared" si="16"/>
        <v>19.517631318168434</v>
      </c>
      <c r="AF20" s="88">
        <f t="shared" si="16"/>
        <v>19.904156590090103</v>
      </c>
      <c r="AG20" s="88">
        <f t="shared" si="15"/>
        <v>20.298336570895174</v>
      </c>
      <c r="AH20" s="88">
        <f t="shared" si="15"/>
        <v>20.700322853693709</v>
      </c>
      <c r="AI20" s="88">
        <f t="shared" si="15"/>
        <v>21.110270033730984</v>
      </c>
      <c r="AJ20" s="88">
        <f t="shared" si="15"/>
        <v>21.528335767841462</v>
      </c>
      <c r="AK20" s="88">
        <f t="shared" si="15"/>
        <v>21.954680835080225</v>
      </c>
      <c r="AL20" s="88">
        <f t="shared" si="15"/>
        <v>22.389469198555123</v>
      </c>
      <c r="AM20" s="88">
        <f t="shared" si="12"/>
        <v>22.832868068483439</v>
      </c>
      <c r="AN20" s="88">
        <f t="shared" si="12"/>
        <v>23.285047966497331</v>
      </c>
      <c r="AO20" s="88">
        <f t="shared" si="5"/>
        <v>23.746182791222779</v>
      </c>
      <c r="AP20" s="88">
        <f t="shared" si="6"/>
        <v>24.216449885157228</v>
      </c>
    </row>
    <row r="21" spans="3:42" x14ac:dyDescent="0.25">
      <c r="C21" t="s">
        <v>226</v>
      </c>
      <c r="D21" t="s">
        <v>32</v>
      </c>
      <c r="E21" s="58"/>
      <c r="F21" s="58"/>
      <c r="G21" s="58"/>
      <c r="H21" s="58"/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58"/>
      <c r="T21" s="58"/>
      <c r="U21" s="58"/>
      <c r="V21" s="58"/>
      <c r="W21" s="58"/>
      <c r="X21" s="58"/>
      <c r="Y21" s="86">
        <v>0.4365</v>
      </c>
      <c r="Z21" s="86">
        <v>0.46350000000000002</v>
      </c>
      <c r="AA21" s="88">
        <f t="shared" si="10"/>
        <v>0.47040112404202439</v>
      </c>
      <c r="AB21" s="88">
        <f t="shared" si="14"/>
        <v>0.47405981981981982</v>
      </c>
      <c r="AC21" s="88">
        <f t="shared" si="14"/>
        <v>0.48723581609317596</v>
      </c>
      <c r="AD21" s="88">
        <f t="shared" si="14"/>
        <v>0.499268141891892</v>
      </c>
      <c r="AE21" s="88">
        <f t="shared" si="16"/>
        <v>0.50915559960439372</v>
      </c>
      <c r="AF21" s="88">
        <f t="shared" si="16"/>
        <v>0.51923886756756765</v>
      </c>
      <c r="AG21" s="88">
        <f t="shared" si="15"/>
        <v>0.52952182358856947</v>
      </c>
      <c r="AH21" s="88">
        <f t="shared" si="15"/>
        <v>0.54000842227027046</v>
      </c>
      <c r="AI21" s="88">
        <f t="shared" si="15"/>
        <v>0.55070269653211235</v>
      </c>
      <c r="AJ21" s="88">
        <f t="shared" si="15"/>
        <v>0.56160875916108133</v>
      </c>
      <c r="AK21" s="88">
        <f t="shared" si="15"/>
        <v>0.57273080439339685</v>
      </c>
      <c r="AL21" s="88">
        <f t="shared" si="15"/>
        <v>0.58407310952752456</v>
      </c>
      <c r="AM21" s="88">
        <f t="shared" si="12"/>
        <v>0.59564003656913278</v>
      </c>
      <c r="AN21" s="88">
        <f t="shared" si="12"/>
        <v>0.60743603390862566</v>
      </c>
      <c r="AO21" s="88">
        <f t="shared" si="5"/>
        <v>0.61946563803189825</v>
      </c>
      <c r="AP21" s="88">
        <f t="shared" si="6"/>
        <v>0.63173347526497081</v>
      </c>
    </row>
    <row r="22" spans="3:42" x14ac:dyDescent="0.25">
      <c r="C22" t="s">
        <v>227</v>
      </c>
      <c r="D22" t="s">
        <v>32</v>
      </c>
      <c r="E22" s="58"/>
      <c r="F22" s="58"/>
      <c r="G22" s="58"/>
      <c r="H22" s="58"/>
      <c r="I22" s="58"/>
      <c r="J22" s="58"/>
      <c r="K22" s="58"/>
      <c r="L22" s="58"/>
      <c r="M22" s="58"/>
      <c r="N22" s="58"/>
      <c r="O22" s="58"/>
      <c r="P22" s="58"/>
      <c r="Q22" s="58"/>
      <c r="R22" s="58"/>
      <c r="S22" s="58"/>
      <c r="T22" s="58"/>
      <c r="U22" s="58"/>
      <c r="V22" s="58"/>
      <c r="W22" s="58"/>
      <c r="X22" s="58"/>
      <c r="Y22" s="86">
        <v>1.6975</v>
      </c>
      <c r="Z22" s="86">
        <v>1.8025</v>
      </c>
      <c r="AA22" s="88">
        <f t="shared" si="10"/>
        <v>1.8293377046078725</v>
      </c>
      <c r="AB22" s="88">
        <f t="shared" si="14"/>
        <v>1.8435659659659658</v>
      </c>
      <c r="AC22" s="88">
        <f t="shared" si="14"/>
        <v>1.8948059514734619</v>
      </c>
      <c r="AD22" s="88">
        <f t="shared" si="14"/>
        <v>1.9415983295795798</v>
      </c>
      <c r="AE22" s="88">
        <f t="shared" si="16"/>
        <v>1.9800495540170866</v>
      </c>
      <c r="AF22" s="88">
        <f t="shared" si="16"/>
        <v>2.0192622627627634</v>
      </c>
      <c r="AG22" s="88">
        <f t="shared" si="15"/>
        <v>2.0592515361777703</v>
      </c>
      <c r="AH22" s="88">
        <f t="shared" si="15"/>
        <v>2.1000327532732741</v>
      </c>
      <c r="AI22" s="88">
        <f t="shared" si="15"/>
        <v>2.1416215976248814</v>
      </c>
      <c r="AJ22" s="88">
        <f t="shared" si="15"/>
        <v>2.184034063404205</v>
      </c>
      <c r="AK22" s="88">
        <f t="shared" si="15"/>
        <v>2.2272864615298769</v>
      </c>
      <c r="AL22" s="88">
        <f t="shared" si="15"/>
        <v>2.2713954259403737</v>
      </c>
      <c r="AM22" s="88">
        <f t="shared" si="12"/>
        <v>2.3163779199910723</v>
      </c>
      <c r="AN22" s="88">
        <f t="shared" si="12"/>
        <v>2.3622512429779889</v>
      </c>
      <c r="AO22" s="88">
        <f t="shared" si="5"/>
        <v>2.4090330367907153</v>
      </c>
      <c r="AP22" s="88">
        <f t="shared" si="6"/>
        <v>2.4567412926971088</v>
      </c>
    </row>
    <row r="23" spans="3:42" x14ac:dyDescent="0.25">
      <c r="C23" t="s">
        <v>228</v>
      </c>
      <c r="D23" t="s">
        <v>32</v>
      </c>
      <c r="E23" s="58"/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8"/>
      <c r="R23" s="58"/>
      <c r="S23" s="58"/>
      <c r="T23" s="58"/>
      <c r="U23" s="58"/>
      <c r="V23" s="58"/>
      <c r="W23" s="58"/>
      <c r="X23" s="58"/>
      <c r="Y23" s="86">
        <v>4.3165000000000004</v>
      </c>
      <c r="Z23" s="86">
        <v>4.5834999999999999</v>
      </c>
      <c r="AA23" s="88">
        <f t="shared" si="10"/>
        <v>4.6517444488600184</v>
      </c>
      <c r="AB23" s="88">
        <f t="shared" si="14"/>
        <v>4.6879248848848842</v>
      </c>
      <c r="AC23" s="88">
        <f t="shared" si="14"/>
        <v>4.8182208480325173</v>
      </c>
      <c r="AD23" s="88">
        <f t="shared" si="14"/>
        <v>4.9372071809309315</v>
      </c>
      <c r="AE23" s="88">
        <f t="shared" si="16"/>
        <v>5.0349831516434485</v>
      </c>
      <c r="AF23" s="88">
        <f t="shared" si="16"/>
        <v>5.1346954681681689</v>
      </c>
      <c r="AG23" s="88">
        <f t="shared" si="15"/>
        <v>5.2363824777091867</v>
      </c>
      <c r="AH23" s="88">
        <f t="shared" si="15"/>
        <v>5.3400832868948962</v>
      </c>
      <c r="AI23" s="88">
        <f t="shared" si="15"/>
        <v>5.4458377768175552</v>
      </c>
      <c r="AJ23" s="88">
        <f t="shared" si="15"/>
        <v>5.5536866183706932</v>
      </c>
      <c r="AK23" s="88">
        <f t="shared" si="15"/>
        <v>5.6636712878902582</v>
      </c>
      <c r="AL23" s="88">
        <f t="shared" si="15"/>
        <v>5.7758340831055213</v>
      </c>
      <c r="AM23" s="88">
        <f t="shared" si="12"/>
        <v>5.890218139405869</v>
      </c>
      <c r="AN23" s="88">
        <f t="shared" si="12"/>
        <v>6.0068674464297427</v>
      </c>
      <c r="AO23" s="88">
        <f t="shared" si="5"/>
        <v>6.1258268649821046</v>
      </c>
      <c r="AP23" s="88">
        <f t="shared" si="6"/>
        <v>6.2471421442869337</v>
      </c>
    </row>
    <row r="24" spans="3:42" x14ac:dyDescent="0.25">
      <c r="C24" t="s">
        <v>229</v>
      </c>
      <c r="D24" t="s">
        <v>32</v>
      </c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58"/>
      <c r="S24" s="58"/>
      <c r="T24" s="58"/>
      <c r="U24" s="58"/>
      <c r="V24" s="58"/>
      <c r="W24" s="58"/>
      <c r="X24" s="58"/>
      <c r="Y24" s="86">
        <v>1.94</v>
      </c>
      <c r="Z24" s="86">
        <v>2.06</v>
      </c>
      <c r="AA24" s="88">
        <f t="shared" si="10"/>
        <v>2.0906716624089974</v>
      </c>
      <c r="AB24" s="88">
        <f t="shared" si="14"/>
        <v>2.1069325325325328</v>
      </c>
      <c r="AC24" s="88">
        <f t="shared" si="14"/>
        <v>2.165492515969671</v>
      </c>
      <c r="AD24" s="88">
        <f t="shared" si="14"/>
        <v>2.2189695195195198</v>
      </c>
      <c r="AE24" s="88">
        <f t="shared" si="16"/>
        <v>2.2629137760195275</v>
      </c>
      <c r="AF24" s="88">
        <f t="shared" si="16"/>
        <v>2.3077283003003006</v>
      </c>
      <c r="AG24" s="88">
        <f t="shared" si="15"/>
        <v>2.353430327060309</v>
      </c>
      <c r="AH24" s="88">
        <f t="shared" si="15"/>
        <v>2.4000374323123133</v>
      </c>
      <c r="AI24" s="88">
        <f t="shared" si="15"/>
        <v>2.4475675401427219</v>
      </c>
      <c r="AJ24" s="88">
        <f t="shared" si="15"/>
        <v>2.4960389296048064</v>
      </c>
      <c r="AK24" s="88">
        <f t="shared" si="15"/>
        <v>2.5454702417484314</v>
      </c>
      <c r="AL24" s="88">
        <f t="shared" si="15"/>
        <v>2.5958804867889991</v>
      </c>
      <c r="AM24" s="88">
        <f t="shared" si="12"/>
        <v>2.6472890514183689</v>
      </c>
      <c r="AN24" s="88">
        <f t="shared" si="12"/>
        <v>2.6997157062605592</v>
      </c>
      <c r="AO24" s="88">
        <f t="shared" si="5"/>
        <v>2.753180613475104</v>
      </c>
      <c r="AP24" s="88">
        <f t="shared" si="6"/>
        <v>2.8077043345109822</v>
      </c>
    </row>
    <row r="25" spans="3:42" x14ac:dyDescent="0.25">
      <c r="C25" t="s">
        <v>230</v>
      </c>
      <c r="D25" t="s">
        <v>32</v>
      </c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8"/>
      <c r="W25" s="58"/>
      <c r="X25" s="58"/>
      <c r="Y25" s="86">
        <v>1.2609999999999999</v>
      </c>
      <c r="Z25" s="86">
        <v>1.3390000000000002</v>
      </c>
      <c r="AA25" s="88">
        <f t="shared" si="10"/>
        <v>1.3589365805658484</v>
      </c>
      <c r="AB25" s="88">
        <f t="shared" si="14"/>
        <v>1.3695061461461462</v>
      </c>
      <c r="AC25" s="88">
        <f t="shared" si="14"/>
        <v>1.4075701353802861</v>
      </c>
      <c r="AD25" s="88">
        <f t="shared" si="14"/>
        <v>1.4423301876876879</v>
      </c>
      <c r="AE25" s="88">
        <f t="shared" si="16"/>
        <v>1.4708939544126931</v>
      </c>
      <c r="AF25" s="88">
        <f t="shared" si="16"/>
        <v>1.5000233951951958</v>
      </c>
      <c r="AG25" s="88">
        <f t="shared" si="15"/>
        <v>1.5297297125892011</v>
      </c>
      <c r="AH25" s="88">
        <f t="shared" si="15"/>
        <v>1.5600243310030038</v>
      </c>
      <c r="AI25" s="88">
        <f t="shared" si="15"/>
        <v>1.5909189010927693</v>
      </c>
      <c r="AJ25" s="88">
        <f t="shared" si="15"/>
        <v>1.6224253042431243</v>
      </c>
      <c r="AK25" s="88">
        <f t="shared" si="15"/>
        <v>1.6545556571364803</v>
      </c>
      <c r="AL25" s="88">
        <f t="shared" si="15"/>
        <v>1.6873223164128495</v>
      </c>
      <c r="AM25" s="88">
        <f t="shared" si="12"/>
        <v>1.7207378834219398</v>
      </c>
      <c r="AN25" s="88">
        <f t="shared" si="12"/>
        <v>1.7548152090693636</v>
      </c>
      <c r="AO25" s="88">
        <f t="shared" si="5"/>
        <v>1.7895673987588177</v>
      </c>
      <c r="AP25" s="88">
        <f t="shared" si="6"/>
        <v>1.8250078174321385</v>
      </c>
    </row>
    <row r="26" spans="3:42" x14ac:dyDescent="0.25">
      <c r="C26" t="s">
        <v>231</v>
      </c>
      <c r="D26" t="s">
        <v>32</v>
      </c>
      <c r="E26" s="58"/>
      <c r="F26" s="58"/>
      <c r="G26" s="58"/>
      <c r="H26" s="58"/>
      <c r="I26" s="58"/>
      <c r="J26" s="58"/>
      <c r="K26" s="58"/>
      <c r="L26" s="58"/>
      <c r="M26" s="58"/>
      <c r="N26" s="58"/>
      <c r="O26" s="58"/>
      <c r="P26" s="58"/>
      <c r="Q26" s="58"/>
      <c r="R26" s="58"/>
      <c r="S26" s="58"/>
      <c r="T26" s="58"/>
      <c r="U26" s="58"/>
      <c r="V26" s="58"/>
      <c r="W26" s="58"/>
      <c r="X26" s="58"/>
      <c r="Y26" s="86">
        <v>1.3095000000000001</v>
      </c>
      <c r="Z26" s="86">
        <v>1.3905000000000001</v>
      </c>
      <c r="AA26" s="88">
        <f t="shared" si="10"/>
        <v>1.4112033721260733</v>
      </c>
      <c r="AB26" s="88">
        <f t="shared" si="14"/>
        <v>1.4221794594594597</v>
      </c>
      <c r="AC26" s="88">
        <f t="shared" si="14"/>
        <v>1.4617074482795283</v>
      </c>
      <c r="AD26" s="88">
        <f t="shared" si="14"/>
        <v>1.4978044256756764</v>
      </c>
      <c r="AE26" s="88">
        <f t="shared" si="16"/>
        <v>1.5274667988131816</v>
      </c>
      <c r="AF26" s="88">
        <f t="shared" si="16"/>
        <v>1.5577166027027036</v>
      </c>
      <c r="AG26" s="88">
        <f t="shared" ref="AG26:AL32" si="17">AF26*(1+AG$45)^(1/2)*AG$46/AF$46</f>
        <v>1.5885654707657091</v>
      </c>
      <c r="AH26" s="88">
        <f t="shared" si="17"/>
        <v>1.6200252668108119</v>
      </c>
      <c r="AI26" s="88">
        <f t="shared" si="17"/>
        <v>1.6521080895963376</v>
      </c>
      <c r="AJ26" s="88">
        <f t="shared" si="17"/>
        <v>1.6848262774832445</v>
      </c>
      <c r="AK26" s="88">
        <f t="shared" si="17"/>
        <v>1.7181924131801913</v>
      </c>
      <c r="AL26" s="88">
        <f t="shared" si="17"/>
        <v>1.7522193285825747</v>
      </c>
      <c r="AM26" s="88">
        <f t="shared" si="12"/>
        <v>1.7869201097073992</v>
      </c>
      <c r="AN26" s="88">
        <f t="shared" si="12"/>
        <v>1.8223081017258778</v>
      </c>
      <c r="AO26" s="88">
        <f t="shared" si="5"/>
        <v>1.8583969140956953</v>
      </c>
      <c r="AP26" s="88">
        <f t="shared" si="6"/>
        <v>1.8952004257949131</v>
      </c>
    </row>
    <row r="27" spans="3:42" x14ac:dyDescent="0.25">
      <c r="C27" t="s">
        <v>232</v>
      </c>
      <c r="D27" t="s">
        <v>32</v>
      </c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58"/>
      <c r="P27" s="58"/>
      <c r="Q27" s="58"/>
      <c r="R27" s="58"/>
      <c r="S27" s="58"/>
      <c r="T27" s="58"/>
      <c r="U27" s="58"/>
      <c r="V27" s="58"/>
      <c r="W27" s="58"/>
      <c r="X27" s="58"/>
      <c r="Y27" s="86">
        <v>1.4550000000000001</v>
      </c>
      <c r="Z27" s="86">
        <v>1.5449999999999999</v>
      </c>
      <c r="AA27" s="88">
        <f t="shared" si="10"/>
        <v>1.5680037468067478</v>
      </c>
      <c r="AB27" s="88">
        <f t="shared" si="14"/>
        <v>1.5801993993993992</v>
      </c>
      <c r="AC27" s="88">
        <f t="shared" si="14"/>
        <v>1.624119386977253</v>
      </c>
      <c r="AD27" s="88">
        <f t="shared" si="14"/>
        <v>1.6642271396396398</v>
      </c>
      <c r="AE27" s="88">
        <f t="shared" si="16"/>
        <v>1.6971853320146455</v>
      </c>
      <c r="AF27" s="88">
        <f t="shared" si="16"/>
        <v>1.7307962252252254</v>
      </c>
      <c r="AG27" s="88">
        <f t="shared" si="17"/>
        <v>1.7650727452952315</v>
      </c>
      <c r="AH27" s="88">
        <f t="shared" si="17"/>
        <v>1.8000280742342347</v>
      </c>
      <c r="AI27" s="88">
        <f t="shared" si="17"/>
        <v>1.835675655107041</v>
      </c>
      <c r="AJ27" s="88">
        <f t="shared" si="17"/>
        <v>1.8720291972036043</v>
      </c>
      <c r="AK27" s="88">
        <f t="shared" si="17"/>
        <v>1.9091026813113228</v>
      </c>
      <c r="AL27" s="88">
        <f t="shared" si="17"/>
        <v>1.9469103650917485</v>
      </c>
      <c r="AM27" s="88">
        <f t="shared" si="12"/>
        <v>1.9854667885637758</v>
      </c>
      <c r="AN27" s="88">
        <f t="shared" si="12"/>
        <v>2.0247867796954186</v>
      </c>
      <c r="AO27" s="88">
        <f t="shared" si="5"/>
        <v>2.0648854601063271</v>
      </c>
      <c r="AP27" s="88">
        <f t="shared" si="6"/>
        <v>2.1057782508832359</v>
      </c>
    </row>
    <row r="28" spans="3:42" x14ac:dyDescent="0.25">
      <c r="C28" t="s">
        <v>233</v>
      </c>
      <c r="D28" t="s">
        <v>32</v>
      </c>
      <c r="E28" s="58"/>
      <c r="F28" s="58"/>
      <c r="G28" s="58"/>
      <c r="H28" s="58"/>
      <c r="I28" s="58"/>
      <c r="J28" s="58"/>
      <c r="K28" s="58"/>
      <c r="L28" s="58"/>
      <c r="M28" s="58"/>
      <c r="N28" s="58"/>
      <c r="O28" s="58"/>
      <c r="P28" s="58"/>
      <c r="Q28" s="58"/>
      <c r="R28" s="58"/>
      <c r="S28" s="58"/>
      <c r="T28" s="58"/>
      <c r="U28" s="58"/>
      <c r="V28" s="58"/>
      <c r="W28" s="58"/>
      <c r="X28" s="58"/>
      <c r="Y28" s="86">
        <v>1.649</v>
      </c>
      <c r="Z28" s="86">
        <v>1.7509999999999999</v>
      </c>
      <c r="AA28" s="88">
        <f t="shared" si="10"/>
        <v>1.7770709130476476</v>
      </c>
      <c r="AB28" s="88">
        <f t="shared" si="14"/>
        <v>1.7908926526526527</v>
      </c>
      <c r="AC28" s="88">
        <f t="shared" si="14"/>
        <v>1.8406686385742204</v>
      </c>
      <c r="AD28" s="88">
        <f t="shared" si="14"/>
        <v>1.886124091591592</v>
      </c>
      <c r="AE28" s="88">
        <f t="shared" si="16"/>
        <v>1.9234767096165986</v>
      </c>
      <c r="AF28" s="88">
        <f t="shared" si="16"/>
        <v>1.9615690552552558</v>
      </c>
      <c r="AG28" s="88">
        <f t="shared" si="17"/>
        <v>2.0004157780012628</v>
      </c>
      <c r="AH28" s="88">
        <f t="shared" si="17"/>
        <v>2.0400318174654664</v>
      </c>
      <c r="AI28" s="88">
        <f t="shared" si="17"/>
        <v>2.0804324091213133</v>
      </c>
      <c r="AJ28" s="88">
        <f t="shared" si="17"/>
        <v>2.1216330901640852</v>
      </c>
      <c r="AK28" s="88">
        <f t="shared" si="17"/>
        <v>2.1636497054861663</v>
      </c>
      <c r="AL28" s="88">
        <f t="shared" si="17"/>
        <v>2.2064984137706487</v>
      </c>
      <c r="AM28" s="88">
        <f t="shared" si="12"/>
        <v>2.2501956937056131</v>
      </c>
      <c r="AN28" s="88">
        <f t="shared" si="12"/>
        <v>2.2947583503214752</v>
      </c>
      <c r="AO28" s="88">
        <f t="shared" si="5"/>
        <v>2.3402035214538381</v>
      </c>
      <c r="AP28" s="88">
        <f t="shared" si="6"/>
        <v>2.3865486843343344</v>
      </c>
    </row>
    <row r="29" spans="3:42" x14ac:dyDescent="0.25">
      <c r="C29" t="s">
        <v>234</v>
      </c>
      <c r="D29" t="s">
        <v>32</v>
      </c>
      <c r="E29" s="58"/>
      <c r="F29" s="58"/>
      <c r="G29" s="58"/>
      <c r="H29" s="58"/>
      <c r="I29" s="58"/>
      <c r="J29" s="58"/>
      <c r="K29" s="58"/>
      <c r="L29" s="58"/>
      <c r="M29" s="58"/>
      <c r="N29" s="58"/>
      <c r="O29" s="58"/>
      <c r="P29" s="58"/>
      <c r="Q29" s="58"/>
      <c r="R29" s="58"/>
      <c r="S29" s="58"/>
      <c r="T29" s="58"/>
      <c r="U29" s="58"/>
      <c r="V29" s="58"/>
      <c r="W29" s="58"/>
      <c r="X29" s="58"/>
      <c r="Y29" s="86">
        <v>4.6559999999999997</v>
      </c>
      <c r="Z29" s="86">
        <v>4.944</v>
      </c>
      <c r="AA29" s="88">
        <f t="shared" si="10"/>
        <v>5.0176119897815932</v>
      </c>
      <c r="AB29" s="88">
        <f t="shared" si="14"/>
        <v>5.0566380780780777</v>
      </c>
      <c r="AC29" s="88">
        <f t="shared" si="14"/>
        <v>5.1971820383272096</v>
      </c>
      <c r="AD29" s="88">
        <f t="shared" si="14"/>
        <v>5.3255268468468469</v>
      </c>
      <c r="AE29" s="88">
        <f t="shared" si="16"/>
        <v>5.4309930624468654</v>
      </c>
      <c r="AF29" s="88">
        <f t="shared" si="16"/>
        <v>5.5385479207207213</v>
      </c>
      <c r="AG29" s="88">
        <f t="shared" si="17"/>
        <v>5.6482327849447405</v>
      </c>
      <c r="AH29" s="88">
        <f t="shared" si="17"/>
        <v>5.7600898375495504</v>
      </c>
      <c r="AI29" s="88">
        <f t="shared" si="17"/>
        <v>5.8741620963425305</v>
      </c>
      <c r="AJ29" s="88">
        <f t="shared" si="17"/>
        <v>5.990493431051533</v>
      </c>
      <c r="AK29" s="88">
        <f t="shared" si="17"/>
        <v>6.1091285801962325</v>
      </c>
      <c r="AL29" s="88">
        <f t="shared" si="17"/>
        <v>6.2301131682935953</v>
      </c>
      <c r="AM29" s="88">
        <f t="shared" si="12"/>
        <v>6.3534937234040827</v>
      </c>
      <c r="AN29" s="88">
        <f t="shared" si="12"/>
        <v>6.4793176950253395</v>
      </c>
      <c r="AO29" s="88">
        <f t="shared" si="5"/>
        <v>6.6076334723402468</v>
      </c>
      <c r="AP29" s="88">
        <f t="shared" si="6"/>
        <v>6.7384904028263541</v>
      </c>
    </row>
    <row r="30" spans="3:42" x14ac:dyDescent="0.25">
      <c r="C30" t="s">
        <v>235</v>
      </c>
      <c r="D30" t="s">
        <v>32</v>
      </c>
      <c r="E30" s="58"/>
      <c r="F30" s="58"/>
      <c r="G30" s="58"/>
      <c r="H30" s="58"/>
      <c r="I30" s="58"/>
      <c r="J30" s="58"/>
      <c r="K30" s="58"/>
      <c r="L30" s="58"/>
      <c r="M30" s="58"/>
      <c r="N30" s="58"/>
      <c r="O30" s="58"/>
      <c r="P30" s="58"/>
      <c r="Q30" s="58"/>
      <c r="R30" s="58"/>
      <c r="S30" s="58"/>
      <c r="T30" s="58"/>
      <c r="U30" s="58"/>
      <c r="V30" s="58"/>
      <c r="W30" s="58"/>
      <c r="X30" s="58"/>
      <c r="Y30" s="86">
        <v>1.1639999999999999</v>
      </c>
      <c r="Z30" s="86">
        <v>1.236</v>
      </c>
      <c r="AA30" s="88">
        <f t="shared" si="10"/>
        <v>1.2544029974453983</v>
      </c>
      <c r="AB30" s="88">
        <f t="shared" si="14"/>
        <v>1.2641595195195194</v>
      </c>
      <c r="AC30" s="88">
        <f t="shared" si="14"/>
        <v>1.2992955095818024</v>
      </c>
      <c r="AD30" s="88">
        <f t="shared" si="14"/>
        <v>1.3313817117117117</v>
      </c>
      <c r="AE30" s="88">
        <f t="shared" si="16"/>
        <v>1.3577482656117164</v>
      </c>
      <c r="AF30" s="88">
        <f t="shared" si="16"/>
        <v>1.3846369801801803</v>
      </c>
      <c r="AG30" s="88">
        <f t="shared" si="17"/>
        <v>1.4120581962361851</v>
      </c>
      <c r="AH30" s="88">
        <f t="shared" si="17"/>
        <v>1.4400224593873876</v>
      </c>
      <c r="AI30" s="88">
        <f t="shared" si="17"/>
        <v>1.4685405240856326</v>
      </c>
      <c r="AJ30" s="88">
        <f t="shared" si="17"/>
        <v>1.4976233577628832</v>
      </c>
      <c r="AK30" s="88">
        <f t="shared" si="17"/>
        <v>1.5272821450490581</v>
      </c>
      <c r="AL30" s="88">
        <f t="shared" si="17"/>
        <v>1.5575282920733988</v>
      </c>
      <c r="AM30" s="88">
        <f t="shared" si="12"/>
        <v>1.5883734308510207</v>
      </c>
      <c r="AN30" s="88">
        <f t="shared" si="12"/>
        <v>1.6198294237563349</v>
      </c>
      <c r="AO30" s="88">
        <f t="shared" si="5"/>
        <v>1.6519083680850617</v>
      </c>
      <c r="AP30" s="88">
        <f t="shared" si="6"/>
        <v>1.6846226007065885</v>
      </c>
    </row>
    <row r="31" spans="3:42" x14ac:dyDescent="0.25">
      <c r="C31" t="s">
        <v>236</v>
      </c>
      <c r="D31" t="s">
        <v>32</v>
      </c>
      <c r="E31" s="58"/>
      <c r="F31" s="58"/>
      <c r="G31" s="58"/>
      <c r="H31" s="58"/>
      <c r="I31" s="58"/>
      <c r="J31" s="58"/>
      <c r="K31" s="58"/>
      <c r="L31" s="58"/>
      <c r="M31" s="58"/>
      <c r="N31" s="58"/>
      <c r="O31" s="58"/>
      <c r="P31" s="58"/>
      <c r="Q31" s="58"/>
      <c r="R31" s="58"/>
      <c r="S31" s="58"/>
      <c r="T31" s="58"/>
      <c r="U31" s="58"/>
      <c r="V31" s="58"/>
      <c r="W31" s="58"/>
      <c r="X31" s="58"/>
      <c r="Y31" s="86">
        <v>2.0854999999999997</v>
      </c>
      <c r="Z31" s="86">
        <v>2.2145000000000001</v>
      </c>
      <c r="AA31" s="88">
        <f t="shared" si="10"/>
        <v>2.2474720370896724</v>
      </c>
      <c r="AB31" s="88">
        <f t="shared" si="14"/>
        <v>2.2649524724724728</v>
      </c>
      <c r="AC31" s="88">
        <f t="shared" si="14"/>
        <v>2.3279044546673968</v>
      </c>
      <c r="AD31" s="88">
        <f t="shared" si="14"/>
        <v>2.3853922334834845</v>
      </c>
      <c r="AE31" s="88">
        <f t="shared" si="16"/>
        <v>2.4326323092209927</v>
      </c>
      <c r="AF31" s="88">
        <f t="shared" si="16"/>
        <v>2.4808079228228239</v>
      </c>
      <c r="AG31" s="88">
        <f t="shared" si="17"/>
        <v>2.5299376015898325</v>
      </c>
      <c r="AH31" s="88">
        <f t="shared" si="17"/>
        <v>2.5800402397357369</v>
      </c>
      <c r="AI31" s="88">
        <f t="shared" si="17"/>
        <v>2.631135105653426</v>
      </c>
      <c r="AJ31" s="88">
        <f t="shared" si="17"/>
        <v>2.6832418493251669</v>
      </c>
      <c r="AK31" s="88">
        <f t="shared" si="17"/>
        <v>2.7363805098795635</v>
      </c>
      <c r="AL31" s="88">
        <f t="shared" si="17"/>
        <v>2.790571523298174</v>
      </c>
      <c r="AM31" s="88">
        <f t="shared" si="12"/>
        <v>2.8458357302747466</v>
      </c>
      <c r="AN31" s="88">
        <f t="shared" si="12"/>
        <v>2.9021943842301012</v>
      </c>
      <c r="AO31" s="88">
        <f t="shared" si="5"/>
        <v>2.9596691594857365</v>
      </c>
      <c r="AP31" s="88">
        <f t="shared" si="6"/>
        <v>3.0182821595993055</v>
      </c>
    </row>
    <row r="32" spans="3:42" x14ac:dyDescent="0.25">
      <c r="C32" t="s">
        <v>237</v>
      </c>
      <c r="D32" t="s">
        <v>32</v>
      </c>
      <c r="E32" s="58"/>
      <c r="F32" s="58"/>
      <c r="G32" s="58"/>
      <c r="H32" s="58"/>
      <c r="I32" s="58"/>
      <c r="J32" s="58"/>
      <c r="K32" s="58"/>
      <c r="L32" s="58"/>
      <c r="M32" s="58"/>
      <c r="N32" s="58"/>
      <c r="O32" s="58"/>
      <c r="P32" s="58"/>
      <c r="Q32" s="58"/>
      <c r="R32" s="58"/>
      <c r="S32" s="58"/>
      <c r="T32" s="58"/>
      <c r="U32" s="58"/>
      <c r="V32" s="58"/>
      <c r="W32" s="58"/>
      <c r="X32" s="58"/>
      <c r="Y32" s="86">
        <v>2.5219999999999998</v>
      </c>
      <c r="Z32" s="86">
        <v>2.6780000000000004</v>
      </c>
      <c r="AA32" s="88">
        <f t="shared" si="10"/>
        <v>2.7178731611316969</v>
      </c>
      <c r="AB32" s="88">
        <f t="shared" si="14"/>
        <v>2.7390122922922924</v>
      </c>
      <c r="AC32" s="88">
        <f t="shared" si="14"/>
        <v>2.8151402707605722</v>
      </c>
      <c r="AD32" s="88">
        <f t="shared" si="14"/>
        <v>2.8846603753753759</v>
      </c>
      <c r="AE32" s="88">
        <f t="shared" si="16"/>
        <v>2.9417879088253862</v>
      </c>
      <c r="AF32" s="88">
        <f t="shared" si="16"/>
        <v>3.0000467903903916</v>
      </c>
      <c r="AG32" s="88">
        <f t="shared" si="17"/>
        <v>3.0594594251784022</v>
      </c>
      <c r="AH32" s="88">
        <f t="shared" si="17"/>
        <v>3.1200486620060075</v>
      </c>
      <c r="AI32" s="88">
        <f t="shared" si="17"/>
        <v>3.1818378021855387</v>
      </c>
      <c r="AJ32" s="88">
        <f t="shared" si="17"/>
        <v>3.2448506084862485</v>
      </c>
      <c r="AK32" s="88">
        <f t="shared" si="17"/>
        <v>3.3091113142729607</v>
      </c>
      <c r="AL32" s="88">
        <f t="shared" si="17"/>
        <v>3.3746446328256989</v>
      </c>
      <c r="AM32" s="88">
        <f t="shared" si="12"/>
        <v>3.4414757668438796</v>
      </c>
      <c r="AN32" s="88">
        <f t="shared" si="12"/>
        <v>3.5096304181387272</v>
      </c>
      <c r="AO32" s="88">
        <f t="shared" si="5"/>
        <v>3.5791347975176353</v>
      </c>
      <c r="AP32" s="88">
        <f t="shared" si="6"/>
        <v>3.6500156348642769</v>
      </c>
    </row>
    <row r="33" spans="2:57" x14ac:dyDescent="0.25">
      <c r="E33" s="58"/>
      <c r="F33" s="58"/>
      <c r="G33" s="58"/>
      <c r="H33" s="58"/>
      <c r="I33" s="58"/>
      <c r="J33" s="58"/>
      <c r="K33" s="58"/>
      <c r="L33" s="58"/>
      <c r="M33" s="58"/>
      <c r="N33" s="58"/>
      <c r="O33" s="58"/>
      <c r="P33" s="58"/>
      <c r="Q33" s="58"/>
      <c r="R33" s="58"/>
      <c r="S33" s="58"/>
      <c r="T33" s="58"/>
      <c r="U33" s="58"/>
      <c r="V33" s="58"/>
      <c r="W33" s="58"/>
      <c r="X33" s="58"/>
      <c r="Y33" s="58"/>
      <c r="Z33" s="58"/>
      <c r="AA33" s="54"/>
      <c r="AB33" s="54"/>
      <c r="AC33" s="54"/>
      <c r="AD33" s="54"/>
      <c r="AE33" s="54"/>
      <c r="AF33" s="54"/>
      <c r="AG33" s="54"/>
      <c r="AH33" s="54"/>
      <c r="AI33" s="54"/>
      <c r="AJ33" s="54"/>
      <c r="AK33" s="54"/>
      <c r="AL33" s="54"/>
      <c r="AM33" s="54"/>
      <c r="AN33" s="54"/>
      <c r="AO33" s="54"/>
      <c r="AP33" s="54"/>
    </row>
    <row r="34" spans="2:57" x14ac:dyDescent="0.25">
      <c r="E34" s="58"/>
      <c r="F34" s="58"/>
      <c r="G34" s="58"/>
      <c r="H34" s="58"/>
      <c r="I34" s="58"/>
      <c r="J34" s="58"/>
      <c r="K34" s="58"/>
      <c r="L34" s="58"/>
      <c r="M34" s="58"/>
      <c r="N34" s="58"/>
      <c r="O34" s="58"/>
      <c r="P34" s="58"/>
      <c r="Q34" s="58"/>
      <c r="R34" s="58"/>
      <c r="S34" s="58"/>
      <c r="T34" s="58"/>
      <c r="U34" s="58"/>
      <c r="V34" s="58"/>
      <c r="W34" s="58"/>
      <c r="X34" s="58"/>
      <c r="Y34" s="58"/>
      <c r="Z34" s="58"/>
      <c r="AA34" s="54"/>
      <c r="AB34" s="54"/>
      <c r="AC34" s="54"/>
      <c r="AD34" s="54"/>
      <c r="AE34" s="54"/>
      <c r="AF34" s="54"/>
      <c r="AG34" s="54"/>
      <c r="AH34" s="54"/>
      <c r="AI34" s="54"/>
      <c r="AJ34" s="54"/>
      <c r="AK34" s="54"/>
      <c r="AL34" s="54"/>
      <c r="AM34" s="54"/>
      <c r="AN34" s="54"/>
      <c r="AO34" s="54"/>
      <c r="AP34" s="54"/>
    </row>
    <row r="35" spans="2:57" s="10" customFormat="1" x14ac:dyDescent="0.25">
      <c r="C35" s="51"/>
      <c r="E35" s="55"/>
      <c r="F35" s="55"/>
      <c r="G35" s="55"/>
      <c r="H35" s="55"/>
      <c r="I35" s="55"/>
      <c r="J35" s="55"/>
      <c r="K35" s="55"/>
      <c r="L35" s="55"/>
      <c r="M35" s="55"/>
      <c r="N35" s="55"/>
      <c r="O35" s="55"/>
      <c r="P35" s="55"/>
      <c r="Q35" s="55"/>
      <c r="R35" s="55"/>
      <c r="S35" s="55"/>
      <c r="T35" s="55"/>
      <c r="U35" s="55"/>
      <c r="V35" s="55"/>
      <c r="W35" s="55"/>
      <c r="X35" s="55"/>
      <c r="Y35" s="55"/>
      <c r="Z35" s="55"/>
      <c r="AA35" s="55"/>
      <c r="AB35" s="59"/>
      <c r="AC35" s="59"/>
      <c r="AD35" s="59"/>
      <c r="AE35" s="59"/>
      <c r="AF35" s="59"/>
      <c r="AG35" s="59"/>
      <c r="AH35" s="59"/>
      <c r="AI35" s="59"/>
      <c r="AJ35" s="59"/>
      <c r="AK35" s="59"/>
      <c r="AL35" s="59"/>
      <c r="AM35" s="59"/>
      <c r="AN35" s="59"/>
      <c r="AO35" s="59"/>
      <c r="AP35" s="59"/>
    </row>
    <row r="36" spans="2:57" x14ac:dyDescent="0.25">
      <c r="C36" t="s">
        <v>382</v>
      </c>
      <c r="E36" s="58"/>
      <c r="F36" s="58"/>
      <c r="G36" s="58"/>
      <c r="H36" s="58"/>
      <c r="I36" s="58"/>
      <c r="J36" s="58"/>
      <c r="K36" s="58"/>
      <c r="L36" s="58"/>
      <c r="M36" s="58"/>
      <c r="N36" s="58"/>
      <c r="O36" s="58"/>
      <c r="P36" s="58"/>
      <c r="Q36" s="58"/>
      <c r="R36" s="58"/>
      <c r="S36" s="58"/>
      <c r="T36" s="58"/>
      <c r="U36" s="58"/>
      <c r="V36" s="58"/>
      <c r="W36" s="58"/>
      <c r="X36" s="58"/>
      <c r="Y36" s="86"/>
      <c r="Z36" s="86"/>
      <c r="AA36" s="88"/>
      <c r="AB36" s="88"/>
      <c r="AC36" s="88"/>
      <c r="AD36" s="88"/>
      <c r="AE36" s="88"/>
      <c r="AF36" s="88">
        <f>-388*70%*6%*0.5</f>
        <v>-8.1479999999999979</v>
      </c>
      <c r="AG36" s="88">
        <f>AF36-2</f>
        <v>-10.147999999999998</v>
      </c>
      <c r="AH36" s="88">
        <f t="shared" ref="AH36:AN36" si="18">AG36</f>
        <v>-10.147999999999998</v>
      </c>
      <c r="AI36" s="88">
        <f t="shared" si="18"/>
        <v>-10.147999999999998</v>
      </c>
      <c r="AJ36" s="88">
        <f t="shared" si="18"/>
        <v>-10.147999999999998</v>
      </c>
      <c r="AK36" s="88">
        <f t="shared" si="18"/>
        <v>-10.147999999999998</v>
      </c>
      <c r="AL36" s="88">
        <f t="shared" si="18"/>
        <v>-10.147999999999998</v>
      </c>
      <c r="AM36" s="88">
        <f t="shared" si="18"/>
        <v>-10.147999999999998</v>
      </c>
      <c r="AN36" s="88">
        <f t="shared" si="18"/>
        <v>-10.147999999999998</v>
      </c>
      <c r="AO36" s="88">
        <f t="shared" ref="AO36" si="19">AN36</f>
        <v>-10.147999999999998</v>
      </c>
      <c r="AP36" s="88">
        <f t="shared" ref="AP36" si="20">AO36</f>
        <v>-10.147999999999998</v>
      </c>
    </row>
    <row r="37" spans="2:57" x14ac:dyDescent="0.25">
      <c r="C37" t="s">
        <v>238</v>
      </c>
      <c r="D37" t="s">
        <v>32</v>
      </c>
      <c r="E37" s="58"/>
      <c r="F37" s="58"/>
      <c r="G37" s="58"/>
      <c r="H37" s="58"/>
      <c r="I37" s="58"/>
      <c r="J37" s="58"/>
      <c r="K37" s="58"/>
      <c r="L37" s="58"/>
      <c r="M37" s="58"/>
      <c r="N37" s="58"/>
      <c r="O37" s="58"/>
      <c r="P37" s="58"/>
      <c r="Q37" s="58"/>
      <c r="R37" s="58"/>
      <c r="S37" s="58"/>
      <c r="T37" s="58"/>
      <c r="U37" s="58"/>
      <c r="V37" s="58"/>
      <c r="W37" s="58"/>
      <c r="X37" s="58"/>
      <c r="Y37" s="86"/>
      <c r="Z37" s="86"/>
      <c r="AA37" s="88">
        <f>AA114</f>
        <v>0</v>
      </c>
      <c r="AB37" s="88">
        <f>AB114</f>
        <v>4.68</v>
      </c>
      <c r="AC37" s="88">
        <f>AC114</f>
        <v>11.9922973370556</v>
      </c>
      <c r="AD37" s="88">
        <f t="shared" ref="AD37:AL37" si="21">AD114</f>
        <v>15.269926730908743</v>
      </c>
      <c r="AE37" s="88">
        <f t="shared" si="21"/>
        <v>19.378497433696261</v>
      </c>
      <c r="AF37" s="88">
        <f t="shared" si="21"/>
        <v>25.732561457627153</v>
      </c>
      <c r="AG37" s="88">
        <f t="shared" si="21"/>
        <v>31.574960747355455</v>
      </c>
      <c r="AH37" s="88">
        <f t="shared" si="21"/>
        <v>35.63318733224358</v>
      </c>
      <c r="AI37" s="88">
        <f t="shared" si="21"/>
        <v>40.784282641628693</v>
      </c>
      <c r="AJ37" s="88">
        <f t="shared" si="21"/>
        <v>47.554838289912347</v>
      </c>
      <c r="AK37" s="88">
        <f t="shared" si="21"/>
        <v>49.989183217683028</v>
      </c>
      <c r="AL37" s="88">
        <f t="shared" si="21"/>
        <v>52.471737675586681</v>
      </c>
      <c r="AM37" s="88">
        <f>AM114</f>
        <v>55.003456400468181</v>
      </c>
      <c r="AN37" s="88">
        <f>AN114</f>
        <v>57.585313036687992</v>
      </c>
      <c r="AO37" s="88">
        <f>AO114</f>
        <v>60.21830051056476</v>
      </c>
      <c r="AP37" s="88">
        <f>AP114</f>
        <v>62.903431412233353</v>
      </c>
    </row>
    <row r="38" spans="2:57" x14ac:dyDescent="0.25">
      <c r="C38" t="s">
        <v>115</v>
      </c>
      <c r="D38" t="s">
        <v>32</v>
      </c>
      <c r="E38" s="58"/>
      <c r="F38" s="58"/>
      <c r="G38" s="58"/>
      <c r="H38" s="58"/>
      <c r="I38" s="58"/>
      <c r="J38" s="58"/>
      <c r="K38" s="58"/>
      <c r="L38" s="58"/>
      <c r="M38" s="58"/>
      <c r="N38" s="58"/>
      <c r="O38" s="58"/>
      <c r="P38" s="58"/>
      <c r="Q38" s="58"/>
      <c r="R38" s="58"/>
      <c r="S38" s="58"/>
      <c r="T38" s="58"/>
      <c r="U38" s="58"/>
      <c r="V38" s="58"/>
      <c r="W38" s="58"/>
      <c r="X38" s="58"/>
      <c r="Y38" s="58"/>
      <c r="Z38" s="58"/>
      <c r="AA38" s="54"/>
      <c r="AB38" s="54"/>
      <c r="AC38" s="54"/>
      <c r="AD38" s="54"/>
      <c r="AE38" s="54"/>
      <c r="AF38" s="54"/>
      <c r="AG38" s="54">
        <v>-2.5</v>
      </c>
      <c r="AH38" s="54">
        <f>AG38</f>
        <v>-2.5</v>
      </c>
      <c r="AI38" s="54">
        <f>AH38</f>
        <v>-2.5</v>
      </c>
      <c r="AJ38" s="54">
        <f t="shared" ref="AJ38:AP38" si="22">AI38</f>
        <v>-2.5</v>
      </c>
      <c r="AK38" s="54">
        <f t="shared" si="22"/>
        <v>-2.5</v>
      </c>
      <c r="AL38" s="54">
        <f t="shared" si="22"/>
        <v>-2.5</v>
      </c>
      <c r="AM38" s="54">
        <f t="shared" si="22"/>
        <v>-2.5</v>
      </c>
      <c r="AN38" s="54">
        <f t="shared" si="22"/>
        <v>-2.5</v>
      </c>
      <c r="AO38" s="54">
        <f t="shared" si="22"/>
        <v>-2.5</v>
      </c>
      <c r="AP38" s="54">
        <f t="shared" si="22"/>
        <v>-2.5</v>
      </c>
    </row>
    <row r="39" spans="2:57" s="6" customFormat="1" x14ac:dyDescent="0.25">
      <c r="C39" s="6" t="s">
        <v>242</v>
      </c>
      <c r="D39" s="6" t="s">
        <v>32</v>
      </c>
      <c r="E39" s="46"/>
      <c r="F39" s="46"/>
      <c r="G39" s="46"/>
      <c r="H39" s="46"/>
      <c r="I39" s="46"/>
      <c r="J39" s="46"/>
      <c r="K39" s="46"/>
      <c r="L39" s="46"/>
      <c r="M39" s="46"/>
      <c r="N39" s="46"/>
      <c r="O39" s="46"/>
      <c r="P39" s="46"/>
      <c r="Q39" s="46"/>
      <c r="R39" s="46"/>
      <c r="S39" s="46"/>
      <c r="T39" s="46"/>
      <c r="U39" s="46"/>
      <c r="V39" s="46"/>
      <c r="W39" s="46"/>
      <c r="X39" s="46"/>
      <c r="Y39" s="46">
        <f>SUM(Y10:Y38)</f>
        <v>58.79699999999999</v>
      </c>
      <c r="Z39" s="46">
        <f>SUM(Z10:Z38)</f>
        <v>64.40300000000002</v>
      </c>
      <c r="AA39" s="46">
        <f>SUM(AA10:AA38)</f>
        <v>65.361906346663417</v>
      </c>
      <c r="AB39" s="46">
        <f t="shared" ref="AB39:AL39" si="23">SUM(AB10:AB38)</f>
        <v>70.550279559559556</v>
      </c>
      <c r="AC39" s="46">
        <f t="shared" si="23"/>
        <v>79.693372339965663</v>
      </c>
      <c r="AD39" s="46">
        <f t="shared" si="23"/>
        <v>84.642884966644488</v>
      </c>
      <c r="AE39" s="46">
        <f t="shared" si="23"/>
        <v>96.813192055990044</v>
      </c>
      <c r="AF39" s="46">
        <f t="shared" si="23"/>
        <v>90.606208592161693</v>
      </c>
      <c r="AG39" s="46">
        <f t="shared" si="23"/>
        <v>93.394721478091128</v>
      </c>
      <c r="AH39" s="46">
        <f t="shared" si="23"/>
        <v>98.927700352159562</v>
      </c>
      <c r="AI39" s="46">
        <f t="shared" si="23"/>
        <v>105.58275380159381</v>
      </c>
      <c r="AJ39" s="46">
        <f t="shared" si="23"/>
        <v>113.88705183062496</v>
      </c>
      <c r="AK39" s="46">
        <f t="shared" si="23"/>
        <v>117.88551322404675</v>
      </c>
      <c r="AL39" s="46">
        <f t="shared" si="23"/>
        <v>121.9631597579278</v>
      </c>
      <c r="AM39" s="46">
        <f>SUM(AM10:AM38)</f>
        <v>126.12155960708645</v>
      </c>
      <c r="AN39" s="46">
        <f>SUM(AN10:AN38)</f>
        <v>130.36231200232277</v>
      </c>
      <c r="AO39" s="46">
        <f>SUM(AO10:AO38)</f>
        <v>134.68704784544781</v>
      </c>
      <c r="AP39" s="46">
        <f>SUM(AP10:AP38)</f>
        <v>139.09743033649352</v>
      </c>
    </row>
    <row r="40" spans="2:57" x14ac:dyDescent="0.25">
      <c r="C40" t="s">
        <v>115</v>
      </c>
      <c r="E40" s="59"/>
      <c r="F40" s="59"/>
      <c r="G40" s="59"/>
      <c r="H40" s="59"/>
      <c r="I40" s="59"/>
      <c r="J40" s="59"/>
      <c r="K40" s="59"/>
      <c r="L40" s="59"/>
      <c r="M40" s="59"/>
      <c r="N40" s="59"/>
      <c r="O40" s="59"/>
      <c r="P40" s="59"/>
      <c r="Q40" s="59"/>
      <c r="R40" s="59"/>
      <c r="S40" s="59"/>
      <c r="T40" s="59"/>
      <c r="U40" s="59"/>
      <c r="V40" s="59"/>
      <c r="W40" s="59"/>
      <c r="X40" s="59"/>
      <c r="Y40" s="59">
        <f t="shared" ref="Y40:AG40" si="24">Y41/Y39</f>
        <v>1.0034525571032538</v>
      </c>
      <c r="Z40" s="59">
        <f t="shared" si="24"/>
        <v>1.0247969815070723</v>
      </c>
      <c r="AA40" s="59">
        <f t="shared" si="24"/>
        <v>1.0250619014177544</v>
      </c>
      <c r="AB40" s="59">
        <f t="shared" si="24"/>
        <v>1.020548755433585</v>
      </c>
      <c r="AC40" s="59">
        <f t="shared" si="24"/>
        <v>1.0038475929808353</v>
      </c>
      <c r="AD40" s="59">
        <f t="shared" si="24"/>
        <v>1.0396621054998121</v>
      </c>
      <c r="AE40" s="59">
        <f t="shared" si="24"/>
        <v>0.91929620447313176</v>
      </c>
      <c r="AF40" s="59">
        <f t="shared" si="24"/>
        <v>0.91605201552579141</v>
      </c>
      <c r="AG40" s="59">
        <f t="shared" si="24"/>
        <v>0.91011567521982073</v>
      </c>
      <c r="AH40" s="59">
        <f t="shared" ref="AH40:AL40" si="25">AG40</f>
        <v>0.91011567521982073</v>
      </c>
      <c r="AI40" s="59">
        <f t="shared" si="25"/>
        <v>0.91011567521982073</v>
      </c>
      <c r="AJ40" s="59">
        <f t="shared" si="25"/>
        <v>0.91011567521982073</v>
      </c>
      <c r="AK40" s="59">
        <f t="shared" si="25"/>
        <v>0.91011567521982073</v>
      </c>
      <c r="AL40" s="59">
        <f t="shared" si="25"/>
        <v>0.91011567521982073</v>
      </c>
      <c r="AM40" s="59">
        <f>AL40</f>
        <v>0.91011567521982073</v>
      </c>
      <c r="AN40" s="59">
        <f>AM40</f>
        <v>0.91011567521982073</v>
      </c>
      <c r="AO40" s="59">
        <f>AN40</f>
        <v>0.91011567521982073</v>
      </c>
      <c r="AP40" s="59">
        <f>AO40</f>
        <v>0.91011567521982073</v>
      </c>
    </row>
    <row r="41" spans="2:57" s="6" customFormat="1" x14ac:dyDescent="0.25">
      <c r="C41" s="6" t="s">
        <v>241</v>
      </c>
      <c r="D41" s="6" t="s">
        <v>32</v>
      </c>
      <c r="E41" s="33"/>
      <c r="F41" s="33"/>
      <c r="G41" s="33"/>
      <c r="H41" s="33"/>
      <c r="I41" s="33">
        <v>51</v>
      </c>
      <c r="J41" s="33">
        <v>57</v>
      </c>
      <c r="K41" s="33">
        <v>63</v>
      </c>
      <c r="L41" s="33">
        <v>68</v>
      </c>
      <c r="M41" s="33">
        <v>66</v>
      </c>
      <c r="N41" s="33">
        <v>66</v>
      </c>
      <c r="O41" s="33">
        <v>72</v>
      </c>
      <c r="P41" s="33">
        <v>71</v>
      </c>
      <c r="Q41" s="33">
        <v>74</v>
      </c>
      <c r="R41" s="33">
        <v>78</v>
      </c>
      <c r="S41" s="33">
        <v>81</v>
      </c>
      <c r="T41" s="33">
        <v>83</v>
      </c>
      <c r="U41" s="33">
        <v>81</v>
      </c>
      <c r="V41" s="33">
        <v>79</v>
      </c>
      <c r="W41" s="33">
        <v>55</v>
      </c>
      <c r="X41" s="33">
        <v>58</v>
      </c>
      <c r="Y41" s="33">
        <v>59</v>
      </c>
      <c r="Z41" s="33">
        <v>66</v>
      </c>
      <c r="AA41" s="33">
        <v>67</v>
      </c>
      <c r="AB41" s="33">
        <f>139-AA41</f>
        <v>72</v>
      </c>
      <c r="AC41" s="33">
        <v>80</v>
      </c>
      <c r="AD41" s="33">
        <f>168-AC41</f>
        <v>88</v>
      </c>
      <c r="AE41" s="33">
        <v>89</v>
      </c>
      <c r="AF41" s="33">
        <f>172-AE41</f>
        <v>83</v>
      </c>
      <c r="AG41" s="33">
        <v>85</v>
      </c>
      <c r="AH41" s="46">
        <f t="shared" ref="AH41:AL41" si="26">AH39*AH40</f>
        <v>90.035650803949792</v>
      </c>
      <c r="AI41" s="46">
        <f t="shared" si="26"/>
        <v>96.09251926770564</v>
      </c>
      <c r="AJ41" s="46">
        <f t="shared" si="26"/>
        <v>103.65039107562396</v>
      </c>
      <c r="AK41" s="46">
        <f t="shared" si="26"/>
        <v>107.2894534665384</v>
      </c>
      <c r="AL41" s="46">
        <f t="shared" si="26"/>
        <v>111.00058349502933</v>
      </c>
      <c r="AM41" s="46">
        <f>AM39*AM40</f>
        <v>114.78520838158036</v>
      </c>
      <c r="AN41" s="46">
        <f>AN39*AN40</f>
        <v>118.64478361121093</v>
      </c>
      <c r="AO41" s="46">
        <f>AO39*AO40</f>
        <v>122.58079349322404</v>
      </c>
      <c r="AP41" s="46">
        <f>AP39*AP40</f>
        <v>126.59475173203977</v>
      </c>
    </row>
    <row r="42" spans="2:57" s="12" customFormat="1" x14ac:dyDescent="0.25">
      <c r="E42" s="67"/>
      <c r="F42" s="67"/>
      <c r="G42" s="67"/>
      <c r="H42" s="67"/>
      <c r="I42" s="67"/>
      <c r="J42" s="67"/>
      <c r="K42" s="67"/>
      <c r="L42" s="67"/>
      <c r="M42" s="67"/>
      <c r="N42" s="67"/>
      <c r="O42" s="67"/>
      <c r="P42" s="67"/>
      <c r="Q42" s="67"/>
      <c r="R42" s="67"/>
      <c r="S42" s="67"/>
      <c r="T42" s="67"/>
      <c r="U42" s="67"/>
      <c r="V42" s="67"/>
      <c r="W42" s="67"/>
      <c r="X42" s="67"/>
      <c r="Y42" s="67"/>
      <c r="Z42" s="67"/>
      <c r="AA42" s="67"/>
      <c r="AB42" s="67"/>
      <c r="AC42" s="67"/>
      <c r="AD42" s="67"/>
      <c r="AE42" s="67"/>
      <c r="AF42" s="67"/>
      <c r="AG42" s="67"/>
      <c r="AH42" s="67"/>
      <c r="AI42" s="67"/>
      <c r="AJ42" s="67"/>
      <c r="AK42" s="67"/>
      <c r="AL42" s="67"/>
      <c r="AM42" s="67"/>
      <c r="AN42" s="67"/>
      <c r="AO42" s="67"/>
      <c r="AP42" s="67"/>
    </row>
    <row r="43" spans="2:57" s="12" customFormat="1" x14ac:dyDescent="0.25">
      <c r="E43" s="67"/>
      <c r="F43" s="67"/>
      <c r="G43" s="67"/>
      <c r="H43" s="67"/>
      <c r="I43" s="67"/>
      <c r="J43" s="67"/>
      <c r="K43" s="67"/>
      <c r="L43" s="67"/>
      <c r="M43" s="67"/>
      <c r="N43" s="67"/>
      <c r="O43" s="67"/>
      <c r="P43" s="67"/>
      <c r="Q43" s="67"/>
      <c r="R43" s="67"/>
      <c r="S43" s="67"/>
      <c r="T43" s="67"/>
      <c r="U43" s="67"/>
      <c r="V43" s="67"/>
      <c r="W43" s="67"/>
      <c r="X43" s="67"/>
      <c r="Y43" s="67"/>
      <c r="Z43" s="67"/>
      <c r="AA43" s="67"/>
      <c r="AB43" s="67"/>
      <c r="AC43" s="67"/>
      <c r="AD43" s="67"/>
      <c r="AE43" s="67"/>
      <c r="AF43" s="67"/>
      <c r="AG43" s="67"/>
      <c r="AH43" s="67"/>
      <c r="AI43" s="67"/>
      <c r="AJ43" s="67"/>
      <c r="AK43" s="67"/>
      <c r="AL43" s="67"/>
      <c r="AM43" s="67"/>
      <c r="AN43" s="67"/>
      <c r="AO43" s="67"/>
      <c r="AP43" s="67"/>
    </row>
    <row r="44" spans="2:57" s="23" customFormat="1" x14ac:dyDescent="0.25">
      <c r="B44" s="23" t="s">
        <v>254</v>
      </c>
      <c r="E44" s="57"/>
      <c r="F44" s="57"/>
      <c r="G44" s="57"/>
      <c r="H44" s="57"/>
      <c r="I44" s="57"/>
      <c r="J44" s="57"/>
      <c r="K44" s="57"/>
      <c r="L44" s="57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57"/>
      <c r="AB44" s="57"/>
      <c r="AC44" s="57"/>
      <c r="AD44" s="57"/>
      <c r="AE44" s="57"/>
      <c r="AF44" s="57"/>
      <c r="AG44" s="57"/>
      <c r="AH44" s="57"/>
      <c r="AI44" s="57"/>
      <c r="AJ44" s="57"/>
      <c r="AK44" s="57"/>
      <c r="AL44" s="57"/>
      <c r="AM44" s="57"/>
      <c r="AN44" s="57"/>
      <c r="AO44" s="57"/>
      <c r="AP44" s="57"/>
      <c r="AQ44" s="24"/>
      <c r="AR44" s="24"/>
      <c r="AS44" s="24"/>
      <c r="AT44" s="24"/>
      <c r="AU44" s="24"/>
      <c r="AV44" s="24"/>
      <c r="AW44" s="24"/>
      <c r="AX44" s="24"/>
      <c r="AY44" s="24"/>
      <c r="AZ44" s="24"/>
      <c r="BA44" s="24"/>
      <c r="BE44" s="25"/>
    </row>
    <row r="45" spans="2:57" x14ac:dyDescent="0.25">
      <c r="C45" t="s">
        <v>244</v>
      </c>
      <c r="E45" s="54"/>
      <c r="F45" s="54"/>
      <c r="G45" s="54"/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54"/>
      <c r="T45" s="54"/>
      <c r="U45" s="54"/>
      <c r="V45" s="54"/>
      <c r="W45" s="54"/>
      <c r="X45" s="54"/>
      <c r="Y45" s="54"/>
      <c r="Z45" s="64"/>
      <c r="AA45" s="69">
        <v>0.03</v>
      </c>
      <c r="AB45" s="69">
        <f>AA45</f>
        <v>0.03</v>
      </c>
      <c r="AC45" s="69">
        <v>0.05</v>
      </c>
      <c r="AD45" s="69">
        <f t="shared" ref="AD45:AL45" si="27">AC45</f>
        <v>0.05</v>
      </c>
      <c r="AE45" s="69">
        <v>0.04</v>
      </c>
      <c r="AF45" s="69">
        <f t="shared" si="27"/>
        <v>0.04</v>
      </c>
      <c r="AG45" s="69">
        <f t="shared" si="27"/>
        <v>0.04</v>
      </c>
      <c r="AH45" s="69">
        <f t="shared" si="27"/>
        <v>0.04</v>
      </c>
      <c r="AI45" s="69">
        <f t="shared" si="27"/>
        <v>0.04</v>
      </c>
      <c r="AJ45" s="69">
        <f t="shared" si="27"/>
        <v>0.04</v>
      </c>
      <c r="AK45" s="69">
        <f t="shared" si="27"/>
        <v>0.04</v>
      </c>
      <c r="AL45" s="69">
        <f t="shared" si="27"/>
        <v>0.04</v>
      </c>
      <c r="AM45" s="69">
        <f t="shared" ref="AM45:AP46" si="28">AL45</f>
        <v>0.04</v>
      </c>
      <c r="AN45" s="69">
        <f t="shared" si="28"/>
        <v>0.04</v>
      </c>
      <c r="AO45" s="69">
        <f t="shared" si="28"/>
        <v>0.04</v>
      </c>
      <c r="AP45" s="69">
        <f t="shared" si="28"/>
        <v>0.04</v>
      </c>
    </row>
    <row r="46" spans="2:57" x14ac:dyDescent="0.25">
      <c r="C46" t="s">
        <v>119</v>
      </c>
      <c r="E46" s="54"/>
      <c r="F46" s="54"/>
      <c r="G46" s="54"/>
      <c r="H46" s="54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64">
        <v>0.999</v>
      </c>
      <c r="AA46" s="69">
        <v>0.999</v>
      </c>
      <c r="AB46" s="69">
        <v>0.99199999999999999</v>
      </c>
      <c r="AC46" s="69">
        <v>0.995</v>
      </c>
      <c r="AD46" s="69">
        <f t="shared" ref="AD46:AL46" si="29">AC46</f>
        <v>0.995</v>
      </c>
      <c r="AE46" s="69">
        <f t="shared" si="29"/>
        <v>0.995</v>
      </c>
      <c r="AF46" s="69">
        <f t="shared" si="29"/>
        <v>0.995</v>
      </c>
      <c r="AG46" s="69">
        <f t="shared" si="29"/>
        <v>0.995</v>
      </c>
      <c r="AH46" s="69">
        <f t="shared" si="29"/>
        <v>0.995</v>
      </c>
      <c r="AI46" s="69">
        <f t="shared" si="29"/>
        <v>0.995</v>
      </c>
      <c r="AJ46" s="69">
        <f t="shared" si="29"/>
        <v>0.995</v>
      </c>
      <c r="AK46" s="69">
        <f t="shared" si="29"/>
        <v>0.995</v>
      </c>
      <c r="AL46" s="69">
        <f t="shared" si="29"/>
        <v>0.995</v>
      </c>
      <c r="AM46" s="69">
        <f t="shared" si="28"/>
        <v>0.995</v>
      </c>
      <c r="AN46" s="69">
        <f t="shared" si="28"/>
        <v>0.995</v>
      </c>
      <c r="AO46" s="69">
        <f t="shared" si="28"/>
        <v>0.995</v>
      </c>
      <c r="AP46" s="69">
        <f t="shared" si="28"/>
        <v>0.995</v>
      </c>
    </row>
    <row r="47" spans="2:57" x14ac:dyDescent="0.25">
      <c r="C47" t="s">
        <v>120</v>
      </c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4"/>
      <c r="Y47" s="54"/>
      <c r="Z47" s="54"/>
      <c r="AA47" s="89">
        <v>4.4200000000000003E-2</v>
      </c>
      <c r="AB47" s="89">
        <v>4.8000000000000001E-2</v>
      </c>
      <c r="AC47" s="89"/>
      <c r="AD47" s="89"/>
      <c r="AE47" s="89"/>
      <c r="AF47" s="89"/>
      <c r="AG47" s="89"/>
      <c r="AH47" s="89"/>
      <c r="AI47" s="89"/>
      <c r="AJ47" s="89"/>
      <c r="AK47" s="89"/>
      <c r="AL47" s="89"/>
      <c r="AM47" s="89"/>
      <c r="AN47" s="89"/>
      <c r="AO47" s="89"/>
      <c r="AP47" s="89"/>
    </row>
    <row r="48" spans="2:57" x14ac:dyDescent="0.25">
      <c r="C48" t="s">
        <v>121</v>
      </c>
      <c r="D48" t="s">
        <v>253</v>
      </c>
      <c r="E48" s="54"/>
      <c r="F48" s="54"/>
      <c r="G48" s="54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54"/>
      <c r="T48" s="54"/>
      <c r="U48" s="54"/>
      <c r="V48" s="54"/>
      <c r="W48" s="54"/>
      <c r="X48" s="54"/>
      <c r="Y48" s="54"/>
      <c r="Z48" s="54"/>
      <c r="AA48" s="88">
        <v>3.4</v>
      </c>
      <c r="AB48" s="88">
        <v>3.3</v>
      </c>
      <c r="AC48" s="88"/>
      <c r="AD48" s="88"/>
      <c r="AE48" s="88"/>
      <c r="AF48" s="88"/>
      <c r="AG48" s="88"/>
      <c r="AH48" s="88"/>
      <c r="AI48" s="88"/>
      <c r="AJ48" s="88"/>
      <c r="AK48" s="88"/>
      <c r="AL48" s="88"/>
      <c r="AM48" s="88"/>
      <c r="AN48" s="88"/>
      <c r="AO48" s="88"/>
      <c r="AP48" s="88"/>
    </row>
    <row r="49" spans="2:57" x14ac:dyDescent="0.25">
      <c r="C49" s="44"/>
      <c r="E49" s="54"/>
      <c r="F49" s="54"/>
      <c r="G49" s="54"/>
      <c r="H49" s="54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54"/>
      <c r="T49" s="54"/>
      <c r="U49" s="54"/>
      <c r="V49" s="54"/>
      <c r="W49" s="54"/>
      <c r="X49" s="54"/>
      <c r="Y49" s="54"/>
      <c r="Z49" s="54"/>
      <c r="AA49" s="54"/>
      <c r="AB49" s="54"/>
      <c r="AC49" s="54"/>
      <c r="AD49" s="54"/>
      <c r="AE49" s="54"/>
      <c r="AF49" s="54"/>
      <c r="AG49" s="54"/>
      <c r="AH49" s="54"/>
      <c r="AI49" s="54"/>
      <c r="AJ49" s="54"/>
      <c r="AK49" s="54"/>
      <c r="AL49" s="54"/>
      <c r="AM49" s="54"/>
      <c r="AN49" s="54"/>
      <c r="AO49" s="54"/>
      <c r="AP49" s="54"/>
    </row>
    <row r="50" spans="2:57" s="23" customFormat="1" x14ac:dyDescent="0.25">
      <c r="B50" s="23" t="s">
        <v>239</v>
      </c>
      <c r="E50" s="57"/>
      <c r="F50" s="57"/>
      <c r="G50" s="57"/>
      <c r="H50" s="57"/>
      <c r="I50" s="57"/>
      <c r="J50" s="57"/>
      <c r="K50" s="57"/>
      <c r="L50" s="57"/>
      <c r="M50" s="57"/>
      <c r="N50" s="57"/>
      <c r="O50" s="57"/>
      <c r="P50" s="57"/>
      <c r="Q50" s="57"/>
      <c r="R50" s="57"/>
      <c r="S50" s="57"/>
      <c r="T50" s="57"/>
      <c r="U50" s="57"/>
      <c r="V50" s="57"/>
      <c r="W50" s="57"/>
      <c r="X50" s="57"/>
      <c r="Y50" s="57"/>
      <c r="Z50" s="57"/>
      <c r="AA50" s="57"/>
      <c r="AB50" s="57"/>
      <c r="AC50" s="57"/>
      <c r="AD50" s="57"/>
      <c r="AE50" s="57"/>
      <c r="AF50" s="57"/>
      <c r="AG50" s="57"/>
      <c r="AH50" s="57"/>
      <c r="AI50" s="57"/>
      <c r="AJ50" s="57"/>
      <c r="AK50" s="57"/>
      <c r="AL50" s="57"/>
      <c r="AM50" s="57"/>
      <c r="AN50" s="57"/>
      <c r="AO50" s="57"/>
      <c r="AP50" s="57"/>
      <c r="AQ50" s="24"/>
      <c r="AR50" s="24"/>
      <c r="AS50" s="24"/>
      <c r="AT50" s="24"/>
      <c r="AU50" s="24"/>
      <c r="AV50" s="24"/>
      <c r="AW50" s="24"/>
      <c r="AX50" s="24"/>
      <c r="AY50" s="24"/>
      <c r="AZ50" s="24"/>
      <c r="BA50" s="24"/>
      <c r="BE50" s="25"/>
    </row>
    <row r="51" spans="2:57" outlineLevel="1" x14ac:dyDescent="0.25">
      <c r="C51" t="str">
        <f t="shared" ref="C51:C73" si="30">C10</f>
        <v>23 Wonderland Drive, Eastern Creek</v>
      </c>
      <c r="D51" t="s">
        <v>32</v>
      </c>
      <c r="E51" s="58"/>
      <c r="F51" s="58"/>
      <c r="G51" s="58"/>
      <c r="H51" s="58"/>
      <c r="I51" s="58"/>
      <c r="J51" s="58"/>
      <c r="K51" s="58"/>
      <c r="L51" s="58"/>
      <c r="M51" s="58"/>
      <c r="N51" s="58"/>
      <c r="O51" s="58"/>
      <c r="P51" s="58"/>
      <c r="Q51" s="58"/>
      <c r="R51" s="58"/>
      <c r="S51" s="58"/>
      <c r="T51" s="58"/>
      <c r="U51" s="86"/>
      <c r="V51" s="86"/>
      <c r="W51" s="86"/>
      <c r="X51" s="86"/>
      <c r="Y51" s="86"/>
      <c r="Z51" s="86">
        <v>77</v>
      </c>
      <c r="AA51" s="43">
        <f>Z51*(1+AA$45)^(1/2)</f>
        <v>78.146465051210086</v>
      </c>
      <c r="AB51" s="43">
        <f t="shared" ref="AB51:AL51" si="31">AA51*(1+AB$45)^(1/2)</f>
        <v>79.31</v>
      </c>
      <c r="AC51" s="43">
        <f t="shared" si="31"/>
        <v>81.268566524825587</v>
      </c>
      <c r="AD51" s="43">
        <f t="shared" si="31"/>
        <v>83.275500000000022</v>
      </c>
      <c r="AE51" s="43">
        <f t="shared" si="31"/>
        <v>84.924679900839223</v>
      </c>
      <c r="AF51" s="43">
        <f t="shared" si="31"/>
        <v>86.606520000000032</v>
      </c>
      <c r="AG51" s="43">
        <f t="shared" si="31"/>
        <v>88.321667096872801</v>
      </c>
      <c r="AH51" s="43">
        <f t="shared" si="31"/>
        <v>90.070780800000051</v>
      </c>
      <c r="AI51" s="43">
        <f t="shared" si="31"/>
        <v>91.85453378074773</v>
      </c>
      <c r="AJ51" s="43">
        <f t="shared" si="31"/>
        <v>93.673612032000065</v>
      </c>
      <c r="AK51" s="43">
        <f t="shared" si="31"/>
        <v>95.528715131977648</v>
      </c>
      <c r="AL51" s="43">
        <f t="shared" si="31"/>
        <v>97.420556513280076</v>
      </c>
      <c r="AM51" s="43">
        <f t="shared" ref="AM51:AM73" si="32">AL51*(1+AM$45)^(1/2)</f>
        <v>99.349863737256769</v>
      </c>
      <c r="AN51" s="43">
        <f t="shared" ref="AN51:AN73" si="33">AM51*(1+AN$45)^(1/2)</f>
        <v>101.3173787738113</v>
      </c>
      <c r="AO51" s="43">
        <f t="shared" ref="AO51:AO73" si="34">AN51*(1+AO$45)^(1/2)</f>
        <v>103.32385828674705</v>
      </c>
      <c r="AP51" s="43">
        <f t="shared" ref="AP51:AP73" si="35">AO51*(1+AP$45)^(1/2)</f>
        <v>105.37007392476376</v>
      </c>
    </row>
    <row r="52" spans="2:57" s="10" customFormat="1" outlineLevel="1" x14ac:dyDescent="0.25">
      <c r="C52" t="str">
        <f t="shared" si="30"/>
        <v>89 Quarry Road, Erskine Park</v>
      </c>
      <c r="D52" t="s">
        <v>32</v>
      </c>
      <c r="E52" s="55"/>
      <c r="F52" s="55"/>
      <c r="G52" s="55"/>
      <c r="H52" s="55"/>
      <c r="I52" s="55"/>
      <c r="J52" s="55"/>
      <c r="K52" s="55"/>
      <c r="L52" s="55"/>
      <c r="M52" s="55"/>
      <c r="N52" s="55"/>
      <c r="O52" s="55"/>
      <c r="P52" s="55"/>
      <c r="Q52" s="55"/>
      <c r="R52" s="55"/>
      <c r="S52" s="55"/>
      <c r="T52" s="55"/>
      <c r="U52" s="86"/>
      <c r="V52" s="86"/>
      <c r="W52" s="86"/>
      <c r="X52" s="86"/>
      <c r="Y52" s="86"/>
      <c r="Z52" s="86">
        <v>41.9</v>
      </c>
      <c r="AA52" s="43">
        <f t="shared" ref="AA52:AL73" si="36">Z52*(1+AA$45)^(1/2)</f>
        <v>42.523855657736398</v>
      </c>
      <c r="AB52" s="43">
        <f t="shared" si="36"/>
        <v>43.156999999999996</v>
      </c>
      <c r="AC52" s="43">
        <f t="shared" si="36"/>
        <v>44.222765420651839</v>
      </c>
      <c r="AD52" s="43">
        <f t="shared" si="36"/>
        <v>45.314850000000007</v>
      </c>
      <c r="AE52" s="43">
        <f t="shared" si="36"/>
        <v>46.212260881106012</v>
      </c>
      <c r="AF52" s="43">
        <f t="shared" si="36"/>
        <v>47.127444000000011</v>
      </c>
      <c r="AG52" s="43">
        <f t="shared" si="36"/>
        <v>48.060751316350256</v>
      </c>
      <c r="AH52" s="43">
        <f t="shared" si="36"/>
        <v>49.012541760000019</v>
      </c>
      <c r="AI52" s="43">
        <f t="shared" si="36"/>
        <v>49.983181369004271</v>
      </c>
      <c r="AJ52" s="43">
        <f t="shared" si="36"/>
        <v>50.973043430400025</v>
      </c>
      <c r="AK52" s="43">
        <f t="shared" si="36"/>
        <v>51.982508623764453</v>
      </c>
      <c r="AL52" s="43">
        <f t="shared" si="36"/>
        <v>53.011965167616033</v>
      </c>
      <c r="AM52" s="43">
        <f t="shared" si="32"/>
        <v>54.061808968715034</v>
      </c>
      <c r="AN52" s="43">
        <f t="shared" si="33"/>
        <v>55.132443774320684</v>
      </c>
      <c r="AO52" s="43">
        <f t="shared" si="34"/>
        <v>56.224281327463643</v>
      </c>
      <c r="AP52" s="43">
        <f t="shared" si="35"/>
        <v>57.337741525293517</v>
      </c>
    </row>
    <row r="53" spans="2:57" outlineLevel="1" x14ac:dyDescent="0.25">
      <c r="C53" t="str">
        <f t="shared" si="30"/>
        <v>96-112 Gow Street, Padstow</v>
      </c>
      <c r="D53" t="s">
        <v>32</v>
      </c>
      <c r="E53" s="58"/>
      <c r="F53" s="58"/>
      <c r="G53" s="58"/>
      <c r="H53" s="58"/>
      <c r="I53" s="58"/>
      <c r="J53" s="58"/>
      <c r="K53" s="58"/>
      <c r="L53" s="58"/>
      <c r="M53" s="58"/>
      <c r="N53" s="58"/>
      <c r="O53" s="58"/>
      <c r="P53" s="58"/>
      <c r="Q53" s="58"/>
      <c r="R53" s="58"/>
      <c r="S53" s="58"/>
      <c r="T53" s="58"/>
      <c r="U53" s="86"/>
      <c r="V53" s="86"/>
      <c r="W53" s="86"/>
      <c r="X53" s="86"/>
      <c r="Y53" s="86"/>
      <c r="Z53" s="86">
        <v>130.1</v>
      </c>
      <c r="AA53" s="43">
        <f>Z53*(1+AA$45)^(1/2)+AA89</f>
        <v>182.03707926184978</v>
      </c>
      <c r="AB53" s="43">
        <f t="shared" si="36"/>
        <v>184.74745782546111</v>
      </c>
      <c r="AC53" s="43">
        <f t="shared" si="36"/>
        <v>189.30981044736976</v>
      </c>
      <c r="AD53" s="43">
        <f t="shared" si="36"/>
        <v>193.98483071673419</v>
      </c>
      <c r="AE53" s="43">
        <f t="shared" si="36"/>
        <v>197.82648743312416</v>
      </c>
      <c r="AF53" s="43">
        <f t="shared" si="36"/>
        <v>201.7442239454036</v>
      </c>
      <c r="AG53" s="43">
        <f t="shared" si="36"/>
        <v>205.73954693044917</v>
      </c>
      <c r="AH53" s="43">
        <f t="shared" si="36"/>
        <v>209.81399290321977</v>
      </c>
      <c r="AI53" s="43">
        <f t="shared" si="36"/>
        <v>213.96912880766715</v>
      </c>
      <c r="AJ53" s="43">
        <f t="shared" si="36"/>
        <v>218.2065526193486</v>
      </c>
      <c r="AK53" s="43">
        <f t="shared" si="36"/>
        <v>222.52789395997388</v>
      </c>
      <c r="AL53" s="43">
        <f t="shared" si="36"/>
        <v>226.93481472412259</v>
      </c>
      <c r="AM53" s="43">
        <f t="shared" si="32"/>
        <v>231.42900971837287</v>
      </c>
      <c r="AN53" s="43">
        <f t="shared" si="33"/>
        <v>236.01220731308752</v>
      </c>
      <c r="AO53" s="43">
        <f t="shared" si="34"/>
        <v>240.68617010710781</v>
      </c>
      <c r="AP53" s="43">
        <f t="shared" si="35"/>
        <v>245.45269560561104</v>
      </c>
    </row>
    <row r="54" spans="2:57" outlineLevel="1" x14ac:dyDescent="0.25">
      <c r="C54" t="str">
        <f t="shared" si="30"/>
        <v>Coopers Paddock, Warwick Farm</v>
      </c>
      <c r="D54" t="s">
        <v>32</v>
      </c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86"/>
      <c r="V54" s="86"/>
      <c r="W54" s="86"/>
      <c r="X54" s="86"/>
      <c r="Y54" s="86"/>
      <c r="Z54" s="86">
        <v>171.5</v>
      </c>
      <c r="AA54" s="43">
        <f t="shared" si="36"/>
        <v>174.05349034133155</v>
      </c>
      <c r="AB54" s="43">
        <f t="shared" si="36"/>
        <v>176.64499999999998</v>
      </c>
      <c r="AC54" s="43">
        <f t="shared" si="36"/>
        <v>181.00726180529333</v>
      </c>
      <c r="AD54" s="43">
        <f t="shared" si="36"/>
        <v>185.47725000000003</v>
      </c>
      <c r="AE54" s="43">
        <f t="shared" si="36"/>
        <v>189.15042341550551</v>
      </c>
      <c r="AF54" s="43">
        <f t="shared" si="36"/>
        <v>192.89634000000007</v>
      </c>
      <c r="AG54" s="43">
        <f t="shared" si="36"/>
        <v>196.71644035212577</v>
      </c>
      <c r="AH54" s="43">
        <f t="shared" si="36"/>
        <v>200.6121936000001</v>
      </c>
      <c r="AI54" s="43">
        <f t="shared" si="36"/>
        <v>204.58509796621084</v>
      </c>
      <c r="AJ54" s="43">
        <f t="shared" si="36"/>
        <v>208.63668134400015</v>
      </c>
      <c r="AK54" s="43">
        <f t="shared" si="36"/>
        <v>212.76850188485932</v>
      </c>
      <c r="AL54" s="43">
        <f t="shared" si="36"/>
        <v>216.98214859776019</v>
      </c>
      <c r="AM54" s="43">
        <f t="shared" si="32"/>
        <v>221.27924196025373</v>
      </c>
      <c r="AN54" s="43">
        <f t="shared" si="33"/>
        <v>225.66143454167064</v>
      </c>
      <c r="AO54" s="43">
        <f t="shared" si="34"/>
        <v>230.1304116386639</v>
      </c>
      <c r="AP54" s="43">
        <f t="shared" si="35"/>
        <v>234.68789192333747</v>
      </c>
    </row>
    <row r="55" spans="2:57" outlineLevel="1" x14ac:dyDescent="0.25">
      <c r="C55" t="str">
        <f t="shared" si="30"/>
        <v>Forrester Distribution Centre, St Marys</v>
      </c>
      <c r="D55" t="s">
        <v>32</v>
      </c>
      <c r="E55" s="58"/>
      <c r="F55" s="58"/>
      <c r="G55" s="58"/>
      <c r="H55" s="58"/>
      <c r="I55" s="58"/>
      <c r="J55" s="58"/>
      <c r="K55" s="58"/>
      <c r="L55" s="58"/>
      <c r="M55" s="58"/>
      <c r="N55" s="58"/>
      <c r="O55" s="58"/>
      <c r="P55" s="58"/>
      <c r="Q55" s="58"/>
      <c r="R55" s="58"/>
      <c r="S55" s="58"/>
      <c r="T55" s="58"/>
      <c r="U55" s="86"/>
      <c r="V55" s="86"/>
      <c r="W55" s="86"/>
      <c r="X55" s="86"/>
      <c r="Y55" s="86"/>
      <c r="Z55" s="86">
        <v>127.8</v>
      </c>
      <c r="AA55" s="43">
        <f t="shared" si="36"/>
        <v>129.70283420187857</v>
      </c>
      <c r="AB55" s="43">
        <f t="shared" si="36"/>
        <v>131.63400000000001</v>
      </c>
      <c r="AC55" s="43">
        <f t="shared" si="36"/>
        <v>134.88471171263259</v>
      </c>
      <c r="AD55" s="43">
        <f t="shared" si="36"/>
        <v>138.21570000000003</v>
      </c>
      <c r="AE55" s="43">
        <f t="shared" si="36"/>
        <v>140.95291027697729</v>
      </c>
      <c r="AF55" s="43">
        <f t="shared" si="36"/>
        <v>143.74432800000005</v>
      </c>
      <c r="AG55" s="43">
        <f t="shared" si="36"/>
        <v>146.59102668805642</v>
      </c>
      <c r="AH55" s="43">
        <f t="shared" si="36"/>
        <v>149.4941011200001</v>
      </c>
      <c r="AI55" s="43">
        <f t="shared" si="36"/>
        <v>152.4546677555787</v>
      </c>
      <c r="AJ55" s="43">
        <f t="shared" si="36"/>
        <v>155.47386516480012</v>
      </c>
      <c r="AK55" s="43">
        <f t="shared" si="36"/>
        <v>158.55285446580186</v>
      </c>
      <c r="AL55" s="43">
        <f t="shared" si="36"/>
        <v>161.69281977139212</v>
      </c>
      <c r="AM55" s="43">
        <f t="shared" si="32"/>
        <v>164.89496864443396</v>
      </c>
      <c r="AN55" s="43">
        <f t="shared" si="33"/>
        <v>168.16053256224785</v>
      </c>
      <c r="AO55" s="43">
        <f t="shared" si="34"/>
        <v>171.49076739021135</v>
      </c>
      <c r="AP55" s="43">
        <f t="shared" si="35"/>
        <v>174.88695386473779</v>
      </c>
    </row>
    <row r="56" spans="2:57" outlineLevel="1" x14ac:dyDescent="0.25">
      <c r="C56" t="str">
        <f t="shared" si="30"/>
        <v>Granville Industrial Estate</v>
      </c>
      <c r="D56" t="s">
        <v>32</v>
      </c>
      <c r="E56" s="58"/>
      <c r="F56" s="58"/>
      <c r="G56" s="58"/>
      <c r="H56" s="58"/>
      <c r="I56" s="58"/>
      <c r="J56" s="58"/>
      <c r="K56" s="58"/>
      <c r="L56" s="58"/>
      <c r="M56" s="58"/>
      <c r="N56" s="58"/>
      <c r="O56" s="58"/>
      <c r="P56" s="58"/>
      <c r="Q56" s="58"/>
      <c r="R56" s="58"/>
      <c r="S56" s="58"/>
      <c r="T56" s="58"/>
      <c r="U56" s="86"/>
      <c r="V56" s="86"/>
      <c r="W56" s="86"/>
      <c r="X56" s="86"/>
      <c r="Y56" s="86"/>
      <c r="Z56" s="86">
        <v>127.5</v>
      </c>
      <c r="AA56" s="43">
        <f t="shared" si="36"/>
        <v>129.39836745492579</v>
      </c>
      <c r="AB56" s="43">
        <f t="shared" si="36"/>
        <v>131.32499999999999</v>
      </c>
      <c r="AC56" s="43">
        <f t="shared" si="36"/>
        <v>134.56808093396444</v>
      </c>
      <c r="AD56" s="43">
        <f t="shared" si="36"/>
        <v>137.89125000000001</v>
      </c>
      <c r="AE56" s="43">
        <f t="shared" si="36"/>
        <v>140.62203490074023</v>
      </c>
      <c r="AF56" s="43">
        <f t="shared" si="36"/>
        <v>143.40690000000004</v>
      </c>
      <c r="AG56" s="43">
        <f t="shared" si="36"/>
        <v>146.24691629676988</v>
      </c>
      <c r="AH56" s="43">
        <f t="shared" si="36"/>
        <v>149.14317600000007</v>
      </c>
      <c r="AI56" s="43">
        <f t="shared" si="36"/>
        <v>152.09679294864071</v>
      </c>
      <c r="AJ56" s="43">
        <f t="shared" si="36"/>
        <v>155.10890304000011</v>
      </c>
      <c r="AK56" s="43">
        <f t="shared" si="36"/>
        <v>158.18066466658638</v>
      </c>
      <c r="AL56" s="43">
        <f t="shared" si="36"/>
        <v>161.31325916160014</v>
      </c>
      <c r="AM56" s="43">
        <f t="shared" si="32"/>
        <v>164.50789125324985</v>
      </c>
      <c r="AN56" s="43">
        <f t="shared" si="33"/>
        <v>167.76578952806418</v>
      </c>
      <c r="AO56" s="43">
        <f t="shared" si="34"/>
        <v>171.08820690337987</v>
      </c>
      <c r="AP56" s="43">
        <f t="shared" si="35"/>
        <v>174.47642110918676</v>
      </c>
    </row>
    <row r="57" spans="2:57" outlineLevel="1" x14ac:dyDescent="0.25">
      <c r="C57" t="str">
        <f t="shared" si="30"/>
        <v>Ingleburn Logistics Park</v>
      </c>
      <c r="D57" t="s">
        <v>32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86"/>
      <c r="V57" s="86"/>
      <c r="W57" s="86"/>
      <c r="X57" s="86"/>
      <c r="Y57" s="86"/>
      <c r="Z57" s="86">
        <v>222.8</v>
      </c>
      <c r="AA57" s="43">
        <f t="shared" si="36"/>
        <v>226.11730407025468</v>
      </c>
      <c r="AB57" s="43">
        <f t="shared" si="36"/>
        <v>229.48400000000004</v>
      </c>
      <c r="AC57" s="43">
        <f t="shared" si="36"/>
        <v>235.1511249575473</v>
      </c>
      <c r="AD57" s="43">
        <f t="shared" si="36"/>
        <v>240.95820000000006</v>
      </c>
      <c r="AE57" s="43">
        <f t="shared" si="36"/>
        <v>245.73011275203868</v>
      </c>
      <c r="AF57" s="43">
        <f t="shared" si="36"/>
        <v>250.59652800000009</v>
      </c>
      <c r="AG57" s="43">
        <f t="shared" si="36"/>
        <v>255.55931726212026</v>
      </c>
      <c r="AH57" s="43">
        <f t="shared" si="36"/>
        <v>260.62038912000014</v>
      </c>
      <c r="AI57" s="43">
        <f t="shared" si="36"/>
        <v>265.78168995260512</v>
      </c>
      <c r="AJ57" s="43">
        <f t="shared" si="36"/>
        <v>271.04520468480018</v>
      </c>
      <c r="AK57" s="43">
        <f t="shared" si="36"/>
        <v>276.41295755070934</v>
      </c>
      <c r="AL57" s="43">
        <f t="shared" si="36"/>
        <v>281.8870128721922</v>
      </c>
      <c r="AM57" s="43">
        <f t="shared" si="32"/>
        <v>287.46947585273773</v>
      </c>
      <c r="AN57" s="43">
        <f t="shared" si="33"/>
        <v>293.16249338707991</v>
      </c>
      <c r="AO57" s="43">
        <f t="shared" si="34"/>
        <v>298.96825488684726</v>
      </c>
      <c r="AP57" s="43">
        <f t="shared" si="35"/>
        <v>304.88899312256314</v>
      </c>
    </row>
    <row r="58" spans="2:57" outlineLevel="1" x14ac:dyDescent="0.25">
      <c r="C58" t="str">
        <f t="shared" si="30"/>
        <v>Leppington Business Park</v>
      </c>
      <c r="D58" t="s">
        <v>32</v>
      </c>
      <c r="E58" s="58"/>
      <c r="F58" s="58"/>
      <c r="G58" s="58"/>
      <c r="H58" s="58"/>
      <c r="I58" s="58"/>
      <c r="J58" s="58"/>
      <c r="K58" s="58"/>
      <c r="L58" s="58"/>
      <c r="M58" s="58"/>
      <c r="N58" s="58"/>
      <c r="O58" s="58"/>
      <c r="P58" s="58"/>
      <c r="Q58" s="58"/>
      <c r="R58" s="58"/>
      <c r="S58" s="58"/>
      <c r="T58" s="58"/>
      <c r="U58" s="86"/>
      <c r="V58" s="86"/>
      <c r="W58" s="86"/>
      <c r="X58" s="86"/>
      <c r="Y58" s="86"/>
      <c r="Z58" s="86">
        <v>72</v>
      </c>
      <c r="AA58" s="43">
        <f t="shared" si="36"/>
        <v>73.072019268663979</v>
      </c>
      <c r="AB58" s="43">
        <f t="shared" si="36"/>
        <v>74.16</v>
      </c>
      <c r="AC58" s="43">
        <f t="shared" si="36"/>
        <v>75.991386880356387</v>
      </c>
      <c r="AD58" s="43">
        <f t="shared" si="36"/>
        <v>77.868000000000009</v>
      </c>
      <c r="AE58" s="43">
        <f t="shared" si="36"/>
        <v>79.410090296888612</v>
      </c>
      <c r="AF58" s="43">
        <f t="shared" si="36"/>
        <v>80.982720000000029</v>
      </c>
      <c r="AG58" s="43">
        <f t="shared" si="36"/>
        <v>82.586493908764169</v>
      </c>
      <c r="AH58" s="43">
        <f t="shared" si="36"/>
        <v>84.222028800000032</v>
      </c>
      <c r="AI58" s="43">
        <f t="shared" si="36"/>
        <v>85.889953665114746</v>
      </c>
      <c r="AJ58" s="43">
        <f t="shared" si="36"/>
        <v>87.590909952000047</v>
      </c>
      <c r="AK58" s="43">
        <f t="shared" si="36"/>
        <v>89.32555181171935</v>
      </c>
      <c r="AL58" s="43">
        <f t="shared" si="36"/>
        <v>91.094546350080066</v>
      </c>
      <c r="AM58" s="43">
        <f t="shared" si="32"/>
        <v>92.898573884188139</v>
      </c>
      <c r="AN58" s="43">
        <f t="shared" si="33"/>
        <v>94.738328204083288</v>
      </c>
      <c r="AO58" s="43">
        <f t="shared" si="34"/>
        <v>96.614516839555677</v>
      </c>
      <c r="AP58" s="43">
        <f t="shared" si="35"/>
        <v>98.52786133224663</v>
      </c>
    </row>
    <row r="59" spans="2:57" outlineLevel="1" x14ac:dyDescent="0.25">
      <c r="C59" t="str">
        <f t="shared" si="30"/>
        <v>Smeg Distribution Centre, Botany</v>
      </c>
      <c r="D59" t="s">
        <v>32</v>
      </c>
      <c r="E59" s="58"/>
      <c r="F59" s="58"/>
      <c r="G59" s="58"/>
      <c r="H59" s="58"/>
      <c r="I59" s="58"/>
      <c r="J59" s="58"/>
      <c r="K59" s="58"/>
      <c r="L59" s="58"/>
      <c r="M59" s="58"/>
      <c r="N59" s="58"/>
      <c r="O59" s="58"/>
      <c r="P59" s="58"/>
      <c r="Q59" s="58"/>
      <c r="R59" s="58"/>
      <c r="S59" s="58"/>
      <c r="T59" s="58"/>
      <c r="U59" s="86"/>
      <c r="V59" s="86"/>
      <c r="W59" s="86"/>
      <c r="X59" s="86"/>
      <c r="Y59" s="86"/>
      <c r="Z59" s="86">
        <v>47</v>
      </c>
      <c r="AA59" s="43">
        <f t="shared" si="36"/>
        <v>47.69979035593343</v>
      </c>
      <c r="AB59" s="43">
        <f t="shared" si="36"/>
        <v>48.41</v>
      </c>
      <c r="AC59" s="43">
        <f t="shared" si="36"/>
        <v>49.605488658010415</v>
      </c>
      <c r="AD59" s="43">
        <f t="shared" si="36"/>
        <v>50.830500000000001</v>
      </c>
      <c r="AE59" s="43">
        <f t="shared" si="36"/>
        <v>51.837142277135612</v>
      </c>
      <c r="AF59" s="43">
        <f t="shared" si="36"/>
        <v>52.863720000000008</v>
      </c>
      <c r="AG59" s="43">
        <f t="shared" si="36"/>
        <v>53.910627968221043</v>
      </c>
      <c r="AH59" s="43">
        <f t="shared" si="36"/>
        <v>54.978268800000009</v>
      </c>
      <c r="AI59" s="43">
        <f t="shared" si="36"/>
        <v>56.06705308694989</v>
      </c>
      <c r="AJ59" s="43">
        <f t="shared" si="36"/>
        <v>57.177399552000018</v>
      </c>
      <c r="AK59" s="43">
        <f t="shared" si="36"/>
        <v>58.309735210427895</v>
      </c>
      <c r="AL59" s="43">
        <f t="shared" si="36"/>
        <v>59.464495534080029</v>
      </c>
      <c r="AM59" s="43">
        <f t="shared" si="32"/>
        <v>60.642124618845017</v>
      </c>
      <c r="AN59" s="43">
        <f t="shared" si="33"/>
        <v>61.843075355443233</v>
      </c>
      <c r="AO59" s="43">
        <f t="shared" si="34"/>
        <v>63.067809603598825</v>
      </c>
      <c r="AP59" s="43">
        <f t="shared" si="35"/>
        <v>64.316798369660972</v>
      </c>
    </row>
    <row r="60" spans="2:57" outlineLevel="1" x14ac:dyDescent="0.25">
      <c r="C60" t="str">
        <f t="shared" si="30"/>
        <v>Wetherill Park Distribution Centre</v>
      </c>
      <c r="D60" t="s">
        <v>32</v>
      </c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86"/>
      <c r="V60" s="86"/>
      <c r="W60" s="86"/>
      <c r="X60" s="86"/>
      <c r="Y60" s="86"/>
      <c r="Z60" s="86">
        <v>52.7</v>
      </c>
      <c r="AA60" s="43">
        <f t="shared" si="36"/>
        <v>53.484658548036002</v>
      </c>
      <c r="AB60" s="43">
        <f t="shared" si="36"/>
        <v>54.281000000000006</v>
      </c>
      <c r="AC60" s="43">
        <f t="shared" si="36"/>
        <v>55.62147345270531</v>
      </c>
      <c r="AD60" s="43">
        <f t="shared" si="36"/>
        <v>56.99505000000002</v>
      </c>
      <c r="AE60" s="43">
        <f t="shared" si="36"/>
        <v>58.123774425639311</v>
      </c>
      <c r="AF60" s="43">
        <f t="shared" si="36"/>
        <v>59.274852000000024</v>
      </c>
      <c r="AG60" s="43">
        <f t="shared" si="36"/>
        <v>60.448725402664891</v>
      </c>
      <c r="AH60" s="43">
        <f t="shared" si="36"/>
        <v>61.645846080000034</v>
      </c>
      <c r="AI60" s="43">
        <f t="shared" si="36"/>
        <v>62.866674418771495</v>
      </c>
      <c r="AJ60" s="43">
        <f t="shared" si="36"/>
        <v>64.111679923200043</v>
      </c>
      <c r="AK60" s="43">
        <f t="shared" si="36"/>
        <v>65.381341395522369</v>
      </c>
      <c r="AL60" s="43">
        <f t="shared" si="36"/>
        <v>66.676147120128064</v>
      </c>
      <c r="AM60" s="43">
        <f t="shared" si="32"/>
        <v>67.996595051343277</v>
      </c>
      <c r="AN60" s="43">
        <f t="shared" si="33"/>
        <v>69.343193004933198</v>
      </c>
      <c r="AO60" s="43">
        <f t="shared" si="34"/>
        <v>70.716458853397015</v>
      </c>
      <c r="AP60" s="43">
        <f t="shared" si="35"/>
        <v>72.116920725130527</v>
      </c>
    </row>
    <row r="61" spans="2:57" outlineLevel="1" x14ac:dyDescent="0.25">
      <c r="C61" t="str">
        <f t="shared" si="30"/>
        <v>Yennora Distribution Centre</v>
      </c>
      <c r="D61" t="s">
        <v>32</v>
      </c>
      <c r="E61" s="58"/>
      <c r="F61" s="58"/>
      <c r="G61" s="58"/>
      <c r="H61" s="58"/>
      <c r="I61" s="58"/>
      <c r="J61" s="58"/>
      <c r="K61" s="58"/>
      <c r="L61" s="58"/>
      <c r="M61" s="58"/>
      <c r="N61" s="58"/>
      <c r="O61" s="58"/>
      <c r="P61" s="58"/>
      <c r="Q61" s="58"/>
      <c r="R61" s="58"/>
      <c r="S61" s="58"/>
      <c r="T61" s="58"/>
      <c r="U61" s="86"/>
      <c r="V61" s="86"/>
      <c r="W61" s="86"/>
      <c r="X61" s="86"/>
      <c r="Y61" s="86"/>
      <c r="Z61" s="86">
        <v>747</v>
      </c>
      <c r="AA61" s="43">
        <f t="shared" si="36"/>
        <v>758.12219991238885</v>
      </c>
      <c r="AB61" s="43">
        <f t="shared" si="36"/>
        <v>769.41000000000008</v>
      </c>
      <c r="AC61" s="43">
        <f t="shared" si="36"/>
        <v>788.41063888369763</v>
      </c>
      <c r="AD61" s="43">
        <f t="shared" si="36"/>
        <v>807.88050000000021</v>
      </c>
      <c r="AE61" s="43">
        <f t="shared" si="36"/>
        <v>823.87968683021938</v>
      </c>
      <c r="AF61" s="43">
        <f t="shared" si="36"/>
        <v>840.19572000000028</v>
      </c>
      <c r="AG61" s="43">
        <f t="shared" si="36"/>
        <v>856.83487430342825</v>
      </c>
      <c r="AH61" s="43">
        <f t="shared" si="36"/>
        <v>873.80354880000039</v>
      </c>
      <c r="AI61" s="43">
        <f t="shared" si="36"/>
        <v>891.10826927556548</v>
      </c>
      <c r="AJ61" s="43">
        <f t="shared" si="36"/>
        <v>908.75569075200053</v>
      </c>
      <c r="AK61" s="43">
        <f t="shared" si="36"/>
        <v>926.75260004658821</v>
      </c>
      <c r="AL61" s="43">
        <f t="shared" si="36"/>
        <v>945.10591838208063</v>
      </c>
      <c r="AM61" s="43">
        <f t="shared" si="32"/>
        <v>963.8227040484519</v>
      </c>
      <c r="AN61" s="43">
        <f t="shared" si="33"/>
        <v>982.91015511736407</v>
      </c>
      <c r="AO61" s="43">
        <f t="shared" si="34"/>
        <v>1002.3756122103902</v>
      </c>
      <c r="AP61" s="43">
        <f t="shared" si="35"/>
        <v>1022.2265613220587</v>
      </c>
    </row>
    <row r="62" spans="2:57" outlineLevel="1" x14ac:dyDescent="0.25">
      <c r="C62" t="str">
        <f t="shared" si="30"/>
        <v>787 Boundary Road, Richlands</v>
      </c>
      <c r="D62" t="s">
        <v>32</v>
      </c>
      <c r="E62" s="58"/>
      <c r="F62" s="58"/>
      <c r="G62" s="58"/>
      <c r="H62" s="58"/>
      <c r="I62" s="58"/>
      <c r="J62" s="58"/>
      <c r="K62" s="58"/>
      <c r="L62" s="58"/>
      <c r="M62" s="58"/>
      <c r="N62" s="58"/>
      <c r="O62" s="58"/>
      <c r="P62" s="58"/>
      <c r="Q62" s="58"/>
      <c r="R62" s="58"/>
      <c r="S62" s="58"/>
      <c r="T62" s="58"/>
      <c r="U62" s="86"/>
      <c r="V62" s="86"/>
      <c r="W62" s="86"/>
      <c r="X62" s="86"/>
      <c r="Y62" s="86"/>
      <c r="Z62" s="86">
        <v>17.3</v>
      </c>
      <c r="AA62" s="43">
        <f t="shared" si="36"/>
        <v>17.557582407609541</v>
      </c>
      <c r="AB62" s="43">
        <f t="shared" si="36"/>
        <v>17.819000000000003</v>
      </c>
      <c r="AC62" s="43">
        <f t="shared" si="36"/>
        <v>18.259041569863413</v>
      </c>
      <c r="AD62" s="43">
        <f t="shared" si="36"/>
        <v>18.709950000000006</v>
      </c>
      <c r="AE62" s="43">
        <f t="shared" si="36"/>
        <v>19.080480029669072</v>
      </c>
      <c r="AF62" s="43">
        <f t="shared" si="36"/>
        <v>19.458348000000008</v>
      </c>
      <c r="AG62" s="43">
        <f t="shared" si="36"/>
        <v>19.843699230855837</v>
      </c>
      <c r="AH62" s="43">
        <f t="shared" si="36"/>
        <v>20.236681920000009</v>
      </c>
      <c r="AI62" s="43">
        <f t="shared" si="36"/>
        <v>20.637447200090072</v>
      </c>
      <c r="AJ62" s="43">
        <f t="shared" si="36"/>
        <v>21.046149196800013</v>
      </c>
      <c r="AK62" s="43">
        <f t="shared" si="36"/>
        <v>21.462945088093676</v>
      </c>
      <c r="AL62" s="43">
        <f t="shared" si="36"/>
        <v>21.887995164672013</v>
      </c>
      <c r="AM62" s="43">
        <f t="shared" si="32"/>
        <v>22.321462891617426</v>
      </c>
      <c r="AN62" s="43">
        <f t="shared" si="33"/>
        <v>22.763514971258896</v>
      </c>
      <c r="AO62" s="43">
        <f t="shared" si="34"/>
        <v>23.214321407282124</v>
      </c>
      <c r="AP62" s="43">
        <f t="shared" si="35"/>
        <v>23.674055570109257</v>
      </c>
    </row>
    <row r="63" spans="2:57" outlineLevel="1" x14ac:dyDescent="0.25">
      <c r="C63" t="str">
        <f t="shared" si="30"/>
        <v>Carole Park Distribution Centre</v>
      </c>
      <c r="D63" t="s">
        <v>32</v>
      </c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86"/>
      <c r="V63" s="86"/>
      <c r="W63" s="86"/>
      <c r="X63" s="86"/>
      <c r="Y63" s="86"/>
      <c r="Z63" s="86">
        <v>54.3</v>
      </c>
      <c r="AA63" s="43">
        <f t="shared" si="36"/>
        <v>55.108481198450747</v>
      </c>
      <c r="AB63" s="43">
        <f t="shared" si="36"/>
        <v>55.928999999999995</v>
      </c>
      <c r="AC63" s="43">
        <f t="shared" si="36"/>
        <v>57.310170938935435</v>
      </c>
      <c r="AD63" s="43">
        <f t="shared" si="36"/>
        <v>58.725450000000002</v>
      </c>
      <c r="AE63" s="43">
        <f t="shared" si="36"/>
        <v>59.888443098903487</v>
      </c>
      <c r="AF63" s="43">
        <f t="shared" si="36"/>
        <v>61.07446800000001</v>
      </c>
      <c r="AG63" s="43">
        <f t="shared" si="36"/>
        <v>62.283980822859633</v>
      </c>
      <c r="AH63" s="43">
        <f t="shared" si="36"/>
        <v>63.517446720000017</v>
      </c>
      <c r="AI63" s="43">
        <f t="shared" si="36"/>
        <v>64.775340055774024</v>
      </c>
      <c r="AJ63" s="43">
        <f t="shared" si="36"/>
        <v>66.058144588800019</v>
      </c>
      <c r="AK63" s="43">
        <f t="shared" si="36"/>
        <v>67.366353658004982</v>
      </c>
      <c r="AL63" s="43">
        <f t="shared" si="36"/>
        <v>68.700470372352015</v>
      </c>
      <c r="AM63" s="43">
        <f t="shared" si="32"/>
        <v>70.061007804325186</v>
      </c>
      <c r="AN63" s="43">
        <f t="shared" si="33"/>
        <v>71.448489187246111</v>
      </c>
      <c r="AO63" s="43">
        <f t="shared" si="34"/>
        <v>72.863448116498205</v>
      </c>
      <c r="AP63" s="43">
        <f t="shared" si="35"/>
        <v>74.306428754735961</v>
      </c>
    </row>
    <row r="64" spans="2:57" outlineLevel="1" x14ac:dyDescent="0.25">
      <c r="C64" t="str">
        <f t="shared" si="30"/>
        <v>Hendra Industrial Estate</v>
      </c>
      <c r="D64" t="s">
        <v>32</v>
      </c>
      <c r="E64" s="58"/>
      <c r="F64" s="58"/>
      <c r="G64" s="58"/>
      <c r="H64" s="58"/>
      <c r="I64" s="58"/>
      <c r="J64" s="58"/>
      <c r="K64" s="58"/>
      <c r="L64" s="58"/>
      <c r="M64" s="58"/>
      <c r="N64" s="58"/>
      <c r="O64" s="58"/>
      <c r="P64" s="58"/>
      <c r="Q64" s="58"/>
      <c r="R64" s="58"/>
      <c r="S64" s="58"/>
      <c r="T64" s="58"/>
      <c r="U64" s="86"/>
      <c r="V64" s="86"/>
      <c r="W64" s="86"/>
      <c r="X64" s="86"/>
      <c r="Y64" s="86"/>
      <c r="Z64" s="86">
        <v>173</v>
      </c>
      <c r="AA64" s="43">
        <f t="shared" si="36"/>
        <v>175.57582407609539</v>
      </c>
      <c r="AB64" s="43">
        <f t="shared" si="36"/>
        <v>178.19</v>
      </c>
      <c r="AC64" s="43">
        <f t="shared" si="36"/>
        <v>182.5904156986341</v>
      </c>
      <c r="AD64" s="43">
        <f t="shared" si="36"/>
        <v>187.09950000000003</v>
      </c>
      <c r="AE64" s="43">
        <f t="shared" si="36"/>
        <v>190.8048002966907</v>
      </c>
      <c r="AF64" s="43">
        <f t="shared" si="36"/>
        <v>194.58348000000007</v>
      </c>
      <c r="AG64" s="43">
        <f t="shared" si="36"/>
        <v>198.43699230855836</v>
      </c>
      <c r="AH64" s="43">
        <f t="shared" si="36"/>
        <v>202.36681920000009</v>
      </c>
      <c r="AI64" s="43">
        <f t="shared" si="36"/>
        <v>206.37447200090071</v>
      </c>
      <c r="AJ64" s="43">
        <f t="shared" si="36"/>
        <v>210.46149196800013</v>
      </c>
      <c r="AK64" s="43">
        <f t="shared" si="36"/>
        <v>214.62945088093679</v>
      </c>
      <c r="AL64" s="43">
        <f t="shared" si="36"/>
        <v>218.87995164672017</v>
      </c>
      <c r="AM64" s="43">
        <f t="shared" si="32"/>
        <v>223.21462891617429</v>
      </c>
      <c r="AN64" s="43">
        <f t="shared" si="33"/>
        <v>227.63514971258903</v>
      </c>
      <c r="AO64" s="43">
        <f t="shared" si="34"/>
        <v>232.14321407282131</v>
      </c>
      <c r="AP64" s="43">
        <f t="shared" si="35"/>
        <v>236.74055570109263</v>
      </c>
    </row>
    <row r="65" spans="2:57" outlineLevel="1" x14ac:dyDescent="0.25">
      <c r="C65" t="str">
        <f t="shared" si="30"/>
        <v>Willawong Distribution Centre</v>
      </c>
      <c r="D65" t="s">
        <v>32</v>
      </c>
      <c r="E65" s="58"/>
      <c r="F65" s="58"/>
      <c r="G65" s="58"/>
      <c r="H65" s="58"/>
      <c r="I65" s="58"/>
      <c r="J65" s="58"/>
      <c r="K65" s="58"/>
      <c r="L65" s="58"/>
      <c r="M65" s="58"/>
      <c r="N65" s="58"/>
      <c r="O65" s="58"/>
      <c r="P65" s="58"/>
      <c r="Q65" s="58"/>
      <c r="R65" s="58"/>
      <c r="S65" s="58"/>
      <c r="T65" s="58"/>
      <c r="U65" s="86"/>
      <c r="V65" s="86"/>
      <c r="W65" s="86"/>
      <c r="X65" s="86"/>
      <c r="Y65" s="86"/>
      <c r="Z65" s="86">
        <v>95.1</v>
      </c>
      <c r="AA65" s="43">
        <f t="shared" si="36"/>
        <v>96.515958784027006</v>
      </c>
      <c r="AB65" s="43">
        <f t="shared" si="36"/>
        <v>97.953000000000003</v>
      </c>
      <c r="AC65" s="43">
        <f t="shared" si="36"/>
        <v>100.37195683780406</v>
      </c>
      <c r="AD65" s="43">
        <f t="shared" si="36"/>
        <v>102.85065000000002</v>
      </c>
      <c r="AE65" s="43">
        <f t="shared" si="36"/>
        <v>104.88749426714037</v>
      </c>
      <c r="AF65" s="43">
        <f t="shared" si="36"/>
        <v>106.96467600000003</v>
      </c>
      <c r="AG65" s="43">
        <f t="shared" si="36"/>
        <v>109.082994037826</v>
      </c>
      <c r="AH65" s="43">
        <f t="shared" si="36"/>
        <v>111.24326304000004</v>
      </c>
      <c r="AI65" s="43">
        <f t="shared" si="36"/>
        <v>113.44631379933905</v>
      </c>
      <c r="AJ65" s="43">
        <f t="shared" si="36"/>
        <v>115.69299356160006</v>
      </c>
      <c r="AK65" s="43">
        <f t="shared" si="36"/>
        <v>117.98416635131264</v>
      </c>
      <c r="AL65" s="43">
        <f t="shared" si="36"/>
        <v>120.32071330406409</v>
      </c>
      <c r="AM65" s="43">
        <f t="shared" si="32"/>
        <v>122.70353300536516</v>
      </c>
      <c r="AN65" s="43">
        <f t="shared" si="33"/>
        <v>125.13354183622667</v>
      </c>
      <c r="AO65" s="43">
        <f t="shared" si="34"/>
        <v>127.61167432557978</v>
      </c>
      <c r="AP65" s="43">
        <f t="shared" si="35"/>
        <v>130.13888350967574</v>
      </c>
    </row>
    <row r="66" spans="2:57" outlineLevel="1" x14ac:dyDescent="0.25">
      <c r="C66" t="str">
        <f t="shared" si="30"/>
        <v>Yatala Distribution Centre</v>
      </c>
      <c r="D66" t="s">
        <v>32</v>
      </c>
      <c r="E66" s="58"/>
      <c r="F66" s="58"/>
      <c r="G66" s="58"/>
      <c r="H66" s="58"/>
      <c r="I66" s="58"/>
      <c r="J66" s="58"/>
      <c r="K66" s="58"/>
      <c r="L66" s="58"/>
      <c r="M66" s="58"/>
      <c r="N66" s="58"/>
      <c r="O66" s="58"/>
      <c r="P66" s="58"/>
      <c r="Q66" s="58"/>
      <c r="R66" s="58"/>
      <c r="S66" s="58"/>
      <c r="T66" s="58"/>
      <c r="U66" s="86"/>
      <c r="V66" s="86"/>
      <c r="W66" s="86"/>
      <c r="X66" s="86"/>
      <c r="Y66" s="86"/>
      <c r="Z66" s="86">
        <v>66.3</v>
      </c>
      <c r="AA66" s="43">
        <f t="shared" si="36"/>
        <v>67.287151076561415</v>
      </c>
      <c r="AB66" s="43">
        <f t="shared" si="36"/>
        <v>68.289000000000001</v>
      </c>
      <c r="AC66" s="43">
        <f t="shared" si="36"/>
        <v>69.975402085661514</v>
      </c>
      <c r="AD66" s="43">
        <f t="shared" si="36"/>
        <v>71.703450000000018</v>
      </c>
      <c r="AE66" s="43">
        <f t="shared" si="36"/>
        <v>73.123458148384941</v>
      </c>
      <c r="AF66" s="43">
        <f t="shared" si="36"/>
        <v>74.571588000000034</v>
      </c>
      <c r="AG66" s="43">
        <f t="shared" si="36"/>
        <v>76.048396474320356</v>
      </c>
      <c r="AH66" s="43">
        <f t="shared" si="36"/>
        <v>77.554451520000057</v>
      </c>
      <c r="AI66" s="43">
        <f t="shared" si="36"/>
        <v>79.09033233329319</v>
      </c>
      <c r="AJ66" s="43">
        <f t="shared" si="36"/>
        <v>80.656629580800072</v>
      </c>
      <c r="AK66" s="43">
        <f t="shared" si="36"/>
        <v>82.253945626624926</v>
      </c>
      <c r="AL66" s="43">
        <f t="shared" si="36"/>
        <v>83.882894764032088</v>
      </c>
      <c r="AM66" s="43">
        <f t="shared" si="32"/>
        <v>85.544103451689935</v>
      </c>
      <c r="AN66" s="43">
        <f t="shared" si="33"/>
        <v>87.23821055459338</v>
      </c>
      <c r="AO66" s="43">
        <f t="shared" si="34"/>
        <v>88.965867589757536</v>
      </c>
      <c r="AP66" s="43">
        <f t="shared" si="35"/>
        <v>90.727738976777118</v>
      </c>
    </row>
    <row r="67" spans="2:57" outlineLevel="1" x14ac:dyDescent="0.25">
      <c r="C67" t="str">
        <f t="shared" si="30"/>
        <v>72-76 Cherry Lane, Laverton North</v>
      </c>
      <c r="D67" t="s">
        <v>32</v>
      </c>
      <c r="E67" s="58"/>
      <c r="F67" s="58"/>
      <c r="G67" s="58"/>
      <c r="H67" s="58"/>
      <c r="I67" s="58"/>
      <c r="J67" s="58"/>
      <c r="K67" s="58"/>
      <c r="L67" s="58"/>
      <c r="M67" s="58"/>
      <c r="N67" s="58"/>
      <c r="O67" s="58"/>
      <c r="P67" s="58"/>
      <c r="Q67" s="58"/>
      <c r="R67" s="58"/>
      <c r="S67" s="58"/>
      <c r="T67" s="58"/>
      <c r="U67" s="86"/>
      <c r="V67" s="86"/>
      <c r="W67" s="86"/>
      <c r="X67" s="86"/>
      <c r="Y67" s="86"/>
      <c r="Z67" s="86">
        <v>61</v>
      </c>
      <c r="AA67" s="43">
        <f t="shared" si="36"/>
        <v>61.908238547062538</v>
      </c>
      <c r="AB67" s="43">
        <f t="shared" si="36"/>
        <v>62.83</v>
      </c>
      <c r="AC67" s="43">
        <f t="shared" si="36"/>
        <v>64.381591662524158</v>
      </c>
      <c r="AD67" s="43">
        <f t="shared" si="36"/>
        <v>65.971500000000006</v>
      </c>
      <c r="AE67" s="43">
        <f t="shared" si="36"/>
        <v>67.277993168197298</v>
      </c>
      <c r="AF67" s="43">
        <f t="shared" si="36"/>
        <v>68.610360000000028</v>
      </c>
      <c r="AG67" s="43">
        <f t="shared" si="36"/>
        <v>69.969112894925203</v>
      </c>
      <c r="AH67" s="43">
        <f t="shared" si="36"/>
        <v>71.354774400000039</v>
      </c>
      <c r="AI67" s="43">
        <f t="shared" si="36"/>
        <v>72.767877410722221</v>
      </c>
      <c r="AJ67" s="43">
        <f t="shared" si="36"/>
        <v>74.208965376000052</v>
      </c>
      <c r="AK67" s="43">
        <f t="shared" si="36"/>
        <v>75.678592507151123</v>
      </c>
      <c r="AL67" s="43">
        <f t="shared" si="36"/>
        <v>77.177323991040069</v>
      </c>
      <c r="AM67" s="43">
        <f t="shared" si="32"/>
        <v>78.705736207437184</v>
      </c>
      <c r="AN67" s="43">
        <f t="shared" si="33"/>
        <v>80.264416950681678</v>
      </c>
      <c r="AO67" s="43">
        <f t="shared" si="34"/>
        <v>81.853965655734683</v>
      </c>
      <c r="AP67" s="43">
        <f t="shared" si="35"/>
        <v>83.474993628708958</v>
      </c>
    </row>
    <row r="68" spans="2:57" outlineLevel="1" x14ac:dyDescent="0.25">
      <c r="C68" t="str">
        <f t="shared" si="30"/>
        <v>Altona Distribution Centre</v>
      </c>
      <c r="D68" t="s">
        <v>32</v>
      </c>
      <c r="E68" s="58"/>
      <c r="F68" s="58"/>
      <c r="G68" s="58"/>
      <c r="H68" s="58"/>
      <c r="I68" s="58"/>
      <c r="J68" s="58"/>
      <c r="K68" s="58"/>
      <c r="L68" s="58"/>
      <c r="M68" s="58"/>
      <c r="N68" s="58"/>
      <c r="O68" s="58"/>
      <c r="P68" s="58"/>
      <c r="Q68" s="58"/>
      <c r="R68" s="58"/>
      <c r="S68" s="58"/>
      <c r="T68" s="58"/>
      <c r="U68" s="86"/>
      <c r="V68" s="86"/>
      <c r="W68" s="86"/>
      <c r="X68" s="86"/>
      <c r="Y68" s="86"/>
      <c r="Z68" s="86">
        <v>61.5</v>
      </c>
      <c r="AA68" s="43">
        <f t="shared" si="36"/>
        <v>62.415683125317152</v>
      </c>
      <c r="AB68" s="43">
        <f t="shared" si="36"/>
        <v>63.345000000000006</v>
      </c>
      <c r="AC68" s="43">
        <f t="shared" si="36"/>
        <v>64.909309626971094</v>
      </c>
      <c r="AD68" s="43">
        <f t="shared" si="36"/>
        <v>66.512250000000023</v>
      </c>
      <c r="AE68" s="43">
        <f t="shared" si="36"/>
        <v>67.829452128592365</v>
      </c>
      <c r="AF68" s="43">
        <f t="shared" si="36"/>
        <v>69.172740000000033</v>
      </c>
      <c r="AG68" s="43">
        <f t="shared" si="36"/>
        <v>70.542630213736075</v>
      </c>
      <c r="AH68" s="43">
        <f t="shared" si="36"/>
        <v>71.939649600000052</v>
      </c>
      <c r="AI68" s="43">
        <f t="shared" si="36"/>
        <v>73.364335422285535</v>
      </c>
      <c r="AJ68" s="43">
        <f t="shared" si="36"/>
        <v>74.817235584000059</v>
      </c>
      <c r="AK68" s="43">
        <f t="shared" si="36"/>
        <v>76.29890883917696</v>
      </c>
      <c r="AL68" s="43">
        <f t="shared" si="36"/>
        <v>77.809925007360079</v>
      </c>
      <c r="AM68" s="43">
        <f t="shared" si="32"/>
        <v>79.350865192744052</v>
      </c>
      <c r="AN68" s="43">
        <f t="shared" si="33"/>
        <v>80.922322007654486</v>
      </c>
      <c r="AO68" s="43">
        <f t="shared" si="34"/>
        <v>82.524899800453824</v>
      </c>
      <c r="AP68" s="43">
        <f t="shared" si="35"/>
        <v>84.159214887960673</v>
      </c>
    </row>
    <row r="69" spans="2:57" outlineLevel="1" x14ac:dyDescent="0.25">
      <c r="C69" t="str">
        <f t="shared" si="30"/>
        <v>Altona Industrial Estate</v>
      </c>
      <c r="D69" t="s">
        <v>32</v>
      </c>
      <c r="E69" s="58"/>
      <c r="F69" s="58"/>
      <c r="G69" s="58"/>
      <c r="H69" s="58"/>
      <c r="I69" s="58"/>
      <c r="J69" s="58"/>
      <c r="K69" s="58"/>
      <c r="L69" s="58"/>
      <c r="M69" s="58"/>
      <c r="N69" s="58"/>
      <c r="O69" s="58"/>
      <c r="P69" s="58"/>
      <c r="Q69" s="58"/>
      <c r="R69" s="58"/>
      <c r="S69" s="58"/>
      <c r="T69" s="58"/>
      <c r="U69" s="86"/>
      <c r="V69" s="86"/>
      <c r="W69" s="86"/>
      <c r="X69" s="86"/>
      <c r="Y69" s="86"/>
      <c r="Z69" s="86">
        <v>74</v>
      </c>
      <c r="AA69" s="43">
        <f t="shared" si="36"/>
        <v>75.101797581682419</v>
      </c>
      <c r="AB69" s="43">
        <f t="shared" si="36"/>
        <v>76.22</v>
      </c>
      <c r="AC69" s="43">
        <f t="shared" si="36"/>
        <v>78.102258738144059</v>
      </c>
      <c r="AD69" s="43">
        <f t="shared" si="36"/>
        <v>80.031000000000006</v>
      </c>
      <c r="AE69" s="43">
        <f t="shared" si="36"/>
        <v>81.615926138468851</v>
      </c>
      <c r="AF69" s="43">
        <f t="shared" si="36"/>
        <v>83.232240000000019</v>
      </c>
      <c r="AG69" s="43">
        <f t="shared" si="36"/>
        <v>84.880563184007613</v>
      </c>
      <c r="AH69" s="43">
        <f t="shared" si="36"/>
        <v>86.561529600000028</v>
      </c>
      <c r="AI69" s="43">
        <f t="shared" si="36"/>
        <v>88.275785711367931</v>
      </c>
      <c r="AJ69" s="43">
        <f t="shared" si="36"/>
        <v>90.023990784000048</v>
      </c>
      <c r="AK69" s="43">
        <f t="shared" si="36"/>
        <v>91.806817139822655</v>
      </c>
      <c r="AL69" s="43">
        <f t="shared" si="36"/>
        <v>93.624950415360061</v>
      </c>
      <c r="AM69" s="43">
        <f t="shared" si="32"/>
        <v>95.479089825415571</v>
      </c>
      <c r="AN69" s="43">
        <f t="shared" si="33"/>
        <v>97.369948431974464</v>
      </c>
      <c r="AO69" s="43">
        <f t="shared" si="34"/>
        <v>99.298253418432196</v>
      </c>
      <c r="AP69" s="43">
        <f t="shared" si="35"/>
        <v>101.26474636925344</v>
      </c>
    </row>
    <row r="70" spans="2:57" outlineLevel="1" x14ac:dyDescent="0.25">
      <c r="C70" t="str">
        <f t="shared" si="30"/>
        <v>Brooklyn Distribution Centre</v>
      </c>
      <c r="D70" t="s">
        <v>32</v>
      </c>
      <c r="E70" s="58"/>
      <c r="F70" s="58"/>
      <c r="G70" s="58"/>
      <c r="H70" s="58"/>
      <c r="I70" s="58"/>
      <c r="J70" s="58"/>
      <c r="K70" s="58"/>
      <c r="L70" s="58"/>
      <c r="M70" s="58"/>
      <c r="N70" s="58"/>
      <c r="O70" s="58"/>
      <c r="P70" s="58"/>
      <c r="Q70" s="58"/>
      <c r="R70" s="58"/>
      <c r="S70" s="58"/>
      <c r="T70" s="58"/>
      <c r="U70" s="86"/>
      <c r="V70" s="86"/>
      <c r="W70" s="86"/>
      <c r="X70" s="86"/>
      <c r="Y70" s="86"/>
      <c r="Z70" s="86">
        <v>219</v>
      </c>
      <c r="AA70" s="43">
        <f t="shared" si="36"/>
        <v>222.2607252755196</v>
      </c>
      <c r="AB70" s="43">
        <f t="shared" si="36"/>
        <v>225.57</v>
      </c>
      <c r="AC70" s="43">
        <f t="shared" si="36"/>
        <v>231.14046842775068</v>
      </c>
      <c r="AD70" s="43">
        <f t="shared" si="36"/>
        <v>236.84850000000003</v>
      </c>
      <c r="AE70" s="43">
        <f t="shared" si="36"/>
        <v>241.53902465303619</v>
      </c>
      <c r="AF70" s="43">
        <f t="shared" si="36"/>
        <v>246.32244000000006</v>
      </c>
      <c r="AG70" s="43">
        <f t="shared" si="36"/>
        <v>251.20058563915765</v>
      </c>
      <c r="AH70" s="43">
        <f t="shared" si="36"/>
        <v>256.17533760000009</v>
      </c>
      <c r="AI70" s="43">
        <f t="shared" si="36"/>
        <v>261.24860906472401</v>
      </c>
      <c r="AJ70" s="43">
        <f t="shared" si="36"/>
        <v>266.42235110400014</v>
      </c>
      <c r="AK70" s="43">
        <f t="shared" si="36"/>
        <v>271.69855342731302</v>
      </c>
      <c r="AL70" s="43">
        <f t="shared" si="36"/>
        <v>277.07924514816017</v>
      </c>
      <c r="AM70" s="43">
        <f t="shared" si="32"/>
        <v>282.56649556440556</v>
      </c>
      <c r="AN70" s="43">
        <f t="shared" si="33"/>
        <v>288.16241495408661</v>
      </c>
      <c r="AO70" s="43">
        <f t="shared" si="34"/>
        <v>293.86915538698179</v>
      </c>
      <c r="AP70" s="43">
        <f t="shared" si="35"/>
        <v>299.68891155225009</v>
      </c>
    </row>
    <row r="71" spans="2:57" outlineLevel="1" x14ac:dyDescent="0.25">
      <c r="C71" t="str">
        <f t="shared" si="30"/>
        <v>KeyWest Distribution Centre, Truganina</v>
      </c>
      <c r="D71" t="s">
        <v>32</v>
      </c>
      <c r="E71" s="58"/>
      <c r="F71" s="58"/>
      <c r="G71" s="58"/>
      <c r="H71" s="58"/>
      <c r="I71" s="58"/>
      <c r="J71" s="58"/>
      <c r="K71" s="58"/>
      <c r="L71" s="58"/>
      <c r="M71" s="58"/>
      <c r="N71" s="58"/>
      <c r="O71" s="58"/>
      <c r="P71" s="58"/>
      <c r="Q71" s="58"/>
      <c r="R71" s="58"/>
      <c r="S71" s="58"/>
      <c r="T71" s="58"/>
      <c r="U71" s="86"/>
      <c r="V71" s="86"/>
      <c r="W71" s="86"/>
      <c r="X71" s="86"/>
      <c r="Y71" s="86"/>
      <c r="Z71" s="86">
        <v>67</v>
      </c>
      <c r="AA71" s="43">
        <f t="shared" si="36"/>
        <v>67.997573486117872</v>
      </c>
      <c r="AB71" s="43">
        <f t="shared" si="36"/>
        <v>69.010000000000005</v>
      </c>
      <c r="AC71" s="43">
        <f t="shared" si="36"/>
        <v>70.714207235887201</v>
      </c>
      <c r="AD71" s="43">
        <f t="shared" si="36"/>
        <v>72.460500000000025</v>
      </c>
      <c r="AE71" s="43">
        <f t="shared" si="36"/>
        <v>73.895500692938029</v>
      </c>
      <c r="AF71" s="43">
        <f t="shared" si="36"/>
        <v>75.35892000000004</v>
      </c>
      <c r="AG71" s="43">
        <f t="shared" si="36"/>
        <v>76.851320720655565</v>
      </c>
      <c r="AH71" s="43">
        <f t="shared" si="36"/>
        <v>78.373276800000056</v>
      </c>
      <c r="AI71" s="43">
        <f t="shared" si="36"/>
        <v>79.925373549481805</v>
      </c>
      <c r="AJ71" s="43">
        <f t="shared" si="36"/>
        <v>81.508207872000071</v>
      </c>
      <c r="AK71" s="43">
        <f t="shared" si="36"/>
        <v>83.122388491461081</v>
      </c>
      <c r="AL71" s="43">
        <f t="shared" si="36"/>
        <v>84.768536186880084</v>
      </c>
      <c r="AM71" s="43">
        <f t="shared" si="32"/>
        <v>86.447284031119537</v>
      </c>
      <c r="AN71" s="43">
        <f t="shared" si="33"/>
        <v>88.159277634355291</v>
      </c>
      <c r="AO71" s="43">
        <f t="shared" si="34"/>
        <v>89.905175392364328</v>
      </c>
      <c r="AP71" s="43">
        <f t="shared" si="35"/>
        <v>91.685648739729515</v>
      </c>
    </row>
    <row r="72" spans="2:57" outlineLevel="1" x14ac:dyDescent="0.25">
      <c r="C72" t="str">
        <f t="shared" si="30"/>
        <v>Oakleigh Industrial Estate</v>
      </c>
      <c r="D72" t="s">
        <v>32</v>
      </c>
      <c r="E72" s="58"/>
      <c r="F72" s="58"/>
      <c r="G72" s="58"/>
      <c r="H72" s="58"/>
      <c r="I72" s="58"/>
      <c r="J72" s="58"/>
      <c r="K72" s="58"/>
      <c r="L72" s="58"/>
      <c r="M72" s="58"/>
      <c r="N72" s="58"/>
      <c r="O72" s="58"/>
      <c r="P72" s="58"/>
      <c r="Q72" s="58"/>
      <c r="R72" s="58"/>
      <c r="S72" s="58"/>
      <c r="T72" s="58"/>
      <c r="U72" s="86"/>
      <c r="V72" s="86"/>
      <c r="W72" s="86"/>
      <c r="X72" s="86"/>
      <c r="Y72" s="86"/>
      <c r="Z72" s="86">
        <v>122</v>
      </c>
      <c r="AA72" s="43">
        <f t="shared" si="36"/>
        <v>123.81647709412508</v>
      </c>
      <c r="AB72" s="43">
        <f t="shared" si="36"/>
        <v>125.66</v>
      </c>
      <c r="AC72" s="43">
        <f t="shared" si="36"/>
        <v>128.76318332504832</v>
      </c>
      <c r="AD72" s="43">
        <f t="shared" si="36"/>
        <v>131.94300000000001</v>
      </c>
      <c r="AE72" s="43">
        <f t="shared" si="36"/>
        <v>134.5559863363946</v>
      </c>
      <c r="AF72" s="43">
        <f t="shared" si="36"/>
        <v>137.22072000000006</v>
      </c>
      <c r="AG72" s="43">
        <f t="shared" si="36"/>
        <v>139.93822578985041</v>
      </c>
      <c r="AH72" s="43">
        <f t="shared" si="36"/>
        <v>142.70954880000008</v>
      </c>
      <c r="AI72" s="43">
        <f t="shared" si="36"/>
        <v>145.53575482144444</v>
      </c>
      <c r="AJ72" s="43">
        <f t="shared" si="36"/>
        <v>148.4179307520001</v>
      </c>
      <c r="AK72" s="43">
        <f t="shared" si="36"/>
        <v>151.35718501430225</v>
      </c>
      <c r="AL72" s="43">
        <f t="shared" si="36"/>
        <v>154.35464798208014</v>
      </c>
      <c r="AM72" s="43">
        <f t="shared" si="32"/>
        <v>157.41147241487437</v>
      </c>
      <c r="AN72" s="43">
        <f t="shared" si="33"/>
        <v>160.52883390136336</v>
      </c>
      <c r="AO72" s="43">
        <f t="shared" si="34"/>
        <v>163.70793131146937</v>
      </c>
      <c r="AP72" s="43">
        <f t="shared" si="35"/>
        <v>166.94998725741792</v>
      </c>
    </row>
    <row r="73" spans="2:57" outlineLevel="1" x14ac:dyDescent="0.25">
      <c r="C73" t="str">
        <f t="shared" si="30"/>
        <v>Somerton Distribution Centre</v>
      </c>
      <c r="D73" t="s">
        <v>32</v>
      </c>
      <c r="E73" s="58"/>
      <c r="F73" s="58"/>
      <c r="G73" s="58"/>
      <c r="H73" s="58"/>
      <c r="I73" s="58"/>
      <c r="J73" s="58"/>
      <c r="K73" s="58"/>
      <c r="L73" s="58"/>
      <c r="M73" s="58"/>
      <c r="N73" s="58"/>
      <c r="O73" s="58"/>
      <c r="P73" s="58"/>
      <c r="Q73" s="58"/>
      <c r="R73" s="58"/>
      <c r="S73" s="58"/>
      <c r="T73" s="58"/>
      <c r="U73" s="86"/>
      <c r="V73" s="86"/>
      <c r="W73" s="86"/>
      <c r="X73" s="86"/>
      <c r="Y73" s="86"/>
      <c r="Z73" s="86">
        <v>115.2</v>
      </c>
      <c r="AA73" s="43">
        <f t="shared" si="36"/>
        <v>116.91523082986237</v>
      </c>
      <c r="AB73" s="43">
        <f t="shared" si="36"/>
        <v>118.65600000000001</v>
      </c>
      <c r="AC73" s="43">
        <f t="shared" si="36"/>
        <v>121.58621900857023</v>
      </c>
      <c r="AD73" s="43">
        <f t="shared" ref="AD73:AL73" si="37">AC73*(1+AD$45)^(1/2)</f>
        <v>124.58880000000002</v>
      </c>
      <c r="AE73" s="43">
        <f t="shared" si="37"/>
        <v>127.05614447502178</v>
      </c>
      <c r="AF73" s="43">
        <f t="shared" si="37"/>
        <v>129.57235200000005</v>
      </c>
      <c r="AG73" s="43">
        <f t="shared" si="37"/>
        <v>132.13839025402268</v>
      </c>
      <c r="AH73" s="43">
        <f t="shared" si="37"/>
        <v>134.75524608000006</v>
      </c>
      <c r="AI73" s="43">
        <f t="shared" si="37"/>
        <v>137.42392586418359</v>
      </c>
      <c r="AJ73" s="43">
        <f t="shared" si="37"/>
        <v>140.14545592320007</v>
      </c>
      <c r="AK73" s="43">
        <f t="shared" si="37"/>
        <v>142.92088289875096</v>
      </c>
      <c r="AL73" s="43">
        <f t="shared" si="37"/>
        <v>145.7512741601281</v>
      </c>
      <c r="AM73" s="43">
        <f t="shared" si="32"/>
        <v>148.63771821470101</v>
      </c>
      <c r="AN73" s="43">
        <f t="shared" si="33"/>
        <v>151.58132512653324</v>
      </c>
      <c r="AO73" s="43">
        <f t="shared" si="34"/>
        <v>154.58322694328908</v>
      </c>
      <c r="AP73" s="43">
        <f t="shared" si="35"/>
        <v>157.64457813159459</v>
      </c>
    </row>
    <row r="74" spans="2:57" outlineLevel="1" x14ac:dyDescent="0.25">
      <c r="E74" s="58"/>
      <c r="F74" s="58"/>
      <c r="G74" s="58"/>
      <c r="H74" s="58"/>
      <c r="I74" s="58"/>
      <c r="J74" s="58"/>
      <c r="K74" s="58"/>
      <c r="L74" s="58"/>
      <c r="M74" s="58"/>
      <c r="N74" s="58"/>
      <c r="O74" s="58"/>
      <c r="P74" s="58"/>
      <c r="Q74" s="58"/>
      <c r="R74" s="58"/>
      <c r="S74" s="58"/>
      <c r="T74" s="58"/>
      <c r="U74" s="86"/>
      <c r="V74" s="86"/>
      <c r="W74" s="86"/>
      <c r="X74" s="86"/>
      <c r="Y74" s="86"/>
      <c r="Z74" s="86"/>
      <c r="AA74" s="43"/>
      <c r="AB74" s="43"/>
      <c r="AC74" s="43"/>
      <c r="AD74" s="43"/>
      <c r="AE74" s="43"/>
      <c r="AF74" s="43"/>
      <c r="AG74" s="43"/>
      <c r="AH74" s="43"/>
      <c r="AI74" s="43"/>
      <c r="AJ74" s="43"/>
      <c r="AK74" s="43"/>
      <c r="AL74" s="43"/>
      <c r="AM74" s="43"/>
      <c r="AN74" s="43"/>
      <c r="AO74" s="43"/>
      <c r="AP74" s="43"/>
    </row>
    <row r="75" spans="2:57" outlineLevel="1" x14ac:dyDescent="0.25">
      <c r="E75" s="58"/>
      <c r="F75" s="58"/>
      <c r="G75" s="58"/>
      <c r="H75" s="58"/>
      <c r="I75" s="58"/>
      <c r="J75" s="58"/>
      <c r="K75" s="58"/>
      <c r="L75" s="58"/>
      <c r="M75" s="58"/>
      <c r="N75" s="58"/>
      <c r="O75" s="58"/>
      <c r="P75" s="58"/>
      <c r="Q75" s="58"/>
      <c r="R75" s="58"/>
      <c r="S75" s="58"/>
      <c r="T75" s="58"/>
      <c r="U75" s="86"/>
      <c r="V75" s="86"/>
      <c r="W75" s="86"/>
      <c r="X75" s="86"/>
      <c r="Y75" s="86"/>
      <c r="Z75" s="86"/>
      <c r="AA75" s="43"/>
      <c r="AB75" s="43"/>
      <c r="AC75" s="43"/>
      <c r="AD75" s="43"/>
      <c r="AE75" s="43"/>
      <c r="AF75" s="43"/>
      <c r="AG75" s="43"/>
      <c r="AH75" s="43"/>
      <c r="AI75" s="43"/>
      <c r="AJ75" s="43"/>
      <c r="AK75" s="43"/>
      <c r="AL75" s="43"/>
      <c r="AM75" s="43"/>
      <c r="AN75" s="43"/>
      <c r="AO75" s="43"/>
      <c r="AP75" s="43"/>
    </row>
    <row r="76" spans="2:57" outlineLevel="1" x14ac:dyDescent="0.25">
      <c r="C76" t="s">
        <v>238</v>
      </c>
      <c r="D76" t="s">
        <v>32</v>
      </c>
      <c r="E76" s="58"/>
      <c r="F76" s="58"/>
      <c r="G76" s="58"/>
      <c r="H76" s="58"/>
      <c r="I76" s="58"/>
      <c r="J76" s="58"/>
      <c r="K76" s="58"/>
      <c r="L76" s="58"/>
      <c r="M76" s="58"/>
      <c r="N76" s="58"/>
      <c r="O76" s="58"/>
      <c r="P76" s="58"/>
      <c r="Q76" s="58"/>
      <c r="R76" s="58"/>
      <c r="S76" s="58"/>
      <c r="T76" s="58"/>
      <c r="U76" s="86"/>
      <c r="V76" s="86"/>
      <c r="W76" s="86"/>
      <c r="X76" s="86"/>
      <c r="Y76" s="86"/>
      <c r="Z76" s="88">
        <f>Z113</f>
        <v>0</v>
      </c>
      <c r="AA76" s="88">
        <f t="shared" ref="AA76:AL76" si="38">AA113</f>
        <v>100.19999999999999</v>
      </c>
      <c r="AB76" s="43">
        <f t="shared" si="38"/>
        <v>449.69189348222397</v>
      </c>
      <c r="AC76" s="43">
        <f t="shared" si="38"/>
        <v>580.79706923634967</v>
      </c>
      <c r="AD76" s="43">
        <f t="shared" si="38"/>
        <v>715.13989734785036</v>
      </c>
      <c r="AE76" s="43">
        <f t="shared" si="38"/>
        <v>969.30245830508602</v>
      </c>
      <c r="AF76" s="43">
        <f t="shared" si="38"/>
        <v>1228.4984298942181</v>
      </c>
      <c r="AG76" s="43">
        <f t="shared" si="38"/>
        <v>1390.8274932897432</v>
      </c>
      <c r="AH76" s="43">
        <f t="shared" si="38"/>
        <v>1556.3713056651477</v>
      </c>
      <c r="AI76" s="43">
        <f t="shared" si="38"/>
        <v>1887.1935315964938</v>
      </c>
      <c r="AJ76" s="43">
        <f t="shared" si="38"/>
        <v>1984.5673287073209</v>
      </c>
      <c r="AK76" s="43">
        <f t="shared" si="38"/>
        <v>2083.8695070234671</v>
      </c>
      <c r="AL76" s="43">
        <f t="shared" si="38"/>
        <v>2185.1382560187271</v>
      </c>
      <c r="AM76" s="43">
        <f>AM113</f>
        <v>2288.4125214675196</v>
      </c>
      <c r="AN76" s="43">
        <f>AN113</f>
        <v>2393.7320204225903</v>
      </c>
      <c r="AO76" s="43">
        <f>AO113</f>
        <v>2501.137256489334</v>
      </c>
      <c r="AP76" s="43">
        <f>AP113</f>
        <v>2610.6695354026074</v>
      </c>
    </row>
    <row r="77" spans="2:57" outlineLevel="1" x14ac:dyDescent="0.25">
      <c r="C77" t="s">
        <v>115</v>
      </c>
      <c r="D77" t="s">
        <v>32</v>
      </c>
      <c r="E77" s="58"/>
      <c r="F77" s="58"/>
      <c r="G77" s="58"/>
      <c r="H77" s="58"/>
      <c r="I77" s="58"/>
      <c r="J77" s="58"/>
      <c r="K77" s="58"/>
      <c r="L77" s="58"/>
      <c r="M77" s="58"/>
      <c r="N77" s="58"/>
      <c r="O77" s="58"/>
      <c r="P77" s="58"/>
      <c r="Q77" s="58"/>
      <c r="R77" s="58"/>
      <c r="S77" s="58"/>
      <c r="T77" s="58"/>
      <c r="U77" s="86"/>
      <c r="V77" s="86"/>
      <c r="W77" s="86"/>
      <c r="X77" s="86"/>
      <c r="Y77" s="86"/>
      <c r="Z77" s="88">
        <f>Z78-SUM(Z51:Z76)</f>
        <v>122.00000000000045</v>
      </c>
      <c r="AA77" s="88">
        <f>AA78-SUM(AA51:AA76)</f>
        <v>53.981212393359783</v>
      </c>
      <c r="AB77" s="43">
        <f>AB78-SUM(AB51:AB76)</f>
        <v>-149.72635130768504</v>
      </c>
      <c r="AC77" s="43">
        <f>AC78-SUM(AC51:AC76)</f>
        <v>-42.942604069198751</v>
      </c>
      <c r="AD77" s="43">
        <f>AD78-SUM(AD51:AD76)</f>
        <v>-236.27607806458536</v>
      </c>
      <c r="AE77" s="43">
        <f t="shared" ref="AE77:AL77" si="39">AD77*(1+AE$45)^(1/2)</f>
        <v>-240.9552665292986</v>
      </c>
      <c r="AF77" s="43">
        <f t="shared" si="39"/>
        <v>-245.72712118716882</v>
      </c>
      <c r="AG77" s="43">
        <f t="shared" si="39"/>
        <v>-250.59347719047059</v>
      </c>
      <c r="AH77" s="43">
        <f t="shared" si="39"/>
        <v>-255.55620603465562</v>
      </c>
      <c r="AI77" s="43">
        <f t="shared" si="39"/>
        <v>-260.61721627808947</v>
      </c>
      <c r="AJ77" s="43">
        <f t="shared" si="39"/>
        <v>-265.77845427604188</v>
      </c>
      <c r="AK77" s="43">
        <f t="shared" si="39"/>
        <v>-271.0419049292131</v>
      </c>
      <c r="AL77" s="43">
        <f t="shared" si="39"/>
        <v>-276.40959244708364</v>
      </c>
      <c r="AM77" s="43">
        <f>AL77*(1+AM$45)^(1/2)</f>
        <v>-281.88358112638167</v>
      </c>
      <c r="AN77" s="43">
        <f>AM77*(1+AN$45)^(1/2)</f>
        <v>-287.46597614496699</v>
      </c>
      <c r="AO77" s="43">
        <f>AN77*(1+AO$45)^(1/2)</f>
        <v>-293.15892437143697</v>
      </c>
      <c r="AP77" s="43">
        <f>AO77*(1+AP$45)^(1/2)</f>
        <v>-298.9646151907657</v>
      </c>
    </row>
    <row r="78" spans="2:57" s="6" customFormat="1" x14ac:dyDescent="0.25">
      <c r="C78" s="6" t="s">
        <v>240</v>
      </c>
      <c r="D78" s="6" t="s">
        <v>32</v>
      </c>
      <c r="E78" s="46"/>
      <c r="F78" s="46"/>
      <c r="G78" s="46"/>
      <c r="H78" s="46"/>
      <c r="I78" s="46"/>
      <c r="J78" s="46"/>
      <c r="K78" s="46"/>
      <c r="L78" s="46"/>
      <c r="M78" s="46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33">
        <v>3065</v>
      </c>
      <c r="AA78" s="33">
        <v>3191</v>
      </c>
      <c r="AB78" s="33">
        <v>3382</v>
      </c>
      <c r="AC78" s="33">
        <v>3696</v>
      </c>
      <c r="AD78" s="33">
        <v>3715</v>
      </c>
      <c r="AE78" s="46">
        <f t="shared" ref="AE78:AL78" si="40">SUM(AE51:AE77)</f>
        <v>4028.5714985994391</v>
      </c>
      <c r="AF78" s="46">
        <f t="shared" si="40"/>
        <v>4348.3529366524544</v>
      </c>
      <c r="AG78" s="46">
        <f t="shared" si="40"/>
        <v>4572.4672951958719</v>
      </c>
      <c r="AH78" s="46">
        <f t="shared" si="40"/>
        <v>4801.019992693713</v>
      </c>
      <c r="AI78" s="46">
        <f t="shared" si="40"/>
        <v>5196.0989255788663</v>
      </c>
      <c r="AJ78" s="46">
        <f t="shared" si="40"/>
        <v>5359.0019632170297</v>
      </c>
      <c r="AK78" s="46">
        <f t="shared" si="40"/>
        <v>5525.1311167651365</v>
      </c>
      <c r="AL78" s="46">
        <f t="shared" si="40"/>
        <v>5694.5502759088249</v>
      </c>
      <c r="AM78" s="46">
        <f>SUM(AM51:AM77)</f>
        <v>5867.324595598855</v>
      </c>
      <c r="AN78" s="46">
        <f>SUM(AN51:AN77)</f>
        <v>6043.520521108293</v>
      </c>
      <c r="AO78" s="46">
        <f>SUM(AO51:AO77)</f>
        <v>6223.2058135859243</v>
      </c>
      <c r="AP78" s="46">
        <f>SUM(AP51:AP77)</f>
        <v>6406.4495761157377</v>
      </c>
    </row>
    <row r="79" spans="2:57" x14ac:dyDescent="0.25">
      <c r="C79" s="44"/>
      <c r="E79" s="54"/>
      <c r="F79" s="54"/>
      <c r="G79" s="54"/>
      <c r="H79" s="54"/>
      <c r="I79" s="54"/>
      <c r="J79" s="54"/>
      <c r="K79" s="54"/>
      <c r="L79" s="54"/>
      <c r="M79" s="54"/>
      <c r="N79" s="54"/>
      <c r="O79" s="54"/>
      <c r="P79" s="54"/>
      <c r="Q79" s="54"/>
      <c r="R79" s="54"/>
      <c r="S79" s="54"/>
      <c r="T79" s="54"/>
      <c r="U79" s="54"/>
      <c r="V79" s="54"/>
      <c r="W79" s="54"/>
      <c r="X79" s="54"/>
      <c r="Y79" s="54"/>
      <c r="Z79" s="54"/>
      <c r="AA79" s="54"/>
      <c r="AB79" s="54"/>
      <c r="AC79" s="54"/>
      <c r="AD79" s="54"/>
      <c r="AE79" s="54"/>
      <c r="AF79" s="54"/>
      <c r="AG79" s="54"/>
      <c r="AH79" s="54"/>
      <c r="AI79" s="54"/>
      <c r="AJ79" s="54"/>
      <c r="AK79" s="54"/>
      <c r="AL79" s="54"/>
      <c r="AM79" s="54"/>
      <c r="AN79" s="54"/>
      <c r="AO79" s="54"/>
      <c r="AP79" s="54"/>
    </row>
    <row r="80" spans="2:57" s="23" customFormat="1" x14ac:dyDescent="0.25">
      <c r="B80" s="23" t="s">
        <v>118</v>
      </c>
      <c r="E80" s="57"/>
      <c r="F80" s="57"/>
      <c r="G80" s="57"/>
      <c r="H80" s="57"/>
      <c r="I80" s="57"/>
      <c r="J80" s="57"/>
      <c r="K80" s="57"/>
      <c r="L80" s="57"/>
      <c r="M80" s="57"/>
      <c r="N80" s="57"/>
      <c r="O80" s="57"/>
      <c r="P80" s="57"/>
      <c r="Q80" s="57"/>
      <c r="R80" s="57"/>
      <c r="S80" s="57"/>
      <c r="T80" s="57"/>
      <c r="U80" s="57"/>
      <c r="V80" s="57"/>
      <c r="W80" s="57"/>
      <c r="X80" s="57"/>
      <c r="Y80" s="57"/>
      <c r="Z80" s="57"/>
      <c r="AA80" s="57"/>
      <c r="AB80" s="57"/>
      <c r="AC80" s="57"/>
      <c r="AD80" s="57"/>
      <c r="AE80" s="57"/>
      <c r="AF80" s="57"/>
      <c r="AG80" s="57"/>
      <c r="AH80" s="57"/>
      <c r="AI80" s="57"/>
      <c r="AJ80" s="57"/>
      <c r="AK80" s="57"/>
      <c r="AL80" s="57"/>
      <c r="AM80" s="57"/>
      <c r="AN80" s="57"/>
      <c r="AO80" s="57"/>
      <c r="AP80" s="57"/>
      <c r="AQ80" s="24"/>
      <c r="AR80" s="24"/>
      <c r="AS80" s="24"/>
      <c r="AT80" s="24"/>
      <c r="AU80" s="24"/>
      <c r="AV80" s="24"/>
      <c r="AW80" s="24"/>
      <c r="AX80" s="24"/>
      <c r="AY80" s="24"/>
      <c r="AZ80" s="24"/>
      <c r="BA80" s="24"/>
      <c r="BE80" s="25"/>
    </row>
    <row r="81" spans="1:57" x14ac:dyDescent="0.25">
      <c r="C81" t="s">
        <v>248</v>
      </c>
      <c r="E81" s="87"/>
      <c r="F81" s="87"/>
      <c r="G81" s="87"/>
      <c r="H81" s="87"/>
      <c r="I81" s="87"/>
      <c r="J81" s="87"/>
      <c r="K81" s="87"/>
      <c r="L81" s="87"/>
      <c r="M81" s="87"/>
      <c r="N81" s="87"/>
      <c r="O81" s="87"/>
      <c r="P81" s="87"/>
      <c r="Q81" s="87"/>
      <c r="R81" s="87"/>
      <c r="S81" s="87"/>
      <c r="T81" s="87"/>
      <c r="U81" s="87"/>
      <c r="V81" s="87"/>
      <c r="W81" s="87"/>
      <c r="X81" s="87"/>
      <c r="Y81" s="87"/>
      <c r="Z81" s="87"/>
      <c r="AA81" s="87">
        <f>AA78-Z78</f>
        <v>126</v>
      </c>
      <c r="AB81" s="87">
        <f t="shared" ref="AB81:AL81" si="41">AB78-AA78</f>
        <v>191</v>
      </c>
      <c r="AC81" s="87">
        <f t="shared" si="41"/>
        <v>314</v>
      </c>
      <c r="AD81" s="87">
        <f t="shared" si="41"/>
        <v>19</v>
      </c>
      <c r="AE81" s="87">
        <f t="shared" si="41"/>
        <v>313.57149859943911</v>
      </c>
      <c r="AF81" s="87">
        <f t="shared" si="41"/>
        <v>319.78143805301534</v>
      </c>
      <c r="AG81" s="87">
        <f t="shared" si="41"/>
        <v>224.11435854341744</v>
      </c>
      <c r="AH81" s="87">
        <f t="shared" si="41"/>
        <v>228.55269749784111</v>
      </c>
      <c r="AI81" s="87">
        <f t="shared" si="41"/>
        <v>395.07893288515334</v>
      </c>
      <c r="AJ81" s="87">
        <f t="shared" si="41"/>
        <v>162.90303763816337</v>
      </c>
      <c r="AK81" s="87">
        <f t="shared" si="41"/>
        <v>166.12915354810684</v>
      </c>
      <c r="AL81" s="87">
        <f t="shared" si="41"/>
        <v>169.41915914368838</v>
      </c>
      <c r="AM81" s="87">
        <f>AM78-AL78</f>
        <v>172.7743196900301</v>
      </c>
      <c r="AN81" s="87">
        <f>AN78-AM78</f>
        <v>176.19592550943798</v>
      </c>
      <c r="AO81" s="87">
        <f>AO78-AN78</f>
        <v>179.68529247763126</v>
      </c>
      <c r="AP81" s="87">
        <f>AP78-AO78</f>
        <v>183.24376252981347</v>
      </c>
    </row>
    <row r="82" spans="1:57" x14ac:dyDescent="0.25">
      <c r="C82" t="s">
        <v>85</v>
      </c>
      <c r="E82" s="87"/>
      <c r="F82" s="87"/>
      <c r="G82" s="87"/>
      <c r="H82" s="87"/>
      <c r="I82" s="87"/>
      <c r="J82" s="87"/>
      <c r="K82" s="87"/>
      <c r="L82" s="87"/>
      <c r="M82" s="87"/>
      <c r="N82" s="87"/>
      <c r="O82" s="87"/>
      <c r="P82" s="87"/>
      <c r="Q82" s="87"/>
      <c r="R82" s="87"/>
      <c r="S82" s="87"/>
      <c r="T82" s="87"/>
      <c r="U82" s="87"/>
      <c r="V82" s="87"/>
      <c r="W82" s="87"/>
      <c r="X82" s="87"/>
      <c r="Y82" s="87"/>
      <c r="Z82" s="87"/>
      <c r="AA82" s="87">
        <f>-AA93</f>
        <v>-50</v>
      </c>
      <c r="AB82" s="87">
        <f t="shared" ref="AB82:AL82" si="42">-AB93</f>
        <v>0</v>
      </c>
      <c r="AC82" s="87">
        <f t="shared" si="42"/>
        <v>0</v>
      </c>
      <c r="AD82" s="87">
        <f t="shared" si="42"/>
        <v>0</v>
      </c>
      <c r="AE82" s="87">
        <f t="shared" si="42"/>
        <v>0</v>
      </c>
      <c r="AF82" s="87">
        <f t="shared" si="42"/>
        <v>0</v>
      </c>
      <c r="AG82" s="87">
        <f t="shared" si="42"/>
        <v>0</v>
      </c>
      <c r="AH82" s="87">
        <f t="shared" si="42"/>
        <v>0</v>
      </c>
      <c r="AI82" s="87">
        <f t="shared" si="42"/>
        <v>0</v>
      </c>
      <c r="AJ82" s="87">
        <f t="shared" si="42"/>
        <v>0</v>
      </c>
      <c r="AK82" s="87">
        <f t="shared" si="42"/>
        <v>0</v>
      </c>
      <c r="AL82" s="87">
        <f t="shared" si="42"/>
        <v>0</v>
      </c>
      <c r="AM82" s="87">
        <f>-AM93</f>
        <v>0</v>
      </c>
      <c r="AN82" s="87">
        <f>-AN93</f>
        <v>0</v>
      </c>
      <c r="AO82" s="87">
        <f>-AO93</f>
        <v>0</v>
      </c>
      <c r="AP82" s="87">
        <f>-AP93</f>
        <v>0</v>
      </c>
    </row>
    <row r="83" spans="1:57" x14ac:dyDescent="0.25">
      <c r="C83" t="s">
        <v>249</v>
      </c>
      <c r="E83" s="87"/>
      <c r="F83" s="87"/>
      <c r="G83" s="87"/>
      <c r="H83" s="87"/>
      <c r="I83" s="87"/>
      <c r="J83" s="87"/>
      <c r="K83" s="87"/>
      <c r="L83" s="87"/>
      <c r="M83" s="87"/>
      <c r="N83" s="87"/>
      <c r="O83" s="87"/>
      <c r="P83" s="87"/>
      <c r="Q83" s="87"/>
      <c r="R83" s="87"/>
      <c r="S83" s="87"/>
      <c r="T83" s="87"/>
      <c r="U83" s="87"/>
      <c r="V83" s="87"/>
      <c r="W83" s="87"/>
      <c r="X83" s="87"/>
      <c r="Y83" s="87"/>
      <c r="Z83" s="87"/>
      <c r="AA83" s="87">
        <f>AA101</f>
        <v>0</v>
      </c>
      <c r="AB83" s="87">
        <f t="shared" ref="AB83:AL83" si="43">AB101</f>
        <v>0</v>
      </c>
      <c r="AC83" s="87">
        <f t="shared" si="43"/>
        <v>0</v>
      </c>
      <c r="AD83" s="87">
        <f t="shared" si="43"/>
        <v>0</v>
      </c>
      <c r="AE83" s="87">
        <f t="shared" si="43"/>
        <v>208</v>
      </c>
      <c r="AF83" s="87">
        <f t="shared" si="43"/>
        <v>271.59999999999997</v>
      </c>
      <c r="AG83" s="87">
        <f t="shared" si="43"/>
        <v>0</v>
      </c>
      <c r="AH83" s="87">
        <f t="shared" si="43"/>
        <v>0</v>
      </c>
      <c r="AI83" s="87">
        <f t="shared" si="43"/>
        <v>0</v>
      </c>
      <c r="AJ83" s="87">
        <f t="shared" si="43"/>
        <v>0</v>
      </c>
      <c r="AK83" s="87">
        <f t="shared" si="43"/>
        <v>0</v>
      </c>
      <c r="AL83" s="87">
        <f t="shared" si="43"/>
        <v>0</v>
      </c>
      <c r="AM83" s="87">
        <f>AM101</f>
        <v>0</v>
      </c>
      <c r="AN83" s="87">
        <f>AN101</f>
        <v>0</v>
      </c>
      <c r="AO83" s="87">
        <f>AO101</f>
        <v>0</v>
      </c>
      <c r="AP83" s="87">
        <f>AP101</f>
        <v>0</v>
      </c>
    </row>
    <row r="84" spans="1:57" x14ac:dyDescent="0.25">
      <c r="C84" t="s">
        <v>250</v>
      </c>
      <c r="E84" s="87"/>
      <c r="F84" s="87"/>
      <c r="G84" s="87"/>
      <c r="H84" s="87"/>
      <c r="I84" s="87"/>
      <c r="J84" s="87"/>
      <c r="K84" s="87"/>
      <c r="L84" s="87"/>
      <c r="M84" s="87"/>
      <c r="N84" s="87"/>
      <c r="O84" s="87"/>
      <c r="P84" s="87"/>
      <c r="Q84" s="87"/>
      <c r="R84" s="87"/>
      <c r="S84" s="87"/>
      <c r="T84" s="87"/>
      <c r="U84" s="87"/>
      <c r="V84" s="87"/>
      <c r="W84" s="87"/>
      <c r="X84" s="87"/>
      <c r="Y84" s="87"/>
      <c r="Z84" s="87"/>
      <c r="AA84" s="87">
        <f>-AA108</f>
        <v>-83.5</v>
      </c>
      <c r="AB84" s="87">
        <f t="shared" ref="AB84:AL84" si="44">-AB108</f>
        <v>-290</v>
      </c>
      <c r="AC84" s="87">
        <f t="shared" si="44"/>
        <v>-100</v>
      </c>
      <c r="AD84" s="87">
        <f t="shared" si="44"/>
        <v>-100</v>
      </c>
      <c r="AE84" s="87">
        <f t="shared" si="44"/>
        <v>-200</v>
      </c>
      <c r="AF84" s="87">
        <f t="shared" si="44"/>
        <v>-200</v>
      </c>
      <c r="AG84" s="87">
        <f t="shared" si="44"/>
        <v>-115</v>
      </c>
      <c r="AH84" s="87">
        <f t="shared" si="44"/>
        <v>-115</v>
      </c>
      <c r="AI84" s="87">
        <f t="shared" si="44"/>
        <v>-250</v>
      </c>
      <c r="AJ84" s="87">
        <f t="shared" si="44"/>
        <v>-50</v>
      </c>
      <c r="AK84" s="87">
        <f t="shared" si="44"/>
        <v>-50</v>
      </c>
      <c r="AL84" s="87">
        <f t="shared" si="44"/>
        <v>-50</v>
      </c>
      <c r="AM84" s="87">
        <f>-AM108</f>
        <v>-50</v>
      </c>
      <c r="AN84" s="87">
        <f>-AN108</f>
        <v>-50</v>
      </c>
      <c r="AO84" s="87">
        <f>-AO108</f>
        <v>-50</v>
      </c>
      <c r="AP84" s="87">
        <f>-AP108</f>
        <v>-50</v>
      </c>
    </row>
    <row r="85" spans="1:57" x14ac:dyDescent="0.25">
      <c r="C85" t="s">
        <v>115</v>
      </c>
      <c r="E85" s="87"/>
      <c r="F85" s="87"/>
      <c r="G85" s="87"/>
      <c r="H85" s="87"/>
      <c r="I85" s="87"/>
      <c r="J85" s="87"/>
      <c r="K85" s="87"/>
      <c r="L85" s="87"/>
      <c r="M85" s="87"/>
      <c r="N85" s="87"/>
      <c r="O85" s="87"/>
      <c r="P85" s="87"/>
      <c r="Q85" s="87"/>
      <c r="R85" s="87"/>
      <c r="S85" s="87"/>
      <c r="T85" s="87"/>
      <c r="U85" s="87"/>
      <c r="V85" s="87"/>
      <c r="W85" s="87"/>
      <c r="X85" s="87"/>
      <c r="Y85" s="87"/>
      <c r="Z85" s="87"/>
      <c r="AA85" s="87"/>
      <c r="AB85" s="87"/>
      <c r="AC85" s="87"/>
      <c r="AD85" s="87"/>
      <c r="AE85" s="87"/>
      <c r="AF85" s="87"/>
      <c r="AG85" s="87"/>
      <c r="AH85" s="87"/>
      <c r="AI85" s="87"/>
      <c r="AJ85" s="87"/>
      <c r="AK85" s="87"/>
      <c r="AL85" s="87"/>
      <c r="AM85" s="87"/>
      <c r="AN85" s="87"/>
      <c r="AO85" s="87"/>
      <c r="AP85" s="87"/>
    </row>
    <row r="86" spans="1:57" s="6" customFormat="1" x14ac:dyDescent="0.25">
      <c r="C86" s="6" t="s">
        <v>247</v>
      </c>
      <c r="D86" s="6" t="s">
        <v>32</v>
      </c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>
        <f t="shared" ref="Z86:AL86" si="45">SUM(Z81:Z85)</f>
        <v>0</v>
      </c>
      <c r="AA86" s="46">
        <f t="shared" si="45"/>
        <v>-7.5</v>
      </c>
      <c r="AB86" s="46">
        <f t="shared" si="45"/>
        <v>-99</v>
      </c>
      <c r="AC86" s="46">
        <f t="shared" si="45"/>
        <v>214</v>
      </c>
      <c r="AD86" s="46">
        <f t="shared" si="45"/>
        <v>-81</v>
      </c>
      <c r="AE86" s="46">
        <f t="shared" si="45"/>
        <v>321.57149859943911</v>
      </c>
      <c r="AF86" s="46">
        <f t="shared" si="45"/>
        <v>391.38143805301524</v>
      </c>
      <c r="AG86" s="46">
        <f t="shared" si="45"/>
        <v>109.11435854341744</v>
      </c>
      <c r="AH86" s="46">
        <f t="shared" si="45"/>
        <v>113.55269749784111</v>
      </c>
      <c r="AI86" s="46">
        <f t="shared" si="45"/>
        <v>145.07893288515334</v>
      </c>
      <c r="AJ86" s="46">
        <f t="shared" si="45"/>
        <v>112.90303763816337</v>
      </c>
      <c r="AK86" s="46">
        <f t="shared" si="45"/>
        <v>116.12915354810684</v>
      </c>
      <c r="AL86" s="46">
        <f t="shared" si="45"/>
        <v>119.41915914368838</v>
      </c>
      <c r="AM86" s="46">
        <f>SUM(AM81:AM85)</f>
        <v>122.7743196900301</v>
      </c>
      <c r="AN86" s="46">
        <f>SUM(AN81:AN85)</f>
        <v>126.19592550943798</v>
      </c>
      <c r="AO86" s="46">
        <f>SUM(AO81:AO85)</f>
        <v>129.68529247763126</v>
      </c>
      <c r="AP86" s="46">
        <f>SUM(AP81:AP85)</f>
        <v>133.24376252981347</v>
      </c>
    </row>
    <row r="87" spans="1:57" x14ac:dyDescent="0.25">
      <c r="C87" s="44"/>
      <c r="E87" s="54"/>
      <c r="F87" s="54"/>
      <c r="G87" s="54"/>
      <c r="H87" s="54"/>
      <c r="I87" s="54"/>
      <c r="J87" s="54"/>
      <c r="K87" s="54"/>
      <c r="L87" s="54"/>
      <c r="M87" s="54"/>
      <c r="N87" s="54"/>
      <c r="O87" s="54"/>
      <c r="P87" s="54"/>
      <c r="Q87" s="54"/>
      <c r="R87" s="54"/>
      <c r="S87" s="54"/>
      <c r="T87" s="54"/>
      <c r="U87" s="54"/>
      <c r="V87" s="54"/>
      <c r="W87" s="54"/>
      <c r="X87" s="54"/>
      <c r="Y87" s="54"/>
      <c r="Z87" s="54"/>
      <c r="AA87" s="54"/>
      <c r="AB87" s="54"/>
      <c r="AC87" s="54"/>
      <c r="AD87" s="54"/>
      <c r="AE87" s="54"/>
      <c r="AF87" s="54"/>
      <c r="AG87" s="54"/>
      <c r="AH87" s="54"/>
      <c r="AI87" s="54"/>
      <c r="AJ87" s="54"/>
      <c r="AK87" s="54"/>
      <c r="AL87" s="54"/>
      <c r="AM87" s="54"/>
      <c r="AN87" s="54"/>
      <c r="AO87" s="54"/>
      <c r="AP87" s="54"/>
    </row>
    <row r="88" spans="1:57" s="23" customFormat="1" x14ac:dyDescent="0.25">
      <c r="B88" s="23" t="s">
        <v>85</v>
      </c>
      <c r="E88" s="57"/>
      <c r="F88" s="57"/>
      <c r="G88" s="57"/>
      <c r="H88" s="57"/>
      <c r="I88" s="57"/>
      <c r="J88" s="57"/>
      <c r="K88" s="57"/>
      <c r="L88" s="57"/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  <c r="AA88" s="57"/>
      <c r="AB88" s="57"/>
      <c r="AC88" s="57"/>
      <c r="AD88" s="57"/>
      <c r="AE88" s="57"/>
      <c r="AF88" s="57"/>
      <c r="AG88" s="57"/>
      <c r="AH88" s="57"/>
      <c r="AI88" s="57"/>
      <c r="AJ88" s="57"/>
      <c r="AK88" s="57"/>
      <c r="AL88" s="57"/>
      <c r="AM88" s="57"/>
      <c r="AN88" s="57"/>
      <c r="AO88" s="57"/>
      <c r="AP88" s="57"/>
      <c r="AQ88" s="24"/>
      <c r="AR88" s="24"/>
      <c r="AS88" s="24"/>
      <c r="AT88" s="24"/>
      <c r="AU88" s="24"/>
      <c r="AV88" s="24"/>
      <c r="AW88" s="24"/>
      <c r="AX88" s="24"/>
      <c r="AY88" s="24"/>
      <c r="AZ88" s="24"/>
      <c r="BA88" s="24"/>
      <c r="BE88" s="25"/>
    </row>
    <row r="89" spans="1:57" x14ac:dyDescent="0.25">
      <c r="C89" t="s">
        <v>252</v>
      </c>
      <c r="E89" s="87"/>
      <c r="F89" s="87"/>
      <c r="G89" s="87"/>
      <c r="H89" s="87"/>
      <c r="I89" s="87"/>
      <c r="J89" s="87"/>
      <c r="K89" s="87"/>
      <c r="L89" s="87"/>
      <c r="M89" s="87"/>
      <c r="N89" s="87"/>
      <c r="O89" s="87"/>
      <c r="P89" s="87"/>
      <c r="Q89" s="87"/>
      <c r="R89" s="87"/>
      <c r="S89" s="87"/>
      <c r="T89" s="87"/>
      <c r="U89" s="87"/>
      <c r="V89" s="87"/>
      <c r="W89" s="87"/>
      <c r="X89" s="87"/>
      <c r="Y89" s="87"/>
      <c r="Z89" s="87"/>
      <c r="AA89" s="87">
        <v>50</v>
      </c>
      <c r="AB89" s="87"/>
      <c r="AC89" s="87"/>
      <c r="AD89" s="87"/>
      <c r="AE89" s="87"/>
      <c r="AF89" s="87"/>
      <c r="AG89" s="87"/>
      <c r="AH89" s="87"/>
      <c r="AI89" s="87"/>
      <c r="AJ89" s="87"/>
      <c r="AK89" s="87"/>
      <c r="AL89" s="87"/>
      <c r="AM89" s="87"/>
      <c r="AN89" s="87"/>
      <c r="AO89" s="87"/>
      <c r="AP89" s="87"/>
    </row>
    <row r="90" spans="1:57" s="10" customFormat="1" x14ac:dyDescent="0.25">
      <c r="A90"/>
      <c r="B90"/>
      <c r="C90"/>
      <c r="D90"/>
      <c r="E90" s="87"/>
      <c r="F90" s="87"/>
      <c r="G90" s="87"/>
      <c r="H90" s="87"/>
      <c r="I90" s="87"/>
      <c r="J90" s="87"/>
      <c r="K90" s="87"/>
      <c r="L90" s="87"/>
      <c r="M90" s="87"/>
      <c r="N90" s="87"/>
      <c r="O90" s="87"/>
      <c r="P90" s="87"/>
      <c r="Q90" s="87"/>
      <c r="R90" s="87"/>
      <c r="S90" s="87"/>
      <c r="T90" s="87"/>
      <c r="U90" s="87"/>
      <c r="V90" s="87"/>
      <c r="W90" s="87"/>
      <c r="X90" s="87"/>
      <c r="Y90" s="87"/>
      <c r="Z90" s="87"/>
      <c r="AA90" s="87"/>
      <c r="AB90" s="87"/>
      <c r="AC90" s="87"/>
      <c r="AD90" s="87"/>
      <c r="AE90" s="87"/>
      <c r="AF90" s="87"/>
      <c r="AG90" s="87"/>
      <c r="AH90" s="87"/>
      <c r="AI90" s="87"/>
      <c r="AJ90" s="87"/>
      <c r="AK90" s="87"/>
      <c r="AL90" s="87"/>
      <c r="AM90" s="87"/>
      <c r="AN90" s="87"/>
      <c r="AO90" s="87"/>
      <c r="AP90" s="87"/>
    </row>
    <row r="91" spans="1:57" x14ac:dyDescent="0.25">
      <c r="E91" s="87"/>
      <c r="F91" s="87"/>
      <c r="G91" s="87"/>
      <c r="H91" s="87"/>
      <c r="I91" s="87"/>
      <c r="J91" s="87"/>
      <c r="K91" s="87"/>
      <c r="L91" s="87"/>
      <c r="M91" s="87"/>
      <c r="N91" s="87"/>
      <c r="O91" s="87"/>
      <c r="P91" s="87"/>
      <c r="Q91" s="87"/>
      <c r="R91" s="87"/>
      <c r="S91" s="87"/>
      <c r="T91" s="87"/>
      <c r="U91" s="87"/>
      <c r="V91" s="87"/>
      <c r="W91" s="87"/>
      <c r="X91" s="87"/>
      <c r="Y91" s="87"/>
      <c r="Z91" s="87"/>
      <c r="AA91" s="87"/>
      <c r="AB91" s="87"/>
      <c r="AC91" s="87"/>
      <c r="AD91" s="87"/>
      <c r="AE91" s="87"/>
      <c r="AF91" s="87"/>
      <c r="AG91" s="87"/>
      <c r="AH91" s="87"/>
      <c r="AI91" s="87"/>
      <c r="AJ91" s="87"/>
      <c r="AK91" s="87"/>
      <c r="AL91" s="87"/>
      <c r="AM91" s="87"/>
      <c r="AN91" s="87"/>
      <c r="AO91" s="87"/>
      <c r="AP91" s="87"/>
    </row>
    <row r="92" spans="1:57" s="10" customFormat="1" x14ac:dyDescent="0.25">
      <c r="A92"/>
      <c r="B92"/>
      <c r="C92"/>
      <c r="D92"/>
      <c r="E92" s="87"/>
      <c r="F92" s="87"/>
      <c r="G92" s="87"/>
      <c r="H92" s="87"/>
      <c r="I92" s="87"/>
      <c r="J92" s="87"/>
      <c r="K92" s="87"/>
      <c r="L92" s="87"/>
      <c r="M92" s="87"/>
      <c r="N92" s="87"/>
      <c r="O92" s="87"/>
      <c r="P92" s="87"/>
      <c r="Q92" s="87"/>
      <c r="R92" s="87"/>
      <c r="S92" s="87"/>
      <c r="T92" s="87"/>
      <c r="U92" s="87"/>
      <c r="V92" s="87"/>
      <c r="W92" s="87"/>
      <c r="X92" s="87"/>
      <c r="Y92" s="87"/>
      <c r="Z92" s="87"/>
      <c r="AA92" s="87"/>
      <c r="AB92" s="87"/>
      <c r="AC92" s="87"/>
      <c r="AD92" s="87"/>
      <c r="AE92" s="87"/>
      <c r="AF92" s="87"/>
      <c r="AG92" s="87"/>
      <c r="AH92" s="87"/>
      <c r="AI92" s="87"/>
      <c r="AJ92" s="87"/>
      <c r="AK92" s="87"/>
      <c r="AL92" s="87"/>
      <c r="AM92" s="87"/>
      <c r="AN92" s="87"/>
      <c r="AO92" s="87"/>
      <c r="AP92" s="87"/>
    </row>
    <row r="93" spans="1:57" s="6" customFormat="1" x14ac:dyDescent="0.25">
      <c r="C93" s="6" t="s">
        <v>245</v>
      </c>
      <c r="D93" s="6" t="s">
        <v>32</v>
      </c>
      <c r="E93" s="46"/>
      <c r="F93" s="46"/>
      <c r="G93" s="46"/>
      <c r="H93" s="46"/>
      <c r="I93" s="46"/>
      <c r="J93" s="46"/>
      <c r="K93" s="46"/>
      <c r="L93" s="46"/>
      <c r="M93" s="46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>
        <f>SUM(Z89:Z92)</f>
        <v>0</v>
      </c>
      <c r="AA93" s="46">
        <f t="shared" ref="AA93:AL93" si="46">SUM(AA89:AA92)</f>
        <v>50</v>
      </c>
      <c r="AB93" s="46">
        <f t="shared" si="46"/>
        <v>0</v>
      </c>
      <c r="AC93" s="46">
        <f t="shared" si="46"/>
        <v>0</v>
      </c>
      <c r="AD93" s="46">
        <f t="shared" si="46"/>
        <v>0</v>
      </c>
      <c r="AE93" s="46">
        <f t="shared" si="46"/>
        <v>0</v>
      </c>
      <c r="AF93" s="46">
        <f t="shared" si="46"/>
        <v>0</v>
      </c>
      <c r="AG93" s="46">
        <f t="shared" si="46"/>
        <v>0</v>
      </c>
      <c r="AH93" s="46">
        <f t="shared" si="46"/>
        <v>0</v>
      </c>
      <c r="AI93" s="46">
        <f t="shared" si="46"/>
        <v>0</v>
      </c>
      <c r="AJ93" s="46">
        <f t="shared" si="46"/>
        <v>0</v>
      </c>
      <c r="AK93" s="46">
        <f t="shared" si="46"/>
        <v>0</v>
      </c>
      <c r="AL93" s="46">
        <f t="shared" si="46"/>
        <v>0</v>
      </c>
      <c r="AM93" s="46">
        <f>SUM(AM89:AM92)</f>
        <v>0</v>
      </c>
      <c r="AN93" s="46">
        <f>SUM(AN89:AN92)</f>
        <v>0</v>
      </c>
      <c r="AO93" s="46">
        <f>SUM(AO89:AO92)</f>
        <v>0</v>
      </c>
      <c r="AP93" s="46">
        <f>SUM(AP89:AP92)</f>
        <v>0</v>
      </c>
    </row>
    <row r="94" spans="1:57" x14ac:dyDescent="0.25">
      <c r="C94" s="44"/>
      <c r="E94" s="54"/>
      <c r="F94" s="54"/>
      <c r="G94" s="54"/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  <c r="V94" s="54"/>
      <c r="W94" s="54"/>
      <c r="X94" s="54"/>
      <c r="Y94" s="54"/>
      <c r="Z94" s="54"/>
      <c r="AA94" s="54"/>
      <c r="AB94" s="54"/>
      <c r="AC94" s="54"/>
      <c r="AD94" s="54"/>
      <c r="AE94" s="54"/>
      <c r="AF94" s="54"/>
      <c r="AG94" s="54"/>
      <c r="AH94" s="54"/>
      <c r="AI94" s="54"/>
      <c r="AJ94" s="54"/>
      <c r="AK94" s="54"/>
      <c r="AL94" s="54"/>
      <c r="AM94" s="54"/>
      <c r="AN94" s="54"/>
      <c r="AO94" s="54"/>
      <c r="AP94" s="54"/>
    </row>
    <row r="95" spans="1:57" s="23" customFormat="1" x14ac:dyDescent="0.25">
      <c r="B95" s="23" t="s">
        <v>86</v>
      </c>
      <c r="E95" s="57"/>
      <c r="F95" s="57"/>
      <c r="G95" s="57"/>
      <c r="H95" s="57"/>
      <c r="I95" s="57"/>
      <c r="J95" s="57"/>
      <c r="K95" s="57"/>
      <c r="L95" s="57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  <c r="AA95" s="57"/>
      <c r="AB95" s="57"/>
      <c r="AC95" s="57"/>
      <c r="AD95" s="57"/>
      <c r="AE95" s="57"/>
      <c r="AF95" s="57"/>
      <c r="AG95" s="57"/>
      <c r="AH95" s="57"/>
      <c r="AI95" s="57"/>
      <c r="AJ95" s="57"/>
      <c r="AK95" s="57"/>
      <c r="AL95" s="57"/>
      <c r="AM95" s="57"/>
      <c r="AN95" s="57"/>
      <c r="AO95" s="57"/>
      <c r="AP95" s="57"/>
      <c r="AQ95" s="24"/>
      <c r="AR95" s="24"/>
      <c r="AS95" s="24"/>
      <c r="AT95" s="24"/>
      <c r="AU95" s="24"/>
      <c r="AV95" s="24"/>
      <c r="AW95" s="24"/>
      <c r="AX95" s="24"/>
      <c r="AY95" s="24"/>
      <c r="AZ95" s="24"/>
      <c r="BA95" s="24"/>
      <c r="BE95" s="25"/>
    </row>
    <row r="96" spans="1:57" x14ac:dyDescent="0.25">
      <c r="C96" t="s">
        <v>380</v>
      </c>
      <c r="E96" s="87"/>
      <c r="F96" s="87"/>
      <c r="G96" s="87"/>
      <c r="H96" s="87"/>
      <c r="I96" s="87"/>
      <c r="J96" s="87"/>
      <c r="K96" s="87"/>
      <c r="L96" s="87"/>
      <c r="M96" s="87"/>
      <c r="N96" s="87"/>
      <c r="O96" s="87"/>
      <c r="P96" s="87"/>
      <c r="Q96" s="87"/>
      <c r="R96" s="87"/>
      <c r="S96" s="87"/>
      <c r="T96" s="87"/>
      <c r="U96" s="87"/>
      <c r="V96" s="87"/>
      <c r="W96" s="87"/>
      <c r="X96" s="87"/>
      <c r="Y96" s="87"/>
      <c r="Z96" s="87"/>
      <c r="AA96" s="87"/>
      <c r="AB96" s="87"/>
      <c r="AC96" s="87"/>
      <c r="AD96" s="87"/>
      <c r="AE96" s="87">
        <v>208</v>
      </c>
      <c r="AF96" s="87"/>
      <c r="AG96" s="87"/>
      <c r="AH96" s="87"/>
      <c r="AI96" s="87"/>
      <c r="AJ96" s="87"/>
      <c r="AK96" s="87"/>
      <c r="AL96" s="87"/>
      <c r="AM96" s="87"/>
      <c r="AN96" s="87"/>
      <c r="AO96" s="87"/>
      <c r="AP96" s="87"/>
    </row>
    <row r="97" spans="1:57" x14ac:dyDescent="0.25">
      <c r="C97" t="s">
        <v>381</v>
      </c>
      <c r="E97" s="87"/>
      <c r="F97" s="87"/>
      <c r="G97" s="87"/>
      <c r="H97" s="87"/>
      <c r="I97" s="87"/>
      <c r="J97" s="87"/>
      <c r="K97" s="87"/>
      <c r="L97" s="87"/>
      <c r="M97" s="87"/>
      <c r="N97" s="87"/>
      <c r="O97" s="87"/>
      <c r="P97" s="87"/>
      <c r="Q97" s="87"/>
      <c r="R97" s="87"/>
      <c r="S97" s="87"/>
      <c r="T97" s="87"/>
      <c r="U97" s="87"/>
      <c r="V97" s="87"/>
      <c r="W97" s="87"/>
      <c r="X97" s="87"/>
      <c r="Y97" s="87"/>
      <c r="Z97" s="87"/>
      <c r="AA97" s="87"/>
      <c r="AB97" s="87"/>
      <c r="AC97" s="87"/>
      <c r="AD97" s="87"/>
      <c r="AE97" s="87"/>
      <c r="AF97" s="87">
        <f>388*70%</f>
        <v>271.59999999999997</v>
      </c>
      <c r="AG97" s="87"/>
      <c r="AH97" s="87"/>
      <c r="AI97" s="87"/>
      <c r="AJ97" s="87"/>
      <c r="AK97" s="87"/>
      <c r="AL97" s="87"/>
      <c r="AM97" s="87"/>
      <c r="AN97" s="87"/>
      <c r="AO97" s="87"/>
      <c r="AP97" s="87"/>
    </row>
    <row r="98" spans="1:57" s="10" customFormat="1" x14ac:dyDescent="0.25">
      <c r="A98"/>
      <c r="B98"/>
      <c r="C98"/>
      <c r="D98"/>
      <c r="E98" s="87"/>
      <c r="F98" s="87"/>
      <c r="G98" s="87"/>
      <c r="H98" s="87"/>
      <c r="I98" s="87"/>
      <c r="J98" s="87"/>
      <c r="K98" s="87"/>
      <c r="L98" s="87"/>
      <c r="M98" s="87"/>
      <c r="N98" s="87"/>
      <c r="O98" s="87"/>
      <c r="P98" s="87"/>
      <c r="Q98" s="87"/>
      <c r="R98" s="87"/>
      <c r="S98" s="87"/>
      <c r="T98" s="87"/>
      <c r="U98" s="87"/>
      <c r="V98" s="87"/>
      <c r="W98" s="87"/>
      <c r="X98" s="87"/>
      <c r="Y98" s="87"/>
      <c r="Z98" s="87"/>
      <c r="AA98" s="87"/>
      <c r="AB98" s="87"/>
      <c r="AC98" s="87"/>
      <c r="AD98" s="87"/>
      <c r="AE98" s="87"/>
      <c r="AF98" s="87"/>
      <c r="AG98" s="87"/>
      <c r="AH98" s="87"/>
      <c r="AI98" s="87"/>
      <c r="AJ98" s="87"/>
      <c r="AK98" s="87"/>
      <c r="AL98" s="87"/>
      <c r="AM98" s="87"/>
      <c r="AN98" s="87"/>
      <c r="AO98" s="87"/>
      <c r="AP98" s="87"/>
    </row>
    <row r="99" spans="1:57" x14ac:dyDescent="0.25">
      <c r="E99" s="87"/>
      <c r="F99" s="87"/>
      <c r="G99" s="87"/>
      <c r="H99" s="87"/>
      <c r="I99" s="87"/>
      <c r="J99" s="87"/>
      <c r="K99" s="87"/>
      <c r="L99" s="87"/>
      <c r="M99" s="87"/>
      <c r="N99" s="87"/>
      <c r="O99" s="87"/>
      <c r="P99" s="87"/>
      <c r="Q99" s="87"/>
      <c r="R99" s="87"/>
      <c r="S99" s="87"/>
      <c r="T99" s="87"/>
      <c r="U99" s="87"/>
      <c r="V99" s="87"/>
      <c r="W99" s="87"/>
      <c r="X99" s="87"/>
      <c r="Y99" s="87"/>
      <c r="Z99" s="87"/>
      <c r="AA99" s="87"/>
      <c r="AB99" s="87"/>
      <c r="AC99" s="87"/>
      <c r="AD99" s="87"/>
      <c r="AE99" s="87"/>
      <c r="AF99" s="87"/>
      <c r="AG99" s="87"/>
      <c r="AH99" s="87"/>
      <c r="AI99" s="87"/>
      <c r="AJ99" s="87"/>
      <c r="AK99" s="87"/>
      <c r="AL99" s="87"/>
      <c r="AM99" s="87"/>
      <c r="AN99" s="87"/>
      <c r="AO99" s="87"/>
      <c r="AP99" s="87"/>
    </row>
    <row r="100" spans="1:57" s="10" customFormat="1" x14ac:dyDescent="0.25">
      <c r="A100"/>
      <c r="B100"/>
      <c r="C100"/>
      <c r="D100"/>
      <c r="E100" s="87"/>
      <c r="F100" s="87"/>
      <c r="G100" s="87"/>
      <c r="H100" s="87"/>
      <c r="I100" s="87"/>
      <c r="J100" s="87"/>
      <c r="K100" s="87"/>
      <c r="L100" s="87"/>
      <c r="M100" s="87"/>
      <c r="N100" s="87"/>
      <c r="O100" s="87"/>
      <c r="P100" s="87"/>
      <c r="Q100" s="87"/>
      <c r="R100" s="87"/>
      <c r="S100" s="87"/>
      <c r="T100" s="87"/>
      <c r="U100" s="87"/>
      <c r="V100" s="87"/>
      <c r="W100" s="87"/>
      <c r="X100" s="87"/>
      <c r="Y100" s="87"/>
      <c r="Z100" s="87"/>
      <c r="AA100" s="87"/>
      <c r="AB100" s="87"/>
      <c r="AC100" s="87"/>
      <c r="AD100" s="87"/>
      <c r="AE100" s="87"/>
      <c r="AF100" s="87"/>
      <c r="AG100" s="87"/>
      <c r="AH100" s="87"/>
      <c r="AI100" s="87"/>
      <c r="AJ100" s="87"/>
      <c r="AK100" s="87"/>
      <c r="AL100" s="87"/>
      <c r="AM100" s="87"/>
      <c r="AN100" s="87"/>
      <c r="AO100" s="87"/>
      <c r="AP100" s="87"/>
    </row>
    <row r="101" spans="1:57" s="6" customFormat="1" x14ac:dyDescent="0.25">
      <c r="C101" s="6" t="s">
        <v>246</v>
      </c>
      <c r="D101" s="6" t="s">
        <v>32</v>
      </c>
      <c r="E101" s="46"/>
      <c r="F101" s="46"/>
      <c r="G101" s="46"/>
      <c r="H101" s="46"/>
      <c r="I101" s="46"/>
      <c r="J101" s="46"/>
      <c r="K101" s="46"/>
      <c r="L101" s="46"/>
      <c r="M101" s="46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>
        <f>SUM(Z96:Z100)</f>
        <v>0</v>
      </c>
      <c r="AA101" s="46">
        <f t="shared" ref="AA101:AL101" si="47">SUM(AA96:AA100)</f>
        <v>0</v>
      </c>
      <c r="AB101" s="46">
        <f t="shared" si="47"/>
        <v>0</v>
      </c>
      <c r="AC101" s="46">
        <f t="shared" si="47"/>
        <v>0</v>
      </c>
      <c r="AD101" s="46">
        <f t="shared" si="47"/>
        <v>0</v>
      </c>
      <c r="AE101" s="46">
        <f t="shared" si="47"/>
        <v>208</v>
      </c>
      <c r="AF101" s="46">
        <f t="shared" si="47"/>
        <v>271.59999999999997</v>
      </c>
      <c r="AG101" s="46">
        <f t="shared" si="47"/>
        <v>0</v>
      </c>
      <c r="AH101" s="46">
        <f t="shared" si="47"/>
        <v>0</v>
      </c>
      <c r="AI101" s="46">
        <f t="shared" si="47"/>
        <v>0</v>
      </c>
      <c r="AJ101" s="46">
        <f t="shared" si="47"/>
        <v>0</v>
      </c>
      <c r="AK101" s="46">
        <f t="shared" si="47"/>
        <v>0</v>
      </c>
      <c r="AL101" s="46">
        <f t="shared" si="47"/>
        <v>0</v>
      </c>
      <c r="AM101" s="46">
        <f>SUM(AM96:AM100)</f>
        <v>0</v>
      </c>
      <c r="AN101" s="46">
        <f>SUM(AN96:AN100)</f>
        <v>0</v>
      </c>
      <c r="AO101" s="46">
        <f>SUM(AO96:AO100)</f>
        <v>0</v>
      </c>
      <c r="AP101" s="46">
        <f>SUM(AP96:AP100)</f>
        <v>0</v>
      </c>
    </row>
    <row r="102" spans="1:57" s="10" customFormat="1" x14ac:dyDescent="0.25">
      <c r="C102" s="51"/>
      <c r="E102" s="52"/>
      <c r="F102" s="52"/>
      <c r="G102" s="52"/>
      <c r="H102" s="52"/>
      <c r="I102" s="52"/>
      <c r="J102" s="52"/>
      <c r="K102" s="52"/>
      <c r="L102" s="52"/>
      <c r="M102" s="52"/>
      <c r="N102" s="52"/>
      <c r="O102" s="52"/>
      <c r="P102" s="52"/>
      <c r="Q102" s="52"/>
      <c r="R102" s="52"/>
      <c r="S102" s="52"/>
      <c r="T102" s="52"/>
      <c r="U102" s="52"/>
      <c r="V102" s="52"/>
      <c r="W102" s="52"/>
      <c r="X102" s="52"/>
      <c r="Y102" s="52"/>
      <c r="Z102" s="52"/>
      <c r="AA102" s="52"/>
      <c r="AB102" s="52"/>
      <c r="AC102" s="52"/>
      <c r="AD102" s="52"/>
      <c r="AE102" s="52"/>
      <c r="AF102" s="52"/>
      <c r="AG102" s="52"/>
      <c r="AH102" s="52"/>
      <c r="AI102" s="52"/>
      <c r="AJ102" s="52"/>
      <c r="AK102" s="11"/>
      <c r="AL102" s="11"/>
      <c r="AM102" s="11"/>
      <c r="AN102" s="11"/>
      <c r="AO102" s="11"/>
      <c r="AP102" s="11"/>
    </row>
    <row r="103" spans="1:57" s="10" customFormat="1" x14ac:dyDescent="0.25">
      <c r="C103" s="51"/>
      <c r="E103" s="52"/>
      <c r="F103" s="52"/>
      <c r="G103" s="52"/>
      <c r="H103" s="52"/>
      <c r="I103" s="52"/>
      <c r="J103" s="52"/>
      <c r="K103" s="52"/>
      <c r="L103" s="52"/>
      <c r="M103" s="52"/>
      <c r="N103" s="52"/>
      <c r="O103" s="52"/>
      <c r="P103" s="52"/>
      <c r="Q103" s="52"/>
      <c r="R103" s="52"/>
      <c r="S103" s="52"/>
      <c r="T103" s="52"/>
      <c r="U103" s="52"/>
      <c r="V103" s="52"/>
      <c r="W103" s="52"/>
      <c r="X103" s="52"/>
      <c r="Y103" s="52"/>
      <c r="Z103" s="52"/>
      <c r="AA103" s="52"/>
      <c r="AB103" s="52"/>
      <c r="AC103" s="52"/>
      <c r="AD103" s="52"/>
      <c r="AE103" s="52"/>
      <c r="AF103" s="52"/>
      <c r="AG103" s="52"/>
      <c r="AH103" s="52"/>
      <c r="AI103" s="52"/>
      <c r="AJ103" s="52"/>
      <c r="AK103" s="11"/>
      <c r="AL103" s="11"/>
      <c r="AM103" s="11"/>
      <c r="AN103" s="11"/>
      <c r="AO103" s="11"/>
      <c r="AP103" s="11"/>
    </row>
    <row r="104" spans="1:57" x14ac:dyDescent="0.25">
      <c r="A104" s="4" t="s">
        <v>251</v>
      </c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</row>
    <row r="105" spans="1:57" s="23" customFormat="1" x14ac:dyDescent="0.25">
      <c r="B105" s="23" t="s">
        <v>13</v>
      </c>
      <c r="E105" s="57"/>
      <c r="F105" s="57"/>
      <c r="G105" s="57"/>
      <c r="H105" s="57"/>
      <c r="I105" s="57"/>
      <c r="J105" s="57"/>
      <c r="K105" s="57"/>
      <c r="L105" s="57"/>
      <c r="M105" s="57"/>
      <c r="N105" s="57"/>
      <c r="O105" s="57"/>
      <c r="P105" s="57"/>
      <c r="Q105" s="57"/>
      <c r="R105" s="57"/>
      <c r="S105" s="57"/>
      <c r="T105" s="57"/>
      <c r="U105" s="57"/>
      <c r="V105" s="57"/>
      <c r="W105" s="57"/>
      <c r="X105" s="57"/>
      <c r="Y105" s="57"/>
      <c r="Z105" s="57"/>
      <c r="AA105" s="57"/>
      <c r="AB105" s="57"/>
      <c r="AC105" s="57"/>
      <c r="AD105" s="57"/>
      <c r="AE105" s="57"/>
      <c r="AF105" s="57"/>
      <c r="AG105" s="57"/>
      <c r="AH105" s="57"/>
      <c r="AI105" s="57"/>
      <c r="AJ105" s="57"/>
      <c r="AK105" s="57"/>
      <c r="AL105" s="57"/>
      <c r="AM105" s="57"/>
      <c r="AN105" s="57"/>
      <c r="AO105" s="57"/>
      <c r="AP105" s="57"/>
      <c r="AQ105" s="24"/>
      <c r="AR105" s="24"/>
      <c r="AS105" s="24"/>
      <c r="AT105" s="24"/>
      <c r="AU105" s="24"/>
      <c r="AV105" s="24"/>
      <c r="AW105" s="24"/>
      <c r="AX105" s="24"/>
      <c r="AY105" s="24"/>
      <c r="AZ105" s="24"/>
      <c r="BA105" s="24"/>
      <c r="BE105" s="25"/>
    </row>
    <row r="106" spans="1:57" x14ac:dyDescent="0.25">
      <c r="C106" t="s">
        <v>255</v>
      </c>
      <c r="E106" s="87"/>
      <c r="F106" s="87"/>
      <c r="G106" s="87"/>
      <c r="H106" s="87"/>
      <c r="I106" s="87"/>
      <c r="J106" s="87"/>
      <c r="K106" s="87"/>
      <c r="L106" s="87"/>
      <c r="M106" s="87"/>
      <c r="N106" s="87"/>
      <c r="O106" s="87"/>
      <c r="P106" s="87"/>
      <c r="Q106" s="87"/>
      <c r="R106" s="87"/>
      <c r="S106" s="87"/>
      <c r="T106" s="87"/>
      <c r="U106" s="87"/>
      <c r="V106" s="87"/>
      <c r="W106" s="87"/>
      <c r="X106" s="87"/>
      <c r="Y106" s="87"/>
      <c r="Z106" s="87"/>
      <c r="AA106" s="87">
        <f>Z109</f>
        <v>600</v>
      </c>
      <c r="AB106" s="87">
        <f t="shared" ref="AB106:AL106" si="48">AA109</f>
        <v>676.5</v>
      </c>
      <c r="AC106" s="87">
        <f t="shared" si="48"/>
        <v>586.5</v>
      </c>
      <c r="AD106" s="87">
        <f t="shared" si="48"/>
        <v>636.5</v>
      </c>
      <c r="AE106" s="87">
        <f t="shared" si="48"/>
        <v>651.5</v>
      </c>
      <c r="AF106" s="87">
        <f t="shared" si="48"/>
        <v>566.5</v>
      </c>
      <c r="AG106" s="87">
        <f t="shared" si="48"/>
        <v>481.5</v>
      </c>
      <c r="AH106" s="87">
        <f t="shared" si="48"/>
        <v>616.5</v>
      </c>
      <c r="AI106" s="87">
        <f t="shared" si="48"/>
        <v>551.5</v>
      </c>
      <c r="AJ106" s="87">
        <f t="shared" si="48"/>
        <v>351.5</v>
      </c>
      <c r="AK106" s="87">
        <f t="shared" si="48"/>
        <v>351.5</v>
      </c>
      <c r="AL106" s="87">
        <f t="shared" si="48"/>
        <v>351.5</v>
      </c>
      <c r="AM106" s="87">
        <f>AL109</f>
        <v>351.5</v>
      </c>
      <c r="AN106" s="87">
        <f>AM109</f>
        <v>351.5</v>
      </c>
      <c r="AO106" s="87">
        <f>AN109</f>
        <v>351.5</v>
      </c>
      <c r="AP106" s="87">
        <f>AO109</f>
        <v>351.5</v>
      </c>
    </row>
    <row r="107" spans="1:57" x14ac:dyDescent="0.25">
      <c r="C107" s="44" t="s">
        <v>185</v>
      </c>
      <c r="E107" s="87"/>
      <c r="F107" s="87"/>
      <c r="G107" s="87"/>
      <c r="H107" s="87"/>
      <c r="I107" s="87"/>
      <c r="J107" s="87"/>
      <c r="K107" s="87"/>
      <c r="L107" s="87"/>
      <c r="M107" s="87"/>
      <c r="N107" s="87"/>
      <c r="O107" s="87"/>
      <c r="P107" s="87"/>
      <c r="Q107" s="87"/>
      <c r="R107" s="87"/>
      <c r="S107" s="87"/>
      <c r="T107" s="87"/>
      <c r="U107" s="87"/>
      <c r="V107" s="87"/>
      <c r="W107" s="87"/>
      <c r="X107" s="87"/>
      <c r="Y107" s="87"/>
      <c r="Z107" s="87"/>
      <c r="AA107" s="93">
        <v>160</v>
      </c>
      <c r="AB107" s="93">
        <v>200</v>
      </c>
      <c r="AC107" s="93">
        <v>150</v>
      </c>
      <c r="AD107" s="93">
        <v>115</v>
      </c>
      <c r="AE107" s="93">
        <f t="shared" ref="AE107:AL107" si="49">AD107</f>
        <v>115</v>
      </c>
      <c r="AF107" s="93">
        <f t="shared" si="49"/>
        <v>115</v>
      </c>
      <c r="AG107" s="93">
        <v>250</v>
      </c>
      <c r="AH107" s="93">
        <v>50</v>
      </c>
      <c r="AI107" s="93">
        <v>50</v>
      </c>
      <c r="AJ107" s="93">
        <f t="shared" si="49"/>
        <v>50</v>
      </c>
      <c r="AK107" s="93">
        <f t="shared" si="49"/>
        <v>50</v>
      </c>
      <c r="AL107" s="93">
        <f t="shared" si="49"/>
        <v>50</v>
      </c>
      <c r="AM107" s="93">
        <f>AL107</f>
        <v>50</v>
      </c>
      <c r="AN107" s="93">
        <f>AM107</f>
        <v>50</v>
      </c>
      <c r="AO107" s="93">
        <f>AN107</f>
        <v>50</v>
      </c>
      <c r="AP107" s="93">
        <f>AO107</f>
        <v>50</v>
      </c>
    </row>
    <row r="108" spans="1:57" x14ac:dyDescent="0.25">
      <c r="C108" s="44" t="s">
        <v>257</v>
      </c>
      <c r="E108" s="87"/>
      <c r="F108" s="87"/>
      <c r="G108" s="87"/>
      <c r="H108" s="87"/>
      <c r="I108" s="87"/>
      <c r="J108" s="87"/>
      <c r="K108" s="87"/>
      <c r="L108" s="87"/>
      <c r="M108" s="87"/>
      <c r="N108" s="87"/>
      <c r="O108" s="87"/>
      <c r="P108" s="87"/>
      <c r="Q108" s="87"/>
      <c r="R108" s="87"/>
      <c r="S108" s="87"/>
      <c r="T108" s="87"/>
      <c r="U108" s="87"/>
      <c r="V108" s="87"/>
      <c r="W108" s="87"/>
      <c r="X108" s="87"/>
      <c r="Y108" s="87"/>
      <c r="Z108" s="87"/>
      <c r="AA108" s="93">
        <v>83.5</v>
      </c>
      <c r="AB108" s="93">
        <v>290</v>
      </c>
      <c r="AC108" s="93">
        <v>100</v>
      </c>
      <c r="AD108" s="93">
        <v>100</v>
      </c>
      <c r="AE108" s="93">
        <v>200</v>
      </c>
      <c r="AF108" s="93">
        <v>200</v>
      </c>
      <c r="AG108" s="93">
        <f t="shared" ref="AG108:AL108" si="50">AE107</f>
        <v>115</v>
      </c>
      <c r="AH108" s="93">
        <f t="shared" si="50"/>
        <v>115</v>
      </c>
      <c r="AI108" s="93">
        <f t="shared" si="50"/>
        <v>250</v>
      </c>
      <c r="AJ108" s="93">
        <f t="shared" si="50"/>
        <v>50</v>
      </c>
      <c r="AK108" s="93">
        <f t="shared" si="50"/>
        <v>50</v>
      </c>
      <c r="AL108" s="93">
        <f t="shared" si="50"/>
        <v>50</v>
      </c>
      <c r="AM108" s="93">
        <f>AK107</f>
        <v>50</v>
      </c>
      <c r="AN108" s="93">
        <f>AL107</f>
        <v>50</v>
      </c>
      <c r="AO108" s="93">
        <f>AM107</f>
        <v>50</v>
      </c>
      <c r="AP108" s="93">
        <f>AN107</f>
        <v>50</v>
      </c>
    </row>
    <row r="109" spans="1:57" s="90" customFormat="1" x14ac:dyDescent="0.25">
      <c r="C109" s="90" t="s">
        <v>256</v>
      </c>
      <c r="E109" s="91"/>
      <c r="F109" s="91"/>
      <c r="G109" s="91"/>
      <c r="H109" s="91"/>
      <c r="I109" s="91"/>
      <c r="J109" s="91"/>
      <c r="K109" s="91"/>
      <c r="L109" s="91"/>
      <c r="M109" s="91"/>
      <c r="N109" s="91"/>
      <c r="O109" s="91"/>
      <c r="P109" s="91"/>
      <c r="Q109" s="91"/>
      <c r="R109" s="91"/>
      <c r="S109" s="91"/>
      <c r="T109" s="91"/>
      <c r="U109" s="91"/>
      <c r="V109" s="91"/>
      <c r="W109" s="91"/>
      <c r="X109" s="91"/>
      <c r="Y109" s="91"/>
      <c r="Z109" s="94">
        <v>600</v>
      </c>
      <c r="AA109" s="91">
        <f>AA106+AA107-AA108</f>
        <v>676.5</v>
      </c>
      <c r="AB109" s="91">
        <f t="shared" ref="AB109:AL109" si="51">AB106+AB107-AB108</f>
        <v>586.5</v>
      </c>
      <c r="AC109" s="91">
        <f t="shared" si="51"/>
        <v>636.5</v>
      </c>
      <c r="AD109" s="91">
        <f t="shared" si="51"/>
        <v>651.5</v>
      </c>
      <c r="AE109" s="91">
        <f t="shared" si="51"/>
        <v>566.5</v>
      </c>
      <c r="AF109" s="91">
        <f t="shared" si="51"/>
        <v>481.5</v>
      </c>
      <c r="AG109" s="91">
        <f t="shared" si="51"/>
        <v>616.5</v>
      </c>
      <c r="AH109" s="91">
        <f t="shared" si="51"/>
        <v>551.5</v>
      </c>
      <c r="AI109" s="91">
        <f t="shared" si="51"/>
        <v>351.5</v>
      </c>
      <c r="AJ109" s="91">
        <f t="shared" si="51"/>
        <v>351.5</v>
      </c>
      <c r="AK109" s="91">
        <f t="shared" si="51"/>
        <v>351.5</v>
      </c>
      <c r="AL109" s="91">
        <f t="shared" si="51"/>
        <v>351.5</v>
      </c>
      <c r="AM109" s="91">
        <f>AM106+AM107-AM108</f>
        <v>351.5</v>
      </c>
      <c r="AN109" s="91">
        <f>AN106+AN107-AN108</f>
        <v>351.5</v>
      </c>
      <c r="AO109" s="91">
        <f>AO106+AO107-AO108</f>
        <v>351.5</v>
      </c>
      <c r="AP109" s="91">
        <f>AP106+AP107-AP108</f>
        <v>351.5</v>
      </c>
    </row>
    <row r="110" spans="1:57" x14ac:dyDescent="0.25">
      <c r="C110" t="s">
        <v>258</v>
      </c>
      <c r="E110" s="54"/>
      <c r="F110" s="54"/>
      <c r="G110" s="54"/>
      <c r="H110" s="54"/>
      <c r="I110" s="54"/>
      <c r="J110" s="54"/>
      <c r="K110" s="54"/>
      <c r="L110" s="54"/>
      <c r="M110" s="54"/>
      <c r="N110" s="54"/>
      <c r="O110" s="54"/>
      <c r="P110" s="54"/>
      <c r="Q110" s="54"/>
      <c r="R110" s="54"/>
      <c r="S110" s="54"/>
      <c r="T110" s="54"/>
      <c r="U110" s="54"/>
      <c r="V110" s="54"/>
      <c r="W110" s="54"/>
      <c r="X110" s="54"/>
      <c r="Y110" s="54"/>
      <c r="Z110" s="64"/>
      <c r="AA110" s="69">
        <v>0.06</v>
      </c>
      <c r="AB110" s="69">
        <f>AA110</f>
        <v>0.06</v>
      </c>
      <c r="AC110" s="69">
        <f t="shared" ref="AC110:AL110" si="52">AB110</f>
        <v>0.06</v>
      </c>
      <c r="AD110" s="69">
        <f t="shared" si="52"/>
        <v>0.06</v>
      </c>
      <c r="AE110" s="69">
        <f t="shared" si="52"/>
        <v>0.06</v>
      </c>
      <c r="AF110" s="69">
        <f t="shared" si="52"/>
        <v>0.06</v>
      </c>
      <c r="AG110" s="69">
        <f t="shared" si="52"/>
        <v>0.06</v>
      </c>
      <c r="AH110" s="69">
        <f t="shared" si="52"/>
        <v>0.06</v>
      </c>
      <c r="AI110" s="69">
        <f t="shared" si="52"/>
        <v>0.06</v>
      </c>
      <c r="AJ110" s="69">
        <f t="shared" si="52"/>
        <v>0.06</v>
      </c>
      <c r="AK110" s="69">
        <f t="shared" si="52"/>
        <v>0.06</v>
      </c>
      <c r="AL110" s="69">
        <f t="shared" si="52"/>
        <v>0.06</v>
      </c>
      <c r="AM110" s="69">
        <f t="shared" ref="AM110:AP111" si="53">AL110</f>
        <v>0.06</v>
      </c>
      <c r="AN110" s="69">
        <f t="shared" si="53"/>
        <v>0.06</v>
      </c>
      <c r="AO110" s="69">
        <f t="shared" si="53"/>
        <v>0.06</v>
      </c>
      <c r="AP110" s="69">
        <f t="shared" si="53"/>
        <v>0.06</v>
      </c>
    </row>
    <row r="111" spans="1:57" x14ac:dyDescent="0.25">
      <c r="C111" t="s">
        <v>259</v>
      </c>
      <c r="E111" s="54"/>
      <c r="F111" s="54"/>
      <c r="G111" s="54"/>
      <c r="H111" s="54"/>
      <c r="I111" s="54"/>
      <c r="J111" s="54"/>
      <c r="K111" s="54"/>
      <c r="L111" s="54"/>
      <c r="M111" s="54"/>
      <c r="N111" s="54"/>
      <c r="O111" s="54"/>
      <c r="P111" s="54"/>
      <c r="Q111" s="54"/>
      <c r="R111" s="54"/>
      <c r="S111" s="54"/>
      <c r="T111" s="54"/>
      <c r="U111" s="54"/>
      <c r="V111" s="54"/>
      <c r="W111" s="54"/>
      <c r="X111" s="54"/>
      <c r="Y111" s="54"/>
      <c r="Z111" s="64"/>
      <c r="AA111" s="69">
        <v>0.05</v>
      </c>
      <c r="AB111" s="69">
        <f>AA111</f>
        <v>0.05</v>
      </c>
      <c r="AC111" s="69">
        <f t="shared" ref="AC111:AL111" si="54">AB111</f>
        <v>0.05</v>
      </c>
      <c r="AD111" s="69">
        <f t="shared" si="54"/>
        <v>0.05</v>
      </c>
      <c r="AE111" s="69">
        <f t="shared" si="54"/>
        <v>0.05</v>
      </c>
      <c r="AF111" s="69">
        <f t="shared" si="54"/>
        <v>0.05</v>
      </c>
      <c r="AG111" s="69">
        <f t="shared" si="54"/>
        <v>0.05</v>
      </c>
      <c r="AH111" s="69">
        <f t="shared" si="54"/>
        <v>0.05</v>
      </c>
      <c r="AI111" s="69">
        <f t="shared" si="54"/>
        <v>0.05</v>
      </c>
      <c r="AJ111" s="69">
        <f t="shared" si="54"/>
        <v>0.05</v>
      </c>
      <c r="AK111" s="69">
        <f t="shared" si="54"/>
        <v>0.05</v>
      </c>
      <c r="AL111" s="69">
        <f t="shared" si="54"/>
        <v>0.05</v>
      </c>
      <c r="AM111" s="69">
        <f t="shared" si="53"/>
        <v>0.05</v>
      </c>
      <c r="AN111" s="69">
        <f t="shared" si="53"/>
        <v>0.05</v>
      </c>
      <c r="AO111" s="69">
        <f t="shared" si="53"/>
        <v>0.05</v>
      </c>
      <c r="AP111" s="69">
        <f t="shared" si="53"/>
        <v>0.05</v>
      </c>
    </row>
    <row r="112" spans="1:57" s="90" customFormat="1" x14ac:dyDescent="0.25">
      <c r="C112" s="90" t="s">
        <v>260</v>
      </c>
      <c r="E112" s="91"/>
      <c r="F112" s="91"/>
      <c r="G112" s="91"/>
      <c r="H112" s="91"/>
      <c r="I112" s="91"/>
      <c r="J112" s="91"/>
      <c r="K112" s="91"/>
      <c r="L112" s="91"/>
      <c r="M112" s="91"/>
      <c r="N112" s="91"/>
      <c r="O112" s="91"/>
      <c r="P112" s="91"/>
      <c r="Q112" s="91"/>
      <c r="R112" s="91"/>
      <c r="S112" s="91"/>
      <c r="T112" s="91"/>
      <c r="U112" s="91"/>
      <c r="V112" s="91"/>
      <c r="W112" s="91"/>
      <c r="X112" s="91"/>
      <c r="Y112" s="91"/>
      <c r="Z112" s="91"/>
      <c r="AA112" s="91">
        <f>AA108*AA110/AA111</f>
        <v>100.19999999999999</v>
      </c>
      <c r="AB112" s="91">
        <f>AB108*AB110/AB111</f>
        <v>347.99999999999994</v>
      </c>
      <c r="AC112" s="91">
        <f>AC108*AC110/AC111</f>
        <v>120</v>
      </c>
      <c r="AD112" s="91">
        <f t="shared" ref="AD112:AL112" si="55">AD108*AD110/AD111</f>
        <v>120</v>
      </c>
      <c r="AE112" s="91">
        <f t="shared" si="55"/>
        <v>240</v>
      </c>
      <c r="AF112" s="91">
        <f t="shared" si="55"/>
        <v>240</v>
      </c>
      <c r="AG112" s="91">
        <f t="shared" si="55"/>
        <v>137.99999999999997</v>
      </c>
      <c r="AH112" s="91">
        <f t="shared" si="55"/>
        <v>137.99999999999997</v>
      </c>
      <c r="AI112" s="91">
        <f t="shared" si="55"/>
        <v>300</v>
      </c>
      <c r="AJ112" s="91">
        <f t="shared" si="55"/>
        <v>60</v>
      </c>
      <c r="AK112" s="91">
        <f t="shared" si="55"/>
        <v>60</v>
      </c>
      <c r="AL112" s="91">
        <f t="shared" si="55"/>
        <v>60</v>
      </c>
      <c r="AM112" s="91">
        <f>AM108*AM110/AM111</f>
        <v>60</v>
      </c>
      <c r="AN112" s="91">
        <f>AN108*AN110/AN111</f>
        <v>60</v>
      </c>
      <c r="AO112" s="91">
        <f>AO108*AO110/AO111</f>
        <v>60</v>
      </c>
      <c r="AP112" s="91">
        <f>AP108*AP110/AP111</f>
        <v>60</v>
      </c>
    </row>
    <row r="113" spans="2:57" s="95" customFormat="1" x14ac:dyDescent="0.25">
      <c r="C113" s="95" t="s">
        <v>261</v>
      </c>
      <c r="E113" s="96"/>
      <c r="F113" s="96"/>
      <c r="G113" s="96"/>
      <c r="H113" s="96"/>
      <c r="I113" s="96"/>
      <c r="J113" s="96"/>
      <c r="K113" s="96"/>
      <c r="L113" s="96"/>
      <c r="M113" s="96"/>
      <c r="N113" s="96"/>
      <c r="O113" s="96"/>
      <c r="P113" s="96"/>
      <c r="Q113" s="96"/>
      <c r="R113" s="96"/>
      <c r="S113" s="96"/>
      <c r="T113" s="96"/>
      <c r="U113" s="96"/>
      <c r="V113" s="96"/>
      <c r="W113" s="96"/>
      <c r="X113" s="96"/>
      <c r="Y113" s="96"/>
      <c r="Z113" s="96"/>
      <c r="AA113" s="96">
        <f>Z113+AA112</f>
        <v>100.19999999999999</v>
      </c>
      <c r="AB113" s="96">
        <f>AA113*(1+AB45)^(1/2)+AB112</f>
        <v>449.69189348222397</v>
      </c>
      <c r="AC113" s="96">
        <f t="shared" ref="AC113:AL113" si="56">AB113*(1+AC45)^(1/2)+AC112</f>
        <v>580.79706923634967</v>
      </c>
      <c r="AD113" s="96">
        <f t="shared" si="56"/>
        <v>715.13989734785036</v>
      </c>
      <c r="AE113" s="96">
        <f t="shared" si="56"/>
        <v>969.30245830508602</v>
      </c>
      <c r="AF113" s="96">
        <f t="shared" si="56"/>
        <v>1228.4984298942181</v>
      </c>
      <c r="AG113" s="96">
        <f t="shared" si="56"/>
        <v>1390.8274932897432</v>
      </c>
      <c r="AH113" s="96">
        <f t="shared" si="56"/>
        <v>1556.3713056651477</v>
      </c>
      <c r="AI113" s="96">
        <f t="shared" si="56"/>
        <v>1887.1935315964938</v>
      </c>
      <c r="AJ113" s="96">
        <f t="shared" si="56"/>
        <v>1984.5673287073209</v>
      </c>
      <c r="AK113" s="96">
        <f t="shared" si="56"/>
        <v>2083.8695070234671</v>
      </c>
      <c r="AL113" s="96">
        <f t="shared" si="56"/>
        <v>2185.1382560187271</v>
      </c>
      <c r="AM113" s="96">
        <f>AL113*(1+AM45)^(1/2)+AM112</f>
        <v>2288.4125214675196</v>
      </c>
      <c r="AN113" s="96">
        <f>AM113*(1+AN45)^(1/2)+AN112</f>
        <v>2393.7320204225903</v>
      </c>
      <c r="AO113" s="96">
        <f>AN113*(1+AO45)^(1/2)+AO112</f>
        <v>2501.137256489334</v>
      </c>
      <c r="AP113" s="96">
        <f>AO113*(1+AP45)^(1/2)+AP112</f>
        <v>2610.6695354026074</v>
      </c>
    </row>
    <row r="114" spans="2:57" s="6" customFormat="1" x14ac:dyDescent="0.25">
      <c r="C114" s="6" t="s">
        <v>116</v>
      </c>
      <c r="E114" s="46"/>
      <c r="F114" s="46"/>
      <c r="G114" s="46"/>
      <c r="H114" s="46"/>
      <c r="I114" s="46"/>
      <c r="J114" s="46"/>
      <c r="K114" s="46"/>
      <c r="L114" s="46"/>
      <c r="M114" s="46"/>
      <c r="N114" s="46"/>
      <c r="O114" s="46"/>
      <c r="P114" s="46"/>
      <c r="Q114" s="46"/>
      <c r="R114" s="46"/>
      <c r="S114" s="46"/>
      <c r="T114" s="46"/>
      <c r="U114" s="46"/>
      <c r="V114" s="46"/>
      <c r="W114" s="46"/>
      <c r="X114" s="46"/>
      <c r="Y114" s="46"/>
      <c r="Z114" s="46"/>
      <c r="AA114" s="46"/>
      <c r="AB114" s="46">
        <f>AA113*AB111*0.5+AB112*AB111*0.5*0.5*0.5</f>
        <v>4.68</v>
      </c>
      <c r="AC114" s="46">
        <f t="shared" ref="AC114:AL114" si="57">AB113*AC111*0.5+AC112*AC111*0.5*0.5*0.5</f>
        <v>11.9922973370556</v>
      </c>
      <c r="AD114" s="46">
        <f t="shared" si="57"/>
        <v>15.269926730908743</v>
      </c>
      <c r="AE114" s="46">
        <f t="shared" si="57"/>
        <v>19.378497433696261</v>
      </c>
      <c r="AF114" s="46">
        <f t="shared" si="57"/>
        <v>25.732561457627153</v>
      </c>
      <c r="AG114" s="46">
        <f t="shared" si="57"/>
        <v>31.574960747355455</v>
      </c>
      <c r="AH114" s="46">
        <f t="shared" si="57"/>
        <v>35.63318733224358</v>
      </c>
      <c r="AI114" s="46">
        <f t="shared" si="57"/>
        <v>40.784282641628693</v>
      </c>
      <c r="AJ114" s="46">
        <f t="shared" si="57"/>
        <v>47.554838289912347</v>
      </c>
      <c r="AK114" s="46">
        <f t="shared" si="57"/>
        <v>49.989183217683028</v>
      </c>
      <c r="AL114" s="46">
        <f t="shared" si="57"/>
        <v>52.471737675586681</v>
      </c>
      <c r="AM114" s="46">
        <f>AL113*AM111*0.5+AM112*AM111*0.5*0.5*0.5</f>
        <v>55.003456400468181</v>
      </c>
      <c r="AN114" s="46">
        <f>AM113*AN111*0.5+AN112*AN111*0.5*0.5*0.5</f>
        <v>57.585313036687992</v>
      </c>
      <c r="AO114" s="46">
        <f>AN113*AO111*0.5+AO112*AO111*0.5*0.5*0.5</f>
        <v>60.21830051056476</v>
      </c>
      <c r="AP114" s="46">
        <f>AO113*AP111*0.5+AP112*AP111*0.5*0.5*0.5</f>
        <v>62.903431412233353</v>
      </c>
    </row>
    <row r="115" spans="2:57" x14ac:dyDescent="0.25">
      <c r="U115" s="35"/>
      <c r="V115" s="35"/>
      <c r="W115" s="35"/>
      <c r="X115" s="35"/>
      <c r="Y115" s="35"/>
      <c r="Z115" s="35"/>
      <c r="AA115" s="35"/>
    </row>
    <row r="116" spans="2:57" x14ac:dyDescent="0.25">
      <c r="U116" s="35"/>
      <c r="V116" s="35"/>
      <c r="W116" s="35"/>
      <c r="X116" s="35"/>
      <c r="Y116" s="35"/>
      <c r="Z116" s="35"/>
      <c r="AA116" s="35"/>
      <c r="AB116" s="119">
        <f>AB112+AA112</f>
        <v>448.19999999999993</v>
      </c>
      <c r="AD116" s="119">
        <f>AD112+AC112</f>
        <v>240</v>
      </c>
      <c r="AF116" s="119">
        <f>AF112+AE112</f>
        <v>480</v>
      </c>
    </row>
    <row r="117" spans="2:57" s="23" customFormat="1" x14ac:dyDescent="0.25">
      <c r="B117" s="23" t="s">
        <v>262</v>
      </c>
      <c r="E117" s="57"/>
      <c r="F117" s="57"/>
      <c r="G117" s="57"/>
      <c r="H117" s="57"/>
      <c r="I117" s="57"/>
      <c r="J117" s="57"/>
      <c r="K117" s="57"/>
      <c r="L117" s="57"/>
      <c r="M117" s="57"/>
      <c r="N117" s="57"/>
      <c r="O117" s="57"/>
      <c r="P117" s="57"/>
      <c r="Q117" s="57"/>
      <c r="R117" s="57"/>
      <c r="S117" s="57"/>
      <c r="T117" s="57"/>
      <c r="U117" s="57"/>
      <c r="V117" s="57"/>
      <c r="W117" s="57"/>
      <c r="X117" s="57"/>
      <c r="Y117" s="57"/>
      <c r="Z117" s="57"/>
      <c r="AA117" s="57"/>
      <c r="AB117" s="57"/>
      <c r="AC117" s="57"/>
      <c r="AD117" s="57"/>
      <c r="AE117" s="57"/>
      <c r="AF117" s="57"/>
      <c r="AG117" s="57"/>
      <c r="AH117" s="57"/>
      <c r="AI117" s="57"/>
      <c r="AJ117" s="57"/>
      <c r="AK117" s="57"/>
      <c r="AL117" s="57"/>
      <c r="AM117" s="57"/>
      <c r="AN117" s="57"/>
      <c r="AO117" s="57"/>
      <c r="AP117" s="57"/>
      <c r="AQ117" s="24"/>
      <c r="AR117" s="24"/>
      <c r="AS117" s="24"/>
      <c r="AT117" s="24"/>
      <c r="AU117" s="24"/>
      <c r="AV117" s="24"/>
      <c r="AW117" s="24"/>
      <c r="AX117" s="24"/>
      <c r="AY117" s="24"/>
      <c r="AZ117" s="24"/>
      <c r="BA117" s="24"/>
      <c r="BE117" s="25"/>
    </row>
  </sheetData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B5210-8378-41C4-85B1-62C199D86550}">
  <sheetPr codeName="Sheet10"/>
  <dimension ref="A1:BE92"/>
  <sheetViews>
    <sheetView zoomScale="85" zoomScaleNormal="85" workbookViewId="0">
      <pane xSplit="4" ySplit="7" topLeftCell="U8" activePane="bottomRight" state="frozen"/>
      <selection pane="topRight" activeCell="E1" sqref="E1"/>
      <selection pane="bottomLeft" activeCell="A12" sqref="A12"/>
      <selection pane="bottomRight" activeCell="AH27" sqref="AH27"/>
    </sheetView>
  </sheetViews>
  <sheetFormatPr defaultRowHeight="15" outlineLevelRow="1" x14ac:dyDescent="0.25"/>
  <cols>
    <col min="1" max="1" width="3.42578125" customWidth="1"/>
    <col min="2" max="2" width="4" customWidth="1"/>
    <col min="3" max="3" width="45.7109375" customWidth="1"/>
    <col min="5" max="42" width="10.7109375" customWidth="1"/>
  </cols>
  <sheetData>
    <row r="1" spans="1:57" x14ac:dyDescent="0.25">
      <c r="A1" s="1" t="str">
        <f>Group!A1</f>
        <v>SGP Model - Morgan Stanley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</row>
    <row r="2" spans="1:57" x14ac:dyDescent="0.25">
      <c r="A2" s="15" t="s">
        <v>117</v>
      </c>
      <c r="B2" s="15"/>
      <c r="C2" s="15"/>
      <c r="D2" s="15"/>
      <c r="E2" s="16">
        <v>40908</v>
      </c>
      <c r="F2" s="16">
        <f>EOMONTH(E2,6)</f>
        <v>41090</v>
      </c>
      <c r="G2" s="16">
        <f t="shared" ref="G2:AL2" si="0">EOMONTH(F2,6)</f>
        <v>41274</v>
      </c>
      <c r="H2" s="16">
        <f t="shared" si="0"/>
        <v>41455</v>
      </c>
      <c r="I2" s="16">
        <f t="shared" si="0"/>
        <v>41639</v>
      </c>
      <c r="J2" s="16">
        <f t="shared" si="0"/>
        <v>41820</v>
      </c>
      <c r="K2" s="16">
        <f t="shared" si="0"/>
        <v>42004</v>
      </c>
      <c r="L2" s="16">
        <f t="shared" si="0"/>
        <v>42185</v>
      </c>
      <c r="M2" s="16">
        <f t="shared" si="0"/>
        <v>42369</v>
      </c>
      <c r="N2" s="16">
        <f t="shared" si="0"/>
        <v>42551</v>
      </c>
      <c r="O2" s="16">
        <f t="shared" si="0"/>
        <v>42735</v>
      </c>
      <c r="P2" s="16">
        <f t="shared" si="0"/>
        <v>42916</v>
      </c>
      <c r="Q2" s="16">
        <f t="shared" si="0"/>
        <v>43100</v>
      </c>
      <c r="R2" s="16">
        <f t="shared" si="0"/>
        <v>43281</v>
      </c>
      <c r="S2" s="16">
        <f t="shared" si="0"/>
        <v>43465</v>
      </c>
      <c r="T2" s="16">
        <f t="shared" si="0"/>
        <v>43646</v>
      </c>
      <c r="U2" s="16">
        <f t="shared" si="0"/>
        <v>43830</v>
      </c>
      <c r="V2" s="16">
        <f t="shared" si="0"/>
        <v>44012</v>
      </c>
      <c r="W2" s="16">
        <f t="shared" si="0"/>
        <v>44196</v>
      </c>
      <c r="X2" s="16">
        <f t="shared" si="0"/>
        <v>44377</v>
      </c>
      <c r="Y2" s="16">
        <f t="shared" si="0"/>
        <v>44561</v>
      </c>
      <c r="Z2" s="16">
        <f t="shared" si="0"/>
        <v>44742</v>
      </c>
      <c r="AA2" s="16">
        <f t="shared" si="0"/>
        <v>44926</v>
      </c>
      <c r="AB2" s="16">
        <f t="shared" si="0"/>
        <v>45107</v>
      </c>
      <c r="AC2" s="16">
        <f t="shared" si="0"/>
        <v>45291</v>
      </c>
      <c r="AD2" s="16">
        <f t="shared" si="0"/>
        <v>45473</v>
      </c>
      <c r="AE2" s="16">
        <f t="shared" si="0"/>
        <v>45657</v>
      </c>
      <c r="AF2" s="16">
        <f t="shared" si="0"/>
        <v>45838</v>
      </c>
      <c r="AG2" s="16">
        <f t="shared" si="0"/>
        <v>46022</v>
      </c>
      <c r="AH2" s="16">
        <f t="shared" si="0"/>
        <v>46203</v>
      </c>
      <c r="AI2" s="16">
        <f t="shared" si="0"/>
        <v>46387</v>
      </c>
      <c r="AJ2" s="16">
        <f t="shared" si="0"/>
        <v>46568</v>
      </c>
      <c r="AK2" s="48">
        <f t="shared" si="0"/>
        <v>46752</v>
      </c>
      <c r="AL2" s="48">
        <f t="shared" si="0"/>
        <v>46934</v>
      </c>
      <c r="AM2" s="48">
        <f>EOMONTH(AL2,6)</f>
        <v>47118</v>
      </c>
      <c r="AN2" s="48">
        <f>EOMONTH(AM2,6)</f>
        <v>47299</v>
      </c>
      <c r="AO2" s="48">
        <f>EOMONTH(AN2,6)</f>
        <v>47483</v>
      </c>
      <c r="AP2" s="48">
        <f>EOMONTH(AO2,6)</f>
        <v>47664</v>
      </c>
    </row>
    <row r="3" spans="1:57" ht="15.75" thickBot="1" x14ac:dyDescent="0.3">
      <c r="A3" s="2"/>
      <c r="B3" s="2"/>
      <c r="C3" s="2"/>
      <c r="D3" s="2"/>
      <c r="E3" s="18" t="str">
        <f t="shared" ref="E3:AL3" si="1">E4&amp;"-"&amp;E5</f>
        <v>2012-H1</v>
      </c>
      <c r="F3" s="18" t="str">
        <f t="shared" si="1"/>
        <v>2012-H2</v>
      </c>
      <c r="G3" s="18" t="str">
        <f t="shared" si="1"/>
        <v>2013-H1</v>
      </c>
      <c r="H3" s="18" t="str">
        <f t="shared" si="1"/>
        <v>2013-H2</v>
      </c>
      <c r="I3" s="18" t="str">
        <f t="shared" si="1"/>
        <v>2014-H1</v>
      </c>
      <c r="J3" s="18" t="str">
        <f t="shared" si="1"/>
        <v>2014-H2</v>
      </c>
      <c r="K3" s="18" t="str">
        <f t="shared" si="1"/>
        <v>2015-H1</v>
      </c>
      <c r="L3" s="18" t="str">
        <f t="shared" si="1"/>
        <v>2015-H2</v>
      </c>
      <c r="M3" s="18" t="str">
        <f t="shared" si="1"/>
        <v>2016-H1</v>
      </c>
      <c r="N3" s="18" t="str">
        <f t="shared" si="1"/>
        <v>2016-H2</v>
      </c>
      <c r="O3" s="18" t="str">
        <f t="shared" si="1"/>
        <v>2017-H1</v>
      </c>
      <c r="P3" s="18" t="str">
        <f t="shared" si="1"/>
        <v>2017-H2</v>
      </c>
      <c r="Q3" s="18" t="str">
        <f t="shared" si="1"/>
        <v>2018-H1</v>
      </c>
      <c r="R3" s="18" t="str">
        <f t="shared" si="1"/>
        <v>2018-H2</v>
      </c>
      <c r="S3" s="18" t="str">
        <f t="shared" si="1"/>
        <v>2019-H1</v>
      </c>
      <c r="T3" s="18" t="str">
        <f t="shared" si="1"/>
        <v>2019-H2</v>
      </c>
      <c r="U3" s="18" t="str">
        <f t="shared" si="1"/>
        <v>2020-H1</v>
      </c>
      <c r="V3" s="18" t="str">
        <f t="shared" si="1"/>
        <v>2020-H2</v>
      </c>
      <c r="W3" s="18" t="str">
        <f t="shared" si="1"/>
        <v>2021-H1</v>
      </c>
      <c r="X3" s="18" t="str">
        <f t="shared" si="1"/>
        <v>2021-H2</v>
      </c>
      <c r="Y3" s="18" t="str">
        <f t="shared" si="1"/>
        <v>2022-H1</v>
      </c>
      <c r="Z3" s="18" t="str">
        <f t="shared" si="1"/>
        <v>2022-H2</v>
      </c>
      <c r="AA3" s="18" t="str">
        <f t="shared" si="1"/>
        <v>2023-H1</v>
      </c>
      <c r="AB3" s="18" t="str">
        <f t="shared" si="1"/>
        <v>2023-H2</v>
      </c>
      <c r="AC3" s="18" t="str">
        <f t="shared" si="1"/>
        <v>2024-H1</v>
      </c>
      <c r="AD3" s="18" t="str">
        <f t="shared" si="1"/>
        <v>2024-H2</v>
      </c>
      <c r="AE3" s="18" t="str">
        <f t="shared" si="1"/>
        <v>2025-H1</v>
      </c>
      <c r="AF3" s="18" t="str">
        <f t="shared" si="1"/>
        <v>2025-H2</v>
      </c>
      <c r="AG3" s="18" t="str">
        <f t="shared" si="1"/>
        <v>2026-H1</v>
      </c>
      <c r="AH3" s="18" t="str">
        <f t="shared" si="1"/>
        <v>2026-H2</v>
      </c>
      <c r="AI3" s="18" t="str">
        <f t="shared" si="1"/>
        <v>2027-H1</v>
      </c>
      <c r="AJ3" s="18" t="str">
        <f t="shared" si="1"/>
        <v>2027-H2</v>
      </c>
      <c r="AK3" s="18" t="str">
        <f t="shared" si="1"/>
        <v>2028-H1</v>
      </c>
      <c r="AL3" s="18" t="str">
        <f t="shared" si="1"/>
        <v>2028-H2</v>
      </c>
      <c r="AM3" s="18" t="str">
        <f>AM4&amp;"-"&amp;AM5</f>
        <v>2029-H1</v>
      </c>
      <c r="AN3" s="18" t="str">
        <f>AN4&amp;"-"&amp;AN5</f>
        <v>2029-H2</v>
      </c>
      <c r="AO3" s="18" t="str">
        <f>AO4&amp;"-"&amp;AO5</f>
        <v>2030-H1</v>
      </c>
      <c r="AP3" s="18" t="str">
        <f>AP4&amp;"-"&amp;AP5</f>
        <v>2030-H2</v>
      </c>
    </row>
    <row r="4" spans="1:57" hidden="1" x14ac:dyDescent="0.25">
      <c r="E4">
        <v>2012</v>
      </c>
      <c r="F4">
        <f>E4</f>
        <v>2012</v>
      </c>
      <c r="G4">
        <f>E4+1</f>
        <v>2013</v>
      </c>
      <c r="H4">
        <f>F4+1</f>
        <v>2013</v>
      </c>
      <c r="I4">
        <f>G4+1</f>
        <v>2014</v>
      </c>
      <c r="J4">
        <f>H4+1</f>
        <v>2014</v>
      </c>
      <c r="K4">
        <f t="shared" ref="K4:AL4" si="2">I4+1</f>
        <v>2015</v>
      </c>
      <c r="L4">
        <f t="shared" si="2"/>
        <v>2015</v>
      </c>
      <c r="M4">
        <f t="shared" si="2"/>
        <v>2016</v>
      </c>
      <c r="N4">
        <f t="shared" si="2"/>
        <v>2016</v>
      </c>
      <c r="O4">
        <f t="shared" si="2"/>
        <v>2017</v>
      </c>
      <c r="P4">
        <f t="shared" si="2"/>
        <v>2017</v>
      </c>
      <c r="Q4">
        <f t="shared" si="2"/>
        <v>2018</v>
      </c>
      <c r="R4">
        <f t="shared" si="2"/>
        <v>2018</v>
      </c>
      <c r="S4">
        <f t="shared" si="2"/>
        <v>2019</v>
      </c>
      <c r="T4">
        <f t="shared" si="2"/>
        <v>2019</v>
      </c>
      <c r="U4">
        <f t="shared" si="2"/>
        <v>2020</v>
      </c>
      <c r="V4">
        <f t="shared" si="2"/>
        <v>2020</v>
      </c>
      <c r="W4">
        <f t="shared" si="2"/>
        <v>2021</v>
      </c>
      <c r="X4">
        <f t="shared" si="2"/>
        <v>2021</v>
      </c>
      <c r="Y4">
        <f t="shared" si="2"/>
        <v>2022</v>
      </c>
      <c r="Z4">
        <f t="shared" si="2"/>
        <v>2022</v>
      </c>
      <c r="AA4">
        <f t="shared" si="2"/>
        <v>2023</v>
      </c>
      <c r="AB4">
        <f t="shared" si="2"/>
        <v>2023</v>
      </c>
      <c r="AC4">
        <f t="shared" si="2"/>
        <v>2024</v>
      </c>
      <c r="AD4">
        <f t="shared" si="2"/>
        <v>2024</v>
      </c>
      <c r="AE4">
        <f t="shared" si="2"/>
        <v>2025</v>
      </c>
      <c r="AF4">
        <f t="shared" si="2"/>
        <v>2025</v>
      </c>
      <c r="AG4">
        <f t="shared" si="2"/>
        <v>2026</v>
      </c>
      <c r="AH4">
        <f t="shared" si="2"/>
        <v>2026</v>
      </c>
      <c r="AI4">
        <f t="shared" si="2"/>
        <v>2027</v>
      </c>
      <c r="AJ4">
        <f t="shared" si="2"/>
        <v>2027</v>
      </c>
      <c r="AK4">
        <f t="shared" si="2"/>
        <v>2028</v>
      </c>
      <c r="AL4">
        <f t="shared" si="2"/>
        <v>2028</v>
      </c>
      <c r="AM4">
        <f>AK4+1</f>
        <v>2029</v>
      </c>
      <c r="AN4">
        <f>AL4+1</f>
        <v>2029</v>
      </c>
      <c r="AO4">
        <f>AM4+1</f>
        <v>2030</v>
      </c>
      <c r="AP4">
        <f>AN4+1</f>
        <v>2030</v>
      </c>
    </row>
    <row r="5" spans="1:57" hidden="1" x14ac:dyDescent="0.25">
      <c r="E5" s="3" t="s">
        <v>28</v>
      </c>
      <c r="F5" s="3" t="s">
        <v>29</v>
      </c>
      <c r="G5" s="3" t="s">
        <v>28</v>
      </c>
      <c r="H5" s="3" t="s">
        <v>29</v>
      </c>
      <c r="I5" s="3" t="s">
        <v>28</v>
      </c>
      <c r="J5" s="3" t="s">
        <v>29</v>
      </c>
      <c r="K5" s="3" t="s">
        <v>28</v>
      </c>
      <c r="L5" s="3" t="s">
        <v>29</v>
      </c>
      <c r="M5" s="3" t="s">
        <v>28</v>
      </c>
      <c r="N5" s="3" t="s">
        <v>29</v>
      </c>
      <c r="O5" s="3" t="s">
        <v>28</v>
      </c>
      <c r="P5" s="3" t="s">
        <v>29</v>
      </c>
      <c r="Q5" s="3" t="str">
        <f>E5</f>
        <v>H1</v>
      </c>
      <c r="R5" s="3" t="str">
        <f>F5</f>
        <v>H2</v>
      </c>
      <c r="S5" s="3" t="str">
        <f t="shared" ref="S5:AL5" si="3">Q5</f>
        <v>H1</v>
      </c>
      <c r="T5" s="3" t="str">
        <f t="shared" si="3"/>
        <v>H2</v>
      </c>
      <c r="U5" s="3" t="str">
        <f t="shared" si="3"/>
        <v>H1</v>
      </c>
      <c r="V5" s="3" t="str">
        <f t="shared" si="3"/>
        <v>H2</v>
      </c>
      <c r="W5" s="3" t="str">
        <f t="shared" si="3"/>
        <v>H1</v>
      </c>
      <c r="X5" s="3" t="str">
        <f t="shared" si="3"/>
        <v>H2</v>
      </c>
      <c r="Y5" s="3" t="str">
        <f t="shared" si="3"/>
        <v>H1</v>
      </c>
      <c r="Z5" s="3" t="str">
        <f t="shared" si="3"/>
        <v>H2</v>
      </c>
      <c r="AA5" s="3" t="str">
        <f t="shared" si="3"/>
        <v>H1</v>
      </c>
      <c r="AB5" s="3" t="str">
        <f t="shared" si="3"/>
        <v>H2</v>
      </c>
      <c r="AC5" s="3" t="str">
        <f t="shared" si="3"/>
        <v>H1</v>
      </c>
      <c r="AD5" s="3" t="str">
        <f t="shared" si="3"/>
        <v>H2</v>
      </c>
      <c r="AE5" s="3" t="str">
        <f t="shared" si="3"/>
        <v>H1</v>
      </c>
      <c r="AF5" s="3" t="str">
        <f t="shared" si="3"/>
        <v>H2</v>
      </c>
      <c r="AG5" s="3" t="str">
        <f t="shared" si="3"/>
        <v>H1</v>
      </c>
      <c r="AH5" s="3" t="str">
        <f t="shared" si="3"/>
        <v>H2</v>
      </c>
      <c r="AI5" s="3" t="str">
        <f t="shared" si="3"/>
        <v>H1</v>
      </c>
      <c r="AJ5" s="3" t="str">
        <f t="shared" si="3"/>
        <v>H2</v>
      </c>
      <c r="AK5" s="3" t="str">
        <f t="shared" si="3"/>
        <v>H1</v>
      </c>
      <c r="AL5" s="3" t="str">
        <f t="shared" si="3"/>
        <v>H2</v>
      </c>
      <c r="AM5" s="3" t="str">
        <f>AK5</f>
        <v>H1</v>
      </c>
      <c r="AN5" s="3" t="str">
        <f>AL5</f>
        <v>H2</v>
      </c>
      <c r="AO5" s="3" t="str">
        <f>AM5</f>
        <v>H1</v>
      </c>
      <c r="AP5" s="3" t="str">
        <f>AN5</f>
        <v>H2</v>
      </c>
    </row>
    <row r="6" spans="1:57" x14ac:dyDescent="0.25"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</row>
    <row r="7" spans="1:57" x14ac:dyDescent="0.25">
      <c r="A7" s="4" t="s">
        <v>202</v>
      </c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</row>
    <row r="9" spans="1:57" s="23" customFormat="1" x14ac:dyDescent="0.25">
      <c r="B9" s="23" t="s">
        <v>243</v>
      </c>
      <c r="E9" s="24"/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E9" s="25"/>
    </row>
    <row r="10" spans="1:57" x14ac:dyDescent="0.25">
      <c r="C10" t="s">
        <v>263</v>
      </c>
      <c r="D10" t="s">
        <v>32</v>
      </c>
      <c r="E10" s="58"/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  <c r="Q10" s="58"/>
      <c r="R10" s="58"/>
      <c r="S10" s="58"/>
      <c r="T10" s="58"/>
      <c r="U10" s="58"/>
      <c r="V10" s="58"/>
      <c r="W10" s="58"/>
      <c r="X10" s="58"/>
      <c r="Y10" s="86">
        <v>3.2130000000000001</v>
      </c>
      <c r="Z10" s="86">
        <v>3.0869999999999997</v>
      </c>
      <c r="AA10" s="88">
        <f t="shared" ref="AA10:AL10" si="4">Z10*(1+AA$31)^(1/2)*AA$32/Z$32</f>
        <v>3.0869632069717436</v>
      </c>
      <c r="AB10" s="88">
        <f t="shared" si="4"/>
        <v>3.1391729566198325</v>
      </c>
      <c r="AC10" s="88">
        <f t="shared" si="4"/>
        <v>3.0808359013613571</v>
      </c>
      <c r="AD10" s="88">
        <f t="shared" si="4"/>
        <v>3.0759209642103289</v>
      </c>
      <c r="AE10" s="88">
        <f t="shared" si="4"/>
        <v>3.0912623110712043</v>
      </c>
      <c r="AF10" s="88">
        <f t="shared" si="4"/>
        <v>3.1066801738524314</v>
      </c>
      <c r="AG10" s="88">
        <f t="shared" si="4"/>
        <v>3.1221749341819156</v>
      </c>
      <c r="AH10" s="88">
        <f t="shared" si="4"/>
        <v>3.1377469755909551</v>
      </c>
      <c r="AI10" s="88">
        <f t="shared" si="4"/>
        <v>3.1533966835237344</v>
      </c>
      <c r="AJ10" s="88">
        <f t="shared" si="4"/>
        <v>3.1691244453468643</v>
      </c>
      <c r="AK10" s="88">
        <f t="shared" si="4"/>
        <v>3.1849306503589712</v>
      </c>
      <c r="AL10" s="88">
        <f t="shared" si="4"/>
        <v>3.2008156898003324</v>
      </c>
      <c r="AM10" s="88">
        <f t="shared" ref="AM10:AM19" si="5">AL10*(1+AM$31)^(1/2)*AM$32/AL$32</f>
        <v>3.2167799568625606</v>
      </c>
      <c r="AN10" s="88">
        <f t="shared" ref="AN10:AN19" si="6">AM10*(1+AN$31)^(1/2)*AN$32/AM$32</f>
        <v>3.2328238466983352</v>
      </c>
      <c r="AO10" s="88">
        <f t="shared" ref="AO10:AO19" si="7">AN10*(1+AO$31)^(1/2)*AO$32/AN$32</f>
        <v>3.2489477564311855</v>
      </c>
      <c r="AP10" s="88">
        <f t="shared" ref="AP10:AP19" si="8">AO10*(1+AP$31)^(1/2)*AP$32/AO$32</f>
        <v>3.265152085165318</v>
      </c>
    </row>
    <row r="11" spans="1:57" x14ac:dyDescent="0.25">
      <c r="C11" t="s">
        <v>264</v>
      </c>
      <c r="D11" t="s">
        <v>32</v>
      </c>
      <c r="E11" s="58"/>
      <c r="F11" s="58"/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  <c r="X11" s="58"/>
      <c r="Y11" s="86">
        <v>17.697000000000003</v>
      </c>
      <c r="Z11" s="86">
        <v>17.003</v>
      </c>
      <c r="AA11" s="88">
        <f t="shared" ref="AA11:AL11" si="9">Z11*(1+AA$31)^(1/2)*AA$32/Z$32</f>
        <v>17.002797346336429</v>
      </c>
      <c r="AB11" s="88">
        <f t="shared" si="9"/>
        <v>17.290365332493362</v>
      </c>
      <c r="AC11" s="88">
        <f t="shared" si="9"/>
        <v>16.969048536069696</v>
      </c>
      <c r="AD11" s="88">
        <f t="shared" si="9"/>
        <v>16.941977374301331</v>
      </c>
      <c r="AE11" s="88">
        <f t="shared" si="9"/>
        <v>17.026476538757265</v>
      </c>
      <c r="AF11" s="88">
        <f t="shared" si="9"/>
        <v>17.111397148044343</v>
      </c>
      <c r="AG11" s="88">
        <f t="shared" si="9"/>
        <v>17.196741304144837</v>
      </c>
      <c r="AH11" s="88">
        <f t="shared" si="9"/>
        <v>17.282511119524784</v>
      </c>
      <c r="AI11" s="88">
        <f t="shared" si="9"/>
        <v>17.368708717186284</v>
      </c>
      <c r="AJ11" s="88">
        <f t="shared" si="9"/>
        <v>17.455336230720032</v>
      </c>
      <c r="AK11" s="88">
        <f t="shared" si="9"/>
        <v>17.542395804358144</v>
      </c>
      <c r="AL11" s="88">
        <f t="shared" si="9"/>
        <v>17.629889593027229</v>
      </c>
      <c r="AM11" s="88">
        <f t="shared" si="5"/>
        <v>17.717819762401724</v>
      </c>
      <c r="AN11" s="88">
        <f t="shared" si="6"/>
        <v>17.806188488957496</v>
      </c>
      <c r="AO11" s="88">
        <f t="shared" si="7"/>
        <v>17.894997960025734</v>
      </c>
      <c r="AP11" s="88">
        <f t="shared" si="8"/>
        <v>17.984250373847068</v>
      </c>
    </row>
    <row r="12" spans="1:57" x14ac:dyDescent="0.25">
      <c r="C12" t="s">
        <v>265</v>
      </c>
      <c r="D12" t="s">
        <v>32</v>
      </c>
      <c r="E12" s="58"/>
      <c r="F12" s="58"/>
      <c r="G12" s="58"/>
      <c r="H12" s="58"/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  <c r="X12" s="58"/>
      <c r="Y12" s="86">
        <v>2.04</v>
      </c>
      <c r="Z12" s="86">
        <v>1.96</v>
      </c>
      <c r="AA12" s="88">
        <f t="shared" ref="AA12:AL12" si="10">Z12*(1+AA$31)^(1/2)*AA$32/Z$32</f>
        <v>1.9599766393471389</v>
      </c>
      <c r="AB12" s="88">
        <f t="shared" si="10"/>
        <v>1.9931256867427509</v>
      </c>
      <c r="AC12" s="88">
        <f t="shared" si="10"/>
        <v>1.9560862865786397</v>
      </c>
      <c r="AD12" s="88">
        <f t="shared" si="10"/>
        <v>1.9529656915621139</v>
      </c>
      <c r="AE12" s="88">
        <f t="shared" si="10"/>
        <v>1.9627062292515587</v>
      </c>
      <c r="AF12" s="88">
        <f t="shared" si="10"/>
        <v>1.9724953484777348</v>
      </c>
      <c r="AG12" s="88">
        <f t="shared" si="10"/>
        <v>1.9823332915440741</v>
      </c>
      <c r="AH12" s="88">
        <f t="shared" si="10"/>
        <v>1.992220301962512</v>
      </c>
      <c r="AI12" s="88">
        <f t="shared" si="10"/>
        <v>2.0021566244595146</v>
      </c>
      <c r="AJ12" s="88">
        <f t="shared" si="10"/>
        <v>2.0121425049821369</v>
      </c>
      <c r="AK12" s="88">
        <f t="shared" si="10"/>
        <v>2.0221781907041096</v>
      </c>
      <c r="AL12" s="88">
        <f t="shared" si="10"/>
        <v>2.032263930031958</v>
      </c>
      <c r="AM12" s="88">
        <f t="shared" si="5"/>
        <v>2.0423999726111504</v>
      </c>
      <c r="AN12" s="88">
        <f t="shared" si="6"/>
        <v>2.0525865693322771</v>
      </c>
      <c r="AO12" s="88">
        <f t="shared" si="7"/>
        <v>2.0628239723372612</v>
      </c>
      <c r="AP12" s="88">
        <f t="shared" si="8"/>
        <v>2.0731124350255992</v>
      </c>
    </row>
    <row r="13" spans="1:57" x14ac:dyDescent="0.25">
      <c r="C13" t="s">
        <v>266</v>
      </c>
      <c r="D13" t="s">
        <v>32</v>
      </c>
      <c r="E13" s="58"/>
      <c r="F13" s="58"/>
      <c r="G13" s="58"/>
      <c r="H13" s="58"/>
      <c r="I13" s="58"/>
      <c r="J13" s="58"/>
      <c r="K13" s="58"/>
      <c r="L13" s="58"/>
      <c r="M13" s="58"/>
      <c r="N13" s="58"/>
      <c r="O13" s="58"/>
      <c r="P13" s="58"/>
      <c r="Q13" s="58"/>
      <c r="R13" s="58"/>
      <c r="S13" s="58"/>
      <c r="T13" s="58"/>
      <c r="U13" s="58"/>
      <c r="V13" s="58"/>
      <c r="W13" s="58"/>
      <c r="X13" s="58"/>
      <c r="Y13" s="86">
        <v>6.12</v>
      </c>
      <c r="Z13" s="86">
        <v>5.88</v>
      </c>
      <c r="AA13" s="88">
        <f t="shared" ref="AA13:AL13" si="11">Z13*(1+AA$31)^(1/2)*AA$32/Z$32</f>
        <v>5.8799299180414168</v>
      </c>
      <c r="AB13" s="88">
        <f t="shared" si="11"/>
        <v>5.9793770602282521</v>
      </c>
      <c r="AC13" s="88">
        <f t="shared" si="11"/>
        <v>5.868258859735918</v>
      </c>
      <c r="AD13" s="88">
        <f t="shared" si="11"/>
        <v>5.8588970746863396</v>
      </c>
      <c r="AE13" s="88">
        <f t="shared" si="11"/>
        <v>5.8881186877546741</v>
      </c>
      <c r="AF13" s="88">
        <f t="shared" si="11"/>
        <v>5.9174860454332023</v>
      </c>
      <c r="AG13" s="88">
        <f t="shared" si="11"/>
        <v>5.9469998746322199</v>
      </c>
      <c r="AH13" s="88">
        <f t="shared" si="11"/>
        <v>5.9766609058875337</v>
      </c>
      <c r="AI13" s="88">
        <f t="shared" si="11"/>
        <v>6.006469873378542</v>
      </c>
      <c r="AJ13" s="88">
        <f t="shared" si="11"/>
        <v>6.0364275149464088</v>
      </c>
      <c r="AK13" s="88">
        <f t="shared" si="11"/>
        <v>6.0665345721123272</v>
      </c>
      <c r="AL13" s="88">
        <f t="shared" si="11"/>
        <v>6.0967917900958728</v>
      </c>
      <c r="AM13" s="88">
        <f t="shared" si="5"/>
        <v>6.1271999178334502</v>
      </c>
      <c r="AN13" s="88">
        <f t="shared" si="6"/>
        <v>6.1577597079968305</v>
      </c>
      <c r="AO13" s="88">
        <f t="shared" si="7"/>
        <v>6.1884719170117837</v>
      </c>
      <c r="AP13" s="88">
        <f t="shared" si="8"/>
        <v>6.2193373050767979</v>
      </c>
    </row>
    <row r="14" spans="1:57" x14ac:dyDescent="0.25">
      <c r="C14" t="s">
        <v>267</v>
      </c>
      <c r="D14" t="s">
        <v>32</v>
      </c>
      <c r="E14" s="58"/>
      <c r="F14" s="58"/>
      <c r="G14" s="58"/>
      <c r="H14" s="58"/>
      <c r="I14" s="58"/>
      <c r="J14" s="58"/>
      <c r="K14" s="58"/>
      <c r="L14" s="58"/>
      <c r="M14" s="58"/>
      <c r="N14" s="58"/>
      <c r="O14" s="58"/>
      <c r="P14" s="58"/>
      <c r="Q14" s="58"/>
      <c r="R14" s="58"/>
      <c r="S14" s="58"/>
      <c r="T14" s="58"/>
      <c r="U14" s="58"/>
      <c r="V14" s="58"/>
      <c r="W14" s="58"/>
      <c r="X14" s="58"/>
      <c r="Y14" s="86">
        <v>2.3459999999999996</v>
      </c>
      <c r="Z14" s="86">
        <v>2.254</v>
      </c>
      <c r="AA14" s="88">
        <f t="shared" ref="AA14:AL14" si="12">Z14*(1+AA$31)^(1/2)*AA$32/Z$32</f>
        <v>2.2539731352492098</v>
      </c>
      <c r="AB14" s="88">
        <f t="shared" si="12"/>
        <v>2.2920945397541637</v>
      </c>
      <c r="AC14" s="88">
        <f t="shared" si="12"/>
        <v>2.2494992295654357</v>
      </c>
      <c r="AD14" s="88">
        <f t="shared" si="12"/>
        <v>2.245910545296431</v>
      </c>
      <c r="AE14" s="88">
        <f t="shared" si="12"/>
        <v>2.2571121636392926</v>
      </c>
      <c r="AF14" s="88">
        <f t="shared" si="12"/>
        <v>2.2683696507493951</v>
      </c>
      <c r="AG14" s="88">
        <f t="shared" si="12"/>
        <v>2.2796832852756852</v>
      </c>
      <c r="AH14" s="88">
        <f t="shared" si="12"/>
        <v>2.2910533472568888</v>
      </c>
      <c r="AI14" s="88">
        <f t="shared" si="12"/>
        <v>2.3024801181284418</v>
      </c>
      <c r="AJ14" s="88">
        <f t="shared" si="12"/>
        <v>2.3139638807294576</v>
      </c>
      <c r="AK14" s="88">
        <f t="shared" si="12"/>
        <v>2.3255049193097261</v>
      </c>
      <c r="AL14" s="88">
        <f t="shared" si="12"/>
        <v>2.3371035195367518</v>
      </c>
      <c r="AM14" s="88">
        <f t="shared" si="5"/>
        <v>2.3487599685028231</v>
      </c>
      <c r="AN14" s="88">
        <f t="shared" si="6"/>
        <v>2.3604745547321189</v>
      </c>
      <c r="AO14" s="88">
        <f t="shared" si="7"/>
        <v>2.3722475681878512</v>
      </c>
      <c r="AP14" s="88">
        <f t="shared" si="8"/>
        <v>2.3840793002794403</v>
      </c>
    </row>
    <row r="15" spans="1:57" x14ac:dyDescent="0.25">
      <c r="C15" t="s">
        <v>268</v>
      </c>
      <c r="D15" t="s">
        <v>32</v>
      </c>
      <c r="E15" s="58"/>
      <c r="F15" s="58"/>
      <c r="G15" s="58"/>
      <c r="H15" s="58"/>
      <c r="I15" s="58"/>
      <c r="J15" s="58"/>
      <c r="K15" s="58"/>
      <c r="L15" s="58"/>
      <c r="M15" s="58"/>
      <c r="N15" s="58"/>
      <c r="O15" s="58"/>
      <c r="P15" s="58"/>
      <c r="Q15" s="58"/>
      <c r="R15" s="58"/>
      <c r="S15" s="58"/>
      <c r="T15" s="58"/>
      <c r="U15" s="58"/>
      <c r="V15" s="58"/>
      <c r="W15" s="58"/>
      <c r="X15" s="58"/>
      <c r="Y15" s="86">
        <v>4.2330000000000005</v>
      </c>
      <c r="Z15" s="86">
        <v>4.0670000000000002</v>
      </c>
      <c r="AA15" s="88">
        <f t="shared" ref="AA15:AL15" si="13">Z15*(1+AA$31)^(1/2)*AA$32/Z$32</f>
        <v>4.0669515266453136</v>
      </c>
      <c r="AB15" s="88">
        <f t="shared" si="13"/>
        <v>4.1357357999912079</v>
      </c>
      <c r="AC15" s="88">
        <f t="shared" si="13"/>
        <v>4.0588790446506771</v>
      </c>
      <c r="AD15" s="88">
        <f t="shared" si="13"/>
        <v>4.0524038099913851</v>
      </c>
      <c r="AE15" s="88">
        <f t="shared" si="13"/>
        <v>4.0726154256969833</v>
      </c>
      <c r="AF15" s="88">
        <f t="shared" si="13"/>
        <v>4.0929278480912989</v>
      </c>
      <c r="AG15" s="88">
        <f t="shared" si="13"/>
        <v>4.1133415799539526</v>
      </c>
      <c r="AH15" s="88">
        <f t="shared" si="13"/>
        <v>4.1338571265722113</v>
      </c>
      <c r="AI15" s="88">
        <f t="shared" si="13"/>
        <v>4.1544749957534917</v>
      </c>
      <c r="AJ15" s="88">
        <f t="shared" si="13"/>
        <v>4.1751956978379328</v>
      </c>
      <c r="AK15" s="88">
        <f t="shared" si="13"/>
        <v>4.196019745711026</v>
      </c>
      <c r="AL15" s="88">
        <f t="shared" si="13"/>
        <v>4.2169476548163116</v>
      </c>
      <c r="AM15" s="88">
        <f t="shared" si="5"/>
        <v>4.2379799431681358</v>
      </c>
      <c r="AN15" s="88">
        <f t="shared" si="6"/>
        <v>4.2591171313644738</v>
      </c>
      <c r="AO15" s="88">
        <f t="shared" si="7"/>
        <v>4.2803597425998161</v>
      </c>
      <c r="AP15" s="88">
        <f t="shared" si="8"/>
        <v>4.3017083026781178</v>
      </c>
    </row>
    <row r="16" spans="1:57" x14ac:dyDescent="0.25">
      <c r="C16" t="s">
        <v>269</v>
      </c>
      <c r="D16" t="s">
        <v>32</v>
      </c>
      <c r="E16" s="58"/>
      <c r="F16" s="58"/>
      <c r="G16" s="58"/>
      <c r="H16" s="58"/>
      <c r="I16" s="58"/>
      <c r="J16" s="58"/>
      <c r="K16" s="58"/>
      <c r="L16" s="58"/>
      <c r="M16" s="58"/>
      <c r="N16" s="58"/>
      <c r="O16" s="58"/>
      <c r="P16" s="58"/>
      <c r="Q16" s="58"/>
      <c r="R16" s="58"/>
      <c r="S16" s="58"/>
      <c r="T16" s="58"/>
      <c r="U16" s="58"/>
      <c r="V16" s="58"/>
      <c r="W16" s="58"/>
      <c r="X16" s="58"/>
      <c r="Y16" s="86">
        <v>5.1000000000000004E-2</v>
      </c>
      <c r="Z16" s="86">
        <v>4.9000000000000002E-2</v>
      </c>
      <c r="AA16" s="88">
        <f t="shared" ref="AA16:AL16" si="14">Z16*(1+AA$31)^(1/2)*AA$32/Z$32</f>
        <v>4.8999415983678477E-2</v>
      </c>
      <c r="AB16" s="88">
        <f t="shared" si="14"/>
        <v>4.9828142168568776E-2</v>
      </c>
      <c r="AC16" s="88">
        <f t="shared" si="14"/>
        <v>4.8902157164465991E-2</v>
      </c>
      <c r="AD16" s="88">
        <f t="shared" si="14"/>
        <v>4.8824142289052838E-2</v>
      </c>
      <c r="AE16" s="88">
        <f t="shared" si="14"/>
        <v>4.9067655731288955E-2</v>
      </c>
      <c r="AF16" s="88">
        <f t="shared" si="14"/>
        <v>4.9312383711943353E-2</v>
      </c>
      <c r="AG16" s="88">
        <f t="shared" si="14"/>
        <v>4.9558332288601833E-2</v>
      </c>
      <c r="AH16" s="88">
        <f t="shared" si="14"/>
        <v>4.980550754906278E-2</v>
      </c>
      <c r="AI16" s="88">
        <f t="shared" si="14"/>
        <v>5.0053915611487844E-2</v>
      </c>
      <c r="AJ16" s="88">
        <f t="shared" si="14"/>
        <v>5.0303562624553398E-2</v>
      </c>
      <c r="AK16" s="88">
        <f t="shared" si="14"/>
        <v>5.0554454767602716E-2</v>
      </c>
      <c r="AL16" s="88">
        <f t="shared" si="14"/>
        <v>5.0806598250798925E-2</v>
      </c>
      <c r="AM16" s="88">
        <f t="shared" si="5"/>
        <v>5.1059999315278735E-2</v>
      </c>
      <c r="AN16" s="88">
        <f t="shared" si="6"/>
        <v>5.1314664233306911E-2</v>
      </c>
      <c r="AO16" s="88">
        <f t="shared" si="7"/>
        <v>5.1570599308431518E-2</v>
      </c>
      <c r="AP16" s="88">
        <f t="shared" si="8"/>
        <v>5.1827810875639972E-2</v>
      </c>
    </row>
    <row r="17" spans="2:57" x14ac:dyDescent="0.25">
      <c r="C17" t="s">
        <v>270</v>
      </c>
      <c r="D17" t="s">
        <v>32</v>
      </c>
      <c r="E17" s="58"/>
      <c r="F17" s="58"/>
      <c r="G17" s="58"/>
      <c r="H17" s="58"/>
      <c r="I17" s="58"/>
      <c r="J17" s="58"/>
      <c r="K17" s="58"/>
      <c r="L17" s="58"/>
      <c r="M17" s="58"/>
      <c r="N17" s="58"/>
      <c r="O17" s="58"/>
      <c r="P17" s="58"/>
      <c r="Q17" s="58"/>
      <c r="R17" s="58"/>
      <c r="S17" s="58"/>
      <c r="T17" s="58"/>
      <c r="U17" s="58"/>
      <c r="V17" s="58"/>
      <c r="W17" s="58"/>
      <c r="X17" s="58"/>
      <c r="Y17" s="86">
        <v>10.71</v>
      </c>
      <c r="Z17" s="86">
        <v>10.29</v>
      </c>
      <c r="AA17" s="88">
        <f t="shared" ref="AA17:AL17" si="15">Z17*(1+AA$31)^(1/2)*AA$32/Z$32</f>
        <v>10.289877356572479</v>
      </c>
      <c r="AB17" s="88">
        <f t="shared" si="15"/>
        <v>10.463909855399441</v>
      </c>
      <c r="AC17" s="88">
        <f t="shared" si="15"/>
        <v>10.269453004537857</v>
      </c>
      <c r="AD17" s="88">
        <f t="shared" si="15"/>
        <v>10.253069880701094</v>
      </c>
      <c r="AE17" s="88">
        <f t="shared" si="15"/>
        <v>10.304207703570679</v>
      </c>
      <c r="AF17" s="88">
        <f t="shared" si="15"/>
        <v>10.355600579508103</v>
      </c>
      <c r="AG17" s="88">
        <f t="shared" si="15"/>
        <v>10.407249780606383</v>
      </c>
      <c r="AH17" s="88">
        <f t="shared" si="15"/>
        <v>10.459156585303182</v>
      </c>
      <c r="AI17" s="88">
        <f t="shared" si="15"/>
        <v>10.511322278412447</v>
      </c>
      <c r="AJ17" s="88">
        <f t="shared" si="15"/>
        <v>10.563748151156213</v>
      </c>
      <c r="AK17" s="88">
        <f t="shared" si="15"/>
        <v>10.61643550119657</v>
      </c>
      <c r="AL17" s="88">
        <f t="shared" si="15"/>
        <v>10.669385632667774</v>
      </c>
      <c r="AM17" s="88">
        <f t="shared" si="5"/>
        <v>10.722599856208534</v>
      </c>
      <c r="AN17" s="88">
        <f t="shared" si="6"/>
        <v>10.77607948899445</v>
      </c>
      <c r="AO17" s="88">
        <f t="shared" si="7"/>
        <v>10.829825854770617</v>
      </c>
      <c r="AP17" s="88">
        <f t="shared" si="8"/>
        <v>10.883840283884393</v>
      </c>
    </row>
    <row r="18" spans="2:57" x14ac:dyDescent="0.25">
      <c r="C18" t="s">
        <v>271</v>
      </c>
      <c r="D18" t="s">
        <v>32</v>
      </c>
      <c r="E18" s="58"/>
      <c r="F18" s="58"/>
      <c r="G18" s="58"/>
      <c r="H18" s="58"/>
      <c r="I18" s="58"/>
      <c r="J18" s="58"/>
      <c r="K18" s="58"/>
      <c r="L18" s="58"/>
      <c r="M18" s="58"/>
      <c r="N18" s="58"/>
      <c r="O18" s="58"/>
      <c r="P18" s="58"/>
      <c r="Q18" s="58"/>
      <c r="R18" s="58"/>
      <c r="S18" s="58"/>
      <c r="T18" s="58"/>
      <c r="U18" s="58"/>
      <c r="V18" s="58"/>
      <c r="W18" s="58"/>
      <c r="X18" s="58"/>
      <c r="Y18" s="86">
        <v>7.1400000000000006</v>
      </c>
      <c r="Z18" s="86">
        <v>6.8599999999999994</v>
      </c>
      <c r="AA18" s="88">
        <f t="shared" ref="AA18:AL18" si="16">Z18*(1+AA$31)^(1/2)*AA$32/Z$32</f>
        <v>6.8599182377149859</v>
      </c>
      <c r="AB18" s="88">
        <f t="shared" si="16"/>
        <v>6.9759399035996283</v>
      </c>
      <c r="AC18" s="88">
        <f t="shared" si="16"/>
        <v>6.8463020030252384</v>
      </c>
      <c r="AD18" s="88">
        <f t="shared" si="16"/>
        <v>6.8353799204673971</v>
      </c>
      <c r="AE18" s="88">
        <f t="shared" si="16"/>
        <v>6.8694718023804535</v>
      </c>
      <c r="AF18" s="88">
        <f t="shared" si="16"/>
        <v>6.9037337196720694</v>
      </c>
      <c r="AG18" s="88">
        <f t="shared" si="16"/>
        <v>6.9381665204042564</v>
      </c>
      <c r="AH18" s="88">
        <f t="shared" si="16"/>
        <v>6.9727710568687886</v>
      </c>
      <c r="AI18" s="88">
        <f t="shared" si="16"/>
        <v>7.0075481856082975</v>
      </c>
      <c r="AJ18" s="88">
        <f t="shared" si="16"/>
        <v>7.0424987674374755</v>
      </c>
      <c r="AK18" s="88">
        <f t="shared" si="16"/>
        <v>7.0776236674643798</v>
      </c>
      <c r="AL18" s="88">
        <f t="shared" si="16"/>
        <v>7.1129237551118489</v>
      </c>
      <c r="AM18" s="88">
        <f t="shared" si="5"/>
        <v>7.1483999041390218</v>
      </c>
      <c r="AN18" s="88">
        <f t="shared" si="6"/>
        <v>7.1840529926629655</v>
      </c>
      <c r="AO18" s="88">
        <f t="shared" si="7"/>
        <v>7.2198839031804107</v>
      </c>
      <c r="AP18" s="88">
        <f t="shared" si="8"/>
        <v>7.2558935225895942</v>
      </c>
    </row>
    <row r="19" spans="2:57" x14ac:dyDescent="0.25">
      <c r="C19" t="s">
        <v>272</v>
      </c>
      <c r="D19" t="s">
        <v>32</v>
      </c>
      <c r="E19" s="58"/>
      <c r="F19" s="58"/>
      <c r="G19" s="58"/>
      <c r="H19" s="58"/>
      <c r="I19" s="58"/>
      <c r="J19" s="58"/>
      <c r="K19" s="58"/>
      <c r="L19" s="58"/>
      <c r="M19" s="58"/>
      <c r="N19" s="58"/>
      <c r="O19" s="58"/>
      <c r="P19" s="58"/>
      <c r="Q19" s="58"/>
      <c r="R19" s="58"/>
      <c r="S19" s="58"/>
      <c r="T19" s="58"/>
      <c r="U19" s="58"/>
      <c r="V19" s="58"/>
      <c r="W19" s="58"/>
      <c r="X19" s="58"/>
      <c r="Y19" s="86">
        <v>2.9579999999999997</v>
      </c>
      <c r="Z19" s="86">
        <v>2.8420000000000001</v>
      </c>
      <c r="AA19" s="88">
        <f t="shared" ref="AA19:AL19" si="17">Z19*(1+AA$31)^(1/2)*AA$32/Z$32</f>
        <v>2.8419661270533516</v>
      </c>
      <c r="AB19" s="88">
        <f t="shared" si="17"/>
        <v>2.8900322457769887</v>
      </c>
      <c r="AC19" s="88">
        <f t="shared" si="17"/>
        <v>2.8363251155390272</v>
      </c>
      <c r="AD19" s="88">
        <f t="shared" si="17"/>
        <v>2.8318002527650639</v>
      </c>
      <c r="AE19" s="88">
        <f t="shared" si="17"/>
        <v>2.845924032414759</v>
      </c>
      <c r="AF19" s="88">
        <f t="shared" si="17"/>
        <v>2.8601182552927145</v>
      </c>
      <c r="AG19" s="88">
        <f t="shared" si="17"/>
        <v>2.8743832727389069</v>
      </c>
      <c r="AH19" s="88">
        <f t="shared" si="17"/>
        <v>2.8887194378456416</v>
      </c>
      <c r="AI19" s="88">
        <f t="shared" si="17"/>
        <v>2.9031271054662948</v>
      </c>
      <c r="AJ19" s="88">
        <f t="shared" si="17"/>
        <v>2.9176066322240968</v>
      </c>
      <c r="AK19" s="88">
        <f t="shared" si="17"/>
        <v>2.9321583765209573</v>
      </c>
      <c r="AL19" s="88">
        <f t="shared" si="17"/>
        <v>2.9467826985463375</v>
      </c>
      <c r="AM19" s="88">
        <f t="shared" si="5"/>
        <v>2.9614799602861663</v>
      </c>
      <c r="AN19" s="88">
        <f t="shared" si="6"/>
        <v>2.9762505255318001</v>
      </c>
      <c r="AO19" s="88">
        <f t="shared" si="7"/>
        <v>2.9910947598890272</v>
      </c>
      <c r="AP19" s="88">
        <f t="shared" si="8"/>
        <v>3.0060130307871176</v>
      </c>
    </row>
    <row r="20" spans="2:57" x14ac:dyDescent="0.25"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58"/>
      <c r="P20" s="58"/>
      <c r="Q20" s="58"/>
      <c r="R20" s="58"/>
      <c r="S20" s="58"/>
      <c r="T20" s="58"/>
      <c r="U20" s="58"/>
      <c r="V20" s="58"/>
      <c r="W20" s="58"/>
      <c r="X20" s="58"/>
      <c r="Y20" s="58"/>
      <c r="Z20" s="58"/>
      <c r="AA20" s="54"/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</row>
    <row r="21" spans="2:57" x14ac:dyDescent="0.25">
      <c r="E21" s="58"/>
      <c r="F21" s="58"/>
      <c r="G21" s="58"/>
      <c r="H21" s="58"/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58"/>
      <c r="T21" s="58"/>
      <c r="U21" s="58"/>
      <c r="V21" s="58"/>
      <c r="W21" s="58"/>
      <c r="X21" s="58"/>
      <c r="Y21" s="58"/>
      <c r="Z21" s="58"/>
      <c r="AA21" s="54"/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</row>
    <row r="22" spans="2:57" s="10" customFormat="1" x14ac:dyDescent="0.25">
      <c r="C22" s="51"/>
      <c r="E22" s="55"/>
      <c r="F22" s="55"/>
      <c r="G22" s="55"/>
      <c r="H22" s="55"/>
      <c r="I22" s="55"/>
      <c r="J22" s="55"/>
      <c r="K22" s="55"/>
      <c r="L22" s="55"/>
      <c r="M22" s="55"/>
      <c r="N22" s="55"/>
      <c r="O22" s="55"/>
      <c r="P22" s="55"/>
      <c r="Q22" s="55"/>
      <c r="R22" s="55"/>
      <c r="S22" s="55"/>
      <c r="T22" s="55"/>
      <c r="U22" s="55"/>
      <c r="V22" s="55"/>
      <c r="W22" s="55"/>
      <c r="X22" s="55"/>
      <c r="Y22" s="55"/>
      <c r="Z22" s="55"/>
      <c r="AA22" s="55"/>
      <c r="AB22" s="59"/>
      <c r="AC22" s="59"/>
      <c r="AD22" s="59"/>
      <c r="AE22" s="59"/>
      <c r="AF22" s="59"/>
      <c r="AG22" s="59"/>
      <c r="AH22" s="59"/>
      <c r="AI22" s="59"/>
      <c r="AJ22" s="59"/>
      <c r="AK22" s="59"/>
      <c r="AL22" s="59"/>
      <c r="AM22" s="59"/>
      <c r="AN22" s="59"/>
      <c r="AO22" s="59"/>
      <c r="AP22" s="59"/>
    </row>
    <row r="23" spans="2:57" x14ac:dyDescent="0.25">
      <c r="C23" t="s">
        <v>238</v>
      </c>
      <c r="D23" t="s">
        <v>32</v>
      </c>
      <c r="E23" s="58"/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8"/>
      <c r="R23" s="58"/>
      <c r="S23" s="58"/>
      <c r="T23" s="58"/>
      <c r="U23" s="58"/>
      <c r="V23" s="58"/>
      <c r="W23" s="58"/>
      <c r="X23" s="58"/>
      <c r="Y23" s="86"/>
      <c r="Z23" s="86"/>
      <c r="AA23" s="88"/>
      <c r="AB23" s="88"/>
      <c r="AC23" s="88">
        <f>AC86</f>
        <v>0</v>
      </c>
      <c r="AD23" s="88">
        <v>0</v>
      </c>
      <c r="AE23" s="88">
        <f t="shared" ref="AE23:AL23" si="18">AE86</f>
        <v>3.0589999999999997</v>
      </c>
      <c r="AF23" s="88">
        <f t="shared" si="18"/>
        <v>6.1485139050017601</v>
      </c>
      <c r="AG23" s="88">
        <f t="shared" si="18"/>
        <v>6.6791799999999988</v>
      </c>
      <c r="AH23" s="88">
        <f t="shared" si="18"/>
        <v>8.2099990440517754</v>
      </c>
      <c r="AI23" s="88">
        <f t="shared" si="18"/>
        <v>8.4471969242241745</v>
      </c>
      <c r="AJ23" s="88">
        <f t="shared" si="18"/>
        <v>9.2733490344922913</v>
      </c>
      <c r="AK23" s="88">
        <f t="shared" si="18"/>
        <v>10.103621629724405</v>
      </c>
      <c r="AL23" s="88">
        <f t="shared" si="18"/>
        <v>10.938035261095202</v>
      </c>
      <c r="AM23" s="88">
        <f>AM86</f>
        <v>11.776610582279636</v>
      </c>
      <c r="AN23" s="88">
        <f>AN86</f>
        <v>12.619368349964141</v>
      </c>
      <c r="AO23" s="88">
        <f>AO86</f>
        <v>13.466329424360421</v>
      </c>
      <c r="AP23" s="88">
        <f>AP86</f>
        <v>14.31751476972177</v>
      </c>
    </row>
    <row r="24" spans="2:57" x14ac:dyDescent="0.25">
      <c r="C24" t="s">
        <v>115</v>
      </c>
      <c r="D24" t="s">
        <v>32</v>
      </c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58"/>
      <c r="S24" s="58"/>
      <c r="T24" s="58"/>
      <c r="U24" s="58"/>
      <c r="V24" s="58"/>
      <c r="W24" s="58"/>
      <c r="X24" s="58"/>
      <c r="Y24" s="58"/>
      <c r="Z24" s="58"/>
      <c r="AA24" s="54"/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</row>
    <row r="25" spans="2:57" s="6" customFormat="1" x14ac:dyDescent="0.25">
      <c r="C25" s="6" t="s">
        <v>296</v>
      </c>
      <c r="D25" s="6" t="s">
        <v>32</v>
      </c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>
        <f t="shared" ref="Y25:AL25" si="19">SUM(Y10:Y24)</f>
        <v>56.508000000000003</v>
      </c>
      <c r="Z25" s="46">
        <f t="shared" si="19"/>
        <v>54.292000000000002</v>
      </c>
      <c r="AA25" s="46">
        <f t="shared" si="19"/>
        <v>54.291352909915751</v>
      </c>
      <c r="AB25" s="46">
        <f t="shared" si="19"/>
        <v>55.209581522774201</v>
      </c>
      <c r="AC25" s="46">
        <f t="shared" si="19"/>
        <v>54.183590138228311</v>
      </c>
      <c r="AD25" s="46">
        <f t="shared" si="19"/>
        <v>54.097149656270538</v>
      </c>
      <c r="AE25" s="46">
        <f t="shared" si="19"/>
        <v>57.42596255026816</v>
      </c>
      <c r="AF25" s="46">
        <f t="shared" si="19"/>
        <v>60.786635057834999</v>
      </c>
      <c r="AG25" s="46">
        <f t="shared" si="19"/>
        <v>61.589812175770845</v>
      </c>
      <c r="AH25" s="46">
        <f t="shared" si="19"/>
        <v>63.394501408413333</v>
      </c>
      <c r="AI25" s="46">
        <f t="shared" si="19"/>
        <v>63.906935421752706</v>
      </c>
      <c r="AJ25" s="46">
        <f t="shared" si="19"/>
        <v>65.00969642249747</v>
      </c>
      <c r="AK25" s="46">
        <f t="shared" si="19"/>
        <v>66.117957512228216</v>
      </c>
      <c r="AL25" s="46">
        <f t="shared" si="19"/>
        <v>67.231746122980425</v>
      </c>
      <c r="AM25" s="46">
        <f>SUM(AM10:AM24)</f>
        <v>68.351089823608476</v>
      </c>
      <c r="AN25" s="46">
        <f>SUM(AN10:AN24)</f>
        <v>69.476016320468204</v>
      </c>
      <c r="AO25" s="46">
        <f>SUM(AO10:AO24)</f>
        <v>70.606553458102539</v>
      </c>
      <c r="AP25" s="46">
        <f>SUM(AP10:AP24)</f>
        <v>71.742729219930865</v>
      </c>
    </row>
    <row r="26" spans="2:57" x14ac:dyDescent="0.25">
      <c r="C26" t="s">
        <v>115</v>
      </c>
      <c r="E26" s="59"/>
      <c r="F26" s="59"/>
      <c r="G26" s="59"/>
      <c r="H26" s="59"/>
      <c r="I26" s="59"/>
      <c r="J26" s="59"/>
      <c r="K26" s="59"/>
      <c r="L26" s="59"/>
      <c r="M26" s="59"/>
      <c r="N26" s="59"/>
      <c r="O26" s="59"/>
      <c r="P26" s="59"/>
      <c r="Q26" s="59"/>
      <c r="R26" s="59"/>
      <c r="S26" s="59"/>
      <c r="T26" s="59"/>
      <c r="U26" s="59"/>
      <c r="V26" s="59"/>
      <c r="W26" s="59"/>
      <c r="X26" s="59"/>
      <c r="Y26" s="59">
        <f t="shared" ref="Y26:AG26" si="20">Y27/Y25</f>
        <v>0.99101012246053655</v>
      </c>
      <c r="Z26" s="59">
        <f t="shared" si="20"/>
        <v>0.99462167538495538</v>
      </c>
      <c r="AA26" s="59">
        <f t="shared" si="20"/>
        <v>0.99463353012404787</v>
      </c>
      <c r="AB26" s="59">
        <f t="shared" si="20"/>
        <v>0.97809109416496409</v>
      </c>
      <c r="AC26" s="59">
        <f t="shared" si="20"/>
        <v>1.0519790190090157</v>
      </c>
      <c r="AD26" s="59">
        <f t="shared" si="20"/>
        <v>1.0721452122436745</v>
      </c>
      <c r="AE26" s="59">
        <f t="shared" si="20"/>
        <v>0.97516867829564136</v>
      </c>
      <c r="AF26" s="59">
        <f t="shared" si="20"/>
        <v>0.9048041555133074</v>
      </c>
      <c r="AG26" s="59">
        <f t="shared" si="20"/>
        <v>0.94171418861408607</v>
      </c>
      <c r="AH26" s="59">
        <v>0.94</v>
      </c>
      <c r="AI26" s="59">
        <f t="shared" ref="AI26:AL26" si="21">AH26</f>
        <v>0.94</v>
      </c>
      <c r="AJ26" s="59">
        <f t="shared" si="21"/>
        <v>0.94</v>
      </c>
      <c r="AK26" s="59">
        <f t="shared" si="21"/>
        <v>0.94</v>
      </c>
      <c r="AL26" s="59">
        <f t="shared" si="21"/>
        <v>0.94</v>
      </c>
      <c r="AM26" s="59">
        <f>AL26</f>
        <v>0.94</v>
      </c>
      <c r="AN26" s="59">
        <f>AM26</f>
        <v>0.94</v>
      </c>
      <c r="AO26" s="59">
        <f>AN26</f>
        <v>0.94</v>
      </c>
      <c r="AP26" s="59">
        <f>AO26</f>
        <v>0.94</v>
      </c>
    </row>
    <row r="27" spans="2:57" s="6" customFormat="1" x14ac:dyDescent="0.25">
      <c r="C27" s="6" t="s">
        <v>241</v>
      </c>
      <c r="D27" s="6" t="s">
        <v>32</v>
      </c>
      <c r="E27" s="33"/>
      <c r="F27" s="33"/>
      <c r="G27" s="33"/>
      <c r="H27" s="33"/>
      <c r="I27" s="33">
        <v>46</v>
      </c>
      <c r="J27" s="33">
        <v>39</v>
      </c>
      <c r="K27" s="33">
        <v>39</v>
      </c>
      <c r="L27" s="33">
        <v>39</v>
      </c>
      <c r="M27" s="33">
        <v>36</v>
      </c>
      <c r="N27" s="33">
        <v>32</v>
      </c>
      <c r="O27" s="33">
        <v>34</v>
      </c>
      <c r="P27" s="33">
        <v>25</v>
      </c>
      <c r="Q27" s="33">
        <v>26</v>
      </c>
      <c r="R27" s="33">
        <v>28</v>
      </c>
      <c r="S27" s="33">
        <v>24</v>
      </c>
      <c r="T27" s="33">
        <v>24</v>
      </c>
      <c r="U27" s="33">
        <v>26</v>
      </c>
      <c r="V27" s="33">
        <v>28</v>
      </c>
      <c r="W27" s="33">
        <v>56</v>
      </c>
      <c r="X27" s="33">
        <v>55</v>
      </c>
      <c r="Y27" s="33">
        <v>56</v>
      </c>
      <c r="Z27" s="33">
        <v>54</v>
      </c>
      <c r="AA27" s="33">
        <v>54</v>
      </c>
      <c r="AB27" s="33">
        <f>108-AA27</f>
        <v>54</v>
      </c>
      <c r="AC27" s="33">
        <v>57</v>
      </c>
      <c r="AD27" s="33">
        <f>115-AC27</f>
        <v>58</v>
      </c>
      <c r="AE27" s="33">
        <v>56</v>
      </c>
      <c r="AF27" s="33">
        <f>111-AE27</f>
        <v>55</v>
      </c>
      <c r="AG27" s="33">
        <v>58</v>
      </c>
      <c r="AH27" s="46">
        <f t="shared" ref="AH27:AL27" si="22">AH25*AH26</f>
        <v>59.590831323908532</v>
      </c>
      <c r="AI27" s="46">
        <f t="shared" si="22"/>
        <v>60.072519296447538</v>
      </c>
      <c r="AJ27" s="46">
        <f t="shared" si="22"/>
        <v>61.10911463714762</v>
      </c>
      <c r="AK27" s="46">
        <f t="shared" si="22"/>
        <v>62.150880061494519</v>
      </c>
      <c r="AL27" s="46">
        <f t="shared" si="22"/>
        <v>63.197841355601597</v>
      </c>
      <c r="AM27" s="46">
        <f>AM25*AM26</f>
        <v>64.250024434191957</v>
      </c>
      <c r="AN27" s="46">
        <f>AN25*AN26</f>
        <v>65.307455341240114</v>
      </c>
      <c r="AO27" s="46">
        <f>AO25*AO26</f>
        <v>66.370160250616379</v>
      </c>
      <c r="AP27" s="46">
        <f>AP25*AP26</f>
        <v>67.438165466735015</v>
      </c>
    </row>
    <row r="28" spans="2:57" s="12" customFormat="1" x14ac:dyDescent="0.25"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  <c r="W28" s="67"/>
      <c r="X28" s="67"/>
      <c r="Y28" s="67"/>
      <c r="Z28" s="67"/>
      <c r="AA28" s="67"/>
      <c r="AB28" s="67"/>
      <c r="AC28" s="67"/>
      <c r="AD28" s="67"/>
      <c r="AE28" s="67"/>
      <c r="AF28" s="67"/>
      <c r="AG28" s="67"/>
      <c r="AH28" s="67"/>
      <c r="AI28" s="67"/>
      <c r="AJ28" s="67"/>
      <c r="AK28" s="67"/>
      <c r="AL28" s="67"/>
      <c r="AM28" s="67"/>
      <c r="AN28" s="67"/>
      <c r="AO28" s="67"/>
      <c r="AP28" s="67"/>
    </row>
    <row r="29" spans="2:57" s="12" customFormat="1" x14ac:dyDescent="0.25">
      <c r="E29" s="67"/>
      <c r="F29" s="67"/>
      <c r="G29" s="67"/>
      <c r="H29" s="67"/>
      <c r="I29" s="67"/>
      <c r="J29" s="67"/>
      <c r="K29" s="67"/>
      <c r="L29" s="67"/>
      <c r="M29" s="67"/>
      <c r="N29" s="67"/>
      <c r="O29" s="67"/>
      <c r="P29" s="67"/>
      <c r="Q29" s="67"/>
      <c r="R29" s="67"/>
      <c r="S29" s="67"/>
      <c r="T29" s="67"/>
      <c r="U29" s="67"/>
      <c r="V29" s="67"/>
      <c r="W29" s="67"/>
      <c r="X29" s="67"/>
      <c r="Y29" s="67"/>
      <c r="Z29" s="67"/>
      <c r="AA29" s="67"/>
      <c r="AB29" s="67"/>
      <c r="AC29" s="67"/>
      <c r="AD29" s="67"/>
      <c r="AE29" s="67"/>
      <c r="AF29" s="67"/>
      <c r="AG29" s="67"/>
      <c r="AH29" s="67"/>
      <c r="AI29" s="67"/>
      <c r="AJ29" s="67"/>
      <c r="AK29" s="67"/>
      <c r="AL29" s="67"/>
      <c r="AM29" s="67"/>
      <c r="AN29" s="67"/>
      <c r="AO29" s="67"/>
      <c r="AP29" s="67"/>
    </row>
    <row r="30" spans="2:57" s="23" customFormat="1" x14ac:dyDescent="0.25">
      <c r="B30" s="23" t="s">
        <v>254</v>
      </c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  <c r="AD30" s="57"/>
      <c r="AE30" s="57"/>
      <c r="AF30" s="57"/>
      <c r="AG30" s="57"/>
      <c r="AH30" s="57"/>
      <c r="AI30" s="57"/>
      <c r="AJ30" s="57"/>
      <c r="AK30" s="57"/>
      <c r="AL30" s="57"/>
      <c r="AM30" s="57"/>
      <c r="AN30" s="57"/>
      <c r="AO30" s="57"/>
      <c r="AP30" s="57"/>
      <c r="AQ30" s="24"/>
      <c r="AR30" s="24"/>
      <c r="AS30" s="24"/>
      <c r="AT30" s="24"/>
      <c r="AU30" s="24"/>
      <c r="AV30" s="24"/>
      <c r="AW30" s="24"/>
      <c r="AX30" s="24"/>
      <c r="AY30" s="24"/>
      <c r="AZ30" s="24"/>
      <c r="BA30" s="24"/>
      <c r="BE30" s="25"/>
    </row>
    <row r="31" spans="2:57" x14ac:dyDescent="0.25">
      <c r="C31" t="s">
        <v>244</v>
      </c>
      <c r="E31" s="54"/>
      <c r="F31" s="54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  <c r="V31" s="54"/>
      <c r="W31" s="54"/>
      <c r="X31" s="54"/>
      <c r="Y31" s="54"/>
      <c r="Z31" s="64"/>
      <c r="AA31" s="69">
        <v>-0.03</v>
      </c>
      <c r="AB31" s="69">
        <v>0.01</v>
      </c>
      <c r="AC31" s="69">
        <f t="shared" ref="AC31:AL32" si="23">AB31</f>
        <v>0.01</v>
      </c>
      <c r="AD31" s="69">
        <f t="shared" si="23"/>
        <v>0.01</v>
      </c>
      <c r="AE31" s="69">
        <f t="shared" si="23"/>
        <v>0.01</v>
      </c>
      <c r="AF31" s="69">
        <f t="shared" si="23"/>
        <v>0.01</v>
      </c>
      <c r="AG31" s="69">
        <f t="shared" si="23"/>
        <v>0.01</v>
      </c>
      <c r="AH31" s="69">
        <f t="shared" si="23"/>
        <v>0.01</v>
      </c>
      <c r="AI31" s="69">
        <f t="shared" si="23"/>
        <v>0.01</v>
      </c>
      <c r="AJ31" s="69">
        <f t="shared" si="23"/>
        <v>0.01</v>
      </c>
      <c r="AK31" s="69">
        <f t="shared" si="23"/>
        <v>0.01</v>
      </c>
      <c r="AL31" s="69">
        <f t="shared" si="23"/>
        <v>0.01</v>
      </c>
      <c r="AM31" s="69">
        <f t="shared" ref="AM31:AP32" si="24">AL31</f>
        <v>0.01</v>
      </c>
      <c r="AN31" s="69">
        <f t="shared" si="24"/>
        <v>0.01</v>
      </c>
      <c r="AO31" s="69">
        <f t="shared" si="24"/>
        <v>0.01</v>
      </c>
      <c r="AP31" s="69">
        <f t="shared" si="24"/>
        <v>0.01</v>
      </c>
    </row>
    <row r="32" spans="2:57" x14ac:dyDescent="0.25">
      <c r="C32" t="s">
        <v>119</v>
      </c>
      <c r="E32" s="54"/>
      <c r="F32" s="54"/>
      <c r="G32" s="54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54"/>
      <c r="T32" s="54"/>
      <c r="U32" s="54"/>
      <c r="V32" s="54"/>
      <c r="W32" s="54"/>
      <c r="X32" s="54"/>
      <c r="Y32" s="54"/>
      <c r="Z32" s="65">
        <v>0.91300000000000003</v>
      </c>
      <c r="AA32" s="65">
        <v>0.92700000000000005</v>
      </c>
      <c r="AB32" s="65">
        <v>0.93799999999999994</v>
      </c>
      <c r="AC32" s="65">
        <v>0.91600000000000004</v>
      </c>
      <c r="AD32" s="65">
        <v>0.91</v>
      </c>
      <c r="AE32" s="69">
        <f t="shared" si="23"/>
        <v>0.91</v>
      </c>
      <c r="AF32" s="69">
        <f t="shared" si="23"/>
        <v>0.91</v>
      </c>
      <c r="AG32" s="69">
        <f t="shared" si="23"/>
        <v>0.91</v>
      </c>
      <c r="AH32" s="69">
        <f t="shared" si="23"/>
        <v>0.91</v>
      </c>
      <c r="AI32" s="69">
        <f t="shared" si="23"/>
        <v>0.91</v>
      </c>
      <c r="AJ32" s="69">
        <f t="shared" si="23"/>
        <v>0.91</v>
      </c>
      <c r="AK32" s="69">
        <f t="shared" si="23"/>
        <v>0.91</v>
      </c>
      <c r="AL32" s="69">
        <f t="shared" si="23"/>
        <v>0.91</v>
      </c>
      <c r="AM32" s="69">
        <f t="shared" si="24"/>
        <v>0.91</v>
      </c>
      <c r="AN32" s="69">
        <f t="shared" si="24"/>
        <v>0.91</v>
      </c>
      <c r="AO32" s="69">
        <f t="shared" si="24"/>
        <v>0.91</v>
      </c>
      <c r="AP32" s="69">
        <f t="shared" si="24"/>
        <v>0.91</v>
      </c>
    </row>
    <row r="33" spans="2:57" x14ac:dyDescent="0.25">
      <c r="C33" t="s">
        <v>120</v>
      </c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54"/>
      <c r="T33" s="54"/>
      <c r="U33" s="54"/>
      <c r="V33" s="54"/>
      <c r="W33" s="54"/>
      <c r="X33" s="54"/>
      <c r="Y33" s="54"/>
      <c r="Z33" s="89">
        <v>5.2999999999999999E-2</v>
      </c>
      <c r="AA33" s="89">
        <v>5.4100000000000002E-2</v>
      </c>
      <c r="AB33" s="89">
        <v>5.8500000000000003E-2</v>
      </c>
      <c r="AC33" s="89"/>
      <c r="AD33" s="89"/>
      <c r="AE33" s="89"/>
      <c r="AF33" s="89"/>
      <c r="AG33" s="89"/>
      <c r="AH33" s="89"/>
      <c r="AI33" s="89"/>
      <c r="AJ33" s="89"/>
      <c r="AK33" s="89"/>
      <c r="AL33" s="89"/>
      <c r="AM33" s="89"/>
      <c r="AN33" s="89"/>
      <c r="AO33" s="89"/>
      <c r="AP33" s="89"/>
    </row>
    <row r="34" spans="2:57" x14ac:dyDescent="0.25">
      <c r="C34" t="s">
        <v>121</v>
      </c>
      <c r="D34" t="s">
        <v>253</v>
      </c>
      <c r="E34" s="54"/>
      <c r="F34" s="54"/>
      <c r="G34" s="54"/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54"/>
      <c r="T34" s="54"/>
      <c r="U34" s="54"/>
      <c r="V34" s="54"/>
      <c r="W34" s="54"/>
      <c r="X34" s="54"/>
      <c r="Y34" s="54"/>
      <c r="Z34" s="54"/>
      <c r="AA34" s="88">
        <v>4.4000000000000004</v>
      </c>
      <c r="AB34" s="88">
        <v>4.2</v>
      </c>
      <c r="AC34" s="88"/>
      <c r="AD34" s="88"/>
      <c r="AE34" s="88"/>
      <c r="AF34" s="88"/>
      <c r="AG34" s="88"/>
      <c r="AH34" s="88"/>
      <c r="AI34" s="88"/>
      <c r="AJ34" s="88"/>
      <c r="AK34" s="88"/>
      <c r="AL34" s="88"/>
      <c r="AM34" s="88"/>
      <c r="AN34" s="88"/>
      <c r="AO34" s="88"/>
      <c r="AP34" s="88"/>
    </row>
    <row r="35" spans="2:57" x14ac:dyDescent="0.25">
      <c r="C35" s="44"/>
      <c r="E35" s="54"/>
      <c r="F35" s="54"/>
      <c r="G35" s="54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4"/>
      <c r="T35" s="54"/>
      <c r="U35" s="54"/>
      <c r="V35" s="54"/>
      <c r="W35" s="54"/>
      <c r="X35" s="54"/>
      <c r="Y35" s="54"/>
      <c r="Z35" s="54"/>
      <c r="AA35" s="54"/>
      <c r="AB35" s="54"/>
      <c r="AC35" s="54"/>
      <c r="AD35" s="54"/>
      <c r="AE35" s="54"/>
      <c r="AF35" s="54"/>
      <c r="AG35" s="54"/>
      <c r="AH35" s="54"/>
      <c r="AI35" s="54"/>
      <c r="AJ35" s="54"/>
      <c r="AK35" s="54"/>
      <c r="AL35" s="54"/>
      <c r="AM35" s="54"/>
      <c r="AN35" s="54"/>
      <c r="AO35" s="54"/>
      <c r="AP35" s="54"/>
    </row>
    <row r="36" spans="2:57" s="23" customFormat="1" x14ac:dyDescent="0.25">
      <c r="B36" s="23" t="s">
        <v>239</v>
      </c>
      <c r="E36" s="57"/>
      <c r="F36" s="57"/>
      <c r="G36" s="57"/>
      <c r="H36" s="57"/>
      <c r="I36" s="57"/>
      <c r="J36" s="57"/>
      <c r="K36" s="57"/>
      <c r="L36" s="57"/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  <c r="Z36" s="57"/>
      <c r="AA36" s="57"/>
      <c r="AB36" s="57"/>
      <c r="AC36" s="57"/>
      <c r="AD36" s="57"/>
      <c r="AE36" s="57"/>
      <c r="AF36" s="57"/>
      <c r="AG36" s="57"/>
      <c r="AH36" s="57"/>
      <c r="AI36" s="57"/>
      <c r="AJ36" s="57"/>
      <c r="AK36" s="57"/>
      <c r="AL36" s="57"/>
      <c r="AM36" s="57"/>
      <c r="AN36" s="57"/>
      <c r="AO36" s="57"/>
      <c r="AP36" s="57"/>
      <c r="AQ36" s="24"/>
      <c r="AR36" s="24"/>
      <c r="AS36" s="24"/>
      <c r="AT36" s="24"/>
      <c r="AU36" s="24"/>
      <c r="AV36" s="24"/>
      <c r="AW36" s="24"/>
      <c r="AX36" s="24"/>
      <c r="AY36" s="24"/>
      <c r="AZ36" s="24"/>
      <c r="BA36" s="24"/>
      <c r="BE36" s="25"/>
    </row>
    <row r="37" spans="2:57" outlineLevel="1" x14ac:dyDescent="0.25">
      <c r="C37" t="str">
        <f t="shared" ref="C37:C46" si="25">C10</f>
        <v>601 Pacific Highway, St Leonards</v>
      </c>
      <c r="D37" t="s">
        <v>32</v>
      </c>
      <c r="E37" s="58"/>
      <c r="F37" s="58"/>
      <c r="G37" s="58"/>
      <c r="H37" s="58"/>
      <c r="I37" s="58"/>
      <c r="J37" s="58"/>
      <c r="K37" s="58"/>
      <c r="L37" s="58"/>
      <c r="M37" s="58"/>
      <c r="N37" s="58"/>
      <c r="O37" s="58"/>
      <c r="P37" s="58"/>
      <c r="Q37" s="58"/>
      <c r="R37" s="58"/>
      <c r="S37" s="58"/>
      <c r="T37" s="58"/>
      <c r="U37" s="86"/>
      <c r="V37" s="86"/>
      <c r="W37" s="86"/>
      <c r="X37" s="86"/>
      <c r="Y37" s="86"/>
      <c r="Z37" s="86">
        <v>132</v>
      </c>
      <c r="AA37" s="43">
        <f>Z37*(1+AA$31)^(1/2)</f>
        <v>130.00492298370858</v>
      </c>
      <c r="AB37" s="43">
        <f t="shared" ref="AB37:AL37" si="26">AA37*(1+AB$31)^(1/2)</f>
        <v>130.65333061196716</v>
      </c>
      <c r="AC37" s="43">
        <f t="shared" si="26"/>
        <v>131.30497221354565</v>
      </c>
      <c r="AD37" s="43">
        <f t="shared" si="26"/>
        <v>131.95986391808682</v>
      </c>
      <c r="AE37" s="43">
        <f t="shared" si="26"/>
        <v>132.6180219356811</v>
      </c>
      <c r="AF37" s="43">
        <f t="shared" si="26"/>
        <v>133.27946255726769</v>
      </c>
      <c r="AG37" s="43">
        <f t="shared" si="26"/>
        <v>133.94420215503789</v>
      </c>
      <c r="AH37" s="43">
        <f t="shared" si="26"/>
        <v>134.61225718284032</v>
      </c>
      <c r="AI37" s="43">
        <f t="shared" si="26"/>
        <v>135.28364417658824</v>
      </c>
      <c r="AJ37" s="43">
        <f t="shared" si="26"/>
        <v>135.95837975466873</v>
      </c>
      <c r="AK37" s="43">
        <f t="shared" si="26"/>
        <v>136.63648061835411</v>
      </c>
      <c r="AL37" s="43">
        <f t="shared" si="26"/>
        <v>137.31796355221539</v>
      </c>
      <c r="AM37" s="43">
        <f t="shared" ref="AM37:AM46" si="27">AL37*(1+AM$31)^(1/2)</f>
        <v>138.00284542453764</v>
      </c>
      <c r="AN37" s="43">
        <f t="shared" ref="AN37:AN46" si="28">AM37*(1+AN$31)^(1/2)</f>
        <v>138.69114318773754</v>
      </c>
      <c r="AO37" s="43">
        <f t="shared" ref="AO37:AO46" si="29">AN37*(1+AO$31)^(1/2)</f>
        <v>139.38287387878299</v>
      </c>
      <c r="AP37" s="43">
        <f t="shared" ref="AP37:AP46" si="30">AO37*(1+AP$31)^(1/2)</f>
        <v>140.07805461961487</v>
      </c>
    </row>
    <row r="38" spans="2:57" s="10" customFormat="1" outlineLevel="1" x14ac:dyDescent="0.25">
      <c r="C38" t="str">
        <f t="shared" si="25"/>
        <v>Piccadilly Complex, Sydney*</v>
      </c>
      <c r="D38" t="s">
        <v>32</v>
      </c>
      <c r="E38" s="55"/>
      <c r="F38" s="55"/>
      <c r="G38" s="55"/>
      <c r="H38" s="55"/>
      <c r="I38" s="55"/>
      <c r="J38" s="55"/>
      <c r="K38" s="55"/>
      <c r="L38" s="55"/>
      <c r="M38" s="55"/>
      <c r="N38" s="55"/>
      <c r="O38" s="55"/>
      <c r="P38" s="55"/>
      <c r="Q38" s="55"/>
      <c r="R38" s="55"/>
      <c r="S38" s="55"/>
      <c r="T38" s="55"/>
      <c r="U38" s="86"/>
      <c r="V38" s="86"/>
      <c r="W38" s="86"/>
      <c r="X38" s="86"/>
      <c r="Y38" s="86"/>
      <c r="Z38" s="86">
        <v>614</v>
      </c>
      <c r="AA38" s="43">
        <f t="shared" ref="AA38:AL46" si="31">Z38*(1+AA$31)^(1/2)</f>
        <v>604.71986903028085</v>
      </c>
      <c r="AB38" s="43">
        <f t="shared" si="31"/>
        <v>607.73594693748362</v>
      </c>
      <c r="AC38" s="43">
        <f t="shared" si="31"/>
        <v>610.76706772058355</v>
      </c>
      <c r="AD38" s="43">
        <f t="shared" si="31"/>
        <v>613.81330640685837</v>
      </c>
      <c r="AE38" s="43">
        <f t="shared" si="31"/>
        <v>616.87473839778932</v>
      </c>
      <c r="AF38" s="43">
        <f t="shared" si="31"/>
        <v>619.95143947092686</v>
      </c>
      <c r="AG38" s="43">
        <f t="shared" si="31"/>
        <v>623.043485781767</v>
      </c>
      <c r="AH38" s="43">
        <f t="shared" si="31"/>
        <v>626.15095386563598</v>
      </c>
      <c r="AI38" s="43">
        <f t="shared" si="31"/>
        <v>629.27392063958462</v>
      </c>
      <c r="AJ38" s="43">
        <f t="shared" si="31"/>
        <v>632.41246340429223</v>
      </c>
      <c r="AK38" s="43">
        <f t="shared" si="31"/>
        <v>635.56665984598033</v>
      </c>
      <c r="AL38" s="43">
        <f t="shared" si="31"/>
        <v>638.73658803833507</v>
      </c>
      <c r="AM38" s="43">
        <f t="shared" si="27"/>
        <v>641.92232644444005</v>
      </c>
      <c r="AN38" s="43">
        <f t="shared" si="28"/>
        <v>645.12395391871837</v>
      </c>
      <c r="AO38" s="43">
        <f t="shared" si="29"/>
        <v>648.34154970888437</v>
      </c>
      <c r="AP38" s="43">
        <f t="shared" si="30"/>
        <v>651.57519345790547</v>
      </c>
    </row>
    <row r="39" spans="2:57" outlineLevel="1" x14ac:dyDescent="0.25">
      <c r="C39" t="str">
        <f t="shared" si="25"/>
        <v>Walker Street Complex, North Sydney†</v>
      </c>
      <c r="D39" t="s">
        <v>32</v>
      </c>
      <c r="E39" s="58"/>
      <c r="F39" s="58"/>
      <c r="G39" s="58"/>
      <c r="H39" s="58"/>
      <c r="I39" s="58"/>
      <c r="J39" s="58"/>
      <c r="K39" s="58"/>
      <c r="L39" s="58"/>
      <c r="M39" s="58"/>
      <c r="N39" s="58"/>
      <c r="O39" s="58"/>
      <c r="P39" s="58"/>
      <c r="Q39" s="58"/>
      <c r="R39" s="58"/>
      <c r="S39" s="58"/>
      <c r="T39" s="58"/>
      <c r="U39" s="86"/>
      <c r="V39" s="86"/>
      <c r="W39" s="86"/>
      <c r="X39" s="86"/>
      <c r="Y39" s="86"/>
      <c r="Z39" s="86">
        <v>191.1</v>
      </c>
      <c r="AA39" s="43">
        <f>Z39*(1+AA$31)^(1/2)+AA62</f>
        <v>188.21167259232357</v>
      </c>
      <c r="AB39" s="43">
        <f t="shared" si="31"/>
        <v>189.15038999959793</v>
      </c>
      <c r="AC39" s="43">
        <f t="shared" si="31"/>
        <v>190.09378931824676</v>
      </c>
      <c r="AD39" s="43">
        <f t="shared" si="31"/>
        <v>191.04189389959387</v>
      </c>
      <c r="AE39" s="43">
        <f t="shared" si="31"/>
        <v>191.99472721142919</v>
      </c>
      <c r="AF39" s="43">
        <f t="shared" si="31"/>
        <v>192.95231283858976</v>
      </c>
      <c r="AG39" s="43">
        <f t="shared" si="31"/>
        <v>193.91467448354345</v>
      </c>
      <c r="AH39" s="43">
        <f t="shared" si="31"/>
        <v>194.88183596697564</v>
      </c>
      <c r="AI39" s="43">
        <f t="shared" si="31"/>
        <v>195.85382122837888</v>
      </c>
      <c r="AJ39" s="43">
        <f t="shared" si="31"/>
        <v>196.83065432664537</v>
      </c>
      <c r="AK39" s="43">
        <f t="shared" si="31"/>
        <v>197.81235944066262</v>
      </c>
      <c r="AL39" s="43">
        <f t="shared" si="31"/>
        <v>198.79896086991178</v>
      </c>
      <c r="AM39" s="43">
        <f t="shared" si="27"/>
        <v>199.7904830350692</v>
      </c>
      <c r="AN39" s="43">
        <f t="shared" si="28"/>
        <v>200.78695047861086</v>
      </c>
      <c r="AO39" s="43">
        <f t="shared" si="29"/>
        <v>201.78838786541985</v>
      </c>
      <c r="AP39" s="43">
        <f t="shared" si="30"/>
        <v>202.79481998339693</v>
      </c>
    </row>
    <row r="40" spans="2:57" outlineLevel="1" x14ac:dyDescent="0.25">
      <c r="C40" t="str">
        <f t="shared" si="25"/>
        <v>Durack Centre</v>
      </c>
      <c r="D40" t="s">
        <v>32</v>
      </c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8"/>
      <c r="S40" s="58"/>
      <c r="T40" s="58"/>
      <c r="U40" s="86"/>
      <c r="V40" s="86"/>
      <c r="W40" s="86"/>
      <c r="X40" s="86"/>
      <c r="Y40" s="86"/>
      <c r="Z40" s="86">
        <v>58.4</v>
      </c>
      <c r="AA40" s="43">
        <f t="shared" si="31"/>
        <v>57.517329562489252</v>
      </c>
      <c r="AB40" s="43">
        <f t="shared" si="31"/>
        <v>57.804200816203654</v>
      </c>
      <c r="AC40" s="43">
        <f t="shared" si="31"/>
        <v>58.092502858114131</v>
      </c>
      <c r="AD40" s="43">
        <f t="shared" si="31"/>
        <v>58.382242824365683</v>
      </c>
      <c r="AE40" s="43">
        <f t="shared" si="31"/>
        <v>58.673427886695265</v>
      </c>
      <c r="AF40" s="43">
        <f t="shared" si="31"/>
        <v>58.966065252609333</v>
      </c>
      <c r="AG40" s="43">
        <f t="shared" si="31"/>
        <v>59.260162165562214</v>
      </c>
      <c r="AH40" s="43">
        <f t="shared" si="31"/>
        <v>59.555725905135418</v>
      </c>
      <c r="AI40" s="43">
        <f t="shared" si="31"/>
        <v>59.852763787217825</v>
      </c>
      <c r="AJ40" s="43">
        <f t="shared" si="31"/>
        <v>60.151283164186765</v>
      </c>
      <c r="AK40" s="43">
        <f t="shared" si="31"/>
        <v>60.451291425089998</v>
      </c>
      <c r="AL40" s="43">
        <f t="shared" si="31"/>
        <v>60.752795995828627</v>
      </c>
      <c r="AM40" s="43">
        <f t="shared" si="27"/>
        <v>61.055804339340895</v>
      </c>
      <c r="AN40" s="43">
        <f t="shared" si="28"/>
        <v>61.36032395578691</v>
      </c>
      <c r="AO40" s="43">
        <f t="shared" si="29"/>
        <v>61.666362382734299</v>
      </c>
      <c r="AP40" s="43">
        <f t="shared" si="30"/>
        <v>61.973927195344771</v>
      </c>
    </row>
    <row r="41" spans="2:57" outlineLevel="1" x14ac:dyDescent="0.25">
      <c r="C41" t="str">
        <f t="shared" si="25"/>
        <v>16 Giffnock Avenue, Macquarie Park</v>
      </c>
      <c r="D41" t="s">
        <v>32</v>
      </c>
      <c r="E41" s="58"/>
      <c r="F41" s="58"/>
      <c r="G41" s="58"/>
      <c r="H41" s="58"/>
      <c r="I41" s="58"/>
      <c r="J41" s="58"/>
      <c r="K41" s="58"/>
      <c r="L41" s="58"/>
      <c r="M41" s="58"/>
      <c r="N41" s="58"/>
      <c r="O41" s="58"/>
      <c r="P41" s="58"/>
      <c r="Q41" s="58"/>
      <c r="R41" s="58"/>
      <c r="S41" s="58"/>
      <c r="T41" s="58"/>
      <c r="U41" s="86"/>
      <c r="V41" s="86"/>
      <c r="W41" s="86"/>
      <c r="X41" s="86"/>
      <c r="Y41" s="86"/>
      <c r="Z41" s="86">
        <v>79.8</v>
      </c>
      <c r="AA41" s="43">
        <f t="shared" si="31"/>
        <v>78.593885258332918</v>
      </c>
      <c r="AB41" s="43">
        <f t="shared" si="31"/>
        <v>78.985877142689247</v>
      </c>
      <c r="AC41" s="43">
        <f t="shared" si="31"/>
        <v>79.379824110916232</v>
      </c>
      <c r="AD41" s="43">
        <f t="shared" si="31"/>
        <v>79.775735914116126</v>
      </c>
      <c r="AE41" s="43">
        <f t="shared" si="31"/>
        <v>80.17362235202539</v>
      </c>
      <c r="AF41" s="43">
        <f t="shared" si="31"/>
        <v>80.573493273257284</v>
      </c>
      <c r="AG41" s="43">
        <f t="shared" si="31"/>
        <v>80.975358575545641</v>
      </c>
      <c r="AH41" s="43">
        <f t="shared" si="31"/>
        <v>81.379228205989847</v>
      </c>
      <c r="AI41" s="43">
        <f t="shared" si="31"/>
        <v>81.785112161301086</v>
      </c>
      <c r="AJ41" s="43">
        <f t="shared" si="31"/>
        <v>82.19302048804974</v>
      </c>
      <c r="AK41" s="43">
        <f t="shared" si="31"/>
        <v>82.602963282914089</v>
      </c>
      <c r="AL41" s="43">
        <f t="shared" si="31"/>
        <v>83.014950692930228</v>
      </c>
      <c r="AM41" s="43">
        <f t="shared" si="27"/>
        <v>83.428992915743223</v>
      </c>
      <c r="AN41" s="43">
        <f t="shared" si="28"/>
        <v>83.845100199859516</v>
      </c>
      <c r="AO41" s="43">
        <f t="shared" si="29"/>
        <v>84.263282844900644</v>
      </c>
      <c r="AP41" s="43">
        <f t="shared" si="30"/>
        <v>84.683551201858108</v>
      </c>
    </row>
    <row r="42" spans="2:57" outlineLevel="1" x14ac:dyDescent="0.25">
      <c r="C42" t="str">
        <f t="shared" si="25"/>
        <v>60-66 Waterloo Road, Macquarie Park</v>
      </c>
      <c r="D42" t="s">
        <v>32</v>
      </c>
      <c r="E42" s="58"/>
      <c r="F42" s="58"/>
      <c r="G42" s="58"/>
      <c r="H42" s="58"/>
      <c r="I42" s="58"/>
      <c r="J42" s="58"/>
      <c r="K42" s="58"/>
      <c r="L42" s="58"/>
      <c r="M42" s="58"/>
      <c r="N42" s="58"/>
      <c r="O42" s="58"/>
      <c r="P42" s="58"/>
      <c r="Q42" s="58"/>
      <c r="R42" s="58"/>
      <c r="S42" s="58"/>
      <c r="T42" s="58"/>
      <c r="U42" s="86"/>
      <c r="V42" s="86"/>
      <c r="W42" s="86"/>
      <c r="X42" s="86"/>
      <c r="Y42" s="86"/>
      <c r="Z42" s="86">
        <v>147.9</v>
      </c>
      <c r="AA42" s="43">
        <f t="shared" si="31"/>
        <v>145.66460688856441</v>
      </c>
      <c r="AB42" s="43">
        <f t="shared" si="31"/>
        <v>146.39111816295414</v>
      </c>
      <c r="AC42" s="43">
        <f t="shared" si="31"/>
        <v>147.12125295745003</v>
      </c>
      <c r="AD42" s="43">
        <f t="shared" si="31"/>
        <v>147.85502934458367</v>
      </c>
      <c r="AE42" s="43">
        <f t="shared" si="31"/>
        <v>148.59246548702453</v>
      </c>
      <c r="AF42" s="43">
        <f t="shared" si="31"/>
        <v>149.33357963802951</v>
      </c>
      <c r="AG42" s="43">
        <f t="shared" si="31"/>
        <v>150.07839014189477</v>
      </c>
      <c r="AH42" s="43">
        <f t="shared" si="31"/>
        <v>150.82691543440978</v>
      </c>
      <c r="AI42" s="43">
        <f t="shared" si="31"/>
        <v>151.57917404331369</v>
      </c>
      <c r="AJ42" s="43">
        <f t="shared" si="31"/>
        <v>152.33518458875386</v>
      </c>
      <c r="AK42" s="43">
        <f t="shared" si="31"/>
        <v>153.0949657837468</v>
      </c>
      <c r="AL42" s="43">
        <f t="shared" si="31"/>
        <v>153.85853643464137</v>
      </c>
      <c r="AM42" s="43">
        <f t="shared" si="27"/>
        <v>154.62591544158423</v>
      </c>
      <c r="AN42" s="43">
        <f t="shared" si="28"/>
        <v>155.39712179898774</v>
      </c>
      <c r="AO42" s="43">
        <f t="shared" si="29"/>
        <v>156.17217459600005</v>
      </c>
      <c r="AP42" s="43">
        <f t="shared" si="30"/>
        <v>156.95109301697761</v>
      </c>
    </row>
    <row r="43" spans="2:57" outlineLevel="1" x14ac:dyDescent="0.25">
      <c r="C43" t="str">
        <f t="shared" si="25"/>
        <v xml:space="preserve">Macquarie Technology Park, Macquarie Park†† </v>
      </c>
      <c r="D43" t="s">
        <v>32</v>
      </c>
      <c r="E43" s="58"/>
      <c r="F43" s="58"/>
      <c r="G43" s="58"/>
      <c r="H43" s="58"/>
      <c r="I43" s="58"/>
      <c r="J43" s="58"/>
      <c r="K43" s="58"/>
      <c r="L43" s="58"/>
      <c r="M43" s="58"/>
      <c r="N43" s="58"/>
      <c r="O43" s="58"/>
      <c r="P43" s="58"/>
      <c r="Q43" s="58"/>
      <c r="R43" s="58"/>
      <c r="S43" s="58"/>
      <c r="T43" s="58"/>
      <c r="U43" s="86"/>
      <c r="V43" s="86"/>
      <c r="W43" s="86"/>
      <c r="X43" s="86"/>
      <c r="Y43" s="86"/>
      <c r="Z43" s="86">
        <v>162.4</v>
      </c>
      <c r="AA43" s="43">
        <f t="shared" si="31"/>
        <v>159.94545070116874</v>
      </c>
      <c r="AB43" s="43">
        <f t="shared" si="31"/>
        <v>160.74318857108688</v>
      </c>
      <c r="AC43" s="43">
        <f t="shared" si="31"/>
        <v>161.54490520818041</v>
      </c>
      <c r="AD43" s="43">
        <f t="shared" si="31"/>
        <v>162.35062045679774</v>
      </c>
      <c r="AE43" s="43">
        <f t="shared" si="31"/>
        <v>163.16035426026221</v>
      </c>
      <c r="AF43" s="43">
        <f t="shared" si="31"/>
        <v>163.97412666136572</v>
      </c>
      <c r="AG43" s="43">
        <f t="shared" si="31"/>
        <v>164.79195780286483</v>
      </c>
      <c r="AH43" s="43">
        <f t="shared" si="31"/>
        <v>165.61386792797936</v>
      </c>
      <c r="AI43" s="43">
        <f t="shared" si="31"/>
        <v>166.43987738089345</v>
      </c>
      <c r="AJ43" s="43">
        <f t="shared" si="31"/>
        <v>167.27000660725912</v>
      </c>
      <c r="AK43" s="43">
        <f t="shared" si="31"/>
        <v>168.10427615470235</v>
      </c>
      <c r="AL43" s="43">
        <f t="shared" si="31"/>
        <v>168.94270667333168</v>
      </c>
      <c r="AM43" s="43">
        <f t="shared" si="27"/>
        <v>169.78531891624934</v>
      </c>
      <c r="AN43" s="43">
        <f t="shared" si="28"/>
        <v>170.63213374006497</v>
      </c>
      <c r="AO43" s="43">
        <f t="shared" si="29"/>
        <v>171.48317210541182</v>
      </c>
      <c r="AP43" s="43">
        <f t="shared" si="30"/>
        <v>172.3384550774656</v>
      </c>
    </row>
    <row r="44" spans="2:57" outlineLevel="1" x14ac:dyDescent="0.25">
      <c r="C44" t="str">
        <f t="shared" si="25"/>
        <v>Optus Centre, Macquarie Park‡</v>
      </c>
      <c r="D44" t="s">
        <v>32</v>
      </c>
      <c r="E44" s="58"/>
      <c r="F44" s="58"/>
      <c r="G44" s="58"/>
      <c r="H44" s="58"/>
      <c r="I44" s="58"/>
      <c r="J44" s="58"/>
      <c r="K44" s="58"/>
      <c r="L44" s="58"/>
      <c r="M44" s="58"/>
      <c r="N44" s="58"/>
      <c r="O44" s="58"/>
      <c r="P44" s="58"/>
      <c r="Q44" s="58"/>
      <c r="R44" s="58"/>
      <c r="S44" s="58"/>
      <c r="T44" s="58"/>
      <c r="U44" s="86"/>
      <c r="V44" s="86"/>
      <c r="W44" s="86"/>
      <c r="X44" s="86"/>
      <c r="Y44" s="86"/>
      <c r="Z44" s="86">
        <v>379.4</v>
      </c>
      <c r="AA44" s="43">
        <f t="shared" si="31"/>
        <v>373.6656650001442</v>
      </c>
      <c r="AB44" s="43">
        <f t="shared" si="31"/>
        <v>375.52934571348743</v>
      </c>
      <c r="AC44" s="43">
        <f t="shared" si="31"/>
        <v>377.40232165014555</v>
      </c>
      <c r="AD44" s="43">
        <f t="shared" si="31"/>
        <v>379.2846391706222</v>
      </c>
      <c r="AE44" s="43">
        <f t="shared" si="31"/>
        <v>381.1763448666469</v>
      </c>
      <c r="AF44" s="43">
        <f t="shared" si="31"/>
        <v>383.07748556232832</v>
      </c>
      <c r="AG44" s="43">
        <f t="shared" si="31"/>
        <v>384.9881083153133</v>
      </c>
      <c r="AH44" s="43">
        <f t="shared" si="31"/>
        <v>386.90826041795157</v>
      </c>
      <c r="AI44" s="43">
        <f t="shared" si="31"/>
        <v>388.83798939846639</v>
      </c>
      <c r="AJ44" s="43">
        <f t="shared" si="31"/>
        <v>390.77734302213105</v>
      </c>
      <c r="AK44" s="43">
        <f t="shared" si="31"/>
        <v>392.72636929245101</v>
      </c>
      <c r="AL44" s="43">
        <f t="shared" si="31"/>
        <v>394.6851164523523</v>
      </c>
      <c r="AM44" s="43">
        <f t="shared" si="27"/>
        <v>396.65363298537545</v>
      </c>
      <c r="AN44" s="43">
        <f t="shared" si="28"/>
        <v>398.63196761687573</v>
      </c>
      <c r="AO44" s="43">
        <f t="shared" si="29"/>
        <v>400.62016931522913</v>
      </c>
      <c r="AP44" s="43">
        <f t="shared" si="30"/>
        <v>402.61828729304443</v>
      </c>
    </row>
    <row r="45" spans="2:57" outlineLevel="1" x14ac:dyDescent="0.25">
      <c r="C45" t="str">
        <f t="shared" si="25"/>
        <v>Triniti Business Park, North Ryde</v>
      </c>
      <c r="D45" t="s">
        <v>32</v>
      </c>
      <c r="E45" s="58"/>
      <c r="F45" s="58"/>
      <c r="G45" s="58"/>
      <c r="H45" s="58"/>
      <c r="I45" s="58"/>
      <c r="J45" s="58"/>
      <c r="K45" s="58"/>
      <c r="L45" s="58"/>
      <c r="M45" s="58"/>
      <c r="N45" s="58"/>
      <c r="O45" s="58"/>
      <c r="P45" s="58"/>
      <c r="Q45" s="58"/>
      <c r="R45" s="58"/>
      <c r="S45" s="58"/>
      <c r="T45" s="58"/>
      <c r="U45" s="86"/>
      <c r="V45" s="86"/>
      <c r="W45" s="86"/>
      <c r="X45" s="86"/>
      <c r="Y45" s="86"/>
      <c r="Z45" s="86">
        <v>243</v>
      </c>
      <c r="AA45" s="43">
        <f t="shared" si="31"/>
        <v>239.32724458364535</v>
      </c>
      <c r="AB45" s="43">
        <f t="shared" si="31"/>
        <v>240.52090408112139</v>
      </c>
      <c r="AC45" s="43">
        <f t="shared" si="31"/>
        <v>241.72051702948175</v>
      </c>
      <c r="AD45" s="43">
        <f t="shared" si="31"/>
        <v>242.92611312193256</v>
      </c>
      <c r="AE45" s="43">
        <f t="shared" si="31"/>
        <v>244.13772219977653</v>
      </c>
      <c r="AF45" s="43">
        <f t="shared" si="31"/>
        <v>245.35537425315184</v>
      </c>
      <c r="AG45" s="43">
        <f t="shared" si="31"/>
        <v>246.57909942177426</v>
      </c>
      <c r="AH45" s="43">
        <f t="shared" si="31"/>
        <v>247.80892799568332</v>
      </c>
      <c r="AI45" s="43">
        <f t="shared" si="31"/>
        <v>249.04489041599197</v>
      </c>
      <c r="AJ45" s="43">
        <f t="shared" si="31"/>
        <v>250.28701727564012</v>
      </c>
      <c r="AK45" s="43">
        <f t="shared" si="31"/>
        <v>251.53533932015185</v>
      </c>
      <c r="AL45" s="43">
        <f t="shared" si="31"/>
        <v>252.78988744839648</v>
      </c>
      <c r="AM45" s="43">
        <f t="shared" si="27"/>
        <v>254.05069271335333</v>
      </c>
      <c r="AN45" s="43">
        <f t="shared" si="28"/>
        <v>255.31778632288041</v>
      </c>
      <c r="AO45" s="43">
        <f t="shared" si="29"/>
        <v>256.59119964048682</v>
      </c>
      <c r="AP45" s="43">
        <f t="shared" si="30"/>
        <v>257.87096418610918</v>
      </c>
    </row>
    <row r="46" spans="2:57" outlineLevel="1" x14ac:dyDescent="0.25">
      <c r="C46" t="str">
        <f t="shared" si="25"/>
        <v>Mulgrave Corporate Park</v>
      </c>
      <c r="D46" t="s">
        <v>32</v>
      </c>
      <c r="E46" s="58"/>
      <c r="F46" s="58"/>
      <c r="G46" s="58"/>
      <c r="H46" s="58"/>
      <c r="I46" s="58"/>
      <c r="J46" s="58"/>
      <c r="K46" s="58"/>
      <c r="L46" s="58"/>
      <c r="M46" s="58"/>
      <c r="N46" s="58"/>
      <c r="O46" s="58"/>
      <c r="P46" s="58"/>
      <c r="Q46" s="58"/>
      <c r="R46" s="58"/>
      <c r="S46" s="58"/>
      <c r="T46" s="58"/>
      <c r="U46" s="86"/>
      <c r="V46" s="86"/>
      <c r="W46" s="86"/>
      <c r="X46" s="86"/>
      <c r="Y46" s="86"/>
      <c r="Z46" s="86">
        <v>98.2</v>
      </c>
      <c r="AA46" s="43">
        <f t="shared" si="31"/>
        <v>96.715783613637754</v>
      </c>
      <c r="AB46" s="43">
        <f t="shared" si="31"/>
        <v>97.19815959163013</v>
      </c>
      <c r="AC46" s="43">
        <f t="shared" si="31"/>
        <v>97.68294144977412</v>
      </c>
      <c r="AD46" s="43">
        <f t="shared" si="31"/>
        <v>98.17014118754642</v>
      </c>
      <c r="AE46" s="43">
        <f t="shared" si="31"/>
        <v>98.659770864271849</v>
      </c>
      <c r="AF46" s="43">
        <f t="shared" si="31"/>
        <v>99.151842599421869</v>
      </c>
      <c r="AG46" s="43">
        <f t="shared" si="31"/>
        <v>99.646368572914554</v>
      </c>
      <c r="AH46" s="43">
        <f t="shared" si="31"/>
        <v>100.14336102541607</v>
      </c>
      <c r="AI46" s="43">
        <f t="shared" si="31"/>
        <v>100.64283225864368</v>
      </c>
      <c r="AJ46" s="43">
        <f t="shared" si="31"/>
        <v>101.14479463567021</v>
      </c>
      <c r="AK46" s="43">
        <f t="shared" si="31"/>
        <v>101.6492605812301</v>
      </c>
      <c r="AL46" s="43">
        <f t="shared" si="31"/>
        <v>102.15624258202689</v>
      </c>
      <c r="AM46" s="43">
        <f t="shared" si="27"/>
        <v>102.66575318704237</v>
      </c>
      <c r="AN46" s="43">
        <f t="shared" si="28"/>
        <v>103.17780500784714</v>
      </c>
      <c r="AO46" s="43">
        <f t="shared" si="29"/>
        <v>103.69241071891278</v>
      </c>
      <c r="AP46" s="43">
        <f t="shared" si="30"/>
        <v>104.2095830579256</v>
      </c>
    </row>
    <row r="47" spans="2:57" outlineLevel="1" x14ac:dyDescent="0.25"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58"/>
      <c r="U47" s="86"/>
      <c r="V47" s="86"/>
      <c r="W47" s="86"/>
      <c r="X47" s="86"/>
      <c r="Y47" s="86"/>
      <c r="Z47" s="86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</row>
    <row r="48" spans="2:57" outlineLevel="1" x14ac:dyDescent="0.25">
      <c r="E48" s="58"/>
      <c r="F48" s="58"/>
      <c r="G48" s="58"/>
      <c r="H48" s="58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86"/>
      <c r="V48" s="86"/>
      <c r="W48" s="86"/>
      <c r="X48" s="86"/>
      <c r="Y48" s="86"/>
      <c r="Z48" s="86"/>
      <c r="AA48" s="43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43"/>
      <c r="AM48" s="43"/>
      <c r="AN48" s="43"/>
      <c r="AO48" s="43"/>
      <c r="AP48" s="43"/>
    </row>
    <row r="49" spans="1:57" outlineLevel="1" x14ac:dyDescent="0.25">
      <c r="C49" t="s">
        <v>238</v>
      </c>
      <c r="D49" t="s">
        <v>32</v>
      </c>
      <c r="E49" s="58"/>
      <c r="F49" s="58"/>
      <c r="G49" s="58"/>
      <c r="H49" s="58"/>
      <c r="I49" s="58"/>
      <c r="J49" s="58"/>
      <c r="K49" s="58"/>
      <c r="L49" s="58"/>
      <c r="M49" s="58"/>
      <c r="N49" s="58"/>
      <c r="O49" s="58"/>
      <c r="P49" s="58"/>
      <c r="Q49" s="58"/>
      <c r="R49" s="58"/>
      <c r="S49" s="58"/>
      <c r="T49" s="58"/>
      <c r="U49" s="86"/>
      <c r="V49" s="86"/>
      <c r="W49" s="86"/>
      <c r="X49" s="86"/>
      <c r="Y49" s="86"/>
      <c r="Z49" s="88">
        <f>Z85</f>
        <v>0</v>
      </c>
      <c r="AA49" s="88">
        <f t="shared" ref="AA49:AL49" si="32">AA85</f>
        <v>0</v>
      </c>
      <c r="AB49" s="43">
        <f t="shared" si="32"/>
        <v>0</v>
      </c>
      <c r="AC49" s="43">
        <f t="shared" si="32"/>
        <v>0</v>
      </c>
      <c r="AD49" s="43">
        <f t="shared" si="32"/>
        <v>244.71999999999997</v>
      </c>
      <c r="AE49" s="43">
        <f t="shared" si="32"/>
        <v>245.94055620007038</v>
      </c>
      <c r="AF49" s="43">
        <f t="shared" si="32"/>
        <v>247.16719999999992</v>
      </c>
      <c r="AG49" s="43">
        <f t="shared" si="32"/>
        <v>328.39996176207103</v>
      </c>
      <c r="AH49" s="43">
        <f t="shared" si="32"/>
        <v>330.037876968967</v>
      </c>
      <c r="AI49" s="43">
        <f t="shared" si="32"/>
        <v>363.08396137969169</v>
      </c>
      <c r="AJ49" s="43">
        <f t="shared" si="32"/>
        <v>396.29486518897619</v>
      </c>
      <c r="AK49" s="43">
        <f t="shared" si="32"/>
        <v>429.6714104438081</v>
      </c>
      <c r="AL49" s="43">
        <f t="shared" si="32"/>
        <v>463.21442329118543</v>
      </c>
      <c r="AM49" s="43">
        <f>AM85</f>
        <v>496.92473399856567</v>
      </c>
      <c r="AN49" s="43">
        <f>AN85</f>
        <v>530.80317697441683</v>
      </c>
      <c r="AO49" s="43">
        <f>AO85</f>
        <v>564.85059078887082</v>
      </c>
      <c r="AP49" s="43">
        <f>AP85</f>
        <v>599.06781819448042</v>
      </c>
    </row>
    <row r="50" spans="1:57" outlineLevel="1" x14ac:dyDescent="0.25">
      <c r="C50" t="s">
        <v>115</v>
      </c>
      <c r="D50" t="s">
        <v>32</v>
      </c>
      <c r="E50" s="58"/>
      <c r="F50" s="58"/>
      <c r="G50" s="58"/>
      <c r="H50" s="58"/>
      <c r="I50" s="58"/>
      <c r="J50" s="58"/>
      <c r="K50" s="58"/>
      <c r="L50" s="58"/>
      <c r="M50" s="58"/>
      <c r="N50" s="58"/>
      <c r="O50" s="58"/>
      <c r="P50" s="58"/>
      <c r="Q50" s="58"/>
      <c r="R50" s="58"/>
      <c r="S50" s="58"/>
      <c r="T50" s="58"/>
      <c r="U50" s="86"/>
      <c r="V50" s="86"/>
      <c r="W50" s="86"/>
      <c r="X50" s="86"/>
      <c r="Y50" s="86"/>
      <c r="Z50" s="88">
        <f>Z51-SUM(Z37:Z49)</f>
        <v>19.800000000000182</v>
      </c>
      <c r="AA50" s="43">
        <f>AA51-SUM(AA37:AA49)</f>
        <v>12.633569785704822</v>
      </c>
      <c r="AB50" s="43">
        <f>AB51-SUM(AB37:AB49)</f>
        <v>-134.71246162822172</v>
      </c>
      <c r="AC50" s="43">
        <f>AC51-SUM(AC37:AC49)</f>
        <v>-173.11009451643804</v>
      </c>
      <c r="AD50" s="43">
        <f>AD51-SUM(AD37:AD49)</f>
        <v>-646.27958624450321</v>
      </c>
      <c r="AE50" s="43">
        <f t="shared" ref="AE50:AL50" si="33">AD50*(1+AE$31)^(1/2)</f>
        <v>-649.50294582267281</v>
      </c>
      <c r="AF50" s="43">
        <f t="shared" si="33"/>
        <v>-652.74238210694818</v>
      </c>
      <c r="AG50" s="43">
        <f t="shared" si="33"/>
        <v>-655.99797528089948</v>
      </c>
      <c r="AH50" s="43">
        <f t="shared" si="33"/>
        <v>-659.2698059280176</v>
      </c>
      <c r="AI50" s="43">
        <f t="shared" si="33"/>
        <v>-662.55795503370837</v>
      </c>
      <c r="AJ50" s="43">
        <f t="shared" si="33"/>
        <v>-665.8625039872976</v>
      </c>
      <c r="AK50" s="43">
        <f t="shared" si="33"/>
        <v>-669.18353458404533</v>
      </c>
      <c r="AL50" s="43">
        <f t="shared" si="33"/>
        <v>-672.52112902717045</v>
      </c>
      <c r="AM50" s="43">
        <f>AL50*(1+AM$31)^(1/2)</f>
        <v>-675.87536992988566</v>
      </c>
      <c r="AN50" s="43">
        <f>AM50*(1+AN$31)^(1/2)</f>
        <v>-679.2463403174421</v>
      </c>
      <c r="AO50" s="43">
        <f>AN50*(1+AO$31)^(1/2)</f>
        <v>-682.6341236291845</v>
      </c>
      <c r="AP50" s="43">
        <f>AO50*(1+AP$31)^(1/2)</f>
        <v>-686.03880372061644</v>
      </c>
    </row>
    <row r="51" spans="1:57" s="6" customFormat="1" x14ac:dyDescent="0.25">
      <c r="C51" s="6" t="s">
        <v>297</v>
      </c>
      <c r="D51" s="6" t="s">
        <v>32</v>
      </c>
      <c r="E51" s="46"/>
      <c r="F51" s="46"/>
      <c r="G51" s="46"/>
      <c r="H51" s="46"/>
      <c r="I51" s="46"/>
      <c r="J51" s="46"/>
      <c r="K51" s="46"/>
      <c r="L51" s="46"/>
      <c r="M51" s="46"/>
      <c r="N51" s="46"/>
      <c r="O51" s="46"/>
      <c r="P51" s="46"/>
      <c r="Q51" s="46"/>
      <c r="R51" s="46"/>
      <c r="S51" s="46"/>
      <c r="T51" s="46"/>
      <c r="U51" s="46"/>
      <c r="V51" s="46"/>
      <c r="W51" s="46"/>
      <c r="X51" s="46"/>
      <c r="Y51" s="46"/>
      <c r="Z51" s="33">
        <v>2126</v>
      </c>
      <c r="AA51" s="33">
        <v>2087</v>
      </c>
      <c r="AB51" s="33">
        <v>1950</v>
      </c>
      <c r="AC51" s="33">
        <v>1922</v>
      </c>
      <c r="AD51" s="33">
        <v>1704</v>
      </c>
      <c r="AE51" s="46">
        <f t="shared" ref="AE51:AL51" si="34">SUM(AE37:AE50)</f>
        <v>1712.4988058389999</v>
      </c>
      <c r="AF51" s="46">
        <f t="shared" si="34"/>
        <v>1721.04</v>
      </c>
      <c r="AG51" s="46">
        <f t="shared" si="34"/>
        <v>1809.6237938973895</v>
      </c>
      <c r="AH51" s="46">
        <f t="shared" si="34"/>
        <v>1818.6494049689666</v>
      </c>
      <c r="AI51" s="46">
        <f t="shared" si="34"/>
        <v>1859.1200318363631</v>
      </c>
      <c r="AJ51" s="46">
        <f t="shared" si="34"/>
        <v>1899.7925084689755</v>
      </c>
      <c r="AK51" s="46">
        <f t="shared" si="34"/>
        <v>1940.6678416050454</v>
      </c>
      <c r="AL51" s="46">
        <f t="shared" si="34"/>
        <v>1981.7470430039853</v>
      </c>
      <c r="AM51" s="46">
        <f>SUM(AM37:AM50)</f>
        <v>2023.0311294714159</v>
      </c>
      <c r="AN51" s="46">
        <f>SUM(AN37:AN50)</f>
        <v>2064.5211228843432</v>
      </c>
      <c r="AO51" s="46">
        <f>SUM(AO37:AO50)</f>
        <v>2106.2180502164492</v>
      </c>
      <c r="AP51" s="46">
        <f>SUM(AP37:AP50)</f>
        <v>2148.1229435635069</v>
      </c>
    </row>
    <row r="52" spans="1:57" x14ac:dyDescent="0.25">
      <c r="C52" s="44"/>
      <c r="E52" s="54"/>
      <c r="F52" s="54"/>
      <c r="G52" s="54"/>
      <c r="H52" s="54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54"/>
      <c r="T52" s="54"/>
      <c r="U52" s="54"/>
      <c r="V52" s="54"/>
      <c r="W52" s="54"/>
      <c r="X52" s="54"/>
      <c r="Y52" s="54"/>
      <c r="Z52" s="54"/>
      <c r="AA52" s="54"/>
      <c r="AB52" s="54"/>
      <c r="AC52" s="54"/>
      <c r="AD52" s="54"/>
      <c r="AE52" s="54"/>
      <c r="AF52" s="54"/>
      <c r="AG52" s="54"/>
      <c r="AH52" s="54"/>
      <c r="AI52" s="54"/>
      <c r="AJ52" s="54"/>
      <c r="AK52" s="54"/>
      <c r="AL52" s="54"/>
      <c r="AM52" s="54"/>
      <c r="AN52" s="54"/>
      <c r="AO52" s="54"/>
      <c r="AP52" s="54"/>
    </row>
    <row r="53" spans="1:57" s="23" customFormat="1" x14ac:dyDescent="0.25">
      <c r="B53" s="23" t="s">
        <v>118</v>
      </c>
      <c r="E53" s="57"/>
      <c r="F53" s="57"/>
      <c r="G53" s="57"/>
      <c r="H53" s="57"/>
      <c r="I53" s="57"/>
      <c r="J53" s="57"/>
      <c r="K53" s="57"/>
      <c r="L53" s="57"/>
      <c r="M53" s="57"/>
      <c r="N53" s="57"/>
      <c r="O53" s="57"/>
      <c r="P53" s="57"/>
      <c r="Q53" s="57"/>
      <c r="R53" s="57"/>
      <c r="S53" s="57"/>
      <c r="T53" s="57"/>
      <c r="U53" s="57"/>
      <c r="V53" s="57"/>
      <c r="W53" s="57"/>
      <c r="X53" s="57"/>
      <c r="Y53" s="57"/>
      <c r="Z53" s="57"/>
      <c r="AA53" s="57"/>
      <c r="AB53" s="57"/>
      <c r="AC53" s="57"/>
      <c r="AD53" s="57"/>
      <c r="AE53" s="57"/>
      <c r="AF53" s="57"/>
      <c r="AG53" s="57"/>
      <c r="AH53" s="57"/>
      <c r="AI53" s="57"/>
      <c r="AJ53" s="57"/>
      <c r="AK53" s="57"/>
      <c r="AL53" s="57"/>
      <c r="AM53" s="57"/>
      <c r="AN53" s="57"/>
      <c r="AO53" s="57"/>
      <c r="AP53" s="57"/>
      <c r="AQ53" s="24"/>
      <c r="AR53" s="24"/>
      <c r="AS53" s="24"/>
      <c r="AT53" s="24"/>
      <c r="AU53" s="24"/>
      <c r="AV53" s="24"/>
      <c r="AW53" s="24"/>
      <c r="AX53" s="24"/>
      <c r="AY53" s="24"/>
      <c r="AZ53" s="24"/>
      <c r="BA53" s="24"/>
      <c r="BE53" s="25"/>
    </row>
    <row r="54" spans="1:57" x14ac:dyDescent="0.25">
      <c r="C54" t="s">
        <v>248</v>
      </c>
      <c r="D54" t="s">
        <v>32</v>
      </c>
      <c r="E54" s="87"/>
      <c r="F54" s="87"/>
      <c r="G54" s="87"/>
      <c r="H54" s="87"/>
      <c r="I54" s="87"/>
      <c r="J54" s="87"/>
      <c r="K54" s="87"/>
      <c r="L54" s="87"/>
      <c r="M54" s="87"/>
      <c r="N54" s="87"/>
      <c r="O54" s="87"/>
      <c r="P54" s="87"/>
      <c r="Q54" s="87"/>
      <c r="R54" s="87"/>
      <c r="S54" s="87"/>
      <c r="T54" s="87"/>
      <c r="U54" s="87"/>
      <c r="V54" s="87"/>
      <c r="W54" s="87"/>
      <c r="X54" s="87"/>
      <c r="Y54" s="87"/>
      <c r="Z54" s="87"/>
      <c r="AA54" s="87">
        <f>AA51-Z51</f>
        <v>-39</v>
      </c>
      <c r="AB54" s="87">
        <f t="shared" ref="AB54:AL54" si="35">AB51-AA51</f>
        <v>-137</v>
      </c>
      <c r="AC54" s="87">
        <f t="shared" si="35"/>
        <v>-28</v>
      </c>
      <c r="AD54" s="87">
        <f t="shared" si="35"/>
        <v>-218</v>
      </c>
      <c r="AE54" s="87">
        <f t="shared" si="35"/>
        <v>8.4988058389999424</v>
      </c>
      <c r="AF54" s="87">
        <f t="shared" si="35"/>
        <v>8.5411941610000213</v>
      </c>
      <c r="AG54" s="87">
        <f t="shared" si="35"/>
        <v>88.583793897389569</v>
      </c>
      <c r="AH54" s="87">
        <f t="shared" si="35"/>
        <v>9.0256110715770319</v>
      </c>
      <c r="AI54" s="87">
        <f t="shared" si="35"/>
        <v>40.470626867396504</v>
      </c>
      <c r="AJ54" s="87">
        <f t="shared" si="35"/>
        <v>40.672476632612415</v>
      </c>
      <c r="AK54" s="87">
        <f t="shared" si="35"/>
        <v>40.875333136069912</v>
      </c>
      <c r="AL54" s="87">
        <f t="shared" si="35"/>
        <v>41.079201398939858</v>
      </c>
      <c r="AM54" s="87">
        <f>AM51-AL51</f>
        <v>41.284086467430598</v>
      </c>
      <c r="AN54" s="87">
        <f>AN51-AM51</f>
        <v>41.489993412927333</v>
      </c>
      <c r="AO54" s="87">
        <f>AO51-AN51</f>
        <v>41.696927332106043</v>
      </c>
      <c r="AP54" s="87">
        <f>AP51-AO51</f>
        <v>41.904893347057623</v>
      </c>
    </row>
    <row r="55" spans="1:57" x14ac:dyDescent="0.25">
      <c r="C55" t="s">
        <v>85</v>
      </c>
      <c r="D55" t="s">
        <v>32</v>
      </c>
      <c r="E55" s="87"/>
      <c r="F55" s="87"/>
      <c r="G55" s="87"/>
      <c r="H55" s="87"/>
      <c r="I55" s="87"/>
      <c r="J55" s="87"/>
      <c r="K55" s="87"/>
      <c r="L55" s="87"/>
      <c r="M55" s="87"/>
      <c r="N55" s="87"/>
      <c r="O55" s="87"/>
      <c r="P55" s="87"/>
      <c r="Q55" s="87"/>
      <c r="R55" s="87"/>
      <c r="S55" s="87"/>
      <c r="T55" s="87"/>
      <c r="U55" s="87"/>
      <c r="V55" s="87"/>
      <c r="W55" s="87"/>
      <c r="X55" s="87"/>
      <c r="Y55" s="87"/>
      <c r="Z55" s="87"/>
      <c r="AA55" s="87">
        <f>-AA66</f>
        <v>0</v>
      </c>
      <c r="AB55" s="87">
        <f t="shared" ref="AB55:AL55" si="36">-AB66</f>
        <v>0</v>
      </c>
      <c r="AC55" s="87">
        <f t="shared" si="36"/>
        <v>0</v>
      </c>
      <c r="AD55" s="87">
        <f t="shared" si="36"/>
        <v>0</v>
      </c>
      <c r="AE55" s="87">
        <f t="shared" si="36"/>
        <v>0</v>
      </c>
      <c r="AF55" s="87">
        <f t="shared" si="36"/>
        <v>0</v>
      </c>
      <c r="AG55" s="87">
        <f t="shared" si="36"/>
        <v>0</v>
      </c>
      <c r="AH55" s="87">
        <f t="shared" si="36"/>
        <v>0</v>
      </c>
      <c r="AI55" s="87">
        <f t="shared" si="36"/>
        <v>0</v>
      </c>
      <c r="AJ55" s="87">
        <f t="shared" si="36"/>
        <v>0</v>
      </c>
      <c r="AK55" s="87">
        <f t="shared" si="36"/>
        <v>0</v>
      </c>
      <c r="AL55" s="87">
        <f t="shared" si="36"/>
        <v>0</v>
      </c>
      <c r="AM55" s="87">
        <f>-AM66</f>
        <v>0</v>
      </c>
      <c r="AN55" s="87">
        <f>-AN66</f>
        <v>0</v>
      </c>
      <c r="AO55" s="87">
        <f>-AO66</f>
        <v>0</v>
      </c>
      <c r="AP55" s="87">
        <f>-AP66</f>
        <v>0</v>
      </c>
    </row>
    <row r="56" spans="1:57" x14ac:dyDescent="0.25">
      <c r="C56" t="s">
        <v>249</v>
      </c>
      <c r="D56" t="s">
        <v>32</v>
      </c>
      <c r="E56" s="87"/>
      <c r="F56" s="87"/>
      <c r="G56" s="87"/>
      <c r="H56" s="87"/>
      <c r="I56" s="87"/>
      <c r="J56" s="87"/>
      <c r="K56" s="87"/>
      <c r="L56" s="87"/>
      <c r="M56" s="87"/>
      <c r="N56" s="87"/>
      <c r="O56" s="87"/>
      <c r="P56" s="87"/>
      <c r="Q56" s="87"/>
      <c r="R56" s="87"/>
      <c r="S56" s="87"/>
      <c r="T56" s="87"/>
      <c r="U56" s="87"/>
      <c r="V56" s="87"/>
      <c r="W56" s="87"/>
      <c r="X56" s="87"/>
      <c r="Y56" s="87"/>
      <c r="Z56" s="87"/>
      <c r="AA56" s="87">
        <f>AA73</f>
        <v>0</v>
      </c>
      <c r="AB56" s="87">
        <f t="shared" ref="AB56:AL56" si="37">AB73</f>
        <v>0</v>
      </c>
      <c r="AC56" s="87">
        <f t="shared" si="37"/>
        <v>0</v>
      </c>
      <c r="AD56" s="87">
        <f t="shared" si="37"/>
        <v>0</v>
      </c>
      <c r="AE56" s="87">
        <f t="shared" si="37"/>
        <v>0</v>
      </c>
      <c r="AF56" s="87">
        <f t="shared" si="37"/>
        <v>0</v>
      </c>
      <c r="AG56" s="87">
        <f t="shared" si="37"/>
        <v>0</v>
      </c>
      <c r="AH56" s="87">
        <f t="shared" si="37"/>
        <v>0</v>
      </c>
      <c r="AI56" s="87">
        <f t="shared" si="37"/>
        <v>0</v>
      </c>
      <c r="AJ56" s="87">
        <f t="shared" si="37"/>
        <v>0</v>
      </c>
      <c r="AK56" s="87">
        <f t="shared" si="37"/>
        <v>0</v>
      </c>
      <c r="AL56" s="87">
        <f t="shared" si="37"/>
        <v>0</v>
      </c>
      <c r="AM56" s="87">
        <f>AM73</f>
        <v>0</v>
      </c>
      <c r="AN56" s="87">
        <f>AN73</f>
        <v>0</v>
      </c>
      <c r="AO56" s="87">
        <f>AO73</f>
        <v>0</v>
      </c>
      <c r="AP56" s="87">
        <f>AP73</f>
        <v>0</v>
      </c>
    </row>
    <row r="57" spans="1:57" x14ac:dyDescent="0.25">
      <c r="C57" t="s">
        <v>250</v>
      </c>
      <c r="D57" t="s">
        <v>32</v>
      </c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  <c r="P57" s="87"/>
      <c r="Q57" s="87"/>
      <c r="R57" s="87"/>
      <c r="S57" s="87"/>
      <c r="T57" s="87"/>
      <c r="U57" s="87"/>
      <c r="V57" s="87"/>
      <c r="W57" s="87"/>
      <c r="X57" s="87"/>
      <c r="Y57" s="87"/>
      <c r="Z57" s="87"/>
      <c r="AA57" s="87">
        <f>-AA80</f>
        <v>0</v>
      </c>
      <c r="AB57" s="87">
        <f t="shared" ref="AB57:AL57" si="38">-AB80</f>
        <v>0</v>
      </c>
      <c r="AC57" s="87">
        <f t="shared" si="38"/>
        <v>0</v>
      </c>
      <c r="AD57" s="87">
        <f t="shared" si="38"/>
        <v>-161</v>
      </c>
      <c r="AE57" s="87">
        <f t="shared" si="38"/>
        <v>0</v>
      </c>
      <c r="AF57" s="87">
        <f t="shared" si="38"/>
        <v>0</v>
      </c>
      <c r="AG57" s="87">
        <f t="shared" si="38"/>
        <v>-80</v>
      </c>
      <c r="AH57" s="87">
        <f t="shared" si="38"/>
        <v>0</v>
      </c>
      <c r="AI57" s="87">
        <f t="shared" si="38"/>
        <v>-31.4</v>
      </c>
      <c r="AJ57" s="87">
        <f t="shared" si="38"/>
        <v>-31.4</v>
      </c>
      <c r="AK57" s="87">
        <f t="shared" si="38"/>
        <v>-31.4</v>
      </c>
      <c r="AL57" s="87">
        <f t="shared" si="38"/>
        <v>-31.4</v>
      </c>
      <c r="AM57" s="87">
        <f>-AM80</f>
        <v>-31.4</v>
      </c>
      <c r="AN57" s="87">
        <f>-AN80</f>
        <v>-31.4</v>
      </c>
      <c r="AO57" s="87">
        <f>-AO80</f>
        <v>-31.4</v>
      </c>
      <c r="AP57" s="87">
        <f>-AP80</f>
        <v>-31.4</v>
      </c>
    </row>
    <row r="58" spans="1:57" x14ac:dyDescent="0.25">
      <c r="C58" t="s">
        <v>115</v>
      </c>
      <c r="D58" t="s">
        <v>32</v>
      </c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  <c r="P58" s="87"/>
      <c r="Q58" s="87"/>
      <c r="R58" s="87"/>
      <c r="S58" s="87"/>
      <c r="T58" s="87"/>
      <c r="U58" s="87"/>
      <c r="V58" s="87"/>
      <c r="W58" s="87"/>
      <c r="X58" s="87"/>
      <c r="Y58" s="87"/>
      <c r="Z58" s="87"/>
      <c r="AA58" s="87"/>
      <c r="AB58" s="87"/>
      <c r="AC58" s="87"/>
      <c r="AD58" s="87"/>
      <c r="AE58" s="87"/>
      <c r="AF58" s="87"/>
      <c r="AG58" s="87"/>
      <c r="AH58" s="87"/>
      <c r="AI58" s="87"/>
      <c r="AJ58" s="87"/>
      <c r="AK58" s="87"/>
      <c r="AL58" s="87"/>
      <c r="AM58" s="87"/>
      <c r="AN58" s="87"/>
      <c r="AO58" s="87"/>
      <c r="AP58" s="87"/>
    </row>
    <row r="59" spans="1:57" s="6" customFormat="1" x14ac:dyDescent="0.25">
      <c r="C59" s="6" t="s">
        <v>247</v>
      </c>
      <c r="D59" s="6" t="s">
        <v>32</v>
      </c>
      <c r="E59" s="46"/>
      <c r="F59" s="46"/>
      <c r="G59" s="46"/>
      <c r="H59" s="46"/>
      <c r="I59" s="46"/>
      <c r="J59" s="46"/>
      <c r="K59" s="46"/>
      <c r="L59" s="46"/>
      <c r="M59" s="46"/>
      <c r="N59" s="46"/>
      <c r="O59" s="46"/>
      <c r="P59" s="46"/>
      <c r="Q59" s="46"/>
      <c r="R59" s="46"/>
      <c r="S59" s="46"/>
      <c r="T59" s="46"/>
      <c r="U59" s="46"/>
      <c r="V59" s="46"/>
      <c r="W59" s="46"/>
      <c r="X59" s="46"/>
      <c r="Y59" s="46"/>
      <c r="Z59" s="46">
        <f>SUM(Z54:Z58)</f>
        <v>0</v>
      </c>
      <c r="AA59" s="46">
        <f t="shared" ref="AA59:AL59" si="39">SUM(AA54:AA58)</f>
        <v>-39</v>
      </c>
      <c r="AB59" s="46">
        <f t="shared" si="39"/>
        <v>-137</v>
      </c>
      <c r="AC59" s="46">
        <f t="shared" si="39"/>
        <v>-28</v>
      </c>
      <c r="AD59" s="46">
        <f t="shared" si="39"/>
        <v>-379</v>
      </c>
      <c r="AE59" s="46">
        <f t="shared" si="39"/>
        <v>8.4988058389999424</v>
      </c>
      <c r="AF59" s="46">
        <f t="shared" si="39"/>
        <v>8.5411941610000213</v>
      </c>
      <c r="AG59" s="46">
        <f t="shared" si="39"/>
        <v>8.5837938973895689</v>
      </c>
      <c r="AH59" s="46">
        <f t="shared" si="39"/>
        <v>9.0256110715770319</v>
      </c>
      <c r="AI59" s="46">
        <f t="shared" si="39"/>
        <v>9.0706268673965056</v>
      </c>
      <c r="AJ59" s="46">
        <f t="shared" si="39"/>
        <v>9.2724766326124168</v>
      </c>
      <c r="AK59" s="46">
        <f t="shared" si="39"/>
        <v>9.4753331360699136</v>
      </c>
      <c r="AL59" s="46">
        <f t="shared" si="39"/>
        <v>9.6792013989398598</v>
      </c>
      <c r="AM59" s="46">
        <f>SUM(AM54:AM58)</f>
        <v>9.884086467430599</v>
      </c>
      <c r="AN59" s="46">
        <f>SUM(AN54:AN58)</f>
        <v>10.089993412927335</v>
      </c>
      <c r="AO59" s="46">
        <f>SUM(AO54:AO58)</f>
        <v>10.296927332106044</v>
      </c>
      <c r="AP59" s="46">
        <f>SUM(AP54:AP58)</f>
        <v>10.504893347057624</v>
      </c>
    </row>
    <row r="60" spans="1:57" x14ac:dyDescent="0.25">
      <c r="C60" s="4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4"/>
      <c r="W60" s="54"/>
      <c r="X60" s="54"/>
      <c r="Y60" s="54"/>
      <c r="Z60" s="54"/>
      <c r="AA60" s="54"/>
      <c r="AB60" s="54"/>
      <c r="AC60" s="54"/>
      <c r="AD60" s="54"/>
      <c r="AE60" s="54"/>
      <c r="AF60" s="54"/>
      <c r="AG60" s="54"/>
      <c r="AH60" s="54"/>
      <c r="AI60" s="54"/>
      <c r="AJ60" s="54"/>
      <c r="AK60" s="54"/>
      <c r="AL60" s="54"/>
      <c r="AM60" s="54"/>
      <c r="AN60" s="54"/>
      <c r="AO60" s="54"/>
      <c r="AP60" s="54"/>
    </row>
    <row r="61" spans="1:57" s="23" customFormat="1" x14ac:dyDescent="0.25">
      <c r="B61" s="23" t="s">
        <v>85</v>
      </c>
      <c r="E61" s="57"/>
      <c r="F61" s="57"/>
      <c r="G61" s="57"/>
      <c r="H61" s="57"/>
      <c r="I61" s="57"/>
      <c r="J61" s="57"/>
      <c r="K61" s="57"/>
      <c r="L61" s="57"/>
      <c r="M61" s="57"/>
      <c r="N61" s="57"/>
      <c r="O61" s="57"/>
      <c r="P61" s="57"/>
      <c r="Q61" s="57"/>
      <c r="R61" s="57"/>
      <c r="S61" s="57"/>
      <c r="T61" s="57"/>
      <c r="U61" s="57"/>
      <c r="V61" s="57"/>
      <c r="W61" s="57"/>
      <c r="X61" s="57"/>
      <c r="Y61" s="57"/>
      <c r="Z61" s="57"/>
      <c r="AA61" s="57"/>
      <c r="AB61" s="57"/>
      <c r="AC61" s="57"/>
      <c r="AD61" s="57"/>
      <c r="AE61" s="57"/>
      <c r="AF61" s="57"/>
      <c r="AG61" s="57"/>
      <c r="AH61" s="57"/>
      <c r="AI61" s="57"/>
      <c r="AJ61" s="57"/>
      <c r="AK61" s="57"/>
      <c r="AL61" s="57"/>
      <c r="AM61" s="57"/>
      <c r="AN61" s="57"/>
      <c r="AO61" s="57"/>
      <c r="AP61" s="57"/>
      <c r="AQ61" s="24"/>
      <c r="AR61" s="24"/>
      <c r="AS61" s="24"/>
      <c r="AT61" s="24"/>
      <c r="AU61" s="24"/>
      <c r="AV61" s="24"/>
      <c r="AW61" s="24"/>
      <c r="AX61" s="24"/>
      <c r="AY61" s="24"/>
      <c r="AZ61" s="24"/>
      <c r="BA61" s="24"/>
      <c r="BE61" s="25"/>
    </row>
    <row r="62" spans="1:57" x14ac:dyDescent="0.25">
      <c r="D62" t="s">
        <v>32</v>
      </c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  <c r="P62" s="87"/>
      <c r="Q62" s="87"/>
      <c r="R62" s="87"/>
      <c r="S62" s="87"/>
      <c r="T62" s="87"/>
      <c r="U62" s="87"/>
      <c r="V62" s="87"/>
      <c r="W62" s="87"/>
      <c r="X62" s="87"/>
      <c r="Y62" s="87"/>
      <c r="Z62" s="87"/>
      <c r="AA62" s="87"/>
      <c r="AB62" s="87"/>
      <c r="AC62" s="87"/>
      <c r="AD62" s="87"/>
      <c r="AE62" s="87"/>
      <c r="AF62" s="87"/>
      <c r="AG62" s="87"/>
      <c r="AH62" s="87"/>
      <c r="AI62" s="87"/>
      <c r="AJ62" s="87"/>
      <c r="AK62" s="87"/>
      <c r="AL62" s="87"/>
      <c r="AM62" s="87"/>
      <c r="AN62" s="87"/>
      <c r="AO62" s="87"/>
      <c r="AP62" s="87"/>
    </row>
    <row r="63" spans="1:57" s="10" customFormat="1" x14ac:dyDescent="0.25">
      <c r="A63"/>
      <c r="B63"/>
      <c r="C63"/>
      <c r="D63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  <c r="P63" s="87"/>
      <c r="Q63" s="87"/>
      <c r="R63" s="87"/>
      <c r="S63" s="87"/>
      <c r="T63" s="87"/>
      <c r="U63" s="87"/>
      <c r="V63" s="87"/>
      <c r="W63" s="87"/>
      <c r="X63" s="87"/>
      <c r="Y63" s="87"/>
      <c r="Z63" s="87"/>
      <c r="AA63" s="87"/>
      <c r="AB63" s="87"/>
      <c r="AC63" s="87"/>
      <c r="AD63" s="87"/>
      <c r="AE63" s="87"/>
      <c r="AF63" s="87"/>
      <c r="AG63" s="87"/>
      <c r="AH63" s="87"/>
      <c r="AI63" s="87"/>
      <c r="AJ63" s="87"/>
      <c r="AK63" s="87"/>
      <c r="AL63" s="87"/>
      <c r="AM63" s="87"/>
      <c r="AN63" s="87"/>
      <c r="AO63" s="87"/>
      <c r="AP63" s="87"/>
    </row>
    <row r="64" spans="1:57" x14ac:dyDescent="0.25"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  <c r="P64" s="87"/>
      <c r="Q64" s="87"/>
      <c r="R64" s="87"/>
      <c r="S64" s="87"/>
      <c r="T64" s="87"/>
      <c r="U64" s="87"/>
      <c r="V64" s="87"/>
      <c r="W64" s="87"/>
      <c r="X64" s="87"/>
      <c r="Y64" s="87"/>
      <c r="Z64" s="87"/>
      <c r="AA64" s="87"/>
      <c r="AB64" s="87"/>
      <c r="AC64" s="87"/>
      <c r="AD64" s="87"/>
      <c r="AE64" s="87"/>
      <c r="AF64" s="87"/>
      <c r="AG64" s="87"/>
      <c r="AH64" s="87"/>
      <c r="AI64" s="87"/>
      <c r="AJ64" s="87"/>
      <c r="AK64" s="87"/>
      <c r="AL64" s="87"/>
      <c r="AM64" s="87"/>
      <c r="AN64" s="87"/>
      <c r="AO64" s="87"/>
      <c r="AP64" s="87"/>
    </row>
    <row r="65" spans="1:57" s="10" customFormat="1" x14ac:dyDescent="0.25">
      <c r="A65"/>
      <c r="B65"/>
      <c r="C65"/>
      <c r="D65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  <c r="P65" s="87"/>
      <c r="Q65" s="87"/>
      <c r="R65" s="87"/>
      <c r="S65" s="87"/>
      <c r="T65" s="87"/>
      <c r="U65" s="87"/>
      <c r="V65" s="87"/>
      <c r="W65" s="87"/>
      <c r="X65" s="87"/>
      <c r="Y65" s="87"/>
      <c r="Z65" s="87"/>
      <c r="AA65" s="87"/>
      <c r="AB65" s="87"/>
      <c r="AC65" s="87"/>
      <c r="AD65" s="87"/>
      <c r="AE65" s="87"/>
      <c r="AF65" s="87"/>
      <c r="AG65" s="87"/>
      <c r="AH65" s="87"/>
      <c r="AI65" s="87"/>
      <c r="AJ65" s="87"/>
      <c r="AK65" s="87"/>
      <c r="AL65" s="87"/>
      <c r="AM65" s="87"/>
      <c r="AN65" s="87"/>
      <c r="AO65" s="87"/>
      <c r="AP65" s="87"/>
    </row>
    <row r="66" spans="1:57" s="6" customFormat="1" x14ac:dyDescent="0.25">
      <c r="C66" s="6" t="s">
        <v>245</v>
      </c>
      <c r="D66" s="6" t="s">
        <v>32</v>
      </c>
      <c r="E66" s="46"/>
      <c r="F66" s="46"/>
      <c r="G66" s="46"/>
      <c r="H66" s="46"/>
      <c r="I66" s="46"/>
      <c r="J66" s="46"/>
      <c r="K66" s="46"/>
      <c r="L66" s="46"/>
      <c r="M66" s="46"/>
      <c r="N66" s="46"/>
      <c r="O66" s="46"/>
      <c r="P66" s="46"/>
      <c r="Q66" s="46"/>
      <c r="R66" s="46"/>
      <c r="S66" s="46"/>
      <c r="T66" s="46"/>
      <c r="U66" s="46"/>
      <c r="V66" s="46"/>
      <c r="W66" s="46"/>
      <c r="X66" s="46"/>
      <c r="Y66" s="46"/>
      <c r="Z66" s="46">
        <f>SUM(Z62:Z65)</f>
        <v>0</v>
      </c>
      <c r="AA66" s="46">
        <f t="shared" ref="AA66:AL66" si="40">SUM(AA62:AA65)</f>
        <v>0</v>
      </c>
      <c r="AB66" s="46">
        <f t="shared" si="40"/>
        <v>0</v>
      </c>
      <c r="AC66" s="46">
        <f t="shared" si="40"/>
        <v>0</v>
      </c>
      <c r="AD66" s="46">
        <f t="shared" si="40"/>
        <v>0</v>
      </c>
      <c r="AE66" s="46">
        <f t="shared" si="40"/>
        <v>0</v>
      </c>
      <c r="AF66" s="46">
        <f t="shared" si="40"/>
        <v>0</v>
      </c>
      <c r="AG66" s="46">
        <f t="shared" si="40"/>
        <v>0</v>
      </c>
      <c r="AH66" s="46">
        <f t="shared" si="40"/>
        <v>0</v>
      </c>
      <c r="AI66" s="46">
        <f t="shared" si="40"/>
        <v>0</v>
      </c>
      <c r="AJ66" s="46">
        <f t="shared" si="40"/>
        <v>0</v>
      </c>
      <c r="AK66" s="46">
        <f t="shared" si="40"/>
        <v>0</v>
      </c>
      <c r="AL66" s="46">
        <f t="shared" si="40"/>
        <v>0</v>
      </c>
      <c r="AM66" s="46">
        <f>SUM(AM62:AM65)</f>
        <v>0</v>
      </c>
      <c r="AN66" s="46">
        <f>SUM(AN62:AN65)</f>
        <v>0</v>
      </c>
      <c r="AO66" s="46">
        <f>SUM(AO62:AO65)</f>
        <v>0</v>
      </c>
      <c r="AP66" s="46">
        <f>SUM(AP62:AP65)</f>
        <v>0</v>
      </c>
    </row>
    <row r="67" spans="1:57" x14ac:dyDescent="0.25">
      <c r="C67" s="44"/>
      <c r="E67" s="54"/>
      <c r="F67" s="54"/>
      <c r="G67" s="54"/>
      <c r="H67" s="54"/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54"/>
      <c r="T67" s="54"/>
      <c r="U67" s="54"/>
      <c r="V67" s="54"/>
      <c r="W67" s="54"/>
      <c r="X67" s="54"/>
      <c r="Y67" s="54"/>
      <c r="Z67" s="54"/>
      <c r="AA67" s="54"/>
      <c r="AB67" s="54"/>
      <c r="AC67" s="54"/>
      <c r="AD67" s="54"/>
      <c r="AE67" s="54"/>
      <c r="AF67" s="54"/>
      <c r="AG67" s="54"/>
      <c r="AH67" s="54"/>
      <c r="AI67" s="54"/>
      <c r="AJ67" s="54"/>
      <c r="AK67" s="54"/>
      <c r="AL67" s="54"/>
      <c r="AM67" s="54"/>
      <c r="AN67" s="54"/>
      <c r="AO67" s="54"/>
      <c r="AP67" s="54"/>
    </row>
    <row r="68" spans="1:57" s="23" customFormat="1" x14ac:dyDescent="0.25">
      <c r="B68" s="23" t="s">
        <v>86</v>
      </c>
      <c r="E68" s="57"/>
      <c r="F68" s="57"/>
      <c r="G68" s="57"/>
      <c r="H68" s="57"/>
      <c r="I68" s="57"/>
      <c r="J68" s="57"/>
      <c r="K68" s="57"/>
      <c r="L68" s="57"/>
      <c r="M68" s="57"/>
      <c r="N68" s="57"/>
      <c r="O68" s="57"/>
      <c r="P68" s="57"/>
      <c r="Q68" s="57"/>
      <c r="R68" s="57"/>
      <c r="S68" s="57"/>
      <c r="T68" s="57"/>
      <c r="U68" s="57"/>
      <c r="V68" s="57"/>
      <c r="W68" s="57"/>
      <c r="X68" s="57"/>
      <c r="Y68" s="57"/>
      <c r="Z68" s="57"/>
      <c r="AA68" s="57"/>
      <c r="AB68" s="57"/>
      <c r="AC68" s="57"/>
      <c r="AD68" s="57"/>
      <c r="AE68" s="57"/>
      <c r="AF68" s="57"/>
      <c r="AG68" s="57"/>
      <c r="AH68" s="57"/>
      <c r="AI68" s="57"/>
      <c r="AJ68" s="57"/>
      <c r="AK68" s="57"/>
      <c r="AL68" s="57"/>
      <c r="AM68" s="57"/>
      <c r="AN68" s="57"/>
      <c r="AO68" s="57"/>
      <c r="AP68" s="57"/>
      <c r="AQ68" s="24"/>
      <c r="AR68" s="24"/>
      <c r="AS68" s="24"/>
      <c r="AT68" s="24"/>
      <c r="AU68" s="24"/>
      <c r="AV68" s="24"/>
      <c r="AW68" s="24"/>
      <c r="AX68" s="24"/>
      <c r="AY68" s="24"/>
      <c r="AZ68" s="24"/>
      <c r="BA68" s="24"/>
      <c r="BE68" s="25"/>
    </row>
    <row r="69" spans="1:57" x14ac:dyDescent="0.25"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87"/>
      <c r="AJ69" s="87"/>
      <c r="AK69" s="87"/>
      <c r="AL69" s="87"/>
      <c r="AM69" s="87"/>
      <c r="AN69" s="87"/>
      <c r="AO69" s="87"/>
      <c r="AP69" s="87"/>
    </row>
    <row r="70" spans="1:57" s="10" customFormat="1" x14ac:dyDescent="0.25">
      <c r="A70"/>
      <c r="B70"/>
      <c r="C70"/>
      <c r="D70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87"/>
      <c r="S70" s="87"/>
      <c r="T70" s="87"/>
      <c r="U70" s="87"/>
      <c r="V70" s="87"/>
      <c r="W70" s="87"/>
      <c r="X70" s="87"/>
      <c r="Y70" s="87"/>
      <c r="Z70" s="87"/>
      <c r="AA70" s="87"/>
      <c r="AB70" s="87"/>
      <c r="AC70" s="87"/>
      <c r="AD70" s="87"/>
      <c r="AE70" s="87"/>
      <c r="AF70" s="87"/>
      <c r="AG70" s="87"/>
      <c r="AH70" s="87"/>
      <c r="AI70" s="87"/>
      <c r="AJ70" s="87"/>
      <c r="AK70" s="87"/>
      <c r="AL70" s="87"/>
      <c r="AM70" s="87"/>
      <c r="AN70" s="87"/>
      <c r="AO70" s="87"/>
      <c r="AP70" s="87"/>
    </row>
    <row r="71" spans="1:57" x14ac:dyDescent="0.25">
      <c r="E71" s="87"/>
      <c r="F71" s="87"/>
      <c r="G71" s="87"/>
      <c r="H71" s="87"/>
      <c r="I71" s="87"/>
      <c r="J71" s="87"/>
      <c r="K71" s="87"/>
      <c r="L71" s="87"/>
      <c r="M71" s="87"/>
      <c r="N71" s="87"/>
      <c r="O71" s="87"/>
      <c r="P71" s="87"/>
      <c r="Q71" s="87"/>
      <c r="R71" s="87"/>
      <c r="S71" s="87"/>
      <c r="T71" s="87"/>
      <c r="U71" s="87"/>
      <c r="V71" s="87"/>
      <c r="W71" s="87"/>
      <c r="X71" s="87"/>
      <c r="Y71" s="87"/>
      <c r="Z71" s="87"/>
      <c r="AA71" s="87"/>
      <c r="AB71" s="87"/>
      <c r="AC71" s="87"/>
      <c r="AD71" s="87"/>
      <c r="AE71" s="87"/>
      <c r="AF71" s="87"/>
      <c r="AG71" s="87"/>
      <c r="AH71" s="87"/>
      <c r="AI71" s="87"/>
      <c r="AJ71" s="87"/>
      <c r="AK71" s="87"/>
      <c r="AL71" s="87"/>
      <c r="AM71" s="87"/>
      <c r="AN71" s="87"/>
      <c r="AO71" s="87"/>
      <c r="AP71" s="87"/>
    </row>
    <row r="72" spans="1:57" s="10" customFormat="1" x14ac:dyDescent="0.25">
      <c r="A72"/>
      <c r="B72"/>
      <c r="C72"/>
      <c r="D72"/>
      <c r="E72" s="87"/>
      <c r="F72" s="87"/>
      <c r="G72" s="87"/>
      <c r="H72" s="87"/>
      <c r="I72" s="87"/>
      <c r="J72" s="87"/>
      <c r="K72" s="87"/>
      <c r="L72" s="87"/>
      <c r="M72" s="87"/>
      <c r="N72" s="87"/>
      <c r="O72" s="87"/>
      <c r="P72" s="87"/>
      <c r="Q72" s="87"/>
      <c r="R72" s="87"/>
      <c r="S72" s="87"/>
      <c r="T72" s="87"/>
      <c r="U72" s="87"/>
      <c r="V72" s="87"/>
      <c r="W72" s="87"/>
      <c r="X72" s="87"/>
      <c r="Y72" s="87"/>
      <c r="Z72" s="87"/>
      <c r="AA72" s="87"/>
      <c r="AB72" s="87"/>
      <c r="AC72" s="87"/>
      <c r="AD72" s="87"/>
      <c r="AE72" s="87"/>
      <c r="AF72" s="87"/>
      <c r="AG72" s="87"/>
      <c r="AH72" s="87"/>
      <c r="AI72" s="87"/>
      <c r="AJ72" s="87"/>
      <c r="AK72" s="87"/>
      <c r="AL72" s="87"/>
      <c r="AM72" s="87"/>
      <c r="AN72" s="87"/>
      <c r="AO72" s="87"/>
      <c r="AP72" s="87"/>
    </row>
    <row r="73" spans="1:57" s="6" customFormat="1" x14ac:dyDescent="0.25">
      <c r="C73" s="6" t="s">
        <v>246</v>
      </c>
      <c r="D73" s="6" t="s">
        <v>32</v>
      </c>
      <c r="E73" s="46"/>
      <c r="F73" s="46"/>
      <c r="G73" s="46"/>
      <c r="H73" s="46"/>
      <c r="I73" s="46"/>
      <c r="J73" s="46"/>
      <c r="K73" s="46"/>
      <c r="L73" s="46"/>
      <c r="M73" s="46"/>
      <c r="N73" s="46"/>
      <c r="O73" s="46"/>
      <c r="P73" s="46"/>
      <c r="Q73" s="46"/>
      <c r="R73" s="46"/>
      <c r="S73" s="46"/>
      <c r="T73" s="46"/>
      <c r="U73" s="46"/>
      <c r="V73" s="46"/>
      <c r="W73" s="46"/>
      <c r="X73" s="46"/>
      <c r="Y73" s="46"/>
      <c r="Z73" s="46">
        <f>SUM(Z69:Z72)</f>
        <v>0</v>
      </c>
      <c r="AA73" s="46">
        <f t="shared" ref="AA73:AL73" si="41">SUM(AA69:AA72)</f>
        <v>0</v>
      </c>
      <c r="AB73" s="46">
        <f t="shared" si="41"/>
        <v>0</v>
      </c>
      <c r="AC73" s="46">
        <f t="shared" si="41"/>
        <v>0</v>
      </c>
      <c r="AD73" s="46">
        <f t="shared" si="41"/>
        <v>0</v>
      </c>
      <c r="AE73" s="46">
        <f t="shared" si="41"/>
        <v>0</v>
      </c>
      <c r="AF73" s="46">
        <f t="shared" si="41"/>
        <v>0</v>
      </c>
      <c r="AG73" s="46">
        <f t="shared" si="41"/>
        <v>0</v>
      </c>
      <c r="AH73" s="46">
        <f t="shared" si="41"/>
        <v>0</v>
      </c>
      <c r="AI73" s="46">
        <f t="shared" si="41"/>
        <v>0</v>
      </c>
      <c r="AJ73" s="46">
        <f t="shared" si="41"/>
        <v>0</v>
      </c>
      <c r="AK73" s="46">
        <f t="shared" si="41"/>
        <v>0</v>
      </c>
      <c r="AL73" s="46">
        <f t="shared" si="41"/>
        <v>0</v>
      </c>
      <c r="AM73" s="46">
        <f>SUM(AM69:AM72)</f>
        <v>0</v>
      </c>
      <c r="AN73" s="46">
        <f>SUM(AN69:AN72)</f>
        <v>0</v>
      </c>
      <c r="AO73" s="46">
        <f>SUM(AO69:AO72)</f>
        <v>0</v>
      </c>
      <c r="AP73" s="46">
        <f>SUM(AP69:AP72)</f>
        <v>0</v>
      </c>
    </row>
    <row r="74" spans="1:57" s="10" customFormat="1" x14ac:dyDescent="0.25">
      <c r="C74" s="51"/>
      <c r="E74" s="52"/>
      <c r="F74" s="52"/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52"/>
      <c r="R74" s="52"/>
      <c r="S74" s="52"/>
      <c r="T74" s="52"/>
      <c r="U74" s="52"/>
      <c r="V74" s="52"/>
      <c r="W74" s="52"/>
      <c r="X74" s="52"/>
      <c r="Y74" s="52"/>
      <c r="Z74" s="52"/>
      <c r="AA74" s="52"/>
      <c r="AB74" s="52"/>
      <c r="AC74" s="52"/>
      <c r="AD74" s="52"/>
      <c r="AE74" s="52"/>
      <c r="AF74" s="52"/>
      <c r="AG74" s="52"/>
      <c r="AH74" s="52"/>
      <c r="AI74" s="52"/>
      <c r="AJ74" s="52"/>
      <c r="AK74" s="11"/>
      <c r="AL74" s="11"/>
      <c r="AM74" s="11"/>
      <c r="AN74" s="11"/>
      <c r="AO74" s="11"/>
      <c r="AP74" s="11"/>
    </row>
    <row r="75" spans="1:57" s="10" customFormat="1" x14ac:dyDescent="0.25">
      <c r="C75" s="51"/>
      <c r="E75" s="52"/>
      <c r="F75" s="52"/>
      <c r="G75" s="52"/>
      <c r="H75" s="52"/>
      <c r="I75" s="52"/>
      <c r="J75" s="52"/>
      <c r="K75" s="52"/>
      <c r="L75" s="52"/>
      <c r="M75" s="52"/>
      <c r="N75" s="52"/>
      <c r="O75" s="52"/>
      <c r="P75" s="52"/>
      <c r="Q75" s="52"/>
      <c r="R75" s="52"/>
      <c r="S75" s="52"/>
      <c r="T75" s="52"/>
      <c r="U75" s="52"/>
      <c r="V75" s="52"/>
      <c r="W75" s="52"/>
      <c r="X75" s="52"/>
      <c r="Y75" s="52"/>
      <c r="Z75" s="52"/>
      <c r="AA75" s="52"/>
      <c r="AB75" s="52"/>
      <c r="AC75" s="52"/>
      <c r="AD75" s="52"/>
      <c r="AE75" s="52"/>
      <c r="AF75" s="52"/>
      <c r="AG75" s="52"/>
      <c r="AH75" s="52"/>
      <c r="AI75" s="52"/>
      <c r="AJ75" s="52"/>
      <c r="AK75" s="11"/>
      <c r="AL75" s="11"/>
      <c r="AM75" s="11"/>
      <c r="AN75" s="11"/>
      <c r="AO75" s="11"/>
      <c r="AP75" s="11"/>
    </row>
    <row r="76" spans="1:57" x14ac:dyDescent="0.25">
      <c r="A76" s="4" t="s">
        <v>251</v>
      </c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</row>
    <row r="77" spans="1:57" s="23" customFormat="1" x14ac:dyDescent="0.25">
      <c r="B77" s="23" t="s">
        <v>13</v>
      </c>
      <c r="E77" s="57"/>
      <c r="F77" s="57"/>
      <c r="G77" s="57"/>
      <c r="H77" s="57"/>
      <c r="I77" s="57"/>
      <c r="J77" s="57"/>
      <c r="K77" s="57"/>
      <c r="L77" s="57"/>
      <c r="M77" s="57"/>
      <c r="N77" s="57"/>
      <c r="O77" s="57"/>
      <c r="P77" s="57"/>
      <c r="Q77" s="57"/>
      <c r="R77" s="57"/>
      <c r="S77" s="57"/>
      <c r="T77" s="57"/>
      <c r="U77" s="57"/>
      <c r="V77" s="57"/>
      <c r="W77" s="57"/>
      <c r="X77" s="57"/>
      <c r="Y77" s="57"/>
      <c r="Z77" s="57"/>
      <c r="AA77" s="57"/>
      <c r="AB77" s="57"/>
      <c r="AC77" s="57"/>
      <c r="AD77" s="57"/>
      <c r="AE77" s="57"/>
      <c r="AF77" s="57"/>
      <c r="AG77" s="57"/>
      <c r="AH77" s="57"/>
      <c r="AI77" s="57"/>
      <c r="AJ77" s="57"/>
      <c r="AK77" s="57"/>
      <c r="AL77" s="57"/>
      <c r="AM77" s="57"/>
      <c r="AN77" s="57"/>
      <c r="AO77" s="57"/>
      <c r="AP77" s="57"/>
      <c r="AQ77" s="24"/>
      <c r="AR77" s="24"/>
      <c r="AS77" s="24"/>
      <c r="AT77" s="24"/>
      <c r="AU77" s="24"/>
      <c r="AV77" s="24"/>
      <c r="AW77" s="24"/>
      <c r="AX77" s="24"/>
      <c r="AY77" s="24"/>
      <c r="AZ77" s="24"/>
      <c r="BA77" s="24"/>
      <c r="BE77" s="25"/>
    </row>
    <row r="78" spans="1:57" x14ac:dyDescent="0.25">
      <c r="C78" t="s">
        <v>255</v>
      </c>
      <c r="D78" t="s">
        <v>32</v>
      </c>
      <c r="E78" s="87"/>
      <c r="F78" s="87"/>
      <c r="G78" s="87"/>
      <c r="H78" s="87"/>
      <c r="I78" s="87"/>
      <c r="J78" s="87"/>
      <c r="K78" s="87"/>
      <c r="L78" s="87"/>
      <c r="M78" s="87"/>
      <c r="N78" s="87"/>
      <c r="O78" s="87"/>
      <c r="P78" s="87"/>
      <c r="Q78" s="87"/>
      <c r="R78" s="87"/>
      <c r="S78" s="87"/>
      <c r="T78" s="87"/>
      <c r="U78" s="87"/>
      <c r="V78" s="87"/>
      <c r="W78" s="87"/>
      <c r="X78" s="87"/>
      <c r="Y78" s="87"/>
      <c r="Z78" s="87"/>
      <c r="AA78" s="87">
        <f>Z81</f>
        <v>0</v>
      </c>
      <c r="AB78" s="87">
        <f t="shared" ref="AB78:AL78" si="42">AA81</f>
        <v>64</v>
      </c>
      <c r="AC78" s="87">
        <f t="shared" si="42"/>
        <v>114</v>
      </c>
      <c r="AD78" s="87">
        <f t="shared" si="42"/>
        <v>145.4</v>
      </c>
      <c r="AE78" s="87">
        <f t="shared" si="42"/>
        <v>15.800000000000011</v>
      </c>
      <c r="AF78" s="87">
        <f t="shared" si="42"/>
        <v>47.20000000000001</v>
      </c>
      <c r="AG78" s="87">
        <f t="shared" si="42"/>
        <v>78.600000000000009</v>
      </c>
      <c r="AH78" s="87">
        <f t="shared" si="42"/>
        <v>30</v>
      </c>
      <c r="AI78" s="87">
        <f t="shared" si="42"/>
        <v>61.4</v>
      </c>
      <c r="AJ78" s="87">
        <f t="shared" si="42"/>
        <v>61.4</v>
      </c>
      <c r="AK78" s="87">
        <f t="shared" si="42"/>
        <v>61.4</v>
      </c>
      <c r="AL78" s="87">
        <f t="shared" si="42"/>
        <v>61.4</v>
      </c>
      <c r="AM78" s="87">
        <f>AL81</f>
        <v>61.4</v>
      </c>
      <c r="AN78" s="87">
        <f>AM81</f>
        <v>61.4</v>
      </c>
      <c r="AO78" s="87">
        <f>AN81</f>
        <v>61.4</v>
      </c>
      <c r="AP78" s="87">
        <f>AO81</f>
        <v>61.4</v>
      </c>
    </row>
    <row r="79" spans="1:57" x14ac:dyDescent="0.25">
      <c r="C79" s="44" t="s">
        <v>185</v>
      </c>
      <c r="D79" t="s">
        <v>32</v>
      </c>
      <c r="E79" s="87"/>
      <c r="F79" s="87"/>
      <c r="G79" s="87"/>
      <c r="H79" s="87"/>
      <c r="I79" s="87"/>
      <c r="J79" s="87"/>
      <c r="K79" s="87"/>
      <c r="L79" s="87"/>
      <c r="M79" s="87"/>
      <c r="N79" s="87"/>
      <c r="O79" s="87"/>
      <c r="P79" s="87"/>
      <c r="Q79" s="87"/>
      <c r="R79" s="87"/>
      <c r="S79" s="87"/>
      <c r="T79" s="87"/>
      <c r="U79" s="87"/>
      <c r="V79" s="87"/>
      <c r="W79" s="87"/>
      <c r="X79" s="87"/>
      <c r="Y79" s="87"/>
      <c r="Z79" s="87"/>
      <c r="AA79" s="93">
        <v>0</v>
      </c>
      <c r="AB79" s="93">
        <f>114-AB78</f>
        <v>50</v>
      </c>
      <c r="AC79" s="93">
        <f>157/5</f>
        <v>31.4</v>
      </c>
      <c r="AD79" s="93">
        <f t="shared" ref="AD79:AN79" si="43">AC79</f>
        <v>31.4</v>
      </c>
      <c r="AE79" s="93">
        <f t="shared" si="43"/>
        <v>31.4</v>
      </c>
      <c r="AF79" s="93">
        <f t="shared" si="43"/>
        <v>31.4</v>
      </c>
      <c r="AG79" s="93">
        <f t="shared" si="43"/>
        <v>31.4</v>
      </c>
      <c r="AH79" s="93">
        <f t="shared" si="43"/>
        <v>31.4</v>
      </c>
      <c r="AI79" s="93">
        <f t="shared" si="43"/>
        <v>31.4</v>
      </c>
      <c r="AJ79" s="93">
        <f t="shared" si="43"/>
        <v>31.4</v>
      </c>
      <c r="AK79" s="93">
        <f t="shared" si="43"/>
        <v>31.4</v>
      </c>
      <c r="AL79" s="93">
        <f t="shared" si="43"/>
        <v>31.4</v>
      </c>
      <c r="AM79" s="93">
        <f t="shared" si="43"/>
        <v>31.4</v>
      </c>
      <c r="AN79" s="93">
        <f t="shared" si="43"/>
        <v>31.4</v>
      </c>
      <c r="AO79" s="93">
        <f t="shared" ref="AO79" si="44">AN79</f>
        <v>31.4</v>
      </c>
      <c r="AP79" s="93">
        <f t="shared" ref="AP79" si="45">AO79</f>
        <v>31.4</v>
      </c>
    </row>
    <row r="80" spans="1:57" x14ac:dyDescent="0.25">
      <c r="C80" s="44" t="s">
        <v>257</v>
      </c>
      <c r="D80" t="s">
        <v>32</v>
      </c>
      <c r="E80" s="87"/>
      <c r="F80" s="87"/>
      <c r="G80" s="87"/>
      <c r="H80" s="87"/>
      <c r="I80" s="87"/>
      <c r="J80" s="87"/>
      <c r="K80" s="87"/>
      <c r="L80" s="87"/>
      <c r="M80" s="87"/>
      <c r="N80" s="87"/>
      <c r="O80" s="87"/>
      <c r="P80" s="87"/>
      <c r="Q80" s="87"/>
      <c r="R80" s="87"/>
      <c r="S80" s="87"/>
      <c r="T80" s="87"/>
      <c r="U80" s="87"/>
      <c r="V80" s="87"/>
      <c r="W80" s="87"/>
      <c r="X80" s="87"/>
      <c r="Y80" s="87"/>
      <c r="Z80" s="87"/>
      <c r="AA80" s="93"/>
      <c r="AB80" s="93"/>
      <c r="AC80" s="93">
        <f>AA79</f>
        <v>0</v>
      </c>
      <c r="AD80" s="93">
        <v>161</v>
      </c>
      <c r="AE80" s="93">
        <v>0</v>
      </c>
      <c r="AF80" s="93"/>
      <c r="AG80" s="93">
        <v>80</v>
      </c>
      <c r="AH80" s="93">
        <v>0</v>
      </c>
      <c r="AI80" s="93">
        <f t="shared" ref="AI80:AN80" si="46">AG79</f>
        <v>31.4</v>
      </c>
      <c r="AJ80" s="93">
        <f t="shared" si="46"/>
        <v>31.4</v>
      </c>
      <c r="AK80" s="93">
        <f t="shared" si="46"/>
        <v>31.4</v>
      </c>
      <c r="AL80" s="93">
        <f t="shared" si="46"/>
        <v>31.4</v>
      </c>
      <c r="AM80" s="93">
        <f t="shared" si="46"/>
        <v>31.4</v>
      </c>
      <c r="AN80" s="93">
        <f t="shared" si="46"/>
        <v>31.4</v>
      </c>
      <c r="AO80" s="93">
        <f t="shared" ref="AO80" si="47">AM79</f>
        <v>31.4</v>
      </c>
      <c r="AP80" s="93">
        <f t="shared" ref="AP80" si="48">AN79</f>
        <v>31.4</v>
      </c>
    </row>
    <row r="81" spans="2:57" s="90" customFormat="1" x14ac:dyDescent="0.25">
      <c r="C81" s="90" t="s">
        <v>256</v>
      </c>
      <c r="D81" s="90" t="s">
        <v>32</v>
      </c>
      <c r="E81" s="91"/>
      <c r="F81" s="91"/>
      <c r="G81" s="91"/>
      <c r="H81" s="91"/>
      <c r="I81" s="91"/>
      <c r="J81" s="91"/>
      <c r="K81" s="91"/>
      <c r="L81" s="91"/>
      <c r="M81" s="91"/>
      <c r="N81" s="91"/>
      <c r="O81" s="91"/>
      <c r="P81" s="91"/>
      <c r="Q81" s="91"/>
      <c r="R81" s="91"/>
      <c r="S81" s="91"/>
      <c r="T81" s="91"/>
      <c r="U81" s="91"/>
      <c r="V81" s="91"/>
      <c r="W81" s="91"/>
      <c r="X81" s="91"/>
      <c r="Y81" s="91"/>
      <c r="Z81" s="91"/>
      <c r="AA81" s="101">
        <v>64</v>
      </c>
      <c r="AB81" s="101">
        <f t="shared" ref="AB81:AL81" si="49">AB78+AB79-AB80</f>
        <v>114</v>
      </c>
      <c r="AC81" s="91">
        <f t="shared" si="49"/>
        <v>145.4</v>
      </c>
      <c r="AD81" s="91">
        <f t="shared" si="49"/>
        <v>15.800000000000011</v>
      </c>
      <c r="AE81" s="91">
        <f t="shared" si="49"/>
        <v>47.20000000000001</v>
      </c>
      <c r="AF81" s="91">
        <f t="shared" si="49"/>
        <v>78.600000000000009</v>
      </c>
      <c r="AG81" s="91">
        <f t="shared" si="49"/>
        <v>30</v>
      </c>
      <c r="AH81" s="91">
        <f t="shared" si="49"/>
        <v>61.4</v>
      </c>
      <c r="AI81" s="91">
        <f t="shared" si="49"/>
        <v>61.4</v>
      </c>
      <c r="AJ81" s="91">
        <f t="shared" si="49"/>
        <v>61.4</v>
      </c>
      <c r="AK81" s="91">
        <f t="shared" si="49"/>
        <v>61.4</v>
      </c>
      <c r="AL81" s="91">
        <f t="shared" si="49"/>
        <v>61.4</v>
      </c>
      <c r="AM81" s="91">
        <f>AM78+AM79-AM80</f>
        <v>61.4</v>
      </c>
      <c r="AN81" s="91">
        <f>AN78+AN79-AN80</f>
        <v>61.4</v>
      </c>
      <c r="AO81" s="91">
        <f>AO78+AO79-AO80</f>
        <v>61.4</v>
      </c>
      <c r="AP81" s="91">
        <f>AP78+AP79-AP80</f>
        <v>61.4</v>
      </c>
    </row>
    <row r="82" spans="2:57" x14ac:dyDescent="0.25">
      <c r="C82" t="s">
        <v>258</v>
      </c>
      <c r="E82" s="54"/>
      <c r="F82" s="54"/>
      <c r="G82" s="54"/>
      <c r="H82" s="54"/>
      <c r="I82" s="54"/>
      <c r="J82" s="54"/>
      <c r="K82" s="54"/>
      <c r="L82" s="54"/>
      <c r="M82" s="54"/>
      <c r="N82" s="54"/>
      <c r="O82" s="54"/>
      <c r="P82" s="54"/>
      <c r="Q82" s="54"/>
      <c r="R82" s="54"/>
      <c r="S82" s="54"/>
      <c r="T82" s="54"/>
      <c r="U82" s="54"/>
      <c r="V82" s="54"/>
      <c r="W82" s="54"/>
      <c r="X82" s="54"/>
      <c r="Y82" s="54"/>
      <c r="Z82" s="64"/>
      <c r="AA82" s="69">
        <v>0.06</v>
      </c>
      <c r="AB82" s="69">
        <f>AA82</f>
        <v>0.06</v>
      </c>
      <c r="AC82" s="69">
        <f t="shared" ref="AC82:AL83" si="50">AB82</f>
        <v>0.06</v>
      </c>
      <c r="AD82" s="69">
        <v>7.5999999999999998E-2</v>
      </c>
      <c r="AE82" s="69">
        <v>0.06</v>
      </c>
      <c r="AF82" s="69">
        <v>0.05</v>
      </c>
      <c r="AG82" s="69">
        <f t="shared" si="50"/>
        <v>0.05</v>
      </c>
      <c r="AH82" s="69">
        <f t="shared" si="50"/>
        <v>0.05</v>
      </c>
      <c r="AI82" s="69">
        <f t="shared" si="50"/>
        <v>0.05</v>
      </c>
      <c r="AJ82" s="69">
        <f t="shared" si="50"/>
        <v>0.05</v>
      </c>
      <c r="AK82" s="69">
        <f t="shared" si="50"/>
        <v>0.05</v>
      </c>
      <c r="AL82" s="69">
        <f t="shared" si="50"/>
        <v>0.05</v>
      </c>
      <c r="AM82" s="69">
        <f t="shared" ref="AM82:AP83" si="51">AL82</f>
        <v>0.05</v>
      </c>
      <c r="AN82" s="69">
        <f t="shared" si="51"/>
        <v>0.05</v>
      </c>
      <c r="AO82" s="69">
        <f t="shared" si="51"/>
        <v>0.05</v>
      </c>
      <c r="AP82" s="69">
        <f t="shared" si="51"/>
        <v>0.05</v>
      </c>
    </row>
    <row r="83" spans="2:57" x14ac:dyDescent="0.25">
      <c r="C83" t="s">
        <v>259</v>
      </c>
      <c r="E83" s="54"/>
      <c r="F83" s="54"/>
      <c r="G83" s="54"/>
      <c r="H83" s="54"/>
      <c r="I83" s="54"/>
      <c r="J83" s="54"/>
      <c r="K83" s="54"/>
      <c r="L83" s="54"/>
      <c r="M83" s="54"/>
      <c r="N83" s="54"/>
      <c r="O83" s="54"/>
      <c r="P83" s="54"/>
      <c r="Q83" s="54"/>
      <c r="R83" s="54"/>
      <c r="S83" s="54"/>
      <c r="T83" s="54"/>
      <c r="U83" s="54"/>
      <c r="V83" s="54"/>
      <c r="W83" s="54"/>
      <c r="X83" s="54"/>
      <c r="Y83" s="54"/>
      <c r="Z83" s="64"/>
      <c r="AA83" s="69">
        <v>0.05</v>
      </c>
      <c r="AB83" s="69">
        <f>AA83</f>
        <v>0.05</v>
      </c>
      <c r="AC83" s="69">
        <f t="shared" si="50"/>
        <v>0.05</v>
      </c>
      <c r="AD83" s="69">
        <f t="shared" si="50"/>
        <v>0.05</v>
      </c>
      <c r="AE83" s="69">
        <v>0.05</v>
      </c>
      <c r="AF83" s="69">
        <f t="shared" si="50"/>
        <v>0.05</v>
      </c>
      <c r="AG83" s="69">
        <v>0.05</v>
      </c>
      <c r="AH83" s="69">
        <f t="shared" si="50"/>
        <v>0.05</v>
      </c>
      <c r="AI83" s="69">
        <f t="shared" si="50"/>
        <v>0.05</v>
      </c>
      <c r="AJ83" s="69">
        <f t="shared" si="50"/>
        <v>0.05</v>
      </c>
      <c r="AK83" s="69">
        <f t="shared" si="50"/>
        <v>0.05</v>
      </c>
      <c r="AL83" s="69">
        <f t="shared" si="50"/>
        <v>0.05</v>
      </c>
      <c r="AM83" s="69">
        <f t="shared" si="51"/>
        <v>0.05</v>
      </c>
      <c r="AN83" s="69">
        <f t="shared" si="51"/>
        <v>0.05</v>
      </c>
      <c r="AO83" s="69">
        <f t="shared" si="51"/>
        <v>0.05</v>
      </c>
      <c r="AP83" s="69">
        <f t="shared" si="51"/>
        <v>0.05</v>
      </c>
    </row>
    <row r="84" spans="2:57" s="90" customFormat="1" x14ac:dyDescent="0.25">
      <c r="C84" s="90" t="s">
        <v>260</v>
      </c>
      <c r="D84" s="90" t="s">
        <v>32</v>
      </c>
      <c r="E84" s="91"/>
      <c r="F84" s="91"/>
      <c r="G84" s="91"/>
      <c r="H84" s="91"/>
      <c r="I84" s="91"/>
      <c r="J84" s="91"/>
      <c r="K84" s="91"/>
      <c r="L84" s="91"/>
      <c r="M84" s="91"/>
      <c r="N84" s="91"/>
      <c r="O84" s="91"/>
      <c r="P84" s="91"/>
      <c r="Q84" s="91"/>
      <c r="R84" s="91"/>
      <c r="S84" s="91"/>
      <c r="T84" s="91"/>
      <c r="U84" s="91"/>
      <c r="V84" s="91"/>
      <c r="W84" s="91"/>
      <c r="X84" s="91"/>
      <c r="Y84" s="91"/>
      <c r="Z84" s="91"/>
      <c r="AA84" s="91"/>
      <c r="AB84" s="91"/>
      <c r="AC84" s="91">
        <f>AC80*AC82/AC83</f>
        <v>0</v>
      </c>
      <c r="AD84" s="91">
        <f t="shared" ref="AD84:AL84" si="52">AD80*AD82/AD83</f>
        <v>244.71999999999997</v>
      </c>
      <c r="AE84" s="91">
        <f t="shared" si="52"/>
        <v>0</v>
      </c>
      <c r="AF84" s="91">
        <f t="shared" si="52"/>
        <v>0</v>
      </c>
      <c r="AG84" s="91">
        <f t="shared" si="52"/>
        <v>80</v>
      </c>
      <c r="AH84" s="91">
        <f t="shared" si="52"/>
        <v>0</v>
      </c>
      <c r="AI84" s="91">
        <f t="shared" si="52"/>
        <v>31.4</v>
      </c>
      <c r="AJ84" s="91">
        <f t="shared" si="52"/>
        <v>31.4</v>
      </c>
      <c r="AK84" s="91">
        <f t="shared" si="52"/>
        <v>31.4</v>
      </c>
      <c r="AL84" s="91">
        <f t="shared" si="52"/>
        <v>31.4</v>
      </c>
      <c r="AM84" s="91">
        <f>AM80*AM82/AM83</f>
        <v>31.4</v>
      </c>
      <c r="AN84" s="91">
        <f>AN80*AN82/AN83</f>
        <v>31.4</v>
      </c>
      <c r="AO84" s="91">
        <f>AO80*AO82/AO83</f>
        <v>31.4</v>
      </c>
      <c r="AP84" s="91">
        <f>AP80*AP82/AP83</f>
        <v>31.4</v>
      </c>
    </row>
    <row r="85" spans="2:57" s="95" customFormat="1" x14ac:dyDescent="0.25">
      <c r="C85" s="95" t="s">
        <v>261</v>
      </c>
      <c r="D85" s="95" t="s">
        <v>32</v>
      </c>
      <c r="E85" s="96"/>
      <c r="F85" s="96"/>
      <c r="G85" s="96"/>
      <c r="H85" s="96"/>
      <c r="I85" s="96"/>
      <c r="J85" s="96"/>
      <c r="K85" s="96"/>
      <c r="L85" s="96"/>
      <c r="M85" s="96"/>
      <c r="N85" s="96"/>
      <c r="O85" s="96"/>
      <c r="P85" s="96"/>
      <c r="Q85" s="96"/>
      <c r="R85" s="96"/>
      <c r="S85" s="96"/>
      <c r="T85" s="96"/>
      <c r="U85" s="96"/>
      <c r="V85" s="96"/>
      <c r="W85" s="96"/>
      <c r="X85" s="96"/>
      <c r="Y85" s="96"/>
      <c r="Z85" s="96"/>
      <c r="AA85" s="96">
        <f>Z85+AA84</f>
        <v>0</v>
      </c>
      <c r="AB85" s="96">
        <f t="shared" ref="AB85:AL85" si="53">AA85*(1+AB31)^(1/2)+AB84</f>
        <v>0</v>
      </c>
      <c r="AC85" s="96">
        <f t="shared" si="53"/>
        <v>0</v>
      </c>
      <c r="AD85" s="96">
        <f t="shared" si="53"/>
        <v>244.71999999999997</v>
      </c>
      <c r="AE85" s="96">
        <f t="shared" si="53"/>
        <v>245.94055620007038</v>
      </c>
      <c r="AF85" s="96">
        <f t="shared" si="53"/>
        <v>247.16719999999992</v>
      </c>
      <c r="AG85" s="96">
        <f t="shared" si="53"/>
        <v>328.39996176207103</v>
      </c>
      <c r="AH85" s="96">
        <f t="shared" si="53"/>
        <v>330.037876968967</v>
      </c>
      <c r="AI85" s="96">
        <f t="shared" si="53"/>
        <v>363.08396137969169</v>
      </c>
      <c r="AJ85" s="96">
        <f t="shared" si="53"/>
        <v>396.29486518897619</v>
      </c>
      <c r="AK85" s="96">
        <f t="shared" si="53"/>
        <v>429.6714104438081</v>
      </c>
      <c r="AL85" s="96">
        <f t="shared" si="53"/>
        <v>463.21442329118543</v>
      </c>
      <c r="AM85" s="96">
        <f>AL85*(1+AM31)^(1/2)+AM84</f>
        <v>496.92473399856567</v>
      </c>
      <c r="AN85" s="96">
        <f>AM85*(1+AN31)^(1/2)+AN84</f>
        <v>530.80317697441683</v>
      </c>
      <c r="AO85" s="96">
        <f>AN85*(1+AO31)^(1/2)+AO84</f>
        <v>564.85059078887082</v>
      </c>
      <c r="AP85" s="96">
        <f>AO85*(1+AP31)^(1/2)+AP84</f>
        <v>599.06781819448042</v>
      </c>
    </row>
    <row r="86" spans="2:57" s="6" customFormat="1" x14ac:dyDescent="0.25">
      <c r="C86" s="6" t="s">
        <v>116</v>
      </c>
      <c r="D86" s="6" t="s">
        <v>32</v>
      </c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>
        <f t="shared" ref="AC86:AL86" si="54">AB85*AC83*0.5+AC84*AC83*0.5*0.5*0.5</f>
        <v>0</v>
      </c>
      <c r="AD86" s="46">
        <f>AC85*AD83*0.5+AD84*AD83*0.5*0.5</f>
        <v>3.0589999999999997</v>
      </c>
      <c r="AE86" s="46">
        <f>AD85*AE83*0.5*0.5+AE84*AE83*0.5*0.5*0.5*0.5*0.5</f>
        <v>3.0589999999999997</v>
      </c>
      <c r="AF86" s="46">
        <f t="shared" si="54"/>
        <v>6.1485139050017601</v>
      </c>
      <c r="AG86" s="46">
        <f t="shared" si="54"/>
        <v>6.6791799999999988</v>
      </c>
      <c r="AH86" s="46">
        <f t="shared" si="54"/>
        <v>8.2099990440517754</v>
      </c>
      <c r="AI86" s="46">
        <f t="shared" si="54"/>
        <v>8.4471969242241745</v>
      </c>
      <c r="AJ86" s="46">
        <f t="shared" si="54"/>
        <v>9.2733490344922913</v>
      </c>
      <c r="AK86" s="46">
        <f t="shared" si="54"/>
        <v>10.103621629724405</v>
      </c>
      <c r="AL86" s="46">
        <f t="shared" si="54"/>
        <v>10.938035261095202</v>
      </c>
      <c r="AM86" s="46">
        <f>AL85*AM83*0.5+AM84*AM83*0.5*0.5*0.5</f>
        <v>11.776610582279636</v>
      </c>
      <c r="AN86" s="46">
        <f>AM85*AN83*0.5+AN84*AN83*0.5*0.5*0.5</f>
        <v>12.619368349964141</v>
      </c>
      <c r="AO86" s="46">
        <f>AN85*AO83*0.5+AO84*AO83*0.5*0.5*0.5</f>
        <v>13.466329424360421</v>
      </c>
      <c r="AP86" s="46">
        <f>AO85*AP83*0.5+AP84*AP83*0.5*0.5*0.5</f>
        <v>14.31751476972177</v>
      </c>
    </row>
    <row r="87" spans="2:57" x14ac:dyDescent="0.25">
      <c r="U87" s="35"/>
      <c r="V87" s="35"/>
      <c r="W87" s="35"/>
      <c r="X87" s="35"/>
      <c r="Y87" s="35"/>
      <c r="Z87" s="35"/>
      <c r="AA87" s="35"/>
    </row>
    <row r="88" spans="2:57" x14ac:dyDescent="0.25">
      <c r="U88" s="35"/>
      <c r="V88" s="35"/>
      <c r="W88" s="35"/>
      <c r="X88" s="35"/>
      <c r="Y88" s="35"/>
      <c r="Z88" s="35"/>
      <c r="AA88" s="35"/>
    </row>
    <row r="89" spans="2:57" s="23" customFormat="1" x14ac:dyDescent="0.25">
      <c r="B89" s="23" t="s">
        <v>262</v>
      </c>
      <c r="E89" s="57"/>
      <c r="F89" s="57"/>
      <c r="G89" s="57"/>
      <c r="H89" s="57"/>
      <c r="I89" s="57"/>
      <c r="J89" s="57"/>
      <c r="K89" s="57"/>
      <c r="L89" s="57"/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  <c r="AA89" s="57"/>
      <c r="AB89" s="57"/>
      <c r="AC89" s="57"/>
      <c r="AD89" s="57"/>
      <c r="AE89" s="57"/>
      <c r="AF89" s="57"/>
      <c r="AG89" s="57"/>
      <c r="AH89" s="57"/>
      <c r="AI89" s="57"/>
      <c r="AJ89" s="57"/>
      <c r="AK89" s="57"/>
      <c r="AL89" s="57"/>
      <c r="AM89" s="57"/>
      <c r="AN89" s="57"/>
      <c r="AO89" s="57"/>
      <c r="AP89" s="57"/>
      <c r="AQ89" s="24"/>
      <c r="AR89" s="24"/>
      <c r="AS89" s="24"/>
      <c r="AT89" s="24"/>
      <c r="AU89" s="24"/>
      <c r="AV89" s="24"/>
      <c r="AW89" s="24"/>
      <c r="AX89" s="24"/>
      <c r="AY89" s="24"/>
      <c r="AZ89" s="24"/>
      <c r="BA89" s="24"/>
      <c r="BE89" s="25"/>
    </row>
    <row r="90" spans="2:57" x14ac:dyDescent="0.25">
      <c r="C90" t="s">
        <v>311</v>
      </c>
      <c r="AB90">
        <v>35</v>
      </c>
      <c r="AC90">
        <v>35</v>
      </c>
      <c r="AD90">
        <v>35</v>
      </c>
    </row>
    <row r="91" spans="2:57" x14ac:dyDescent="0.25">
      <c r="C91" t="s">
        <v>313</v>
      </c>
      <c r="AD91">
        <v>161</v>
      </c>
    </row>
    <row r="92" spans="2:57" x14ac:dyDescent="0.25">
      <c r="C92" t="s">
        <v>312</v>
      </c>
      <c r="AD92">
        <v>246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B3D33-C5F4-48E7-A149-3D062B185EC7}">
  <sheetPr codeName="Sheet11"/>
  <dimension ref="A1:BE123"/>
  <sheetViews>
    <sheetView zoomScale="85" zoomScaleNormal="85" workbookViewId="0">
      <pane xSplit="4" ySplit="7" topLeftCell="P22" activePane="bottomRight" state="frozen"/>
      <selection pane="topRight" activeCell="E1" sqref="E1"/>
      <selection pane="bottomLeft" activeCell="A12" sqref="A12"/>
      <selection pane="bottomRight" activeCell="AG39" sqref="AG39"/>
    </sheetView>
  </sheetViews>
  <sheetFormatPr defaultRowHeight="15" outlineLevelRow="1" x14ac:dyDescent="0.25"/>
  <cols>
    <col min="1" max="1" width="3.42578125" customWidth="1"/>
    <col min="2" max="2" width="4" customWidth="1"/>
    <col min="3" max="3" width="45.7109375" customWidth="1"/>
    <col min="5" max="42" width="10.7109375" customWidth="1"/>
  </cols>
  <sheetData>
    <row r="1" spans="1:57" x14ac:dyDescent="0.25">
      <c r="A1" s="1" t="str">
        <f>Group!A1</f>
        <v>SGP Model - Morgan Stanley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</row>
    <row r="2" spans="1:57" x14ac:dyDescent="0.25">
      <c r="A2" s="15" t="s">
        <v>117</v>
      </c>
      <c r="B2" s="15"/>
      <c r="C2" s="15"/>
      <c r="D2" s="15"/>
      <c r="E2" s="16">
        <v>40908</v>
      </c>
      <c r="F2" s="16">
        <f>EOMONTH(E2,6)</f>
        <v>41090</v>
      </c>
      <c r="G2" s="16">
        <f t="shared" ref="G2:AL2" si="0">EOMONTH(F2,6)</f>
        <v>41274</v>
      </c>
      <c r="H2" s="16">
        <f t="shared" si="0"/>
        <v>41455</v>
      </c>
      <c r="I2" s="16">
        <f t="shared" si="0"/>
        <v>41639</v>
      </c>
      <c r="J2" s="16">
        <f t="shared" si="0"/>
        <v>41820</v>
      </c>
      <c r="K2" s="16">
        <f t="shared" si="0"/>
        <v>42004</v>
      </c>
      <c r="L2" s="16">
        <f t="shared" si="0"/>
        <v>42185</v>
      </c>
      <c r="M2" s="16">
        <f t="shared" si="0"/>
        <v>42369</v>
      </c>
      <c r="N2" s="16">
        <f t="shared" si="0"/>
        <v>42551</v>
      </c>
      <c r="O2" s="16">
        <f t="shared" si="0"/>
        <v>42735</v>
      </c>
      <c r="P2" s="16">
        <f t="shared" si="0"/>
        <v>42916</v>
      </c>
      <c r="Q2" s="16">
        <f t="shared" si="0"/>
        <v>43100</v>
      </c>
      <c r="R2" s="16">
        <f t="shared" si="0"/>
        <v>43281</v>
      </c>
      <c r="S2" s="16">
        <f t="shared" si="0"/>
        <v>43465</v>
      </c>
      <c r="T2" s="16">
        <f t="shared" si="0"/>
        <v>43646</v>
      </c>
      <c r="U2" s="16">
        <f t="shared" si="0"/>
        <v>43830</v>
      </c>
      <c r="V2" s="16">
        <f t="shared" si="0"/>
        <v>44012</v>
      </c>
      <c r="W2" s="16">
        <f t="shared" si="0"/>
        <v>44196</v>
      </c>
      <c r="X2" s="16">
        <f t="shared" si="0"/>
        <v>44377</v>
      </c>
      <c r="Y2" s="16">
        <f t="shared" si="0"/>
        <v>44561</v>
      </c>
      <c r="Z2" s="16">
        <f t="shared" si="0"/>
        <v>44742</v>
      </c>
      <c r="AA2" s="16">
        <f t="shared" si="0"/>
        <v>44926</v>
      </c>
      <c r="AB2" s="16">
        <f t="shared" si="0"/>
        <v>45107</v>
      </c>
      <c r="AC2" s="16">
        <f t="shared" si="0"/>
        <v>45291</v>
      </c>
      <c r="AD2" s="16">
        <f t="shared" si="0"/>
        <v>45473</v>
      </c>
      <c r="AE2" s="16">
        <f t="shared" si="0"/>
        <v>45657</v>
      </c>
      <c r="AF2" s="16">
        <f t="shared" si="0"/>
        <v>45838</v>
      </c>
      <c r="AG2" s="16">
        <f t="shared" si="0"/>
        <v>46022</v>
      </c>
      <c r="AH2" s="16">
        <f t="shared" si="0"/>
        <v>46203</v>
      </c>
      <c r="AI2" s="16">
        <f t="shared" si="0"/>
        <v>46387</v>
      </c>
      <c r="AJ2" s="16">
        <f t="shared" si="0"/>
        <v>46568</v>
      </c>
      <c r="AK2" s="48">
        <f t="shared" si="0"/>
        <v>46752</v>
      </c>
      <c r="AL2" s="48">
        <f t="shared" si="0"/>
        <v>46934</v>
      </c>
      <c r="AM2" s="48">
        <f>EOMONTH(AL2,6)</f>
        <v>47118</v>
      </c>
      <c r="AN2" s="48">
        <f>EOMONTH(AM2,6)</f>
        <v>47299</v>
      </c>
      <c r="AO2" s="48">
        <f>EOMONTH(AN2,6)</f>
        <v>47483</v>
      </c>
      <c r="AP2" s="48">
        <f>EOMONTH(AO2,6)</f>
        <v>47664</v>
      </c>
    </row>
    <row r="3" spans="1:57" ht="15.75" thickBot="1" x14ac:dyDescent="0.3">
      <c r="A3" s="2"/>
      <c r="B3" s="2"/>
      <c r="C3" s="2"/>
      <c r="D3" s="2"/>
      <c r="E3" s="18" t="str">
        <f t="shared" ref="E3:AL3" si="1">E4&amp;"-"&amp;E5</f>
        <v>2012-H1</v>
      </c>
      <c r="F3" s="18" t="str">
        <f t="shared" si="1"/>
        <v>2012-H2</v>
      </c>
      <c r="G3" s="18" t="str">
        <f t="shared" si="1"/>
        <v>2013-H1</v>
      </c>
      <c r="H3" s="18" t="str">
        <f t="shared" si="1"/>
        <v>2013-H2</v>
      </c>
      <c r="I3" s="18" t="str">
        <f t="shared" si="1"/>
        <v>2014-H1</v>
      </c>
      <c r="J3" s="18" t="str">
        <f t="shared" si="1"/>
        <v>2014-H2</v>
      </c>
      <c r="K3" s="18" t="str">
        <f t="shared" si="1"/>
        <v>2015-H1</v>
      </c>
      <c r="L3" s="18" t="str">
        <f t="shared" si="1"/>
        <v>2015-H2</v>
      </c>
      <c r="M3" s="18" t="str">
        <f t="shared" si="1"/>
        <v>2016-H1</v>
      </c>
      <c r="N3" s="18" t="str">
        <f t="shared" si="1"/>
        <v>2016-H2</v>
      </c>
      <c r="O3" s="18" t="str">
        <f t="shared" si="1"/>
        <v>2017-H1</v>
      </c>
      <c r="P3" s="18" t="str">
        <f t="shared" si="1"/>
        <v>2017-H2</v>
      </c>
      <c r="Q3" s="18" t="str">
        <f t="shared" si="1"/>
        <v>2018-H1</v>
      </c>
      <c r="R3" s="18" t="str">
        <f t="shared" si="1"/>
        <v>2018-H2</v>
      </c>
      <c r="S3" s="18" t="str">
        <f t="shared" si="1"/>
        <v>2019-H1</v>
      </c>
      <c r="T3" s="18" t="str">
        <f t="shared" si="1"/>
        <v>2019-H2</v>
      </c>
      <c r="U3" s="18" t="str">
        <f t="shared" si="1"/>
        <v>2020-H1</v>
      </c>
      <c r="V3" s="18" t="str">
        <f t="shared" si="1"/>
        <v>2020-H2</v>
      </c>
      <c r="W3" s="18" t="str">
        <f t="shared" si="1"/>
        <v>2021-H1</v>
      </c>
      <c r="X3" s="18" t="str">
        <f t="shared" si="1"/>
        <v>2021-H2</v>
      </c>
      <c r="Y3" s="18" t="str">
        <f t="shared" si="1"/>
        <v>2022-H1</v>
      </c>
      <c r="Z3" s="18" t="str">
        <f t="shared" si="1"/>
        <v>2022-H2</v>
      </c>
      <c r="AA3" s="18" t="str">
        <f t="shared" si="1"/>
        <v>2023-H1</v>
      </c>
      <c r="AB3" s="18" t="str">
        <f t="shared" si="1"/>
        <v>2023-H2</v>
      </c>
      <c r="AC3" s="18" t="str">
        <f t="shared" si="1"/>
        <v>2024-H1</v>
      </c>
      <c r="AD3" s="18" t="str">
        <f t="shared" si="1"/>
        <v>2024-H2</v>
      </c>
      <c r="AE3" s="18" t="str">
        <f t="shared" si="1"/>
        <v>2025-H1</v>
      </c>
      <c r="AF3" s="18" t="str">
        <f t="shared" si="1"/>
        <v>2025-H2</v>
      </c>
      <c r="AG3" s="18" t="str">
        <f t="shared" si="1"/>
        <v>2026-H1</v>
      </c>
      <c r="AH3" s="18" t="str">
        <f t="shared" si="1"/>
        <v>2026-H2</v>
      </c>
      <c r="AI3" s="18" t="str">
        <f t="shared" si="1"/>
        <v>2027-H1</v>
      </c>
      <c r="AJ3" s="18" t="str">
        <f t="shared" si="1"/>
        <v>2027-H2</v>
      </c>
      <c r="AK3" s="18" t="str">
        <f t="shared" si="1"/>
        <v>2028-H1</v>
      </c>
      <c r="AL3" s="18" t="str">
        <f t="shared" si="1"/>
        <v>2028-H2</v>
      </c>
      <c r="AM3" s="18" t="str">
        <f>AM4&amp;"-"&amp;AM5</f>
        <v>2029-H1</v>
      </c>
      <c r="AN3" s="18" t="str">
        <f>AN4&amp;"-"&amp;AN5</f>
        <v>2029-H2</v>
      </c>
      <c r="AO3" s="18" t="str">
        <f>AO4&amp;"-"&amp;AO5</f>
        <v>2030-H1</v>
      </c>
      <c r="AP3" s="18" t="str">
        <f>AP4&amp;"-"&amp;AP5</f>
        <v>2030-H2</v>
      </c>
    </row>
    <row r="4" spans="1:57" hidden="1" x14ac:dyDescent="0.25">
      <c r="E4">
        <v>2012</v>
      </c>
      <c r="F4">
        <f>E4</f>
        <v>2012</v>
      </c>
      <c r="G4">
        <f>E4+1</f>
        <v>2013</v>
      </c>
      <c r="H4">
        <f>F4+1</f>
        <v>2013</v>
      </c>
      <c r="I4">
        <f>G4+1</f>
        <v>2014</v>
      </c>
      <c r="J4">
        <f>H4+1</f>
        <v>2014</v>
      </c>
      <c r="K4">
        <f t="shared" ref="K4:AL4" si="2">I4+1</f>
        <v>2015</v>
      </c>
      <c r="L4">
        <f t="shared" si="2"/>
        <v>2015</v>
      </c>
      <c r="M4">
        <f t="shared" si="2"/>
        <v>2016</v>
      </c>
      <c r="N4">
        <f t="shared" si="2"/>
        <v>2016</v>
      </c>
      <c r="O4">
        <f t="shared" si="2"/>
        <v>2017</v>
      </c>
      <c r="P4">
        <f t="shared" si="2"/>
        <v>2017</v>
      </c>
      <c r="Q4">
        <f t="shared" si="2"/>
        <v>2018</v>
      </c>
      <c r="R4">
        <f t="shared" si="2"/>
        <v>2018</v>
      </c>
      <c r="S4">
        <f t="shared" si="2"/>
        <v>2019</v>
      </c>
      <c r="T4">
        <f t="shared" si="2"/>
        <v>2019</v>
      </c>
      <c r="U4">
        <f t="shared" si="2"/>
        <v>2020</v>
      </c>
      <c r="V4">
        <f t="shared" si="2"/>
        <v>2020</v>
      </c>
      <c r="W4">
        <f t="shared" si="2"/>
        <v>2021</v>
      </c>
      <c r="X4">
        <f t="shared" si="2"/>
        <v>2021</v>
      </c>
      <c r="Y4">
        <f t="shared" si="2"/>
        <v>2022</v>
      </c>
      <c r="Z4">
        <f t="shared" si="2"/>
        <v>2022</v>
      </c>
      <c r="AA4">
        <f t="shared" si="2"/>
        <v>2023</v>
      </c>
      <c r="AB4">
        <f t="shared" si="2"/>
        <v>2023</v>
      </c>
      <c r="AC4">
        <f t="shared" si="2"/>
        <v>2024</v>
      </c>
      <c r="AD4">
        <f t="shared" si="2"/>
        <v>2024</v>
      </c>
      <c r="AE4">
        <f t="shared" si="2"/>
        <v>2025</v>
      </c>
      <c r="AF4">
        <f t="shared" si="2"/>
        <v>2025</v>
      </c>
      <c r="AG4">
        <f t="shared" si="2"/>
        <v>2026</v>
      </c>
      <c r="AH4">
        <f t="shared" si="2"/>
        <v>2026</v>
      </c>
      <c r="AI4">
        <f t="shared" si="2"/>
        <v>2027</v>
      </c>
      <c r="AJ4">
        <f t="shared" si="2"/>
        <v>2027</v>
      </c>
      <c r="AK4">
        <f t="shared" si="2"/>
        <v>2028</v>
      </c>
      <c r="AL4">
        <f t="shared" si="2"/>
        <v>2028</v>
      </c>
      <c r="AM4">
        <f>AK4+1</f>
        <v>2029</v>
      </c>
      <c r="AN4">
        <f>AL4+1</f>
        <v>2029</v>
      </c>
      <c r="AO4">
        <f>AM4+1</f>
        <v>2030</v>
      </c>
      <c r="AP4">
        <f>AN4+1</f>
        <v>2030</v>
      </c>
    </row>
    <row r="5" spans="1:57" hidden="1" x14ac:dyDescent="0.25">
      <c r="E5" s="3" t="s">
        <v>28</v>
      </c>
      <c r="F5" s="3" t="s">
        <v>29</v>
      </c>
      <c r="G5" s="3" t="s">
        <v>28</v>
      </c>
      <c r="H5" s="3" t="s">
        <v>29</v>
      </c>
      <c r="I5" s="3" t="s">
        <v>28</v>
      </c>
      <c r="J5" s="3" t="s">
        <v>29</v>
      </c>
      <c r="K5" s="3" t="s">
        <v>28</v>
      </c>
      <c r="L5" s="3" t="s">
        <v>29</v>
      </c>
      <c r="M5" s="3" t="s">
        <v>28</v>
      </c>
      <c r="N5" s="3" t="s">
        <v>29</v>
      </c>
      <c r="O5" s="3" t="s">
        <v>28</v>
      </c>
      <c r="P5" s="3" t="s">
        <v>29</v>
      </c>
      <c r="Q5" s="3" t="str">
        <f>E5</f>
        <v>H1</v>
      </c>
      <c r="R5" s="3" t="str">
        <f>F5</f>
        <v>H2</v>
      </c>
      <c r="S5" s="3" t="str">
        <f t="shared" ref="S5:AL5" si="3">Q5</f>
        <v>H1</v>
      </c>
      <c r="T5" s="3" t="str">
        <f t="shared" si="3"/>
        <v>H2</v>
      </c>
      <c r="U5" s="3" t="str">
        <f t="shared" si="3"/>
        <v>H1</v>
      </c>
      <c r="V5" s="3" t="str">
        <f t="shared" si="3"/>
        <v>H2</v>
      </c>
      <c r="W5" s="3" t="str">
        <f t="shared" si="3"/>
        <v>H1</v>
      </c>
      <c r="X5" s="3" t="str">
        <f t="shared" si="3"/>
        <v>H2</v>
      </c>
      <c r="Y5" s="3" t="str">
        <f t="shared" si="3"/>
        <v>H1</v>
      </c>
      <c r="Z5" s="3" t="str">
        <f t="shared" si="3"/>
        <v>H2</v>
      </c>
      <c r="AA5" s="3" t="str">
        <f t="shared" si="3"/>
        <v>H1</v>
      </c>
      <c r="AB5" s="3" t="str">
        <f t="shared" si="3"/>
        <v>H2</v>
      </c>
      <c r="AC5" s="3" t="str">
        <f t="shared" si="3"/>
        <v>H1</v>
      </c>
      <c r="AD5" s="3" t="str">
        <f t="shared" si="3"/>
        <v>H2</v>
      </c>
      <c r="AE5" s="3" t="str">
        <f t="shared" si="3"/>
        <v>H1</v>
      </c>
      <c r="AF5" s="3" t="str">
        <f t="shared" si="3"/>
        <v>H2</v>
      </c>
      <c r="AG5" s="3" t="str">
        <f t="shared" si="3"/>
        <v>H1</v>
      </c>
      <c r="AH5" s="3" t="str">
        <f t="shared" si="3"/>
        <v>H2</v>
      </c>
      <c r="AI5" s="3" t="str">
        <f t="shared" si="3"/>
        <v>H1</v>
      </c>
      <c r="AJ5" s="3" t="str">
        <f t="shared" si="3"/>
        <v>H2</v>
      </c>
      <c r="AK5" s="3" t="str">
        <f t="shared" si="3"/>
        <v>H1</v>
      </c>
      <c r="AL5" s="3" t="str">
        <f t="shared" si="3"/>
        <v>H2</v>
      </c>
      <c r="AM5" s="3" t="str">
        <f>AK5</f>
        <v>H1</v>
      </c>
      <c r="AN5" s="3" t="str">
        <f>AL5</f>
        <v>H2</v>
      </c>
      <c r="AO5" s="3" t="str">
        <f>AM5</f>
        <v>H1</v>
      </c>
      <c r="AP5" s="3" t="str">
        <f>AN5</f>
        <v>H2</v>
      </c>
    </row>
    <row r="6" spans="1:57" x14ac:dyDescent="0.25"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</row>
    <row r="7" spans="1:57" x14ac:dyDescent="0.25">
      <c r="A7" s="4" t="s">
        <v>201</v>
      </c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</row>
    <row r="9" spans="1:57" s="23" customFormat="1" x14ac:dyDescent="0.25">
      <c r="B9" s="23" t="s">
        <v>243</v>
      </c>
      <c r="E9" s="24"/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E9" s="25"/>
    </row>
    <row r="10" spans="1:57" x14ac:dyDescent="0.25">
      <c r="C10" t="s">
        <v>273</v>
      </c>
      <c r="D10" t="s">
        <v>32</v>
      </c>
      <c r="E10" s="58"/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  <c r="Q10" s="58"/>
      <c r="R10" s="58"/>
      <c r="S10" s="58"/>
      <c r="T10" s="58"/>
      <c r="U10" s="58"/>
      <c r="V10" s="58"/>
      <c r="W10" s="58"/>
      <c r="X10" s="58"/>
      <c r="Y10" s="86"/>
      <c r="Z10" s="86"/>
      <c r="AA10" s="88">
        <v>5.5274759137711262</v>
      </c>
      <c r="AB10" s="88">
        <f>AA10*(1+AB$45)^(1/2)*AB$46/AA$46</f>
        <v>5.6041317305613214</v>
      </c>
      <c r="AC10" s="88">
        <f>AB10*(1+AC$45)^(1/2)*AC$46/AB$46</f>
        <v>5.6598956088035681</v>
      </c>
      <c r="AD10" s="88">
        <f>AC10*2/3</f>
        <v>3.7732637392023789</v>
      </c>
      <c r="AE10" s="98"/>
      <c r="AF10" s="98"/>
      <c r="AG10" s="98"/>
      <c r="AH10" s="98"/>
      <c r="AI10" s="98"/>
      <c r="AJ10" s="98"/>
      <c r="AK10" s="98"/>
      <c r="AL10" s="98"/>
      <c r="AM10" s="98"/>
      <c r="AN10" s="98"/>
      <c r="AO10" s="98"/>
      <c r="AP10" s="98"/>
    </row>
    <row r="11" spans="1:57" x14ac:dyDescent="0.25">
      <c r="C11" t="s">
        <v>274</v>
      </c>
      <c r="D11" t="s">
        <v>32</v>
      </c>
      <c r="E11" s="58"/>
      <c r="F11" s="58"/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  <c r="X11" s="58"/>
      <c r="Y11" s="86"/>
      <c r="Z11" s="86"/>
      <c r="AA11" s="88">
        <v>6.6707649567378775</v>
      </c>
      <c r="AB11" s="88">
        <f t="shared" ref="AB11:AL11" si="4">AA11*(1+AB$45)^(1/2)*AB$46/AA$46</f>
        <v>6.7632760674783459</v>
      </c>
      <c r="AC11" s="88">
        <f t="shared" si="4"/>
        <v>6.8305740043003613</v>
      </c>
      <c r="AD11" s="88">
        <f t="shared" si="4"/>
        <v>6.877700073453811</v>
      </c>
      <c r="AE11" s="88">
        <f t="shared" si="4"/>
        <v>6.9631406174151191</v>
      </c>
      <c r="AF11" s="88">
        <f t="shared" si="4"/>
        <v>7.0496425752901546</v>
      </c>
      <c r="AG11" s="88">
        <f t="shared" si="4"/>
        <v>7.1372191328504959</v>
      </c>
      <c r="AH11" s="88">
        <f t="shared" si="4"/>
        <v>7.2258836396724071</v>
      </c>
      <c r="AI11" s="88">
        <f t="shared" si="4"/>
        <v>7.3156496111717564</v>
      </c>
      <c r="AJ11" s="88">
        <f t="shared" si="4"/>
        <v>7.4065307306642154</v>
      </c>
      <c r="AK11" s="88">
        <f t="shared" si="4"/>
        <v>7.4985408514510485</v>
      </c>
      <c r="AL11" s="88">
        <f t="shared" si="4"/>
        <v>7.5916939989308183</v>
      </c>
      <c r="AM11" s="88">
        <f>AL11*(1+AM$45)^(1/2)*AM$46/AL$46</f>
        <v>7.6860043727373224</v>
      </c>
      <c r="AN11" s="88">
        <f>AM11*(1+AN$45)^(1/2)*AN$46/AM$46</f>
        <v>7.7814863489040871</v>
      </c>
      <c r="AO11" s="88">
        <f>AN11*(1+AO$45)^(1/2)*AO$46/AN$46</f>
        <v>7.8781544820557539</v>
      </c>
      <c r="AP11" s="88">
        <f>AO11*(1+AP$45)^(1/2)*AP$46/AO$46</f>
        <v>7.976023507626687</v>
      </c>
    </row>
    <row r="12" spans="1:57" x14ac:dyDescent="0.25">
      <c r="C12" t="s">
        <v>275</v>
      </c>
      <c r="D12" t="s">
        <v>32</v>
      </c>
      <c r="E12" s="58"/>
      <c r="F12" s="58"/>
      <c r="G12" s="58"/>
      <c r="H12" s="58"/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  <c r="X12" s="58"/>
      <c r="Y12" s="86"/>
      <c r="Z12" s="86"/>
      <c r="AA12" s="88">
        <v>11.175716827760557</v>
      </c>
      <c r="AB12" s="88">
        <f>AA12*(1+AB$45)^(1/2)*AB$46/AA$46</f>
        <v>11.330703247423386</v>
      </c>
      <c r="AC12" s="88">
        <f>AB12*(1+AC$45)^(1/2)*AC$46/AB$46</f>
        <v>11.443449340246772</v>
      </c>
      <c r="AD12" s="88">
        <f>AC12*(1+AD$45)^(1/2)*AD$46/AC$46</f>
        <v>11.522400945869219</v>
      </c>
      <c r="AE12" s="98"/>
      <c r="AF12" s="98"/>
      <c r="AG12" s="98"/>
      <c r="AH12" s="98"/>
      <c r="AI12" s="98"/>
      <c r="AJ12" s="98"/>
      <c r="AK12" s="98"/>
      <c r="AL12" s="98"/>
      <c r="AM12" s="98"/>
      <c r="AN12" s="98"/>
      <c r="AO12" s="98"/>
      <c r="AP12" s="98"/>
    </row>
    <row r="13" spans="1:57" x14ac:dyDescent="0.25">
      <c r="C13" t="s">
        <v>276</v>
      </c>
      <c r="D13" t="s">
        <v>32</v>
      </c>
      <c r="E13" s="58"/>
      <c r="F13" s="58"/>
      <c r="G13" s="58"/>
      <c r="H13" s="58"/>
      <c r="I13" s="58"/>
      <c r="J13" s="58"/>
      <c r="K13" s="58"/>
      <c r="L13" s="58"/>
      <c r="M13" s="58"/>
      <c r="N13" s="58"/>
      <c r="O13" s="58"/>
      <c r="P13" s="58"/>
      <c r="Q13" s="58"/>
      <c r="R13" s="58"/>
      <c r="S13" s="58"/>
      <c r="T13" s="58"/>
      <c r="U13" s="58"/>
      <c r="V13" s="58"/>
      <c r="W13" s="58"/>
      <c r="X13" s="58"/>
      <c r="Y13" s="86"/>
      <c r="Z13" s="86"/>
      <c r="AA13" s="88">
        <v>25.510180056059564</v>
      </c>
      <c r="AB13" s="88">
        <f t="shared" ref="AB13:AL13" si="5">AA13*(1+AB$45)^(1/2)*AB$46/AA$46</f>
        <v>25.863958836676275</v>
      </c>
      <c r="AC13" s="88">
        <f t="shared" si="5"/>
        <v>26.121317999660555</v>
      </c>
      <c r="AD13" s="88">
        <f t="shared" si="5"/>
        <v>26.301536387991646</v>
      </c>
      <c r="AE13" s="88">
        <f t="shared" si="5"/>
        <v>26.628276075969875</v>
      </c>
      <c r="AF13" s="88">
        <f t="shared" si="5"/>
        <v>26.959074797691429</v>
      </c>
      <c r="AG13" s="88">
        <f t="shared" si="5"/>
        <v>27.293982977869113</v>
      </c>
      <c r="AH13" s="88">
        <f t="shared" si="5"/>
        <v>27.633051667633705</v>
      </c>
      <c r="AI13" s="88">
        <f t="shared" si="5"/>
        <v>27.976332552315831</v>
      </c>
      <c r="AJ13" s="88">
        <f t="shared" si="5"/>
        <v>28.323877959324538</v>
      </c>
      <c r="AK13" s="88">
        <f t="shared" si="5"/>
        <v>28.675740866123718</v>
      </c>
      <c r="AL13" s="88">
        <f t="shared" si="5"/>
        <v>29.031974908307639</v>
      </c>
      <c r="AM13" s="88">
        <f t="shared" ref="AM13:AP14" si="6">AL13*(1+AM$45)^(1/2)*AM$46/AL$46</f>
        <v>29.392634387776798</v>
      </c>
      <c r="AN13" s="88">
        <f t="shared" si="6"/>
        <v>29.757774281015323</v>
      </c>
      <c r="AO13" s="88">
        <f t="shared" si="6"/>
        <v>30.127450247471213</v>
      </c>
      <c r="AP13" s="88">
        <f t="shared" si="6"/>
        <v>30.5017186380407</v>
      </c>
    </row>
    <row r="14" spans="1:57" x14ac:dyDescent="0.25">
      <c r="C14" t="s">
        <v>277</v>
      </c>
      <c r="D14" t="s">
        <v>32</v>
      </c>
      <c r="E14" s="58"/>
      <c r="F14" s="58"/>
      <c r="G14" s="58"/>
      <c r="H14" s="58"/>
      <c r="I14" s="58"/>
      <c r="J14" s="58"/>
      <c r="K14" s="58"/>
      <c r="L14" s="58"/>
      <c r="M14" s="58"/>
      <c r="N14" s="58"/>
      <c r="O14" s="58"/>
      <c r="P14" s="58"/>
      <c r="Q14" s="58"/>
      <c r="R14" s="58"/>
      <c r="S14" s="58"/>
      <c r="T14" s="58"/>
      <c r="U14" s="58"/>
      <c r="V14" s="58"/>
      <c r="W14" s="58"/>
      <c r="X14" s="58"/>
      <c r="Y14" s="86"/>
      <c r="Z14" s="86"/>
      <c r="AA14" s="88">
        <v>17.73270986447676</v>
      </c>
      <c r="AB14" s="88">
        <f t="shared" ref="AB14:AL14" si="7">AA14*(1+AB$45)^(1/2)*AB$46/AA$46</f>
        <v>17.978629589821637</v>
      </c>
      <c r="AC14" s="88">
        <f t="shared" si="7"/>
        <v>18.157525832738621</v>
      </c>
      <c r="AD14" s="88">
        <f t="shared" si="7"/>
        <v>18.282799758108652</v>
      </c>
      <c r="AE14" s="88">
        <f t="shared" si="7"/>
        <v>18.509923991469417</v>
      </c>
      <c r="AF14" s="88">
        <f t="shared" si="7"/>
        <v>18.739869752061363</v>
      </c>
      <c r="AG14" s="88">
        <f t="shared" si="7"/>
        <v>18.972672091256147</v>
      </c>
      <c r="AH14" s="88">
        <f t="shared" si="7"/>
        <v>19.20836649586289</v>
      </c>
      <c r="AI14" s="88">
        <f t="shared" si="7"/>
        <v>19.446988893537544</v>
      </c>
      <c r="AJ14" s="88">
        <f t="shared" si="7"/>
        <v>19.688575658259456</v>
      </c>
      <c r="AK14" s="88">
        <f t="shared" si="7"/>
        <v>19.933163615875976</v>
      </c>
      <c r="AL14" s="88">
        <f t="shared" si="7"/>
        <v>20.180790049715938</v>
      </c>
      <c r="AM14" s="88">
        <f t="shared" si="6"/>
        <v>20.43149270627287</v>
      </c>
      <c r="AN14" s="88">
        <f t="shared" si="6"/>
        <v>20.68530980095883</v>
      </c>
      <c r="AO14" s="88">
        <f t="shared" si="6"/>
        <v>20.942280023929683</v>
      </c>
      <c r="AP14" s="88">
        <f t="shared" si="6"/>
        <v>21.202442545982791</v>
      </c>
    </row>
    <row r="15" spans="1:57" x14ac:dyDescent="0.25">
      <c r="C15" t="s">
        <v>278</v>
      </c>
      <c r="D15" t="s">
        <v>32</v>
      </c>
      <c r="E15" s="58"/>
      <c r="F15" s="58"/>
      <c r="G15" s="58"/>
      <c r="H15" s="58"/>
      <c r="I15" s="58"/>
      <c r="J15" s="58"/>
      <c r="K15" s="58"/>
      <c r="L15" s="58"/>
      <c r="M15" s="58"/>
      <c r="N15" s="58"/>
      <c r="O15" s="58"/>
      <c r="P15" s="58"/>
      <c r="Q15" s="58"/>
      <c r="R15" s="58"/>
      <c r="S15" s="58"/>
      <c r="T15" s="58"/>
      <c r="U15" s="58"/>
      <c r="V15" s="58"/>
      <c r="W15" s="58"/>
      <c r="X15" s="58"/>
      <c r="Y15" s="86"/>
      <c r="Z15" s="86"/>
      <c r="AA15" s="88">
        <v>4.2465231778653187</v>
      </c>
      <c r="AB15" s="88">
        <f>AA15*(1+AB$45)^(1/2)*AB$46/AA$46</f>
        <v>4.3054145611650192</v>
      </c>
      <c r="AC15" s="88">
        <f>AB15*(1+AC$45)^(1/2)*AC$46/AB$46</f>
        <v>4.3482555622182115</v>
      </c>
      <c r="AD15" s="88">
        <f>AC15/4</f>
        <v>1.0870638905545529</v>
      </c>
      <c r="AE15" s="98"/>
      <c r="AF15" s="98"/>
      <c r="AG15" s="98"/>
      <c r="AH15" s="98"/>
      <c r="AI15" s="98"/>
      <c r="AJ15" s="98"/>
      <c r="AK15" s="98"/>
      <c r="AL15" s="98"/>
      <c r="AM15" s="98"/>
      <c r="AN15" s="98"/>
      <c r="AO15" s="98"/>
      <c r="AP15" s="98"/>
    </row>
    <row r="16" spans="1:57" x14ac:dyDescent="0.25">
      <c r="C16" t="s">
        <v>279</v>
      </c>
      <c r="D16" t="s">
        <v>32</v>
      </c>
      <c r="E16" s="58"/>
      <c r="F16" s="58"/>
      <c r="G16" s="58"/>
      <c r="H16" s="58"/>
      <c r="I16" s="58"/>
      <c r="J16" s="58"/>
      <c r="K16" s="58"/>
      <c r="L16" s="58"/>
      <c r="M16" s="58"/>
      <c r="N16" s="58"/>
      <c r="O16" s="58"/>
      <c r="P16" s="58"/>
      <c r="Q16" s="58"/>
      <c r="R16" s="58"/>
      <c r="S16" s="58"/>
      <c r="T16" s="58"/>
      <c r="U16" s="58"/>
      <c r="V16" s="58"/>
      <c r="W16" s="58"/>
      <c r="X16" s="58"/>
      <c r="Y16" s="86"/>
      <c r="Z16" s="86"/>
      <c r="AA16" s="88">
        <v>1.762532449730104</v>
      </c>
      <c r="AB16" s="88">
        <f t="shared" ref="AB16:AL16" si="8">AA16*(1+AB$45)^(1/2)*AB$46/AA$46</f>
        <v>1.7869754987204536</v>
      </c>
      <c r="AC16" s="88">
        <f t="shared" si="8"/>
        <v>1.8047567874059258</v>
      </c>
      <c r="AD16" s="88">
        <f t="shared" si="8"/>
        <v>1.8172083168256938</v>
      </c>
      <c r="AE16" s="88">
        <f t="shared" si="8"/>
        <v>1.8397831987516851</v>
      </c>
      <c r="AF16" s="88">
        <f t="shared" si="8"/>
        <v>1.8626385247463357</v>
      </c>
      <c r="AG16" s="88">
        <f t="shared" si="8"/>
        <v>1.8857777787204766</v>
      </c>
      <c r="AH16" s="88">
        <f t="shared" si="8"/>
        <v>1.9092044878649934</v>
      </c>
      <c r="AI16" s="88">
        <f t="shared" si="8"/>
        <v>1.9329222231884879</v>
      </c>
      <c r="AJ16" s="88">
        <f t="shared" si="8"/>
        <v>1.9569346000616177</v>
      </c>
      <c r="AK16" s="88">
        <f t="shared" si="8"/>
        <v>1.9812452787681996</v>
      </c>
      <c r="AL16" s="88">
        <f t="shared" si="8"/>
        <v>2.0058579650631576</v>
      </c>
      <c r="AM16" s="88">
        <f t="shared" ref="AM16:AM22" si="9">AL16*(1+AM$45)^(1/2)*AM$46/AL$46</f>
        <v>2.030776410737404</v>
      </c>
      <c r="AN16" s="88">
        <f t="shared" ref="AN16:AN22" si="10">AM16*(1+AN$45)^(1/2)*AN$46/AM$46</f>
        <v>2.056004414189736</v>
      </c>
      <c r="AO16" s="88">
        <f t="shared" ref="AO16:AO22" si="11">AN16*(1+AO$45)^(1/2)*AO$46/AN$46</f>
        <v>2.0815458210058386</v>
      </c>
      <c r="AP16" s="88">
        <f t="shared" ref="AP16:AP22" si="12">AO16*(1+AP$45)^(1/2)*AP$46/AO$46</f>
        <v>2.1074045245444788</v>
      </c>
    </row>
    <row r="17" spans="3:42" x14ac:dyDescent="0.25">
      <c r="C17" t="s">
        <v>280</v>
      </c>
      <c r="D17" t="s">
        <v>32</v>
      </c>
      <c r="E17" s="58"/>
      <c r="F17" s="58"/>
      <c r="G17" s="58"/>
      <c r="H17" s="58"/>
      <c r="I17" s="58"/>
      <c r="J17" s="58"/>
      <c r="K17" s="58"/>
      <c r="L17" s="58"/>
      <c r="M17" s="58"/>
      <c r="N17" s="58"/>
      <c r="O17" s="58"/>
      <c r="P17" s="58"/>
      <c r="Q17" s="58"/>
      <c r="R17" s="58"/>
      <c r="S17" s="58"/>
      <c r="T17" s="58"/>
      <c r="U17" s="58"/>
      <c r="V17" s="58"/>
      <c r="W17" s="58"/>
      <c r="X17" s="58"/>
      <c r="Y17" s="86"/>
      <c r="Z17" s="86"/>
      <c r="AA17" s="88">
        <v>19.79951486672109</v>
      </c>
      <c r="AB17" s="88">
        <f t="shared" ref="AB17:AL17" si="13">AA17*(1+AB$45)^(1/2)*AB$46/AA$46</f>
        <v>20.074097335796498</v>
      </c>
      <c r="AC17" s="88">
        <f t="shared" si="13"/>
        <v>20.273844517603777</v>
      </c>
      <c r="AD17" s="88">
        <f t="shared" si="13"/>
        <v>20.41371952637191</v>
      </c>
      <c r="AE17" s="88">
        <f t="shared" si="13"/>
        <v>20.667315827748705</v>
      </c>
      <c r="AF17" s="88">
        <f t="shared" si="13"/>
        <v>20.924062514531204</v>
      </c>
      <c r="AG17" s="88">
        <f t="shared" si="13"/>
        <v>21.183998723442418</v>
      </c>
      <c r="AH17" s="88">
        <f t="shared" si="13"/>
        <v>21.447164077394479</v>
      </c>
      <c r="AI17" s="88">
        <f t="shared" si="13"/>
        <v>21.713598691528475</v>
      </c>
      <c r="AJ17" s="88">
        <f t="shared" si="13"/>
        <v>21.983343179329335</v>
      </c>
      <c r="AK17" s="88">
        <f t="shared" si="13"/>
        <v>22.25643865881668</v>
      </c>
      <c r="AL17" s="88">
        <f t="shared" si="13"/>
        <v>22.532926758812565</v>
      </c>
      <c r="AM17" s="88">
        <f t="shared" si="9"/>
        <v>22.812849625287093</v>
      </c>
      <c r="AN17" s="88">
        <f t="shared" si="10"/>
        <v>23.096249927782871</v>
      </c>
      <c r="AO17" s="88">
        <f t="shared" si="11"/>
        <v>23.383170865919261</v>
      </c>
      <c r="AP17" s="88">
        <f t="shared" si="12"/>
        <v>23.673656175977435</v>
      </c>
    </row>
    <row r="18" spans="3:42" x14ac:dyDescent="0.25">
      <c r="C18" t="s">
        <v>281</v>
      </c>
      <c r="D18" t="s">
        <v>32</v>
      </c>
      <c r="E18" s="58"/>
      <c r="F18" s="58"/>
      <c r="G18" s="58"/>
      <c r="H18" s="58"/>
      <c r="I18" s="58"/>
      <c r="J18" s="58"/>
      <c r="K18" s="58"/>
      <c r="L18" s="58"/>
      <c r="M18" s="58"/>
      <c r="N18" s="58"/>
      <c r="O18" s="58"/>
      <c r="P18" s="58"/>
      <c r="Q18" s="58"/>
      <c r="R18" s="58"/>
      <c r="S18" s="58"/>
      <c r="T18" s="58"/>
      <c r="U18" s="58"/>
      <c r="V18" s="58"/>
      <c r="W18" s="58"/>
      <c r="X18" s="58"/>
      <c r="Y18" s="86"/>
      <c r="Z18" s="86"/>
      <c r="AA18" s="88">
        <v>3.4139683055249201</v>
      </c>
      <c r="AB18" s="88">
        <f t="shared" ref="AB18:AL18" si="14">AA18*(1+AB$45)^(1/2)*AB$46/AA$46</f>
        <v>3.4613137002472838</v>
      </c>
      <c r="AC18" s="88">
        <f t="shared" si="14"/>
        <v>3.4957554808867761</v>
      </c>
      <c r="AD18" s="88">
        <f t="shared" si="14"/>
        <v>3.5198736903421022</v>
      </c>
      <c r="AE18" s="88">
        <f t="shared" si="14"/>
        <v>3.5636005059295841</v>
      </c>
      <c r="AF18" s="88">
        <f t="shared" si="14"/>
        <v>3.6078705326006535</v>
      </c>
      <c r="AG18" s="88">
        <f t="shared" si="14"/>
        <v>3.6526905185778227</v>
      </c>
      <c r="AH18" s="88">
        <f t="shared" si="14"/>
        <v>3.6980672959156689</v>
      </c>
      <c r="AI18" s="88">
        <f t="shared" si="14"/>
        <v>3.7440077815422672</v>
      </c>
      <c r="AJ18" s="88">
        <f t="shared" si="14"/>
        <v>3.7905189783135596</v>
      </c>
      <c r="AK18" s="88">
        <f t="shared" si="14"/>
        <v>3.8376079760808226</v>
      </c>
      <c r="AL18" s="88">
        <f t="shared" si="14"/>
        <v>3.8852819527713973</v>
      </c>
      <c r="AM18" s="88">
        <f t="shared" si="9"/>
        <v>3.9335481754828421</v>
      </c>
      <c r="AN18" s="88">
        <f t="shared" si="10"/>
        <v>3.9824140015906813</v>
      </c>
      <c r="AO18" s="88">
        <f t="shared" si="11"/>
        <v>4.0318868798699121</v>
      </c>
      <c r="AP18" s="88">
        <f t="shared" si="12"/>
        <v>4.0819743516304472</v>
      </c>
    </row>
    <row r="19" spans="3:42" x14ac:dyDescent="0.25">
      <c r="C19" t="s">
        <v>282</v>
      </c>
      <c r="D19" t="s">
        <v>32</v>
      </c>
      <c r="E19" s="58"/>
      <c r="F19" s="58"/>
      <c r="G19" s="58"/>
      <c r="H19" s="58"/>
      <c r="I19" s="58"/>
      <c r="J19" s="58"/>
      <c r="K19" s="58"/>
      <c r="L19" s="58"/>
      <c r="M19" s="58"/>
      <c r="N19" s="58"/>
      <c r="O19" s="58"/>
      <c r="P19" s="58"/>
      <c r="Q19" s="58"/>
      <c r="R19" s="58"/>
      <c r="S19" s="58"/>
      <c r="T19" s="58"/>
      <c r="U19" s="58"/>
      <c r="V19" s="58"/>
      <c r="W19" s="58"/>
      <c r="X19" s="58"/>
      <c r="Y19" s="86"/>
      <c r="Z19" s="86"/>
      <c r="AA19" s="88">
        <v>21.414619133688419</v>
      </c>
      <c r="AB19" s="88">
        <f t="shared" ref="AB19:AL19" si="15">AA19*(1+AB$45)^(1/2)*AB$46/AA$46</f>
        <v>21.711600096889736</v>
      </c>
      <c r="AC19" s="88">
        <f t="shared" si="15"/>
        <v>21.927641239828045</v>
      </c>
      <c r="AD19" s="88">
        <f t="shared" si="15"/>
        <v>22.078926261670951</v>
      </c>
      <c r="AE19" s="88">
        <f t="shared" si="15"/>
        <v>22.353209154168685</v>
      </c>
      <c r="AF19" s="88">
        <f t="shared" si="15"/>
        <v>22.630899418212721</v>
      </c>
      <c r="AG19" s="88">
        <f t="shared" si="15"/>
        <v>22.912039383022897</v>
      </c>
      <c r="AH19" s="88">
        <f t="shared" si="15"/>
        <v>23.196671903668033</v>
      </c>
      <c r="AI19" s="88">
        <f t="shared" si="15"/>
        <v>23.484840367598462</v>
      </c>
      <c r="AJ19" s="88">
        <f t="shared" si="15"/>
        <v>23.776588701259726</v>
      </c>
      <c r="AK19" s="88">
        <f t="shared" si="15"/>
        <v>24.071961376788416</v>
      </c>
      <c r="AL19" s="88">
        <f t="shared" si="15"/>
        <v>24.371003418791211</v>
      </c>
      <c r="AM19" s="88">
        <f t="shared" si="9"/>
        <v>24.673760411208118</v>
      </c>
      <c r="AN19" s="88">
        <f t="shared" si="10"/>
        <v>24.980278504260983</v>
      </c>
      <c r="AO19" s="88">
        <f t="shared" si="11"/>
        <v>25.290604421488315</v>
      </c>
      <c r="AP19" s="88">
        <f t="shared" si="12"/>
        <v>25.604785466867501</v>
      </c>
    </row>
    <row r="20" spans="3:42" x14ac:dyDescent="0.25">
      <c r="C20" t="s">
        <v>283</v>
      </c>
      <c r="D20" t="s">
        <v>32</v>
      </c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58"/>
      <c r="P20" s="58"/>
      <c r="Q20" s="58"/>
      <c r="R20" s="58"/>
      <c r="S20" s="58"/>
      <c r="T20" s="58"/>
      <c r="U20" s="58"/>
      <c r="V20" s="58"/>
      <c r="W20" s="58"/>
      <c r="X20" s="58"/>
      <c r="Y20" s="86"/>
      <c r="Z20" s="86"/>
      <c r="AA20" s="88">
        <v>1.0656265185846914</v>
      </c>
      <c r="AB20" s="88">
        <f t="shared" ref="AB20:AL20" si="16">AA20*(1+AB$45)^(1/2)*AB$46/AA$46</f>
        <v>1.080404777676131</v>
      </c>
      <c r="AC20" s="88">
        <f t="shared" si="16"/>
        <v>1.0911553387570068</v>
      </c>
      <c r="AD20" s="88">
        <f t="shared" si="16"/>
        <v>1.0986835292017694</v>
      </c>
      <c r="AE20" s="88">
        <f t="shared" si="16"/>
        <v>1.1123322951226113</v>
      </c>
      <c r="AF20" s="88">
        <f t="shared" si="16"/>
        <v>1.1261506174318132</v>
      </c>
      <c r="AG20" s="88">
        <f t="shared" si="16"/>
        <v>1.1401406025006764</v>
      </c>
      <c r="AH20" s="88">
        <f t="shared" si="16"/>
        <v>1.1543043828676083</v>
      </c>
      <c r="AI20" s="88">
        <f t="shared" si="16"/>
        <v>1.168644117563193</v>
      </c>
      <c r="AJ20" s="88">
        <f t="shared" si="16"/>
        <v>1.1831619924392982</v>
      </c>
      <c r="AK20" s="88">
        <f t="shared" si="16"/>
        <v>1.1978602205022724</v>
      </c>
      <c r="AL20" s="88">
        <f t="shared" si="16"/>
        <v>1.2127410422502802</v>
      </c>
      <c r="AM20" s="88">
        <f t="shared" si="9"/>
        <v>1.2278067260148289</v>
      </c>
      <c r="AN20" s="88">
        <f t="shared" si="10"/>
        <v>1.2430595683065369</v>
      </c>
      <c r="AO20" s="88">
        <f t="shared" si="11"/>
        <v>1.2585018941651991</v>
      </c>
      <c r="AP20" s="88">
        <f t="shared" si="12"/>
        <v>1.2741360575141998</v>
      </c>
    </row>
    <row r="21" spans="3:42" x14ac:dyDescent="0.25">
      <c r="C21" t="s">
        <v>284</v>
      </c>
      <c r="D21" t="s">
        <v>32</v>
      </c>
      <c r="E21" s="58"/>
      <c r="F21" s="58"/>
      <c r="G21" s="58"/>
      <c r="H21" s="58"/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58"/>
      <c r="T21" s="58"/>
      <c r="U21" s="58"/>
      <c r="V21" s="58"/>
      <c r="W21" s="58"/>
      <c r="X21" s="58"/>
      <c r="Y21" s="86"/>
      <c r="Z21" s="86"/>
      <c r="AA21" s="88">
        <v>2.7071537592447386</v>
      </c>
      <c r="AB21" s="88">
        <f t="shared" ref="AB21:AL21" si="17">AA21*(1+AB$45)^(1/2)*AB$46/AA$46</f>
        <v>2.7446969499938003</v>
      </c>
      <c r="AC21" s="88">
        <f t="shared" si="17"/>
        <v>2.772008040076972</v>
      </c>
      <c r="AD21" s="88">
        <f t="shared" si="17"/>
        <v>2.7911329104770788</v>
      </c>
      <c r="AE21" s="88">
        <f t="shared" si="17"/>
        <v>2.8258066984574426</v>
      </c>
      <c r="AF21" s="88">
        <f t="shared" si="17"/>
        <v>2.8609112332390048</v>
      </c>
      <c r="AG21" s="88">
        <f t="shared" si="17"/>
        <v>2.8964518659188778</v>
      </c>
      <c r="AH21" s="88">
        <f t="shared" si="17"/>
        <v>2.9324340140699792</v>
      </c>
      <c r="AI21" s="88">
        <f t="shared" si="17"/>
        <v>2.9688631625668491</v>
      </c>
      <c r="AJ21" s="88">
        <f t="shared" si="17"/>
        <v>3.0057448644217279</v>
      </c>
      <c r="AK21" s="88">
        <f t="shared" si="17"/>
        <v>3.0430847416310196</v>
      </c>
      <c r="AL21" s="88">
        <f t="shared" si="17"/>
        <v>3.0808884860322703</v>
      </c>
      <c r="AM21" s="88">
        <f t="shared" si="9"/>
        <v>3.1191618601717943</v>
      </c>
      <c r="AN21" s="88">
        <f t="shared" si="10"/>
        <v>3.1579106981830765</v>
      </c>
      <c r="AO21" s="88">
        <f t="shared" si="11"/>
        <v>3.1971409066760885</v>
      </c>
      <c r="AP21" s="88">
        <f t="shared" si="12"/>
        <v>3.2368584656376527</v>
      </c>
    </row>
    <row r="22" spans="3:42" x14ac:dyDescent="0.25">
      <c r="C22" t="s">
        <v>285</v>
      </c>
      <c r="D22" t="s">
        <v>32</v>
      </c>
      <c r="E22" s="58"/>
      <c r="F22" s="58"/>
      <c r="G22" s="58"/>
      <c r="H22" s="58"/>
      <c r="I22" s="58"/>
      <c r="J22" s="58"/>
      <c r="K22" s="58"/>
      <c r="L22" s="58"/>
      <c r="M22" s="58"/>
      <c r="N22" s="58"/>
      <c r="O22" s="58"/>
      <c r="P22" s="58"/>
      <c r="Q22" s="58"/>
      <c r="R22" s="58"/>
      <c r="S22" s="58"/>
      <c r="T22" s="58"/>
      <c r="U22" s="58"/>
      <c r="V22" s="58"/>
      <c r="W22" s="58"/>
      <c r="X22" s="58"/>
      <c r="Y22" s="86"/>
      <c r="Z22" s="86"/>
      <c r="AA22" s="88">
        <v>7.5095292278960635</v>
      </c>
      <c r="AB22" s="88">
        <f t="shared" ref="AB22:AL22" si="18">AA22*(1+AB$45)^(1/2)*AB$46/AA$46</f>
        <v>7.613672440033822</v>
      </c>
      <c r="AC22" s="88">
        <f t="shared" si="18"/>
        <v>7.6894322407192837</v>
      </c>
      <c r="AD22" s="88">
        <f t="shared" si="18"/>
        <v>7.7424838166627934</v>
      </c>
      <c r="AE22" s="88">
        <f t="shared" si="18"/>
        <v>7.8386674277307726</v>
      </c>
      <c r="AF22" s="88">
        <f t="shared" si="18"/>
        <v>7.9360459120793605</v>
      </c>
      <c r="AG22" s="88">
        <f t="shared" si="18"/>
        <v>8.0346341134240387</v>
      </c>
      <c r="AH22" s="88">
        <f t="shared" si="18"/>
        <v>8.1344470598813423</v>
      </c>
      <c r="AI22" s="88">
        <f t="shared" si="18"/>
        <v>8.2354999662596384</v>
      </c>
      <c r="AJ22" s="88">
        <f t="shared" si="18"/>
        <v>8.3378082363783736</v>
      </c>
      <c r="AK22" s="88">
        <f t="shared" si="18"/>
        <v>8.4413874654161276</v>
      </c>
      <c r="AL22" s="88">
        <f t="shared" si="18"/>
        <v>8.5462534422878313</v>
      </c>
      <c r="AM22" s="88">
        <f t="shared" si="9"/>
        <v>8.6524221520515283</v>
      </c>
      <c r="AN22" s="88">
        <f t="shared" si="10"/>
        <v>8.7599097783450244</v>
      </c>
      <c r="AO22" s="88">
        <f t="shared" si="11"/>
        <v>8.868732705852814</v>
      </c>
      <c r="AP22" s="88">
        <f t="shared" si="12"/>
        <v>8.978907522803647</v>
      </c>
    </row>
    <row r="23" spans="3:42" x14ac:dyDescent="0.25">
      <c r="C23" t="s">
        <v>286</v>
      </c>
      <c r="D23" t="s">
        <v>32</v>
      </c>
      <c r="E23" s="58"/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8"/>
      <c r="R23" s="58"/>
      <c r="S23" s="58"/>
      <c r="T23" s="58"/>
      <c r="U23" s="58"/>
      <c r="V23" s="58"/>
      <c r="W23" s="58"/>
      <c r="X23" s="58"/>
      <c r="Y23" s="86"/>
      <c r="Z23" s="86"/>
      <c r="AA23" s="88">
        <v>4.8209916546621034</v>
      </c>
      <c r="AB23" s="88">
        <f t="shared" ref="AB23:AB29" si="19">AA23*(1+AB$45)^(1/2)*AB$46/AA$46</f>
        <v>4.8878498479481429</v>
      </c>
      <c r="AC23" s="98"/>
      <c r="AD23" s="98"/>
      <c r="AE23" s="98"/>
      <c r="AF23" s="98"/>
      <c r="AG23" s="98"/>
      <c r="AH23" s="98"/>
      <c r="AI23" s="98"/>
      <c r="AJ23" s="98"/>
      <c r="AK23" s="98"/>
      <c r="AL23" s="98"/>
      <c r="AM23" s="98"/>
      <c r="AN23" s="98"/>
      <c r="AO23" s="98"/>
      <c r="AP23" s="98"/>
    </row>
    <row r="24" spans="3:42" x14ac:dyDescent="0.25">
      <c r="C24" t="s">
        <v>287</v>
      </c>
      <c r="D24" t="s">
        <v>32</v>
      </c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58"/>
      <c r="S24" s="58"/>
      <c r="T24" s="58"/>
      <c r="U24" s="58"/>
      <c r="V24" s="58"/>
      <c r="W24" s="58"/>
      <c r="X24" s="58"/>
      <c r="Y24" s="86"/>
      <c r="Z24" s="86"/>
      <c r="AA24" s="88">
        <v>6.3422943650202885</v>
      </c>
      <c r="AB24" s="88">
        <f t="shared" si="19"/>
        <v>6.430250199194659</v>
      </c>
      <c r="AC24" s="88">
        <f t="shared" ref="AC24:AL24" si="20">AB24*(1+AC$45)^(1/2)*AC$46/AB$46</f>
        <v>6.4942343641670197</v>
      </c>
      <c r="AD24" s="88">
        <f t="shared" si="20"/>
        <v>6.5390399306613967</v>
      </c>
      <c r="AE24" s="88">
        <f t="shared" si="20"/>
        <v>6.6202733550174342</v>
      </c>
      <c r="AF24" s="88">
        <f t="shared" si="20"/>
        <v>6.7025159289279292</v>
      </c>
      <c r="AG24" s="88">
        <f t="shared" si="20"/>
        <v>6.7857801888928675</v>
      </c>
      <c r="AH24" s="88">
        <f t="shared" si="20"/>
        <v>6.8700788271511248</v>
      </c>
      <c r="AI24" s="88">
        <f t="shared" si="20"/>
        <v>6.9554246936151864</v>
      </c>
      <c r="AJ24" s="88">
        <f t="shared" si="20"/>
        <v>7.0418307978299008</v>
      </c>
      <c r="AK24" s="88">
        <f t="shared" si="20"/>
        <v>7.1293103109555647</v>
      </c>
      <c r="AL24" s="88">
        <f t="shared" si="20"/>
        <v>7.2178765677756465</v>
      </c>
      <c r="AM24" s="88">
        <f t="shared" ref="AM24:AP25" si="21">AL24*(1+AM$45)^(1/2)*AM$46/AL$46</f>
        <v>7.3075430687294514</v>
      </c>
      <c r="AN24" s="88">
        <f t="shared" si="21"/>
        <v>7.398323481970035</v>
      </c>
      <c r="AO24" s="88">
        <f t="shared" si="21"/>
        <v>7.4902316454476852</v>
      </c>
      <c r="AP24" s="88">
        <f t="shared" si="21"/>
        <v>7.5832815690192836</v>
      </c>
    </row>
    <row r="25" spans="3:42" x14ac:dyDescent="0.25">
      <c r="C25" t="s">
        <v>288</v>
      </c>
      <c r="D25" t="s">
        <v>32</v>
      </c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8"/>
      <c r="W25" s="58"/>
      <c r="X25" s="58"/>
      <c r="Y25" s="86"/>
      <c r="Z25" s="86"/>
      <c r="AA25" s="88">
        <v>13.035365716253985</v>
      </c>
      <c r="AB25" s="88">
        <f t="shared" si="19"/>
        <v>13.216142009398721</v>
      </c>
      <c r="AC25" s="88">
        <f t="shared" ref="AC25:AL25" si="22">AB25*(1+AC$45)^(1/2)*AC$46/AB$46</f>
        <v>13.347649149001692</v>
      </c>
      <c r="AD25" s="88">
        <f t="shared" si="22"/>
        <v>13.439738369678579</v>
      </c>
      <c r="AE25" s="88">
        <f t="shared" si="22"/>
        <v>13.606698042932601</v>
      </c>
      <c r="AF25" s="88">
        <f t="shared" si="22"/>
        <v>13.775731828920541</v>
      </c>
      <c r="AG25" s="88">
        <f t="shared" si="22"/>
        <v>13.946865494005912</v>
      </c>
      <c r="AH25" s="88">
        <f t="shared" si="22"/>
        <v>14.12012512464355</v>
      </c>
      <c r="AI25" s="88">
        <f t="shared" si="22"/>
        <v>14.295537131356056</v>
      </c>
      <c r="AJ25" s="88">
        <f t="shared" si="22"/>
        <v>14.473128252759635</v>
      </c>
      <c r="AK25" s="88">
        <f t="shared" si="22"/>
        <v>14.652925559639952</v>
      </c>
      <c r="AL25" s="88">
        <f t="shared" si="22"/>
        <v>14.83495645907862</v>
      </c>
      <c r="AM25" s="88">
        <f t="shared" si="21"/>
        <v>15.019248698630946</v>
      </c>
      <c r="AN25" s="88">
        <f t="shared" si="21"/>
        <v>15.205830370555582</v>
      </c>
      <c r="AO25" s="88">
        <f t="shared" si="21"/>
        <v>15.394729916096717</v>
      </c>
      <c r="AP25" s="88">
        <f t="shared" si="21"/>
        <v>15.585976129819468</v>
      </c>
    </row>
    <row r="26" spans="3:42" x14ac:dyDescent="0.25">
      <c r="C26" t="s">
        <v>289</v>
      </c>
      <c r="D26" t="s">
        <v>32</v>
      </c>
      <c r="E26" s="58"/>
      <c r="F26" s="58"/>
      <c r="G26" s="58"/>
      <c r="H26" s="58"/>
      <c r="I26" s="58"/>
      <c r="J26" s="58"/>
      <c r="K26" s="58"/>
      <c r="L26" s="58"/>
      <c r="M26" s="58"/>
      <c r="N26" s="58"/>
      <c r="O26" s="58"/>
      <c r="P26" s="58"/>
      <c r="Q26" s="58"/>
      <c r="R26" s="58"/>
      <c r="S26" s="58"/>
      <c r="T26" s="58"/>
      <c r="U26" s="58"/>
      <c r="V26" s="58"/>
      <c r="W26" s="58"/>
      <c r="X26" s="58"/>
      <c r="Y26" s="86"/>
      <c r="Z26" s="86"/>
      <c r="AA26" s="88">
        <v>5.03237544420384</v>
      </c>
      <c r="AB26" s="88">
        <f t="shared" si="19"/>
        <v>5.1021651377435777</v>
      </c>
      <c r="AC26" s="88">
        <f>AB26*(1+AC$45)^(1/2)*AC$46/AB$46</f>
        <v>5.1529342004980094</v>
      </c>
      <c r="AD26" s="98"/>
      <c r="AE26" s="98"/>
      <c r="AF26" s="98"/>
      <c r="AG26" s="98"/>
      <c r="AH26" s="98"/>
      <c r="AI26" s="98"/>
      <c r="AJ26" s="98"/>
      <c r="AK26" s="98"/>
      <c r="AL26" s="98"/>
      <c r="AM26" s="98"/>
      <c r="AN26" s="98"/>
      <c r="AO26" s="98"/>
      <c r="AP26" s="98"/>
    </row>
    <row r="27" spans="3:42" x14ac:dyDescent="0.25">
      <c r="C27" t="s">
        <v>290</v>
      </c>
      <c r="D27" t="s">
        <v>32</v>
      </c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58"/>
      <c r="P27" s="58"/>
      <c r="Q27" s="58"/>
      <c r="R27" s="58"/>
      <c r="S27" s="58"/>
      <c r="T27" s="58"/>
      <c r="U27" s="58"/>
      <c r="V27" s="58"/>
      <c r="W27" s="58"/>
      <c r="X27" s="58"/>
      <c r="Y27" s="86"/>
      <c r="Z27" s="86"/>
      <c r="AA27" s="88">
        <v>7.8728451161709234</v>
      </c>
      <c r="AB27" s="88">
        <f t="shared" si="19"/>
        <v>7.9820268443697246</v>
      </c>
      <c r="AC27" s="88">
        <f t="shared" ref="AC27:AL27" si="23">AB27*(1+AC$45)^(1/2)*AC$46/AB$46</f>
        <v>8.0614519532850704</v>
      </c>
      <c r="AD27" s="88">
        <f t="shared" si="23"/>
        <v>8.1170701988364016</v>
      </c>
      <c r="AE27" s="88">
        <f t="shared" si="23"/>
        <v>8.2179072353099087</v>
      </c>
      <c r="AF27" s="88">
        <f t="shared" si="23"/>
        <v>8.3199969538073084</v>
      </c>
      <c r="AG27" s="88">
        <f t="shared" si="23"/>
        <v>8.423354916192654</v>
      </c>
      <c r="AH27" s="88">
        <f t="shared" si="23"/>
        <v>8.5279968776524893</v>
      </c>
      <c r="AI27" s="88">
        <f t="shared" si="23"/>
        <v>8.6339387890974688</v>
      </c>
      <c r="AJ27" s="88">
        <f t="shared" si="23"/>
        <v>8.7411967995937996</v>
      </c>
      <c r="AK27" s="88">
        <f t="shared" si="23"/>
        <v>8.849787258824902</v>
      </c>
      <c r="AL27" s="88">
        <f t="shared" si="23"/>
        <v>8.9597267195836423</v>
      </c>
      <c r="AM27" s="88">
        <f t="shared" ref="AM27:AN29" si="24">AL27*(1+AM$45)^(1/2)*AM$46/AL$46</f>
        <v>9.0710319402955228</v>
      </c>
      <c r="AN27" s="88">
        <f t="shared" si="24"/>
        <v>9.1837198875732309</v>
      </c>
      <c r="AO27" s="88">
        <f t="shared" ref="AO27:AO29" si="25">AN27*(1+AO$45)^(1/2)*AO$46/AN$46</f>
        <v>9.2978077388029092</v>
      </c>
      <c r="AP27" s="88">
        <f t="shared" ref="AP27:AP29" si="26">AO27*(1+AP$45)^(1/2)*AP$46/AO$46</f>
        <v>9.4133128847625596</v>
      </c>
    </row>
    <row r="28" spans="3:42" x14ac:dyDescent="0.25">
      <c r="C28" t="s">
        <v>291</v>
      </c>
      <c r="D28" t="s">
        <v>32</v>
      </c>
      <c r="E28" s="58"/>
      <c r="F28" s="58"/>
      <c r="G28" s="58"/>
      <c r="H28" s="58"/>
      <c r="I28" s="58"/>
      <c r="J28" s="58"/>
      <c r="K28" s="58"/>
      <c r="L28" s="58"/>
      <c r="M28" s="58"/>
      <c r="N28" s="58"/>
      <c r="O28" s="58"/>
      <c r="P28" s="58"/>
      <c r="Q28" s="58"/>
      <c r="R28" s="58"/>
      <c r="S28" s="58"/>
      <c r="T28" s="58"/>
      <c r="U28" s="58"/>
      <c r="V28" s="58"/>
      <c r="W28" s="58"/>
      <c r="X28" s="58"/>
      <c r="Y28" s="86"/>
      <c r="Z28" s="86"/>
      <c r="AA28" s="88">
        <v>6.000116855699603</v>
      </c>
      <c r="AB28" s="88">
        <f t="shared" si="19"/>
        <v>6.0833273238382999</v>
      </c>
      <c r="AC28" s="88">
        <f t="shared" ref="AC28:AL28" si="27">AB28*(1+AC$45)^(1/2)*AC$46/AB$46</f>
        <v>6.143859434877788</v>
      </c>
      <c r="AD28" s="88">
        <f t="shared" si="27"/>
        <v>6.1862476652687981</v>
      </c>
      <c r="AE28" s="88">
        <f t="shared" si="27"/>
        <v>6.2630984089701753</v>
      </c>
      <c r="AF28" s="88">
        <f t="shared" si="27"/>
        <v>6.3409038569005167</v>
      </c>
      <c r="AG28" s="88">
        <f t="shared" si="27"/>
        <v>6.4196758691944282</v>
      </c>
      <c r="AH28" s="88">
        <f t="shared" si="27"/>
        <v>6.4994264533230286</v>
      </c>
      <c r="AI28" s="88">
        <f t="shared" si="27"/>
        <v>6.5801677659242879</v>
      </c>
      <c r="AJ28" s="88">
        <f t="shared" si="27"/>
        <v>6.6619121146561024</v>
      </c>
      <c r="AK28" s="88">
        <f t="shared" si="27"/>
        <v>6.7446719600723926</v>
      </c>
      <c r="AL28" s="88">
        <f t="shared" si="27"/>
        <v>6.8284599175225029</v>
      </c>
      <c r="AM28" s="88">
        <f t="shared" si="24"/>
        <v>6.9132887590742005</v>
      </c>
      <c r="AN28" s="88">
        <f t="shared" si="24"/>
        <v>6.9991714154605633</v>
      </c>
      <c r="AO28" s="88">
        <f t="shared" si="25"/>
        <v>7.0861209780510537</v>
      </c>
      <c r="AP28" s="88">
        <f t="shared" si="26"/>
        <v>7.1741507008470755</v>
      </c>
    </row>
    <row r="29" spans="3:42" x14ac:dyDescent="0.25">
      <c r="C29" t="s">
        <v>292</v>
      </c>
      <c r="D29" t="s">
        <v>32</v>
      </c>
      <c r="E29" s="58"/>
      <c r="F29" s="58"/>
      <c r="G29" s="58"/>
      <c r="H29" s="58"/>
      <c r="I29" s="58"/>
      <c r="J29" s="58"/>
      <c r="K29" s="58"/>
      <c r="L29" s="58"/>
      <c r="M29" s="58"/>
      <c r="N29" s="58"/>
      <c r="O29" s="58"/>
      <c r="P29" s="58"/>
      <c r="Q29" s="58"/>
      <c r="R29" s="58"/>
      <c r="S29" s="58"/>
      <c r="T29" s="58"/>
      <c r="U29" s="58"/>
      <c r="V29" s="58"/>
      <c r="W29" s="58"/>
      <c r="X29" s="58"/>
      <c r="Y29" s="86"/>
      <c r="Z29" s="86"/>
      <c r="AA29" s="88">
        <v>6.6231375466567552</v>
      </c>
      <c r="AB29" s="88">
        <f t="shared" si="19"/>
        <v>6.7149881537463125</v>
      </c>
      <c r="AC29" s="88">
        <f t="shared" ref="AC29:AL29" si="28">AB29*(1+AC$45)^(1/2)*AC$46/AB$46</f>
        <v>6.7818056019803734</v>
      </c>
      <c r="AD29" s="88">
        <f t="shared" si="28"/>
        <v>6.8285952040815978</v>
      </c>
      <c r="AE29" s="88">
        <f t="shared" si="28"/>
        <v>6.9134257262761087</v>
      </c>
      <c r="AF29" s="88">
        <f t="shared" si="28"/>
        <v>6.9993100841836355</v>
      </c>
      <c r="AG29" s="88">
        <f t="shared" si="28"/>
        <v>7.086261369433009</v>
      </c>
      <c r="AH29" s="88">
        <f t="shared" si="28"/>
        <v>7.1742928362882248</v>
      </c>
      <c r="AI29" s="88">
        <f t="shared" si="28"/>
        <v>7.2634179036688327</v>
      </c>
      <c r="AJ29" s="88">
        <f t="shared" si="28"/>
        <v>7.3536501571954282</v>
      </c>
      <c r="AK29" s="88">
        <f t="shared" si="28"/>
        <v>7.4450033512605511</v>
      </c>
      <c r="AL29" s="88">
        <f t="shared" si="28"/>
        <v>7.5374914111253117</v>
      </c>
      <c r="AM29" s="88">
        <f t="shared" si="24"/>
        <v>7.6311284350420632</v>
      </c>
      <c r="AN29" s="88">
        <f t="shared" si="24"/>
        <v>7.725928696403443</v>
      </c>
      <c r="AO29" s="88">
        <f t="shared" si="25"/>
        <v>7.821906645918113</v>
      </c>
      <c r="AP29" s="88">
        <f t="shared" si="26"/>
        <v>7.9190769138135266</v>
      </c>
    </row>
    <row r="30" spans="3:42" x14ac:dyDescent="0.25">
      <c r="C30" t="s">
        <v>293</v>
      </c>
      <c r="D30" t="s">
        <v>32</v>
      </c>
      <c r="E30" s="58"/>
      <c r="F30" s="58"/>
      <c r="G30" s="58"/>
      <c r="H30" s="58"/>
      <c r="I30" s="58"/>
      <c r="J30" s="58"/>
      <c r="K30" s="58"/>
      <c r="L30" s="58"/>
      <c r="M30" s="58"/>
      <c r="N30" s="58"/>
      <c r="O30" s="58"/>
      <c r="P30" s="58"/>
      <c r="Q30" s="58"/>
      <c r="R30" s="58"/>
      <c r="S30" s="58"/>
      <c r="T30" s="58"/>
      <c r="U30" s="58"/>
      <c r="V30" s="58"/>
      <c r="W30" s="58"/>
      <c r="X30" s="58"/>
      <c r="Y30" s="86"/>
      <c r="Z30" s="86"/>
      <c r="AA30" s="88">
        <v>0.85874664501330444</v>
      </c>
      <c r="AB30" s="98"/>
      <c r="AC30" s="98"/>
      <c r="AD30" s="98"/>
      <c r="AE30" s="98"/>
      <c r="AF30" s="98"/>
      <c r="AG30" s="98"/>
      <c r="AH30" s="98"/>
      <c r="AI30" s="98"/>
      <c r="AJ30" s="98"/>
      <c r="AK30" s="98"/>
      <c r="AL30" s="98"/>
      <c r="AM30" s="98"/>
      <c r="AN30" s="98"/>
      <c r="AO30" s="98"/>
      <c r="AP30" s="98"/>
    </row>
    <row r="31" spans="3:42" x14ac:dyDescent="0.25">
      <c r="C31" t="s">
        <v>294</v>
      </c>
      <c r="D31" t="s">
        <v>32</v>
      </c>
      <c r="E31" s="58"/>
      <c r="F31" s="58"/>
      <c r="G31" s="58"/>
      <c r="H31" s="58"/>
      <c r="I31" s="58"/>
      <c r="J31" s="58"/>
      <c r="K31" s="58"/>
      <c r="L31" s="58"/>
      <c r="M31" s="58"/>
      <c r="N31" s="58"/>
      <c r="O31" s="58"/>
      <c r="P31" s="58"/>
      <c r="Q31" s="58"/>
      <c r="R31" s="58"/>
      <c r="S31" s="58"/>
      <c r="T31" s="58"/>
      <c r="U31" s="58"/>
      <c r="V31" s="58"/>
      <c r="W31" s="58"/>
      <c r="X31" s="58"/>
      <c r="Y31" s="86"/>
      <c r="Z31" s="86"/>
      <c r="AA31" s="88">
        <v>2.2061081205965918</v>
      </c>
      <c r="AB31" s="88">
        <f t="shared" ref="AB31:AL31" si="29">AA31*(1+AB$45)^(1/2)*AB$46/AA$46</f>
        <v>2.2367027396505605</v>
      </c>
      <c r="AC31" s="88">
        <f t="shared" si="29"/>
        <v>2.2589590364748826</v>
      </c>
      <c r="AD31" s="88">
        <f t="shared" si="29"/>
        <v>2.2745442361522019</v>
      </c>
      <c r="AE31" s="88">
        <f t="shared" si="29"/>
        <v>2.3028005274596697</v>
      </c>
      <c r="AF31" s="88">
        <f t="shared" si="29"/>
        <v>2.3314078420560063</v>
      </c>
      <c r="AG31" s="88">
        <f t="shared" si="29"/>
        <v>2.3603705406461608</v>
      </c>
      <c r="AH31" s="88">
        <f t="shared" si="29"/>
        <v>2.389693038107406</v>
      </c>
      <c r="AI31" s="88">
        <f t="shared" si="29"/>
        <v>2.4193798041623142</v>
      </c>
      <c r="AJ31" s="88">
        <f t="shared" si="29"/>
        <v>2.4494353640600908</v>
      </c>
      <c r="AK31" s="88">
        <f t="shared" si="29"/>
        <v>2.4798642992663718</v>
      </c>
      <c r="AL31" s="88">
        <f t="shared" si="29"/>
        <v>2.5106712481615925</v>
      </c>
      <c r="AM31" s="88">
        <f>AL31*(1+AM$45)^(1/2)*AM$46/AL$46</f>
        <v>2.5418609067480302</v>
      </c>
      <c r="AN31" s="88">
        <f>AM31*(1+AN$45)^(1/2)*AN$46/AM$46</f>
        <v>2.5734380293656316</v>
      </c>
      <c r="AO31" s="88">
        <f>AN31*(1+AO$45)^(1/2)*AO$46/AN$46</f>
        <v>2.6054074294167306</v>
      </c>
      <c r="AP31" s="88">
        <f>AO31*(1+AP$45)^(1/2)*AP$46/AO$46</f>
        <v>2.6377739800997717</v>
      </c>
    </row>
    <row r="32" spans="3:42" x14ac:dyDescent="0.25">
      <c r="C32" t="s">
        <v>295</v>
      </c>
      <c r="D32" t="s">
        <v>32</v>
      </c>
      <c r="E32" s="58"/>
      <c r="F32" s="58"/>
      <c r="G32" s="58"/>
      <c r="H32" s="58"/>
      <c r="I32" s="58"/>
      <c r="J32" s="58"/>
      <c r="K32" s="58"/>
      <c r="L32" s="58"/>
      <c r="M32" s="58"/>
      <c r="N32" s="58"/>
      <c r="O32" s="58"/>
      <c r="P32" s="58"/>
      <c r="Q32" s="58"/>
      <c r="R32" s="58"/>
      <c r="S32" s="58"/>
      <c r="T32" s="58"/>
      <c r="U32" s="58"/>
      <c r="V32" s="58"/>
      <c r="W32" s="58"/>
      <c r="X32" s="58"/>
      <c r="Y32" s="86"/>
      <c r="Z32" s="86"/>
      <c r="AA32" s="88">
        <v>1.671703477661389</v>
      </c>
      <c r="AB32" s="88">
        <f>AA32*0.5</f>
        <v>0.83585173883069452</v>
      </c>
      <c r="AC32" s="98"/>
      <c r="AD32" s="98"/>
      <c r="AE32" s="98"/>
      <c r="AF32" s="98"/>
      <c r="AG32" s="98"/>
      <c r="AH32" s="98"/>
      <c r="AI32" s="98"/>
      <c r="AJ32" s="98"/>
      <c r="AK32" s="98"/>
      <c r="AL32" s="98"/>
      <c r="AM32" s="98"/>
      <c r="AN32" s="98"/>
      <c r="AO32" s="98"/>
      <c r="AP32" s="98"/>
    </row>
    <row r="33" spans="2:57" x14ac:dyDescent="0.25">
      <c r="E33" s="58"/>
      <c r="F33" s="58"/>
      <c r="G33" s="58"/>
      <c r="H33" s="58"/>
      <c r="I33" s="58"/>
      <c r="J33" s="58"/>
      <c r="K33" s="58"/>
      <c r="L33" s="58"/>
      <c r="M33" s="58"/>
      <c r="N33" s="58"/>
      <c r="O33" s="58"/>
      <c r="P33" s="58"/>
      <c r="Q33" s="58"/>
      <c r="R33" s="58"/>
      <c r="S33" s="58"/>
      <c r="T33" s="58"/>
      <c r="U33" s="58"/>
      <c r="V33" s="58"/>
      <c r="W33" s="58"/>
      <c r="X33" s="58"/>
      <c r="Y33" s="58"/>
      <c r="Z33" s="58"/>
      <c r="AA33" s="54"/>
      <c r="AB33" s="54"/>
      <c r="AC33" s="54"/>
      <c r="AD33" s="54"/>
      <c r="AE33" s="54"/>
      <c r="AF33" s="54"/>
      <c r="AG33" s="54"/>
      <c r="AH33" s="54"/>
      <c r="AI33" s="54"/>
      <c r="AJ33" s="54"/>
      <c r="AK33" s="54"/>
      <c r="AL33" s="54"/>
      <c r="AM33" s="54"/>
      <c r="AN33" s="54"/>
      <c r="AO33" s="54"/>
      <c r="AP33" s="54"/>
    </row>
    <row r="34" spans="2:57" x14ac:dyDescent="0.25">
      <c r="E34" s="58"/>
      <c r="F34" s="58"/>
      <c r="G34" s="58"/>
      <c r="H34" s="58"/>
      <c r="I34" s="58"/>
      <c r="J34" s="58"/>
      <c r="K34" s="58"/>
      <c r="L34" s="58"/>
      <c r="M34" s="58"/>
      <c r="N34" s="58"/>
      <c r="O34" s="58"/>
      <c r="P34" s="58"/>
      <c r="Q34" s="58"/>
      <c r="R34" s="58"/>
      <c r="S34" s="58"/>
      <c r="T34" s="58"/>
      <c r="U34" s="58"/>
      <c r="V34" s="58"/>
      <c r="W34" s="58"/>
      <c r="X34" s="58"/>
      <c r="Y34" s="58"/>
      <c r="Z34" s="58"/>
      <c r="AA34" s="54"/>
      <c r="AB34" s="54"/>
      <c r="AC34" s="54"/>
      <c r="AD34" s="54"/>
      <c r="AE34" s="54"/>
      <c r="AF34" s="54"/>
      <c r="AG34" s="54"/>
      <c r="AH34" s="54"/>
      <c r="AI34" s="54"/>
      <c r="AJ34" s="54"/>
      <c r="AK34" s="54"/>
      <c r="AL34" s="54"/>
      <c r="AM34" s="54"/>
      <c r="AN34" s="54"/>
      <c r="AO34" s="54"/>
      <c r="AP34" s="54"/>
    </row>
    <row r="35" spans="2:57" s="10" customFormat="1" x14ac:dyDescent="0.25">
      <c r="C35" s="51"/>
      <c r="E35" s="55"/>
      <c r="F35" s="55"/>
      <c r="G35" s="55"/>
      <c r="H35" s="55"/>
      <c r="I35" s="55"/>
      <c r="J35" s="55"/>
      <c r="K35" s="55"/>
      <c r="L35" s="55"/>
      <c r="M35" s="55"/>
      <c r="N35" s="55"/>
      <c r="O35" s="55"/>
      <c r="P35" s="55"/>
      <c r="Q35" s="55"/>
      <c r="R35" s="55"/>
      <c r="S35" s="55"/>
      <c r="T35" s="55"/>
      <c r="U35" s="55"/>
      <c r="V35" s="55"/>
      <c r="W35" s="55"/>
      <c r="X35" s="55"/>
      <c r="Y35" s="55"/>
      <c r="Z35" s="55"/>
      <c r="AA35" s="55"/>
      <c r="AB35" s="59"/>
      <c r="AC35" s="59"/>
      <c r="AD35" s="59"/>
      <c r="AE35" s="59"/>
      <c r="AF35" s="59"/>
      <c r="AG35" s="59"/>
      <c r="AH35" s="59"/>
      <c r="AI35" s="59"/>
      <c r="AJ35" s="59"/>
      <c r="AK35" s="59"/>
      <c r="AL35" s="59"/>
      <c r="AM35" s="59"/>
      <c r="AN35" s="59"/>
      <c r="AO35" s="59"/>
      <c r="AP35" s="59"/>
    </row>
    <row r="36" spans="2:57" x14ac:dyDescent="0.25">
      <c r="C36" t="s">
        <v>238</v>
      </c>
      <c r="D36" t="s">
        <v>32</v>
      </c>
      <c r="E36" s="58"/>
      <c r="F36" s="58"/>
      <c r="G36" s="58"/>
      <c r="H36" s="58"/>
      <c r="I36" s="58"/>
      <c r="J36" s="58"/>
      <c r="K36" s="58"/>
      <c r="L36" s="58"/>
      <c r="M36" s="58"/>
      <c r="N36" s="58"/>
      <c r="O36" s="58"/>
      <c r="P36" s="58"/>
      <c r="Q36" s="58"/>
      <c r="R36" s="58"/>
      <c r="S36" s="58"/>
      <c r="T36" s="58"/>
      <c r="U36" s="58"/>
      <c r="V36" s="58"/>
      <c r="W36" s="58"/>
      <c r="X36" s="58"/>
      <c r="Y36" s="86"/>
      <c r="Z36" s="86"/>
      <c r="AA36" s="88"/>
      <c r="AB36" s="88"/>
      <c r="AC36" s="88">
        <f>AC120</f>
        <v>0</v>
      </c>
      <c r="AD36" s="88">
        <f t="shared" ref="AD36:AL36" si="30">AD120</f>
        <v>0</v>
      </c>
      <c r="AE36" s="88">
        <f t="shared" si="30"/>
        <v>0</v>
      </c>
      <c r="AF36" s="88">
        <f t="shared" si="30"/>
        <v>0</v>
      </c>
      <c r="AG36" s="88">
        <f t="shared" si="30"/>
        <v>0</v>
      </c>
      <c r="AH36" s="88">
        <f t="shared" si="30"/>
        <v>0.95333333333333325</v>
      </c>
      <c r="AI36" s="88">
        <f t="shared" si="30"/>
        <v>2.8836862083855146</v>
      </c>
      <c r="AJ36" s="88">
        <f t="shared" si="30"/>
        <v>4.8380195417188485</v>
      </c>
      <c r="AK36" s="88">
        <f t="shared" si="30"/>
        <v>5.8632979053139991</v>
      </c>
      <c r="AL36" s="88">
        <f t="shared" si="30"/>
        <v>5.9361366969284832</v>
      </c>
      <c r="AM36" s="88">
        <f>AM120</f>
        <v>6.0098803529468476</v>
      </c>
      <c r="AN36" s="88">
        <f>AN120</f>
        <v>6.084540114351694</v>
      </c>
      <c r="AO36" s="88">
        <f>AO120</f>
        <v>6.1601273617705168</v>
      </c>
      <c r="AP36" s="88">
        <f>AP120</f>
        <v>6.2366536172104841</v>
      </c>
    </row>
    <row r="37" spans="2:57" x14ac:dyDescent="0.25">
      <c r="C37" t="s">
        <v>115</v>
      </c>
      <c r="D37" t="s">
        <v>32</v>
      </c>
      <c r="E37" s="58"/>
      <c r="F37" s="58"/>
      <c r="G37" s="58"/>
      <c r="H37" s="58"/>
      <c r="I37" s="58"/>
      <c r="J37" s="58"/>
      <c r="K37" s="58"/>
      <c r="L37" s="58"/>
      <c r="M37" s="58"/>
      <c r="N37" s="58"/>
      <c r="O37" s="58"/>
      <c r="P37" s="58"/>
      <c r="Q37" s="58"/>
      <c r="R37" s="58"/>
      <c r="S37" s="58"/>
      <c r="T37" s="58"/>
      <c r="U37" s="58"/>
      <c r="V37" s="58"/>
      <c r="W37" s="58"/>
      <c r="X37" s="58"/>
      <c r="Y37" s="58"/>
      <c r="Z37" s="58"/>
      <c r="AA37" s="54">
        <v>2</v>
      </c>
      <c r="AB37" s="54"/>
      <c r="AC37" s="54"/>
      <c r="AD37" s="54"/>
      <c r="AE37" s="54"/>
      <c r="AF37" s="54"/>
      <c r="AG37" s="54"/>
      <c r="AH37" s="54"/>
      <c r="AI37" s="54"/>
      <c r="AJ37" s="54"/>
      <c r="AK37" s="54"/>
      <c r="AL37" s="54"/>
      <c r="AM37" s="54"/>
      <c r="AN37" s="54"/>
      <c r="AO37" s="54"/>
      <c r="AP37" s="54"/>
    </row>
    <row r="38" spans="2:57" s="6" customFormat="1" x14ac:dyDescent="0.25">
      <c r="C38" s="6" t="s">
        <v>298</v>
      </c>
      <c r="D38" s="6" t="s">
        <v>32</v>
      </c>
      <c r="E38" s="46"/>
      <c r="F38" s="46"/>
      <c r="G38" s="46"/>
      <c r="H38" s="46"/>
      <c r="I38" s="46"/>
      <c r="J38" s="46"/>
      <c r="K38" s="46"/>
      <c r="L38" s="46"/>
      <c r="M38" s="46"/>
      <c r="N38" s="46"/>
      <c r="O38" s="46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  <c r="AA38" s="46">
        <f>SUM(AA10:AA37)</f>
        <v>184.99999999999997</v>
      </c>
      <c r="AB38" s="46">
        <f t="shared" ref="AB38:AL38" si="31">SUM(AB10:AB37)</f>
        <v>183.80817882720436</v>
      </c>
      <c r="AC38" s="46">
        <f t="shared" si="31"/>
        <v>179.8565057335307</v>
      </c>
      <c r="AD38" s="46">
        <f t="shared" si="31"/>
        <v>170.69202845141155</v>
      </c>
      <c r="AE38" s="46">
        <f t="shared" si="31"/>
        <v>156.22625908872976</v>
      </c>
      <c r="AF38" s="46">
        <f t="shared" si="31"/>
        <v>158.16703237267998</v>
      </c>
      <c r="AG38" s="46">
        <f t="shared" si="31"/>
        <v>160.13191556594802</v>
      </c>
      <c r="AH38" s="46">
        <f t="shared" si="31"/>
        <v>163.07454151533028</v>
      </c>
      <c r="AI38" s="46">
        <f t="shared" si="31"/>
        <v>167.01889966348216</v>
      </c>
      <c r="AJ38" s="46">
        <f t="shared" si="31"/>
        <v>171.01225792826565</v>
      </c>
      <c r="AK38" s="46">
        <f t="shared" si="31"/>
        <v>174.10189169678802</v>
      </c>
      <c r="AL38" s="46">
        <f t="shared" si="31"/>
        <v>176.26473104313891</v>
      </c>
      <c r="AM38" s="46">
        <f>SUM(AM10:AM37)</f>
        <v>178.45443898920766</v>
      </c>
      <c r="AN38" s="46">
        <f>SUM(AN10:AN37)</f>
        <v>180.67134931921728</v>
      </c>
      <c r="AO38" s="46">
        <f>SUM(AO10:AO37)</f>
        <v>182.91579996393779</v>
      </c>
      <c r="AP38" s="46">
        <f>SUM(AP10:AP37)</f>
        <v>185.18813305219771</v>
      </c>
    </row>
    <row r="39" spans="2:57" x14ac:dyDescent="0.25">
      <c r="C39" t="s">
        <v>115</v>
      </c>
      <c r="E39" s="59"/>
      <c r="F39" s="59"/>
      <c r="G39" s="59"/>
      <c r="H39" s="59"/>
      <c r="I39" s="59"/>
      <c r="J39" s="59"/>
      <c r="K39" s="59"/>
      <c r="L39" s="59"/>
      <c r="M39" s="59"/>
      <c r="N39" s="59"/>
      <c r="O39" s="59"/>
      <c r="P39" s="59"/>
      <c r="Q39" s="59"/>
      <c r="R39" s="59"/>
      <c r="S39" s="59"/>
      <c r="T39" s="59"/>
      <c r="U39" s="59"/>
      <c r="V39" s="59"/>
      <c r="W39" s="59"/>
      <c r="X39" s="59"/>
      <c r="Y39" s="59"/>
      <c r="Z39" s="59"/>
      <c r="AA39" s="59">
        <f t="shared" ref="AA39:AG39" si="32">AA40/AA38</f>
        <v>1.0000000000000002</v>
      </c>
      <c r="AB39" s="59">
        <f t="shared" si="32"/>
        <v>1.0554481374976075</v>
      </c>
      <c r="AC39" s="59">
        <f t="shared" si="32"/>
        <v>1.0397177418594625</v>
      </c>
      <c r="AD39" s="59">
        <f t="shared" si="32"/>
        <v>1.0076627570745682</v>
      </c>
      <c r="AE39" s="59">
        <f t="shared" si="32"/>
        <v>1.0113536669290841</v>
      </c>
      <c r="AF39" s="59">
        <f t="shared" si="32"/>
        <v>1.0179112396864403</v>
      </c>
      <c r="AG39" s="59">
        <f t="shared" si="32"/>
        <v>1.024155612080085</v>
      </c>
      <c r="AH39" s="59">
        <f t="shared" ref="AH39:AL39" si="33">AG39</f>
        <v>1.024155612080085</v>
      </c>
      <c r="AI39" s="59">
        <f t="shared" si="33"/>
        <v>1.024155612080085</v>
      </c>
      <c r="AJ39" s="59">
        <f t="shared" si="33"/>
        <v>1.024155612080085</v>
      </c>
      <c r="AK39" s="59">
        <f t="shared" si="33"/>
        <v>1.024155612080085</v>
      </c>
      <c r="AL39" s="59">
        <f t="shared" si="33"/>
        <v>1.024155612080085</v>
      </c>
      <c r="AM39" s="59">
        <f>AL39</f>
        <v>1.024155612080085</v>
      </c>
      <c r="AN39" s="59">
        <f>AM39</f>
        <v>1.024155612080085</v>
      </c>
      <c r="AO39" s="59">
        <f>AN39</f>
        <v>1.024155612080085</v>
      </c>
      <c r="AP39" s="59">
        <f>AO39</f>
        <v>1.024155612080085</v>
      </c>
    </row>
    <row r="40" spans="2:57" s="6" customFormat="1" x14ac:dyDescent="0.25">
      <c r="C40" s="6" t="s">
        <v>241</v>
      </c>
      <c r="D40" s="6" t="s">
        <v>32</v>
      </c>
      <c r="E40" s="33"/>
      <c r="F40" s="33"/>
      <c r="G40" s="33"/>
      <c r="H40" s="33"/>
      <c r="I40" s="33">
        <v>184</v>
      </c>
      <c r="J40" s="33">
        <v>185</v>
      </c>
      <c r="K40" s="33">
        <v>188</v>
      </c>
      <c r="L40" s="33">
        <v>191</v>
      </c>
      <c r="M40" s="33">
        <v>197</v>
      </c>
      <c r="N40" s="33">
        <v>205</v>
      </c>
      <c r="O40" s="33">
        <v>207</v>
      </c>
      <c r="P40" s="33">
        <v>212</v>
      </c>
      <c r="Q40" s="33">
        <v>209</v>
      </c>
      <c r="R40" s="33">
        <v>219</v>
      </c>
      <c r="S40" s="33">
        <v>218</v>
      </c>
      <c r="T40" s="33">
        <v>214</v>
      </c>
      <c r="U40" s="33">
        <v>209</v>
      </c>
      <c r="V40" s="33">
        <v>134</v>
      </c>
      <c r="W40" s="33">
        <v>185</v>
      </c>
      <c r="X40" s="33">
        <v>178</v>
      </c>
      <c r="Y40" s="33">
        <v>156</v>
      </c>
      <c r="Z40" s="33">
        <f>350-Y40</f>
        <v>194</v>
      </c>
      <c r="AA40" s="33">
        <v>185</v>
      </c>
      <c r="AB40" s="33">
        <f>379-AA40</f>
        <v>194</v>
      </c>
      <c r="AC40" s="33">
        <v>187</v>
      </c>
      <c r="AD40" s="33">
        <f>359-AC40</f>
        <v>172</v>
      </c>
      <c r="AE40" s="33">
        <v>158</v>
      </c>
      <c r="AF40" s="33">
        <f>319-AE40</f>
        <v>161</v>
      </c>
      <c r="AG40" s="33">
        <v>164</v>
      </c>
      <c r="AH40" s="46">
        <f t="shared" ref="AH40:AL40" si="34">AH38*AH39</f>
        <v>167.01370688031233</v>
      </c>
      <c r="AI40" s="46">
        <f t="shared" si="34"/>
        <v>171.05334341379586</v>
      </c>
      <c r="AJ40" s="46">
        <f t="shared" si="34"/>
        <v>175.14316369172028</v>
      </c>
      <c r="AK40" s="46">
        <f t="shared" si="34"/>
        <v>178.30742945502459</v>
      </c>
      <c r="AL40" s="46">
        <f t="shared" si="34"/>
        <v>180.52251350961748</v>
      </c>
      <c r="AM40" s="46">
        <f>AM38*AM39</f>
        <v>182.76511519140016</v>
      </c>
      <c r="AN40" s="46">
        <f>AN38*AN39</f>
        <v>185.03557634735782</v>
      </c>
      <c r="AO40" s="46">
        <f>AO38*AO39</f>
        <v>187.33424307118509</v>
      </c>
      <c r="AP40" s="46">
        <f>AP38*AP39</f>
        <v>189.66146575604176</v>
      </c>
    </row>
    <row r="41" spans="2:57" x14ac:dyDescent="0.25">
      <c r="C41" t="s">
        <v>307</v>
      </c>
      <c r="E41" s="54"/>
      <c r="F41" s="54"/>
      <c r="G41" s="54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54"/>
      <c r="T41" s="54"/>
      <c r="U41" s="54"/>
      <c r="V41" s="54">
        <f>-27-36</f>
        <v>-63</v>
      </c>
      <c r="W41" s="54">
        <v>-8</v>
      </c>
      <c r="X41" s="54">
        <v>-1</v>
      </c>
      <c r="Y41" s="54">
        <v>-28</v>
      </c>
      <c r="Z41" s="54">
        <v>10</v>
      </c>
      <c r="AA41" s="54">
        <v>2</v>
      </c>
      <c r="AB41" s="54"/>
      <c r="AC41" s="54"/>
      <c r="AD41" s="54"/>
      <c r="AE41" s="54"/>
      <c r="AF41" s="54"/>
      <c r="AG41" s="54"/>
      <c r="AH41" s="54"/>
      <c r="AI41" s="54"/>
      <c r="AJ41" s="54"/>
      <c r="AK41" s="54"/>
      <c r="AL41" s="54"/>
      <c r="AM41" s="54"/>
      <c r="AN41" s="54"/>
      <c r="AO41" s="54"/>
      <c r="AP41" s="54"/>
    </row>
    <row r="42" spans="2:57" x14ac:dyDescent="0.25">
      <c r="C42" t="s">
        <v>308</v>
      </c>
      <c r="E42" s="54"/>
      <c r="F42" s="54"/>
      <c r="G42" s="54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>
        <f t="shared" ref="V42:AA42" si="35">V40-V41</f>
        <v>197</v>
      </c>
      <c r="W42" s="54">
        <f t="shared" si="35"/>
        <v>193</v>
      </c>
      <c r="X42" s="54">
        <f t="shared" si="35"/>
        <v>179</v>
      </c>
      <c r="Y42" s="54">
        <f t="shared" si="35"/>
        <v>184</v>
      </c>
      <c r="Z42" s="54">
        <f t="shared" si="35"/>
        <v>184</v>
      </c>
      <c r="AA42" s="54">
        <f t="shared" si="35"/>
        <v>183</v>
      </c>
      <c r="AB42" s="54"/>
      <c r="AC42" s="54"/>
      <c r="AD42" s="54"/>
      <c r="AE42" s="54"/>
      <c r="AF42" s="54"/>
      <c r="AG42" s="54"/>
      <c r="AH42" s="54"/>
      <c r="AI42" s="54"/>
      <c r="AJ42" s="54"/>
      <c r="AK42" s="54"/>
      <c r="AL42" s="54"/>
      <c r="AM42" s="54"/>
      <c r="AN42" s="54"/>
      <c r="AO42" s="54"/>
      <c r="AP42" s="54"/>
    </row>
    <row r="43" spans="2:57" x14ac:dyDescent="0.25">
      <c r="E43" s="54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4"/>
      <c r="Y43" s="54"/>
      <c r="Z43" s="54"/>
      <c r="AA43" s="54"/>
      <c r="AB43" s="54"/>
      <c r="AC43" s="54"/>
      <c r="AD43" s="54"/>
      <c r="AE43" s="64"/>
      <c r="AF43" s="64"/>
      <c r="AG43" s="64"/>
      <c r="AH43" s="64"/>
      <c r="AI43" s="64"/>
      <c r="AJ43" s="64"/>
      <c r="AK43" s="64"/>
      <c r="AL43" s="64"/>
      <c r="AM43" s="64"/>
      <c r="AN43" s="64"/>
      <c r="AO43" s="64"/>
      <c r="AP43" s="64"/>
    </row>
    <row r="44" spans="2:57" s="23" customFormat="1" x14ac:dyDescent="0.25">
      <c r="B44" s="23" t="s">
        <v>254</v>
      </c>
      <c r="E44" s="57"/>
      <c r="F44" s="57"/>
      <c r="G44" s="57"/>
      <c r="H44" s="57"/>
      <c r="I44" s="57"/>
      <c r="J44" s="57"/>
      <c r="K44" s="57"/>
      <c r="L44" s="57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57"/>
      <c r="AB44" s="57"/>
      <c r="AC44" s="57"/>
      <c r="AD44" s="57"/>
      <c r="AE44" s="57"/>
      <c r="AF44" s="57"/>
      <c r="AG44" s="57"/>
      <c r="AH44" s="57"/>
      <c r="AI44" s="57"/>
      <c r="AJ44" s="57"/>
      <c r="AK44" s="57"/>
      <c r="AL44" s="57"/>
      <c r="AM44" s="57"/>
      <c r="AN44" s="57"/>
      <c r="AO44" s="57"/>
      <c r="AP44" s="57"/>
      <c r="AQ44" s="24"/>
      <c r="AR44" s="24"/>
      <c r="AS44" s="24"/>
      <c r="AT44" s="24"/>
      <c r="AU44" s="24"/>
      <c r="AV44" s="24"/>
      <c r="AW44" s="24"/>
      <c r="AX44" s="24"/>
      <c r="AY44" s="24"/>
      <c r="AZ44" s="24"/>
      <c r="BA44" s="24"/>
      <c r="BE44" s="25"/>
    </row>
    <row r="45" spans="2:57" x14ac:dyDescent="0.25">
      <c r="C45" t="s">
        <v>244</v>
      </c>
      <c r="E45" s="54"/>
      <c r="F45" s="54"/>
      <c r="G45" s="54"/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54"/>
      <c r="T45" s="54"/>
      <c r="U45" s="54"/>
      <c r="V45" s="54"/>
      <c r="W45" s="54"/>
      <c r="X45" s="54"/>
      <c r="Y45" s="54"/>
      <c r="Z45" s="64"/>
      <c r="AA45" s="69">
        <v>0.03</v>
      </c>
      <c r="AB45" s="69">
        <f>AA45</f>
        <v>0.03</v>
      </c>
      <c r="AC45" s="69">
        <v>0.02</v>
      </c>
      <c r="AD45" s="69">
        <f t="shared" ref="AD45:AL46" si="36">AC45</f>
        <v>0.02</v>
      </c>
      <c r="AE45" s="69">
        <v>2.5000000000000001E-2</v>
      </c>
      <c r="AF45" s="69">
        <f t="shared" si="36"/>
        <v>2.5000000000000001E-2</v>
      </c>
      <c r="AG45" s="69">
        <f t="shared" si="36"/>
        <v>2.5000000000000001E-2</v>
      </c>
      <c r="AH45" s="69">
        <f t="shared" si="36"/>
        <v>2.5000000000000001E-2</v>
      </c>
      <c r="AI45" s="69">
        <f t="shared" si="36"/>
        <v>2.5000000000000001E-2</v>
      </c>
      <c r="AJ45" s="69">
        <f t="shared" si="36"/>
        <v>2.5000000000000001E-2</v>
      </c>
      <c r="AK45" s="69">
        <f t="shared" si="36"/>
        <v>2.5000000000000001E-2</v>
      </c>
      <c r="AL45" s="69">
        <f t="shared" si="36"/>
        <v>2.5000000000000001E-2</v>
      </c>
      <c r="AM45" s="69">
        <f t="shared" ref="AM45:AP46" si="37">AL45</f>
        <v>2.5000000000000001E-2</v>
      </c>
      <c r="AN45" s="69">
        <f t="shared" si="37"/>
        <v>2.5000000000000001E-2</v>
      </c>
      <c r="AO45" s="69">
        <f t="shared" si="37"/>
        <v>2.5000000000000001E-2</v>
      </c>
      <c r="AP45" s="69">
        <f t="shared" si="37"/>
        <v>2.5000000000000001E-2</v>
      </c>
    </row>
    <row r="46" spans="2:57" x14ac:dyDescent="0.25">
      <c r="C46" t="s">
        <v>119</v>
      </c>
      <c r="E46" s="54"/>
      <c r="F46" s="54"/>
      <c r="G46" s="54"/>
      <c r="H46" s="54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65">
        <v>0.99099999999999999</v>
      </c>
      <c r="AA46" s="65">
        <v>0.99399999999999999</v>
      </c>
      <c r="AB46" s="65">
        <v>0.99299999999999999</v>
      </c>
      <c r="AC46" s="69">
        <v>0.99299999999999999</v>
      </c>
      <c r="AD46" s="65">
        <v>0.99</v>
      </c>
      <c r="AE46" s="69">
        <f t="shared" si="36"/>
        <v>0.99</v>
      </c>
      <c r="AF46" s="69">
        <f t="shared" si="36"/>
        <v>0.99</v>
      </c>
      <c r="AG46" s="69">
        <f t="shared" si="36"/>
        <v>0.99</v>
      </c>
      <c r="AH46" s="69">
        <f t="shared" si="36"/>
        <v>0.99</v>
      </c>
      <c r="AI46" s="69">
        <f t="shared" si="36"/>
        <v>0.99</v>
      </c>
      <c r="AJ46" s="69">
        <f t="shared" si="36"/>
        <v>0.99</v>
      </c>
      <c r="AK46" s="69">
        <f t="shared" si="36"/>
        <v>0.99</v>
      </c>
      <c r="AL46" s="69">
        <f t="shared" si="36"/>
        <v>0.99</v>
      </c>
      <c r="AM46" s="69">
        <f t="shared" si="37"/>
        <v>0.99</v>
      </c>
      <c r="AN46" s="69">
        <f t="shared" si="37"/>
        <v>0.99</v>
      </c>
      <c r="AO46" s="69">
        <f t="shared" si="37"/>
        <v>0.99</v>
      </c>
      <c r="AP46" s="69">
        <f t="shared" si="37"/>
        <v>0.99</v>
      </c>
    </row>
    <row r="47" spans="2:57" x14ac:dyDescent="0.25">
      <c r="C47" t="s">
        <v>120</v>
      </c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4"/>
      <c r="Y47" s="54"/>
      <c r="Z47" s="97">
        <v>5.8999999999999997E-2</v>
      </c>
      <c r="AA47" s="97">
        <v>5.8999999999999997E-2</v>
      </c>
      <c r="AB47" s="97">
        <v>6.1100000000000002E-2</v>
      </c>
      <c r="AC47" s="89"/>
      <c r="AD47" s="89"/>
      <c r="AE47" s="89"/>
      <c r="AF47" s="89"/>
      <c r="AG47" s="89"/>
      <c r="AH47" s="89"/>
      <c r="AI47" s="89"/>
      <c r="AJ47" s="89"/>
      <c r="AK47" s="89"/>
      <c r="AL47" s="89"/>
      <c r="AM47" s="89"/>
      <c r="AN47" s="89"/>
      <c r="AO47" s="89"/>
      <c r="AP47" s="89"/>
    </row>
    <row r="48" spans="2:57" x14ac:dyDescent="0.25">
      <c r="C48" t="s">
        <v>121</v>
      </c>
      <c r="D48" t="s">
        <v>253</v>
      </c>
      <c r="E48" s="54"/>
      <c r="F48" s="54"/>
      <c r="G48" s="54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54"/>
      <c r="T48" s="54"/>
      <c r="U48" s="54"/>
      <c r="V48" s="54"/>
      <c r="W48" s="54"/>
      <c r="X48" s="54"/>
      <c r="Y48" s="54"/>
      <c r="Z48" s="86">
        <v>5.5</v>
      </c>
      <c r="AA48" s="86">
        <v>5.3</v>
      </c>
      <c r="AB48" s="86">
        <v>5.0999999999999996</v>
      </c>
      <c r="AC48" s="88"/>
      <c r="AD48" s="88"/>
      <c r="AE48" s="88"/>
      <c r="AF48" s="88"/>
      <c r="AG48" s="88"/>
      <c r="AH48" s="88"/>
      <c r="AI48" s="88"/>
      <c r="AJ48" s="88"/>
      <c r="AK48" s="88"/>
      <c r="AL48" s="88"/>
      <c r="AM48" s="88"/>
      <c r="AN48" s="88"/>
      <c r="AO48" s="88"/>
      <c r="AP48" s="88"/>
    </row>
    <row r="49" spans="2:57" x14ac:dyDescent="0.25">
      <c r="C49" s="44"/>
      <c r="E49" s="54"/>
      <c r="F49" s="54"/>
      <c r="G49" s="54"/>
      <c r="H49" s="54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54"/>
      <c r="T49" s="54"/>
      <c r="U49" s="54"/>
      <c r="V49" s="54"/>
      <c r="W49" s="54"/>
      <c r="X49" s="54"/>
      <c r="Y49" s="54"/>
      <c r="Z49" s="54"/>
      <c r="AA49" s="54"/>
      <c r="AB49" s="54"/>
      <c r="AC49" s="54"/>
      <c r="AD49" s="54"/>
      <c r="AE49" s="54"/>
      <c r="AF49" s="54"/>
      <c r="AG49" s="54"/>
      <c r="AH49" s="54"/>
      <c r="AI49" s="54"/>
      <c r="AJ49" s="54"/>
      <c r="AK49" s="54"/>
      <c r="AL49" s="54"/>
      <c r="AM49" s="54"/>
      <c r="AN49" s="54"/>
      <c r="AO49" s="54"/>
      <c r="AP49" s="54"/>
    </row>
    <row r="50" spans="2:57" s="23" customFormat="1" x14ac:dyDescent="0.25">
      <c r="B50" s="23" t="s">
        <v>239</v>
      </c>
      <c r="E50" s="57"/>
      <c r="F50" s="57"/>
      <c r="G50" s="57"/>
      <c r="H50" s="57"/>
      <c r="I50" s="57"/>
      <c r="J50" s="57"/>
      <c r="K50" s="57"/>
      <c r="L50" s="57"/>
      <c r="M50" s="57"/>
      <c r="N50" s="57"/>
      <c r="O50" s="57"/>
      <c r="P50" s="57"/>
      <c r="Q50" s="57"/>
      <c r="R50" s="57"/>
      <c r="S50" s="57"/>
      <c r="T50" s="57"/>
      <c r="U50" s="57"/>
      <c r="V50" s="57"/>
      <c r="W50" s="57"/>
      <c r="X50" s="57"/>
      <c r="Y50" s="57"/>
      <c r="Z50" s="57"/>
      <c r="AA50" s="57"/>
      <c r="AB50" s="57"/>
      <c r="AC50" s="57"/>
      <c r="AD50" s="57"/>
      <c r="AE50" s="57"/>
      <c r="AF50" s="57"/>
      <c r="AG50" s="57"/>
      <c r="AH50" s="57"/>
      <c r="AI50" s="57"/>
      <c r="AJ50" s="57"/>
      <c r="AK50" s="57"/>
      <c r="AL50" s="57"/>
      <c r="AM50" s="57"/>
      <c r="AN50" s="57"/>
      <c r="AO50" s="57"/>
      <c r="AP50" s="57"/>
      <c r="AQ50" s="24"/>
      <c r="AR50" s="24"/>
      <c r="AS50" s="24"/>
      <c r="AT50" s="24"/>
      <c r="AU50" s="24"/>
      <c r="AV50" s="24"/>
      <c r="AW50" s="24"/>
      <c r="AX50" s="24"/>
      <c r="AY50" s="24"/>
      <c r="AZ50" s="24"/>
      <c r="BA50" s="24"/>
      <c r="BE50" s="25"/>
    </row>
    <row r="51" spans="2:57" outlineLevel="1" x14ac:dyDescent="0.25">
      <c r="C51" t="str">
        <f t="shared" ref="C51:C73" si="38">C10</f>
        <v>Stockland Balgowlah</v>
      </c>
      <c r="D51" t="s">
        <v>32</v>
      </c>
      <c r="E51" s="58"/>
      <c r="F51" s="58"/>
      <c r="G51" s="58"/>
      <c r="H51" s="58"/>
      <c r="I51" s="58"/>
      <c r="J51" s="58"/>
      <c r="K51" s="58"/>
      <c r="L51" s="58"/>
      <c r="M51" s="58"/>
      <c r="N51" s="58"/>
      <c r="O51" s="58"/>
      <c r="P51" s="58"/>
      <c r="Q51" s="58"/>
      <c r="R51" s="58"/>
      <c r="S51" s="58"/>
      <c r="T51" s="58"/>
      <c r="U51" s="86"/>
      <c r="V51" s="86"/>
      <c r="W51" s="86"/>
      <c r="X51" s="86"/>
      <c r="Y51" s="86"/>
      <c r="Z51" s="86">
        <v>164.99</v>
      </c>
      <c r="AA51" s="43">
        <f>Z51*(1+AA$45)^(1/2)</f>
        <v>167.44656193245655</v>
      </c>
      <c r="AB51" s="43">
        <v>157</v>
      </c>
      <c r="AC51" s="43">
        <f>AB51*(1+AC$45)^(1/2)</f>
        <v>158.56222753228462</v>
      </c>
      <c r="AD51" s="99"/>
      <c r="AE51" s="99"/>
      <c r="AF51" s="99"/>
      <c r="AG51" s="99"/>
      <c r="AH51" s="99"/>
      <c r="AI51" s="99"/>
      <c r="AJ51" s="99"/>
      <c r="AK51" s="99"/>
      <c r="AL51" s="99"/>
      <c r="AM51" s="99"/>
      <c r="AN51" s="99"/>
      <c r="AO51" s="99"/>
      <c r="AP51" s="99"/>
    </row>
    <row r="52" spans="2:57" s="10" customFormat="1" outlineLevel="1" x14ac:dyDescent="0.25">
      <c r="C52" t="str">
        <f t="shared" si="38"/>
        <v>Stockland Forster</v>
      </c>
      <c r="D52" t="s">
        <v>32</v>
      </c>
      <c r="E52" s="55"/>
      <c r="F52" s="55"/>
      <c r="G52" s="55"/>
      <c r="H52" s="55"/>
      <c r="I52" s="55"/>
      <c r="J52" s="55"/>
      <c r="K52" s="55"/>
      <c r="L52" s="55"/>
      <c r="M52" s="55"/>
      <c r="N52" s="55"/>
      <c r="O52" s="55"/>
      <c r="P52" s="55"/>
      <c r="Q52" s="55"/>
      <c r="R52" s="55"/>
      <c r="S52" s="55"/>
      <c r="T52" s="55"/>
      <c r="U52" s="86"/>
      <c r="V52" s="86"/>
      <c r="W52" s="86"/>
      <c r="X52" s="86"/>
      <c r="Y52" s="86"/>
      <c r="Z52" s="86">
        <v>199.60499999999999</v>
      </c>
      <c r="AA52" s="43">
        <f t="shared" ref="AA52:AL67" si="39">Z52*(1+AA$45)^(1/2)</f>
        <v>202.57695008502324</v>
      </c>
      <c r="AB52" s="43">
        <v>201</v>
      </c>
      <c r="AC52" s="43">
        <f t="shared" si="39"/>
        <v>203.00004926107778</v>
      </c>
      <c r="AD52" s="43">
        <f t="shared" si="39"/>
        <v>205.02</v>
      </c>
      <c r="AE52" s="43">
        <f t="shared" si="39"/>
        <v>207.56692995272633</v>
      </c>
      <c r="AF52" s="43">
        <f t="shared" si="39"/>
        <v>210.14549999999997</v>
      </c>
      <c r="AG52" s="43">
        <f t="shared" si="39"/>
        <v>212.75610320154442</v>
      </c>
      <c r="AH52" s="43">
        <f t="shared" si="39"/>
        <v>215.39913749999991</v>
      </c>
      <c r="AI52" s="43">
        <f t="shared" si="39"/>
        <v>218.07500578158297</v>
      </c>
      <c r="AJ52" s="43">
        <f t="shared" si="39"/>
        <v>220.78411593749985</v>
      </c>
      <c r="AK52" s="43">
        <f t="shared" si="39"/>
        <v>223.52688092612249</v>
      </c>
      <c r="AL52" s="43">
        <f t="shared" si="39"/>
        <v>226.30371883593727</v>
      </c>
      <c r="AM52" s="43">
        <f>AL52*(1+AM$45)^(1/2)</f>
        <v>229.11505294927548</v>
      </c>
      <c r="AN52" s="43">
        <f>AM52*(1+AN$45)^(1/2)</f>
        <v>231.96131180683562</v>
      </c>
      <c r="AO52" s="43">
        <f>AN52*(1+AO$45)^(1/2)</f>
        <v>234.84292927300729</v>
      </c>
      <c r="AP52" s="43">
        <f>AO52*(1+AP$45)^(1/2)</f>
        <v>237.76034460200646</v>
      </c>
    </row>
    <row r="53" spans="2:57" outlineLevel="1" x14ac:dyDescent="0.25">
      <c r="C53" t="str">
        <f t="shared" si="38"/>
        <v>Stockland Glendale</v>
      </c>
      <c r="D53" t="s">
        <v>32</v>
      </c>
      <c r="E53" s="58"/>
      <c r="F53" s="58"/>
      <c r="G53" s="58"/>
      <c r="H53" s="58"/>
      <c r="I53" s="58"/>
      <c r="J53" s="58"/>
      <c r="K53" s="58"/>
      <c r="L53" s="58"/>
      <c r="M53" s="58"/>
      <c r="N53" s="58"/>
      <c r="O53" s="58"/>
      <c r="P53" s="58"/>
      <c r="Q53" s="58"/>
      <c r="R53" s="58"/>
      <c r="S53" s="58"/>
      <c r="T53" s="58"/>
      <c r="U53" s="86"/>
      <c r="V53" s="86"/>
      <c r="W53" s="86"/>
      <c r="X53" s="86"/>
      <c r="Y53" s="86"/>
      <c r="Z53" s="86">
        <v>336</v>
      </c>
      <c r="AA53" s="43">
        <f>Z53*(1+AA$45)^(1/2)+AA89</f>
        <v>341.00275658709859</v>
      </c>
      <c r="AB53" s="43">
        <v>320</v>
      </c>
      <c r="AC53" s="43">
        <f t="shared" si="39"/>
        <v>323.18415802758648</v>
      </c>
      <c r="AD53" s="99"/>
      <c r="AE53" s="99"/>
      <c r="AF53" s="99"/>
      <c r="AG53" s="99"/>
      <c r="AH53" s="99"/>
      <c r="AI53" s="99"/>
      <c r="AJ53" s="99"/>
      <c r="AK53" s="99"/>
      <c r="AL53" s="99"/>
      <c r="AM53" s="99"/>
      <c r="AN53" s="99"/>
      <c r="AO53" s="99"/>
      <c r="AP53" s="99"/>
    </row>
    <row r="54" spans="2:57" outlineLevel="1" x14ac:dyDescent="0.25">
      <c r="C54" t="str">
        <f t="shared" si="38"/>
        <v>Stockland Green Hills</v>
      </c>
      <c r="D54" t="s">
        <v>32</v>
      </c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86"/>
      <c r="V54" s="86"/>
      <c r="W54" s="86"/>
      <c r="X54" s="86"/>
      <c r="Y54" s="86"/>
      <c r="Z54" s="86">
        <v>770</v>
      </c>
      <c r="AA54" s="43">
        <f t="shared" si="39"/>
        <v>781.46465051210089</v>
      </c>
      <c r="AB54" s="43">
        <v>775</v>
      </c>
      <c r="AC54" s="43">
        <f t="shared" si="39"/>
        <v>782.71163272306103</v>
      </c>
      <c r="AD54" s="43">
        <f t="shared" si="39"/>
        <v>790.5</v>
      </c>
      <c r="AE54" s="43">
        <f t="shared" si="39"/>
        <v>800.32025230528802</v>
      </c>
      <c r="AF54" s="43">
        <f t="shared" si="39"/>
        <v>810.26249999999982</v>
      </c>
      <c r="AG54" s="43">
        <f t="shared" si="39"/>
        <v>820.32825861291997</v>
      </c>
      <c r="AH54" s="43">
        <f t="shared" si="39"/>
        <v>830.51906249999956</v>
      </c>
      <c r="AI54" s="43">
        <f t="shared" si="39"/>
        <v>840.83646507824278</v>
      </c>
      <c r="AJ54" s="43">
        <f t="shared" si="39"/>
        <v>851.28203906249939</v>
      </c>
      <c r="AK54" s="43">
        <f t="shared" si="39"/>
        <v>861.8573767051987</v>
      </c>
      <c r="AL54" s="43">
        <f t="shared" si="39"/>
        <v>872.56409003906174</v>
      </c>
      <c r="AM54" s="43">
        <f t="shared" ref="AM54:AP55" si="40">AL54*(1+AM$45)^(1/2)</f>
        <v>883.40381112282853</v>
      </c>
      <c r="AN54" s="43">
        <f t="shared" si="40"/>
        <v>894.3781922900381</v>
      </c>
      <c r="AO54" s="43">
        <f t="shared" si="40"/>
        <v>905.48890640089905</v>
      </c>
      <c r="AP54" s="43">
        <f t="shared" si="40"/>
        <v>916.7376470972888</v>
      </c>
    </row>
    <row r="55" spans="2:57" outlineLevel="1" x14ac:dyDescent="0.25">
      <c r="C55" t="str">
        <f t="shared" si="38"/>
        <v>Stockland Merrylands</v>
      </c>
      <c r="D55" t="s">
        <v>32</v>
      </c>
      <c r="E55" s="58"/>
      <c r="F55" s="58"/>
      <c r="G55" s="58"/>
      <c r="H55" s="58"/>
      <c r="I55" s="58"/>
      <c r="J55" s="58"/>
      <c r="K55" s="58"/>
      <c r="L55" s="58"/>
      <c r="M55" s="58"/>
      <c r="N55" s="58"/>
      <c r="O55" s="58"/>
      <c r="P55" s="58"/>
      <c r="Q55" s="58"/>
      <c r="R55" s="58"/>
      <c r="S55" s="58"/>
      <c r="T55" s="58"/>
      <c r="U55" s="86"/>
      <c r="V55" s="86"/>
      <c r="W55" s="86"/>
      <c r="X55" s="86"/>
      <c r="Y55" s="86"/>
      <c r="Z55" s="86">
        <v>534.524</v>
      </c>
      <c r="AA55" s="43">
        <f t="shared" si="39"/>
        <v>542.48261149393534</v>
      </c>
      <c r="AB55" s="43">
        <v>554</v>
      </c>
      <c r="AC55" s="43">
        <f t="shared" si="39"/>
        <v>559.51257358525913</v>
      </c>
      <c r="AD55" s="43">
        <f t="shared" si="39"/>
        <v>565.08000000000004</v>
      </c>
      <c r="AE55" s="43">
        <f t="shared" si="39"/>
        <v>572.09989648661883</v>
      </c>
      <c r="AF55" s="43">
        <f t="shared" si="39"/>
        <v>579.20699999999988</v>
      </c>
      <c r="AG55" s="43">
        <f t="shared" si="39"/>
        <v>586.40239389878411</v>
      </c>
      <c r="AH55" s="43">
        <f t="shared" si="39"/>
        <v>593.68717499999968</v>
      </c>
      <c r="AI55" s="43">
        <f t="shared" si="39"/>
        <v>601.06245374625348</v>
      </c>
      <c r="AJ55" s="43">
        <f t="shared" si="39"/>
        <v>608.52935437499946</v>
      </c>
      <c r="AK55" s="43">
        <f t="shared" si="39"/>
        <v>616.08901508990959</v>
      </c>
      <c r="AL55" s="43">
        <f t="shared" si="39"/>
        <v>623.74258823437424</v>
      </c>
      <c r="AM55" s="43">
        <f t="shared" si="40"/>
        <v>631.49124046715713</v>
      </c>
      <c r="AN55" s="43">
        <f t="shared" si="40"/>
        <v>639.33615294023332</v>
      </c>
      <c r="AO55" s="43">
        <f t="shared" si="40"/>
        <v>647.27852147883584</v>
      </c>
      <c r="AP55" s="43">
        <f t="shared" si="40"/>
        <v>655.319556763739</v>
      </c>
    </row>
    <row r="56" spans="2:57" outlineLevel="1" x14ac:dyDescent="0.25">
      <c r="C56" t="str">
        <f t="shared" si="38"/>
        <v>Stockland Nowra</v>
      </c>
      <c r="D56" t="s">
        <v>32</v>
      </c>
      <c r="E56" s="58"/>
      <c r="F56" s="58"/>
      <c r="G56" s="58"/>
      <c r="H56" s="58"/>
      <c r="I56" s="58"/>
      <c r="J56" s="58"/>
      <c r="K56" s="58"/>
      <c r="L56" s="58"/>
      <c r="M56" s="58"/>
      <c r="N56" s="58"/>
      <c r="O56" s="58"/>
      <c r="P56" s="58"/>
      <c r="Q56" s="58"/>
      <c r="R56" s="58"/>
      <c r="S56" s="58"/>
      <c r="T56" s="58"/>
      <c r="U56" s="86"/>
      <c r="V56" s="86"/>
      <c r="W56" s="86"/>
      <c r="X56" s="86"/>
      <c r="Y56" s="86"/>
      <c r="Z56" s="86">
        <v>126.20699999999999</v>
      </c>
      <c r="AA56" s="43">
        <f t="shared" si="39"/>
        <v>128.08611577555936</v>
      </c>
      <c r="AB56" s="43">
        <v>111</v>
      </c>
      <c r="AC56" s="43">
        <f t="shared" si="39"/>
        <v>112.10450481581907</v>
      </c>
      <c r="AD56" s="99"/>
      <c r="AE56" s="99"/>
      <c r="AF56" s="99"/>
      <c r="AG56" s="99"/>
      <c r="AH56" s="99"/>
      <c r="AI56" s="99"/>
      <c r="AJ56" s="99"/>
      <c r="AK56" s="99"/>
      <c r="AL56" s="99"/>
      <c r="AM56" s="99"/>
      <c r="AN56" s="99"/>
      <c r="AO56" s="99"/>
      <c r="AP56" s="99"/>
    </row>
    <row r="57" spans="2:57" outlineLevel="1" x14ac:dyDescent="0.25">
      <c r="C57" t="str">
        <f t="shared" si="38"/>
        <v>Stockland Piccadilly‡</v>
      </c>
      <c r="D57" t="s">
        <v>32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86"/>
      <c r="V57" s="86"/>
      <c r="W57" s="86"/>
      <c r="X57" s="86"/>
      <c r="Y57" s="86"/>
      <c r="Z57" s="86">
        <v>51</v>
      </c>
      <c r="AA57" s="43">
        <f t="shared" si="39"/>
        <v>51.759346981970317</v>
      </c>
      <c r="AB57" s="43">
        <v>49</v>
      </c>
      <c r="AC57" s="43">
        <f t="shared" si="39"/>
        <v>49.487574197974183</v>
      </c>
      <c r="AD57" s="43">
        <f t="shared" si="39"/>
        <v>49.980000000000004</v>
      </c>
      <c r="AE57" s="43">
        <f t="shared" si="39"/>
        <v>50.600893371560147</v>
      </c>
      <c r="AF57" s="43">
        <f t="shared" si="39"/>
        <v>51.229499999999987</v>
      </c>
      <c r="AG57" s="43">
        <f t="shared" si="39"/>
        <v>51.865915705849133</v>
      </c>
      <c r="AH57" s="43">
        <f t="shared" si="39"/>
        <v>52.510237499999974</v>
      </c>
      <c r="AI57" s="43">
        <f t="shared" si="39"/>
        <v>53.162563598495353</v>
      </c>
      <c r="AJ57" s="43">
        <f t="shared" si="39"/>
        <v>53.82299343749996</v>
      </c>
      <c r="AK57" s="43">
        <f t="shared" si="39"/>
        <v>54.491627688457719</v>
      </c>
      <c r="AL57" s="43">
        <f t="shared" si="39"/>
        <v>55.168568273437444</v>
      </c>
      <c r="AM57" s="43">
        <f t="shared" ref="AM57:AM63" si="41">AL57*(1+AM$45)^(1/2)</f>
        <v>55.85391838066915</v>
      </c>
      <c r="AN57" s="43">
        <f t="shared" ref="AN57:AN63" si="42">AM57*(1+AN$45)^(1/2)</f>
        <v>56.547782480273369</v>
      </c>
      <c r="AO57" s="43">
        <f t="shared" ref="AO57:AO63" si="43">AN57*(1+AO$45)^(1/2)</f>
        <v>57.250266340185867</v>
      </c>
      <c r="AP57" s="43">
        <f t="shared" ref="AP57:AP63" si="44">AO57*(1+AP$45)^(1/2)</f>
        <v>57.961477042280187</v>
      </c>
    </row>
    <row r="58" spans="2:57" outlineLevel="1" x14ac:dyDescent="0.25">
      <c r="C58" t="str">
        <f t="shared" si="38"/>
        <v>Stockland Shellharbour˜</v>
      </c>
      <c r="D58" t="s">
        <v>32</v>
      </c>
      <c r="E58" s="58"/>
      <c r="F58" s="58"/>
      <c r="G58" s="58"/>
      <c r="H58" s="58"/>
      <c r="I58" s="58"/>
      <c r="J58" s="58"/>
      <c r="K58" s="58"/>
      <c r="L58" s="58"/>
      <c r="M58" s="58"/>
      <c r="N58" s="58"/>
      <c r="O58" s="58"/>
      <c r="P58" s="58"/>
      <c r="Q58" s="58"/>
      <c r="R58" s="58"/>
      <c r="S58" s="58"/>
      <c r="T58" s="58"/>
      <c r="U58" s="86"/>
      <c r="V58" s="86"/>
      <c r="W58" s="86"/>
      <c r="X58" s="86"/>
      <c r="Y58" s="86"/>
      <c r="Z58" s="86">
        <v>597.1</v>
      </c>
      <c r="AA58" s="43">
        <f t="shared" si="39"/>
        <v>605.99031535165648</v>
      </c>
      <c r="AB58" s="43">
        <v>617.29999999999995</v>
      </c>
      <c r="AC58" s="43">
        <f t="shared" si="39"/>
        <v>623.44243984509103</v>
      </c>
      <c r="AD58" s="43">
        <f t="shared" si="39"/>
        <v>629.64599999999996</v>
      </c>
      <c r="AE58" s="43">
        <f t="shared" si="39"/>
        <v>637.467989352328</v>
      </c>
      <c r="AF58" s="43">
        <f t="shared" si="39"/>
        <v>645.38714999999968</v>
      </c>
      <c r="AG58" s="43">
        <f t="shared" si="39"/>
        <v>653.40468908613593</v>
      </c>
      <c r="AH58" s="43">
        <f t="shared" si="39"/>
        <v>661.52182874999949</v>
      </c>
      <c r="AI58" s="43">
        <f t="shared" si="39"/>
        <v>669.73980631328914</v>
      </c>
      <c r="AJ58" s="43">
        <f t="shared" si="39"/>
        <v>678.05987446874929</v>
      </c>
      <c r="AK58" s="43">
        <f t="shared" si="39"/>
        <v>686.48330147112119</v>
      </c>
      <c r="AL58" s="43">
        <f t="shared" si="39"/>
        <v>695.0113713304678</v>
      </c>
      <c r="AM58" s="43">
        <f t="shared" si="41"/>
        <v>703.645384007899</v>
      </c>
      <c r="AN58" s="43">
        <f t="shared" si="42"/>
        <v>712.3866556137292</v>
      </c>
      <c r="AO58" s="43">
        <f t="shared" si="43"/>
        <v>721.23651860809628</v>
      </c>
      <c r="AP58" s="43">
        <f t="shared" si="44"/>
        <v>730.19632200407227</v>
      </c>
    </row>
    <row r="59" spans="2:57" outlineLevel="1" x14ac:dyDescent="0.25">
      <c r="C59" t="str">
        <f t="shared" si="38"/>
        <v>Shellharbour Retail Park</v>
      </c>
      <c r="D59" t="s">
        <v>32</v>
      </c>
      <c r="E59" s="58"/>
      <c r="F59" s="58"/>
      <c r="G59" s="58"/>
      <c r="H59" s="58"/>
      <c r="I59" s="58"/>
      <c r="J59" s="58"/>
      <c r="K59" s="58"/>
      <c r="L59" s="58"/>
      <c r="M59" s="58"/>
      <c r="N59" s="58"/>
      <c r="O59" s="58"/>
      <c r="P59" s="58"/>
      <c r="Q59" s="58"/>
      <c r="R59" s="58"/>
      <c r="S59" s="58"/>
      <c r="T59" s="58"/>
      <c r="U59" s="86"/>
      <c r="V59" s="86"/>
      <c r="W59" s="86"/>
      <c r="X59" s="86"/>
      <c r="Y59" s="86"/>
      <c r="Z59" s="86">
        <v>101</v>
      </c>
      <c r="AA59" s="43">
        <f t="shared" si="39"/>
        <v>102.50380480743142</v>
      </c>
      <c r="AB59" s="43">
        <v>96</v>
      </c>
      <c r="AC59" s="43">
        <f t="shared" si="39"/>
        <v>96.955247408275952</v>
      </c>
      <c r="AD59" s="43">
        <f t="shared" si="39"/>
        <v>97.92</v>
      </c>
      <c r="AE59" s="43">
        <f t="shared" si="39"/>
        <v>99.136444156525997</v>
      </c>
      <c r="AF59" s="43">
        <f t="shared" si="39"/>
        <v>100.36799999999997</v>
      </c>
      <c r="AG59" s="43">
        <f t="shared" si="39"/>
        <v>101.61485526043911</v>
      </c>
      <c r="AH59" s="43">
        <f t="shared" si="39"/>
        <v>102.87719999999995</v>
      </c>
      <c r="AI59" s="43">
        <f t="shared" si="39"/>
        <v>104.15522664195007</v>
      </c>
      <c r="AJ59" s="43">
        <f t="shared" si="39"/>
        <v>105.44912999999991</v>
      </c>
      <c r="AK59" s="43">
        <f t="shared" si="39"/>
        <v>106.75910730799879</v>
      </c>
      <c r="AL59" s="43">
        <f t="shared" si="39"/>
        <v>108.08535824999989</v>
      </c>
      <c r="AM59" s="43">
        <f t="shared" si="41"/>
        <v>109.42808499069874</v>
      </c>
      <c r="AN59" s="43">
        <f t="shared" si="42"/>
        <v>110.78749220624985</v>
      </c>
      <c r="AO59" s="43">
        <f t="shared" si="43"/>
        <v>112.16378711546616</v>
      </c>
      <c r="AP59" s="43">
        <f t="shared" si="44"/>
        <v>113.55717951140606</v>
      </c>
    </row>
    <row r="60" spans="2:57" outlineLevel="1" x14ac:dyDescent="0.25">
      <c r="C60" t="str">
        <f t="shared" si="38"/>
        <v>Stockland Wetherill Park</v>
      </c>
      <c r="D60" t="s">
        <v>32</v>
      </c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86"/>
      <c r="V60" s="86"/>
      <c r="W60" s="86"/>
      <c r="X60" s="86"/>
      <c r="Y60" s="86"/>
      <c r="Z60" s="86">
        <v>646</v>
      </c>
      <c r="AA60" s="43">
        <f t="shared" si="39"/>
        <v>655.61839510495736</v>
      </c>
      <c r="AB60" s="43">
        <v>645</v>
      </c>
      <c r="AC60" s="43">
        <f t="shared" si="39"/>
        <v>651.418068524354</v>
      </c>
      <c r="AD60" s="43">
        <f t="shared" si="39"/>
        <v>657.9</v>
      </c>
      <c r="AE60" s="43">
        <f t="shared" si="39"/>
        <v>666.07298417665902</v>
      </c>
      <c r="AF60" s="43">
        <f t="shared" si="39"/>
        <v>674.34749999999985</v>
      </c>
      <c r="AG60" s="43">
        <f t="shared" si="39"/>
        <v>682.72480878107535</v>
      </c>
      <c r="AH60" s="43">
        <f t="shared" si="39"/>
        <v>691.2061874999996</v>
      </c>
      <c r="AI60" s="43">
        <f t="shared" si="39"/>
        <v>699.79292900060204</v>
      </c>
      <c r="AJ60" s="43">
        <f t="shared" si="39"/>
        <v>708.48634218749942</v>
      </c>
      <c r="AK60" s="43">
        <f t="shared" si="39"/>
        <v>717.28775222561683</v>
      </c>
      <c r="AL60" s="43">
        <f t="shared" si="39"/>
        <v>726.19850074218664</v>
      </c>
      <c r="AM60" s="43">
        <f t="shared" si="41"/>
        <v>735.219946031257</v>
      </c>
      <c r="AN60" s="43">
        <f t="shared" si="42"/>
        <v>744.35346326074102</v>
      </c>
      <c r="AO60" s="43">
        <f t="shared" si="43"/>
        <v>753.60044468203819</v>
      </c>
      <c r="AP60" s="43">
        <f t="shared" si="44"/>
        <v>762.96229984225931</v>
      </c>
    </row>
    <row r="61" spans="2:57" outlineLevel="1" x14ac:dyDescent="0.25">
      <c r="C61" t="str">
        <f t="shared" si="38"/>
        <v>Stockland Baringa</v>
      </c>
      <c r="D61" t="s">
        <v>32</v>
      </c>
      <c r="E61" s="58"/>
      <c r="F61" s="58"/>
      <c r="G61" s="58"/>
      <c r="H61" s="58"/>
      <c r="I61" s="58"/>
      <c r="J61" s="58"/>
      <c r="K61" s="58"/>
      <c r="L61" s="58"/>
      <c r="M61" s="58"/>
      <c r="N61" s="58"/>
      <c r="O61" s="58"/>
      <c r="P61" s="58"/>
      <c r="Q61" s="58"/>
      <c r="R61" s="58"/>
      <c r="S61" s="58"/>
      <c r="T61" s="58"/>
      <c r="U61" s="86"/>
      <c r="V61" s="86"/>
      <c r="W61" s="86"/>
      <c r="X61" s="86"/>
      <c r="Y61" s="86"/>
      <c r="Z61" s="86">
        <v>29.9</v>
      </c>
      <c r="AA61" s="43">
        <f t="shared" si="39"/>
        <v>30.345185779625734</v>
      </c>
      <c r="AB61" s="43">
        <v>28.5</v>
      </c>
      <c r="AC61" s="43">
        <f t="shared" si="39"/>
        <v>28.783589074331925</v>
      </c>
      <c r="AD61" s="43">
        <f t="shared" si="39"/>
        <v>29.070000000000004</v>
      </c>
      <c r="AE61" s="43">
        <f t="shared" si="39"/>
        <v>29.431131858968659</v>
      </c>
      <c r="AF61" s="43">
        <f t="shared" si="39"/>
        <v>29.796749999999996</v>
      </c>
      <c r="AG61" s="43">
        <f t="shared" si="39"/>
        <v>30.166910155442867</v>
      </c>
      <c r="AH61" s="43">
        <f t="shared" si="39"/>
        <v>30.541668749999989</v>
      </c>
      <c r="AI61" s="43">
        <f t="shared" si="39"/>
        <v>30.921082909328931</v>
      </c>
      <c r="AJ61" s="43">
        <f t="shared" si="39"/>
        <v>31.30521046874998</v>
      </c>
      <c r="AK61" s="43">
        <f t="shared" si="39"/>
        <v>31.694109982062148</v>
      </c>
      <c r="AL61" s="43">
        <f t="shared" si="39"/>
        <v>32.08784073046872</v>
      </c>
      <c r="AM61" s="43">
        <f t="shared" si="41"/>
        <v>32.486462731613692</v>
      </c>
      <c r="AN61" s="43">
        <f t="shared" si="42"/>
        <v>32.890036748730431</v>
      </c>
      <c r="AO61" s="43">
        <f t="shared" si="43"/>
        <v>33.298624299904027</v>
      </c>
      <c r="AP61" s="43">
        <f t="shared" si="44"/>
        <v>33.712287667448685</v>
      </c>
    </row>
    <row r="62" spans="2:57" outlineLevel="1" x14ac:dyDescent="0.25">
      <c r="C62" t="str">
        <f t="shared" si="38"/>
        <v>Stockland Birtinya</v>
      </c>
      <c r="D62" t="s">
        <v>32</v>
      </c>
      <c r="E62" s="58"/>
      <c r="F62" s="58"/>
      <c r="G62" s="58"/>
      <c r="H62" s="58"/>
      <c r="I62" s="58"/>
      <c r="J62" s="58"/>
      <c r="K62" s="58"/>
      <c r="L62" s="58"/>
      <c r="M62" s="58"/>
      <c r="N62" s="58"/>
      <c r="O62" s="58"/>
      <c r="P62" s="58"/>
      <c r="Q62" s="58"/>
      <c r="R62" s="58"/>
      <c r="S62" s="58"/>
      <c r="T62" s="58"/>
      <c r="U62" s="86"/>
      <c r="V62" s="86"/>
      <c r="W62" s="86"/>
      <c r="X62" s="86"/>
      <c r="Y62" s="86"/>
      <c r="Z62" s="86">
        <v>79.599999999999994</v>
      </c>
      <c r="AA62" s="43">
        <f t="shared" si="39"/>
        <v>80.785176858134065</v>
      </c>
      <c r="AB62" s="43">
        <v>77.400000000000006</v>
      </c>
      <c r="AC62" s="43">
        <f t="shared" si="39"/>
        <v>78.170168222922499</v>
      </c>
      <c r="AD62" s="43">
        <f t="shared" si="39"/>
        <v>78.948000000000022</v>
      </c>
      <c r="AE62" s="43">
        <f t="shared" si="39"/>
        <v>79.928758101199108</v>
      </c>
      <c r="AF62" s="43">
        <f t="shared" si="39"/>
        <v>80.921700000000001</v>
      </c>
      <c r="AG62" s="43">
        <f t="shared" si="39"/>
        <v>81.926977053729061</v>
      </c>
      <c r="AH62" s="43">
        <f t="shared" si="39"/>
        <v>82.944742499999975</v>
      </c>
      <c r="AI62" s="43">
        <f t="shared" si="39"/>
        <v>83.97515148007227</v>
      </c>
      <c r="AJ62" s="43">
        <f t="shared" si="39"/>
        <v>85.018361062499963</v>
      </c>
      <c r="AK62" s="43">
        <f t="shared" si="39"/>
        <v>86.074530267074053</v>
      </c>
      <c r="AL62" s="43">
        <f t="shared" si="39"/>
        <v>87.14382008906243</v>
      </c>
      <c r="AM62" s="43">
        <f t="shared" si="41"/>
        <v>88.226393523750872</v>
      </c>
      <c r="AN62" s="43">
        <f t="shared" si="42"/>
        <v>89.322415591288959</v>
      </c>
      <c r="AO62" s="43">
        <f t="shared" si="43"/>
        <v>90.432053361844609</v>
      </c>
      <c r="AP62" s="43">
        <f t="shared" si="44"/>
        <v>91.555475981071154</v>
      </c>
    </row>
    <row r="63" spans="2:57" outlineLevel="1" x14ac:dyDescent="0.25">
      <c r="C63" t="str">
        <f t="shared" si="38"/>
        <v>Stockland Burleigh Complex+</v>
      </c>
      <c r="D63" t="s">
        <v>32</v>
      </c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86"/>
      <c r="V63" s="86"/>
      <c r="W63" s="86"/>
      <c r="X63" s="86"/>
      <c r="Y63" s="86"/>
      <c r="Z63" s="86">
        <v>225</v>
      </c>
      <c r="AA63" s="43">
        <f t="shared" si="39"/>
        <v>228.35006021457494</v>
      </c>
      <c r="AB63" s="43">
        <v>225.5</v>
      </c>
      <c r="AC63" s="43">
        <f t="shared" si="39"/>
        <v>227.74383636006488</v>
      </c>
      <c r="AD63" s="43">
        <f t="shared" si="39"/>
        <v>230.01000000000002</v>
      </c>
      <c r="AE63" s="43">
        <f t="shared" si="39"/>
        <v>232.86737663850639</v>
      </c>
      <c r="AF63" s="43">
        <f t="shared" si="39"/>
        <v>235.76024999999996</v>
      </c>
      <c r="AG63" s="43">
        <f t="shared" si="39"/>
        <v>238.68906105446899</v>
      </c>
      <c r="AH63" s="43">
        <f t="shared" si="39"/>
        <v>241.65425624999989</v>
      </c>
      <c r="AI63" s="43">
        <f t="shared" si="39"/>
        <v>244.65628758083065</v>
      </c>
      <c r="AJ63" s="43">
        <f t="shared" si="39"/>
        <v>247.69561265624981</v>
      </c>
      <c r="AK63" s="43">
        <f t="shared" si="39"/>
        <v>250.77269477035134</v>
      </c>
      <c r="AL63" s="43">
        <f t="shared" si="39"/>
        <v>253.88800297265598</v>
      </c>
      <c r="AM63" s="43">
        <f t="shared" si="41"/>
        <v>257.04201213961005</v>
      </c>
      <c r="AN63" s="43">
        <f t="shared" si="42"/>
        <v>260.23520304697229</v>
      </c>
      <c r="AO63" s="43">
        <f t="shared" si="43"/>
        <v>263.46806244310022</v>
      </c>
      <c r="AP63" s="43">
        <f t="shared" si="44"/>
        <v>266.74108312314655</v>
      </c>
    </row>
    <row r="64" spans="2:57" outlineLevel="1" x14ac:dyDescent="0.25">
      <c r="C64" t="str">
        <f t="shared" si="38"/>
        <v>Stockland Gladstone</v>
      </c>
      <c r="D64" t="s">
        <v>32</v>
      </c>
      <c r="E64" s="58"/>
      <c r="F64" s="58"/>
      <c r="G64" s="58"/>
      <c r="H64" s="58"/>
      <c r="I64" s="58"/>
      <c r="J64" s="58"/>
      <c r="K64" s="58"/>
      <c r="L64" s="58"/>
      <c r="M64" s="58"/>
      <c r="N64" s="58"/>
      <c r="O64" s="58"/>
      <c r="P64" s="58"/>
      <c r="Q64" s="58"/>
      <c r="R64" s="58"/>
      <c r="S64" s="58"/>
      <c r="T64" s="58"/>
      <c r="U64" s="86"/>
      <c r="V64" s="86"/>
      <c r="W64" s="86"/>
      <c r="X64" s="86"/>
      <c r="Y64" s="86"/>
      <c r="Z64" s="86">
        <v>143.6</v>
      </c>
      <c r="AA64" s="43">
        <f t="shared" si="39"/>
        <v>145.73808287472426</v>
      </c>
      <c r="AB64" s="99"/>
      <c r="AC64" s="99"/>
      <c r="AD64" s="99"/>
      <c r="AE64" s="99"/>
      <c r="AF64" s="99"/>
      <c r="AG64" s="99"/>
      <c r="AH64" s="99"/>
      <c r="AI64" s="99"/>
      <c r="AJ64" s="99"/>
      <c r="AK64" s="99"/>
      <c r="AL64" s="99"/>
      <c r="AM64" s="99"/>
      <c r="AN64" s="99"/>
      <c r="AO64" s="99"/>
      <c r="AP64" s="99"/>
    </row>
    <row r="65" spans="2:57" outlineLevel="1" x14ac:dyDescent="0.25">
      <c r="C65" t="str">
        <f t="shared" si="38"/>
        <v>Stockland Hervey Bay‡</v>
      </c>
      <c r="D65" t="s">
        <v>32</v>
      </c>
      <c r="E65" s="58"/>
      <c r="F65" s="58"/>
      <c r="G65" s="58"/>
      <c r="H65" s="58"/>
      <c r="I65" s="58"/>
      <c r="J65" s="58"/>
      <c r="K65" s="58"/>
      <c r="L65" s="58"/>
      <c r="M65" s="58"/>
      <c r="N65" s="58"/>
      <c r="O65" s="58"/>
      <c r="P65" s="58"/>
      <c r="Q65" s="58"/>
      <c r="R65" s="58"/>
      <c r="S65" s="58"/>
      <c r="T65" s="58"/>
      <c r="U65" s="86"/>
      <c r="V65" s="86"/>
      <c r="W65" s="86"/>
      <c r="X65" s="86"/>
      <c r="Y65" s="86"/>
      <c r="Z65" s="86">
        <v>189.66</v>
      </c>
      <c r="AA65" s="43">
        <f t="shared" si="39"/>
        <v>192.48387742353904</v>
      </c>
      <c r="AB65" s="43">
        <v>199</v>
      </c>
      <c r="AC65" s="43">
        <f t="shared" si="39"/>
        <v>200.98014827340535</v>
      </c>
      <c r="AD65" s="43">
        <f t="shared" si="39"/>
        <v>202.98</v>
      </c>
      <c r="AE65" s="43">
        <f t="shared" si="39"/>
        <v>205.50158736613201</v>
      </c>
      <c r="AF65" s="43">
        <f t="shared" si="39"/>
        <v>208.05449999999993</v>
      </c>
      <c r="AG65" s="43">
        <f t="shared" si="39"/>
        <v>210.63912705028525</v>
      </c>
      <c r="AH65" s="43">
        <f t="shared" si="39"/>
        <v>213.25586249999989</v>
      </c>
      <c r="AI65" s="43">
        <f t="shared" si="39"/>
        <v>215.90510522654233</v>
      </c>
      <c r="AJ65" s="43">
        <f t="shared" si="39"/>
        <v>218.58725906249984</v>
      </c>
      <c r="AK65" s="43">
        <f t="shared" si="39"/>
        <v>221.30273285720585</v>
      </c>
      <c r="AL65" s="43">
        <f t="shared" si="39"/>
        <v>224.05194053906229</v>
      </c>
      <c r="AM65" s="43">
        <f t="shared" ref="AM65:AP66" si="45">AL65*(1+AM$45)^(1/2)</f>
        <v>226.83530117863594</v>
      </c>
      <c r="AN65" s="43">
        <f t="shared" si="45"/>
        <v>229.65323905253879</v>
      </c>
      <c r="AO65" s="43">
        <f t="shared" si="45"/>
        <v>232.50618370810179</v>
      </c>
      <c r="AP65" s="43">
        <f t="shared" si="45"/>
        <v>235.3945700288522</v>
      </c>
    </row>
    <row r="66" spans="2:57" outlineLevel="1" x14ac:dyDescent="0.25">
      <c r="C66" t="str">
        <f t="shared" si="38"/>
        <v>Stockland Rockhampton</v>
      </c>
      <c r="D66" t="s">
        <v>32</v>
      </c>
      <c r="E66" s="58"/>
      <c r="F66" s="58"/>
      <c r="G66" s="58"/>
      <c r="H66" s="58"/>
      <c r="I66" s="58"/>
      <c r="J66" s="58"/>
      <c r="K66" s="58"/>
      <c r="L66" s="58"/>
      <c r="M66" s="58"/>
      <c r="N66" s="58"/>
      <c r="O66" s="58"/>
      <c r="P66" s="58"/>
      <c r="Q66" s="58"/>
      <c r="R66" s="58"/>
      <c r="S66" s="58"/>
      <c r="T66" s="58"/>
      <c r="U66" s="86"/>
      <c r="V66" s="86"/>
      <c r="W66" s="86"/>
      <c r="X66" s="86"/>
      <c r="Y66" s="86"/>
      <c r="Z66" s="86">
        <v>392.30399999999997</v>
      </c>
      <c r="AA66" s="43">
        <f t="shared" si="39"/>
        <v>398.14507565519381</v>
      </c>
      <c r="AB66" s="43">
        <v>350</v>
      </c>
      <c r="AC66" s="43">
        <f t="shared" si="39"/>
        <v>353.48267284267274</v>
      </c>
      <c r="AD66" s="43">
        <f t="shared" si="39"/>
        <v>357</v>
      </c>
      <c r="AE66" s="43">
        <f t="shared" si="39"/>
        <v>361.43495265400105</v>
      </c>
      <c r="AF66" s="43">
        <f t="shared" si="39"/>
        <v>365.9249999999999</v>
      </c>
      <c r="AG66" s="43">
        <f t="shared" si="39"/>
        <v>370.47082647035097</v>
      </c>
      <c r="AH66" s="43">
        <f t="shared" si="39"/>
        <v>375.07312499999983</v>
      </c>
      <c r="AI66" s="43">
        <f t="shared" si="39"/>
        <v>379.73259713210967</v>
      </c>
      <c r="AJ66" s="43">
        <f t="shared" si="39"/>
        <v>384.44995312499975</v>
      </c>
      <c r="AK66" s="43">
        <f t="shared" si="39"/>
        <v>389.22591206041233</v>
      </c>
      <c r="AL66" s="43">
        <f t="shared" si="39"/>
        <v>394.06120195312462</v>
      </c>
      <c r="AM66" s="43">
        <f t="shared" si="45"/>
        <v>398.95655986192253</v>
      </c>
      <c r="AN66" s="43">
        <f t="shared" si="45"/>
        <v>403.91273200195263</v>
      </c>
      <c r="AO66" s="43">
        <f t="shared" si="45"/>
        <v>408.93047385847046</v>
      </c>
      <c r="AP66" s="43">
        <f t="shared" si="45"/>
        <v>414.01055030200132</v>
      </c>
    </row>
    <row r="67" spans="2:57" outlineLevel="1" x14ac:dyDescent="0.25">
      <c r="C67" t="str">
        <f t="shared" si="38"/>
        <v>Stockland Townsville^</v>
      </c>
      <c r="D67" t="s">
        <v>32</v>
      </c>
      <c r="E67" s="58"/>
      <c r="F67" s="58"/>
      <c r="G67" s="58"/>
      <c r="H67" s="58"/>
      <c r="I67" s="58"/>
      <c r="J67" s="58"/>
      <c r="K67" s="58"/>
      <c r="L67" s="58"/>
      <c r="M67" s="58"/>
      <c r="N67" s="58"/>
      <c r="O67" s="58"/>
      <c r="P67" s="58"/>
      <c r="Q67" s="58"/>
      <c r="R67" s="58"/>
      <c r="S67" s="58"/>
      <c r="T67" s="58"/>
      <c r="U67" s="86"/>
      <c r="V67" s="86"/>
      <c r="W67" s="86"/>
      <c r="X67" s="86"/>
      <c r="Y67" s="86"/>
      <c r="Z67" s="86">
        <v>150</v>
      </c>
      <c r="AA67" s="43">
        <f t="shared" si="39"/>
        <v>152.23337347638329</v>
      </c>
      <c r="AB67" s="43">
        <v>130</v>
      </c>
      <c r="AC67" s="99"/>
      <c r="AD67" s="99"/>
      <c r="AE67" s="99"/>
      <c r="AF67" s="99"/>
      <c r="AG67" s="99"/>
      <c r="AH67" s="99"/>
      <c r="AI67" s="99"/>
      <c r="AJ67" s="99"/>
      <c r="AK67" s="99"/>
      <c r="AL67" s="99"/>
      <c r="AM67" s="99"/>
      <c r="AN67" s="99"/>
      <c r="AO67" s="99"/>
      <c r="AP67" s="99"/>
    </row>
    <row r="68" spans="2:57" outlineLevel="1" x14ac:dyDescent="0.25">
      <c r="C68" t="str">
        <f t="shared" si="38"/>
        <v>Stockland Point Cook</v>
      </c>
      <c r="D68" t="s">
        <v>32</v>
      </c>
      <c r="E68" s="58"/>
      <c r="F68" s="58"/>
      <c r="G68" s="58"/>
      <c r="H68" s="58"/>
      <c r="I68" s="58"/>
      <c r="J68" s="58"/>
      <c r="K68" s="58"/>
      <c r="L68" s="58"/>
      <c r="M68" s="58"/>
      <c r="N68" s="58"/>
      <c r="O68" s="58"/>
      <c r="P68" s="58"/>
      <c r="Q68" s="58"/>
      <c r="R68" s="58"/>
      <c r="S68" s="58"/>
      <c r="T68" s="58"/>
      <c r="U68" s="86"/>
      <c r="V68" s="86"/>
      <c r="W68" s="86"/>
      <c r="X68" s="86"/>
      <c r="Y68" s="86"/>
      <c r="Z68" s="86">
        <v>236</v>
      </c>
      <c r="AA68" s="43">
        <f t="shared" ref="AA68:AL73" si="46">Z68*(1+AA$45)^(1/2)</f>
        <v>239.51384093617639</v>
      </c>
      <c r="AB68" s="43">
        <v>226</v>
      </c>
      <c r="AC68" s="43">
        <f t="shared" si="46"/>
        <v>228.24881160698297</v>
      </c>
      <c r="AD68" s="43">
        <f t="shared" si="46"/>
        <v>230.52</v>
      </c>
      <c r="AE68" s="43">
        <f t="shared" si="46"/>
        <v>233.38371228515496</v>
      </c>
      <c r="AF68" s="43">
        <f t="shared" si="46"/>
        <v>236.28299999999993</v>
      </c>
      <c r="AG68" s="43">
        <f t="shared" si="46"/>
        <v>239.21830509228374</v>
      </c>
      <c r="AH68" s="43">
        <f t="shared" si="46"/>
        <v>242.19007499999987</v>
      </c>
      <c r="AI68" s="43">
        <f t="shared" si="46"/>
        <v>245.19876271959077</v>
      </c>
      <c r="AJ68" s="43">
        <f t="shared" si="46"/>
        <v>248.24482687499977</v>
      </c>
      <c r="AK68" s="43">
        <f t="shared" si="46"/>
        <v>251.32873178758047</v>
      </c>
      <c r="AL68" s="43">
        <f t="shared" si="46"/>
        <v>254.45094754687472</v>
      </c>
      <c r="AM68" s="43">
        <f t="shared" ref="AM68:AN70" si="47">AL68*(1+AM$45)^(1/2)</f>
        <v>257.61195008226991</v>
      </c>
      <c r="AN68" s="43">
        <f t="shared" si="47"/>
        <v>260.81222123554653</v>
      </c>
      <c r="AO68" s="43">
        <f t="shared" ref="AO68:AO70" si="48">AN68*(1+AO$45)^(1/2)</f>
        <v>264.05224883432663</v>
      </c>
      <c r="AP68" s="43">
        <f t="shared" ref="AP68:AP70" si="49">AO68*(1+AP$45)^(1/2)</f>
        <v>267.33252676643514</v>
      </c>
    </row>
    <row r="69" spans="2:57" outlineLevel="1" x14ac:dyDescent="0.25">
      <c r="C69" t="str">
        <f t="shared" si="38"/>
        <v>Stockland Wendouree</v>
      </c>
      <c r="D69" t="s">
        <v>32</v>
      </c>
      <c r="E69" s="58"/>
      <c r="F69" s="58"/>
      <c r="G69" s="58"/>
      <c r="H69" s="58"/>
      <c r="I69" s="58"/>
      <c r="J69" s="58"/>
      <c r="K69" s="58"/>
      <c r="L69" s="58"/>
      <c r="M69" s="58"/>
      <c r="N69" s="58"/>
      <c r="O69" s="58"/>
      <c r="P69" s="58"/>
      <c r="Q69" s="58"/>
      <c r="R69" s="58"/>
      <c r="S69" s="58"/>
      <c r="T69" s="58"/>
      <c r="U69" s="86"/>
      <c r="V69" s="86"/>
      <c r="W69" s="86"/>
      <c r="X69" s="86"/>
      <c r="Y69" s="86"/>
      <c r="Z69" s="86">
        <v>179.3</v>
      </c>
      <c r="AA69" s="43">
        <f t="shared" si="46"/>
        <v>181.9696257621035</v>
      </c>
      <c r="AB69" s="43">
        <v>192</v>
      </c>
      <c r="AC69" s="43">
        <f t="shared" si="46"/>
        <v>193.9104948165519</v>
      </c>
      <c r="AD69" s="43">
        <f t="shared" si="46"/>
        <v>195.84</v>
      </c>
      <c r="AE69" s="43">
        <f t="shared" si="46"/>
        <v>198.27288831305199</v>
      </c>
      <c r="AF69" s="43">
        <f t="shared" si="46"/>
        <v>200.73599999999993</v>
      </c>
      <c r="AG69" s="43">
        <f t="shared" si="46"/>
        <v>203.22971052087823</v>
      </c>
      <c r="AH69" s="43">
        <f t="shared" si="46"/>
        <v>205.75439999999989</v>
      </c>
      <c r="AI69" s="43">
        <f t="shared" si="46"/>
        <v>208.31045328390013</v>
      </c>
      <c r="AJ69" s="43">
        <f t="shared" si="46"/>
        <v>210.89825999999982</v>
      </c>
      <c r="AK69" s="43">
        <f t="shared" si="46"/>
        <v>213.51821461599758</v>
      </c>
      <c r="AL69" s="43">
        <f t="shared" si="46"/>
        <v>216.17071649999977</v>
      </c>
      <c r="AM69" s="43">
        <f t="shared" si="47"/>
        <v>218.85616998139747</v>
      </c>
      <c r="AN69" s="43">
        <f t="shared" si="47"/>
        <v>221.5749844124997</v>
      </c>
      <c r="AO69" s="43">
        <f t="shared" si="48"/>
        <v>224.32757423093233</v>
      </c>
      <c r="AP69" s="43">
        <f t="shared" si="49"/>
        <v>227.11435902281212</v>
      </c>
    </row>
    <row r="70" spans="2:57" outlineLevel="1" x14ac:dyDescent="0.25">
      <c r="C70" t="str">
        <f t="shared" si="38"/>
        <v>Stockland Baldivis</v>
      </c>
      <c r="D70" t="s">
        <v>32</v>
      </c>
      <c r="E70" s="58"/>
      <c r="F70" s="58"/>
      <c r="G70" s="58"/>
      <c r="H70" s="58"/>
      <c r="I70" s="58"/>
      <c r="J70" s="58"/>
      <c r="K70" s="58"/>
      <c r="L70" s="58"/>
      <c r="M70" s="58"/>
      <c r="N70" s="58"/>
      <c r="O70" s="58"/>
      <c r="P70" s="58"/>
      <c r="Q70" s="58"/>
      <c r="R70" s="58"/>
      <c r="S70" s="58"/>
      <c r="T70" s="58"/>
      <c r="U70" s="86"/>
      <c r="V70" s="86"/>
      <c r="W70" s="86"/>
      <c r="X70" s="86"/>
      <c r="Y70" s="86"/>
      <c r="Z70" s="86">
        <v>198.16300000000001</v>
      </c>
      <c r="AA70" s="43">
        <f t="shared" si="46"/>
        <v>201.11347992133696</v>
      </c>
      <c r="AB70" s="43">
        <v>183</v>
      </c>
      <c r="AC70" s="43">
        <f t="shared" si="46"/>
        <v>184.82094037202603</v>
      </c>
      <c r="AD70" s="43">
        <f t="shared" si="46"/>
        <v>186.66</v>
      </c>
      <c r="AE70" s="43">
        <f t="shared" si="46"/>
        <v>188.97884667337769</v>
      </c>
      <c r="AF70" s="43">
        <f t="shared" si="46"/>
        <v>191.32649999999995</v>
      </c>
      <c r="AG70" s="43">
        <f t="shared" si="46"/>
        <v>193.70331784021207</v>
      </c>
      <c r="AH70" s="43">
        <f t="shared" si="46"/>
        <v>196.1096624999999</v>
      </c>
      <c r="AI70" s="43">
        <f t="shared" si="46"/>
        <v>198.54590078621732</v>
      </c>
      <c r="AJ70" s="43">
        <f t="shared" si="46"/>
        <v>201.01240406249983</v>
      </c>
      <c r="AK70" s="43">
        <f t="shared" si="46"/>
        <v>203.5095483058727</v>
      </c>
      <c r="AL70" s="43">
        <f t="shared" si="46"/>
        <v>206.03771416406229</v>
      </c>
      <c r="AM70" s="43">
        <f t="shared" si="47"/>
        <v>208.59728701351946</v>
      </c>
      <c r="AN70" s="43">
        <f t="shared" si="47"/>
        <v>211.18865701816378</v>
      </c>
      <c r="AO70" s="43">
        <f t="shared" si="48"/>
        <v>213.8122191888574</v>
      </c>
      <c r="AP70" s="43">
        <f t="shared" si="49"/>
        <v>216.46837344361782</v>
      </c>
    </row>
    <row r="71" spans="2:57" outlineLevel="1" x14ac:dyDescent="0.25">
      <c r="C71" t="str">
        <f t="shared" si="38"/>
        <v>Stockland Bull Creek^^</v>
      </c>
      <c r="D71" t="s">
        <v>32</v>
      </c>
      <c r="E71" s="58"/>
      <c r="F71" s="58"/>
      <c r="G71" s="58"/>
      <c r="H71" s="58"/>
      <c r="I71" s="58"/>
      <c r="J71" s="58"/>
      <c r="K71" s="58"/>
      <c r="L71" s="58"/>
      <c r="M71" s="58"/>
      <c r="N71" s="58"/>
      <c r="O71" s="58"/>
      <c r="P71" s="58"/>
      <c r="Q71" s="58"/>
      <c r="R71" s="58"/>
      <c r="S71" s="58"/>
      <c r="T71" s="58"/>
      <c r="U71" s="86"/>
      <c r="V71" s="86"/>
      <c r="W71" s="86"/>
      <c r="X71" s="86"/>
      <c r="Y71" s="86"/>
      <c r="Z71" s="86">
        <v>78</v>
      </c>
      <c r="AA71" s="99"/>
      <c r="AB71" s="99"/>
      <c r="AC71" s="99"/>
      <c r="AD71" s="99"/>
      <c r="AE71" s="99"/>
      <c r="AF71" s="99"/>
      <c r="AG71" s="99"/>
      <c r="AH71" s="99"/>
      <c r="AI71" s="99"/>
      <c r="AJ71" s="99"/>
      <c r="AK71" s="99"/>
      <c r="AL71" s="99"/>
      <c r="AM71" s="99"/>
      <c r="AN71" s="99"/>
      <c r="AO71" s="99"/>
      <c r="AP71" s="99"/>
    </row>
    <row r="72" spans="2:57" outlineLevel="1" x14ac:dyDescent="0.25">
      <c r="C72" t="str">
        <f t="shared" si="38"/>
        <v>Stockland Harrisdale</v>
      </c>
      <c r="D72" t="s">
        <v>32</v>
      </c>
      <c r="E72" s="58"/>
      <c r="F72" s="58"/>
      <c r="G72" s="58"/>
      <c r="H72" s="58"/>
      <c r="I72" s="58"/>
      <c r="J72" s="58"/>
      <c r="K72" s="58"/>
      <c r="L72" s="58"/>
      <c r="M72" s="58"/>
      <c r="N72" s="58"/>
      <c r="O72" s="58"/>
      <c r="P72" s="58"/>
      <c r="Q72" s="58"/>
      <c r="R72" s="58"/>
      <c r="S72" s="58"/>
      <c r="T72" s="58"/>
      <c r="U72" s="86"/>
      <c r="V72" s="86"/>
      <c r="W72" s="86"/>
      <c r="X72" s="86"/>
      <c r="Y72" s="86"/>
      <c r="Z72" s="86">
        <v>64.430000000000007</v>
      </c>
      <c r="AA72" s="43">
        <f t="shared" si="46"/>
        <v>65.389308353889177</v>
      </c>
      <c r="AB72" s="43">
        <v>62.5</v>
      </c>
      <c r="AC72" s="43">
        <f t="shared" si="46"/>
        <v>63.121905864762986</v>
      </c>
      <c r="AD72" s="43">
        <f t="shared" si="46"/>
        <v>63.75</v>
      </c>
      <c r="AE72" s="43">
        <f t="shared" si="46"/>
        <v>64.541955831071618</v>
      </c>
      <c r="AF72" s="43">
        <f t="shared" si="46"/>
        <v>65.343749999999986</v>
      </c>
      <c r="AG72" s="43">
        <f t="shared" si="46"/>
        <v>66.155504726848392</v>
      </c>
      <c r="AH72" s="43">
        <f t="shared" si="46"/>
        <v>66.977343749999974</v>
      </c>
      <c r="AI72" s="43">
        <f t="shared" si="46"/>
        <v>67.809392345019589</v>
      </c>
      <c r="AJ72" s="43">
        <f t="shared" si="46"/>
        <v>68.651777343749956</v>
      </c>
      <c r="AK72" s="43">
        <f t="shared" si="46"/>
        <v>69.50462715364506</v>
      </c>
      <c r="AL72" s="43">
        <f t="shared" si="46"/>
        <v>70.368071777343687</v>
      </c>
      <c r="AM72" s="43">
        <f>AL72*(1+AM$45)^(1/2)</f>
        <v>71.24224283248617</v>
      </c>
      <c r="AN72" s="43">
        <f>AM72*(1+AN$45)^(1/2)</f>
        <v>72.127273571777266</v>
      </c>
      <c r="AO72" s="43">
        <f>AN72*(1+AO$45)^(1/2)</f>
        <v>73.023298903298311</v>
      </c>
      <c r="AP72" s="43">
        <f>AO72*(1+AP$45)^(1/2)</f>
        <v>73.930455411071677</v>
      </c>
    </row>
    <row r="73" spans="2:57" outlineLevel="1" x14ac:dyDescent="0.25">
      <c r="C73" t="str">
        <f t="shared" si="38"/>
        <v>Stockland Riverton^</v>
      </c>
      <c r="D73" t="s">
        <v>32</v>
      </c>
      <c r="E73" s="58"/>
      <c r="F73" s="58"/>
      <c r="G73" s="58"/>
      <c r="H73" s="58"/>
      <c r="I73" s="58"/>
      <c r="J73" s="58"/>
      <c r="K73" s="58"/>
      <c r="L73" s="58"/>
      <c r="M73" s="58"/>
      <c r="N73" s="58"/>
      <c r="O73" s="58"/>
      <c r="P73" s="58"/>
      <c r="Q73" s="58"/>
      <c r="R73" s="58"/>
      <c r="S73" s="58"/>
      <c r="T73" s="58"/>
      <c r="U73" s="86"/>
      <c r="V73" s="86"/>
      <c r="W73" s="86"/>
      <c r="X73" s="86"/>
      <c r="Y73" s="86"/>
      <c r="Z73" s="86">
        <v>48.25</v>
      </c>
      <c r="AA73" s="43">
        <f t="shared" si="46"/>
        <v>48.968401801569961</v>
      </c>
      <c r="AB73" s="99"/>
      <c r="AC73" s="99"/>
      <c r="AD73" s="99"/>
      <c r="AE73" s="99"/>
      <c r="AF73" s="99"/>
      <c r="AG73" s="99"/>
      <c r="AH73" s="99"/>
      <c r="AI73" s="99"/>
      <c r="AJ73" s="99"/>
      <c r="AK73" s="99"/>
      <c r="AL73" s="99"/>
      <c r="AM73" s="99"/>
      <c r="AN73" s="99"/>
      <c r="AO73" s="99"/>
      <c r="AP73" s="99"/>
    </row>
    <row r="74" spans="2:57" outlineLevel="1" x14ac:dyDescent="0.25">
      <c r="E74" s="58"/>
      <c r="F74" s="58"/>
      <c r="G74" s="58"/>
      <c r="H74" s="58"/>
      <c r="I74" s="58"/>
      <c r="J74" s="58"/>
      <c r="K74" s="58"/>
      <c r="L74" s="58"/>
      <c r="M74" s="58"/>
      <c r="N74" s="58"/>
      <c r="O74" s="58"/>
      <c r="P74" s="58"/>
      <c r="Q74" s="58"/>
      <c r="R74" s="58"/>
      <c r="S74" s="58"/>
      <c r="T74" s="58"/>
      <c r="U74" s="86"/>
      <c r="V74" s="86"/>
      <c r="W74" s="86"/>
      <c r="X74" s="86"/>
      <c r="Y74" s="86"/>
      <c r="Z74" s="86"/>
      <c r="AA74" s="43"/>
      <c r="AB74" s="43"/>
      <c r="AC74" s="43"/>
      <c r="AD74" s="43"/>
      <c r="AE74" s="43"/>
      <c r="AF74" s="43"/>
      <c r="AG74" s="43"/>
      <c r="AH74" s="43"/>
      <c r="AI74" s="43"/>
      <c r="AJ74" s="43"/>
      <c r="AK74" s="43"/>
      <c r="AL74" s="43"/>
      <c r="AM74" s="43"/>
      <c r="AN74" s="43"/>
      <c r="AO74" s="43"/>
      <c r="AP74" s="43"/>
    </row>
    <row r="75" spans="2:57" outlineLevel="1" x14ac:dyDescent="0.25">
      <c r="E75" s="58"/>
      <c r="F75" s="58"/>
      <c r="G75" s="58"/>
      <c r="H75" s="58"/>
      <c r="I75" s="58"/>
      <c r="J75" s="58"/>
      <c r="K75" s="58"/>
      <c r="L75" s="58"/>
      <c r="M75" s="58"/>
      <c r="N75" s="58"/>
      <c r="O75" s="58"/>
      <c r="P75" s="58"/>
      <c r="Q75" s="58"/>
      <c r="R75" s="58"/>
      <c r="S75" s="58"/>
      <c r="T75" s="58"/>
      <c r="U75" s="86"/>
      <c r="V75" s="86"/>
      <c r="W75" s="86"/>
      <c r="X75" s="86"/>
      <c r="Y75" s="86"/>
      <c r="Z75" s="86"/>
      <c r="AA75" s="43"/>
      <c r="AB75" s="43"/>
      <c r="AC75" s="43"/>
      <c r="AD75" s="43"/>
      <c r="AE75" s="43"/>
      <c r="AF75" s="43"/>
      <c r="AG75" s="43"/>
      <c r="AH75" s="43"/>
      <c r="AI75" s="43"/>
      <c r="AJ75" s="43"/>
      <c r="AK75" s="43"/>
      <c r="AL75" s="43"/>
      <c r="AM75" s="43"/>
      <c r="AN75" s="43"/>
      <c r="AO75" s="43"/>
      <c r="AP75" s="43"/>
    </row>
    <row r="76" spans="2:57" outlineLevel="1" x14ac:dyDescent="0.25">
      <c r="C76" t="s">
        <v>238</v>
      </c>
      <c r="D76" t="s">
        <v>32</v>
      </c>
      <c r="E76" s="58"/>
      <c r="F76" s="58"/>
      <c r="G76" s="58"/>
      <c r="H76" s="58"/>
      <c r="I76" s="58"/>
      <c r="J76" s="58"/>
      <c r="K76" s="58"/>
      <c r="L76" s="58"/>
      <c r="M76" s="58"/>
      <c r="N76" s="58"/>
      <c r="O76" s="58"/>
      <c r="P76" s="58"/>
      <c r="Q76" s="58"/>
      <c r="R76" s="58"/>
      <c r="S76" s="58"/>
      <c r="T76" s="58"/>
      <c r="U76" s="86"/>
      <c r="V76" s="86"/>
      <c r="W76" s="86"/>
      <c r="X76" s="86"/>
      <c r="Y76" s="86"/>
      <c r="Z76" s="88">
        <f>Z119</f>
        <v>0</v>
      </c>
      <c r="AA76" s="88">
        <f t="shared" ref="AA76:AL76" si="50">AA119</f>
        <v>0</v>
      </c>
      <c r="AB76" s="43">
        <f t="shared" si="50"/>
        <v>0</v>
      </c>
      <c r="AC76" s="43">
        <f t="shared" si="50"/>
        <v>0</v>
      </c>
      <c r="AD76" s="43">
        <f t="shared" si="50"/>
        <v>0</v>
      </c>
      <c r="AE76" s="43">
        <f t="shared" si="50"/>
        <v>0</v>
      </c>
      <c r="AF76" s="43">
        <f t="shared" si="50"/>
        <v>0</v>
      </c>
      <c r="AG76" s="43">
        <f t="shared" si="50"/>
        <v>0</v>
      </c>
      <c r="AH76" s="43">
        <f t="shared" si="50"/>
        <v>69.333333333333329</v>
      </c>
      <c r="AI76" s="43">
        <f t="shared" si="50"/>
        <v>139.52798333523083</v>
      </c>
      <c r="AJ76" s="43">
        <f t="shared" si="50"/>
        <v>210.59465000189749</v>
      </c>
      <c r="AK76" s="43">
        <f t="shared" si="50"/>
        <v>213.21083292050906</v>
      </c>
      <c r="AL76" s="43">
        <f t="shared" si="50"/>
        <v>215.85951625194485</v>
      </c>
      <c r="AM76" s="43">
        <f>AM119</f>
        <v>218.54110374352172</v>
      </c>
      <c r="AN76" s="43">
        <f>AN119</f>
        <v>221.2560041582434</v>
      </c>
      <c r="AO76" s="43">
        <f>AO119</f>
        <v>224.00463133710969</v>
      </c>
      <c r="AP76" s="43">
        <f>AP119</f>
        <v>226.78740426219943</v>
      </c>
    </row>
    <row r="77" spans="2:57" outlineLevel="1" x14ac:dyDescent="0.25">
      <c r="C77" t="s">
        <v>115</v>
      </c>
      <c r="D77" t="s">
        <v>32</v>
      </c>
      <c r="E77" s="58"/>
      <c r="F77" s="58"/>
      <c r="G77" s="58"/>
      <c r="H77" s="58"/>
      <c r="I77" s="58"/>
      <c r="J77" s="58"/>
      <c r="K77" s="58"/>
      <c r="L77" s="58"/>
      <c r="M77" s="58"/>
      <c r="N77" s="58"/>
      <c r="O77" s="58"/>
      <c r="P77" s="58"/>
      <c r="Q77" s="58"/>
      <c r="R77" s="58"/>
      <c r="S77" s="58"/>
      <c r="T77" s="58"/>
      <c r="U77" s="86"/>
      <c r="V77" s="86"/>
      <c r="W77" s="86"/>
      <c r="X77" s="86"/>
      <c r="Y77" s="86"/>
      <c r="Z77" s="88">
        <f>Z78-SUM(Z51:Z76)</f>
        <v>2.3670000000001892</v>
      </c>
      <c r="AA77" s="43">
        <f>AA78-SUM(AA51:AA76)</f>
        <v>-53.966997689440177</v>
      </c>
      <c r="AB77" s="43">
        <f>AB78-SUM(AB51:AB76)</f>
        <v>1.7999999999992724</v>
      </c>
      <c r="AC77" s="43">
        <f>AC78-SUM(AC51:AC76)</f>
        <v>-107.64104335450429</v>
      </c>
      <c r="AD77" s="43">
        <f>AD78-SUM(AD51:AD76)</f>
        <v>-75.824000000000524</v>
      </c>
      <c r="AE77" s="43">
        <f t="shared" ref="AE77:AL77" si="51">AD77*(1+AE$45)^(1/2)</f>
        <v>-76.76594915976797</v>
      </c>
      <c r="AF77" s="43">
        <f t="shared" si="51"/>
        <v>-77.719600000000526</v>
      </c>
      <c r="AG77" s="43">
        <f t="shared" si="51"/>
        <v>-78.685097888762158</v>
      </c>
      <c r="AH77" s="43">
        <f t="shared" si="51"/>
        <v>-79.66259000000052</v>
      </c>
      <c r="AI77" s="43">
        <f t="shared" si="51"/>
        <v>-80.652225335981186</v>
      </c>
      <c r="AJ77" s="43">
        <f t="shared" si="51"/>
        <v>-81.654154750000515</v>
      </c>
      <c r="AK77" s="43">
        <f t="shared" si="51"/>
        <v>-82.668530969380697</v>
      </c>
      <c r="AL77" s="43">
        <f t="shared" si="51"/>
        <v>-83.695508618750509</v>
      </c>
      <c r="AM77" s="43">
        <f>AL77*(1+AM$45)^(1/2)</f>
        <v>-84.735244243615199</v>
      </c>
      <c r="AN77" s="43">
        <f>AM77*(1+AN$45)^(1/2)</f>
        <v>-85.787896334219255</v>
      </c>
      <c r="AO77" s="43">
        <f>AN77*(1+AO$45)^(1/2)</f>
        <v>-86.853625349705553</v>
      </c>
      <c r="AP77" s="43">
        <f>AO77*(1+AP$45)^(1/2)</f>
        <v>-87.93259374257471</v>
      </c>
    </row>
    <row r="78" spans="2:57" s="6" customFormat="1" x14ac:dyDescent="0.25">
      <c r="C78" s="6" t="s">
        <v>299</v>
      </c>
      <c r="D78" s="6" t="s">
        <v>32</v>
      </c>
      <c r="E78" s="46"/>
      <c r="F78" s="46"/>
      <c r="G78" s="46"/>
      <c r="H78" s="46"/>
      <c r="I78" s="46"/>
      <c r="J78" s="46"/>
      <c r="K78" s="46"/>
      <c r="L78" s="46"/>
      <c r="M78" s="46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33">
        <v>5543</v>
      </c>
      <c r="AA78" s="33">
        <v>5490</v>
      </c>
      <c r="AB78" s="33">
        <v>5201</v>
      </c>
      <c r="AC78" s="33">
        <v>5012</v>
      </c>
      <c r="AD78" s="33">
        <v>4495</v>
      </c>
      <c r="AE78" s="46">
        <f t="shared" ref="AE78:AL78" si="52">SUM(AE51:AE77)</f>
        <v>4550.8406503634023</v>
      </c>
      <c r="AF78" s="46">
        <f t="shared" si="52"/>
        <v>4607.3749999999982</v>
      </c>
      <c r="AG78" s="46">
        <f t="shared" si="52"/>
        <v>4664.6116666224852</v>
      </c>
      <c r="AH78" s="46">
        <f t="shared" si="52"/>
        <v>4791.8927083333292</v>
      </c>
      <c r="AI78" s="46">
        <f t="shared" si="52"/>
        <v>4920.7549416232769</v>
      </c>
      <c r="AJ78" s="46">
        <f t="shared" si="52"/>
        <v>5051.218009376893</v>
      </c>
      <c r="AK78" s="46">
        <f t="shared" si="52"/>
        <v>5113.9684651657553</v>
      </c>
      <c r="AL78" s="46">
        <f t="shared" si="52"/>
        <v>5177.4984596113136</v>
      </c>
      <c r="AM78" s="46">
        <f>SUM(AM51:AM77)</f>
        <v>5241.8176767948971</v>
      </c>
      <c r="AN78" s="46">
        <f>SUM(AN51:AN77)</f>
        <v>5306.9359211015963</v>
      </c>
      <c r="AO78" s="46">
        <f>SUM(AO51:AO77)</f>
        <v>5372.8631187147685</v>
      </c>
      <c r="AP78" s="46">
        <f>SUM(AP51:AP77)</f>
        <v>5439.6093191291329</v>
      </c>
    </row>
    <row r="79" spans="2:57" x14ac:dyDescent="0.25">
      <c r="C79" s="44"/>
      <c r="E79" s="54"/>
      <c r="F79" s="54"/>
      <c r="G79" s="54"/>
      <c r="H79" s="54"/>
      <c r="I79" s="54"/>
      <c r="J79" s="54"/>
      <c r="K79" s="54"/>
      <c r="L79" s="54"/>
      <c r="M79" s="54"/>
      <c r="N79" s="54"/>
      <c r="O79" s="54"/>
      <c r="P79" s="54"/>
      <c r="Q79" s="54"/>
      <c r="R79" s="54"/>
      <c r="S79" s="54"/>
      <c r="T79" s="54"/>
      <c r="U79" s="54"/>
      <c r="V79" s="54"/>
      <c r="W79" s="54"/>
      <c r="X79" s="54"/>
      <c r="Y79" s="54"/>
      <c r="Z79" s="54"/>
      <c r="AA79" s="54"/>
      <c r="AB79" s="54"/>
      <c r="AC79" s="54"/>
      <c r="AD79" s="54"/>
      <c r="AE79" s="54"/>
      <c r="AF79" s="54"/>
      <c r="AG79" s="54"/>
      <c r="AH79" s="54"/>
      <c r="AI79" s="54"/>
      <c r="AJ79" s="54"/>
      <c r="AK79" s="54"/>
      <c r="AL79" s="54"/>
      <c r="AM79" s="54"/>
      <c r="AN79" s="54"/>
      <c r="AO79" s="54"/>
      <c r="AP79" s="54"/>
    </row>
    <row r="80" spans="2:57" s="23" customFormat="1" x14ac:dyDescent="0.25">
      <c r="B80" s="23" t="s">
        <v>118</v>
      </c>
      <c r="E80" s="57"/>
      <c r="F80" s="57"/>
      <c r="G80" s="57"/>
      <c r="H80" s="57"/>
      <c r="I80" s="57"/>
      <c r="J80" s="57"/>
      <c r="K80" s="57"/>
      <c r="L80" s="57"/>
      <c r="M80" s="57"/>
      <c r="N80" s="57"/>
      <c r="O80" s="57"/>
      <c r="P80" s="57"/>
      <c r="Q80" s="57"/>
      <c r="R80" s="57"/>
      <c r="S80" s="57"/>
      <c r="T80" s="57"/>
      <c r="U80" s="57"/>
      <c r="V80" s="57"/>
      <c r="W80" s="57"/>
      <c r="X80" s="57"/>
      <c r="Y80" s="57"/>
      <c r="Z80" s="57"/>
      <c r="AA80" s="57"/>
      <c r="AB80" s="57"/>
      <c r="AC80" s="57"/>
      <c r="AD80" s="57"/>
      <c r="AE80" s="57"/>
      <c r="AF80" s="57"/>
      <c r="AG80" s="57"/>
      <c r="AH80" s="57"/>
      <c r="AI80" s="57"/>
      <c r="AJ80" s="57"/>
      <c r="AK80" s="57"/>
      <c r="AL80" s="57"/>
      <c r="AM80" s="57"/>
      <c r="AN80" s="57"/>
      <c r="AO80" s="57"/>
      <c r="AP80" s="57"/>
      <c r="AQ80" s="24"/>
      <c r="AR80" s="24"/>
      <c r="AS80" s="24"/>
      <c r="AT80" s="24"/>
      <c r="AU80" s="24"/>
      <c r="AV80" s="24"/>
      <c r="AW80" s="24"/>
      <c r="AX80" s="24"/>
      <c r="AY80" s="24"/>
      <c r="AZ80" s="24"/>
      <c r="BA80" s="24"/>
      <c r="BE80" s="25"/>
    </row>
    <row r="81" spans="1:57" x14ac:dyDescent="0.25">
      <c r="C81" t="s">
        <v>248</v>
      </c>
      <c r="E81" s="87"/>
      <c r="F81" s="87"/>
      <c r="G81" s="87"/>
      <c r="H81" s="87"/>
      <c r="I81" s="87"/>
      <c r="J81" s="87"/>
      <c r="K81" s="87"/>
      <c r="L81" s="87"/>
      <c r="M81" s="87"/>
      <c r="N81" s="87"/>
      <c r="O81" s="87"/>
      <c r="P81" s="87"/>
      <c r="Q81" s="87"/>
      <c r="R81" s="87"/>
      <c r="S81" s="87"/>
      <c r="T81" s="87"/>
      <c r="U81" s="87"/>
      <c r="V81" s="87"/>
      <c r="W81" s="87"/>
      <c r="X81" s="87"/>
      <c r="Y81" s="87"/>
      <c r="Z81" s="87"/>
      <c r="AA81" s="87">
        <f>AA78-Z78</f>
        <v>-53</v>
      </c>
      <c r="AB81" s="87">
        <f t="shared" ref="AB81:AL81" si="53">AB78-AA78</f>
        <v>-289</v>
      </c>
      <c r="AC81" s="87">
        <f t="shared" si="53"/>
        <v>-189</v>
      </c>
      <c r="AD81" s="87">
        <f t="shared" si="53"/>
        <v>-517</v>
      </c>
      <c r="AE81" s="87">
        <f t="shared" si="53"/>
        <v>55.840650363402347</v>
      </c>
      <c r="AF81" s="87">
        <f t="shared" si="53"/>
        <v>56.534349636595834</v>
      </c>
      <c r="AG81" s="87">
        <f t="shared" si="53"/>
        <v>57.236666622487064</v>
      </c>
      <c r="AH81" s="87">
        <f t="shared" si="53"/>
        <v>127.28104171084397</v>
      </c>
      <c r="AI81" s="87">
        <f t="shared" si="53"/>
        <v>128.86223328994765</v>
      </c>
      <c r="AJ81" s="87">
        <f t="shared" si="53"/>
        <v>130.46306775361609</v>
      </c>
      <c r="AK81" s="87">
        <f t="shared" si="53"/>
        <v>62.750455788862382</v>
      </c>
      <c r="AL81" s="87">
        <f t="shared" si="53"/>
        <v>63.529994445558259</v>
      </c>
      <c r="AM81" s="87">
        <f>AM78-AL78</f>
        <v>64.319217183583532</v>
      </c>
      <c r="AN81" s="87">
        <f>AN78-AM78</f>
        <v>65.118244306699125</v>
      </c>
      <c r="AO81" s="87">
        <f>AO78-AN78</f>
        <v>65.927197613172211</v>
      </c>
      <c r="AP81" s="87">
        <f>AP78-AO78</f>
        <v>66.746200414364466</v>
      </c>
    </row>
    <row r="82" spans="1:57" x14ac:dyDescent="0.25">
      <c r="C82" t="s">
        <v>85</v>
      </c>
      <c r="E82" s="87"/>
      <c r="F82" s="87"/>
      <c r="G82" s="87"/>
      <c r="H82" s="87"/>
      <c r="I82" s="87"/>
      <c r="J82" s="87"/>
      <c r="K82" s="87"/>
      <c r="L82" s="87"/>
      <c r="M82" s="87"/>
      <c r="N82" s="87"/>
      <c r="O82" s="87"/>
      <c r="P82" s="87"/>
      <c r="Q82" s="87"/>
      <c r="R82" s="87"/>
      <c r="S82" s="87"/>
      <c r="T82" s="87"/>
      <c r="U82" s="87"/>
      <c r="V82" s="87"/>
      <c r="W82" s="87"/>
      <c r="X82" s="87"/>
      <c r="Y82" s="87"/>
      <c r="Z82" s="87"/>
      <c r="AA82" s="87">
        <f>-AA93</f>
        <v>0</v>
      </c>
      <c r="AB82" s="87">
        <f t="shared" ref="AB82:AL82" si="54">-AB93</f>
        <v>0</v>
      </c>
      <c r="AC82" s="87">
        <f t="shared" si="54"/>
        <v>0</v>
      </c>
      <c r="AD82" s="87">
        <f t="shared" si="54"/>
        <v>0</v>
      </c>
      <c r="AE82" s="87">
        <f t="shared" si="54"/>
        <v>0</v>
      </c>
      <c r="AF82" s="87">
        <f t="shared" si="54"/>
        <v>0</v>
      </c>
      <c r="AG82" s="87">
        <f t="shared" si="54"/>
        <v>0</v>
      </c>
      <c r="AH82" s="87">
        <f t="shared" si="54"/>
        <v>0</v>
      </c>
      <c r="AI82" s="87">
        <f t="shared" si="54"/>
        <v>0</v>
      </c>
      <c r="AJ82" s="87">
        <f t="shared" si="54"/>
        <v>0</v>
      </c>
      <c r="AK82" s="87">
        <f t="shared" si="54"/>
        <v>0</v>
      </c>
      <c r="AL82" s="87">
        <f t="shared" si="54"/>
        <v>0</v>
      </c>
      <c r="AM82" s="87">
        <f>-AM93</f>
        <v>0</v>
      </c>
      <c r="AN82" s="87">
        <f>-AN93</f>
        <v>0</v>
      </c>
      <c r="AO82" s="87">
        <f>-AO93</f>
        <v>0</v>
      </c>
      <c r="AP82" s="87">
        <f>-AP93</f>
        <v>0</v>
      </c>
    </row>
    <row r="83" spans="1:57" x14ac:dyDescent="0.25">
      <c r="C83" t="s">
        <v>249</v>
      </c>
      <c r="E83" s="87"/>
      <c r="F83" s="87"/>
      <c r="G83" s="87"/>
      <c r="H83" s="87"/>
      <c r="I83" s="87"/>
      <c r="J83" s="87"/>
      <c r="K83" s="87"/>
      <c r="L83" s="87"/>
      <c r="M83" s="87"/>
      <c r="N83" s="87"/>
      <c r="O83" s="87"/>
      <c r="P83" s="87"/>
      <c r="Q83" s="87"/>
      <c r="R83" s="87"/>
      <c r="S83" s="87"/>
      <c r="T83" s="87"/>
      <c r="U83" s="87"/>
      <c r="V83" s="87"/>
      <c r="W83" s="87"/>
      <c r="X83" s="87"/>
      <c r="Y83" s="87"/>
      <c r="Z83" s="87"/>
      <c r="AA83" s="87">
        <f>AA107</f>
        <v>78</v>
      </c>
      <c r="AB83" s="87">
        <f t="shared" ref="AB83:AL83" si="55">AB107</f>
        <v>188</v>
      </c>
      <c r="AC83" s="87">
        <f t="shared" si="55"/>
        <v>123.5</v>
      </c>
      <c r="AD83" s="87">
        <f t="shared" si="55"/>
        <v>570</v>
      </c>
      <c r="AE83" s="87">
        <f t="shared" si="55"/>
        <v>0</v>
      </c>
      <c r="AF83" s="87">
        <f t="shared" si="55"/>
        <v>0</v>
      </c>
      <c r="AG83" s="87">
        <f t="shared" si="55"/>
        <v>0</v>
      </c>
      <c r="AH83" s="87">
        <f t="shared" si="55"/>
        <v>0</v>
      </c>
      <c r="AI83" s="87">
        <f t="shared" si="55"/>
        <v>0</v>
      </c>
      <c r="AJ83" s="87">
        <f t="shared" si="55"/>
        <v>0</v>
      </c>
      <c r="AK83" s="87">
        <f t="shared" si="55"/>
        <v>0</v>
      </c>
      <c r="AL83" s="87">
        <f t="shared" si="55"/>
        <v>0</v>
      </c>
      <c r="AM83" s="87">
        <f>AM107</f>
        <v>0</v>
      </c>
      <c r="AN83" s="87">
        <f>AN107</f>
        <v>0</v>
      </c>
      <c r="AO83" s="87">
        <f>AO107</f>
        <v>0</v>
      </c>
      <c r="AP83" s="87">
        <f>AP107</f>
        <v>0</v>
      </c>
    </row>
    <row r="84" spans="1:57" x14ac:dyDescent="0.25">
      <c r="C84" t="s">
        <v>250</v>
      </c>
      <c r="E84" s="87"/>
      <c r="F84" s="87"/>
      <c r="G84" s="87"/>
      <c r="H84" s="87"/>
      <c r="I84" s="87"/>
      <c r="J84" s="87"/>
      <c r="K84" s="87"/>
      <c r="L84" s="87"/>
      <c r="M84" s="87"/>
      <c r="N84" s="87"/>
      <c r="O84" s="87"/>
      <c r="P84" s="87"/>
      <c r="Q84" s="87"/>
      <c r="R84" s="87"/>
      <c r="S84" s="87"/>
      <c r="T84" s="87"/>
      <c r="U84" s="87"/>
      <c r="V84" s="87"/>
      <c r="W84" s="87"/>
      <c r="X84" s="87"/>
      <c r="Y84" s="87"/>
      <c r="Z84" s="87"/>
      <c r="AA84" s="87">
        <f>-AA114</f>
        <v>0</v>
      </c>
      <c r="AB84" s="87">
        <f t="shared" ref="AB84:AL84" si="56">-AB114</f>
        <v>0</v>
      </c>
      <c r="AC84" s="87">
        <f t="shared" si="56"/>
        <v>0</v>
      </c>
      <c r="AD84" s="87">
        <f t="shared" si="56"/>
        <v>0</v>
      </c>
      <c r="AE84" s="87">
        <f t="shared" si="56"/>
        <v>0</v>
      </c>
      <c r="AF84" s="87">
        <f t="shared" si="56"/>
        <v>0</v>
      </c>
      <c r="AG84" s="87">
        <f t="shared" si="56"/>
        <v>0</v>
      </c>
      <c r="AH84" s="87">
        <f t="shared" si="56"/>
        <v>-58.666666666666664</v>
      </c>
      <c r="AI84" s="87">
        <f t="shared" si="56"/>
        <v>-58.666666666666664</v>
      </c>
      <c r="AJ84" s="87">
        <f t="shared" si="56"/>
        <v>-58.666666666666664</v>
      </c>
      <c r="AK84" s="87">
        <f t="shared" si="56"/>
        <v>0</v>
      </c>
      <c r="AL84" s="87">
        <f t="shared" si="56"/>
        <v>0</v>
      </c>
      <c r="AM84" s="87">
        <f>-AM114</f>
        <v>0</v>
      </c>
      <c r="AN84" s="87">
        <f>-AN114</f>
        <v>0</v>
      </c>
      <c r="AO84" s="87">
        <f>-AO114</f>
        <v>0</v>
      </c>
      <c r="AP84" s="87">
        <f>-AP114</f>
        <v>0</v>
      </c>
    </row>
    <row r="85" spans="1:57" x14ac:dyDescent="0.25">
      <c r="C85" t="s">
        <v>115</v>
      </c>
      <c r="E85" s="87"/>
      <c r="F85" s="87"/>
      <c r="G85" s="87"/>
      <c r="H85" s="87"/>
      <c r="I85" s="87"/>
      <c r="J85" s="87"/>
      <c r="K85" s="87"/>
      <c r="L85" s="87"/>
      <c r="M85" s="87"/>
      <c r="N85" s="87"/>
      <c r="O85" s="87"/>
      <c r="P85" s="87"/>
      <c r="Q85" s="87"/>
      <c r="R85" s="87"/>
      <c r="S85" s="87"/>
      <c r="T85" s="87"/>
      <c r="U85" s="87"/>
      <c r="V85" s="87"/>
      <c r="W85" s="87"/>
      <c r="X85" s="87"/>
      <c r="Y85" s="87"/>
      <c r="Z85" s="87"/>
      <c r="AA85" s="87"/>
      <c r="AB85" s="87"/>
      <c r="AC85" s="87"/>
      <c r="AD85" s="87"/>
      <c r="AE85" s="87"/>
      <c r="AF85" s="87"/>
      <c r="AG85" s="87"/>
      <c r="AH85" s="87"/>
      <c r="AI85" s="87"/>
      <c r="AJ85" s="87"/>
      <c r="AK85" s="87"/>
      <c r="AL85" s="87"/>
      <c r="AM85" s="87"/>
      <c r="AN85" s="87"/>
      <c r="AO85" s="87"/>
      <c r="AP85" s="87"/>
    </row>
    <row r="86" spans="1:57" s="6" customFormat="1" x14ac:dyDescent="0.25">
      <c r="C86" s="6" t="s">
        <v>247</v>
      </c>
      <c r="D86" s="6" t="s">
        <v>32</v>
      </c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>
        <f>SUM(Z81:Z85)</f>
        <v>0</v>
      </c>
      <c r="AA86" s="46">
        <f t="shared" ref="AA86:AL86" si="57">SUM(AA81:AA85)</f>
        <v>25</v>
      </c>
      <c r="AB86" s="46">
        <f t="shared" si="57"/>
        <v>-101</v>
      </c>
      <c r="AC86" s="46">
        <f t="shared" si="57"/>
        <v>-65.5</v>
      </c>
      <c r="AD86" s="46">
        <f t="shared" si="57"/>
        <v>53</v>
      </c>
      <c r="AE86" s="46">
        <f t="shared" si="57"/>
        <v>55.840650363402347</v>
      </c>
      <c r="AF86" s="46">
        <f t="shared" si="57"/>
        <v>56.534349636595834</v>
      </c>
      <c r="AG86" s="46">
        <f t="shared" si="57"/>
        <v>57.236666622487064</v>
      </c>
      <c r="AH86" s="46">
        <f t="shared" si="57"/>
        <v>68.614375044177308</v>
      </c>
      <c r="AI86" s="46">
        <f t="shared" si="57"/>
        <v>70.195566623280996</v>
      </c>
      <c r="AJ86" s="46">
        <f t="shared" si="57"/>
        <v>71.79640108694943</v>
      </c>
      <c r="AK86" s="46">
        <f t="shared" si="57"/>
        <v>62.750455788862382</v>
      </c>
      <c r="AL86" s="46">
        <f t="shared" si="57"/>
        <v>63.529994445558259</v>
      </c>
      <c r="AM86" s="46">
        <f>SUM(AM81:AM85)</f>
        <v>64.319217183583532</v>
      </c>
      <c r="AN86" s="46">
        <f>SUM(AN81:AN85)</f>
        <v>65.118244306699125</v>
      </c>
      <c r="AO86" s="46">
        <f>SUM(AO81:AO85)</f>
        <v>65.927197613172211</v>
      </c>
      <c r="AP86" s="46">
        <f>SUM(AP81:AP85)</f>
        <v>66.746200414364466</v>
      </c>
    </row>
    <row r="87" spans="1:57" x14ac:dyDescent="0.25">
      <c r="C87" s="44"/>
      <c r="E87" s="54"/>
      <c r="F87" s="54"/>
      <c r="G87" s="54"/>
      <c r="H87" s="54"/>
      <c r="I87" s="54"/>
      <c r="J87" s="54"/>
      <c r="K87" s="54"/>
      <c r="L87" s="54"/>
      <c r="M87" s="54"/>
      <c r="N87" s="54"/>
      <c r="O87" s="54"/>
      <c r="P87" s="54"/>
      <c r="Q87" s="54"/>
      <c r="R87" s="54"/>
      <c r="S87" s="54"/>
      <c r="T87" s="54"/>
      <c r="U87" s="54"/>
      <c r="V87" s="54"/>
      <c r="W87" s="54"/>
      <c r="X87" s="54"/>
      <c r="Y87" s="54"/>
      <c r="Z87" s="54"/>
      <c r="AA87" s="54"/>
      <c r="AB87" s="54"/>
      <c r="AC87" s="54"/>
      <c r="AD87" s="54"/>
      <c r="AE87" s="54"/>
      <c r="AF87" s="54"/>
      <c r="AG87" s="54"/>
      <c r="AH87" s="54"/>
      <c r="AI87" s="54"/>
      <c r="AJ87" s="54"/>
      <c r="AK87" s="54"/>
      <c r="AL87" s="54"/>
      <c r="AM87" s="54"/>
      <c r="AN87" s="54"/>
      <c r="AO87" s="54"/>
      <c r="AP87" s="54"/>
    </row>
    <row r="88" spans="1:57" s="23" customFormat="1" x14ac:dyDescent="0.25">
      <c r="B88" s="23" t="s">
        <v>85</v>
      </c>
      <c r="E88" s="57"/>
      <c r="F88" s="57"/>
      <c r="G88" s="57"/>
      <c r="H88" s="57"/>
      <c r="I88" s="57"/>
      <c r="J88" s="57"/>
      <c r="K88" s="57"/>
      <c r="L88" s="57"/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  <c r="AA88" s="57"/>
      <c r="AB88" s="57"/>
      <c r="AC88" s="57"/>
      <c r="AD88" s="57"/>
      <c r="AE88" s="57"/>
      <c r="AF88" s="57"/>
      <c r="AG88" s="57"/>
      <c r="AH88" s="57"/>
      <c r="AI88" s="57"/>
      <c r="AJ88" s="57"/>
      <c r="AK88" s="57"/>
      <c r="AL88" s="57"/>
      <c r="AM88" s="57"/>
      <c r="AN88" s="57"/>
      <c r="AO88" s="57"/>
      <c r="AP88" s="57"/>
      <c r="AQ88" s="24"/>
      <c r="AR88" s="24"/>
      <c r="AS88" s="24"/>
      <c r="AT88" s="24"/>
      <c r="AU88" s="24"/>
      <c r="AV88" s="24"/>
      <c r="AW88" s="24"/>
      <c r="AX88" s="24"/>
      <c r="AY88" s="24"/>
      <c r="AZ88" s="24"/>
      <c r="BA88" s="24"/>
      <c r="BE88" s="25"/>
    </row>
    <row r="89" spans="1:57" x14ac:dyDescent="0.25">
      <c r="E89" s="87"/>
      <c r="F89" s="87"/>
      <c r="G89" s="87"/>
      <c r="H89" s="87"/>
      <c r="I89" s="87"/>
      <c r="J89" s="87"/>
      <c r="K89" s="87"/>
      <c r="L89" s="87"/>
      <c r="M89" s="87"/>
      <c r="N89" s="87"/>
      <c r="O89" s="87"/>
      <c r="P89" s="87"/>
      <c r="Q89" s="87"/>
      <c r="R89" s="87"/>
      <c r="S89" s="87"/>
      <c r="T89" s="87"/>
      <c r="U89" s="87"/>
      <c r="V89" s="87"/>
      <c r="W89" s="87"/>
      <c r="X89" s="87"/>
      <c r="Y89" s="87"/>
      <c r="Z89" s="87"/>
      <c r="AA89" s="87"/>
      <c r="AB89" s="87"/>
      <c r="AC89" s="87"/>
      <c r="AD89" s="87"/>
      <c r="AE89" s="87"/>
      <c r="AF89" s="87"/>
      <c r="AG89" s="87"/>
      <c r="AH89" s="87"/>
      <c r="AI89" s="87"/>
      <c r="AJ89" s="87"/>
      <c r="AK89" s="87"/>
      <c r="AL89" s="87"/>
      <c r="AM89" s="87"/>
      <c r="AN89" s="87"/>
      <c r="AO89" s="87"/>
      <c r="AP89" s="87"/>
    </row>
    <row r="90" spans="1:57" s="10" customFormat="1" x14ac:dyDescent="0.25">
      <c r="A90"/>
      <c r="B90"/>
      <c r="C90"/>
      <c r="D90"/>
      <c r="E90" s="87"/>
      <c r="F90" s="87"/>
      <c r="G90" s="87"/>
      <c r="H90" s="87"/>
      <c r="I90" s="87"/>
      <c r="J90" s="87"/>
      <c r="K90" s="87"/>
      <c r="L90" s="87"/>
      <c r="M90" s="87"/>
      <c r="N90" s="87"/>
      <c r="O90" s="87"/>
      <c r="P90" s="87"/>
      <c r="Q90" s="87"/>
      <c r="R90" s="87"/>
      <c r="S90" s="87"/>
      <c r="T90" s="87"/>
      <c r="U90" s="87"/>
      <c r="V90" s="87"/>
      <c r="W90" s="87"/>
      <c r="X90" s="87"/>
      <c r="Y90" s="87"/>
      <c r="Z90" s="87"/>
      <c r="AA90" s="87"/>
      <c r="AB90" s="87"/>
      <c r="AC90" s="87"/>
      <c r="AD90" s="87"/>
      <c r="AE90" s="87"/>
      <c r="AF90" s="87"/>
      <c r="AG90" s="87"/>
      <c r="AH90" s="87"/>
      <c r="AI90" s="87"/>
      <c r="AJ90" s="87"/>
      <c r="AK90" s="87"/>
      <c r="AL90" s="87"/>
      <c r="AM90" s="87"/>
      <c r="AN90" s="87"/>
      <c r="AO90" s="87"/>
      <c r="AP90" s="87"/>
    </row>
    <row r="91" spans="1:57" x14ac:dyDescent="0.25">
      <c r="E91" s="87"/>
      <c r="F91" s="87"/>
      <c r="G91" s="87"/>
      <c r="H91" s="87"/>
      <c r="I91" s="87"/>
      <c r="J91" s="87"/>
      <c r="K91" s="87"/>
      <c r="L91" s="87"/>
      <c r="M91" s="87"/>
      <c r="N91" s="87"/>
      <c r="O91" s="87"/>
      <c r="P91" s="87"/>
      <c r="Q91" s="87"/>
      <c r="R91" s="87"/>
      <c r="S91" s="87"/>
      <c r="T91" s="87"/>
      <c r="U91" s="87"/>
      <c r="V91" s="87"/>
      <c r="W91" s="87"/>
      <c r="X91" s="87"/>
      <c r="Y91" s="87"/>
      <c r="Z91" s="87"/>
      <c r="AA91" s="87"/>
      <c r="AB91" s="87"/>
      <c r="AC91" s="87"/>
      <c r="AD91" s="87"/>
      <c r="AE91" s="87"/>
      <c r="AF91" s="87"/>
      <c r="AG91" s="87"/>
      <c r="AH91" s="87"/>
      <c r="AI91" s="87"/>
      <c r="AJ91" s="87"/>
      <c r="AK91" s="87"/>
      <c r="AL91" s="87"/>
      <c r="AM91" s="87"/>
      <c r="AN91" s="87"/>
      <c r="AO91" s="87"/>
      <c r="AP91" s="87"/>
    </row>
    <row r="92" spans="1:57" s="10" customFormat="1" x14ac:dyDescent="0.25">
      <c r="A92"/>
      <c r="B92"/>
      <c r="C92"/>
      <c r="D92"/>
      <c r="E92" s="87"/>
      <c r="F92" s="87"/>
      <c r="G92" s="87"/>
      <c r="H92" s="87"/>
      <c r="I92" s="87"/>
      <c r="J92" s="87"/>
      <c r="K92" s="87"/>
      <c r="L92" s="87"/>
      <c r="M92" s="87"/>
      <c r="N92" s="87"/>
      <c r="O92" s="87"/>
      <c r="P92" s="87"/>
      <c r="Q92" s="87"/>
      <c r="R92" s="87"/>
      <c r="S92" s="87"/>
      <c r="T92" s="87"/>
      <c r="U92" s="87"/>
      <c r="V92" s="87"/>
      <c r="W92" s="87"/>
      <c r="X92" s="87"/>
      <c r="Y92" s="87"/>
      <c r="Z92" s="87"/>
      <c r="AA92" s="87"/>
      <c r="AB92" s="87"/>
      <c r="AC92" s="87"/>
      <c r="AD92" s="87"/>
      <c r="AE92" s="87"/>
      <c r="AF92" s="87"/>
      <c r="AG92" s="87"/>
      <c r="AH92" s="87"/>
      <c r="AI92" s="87"/>
      <c r="AJ92" s="87"/>
      <c r="AK92" s="87"/>
      <c r="AL92" s="87"/>
      <c r="AM92" s="87"/>
      <c r="AN92" s="87"/>
      <c r="AO92" s="87"/>
      <c r="AP92" s="87"/>
    </row>
    <row r="93" spans="1:57" s="6" customFormat="1" x14ac:dyDescent="0.25">
      <c r="C93" s="6" t="s">
        <v>245</v>
      </c>
      <c r="D93" s="6" t="s">
        <v>32</v>
      </c>
      <c r="E93" s="46"/>
      <c r="F93" s="46"/>
      <c r="G93" s="46"/>
      <c r="H93" s="46"/>
      <c r="I93" s="46"/>
      <c r="J93" s="46"/>
      <c r="K93" s="46"/>
      <c r="L93" s="46"/>
      <c r="M93" s="46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>
        <f>SUM(Z89:Z92)</f>
        <v>0</v>
      </c>
      <c r="AA93" s="46">
        <f t="shared" ref="AA93:AL93" si="58">SUM(AA89:AA92)</f>
        <v>0</v>
      </c>
      <c r="AB93" s="46">
        <f t="shared" si="58"/>
        <v>0</v>
      </c>
      <c r="AC93" s="46">
        <f t="shared" si="58"/>
        <v>0</v>
      </c>
      <c r="AD93" s="46">
        <f t="shared" si="58"/>
        <v>0</v>
      </c>
      <c r="AE93" s="46">
        <f t="shared" si="58"/>
        <v>0</v>
      </c>
      <c r="AF93" s="46">
        <f t="shared" si="58"/>
        <v>0</v>
      </c>
      <c r="AG93" s="46">
        <f t="shared" si="58"/>
        <v>0</v>
      </c>
      <c r="AH93" s="46">
        <f t="shared" si="58"/>
        <v>0</v>
      </c>
      <c r="AI93" s="46">
        <f t="shared" si="58"/>
        <v>0</v>
      </c>
      <c r="AJ93" s="46">
        <f t="shared" si="58"/>
        <v>0</v>
      </c>
      <c r="AK93" s="46">
        <f t="shared" si="58"/>
        <v>0</v>
      </c>
      <c r="AL93" s="46">
        <f t="shared" si="58"/>
        <v>0</v>
      </c>
      <c r="AM93" s="46">
        <f>SUM(AM89:AM92)</f>
        <v>0</v>
      </c>
      <c r="AN93" s="46">
        <f>SUM(AN89:AN92)</f>
        <v>0</v>
      </c>
      <c r="AO93" s="46">
        <f>SUM(AO89:AO92)</f>
        <v>0</v>
      </c>
      <c r="AP93" s="46">
        <f>SUM(AP89:AP92)</f>
        <v>0</v>
      </c>
    </row>
    <row r="94" spans="1:57" x14ac:dyDescent="0.25">
      <c r="C94" s="44"/>
      <c r="E94" s="54"/>
      <c r="F94" s="54"/>
      <c r="G94" s="54"/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  <c r="V94" s="54"/>
      <c r="W94" s="54"/>
      <c r="X94" s="54"/>
      <c r="Y94" s="54"/>
      <c r="Z94" s="54"/>
      <c r="AA94" s="54"/>
      <c r="AB94" s="54"/>
      <c r="AC94" s="54"/>
      <c r="AD94" s="54"/>
      <c r="AE94" s="54"/>
      <c r="AF94" s="54"/>
      <c r="AG94" s="54"/>
      <c r="AH94" s="54"/>
      <c r="AI94" s="54"/>
      <c r="AJ94" s="54"/>
      <c r="AK94" s="54"/>
      <c r="AL94" s="54"/>
      <c r="AM94" s="54"/>
      <c r="AN94" s="54"/>
      <c r="AO94" s="54"/>
      <c r="AP94" s="54"/>
    </row>
    <row r="95" spans="1:57" s="23" customFormat="1" x14ac:dyDescent="0.25">
      <c r="B95" s="23" t="s">
        <v>86</v>
      </c>
      <c r="E95" s="57"/>
      <c r="F95" s="57"/>
      <c r="G95" s="57"/>
      <c r="H95" s="57"/>
      <c r="I95" s="57"/>
      <c r="J95" s="57"/>
      <c r="K95" s="57"/>
      <c r="L95" s="57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  <c r="AA95" s="57"/>
      <c r="AB95" s="57"/>
      <c r="AC95" s="57"/>
      <c r="AD95" s="57"/>
      <c r="AE95" s="57"/>
      <c r="AF95" s="57"/>
      <c r="AG95" s="57"/>
      <c r="AH95" s="57"/>
      <c r="AI95" s="57"/>
      <c r="AJ95" s="57"/>
      <c r="AK95" s="57"/>
      <c r="AL95" s="57"/>
      <c r="AM95" s="57"/>
      <c r="AN95" s="57"/>
      <c r="AO95" s="57"/>
      <c r="AP95" s="57"/>
      <c r="AQ95" s="24"/>
      <c r="AR95" s="24"/>
      <c r="AS95" s="24"/>
      <c r="AT95" s="24"/>
      <c r="AU95" s="24"/>
      <c r="AV95" s="24"/>
      <c r="AW95" s="24"/>
      <c r="AX95" s="24"/>
      <c r="AY95" s="24"/>
      <c r="AZ95" s="24"/>
      <c r="BA95" s="24"/>
      <c r="BE95" s="25"/>
    </row>
    <row r="96" spans="1:57" x14ac:dyDescent="0.25">
      <c r="C96" t="s">
        <v>304</v>
      </c>
      <c r="E96" s="87"/>
      <c r="F96" s="87"/>
      <c r="G96" s="87"/>
      <c r="H96" s="87"/>
      <c r="I96" s="87"/>
      <c r="J96" s="87"/>
      <c r="K96" s="87"/>
      <c r="L96" s="87"/>
      <c r="M96" s="87"/>
      <c r="N96" s="87"/>
      <c r="O96" s="87"/>
      <c r="P96" s="87"/>
      <c r="Q96" s="87"/>
      <c r="R96" s="87"/>
      <c r="S96" s="87"/>
      <c r="T96" s="87"/>
      <c r="U96" s="87"/>
      <c r="V96" s="87"/>
      <c r="W96" s="87"/>
      <c r="X96" s="87"/>
      <c r="Y96" s="87">
        <v>140</v>
      </c>
      <c r="Z96" s="87"/>
      <c r="AA96" s="87"/>
      <c r="AB96" s="87"/>
      <c r="AC96" s="87"/>
      <c r="AD96" s="87"/>
      <c r="AE96" s="87"/>
      <c r="AF96" s="87"/>
      <c r="AG96" s="87"/>
      <c r="AH96" s="87"/>
      <c r="AI96" s="87"/>
      <c r="AJ96" s="87"/>
      <c r="AK96" s="87"/>
      <c r="AL96" s="87"/>
      <c r="AM96" s="87"/>
      <c r="AN96" s="87"/>
      <c r="AO96" s="87"/>
      <c r="AP96" s="87"/>
    </row>
    <row r="97" spans="1:57" x14ac:dyDescent="0.25">
      <c r="C97" t="s">
        <v>305</v>
      </c>
      <c r="E97" s="87"/>
      <c r="F97" s="87"/>
      <c r="G97" s="87"/>
      <c r="H97" s="87"/>
      <c r="I97" s="87"/>
      <c r="J97" s="87"/>
      <c r="K97" s="87"/>
      <c r="L97" s="87"/>
      <c r="M97" s="87"/>
      <c r="N97" s="87"/>
      <c r="O97" s="87"/>
      <c r="P97" s="87"/>
      <c r="Q97" s="87"/>
      <c r="R97" s="87"/>
      <c r="S97" s="87"/>
      <c r="T97" s="87"/>
      <c r="U97" s="87"/>
      <c r="V97" s="87"/>
      <c r="W97" s="87"/>
      <c r="X97" s="87"/>
      <c r="Y97" s="87">
        <v>24</v>
      </c>
      <c r="Z97" s="87"/>
      <c r="AA97" s="87"/>
      <c r="AB97" s="87"/>
      <c r="AC97" s="87"/>
      <c r="AD97" s="87"/>
      <c r="AE97" s="87"/>
      <c r="AF97" s="87"/>
      <c r="AG97" s="87"/>
      <c r="AH97" s="87"/>
      <c r="AI97" s="87"/>
      <c r="AJ97" s="87"/>
      <c r="AK97" s="87"/>
      <c r="AL97" s="87"/>
      <c r="AM97" s="87"/>
      <c r="AN97" s="87"/>
      <c r="AO97" s="87"/>
      <c r="AP97" s="87"/>
    </row>
    <row r="98" spans="1:57" x14ac:dyDescent="0.25">
      <c r="C98" t="s">
        <v>306</v>
      </c>
      <c r="E98" s="87"/>
      <c r="F98" s="87"/>
      <c r="G98" s="87"/>
      <c r="H98" s="87"/>
      <c r="I98" s="87"/>
      <c r="J98" s="87"/>
      <c r="K98" s="87"/>
      <c r="L98" s="87"/>
      <c r="M98" s="87"/>
      <c r="N98" s="87"/>
      <c r="O98" s="87"/>
      <c r="P98" s="87"/>
      <c r="Q98" s="87"/>
      <c r="R98" s="87"/>
      <c r="S98" s="87"/>
      <c r="T98" s="87"/>
      <c r="U98" s="87"/>
      <c r="V98" s="87"/>
      <c r="W98" s="87"/>
      <c r="X98" s="87"/>
      <c r="Y98" s="87"/>
      <c r="Z98" s="87">
        <v>146</v>
      </c>
      <c r="AA98" s="87"/>
      <c r="AB98" s="87"/>
      <c r="AC98" s="87"/>
      <c r="AD98" s="87"/>
      <c r="AE98" s="87"/>
      <c r="AF98" s="87"/>
      <c r="AG98" s="87"/>
      <c r="AH98" s="87"/>
      <c r="AI98" s="87"/>
      <c r="AJ98" s="87"/>
      <c r="AK98" s="87"/>
      <c r="AL98" s="87"/>
      <c r="AM98" s="87"/>
      <c r="AN98" s="87"/>
      <c r="AO98" s="87"/>
      <c r="AP98" s="87"/>
    </row>
    <row r="99" spans="1:57" x14ac:dyDescent="0.25">
      <c r="C99" t="s">
        <v>300</v>
      </c>
      <c r="D99" t="s">
        <v>32</v>
      </c>
      <c r="E99" s="87"/>
      <c r="F99" s="87"/>
      <c r="G99" s="87"/>
      <c r="H99" s="87"/>
      <c r="I99" s="87"/>
      <c r="J99" s="87"/>
      <c r="K99" s="87"/>
      <c r="L99" s="87"/>
      <c r="M99" s="87"/>
      <c r="N99" s="87"/>
      <c r="O99" s="87"/>
      <c r="P99" s="87"/>
      <c r="Q99" s="87"/>
      <c r="R99" s="87"/>
      <c r="S99" s="87"/>
      <c r="T99" s="87"/>
      <c r="U99" s="87"/>
      <c r="V99" s="87"/>
      <c r="W99" s="87"/>
      <c r="X99" s="87"/>
      <c r="Y99" s="87"/>
      <c r="Z99" s="87"/>
      <c r="AA99" s="87">
        <v>78</v>
      </c>
      <c r="AB99" s="87"/>
      <c r="AC99" s="87"/>
      <c r="AD99" s="87"/>
      <c r="AE99" s="87"/>
      <c r="AF99" s="87"/>
      <c r="AG99" s="87"/>
      <c r="AH99" s="87"/>
      <c r="AI99" s="87"/>
      <c r="AJ99" s="87"/>
      <c r="AK99" s="87"/>
      <c r="AL99" s="87"/>
      <c r="AM99" s="87"/>
      <c r="AN99" s="87"/>
      <c r="AO99" s="87"/>
      <c r="AP99" s="87"/>
    </row>
    <row r="100" spans="1:57" x14ac:dyDescent="0.25">
      <c r="C100" t="s">
        <v>301</v>
      </c>
      <c r="D100" t="s">
        <v>32</v>
      </c>
      <c r="E100" s="87"/>
      <c r="F100" s="87"/>
      <c r="G100" s="87"/>
      <c r="H100" s="87"/>
      <c r="I100" s="87"/>
      <c r="J100" s="87"/>
      <c r="K100" s="87"/>
      <c r="L100" s="87"/>
      <c r="M100" s="87"/>
      <c r="N100" s="87"/>
      <c r="O100" s="87"/>
      <c r="P100" s="87"/>
      <c r="Q100" s="87"/>
      <c r="R100" s="87"/>
      <c r="S100" s="87"/>
      <c r="T100" s="87"/>
      <c r="U100" s="87"/>
      <c r="V100" s="87"/>
      <c r="W100" s="87"/>
      <c r="X100" s="87"/>
      <c r="Y100" s="87"/>
      <c r="Z100" s="87"/>
      <c r="AA100" s="87"/>
      <c r="AB100" s="87">
        <v>49</v>
      </c>
      <c r="AC100" s="87"/>
      <c r="AD100" s="87"/>
      <c r="AE100" s="87"/>
      <c r="AF100" s="87"/>
      <c r="AG100" s="87"/>
      <c r="AH100" s="87"/>
      <c r="AI100" s="87"/>
      <c r="AJ100" s="87"/>
      <c r="AK100" s="87"/>
      <c r="AL100" s="87"/>
      <c r="AM100" s="87"/>
      <c r="AN100" s="87"/>
      <c r="AO100" s="87"/>
      <c r="AP100" s="87"/>
    </row>
    <row r="101" spans="1:57" s="10" customFormat="1" x14ac:dyDescent="0.25">
      <c r="A101"/>
      <c r="B101"/>
      <c r="C101" t="s">
        <v>302</v>
      </c>
      <c r="D101" t="s">
        <v>32</v>
      </c>
      <c r="E101" s="87"/>
      <c r="F101" s="87"/>
      <c r="G101" s="87"/>
      <c r="H101" s="87"/>
      <c r="I101" s="87"/>
      <c r="J101" s="87"/>
      <c r="K101" s="87"/>
      <c r="L101" s="87"/>
      <c r="M101" s="87"/>
      <c r="N101" s="87"/>
      <c r="O101" s="87"/>
      <c r="P101" s="87"/>
      <c r="Q101" s="87"/>
      <c r="R101" s="87"/>
      <c r="S101" s="87"/>
      <c r="T101" s="87"/>
      <c r="U101" s="87"/>
      <c r="V101" s="87"/>
      <c r="W101" s="87"/>
      <c r="X101" s="87"/>
      <c r="Y101" s="87"/>
      <c r="Z101" s="87"/>
      <c r="AA101" s="87"/>
      <c r="AB101" s="87">
        <v>139</v>
      </c>
      <c r="AC101" s="87"/>
      <c r="AD101" s="87"/>
      <c r="AE101" s="87"/>
      <c r="AF101" s="87"/>
      <c r="AG101" s="87"/>
      <c r="AH101" s="87"/>
      <c r="AI101" s="87"/>
      <c r="AJ101" s="87"/>
      <c r="AK101" s="87"/>
      <c r="AL101" s="87"/>
      <c r="AM101" s="87"/>
      <c r="AN101" s="87"/>
      <c r="AO101" s="87"/>
      <c r="AP101" s="87"/>
    </row>
    <row r="102" spans="1:57" s="10" customFormat="1" x14ac:dyDescent="0.25">
      <c r="A102"/>
      <c r="B102"/>
      <c r="C102" t="s">
        <v>362</v>
      </c>
      <c r="D102"/>
      <c r="E102" s="87"/>
      <c r="F102" s="87"/>
      <c r="G102" s="87"/>
      <c r="H102" s="87"/>
      <c r="I102" s="87"/>
      <c r="J102" s="87"/>
      <c r="K102" s="87"/>
      <c r="L102" s="87"/>
      <c r="M102" s="87"/>
      <c r="N102" s="87"/>
      <c r="O102" s="87"/>
      <c r="P102" s="87"/>
      <c r="Q102" s="87"/>
      <c r="R102" s="87"/>
      <c r="S102" s="87"/>
      <c r="T102" s="87"/>
      <c r="U102" s="87"/>
      <c r="V102" s="87"/>
      <c r="W102" s="87"/>
      <c r="X102" s="87"/>
      <c r="Y102" s="87"/>
      <c r="Z102" s="87"/>
      <c r="AA102" s="87"/>
      <c r="AB102" s="87"/>
      <c r="AC102" s="87">
        <v>123.5</v>
      </c>
      <c r="AD102" s="87"/>
      <c r="AE102" s="87"/>
      <c r="AF102" s="87"/>
      <c r="AG102" s="87"/>
      <c r="AH102" s="87"/>
      <c r="AI102" s="87"/>
      <c r="AJ102" s="87"/>
      <c r="AK102" s="87"/>
      <c r="AL102" s="87"/>
      <c r="AM102" s="87"/>
      <c r="AN102" s="87"/>
      <c r="AO102" s="87"/>
      <c r="AP102" s="87"/>
    </row>
    <row r="103" spans="1:57" s="10" customFormat="1" x14ac:dyDescent="0.25">
      <c r="A103"/>
      <c r="B103"/>
      <c r="C103" t="s">
        <v>371</v>
      </c>
      <c r="D103"/>
      <c r="E103" s="87"/>
      <c r="F103" s="87"/>
      <c r="G103" s="87"/>
      <c r="H103" s="87"/>
      <c r="I103" s="87"/>
      <c r="J103" s="87"/>
      <c r="K103" s="87"/>
      <c r="L103" s="87"/>
      <c r="M103" s="87"/>
      <c r="N103" s="87"/>
      <c r="O103" s="87"/>
      <c r="P103" s="87"/>
      <c r="Q103" s="87"/>
      <c r="R103" s="87"/>
      <c r="S103" s="87"/>
      <c r="T103" s="87"/>
      <c r="U103" s="87"/>
      <c r="V103" s="87"/>
      <c r="W103" s="87"/>
      <c r="X103" s="87"/>
      <c r="Y103" s="87"/>
      <c r="Z103" s="87"/>
      <c r="AA103" s="87"/>
      <c r="AB103" s="87"/>
      <c r="AC103" s="87"/>
      <c r="AD103" s="87">
        <f>103+155</f>
        <v>258</v>
      </c>
      <c r="AE103" s="87"/>
      <c r="AF103" s="87"/>
      <c r="AG103" s="87"/>
      <c r="AH103" s="87"/>
      <c r="AI103" s="87"/>
      <c r="AJ103" s="87"/>
      <c r="AK103" s="87"/>
      <c r="AL103" s="87"/>
      <c r="AM103" s="87"/>
      <c r="AN103" s="87"/>
      <c r="AO103" s="87"/>
      <c r="AP103" s="87"/>
    </row>
    <row r="104" spans="1:57" s="10" customFormat="1" x14ac:dyDescent="0.25">
      <c r="A104"/>
      <c r="B104"/>
      <c r="C104" t="s">
        <v>372</v>
      </c>
      <c r="D104"/>
      <c r="E104" s="87"/>
      <c r="F104" s="87"/>
      <c r="G104" s="87"/>
      <c r="H104" s="87"/>
      <c r="I104" s="87"/>
      <c r="J104" s="87"/>
      <c r="K104" s="87"/>
      <c r="L104" s="87"/>
      <c r="M104" s="87"/>
      <c r="N104" s="87"/>
      <c r="O104" s="87"/>
      <c r="P104" s="87"/>
      <c r="Q104" s="87"/>
      <c r="R104" s="87"/>
      <c r="S104" s="87"/>
      <c r="T104" s="87"/>
      <c r="U104" s="87"/>
      <c r="V104" s="87"/>
      <c r="W104" s="87"/>
      <c r="X104" s="87"/>
      <c r="Y104" s="87"/>
      <c r="Z104" s="87"/>
      <c r="AA104" s="87"/>
      <c r="AB104" s="87"/>
      <c r="AC104" s="87"/>
      <c r="AD104" s="87">
        <v>312</v>
      </c>
      <c r="AE104" s="87"/>
      <c r="AF104" s="87"/>
      <c r="AG104" s="87"/>
      <c r="AH104" s="87"/>
      <c r="AI104" s="87"/>
      <c r="AJ104" s="87"/>
      <c r="AK104" s="87"/>
      <c r="AL104" s="87"/>
      <c r="AM104" s="87"/>
      <c r="AN104" s="87"/>
      <c r="AO104" s="87"/>
      <c r="AP104" s="87"/>
    </row>
    <row r="105" spans="1:57" x14ac:dyDescent="0.25">
      <c r="E105" s="87"/>
      <c r="F105" s="87"/>
      <c r="G105" s="87"/>
      <c r="H105" s="87"/>
      <c r="I105" s="87"/>
      <c r="J105" s="87"/>
      <c r="K105" s="87"/>
      <c r="L105" s="87"/>
      <c r="M105" s="87"/>
      <c r="N105" s="87"/>
      <c r="O105" s="87"/>
      <c r="P105" s="87"/>
      <c r="Q105" s="87"/>
      <c r="R105" s="87"/>
      <c r="S105" s="87"/>
      <c r="T105" s="87"/>
      <c r="U105" s="87"/>
      <c r="V105" s="87"/>
      <c r="W105" s="87"/>
      <c r="X105" s="87"/>
      <c r="Y105" s="87"/>
      <c r="Z105" s="87"/>
      <c r="AA105" s="87"/>
      <c r="AB105" s="87"/>
      <c r="AC105" s="87"/>
      <c r="AD105" s="87"/>
      <c r="AE105" s="87"/>
      <c r="AF105" s="87"/>
      <c r="AG105" s="87"/>
      <c r="AH105" s="87"/>
      <c r="AI105" s="87"/>
      <c r="AJ105" s="87"/>
      <c r="AK105" s="87"/>
      <c r="AL105" s="87"/>
      <c r="AM105" s="87"/>
      <c r="AN105" s="87"/>
      <c r="AO105" s="87"/>
      <c r="AP105" s="87"/>
    </row>
    <row r="106" spans="1:57" s="10" customFormat="1" x14ac:dyDescent="0.25">
      <c r="A106"/>
      <c r="B106"/>
      <c r="C106"/>
      <c r="D106"/>
      <c r="E106" s="87"/>
      <c r="F106" s="87"/>
      <c r="G106" s="87"/>
      <c r="H106" s="87"/>
      <c r="I106" s="87"/>
      <c r="J106" s="87"/>
      <c r="K106" s="87"/>
      <c r="L106" s="87"/>
      <c r="M106" s="87"/>
      <c r="N106" s="87"/>
      <c r="O106" s="87"/>
      <c r="P106" s="87"/>
      <c r="Q106" s="87"/>
      <c r="R106" s="87"/>
      <c r="S106" s="87"/>
      <c r="T106" s="87"/>
      <c r="U106" s="87"/>
      <c r="V106" s="87"/>
      <c r="W106" s="87"/>
      <c r="X106" s="87"/>
      <c r="Y106" s="87"/>
      <c r="Z106" s="87"/>
      <c r="AA106" s="87"/>
      <c r="AB106" s="87"/>
      <c r="AC106" s="87"/>
      <c r="AD106" s="87"/>
      <c r="AE106" s="87"/>
      <c r="AF106" s="87"/>
      <c r="AG106" s="87"/>
      <c r="AH106" s="87"/>
      <c r="AI106" s="87"/>
      <c r="AJ106" s="87"/>
      <c r="AK106" s="87"/>
      <c r="AL106" s="87"/>
      <c r="AM106" s="87"/>
      <c r="AN106" s="87"/>
      <c r="AO106" s="87"/>
      <c r="AP106" s="87"/>
    </row>
    <row r="107" spans="1:57" s="6" customFormat="1" x14ac:dyDescent="0.25">
      <c r="C107" s="6" t="s">
        <v>246</v>
      </c>
      <c r="D107" s="6" t="s">
        <v>32</v>
      </c>
      <c r="E107" s="46"/>
      <c r="F107" s="46"/>
      <c r="G107" s="46"/>
      <c r="H107" s="46"/>
      <c r="I107" s="46"/>
      <c r="J107" s="46"/>
      <c r="K107" s="46"/>
      <c r="L107" s="46"/>
      <c r="M107" s="46"/>
      <c r="N107" s="46"/>
      <c r="O107" s="46"/>
      <c r="P107" s="46"/>
      <c r="Q107" s="46"/>
      <c r="R107" s="46"/>
      <c r="S107" s="46"/>
      <c r="T107" s="46"/>
      <c r="U107" s="46"/>
      <c r="V107" s="46"/>
      <c r="W107" s="46"/>
      <c r="X107" s="46"/>
      <c r="Y107" s="46"/>
      <c r="Z107" s="46">
        <f>SUM(Z99:Z106)</f>
        <v>0</v>
      </c>
      <c r="AA107" s="46">
        <f t="shared" ref="AA107:AL107" si="59">SUM(AA99:AA106)</f>
        <v>78</v>
      </c>
      <c r="AB107" s="46">
        <f t="shared" si="59"/>
        <v>188</v>
      </c>
      <c r="AC107" s="46">
        <f t="shared" si="59"/>
        <v>123.5</v>
      </c>
      <c r="AD107" s="46">
        <f t="shared" si="59"/>
        <v>570</v>
      </c>
      <c r="AE107" s="46">
        <f t="shared" si="59"/>
        <v>0</v>
      </c>
      <c r="AF107" s="46">
        <f t="shared" si="59"/>
        <v>0</v>
      </c>
      <c r="AG107" s="46">
        <f t="shared" si="59"/>
        <v>0</v>
      </c>
      <c r="AH107" s="46">
        <f t="shared" si="59"/>
        <v>0</v>
      </c>
      <c r="AI107" s="46">
        <f t="shared" si="59"/>
        <v>0</v>
      </c>
      <c r="AJ107" s="46">
        <f t="shared" si="59"/>
        <v>0</v>
      </c>
      <c r="AK107" s="46">
        <f t="shared" si="59"/>
        <v>0</v>
      </c>
      <c r="AL107" s="46">
        <f t="shared" si="59"/>
        <v>0</v>
      </c>
      <c r="AM107" s="46">
        <f>SUM(AM99:AM106)</f>
        <v>0</v>
      </c>
      <c r="AN107" s="46">
        <f>SUM(AN99:AN106)</f>
        <v>0</v>
      </c>
      <c r="AO107" s="46">
        <f>SUM(AO99:AO106)</f>
        <v>0</v>
      </c>
      <c r="AP107" s="46">
        <f>SUM(AP99:AP106)</f>
        <v>0</v>
      </c>
    </row>
    <row r="108" spans="1:57" s="10" customFormat="1" x14ac:dyDescent="0.25">
      <c r="C108" s="51"/>
      <c r="E108" s="52"/>
      <c r="F108" s="52"/>
      <c r="G108" s="52"/>
      <c r="H108" s="52"/>
      <c r="I108" s="52"/>
      <c r="J108" s="52"/>
      <c r="K108" s="52"/>
      <c r="L108" s="52"/>
      <c r="M108" s="52"/>
      <c r="N108" s="52"/>
      <c r="O108" s="52"/>
      <c r="P108" s="52"/>
      <c r="Q108" s="52"/>
      <c r="R108" s="52"/>
      <c r="S108" s="52"/>
      <c r="T108" s="52"/>
      <c r="U108" s="52"/>
      <c r="V108" s="52"/>
      <c r="W108" s="52"/>
      <c r="X108" s="52"/>
      <c r="Y108" s="52"/>
      <c r="Z108" s="52"/>
      <c r="AA108" s="52"/>
      <c r="AB108" s="52"/>
      <c r="AC108" s="52"/>
      <c r="AD108" s="52"/>
      <c r="AE108" s="52"/>
      <c r="AF108" s="52"/>
      <c r="AG108" s="52"/>
      <c r="AH108" s="52"/>
      <c r="AI108" s="52"/>
      <c r="AJ108" s="52"/>
      <c r="AK108" s="11"/>
      <c r="AL108" s="11"/>
      <c r="AM108" s="11"/>
      <c r="AN108" s="11"/>
      <c r="AO108" s="11"/>
      <c r="AP108" s="11"/>
    </row>
    <row r="109" spans="1:57" s="10" customFormat="1" x14ac:dyDescent="0.25">
      <c r="C109" s="51"/>
      <c r="E109" s="52"/>
      <c r="F109" s="52"/>
      <c r="G109" s="52"/>
      <c r="H109" s="52"/>
      <c r="I109" s="52"/>
      <c r="J109" s="52"/>
      <c r="K109" s="52"/>
      <c r="L109" s="52"/>
      <c r="M109" s="52"/>
      <c r="N109" s="52"/>
      <c r="O109" s="52"/>
      <c r="P109" s="52"/>
      <c r="Q109" s="52"/>
      <c r="R109" s="52"/>
      <c r="S109" s="52"/>
      <c r="T109" s="52"/>
      <c r="U109" s="52"/>
      <c r="V109" s="52"/>
      <c r="W109" s="52"/>
      <c r="X109" s="52"/>
      <c r="Y109" s="52"/>
      <c r="Z109" s="52"/>
      <c r="AA109" s="52"/>
      <c r="AB109" s="52"/>
      <c r="AC109" s="52"/>
      <c r="AD109" s="52"/>
      <c r="AE109" s="52"/>
      <c r="AF109" s="52"/>
      <c r="AG109" s="52"/>
      <c r="AH109" s="52"/>
      <c r="AI109" s="52"/>
      <c r="AJ109" s="52"/>
      <c r="AK109" s="11"/>
      <c r="AL109" s="11"/>
      <c r="AM109" s="11"/>
      <c r="AN109" s="11"/>
      <c r="AO109" s="11"/>
      <c r="AP109" s="11"/>
    </row>
    <row r="110" spans="1:57" x14ac:dyDescent="0.25">
      <c r="A110" s="4" t="s">
        <v>251</v>
      </c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</row>
    <row r="111" spans="1:57" s="23" customFormat="1" x14ac:dyDescent="0.25">
      <c r="B111" s="23" t="s">
        <v>13</v>
      </c>
      <c r="E111" s="57"/>
      <c r="F111" s="57"/>
      <c r="G111" s="57"/>
      <c r="H111" s="57"/>
      <c r="I111" s="57"/>
      <c r="J111" s="57"/>
      <c r="K111" s="57"/>
      <c r="L111" s="57"/>
      <c r="M111" s="57"/>
      <c r="N111" s="57"/>
      <c r="O111" s="57"/>
      <c r="P111" s="57"/>
      <c r="Q111" s="57"/>
      <c r="R111" s="57"/>
      <c r="S111" s="57"/>
      <c r="T111" s="57"/>
      <c r="U111" s="57"/>
      <c r="V111" s="57"/>
      <c r="W111" s="57"/>
      <c r="X111" s="57"/>
      <c r="Y111" s="57"/>
      <c r="Z111" s="57"/>
      <c r="AA111" s="57"/>
      <c r="AB111" s="57"/>
      <c r="AC111" s="57"/>
      <c r="AD111" s="57"/>
      <c r="AE111" s="57"/>
      <c r="AF111" s="57"/>
      <c r="AG111" s="57"/>
      <c r="AH111" s="57"/>
      <c r="AI111" s="57"/>
      <c r="AJ111" s="57"/>
      <c r="AK111" s="57"/>
      <c r="AL111" s="57"/>
      <c r="AM111" s="57"/>
      <c r="AN111" s="57"/>
      <c r="AO111" s="57"/>
      <c r="AP111" s="57"/>
      <c r="AQ111" s="24"/>
      <c r="AR111" s="24"/>
      <c r="AS111" s="24"/>
      <c r="AT111" s="24"/>
      <c r="AU111" s="24"/>
      <c r="AV111" s="24"/>
      <c r="AW111" s="24"/>
      <c r="AX111" s="24"/>
      <c r="AY111" s="24"/>
      <c r="AZ111" s="24"/>
      <c r="BA111" s="24"/>
      <c r="BE111" s="25"/>
    </row>
    <row r="112" spans="1:57" x14ac:dyDescent="0.25">
      <c r="C112" t="s">
        <v>255</v>
      </c>
      <c r="E112" s="87"/>
      <c r="F112" s="87"/>
      <c r="G112" s="87"/>
      <c r="H112" s="87"/>
      <c r="I112" s="87"/>
      <c r="J112" s="87"/>
      <c r="K112" s="87"/>
      <c r="L112" s="87"/>
      <c r="M112" s="87"/>
      <c r="N112" s="87"/>
      <c r="O112" s="87"/>
      <c r="P112" s="87"/>
      <c r="Q112" s="87"/>
      <c r="R112" s="87"/>
      <c r="S112" s="87"/>
      <c r="T112" s="87"/>
      <c r="U112" s="87"/>
      <c r="V112" s="87"/>
      <c r="W112" s="87"/>
      <c r="X112" s="87"/>
      <c r="Y112" s="87"/>
      <c r="Z112" s="87"/>
      <c r="AA112" s="87">
        <f>Z115</f>
        <v>0</v>
      </c>
      <c r="AB112" s="87">
        <f t="shared" ref="AB112:AL112" si="60">AA115</f>
        <v>0</v>
      </c>
      <c r="AC112" s="87">
        <f t="shared" si="60"/>
        <v>0</v>
      </c>
      <c r="AD112" s="87">
        <f t="shared" si="60"/>
        <v>0</v>
      </c>
      <c r="AE112" s="87">
        <f t="shared" si="60"/>
        <v>0</v>
      </c>
      <c r="AF112" s="87">
        <f t="shared" si="60"/>
        <v>0</v>
      </c>
      <c r="AG112" s="87">
        <f t="shared" si="60"/>
        <v>58.666666666666664</v>
      </c>
      <c r="AH112" s="87">
        <f t="shared" si="60"/>
        <v>117.33333333333333</v>
      </c>
      <c r="AI112" s="87">
        <f t="shared" si="60"/>
        <v>117.33333333333334</v>
      </c>
      <c r="AJ112" s="87">
        <f t="shared" si="60"/>
        <v>58.666666666666679</v>
      </c>
      <c r="AK112" s="87">
        <f t="shared" si="60"/>
        <v>0</v>
      </c>
      <c r="AL112" s="87">
        <f t="shared" si="60"/>
        <v>0</v>
      </c>
      <c r="AM112" s="87">
        <f>AL115</f>
        <v>0</v>
      </c>
      <c r="AN112" s="87">
        <f>AM115</f>
        <v>0</v>
      </c>
      <c r="AO112" s="87">
        <f>AN115</f>
        <v>0</v>
      </c>
      <c r="AP112" s="87">
        <f>AO115</f>
        <v>0</v>
      </c>
    </row>
    <row r="113" spans="2:57" x14ac:dyDescent="0.25">
      <c r="C113" s="44" t="s">
        <v>185</v>
      </c>
      <c r="E113" s="87"/>
      <c r="F113" s="87"/>
      <c r="G113" s="87"/>
      <c r="H113" s="87"/>
      <c r="I113" s="87"/>
      <c r="J113" s="87"/>
      <c r="K113" s="87"/>
      <c r="L113" s="87"/>
      <c r="M113" s="87"/>
      <c r="N113" s="87"/>
      <c r="O113" s="87"/>
      <c r="P113" s="87"/>
      <c r="Q113" s="87"/>
      <c r="R113" s="87"/>
      <c r="S113" s="87"/>
      <c r="T113" s="87"/>
      <c r="U113" s="87"/>
      <c r="V113" s="87"/>
      <c r="W113" s="87"/>
      <c r="X113" s="87"/>
      <c r="Y113" s="87"/>
      <c r="Z113" s="87"/>
      <c r="AA113" s="93">
        <v>0</v>
      </c>
      <c r="AB113" s="93">
        <f>AA113</f>
        <v>0</v>
      </c>
      <c r="AC113" s="93">
        <f t="shared" ref="AC113:AL113" si="61">AB113</f>
        <v>0</v>
      </c>
      <c r="AD113" s="93">
        <f t="shared" si="61"/>
        <v>0</v>
      </c>
      <c r="AE113" s="93">
        <f t="shared" si="61"/>
        <v>0</v>
      </c>
      <c r="AF113" s="93">
        <f>(68+61+47)/3</f>
        <v>58.666666666666664</v>
      </c>
      <c r="AG113" s="93">
        <f t="shared" si="61"/>
        <v>58.666666666666664</v>
      </c>
      <c r="AH113" s="93">
        <f t="shared" si="61"/>
        <v>58.666666666666664</v>
      </c>
      <c r="AI113" s="93">
        <v>0</v>
      </c>
      <c r="AJ113" s="93">
        <f t="shared" si="61"/>
        <v>0</v>
      </c>
      <c r="AK113" s="93">
        <f t="shared" si="61"/>
        <v>0</v>
      </c>
      <c r="AL113" s="93">
        <f t="shared" si="61"/>
        <v>0</v>
      </c>
      <c r="AM113" s="93">
        <f>AL113</f>
        <v>0</v>
      </c>
      <c r="AN113" s="93">
        <f>AM113</f>
        <v>0</v>
      </c>
      <c r="AO113" s="93">
        <f>AN113</f>
        <v>0</v>
      </c>
      <c r="AP113" s="93">
        <f>AO113</f>
        <v>0</v>
      </c>
    </row>
    <row r="114" spans="2:57" x14ac:dyDescent="0.25">
      <c r="C114" s="44" t="s">
        <v>257</v>
      </c>
      <c r="E114" s="87"/>
      <c r="F114" s="87"/>
      <c r="G114" s="87"/>
      <c r="H114" s="87"/>
      <c r="I114" s="87"/>
      <c r="J114" s="87"/>
      <c r="K114" s="87"/>
      <c r="L114" s="87"/>
      <c r="M114" s="87"/>
      <c r="N114" s="87"/>
      <c r="O114" s="87"/>
      <c r="P114" s="87"/>
      <c r="Q114" s="87"/>
      <c r="R114" s="87"/>
      <c r="S114" s="87"/>
      <c r="T114" s="87"/>
      <c r="U114" s="87"/>
      <c r="V114" s="87"/>
      <c r="W114" s="87"/>
      <c r="X114" s="87"/>
      <c r="Y114" s="87"/>
      <c r="Z114" s="87"/>
      <c r="AA114" s="93"/>
      <c r="AB114" s="93"/>
      <c r="AC114" s="93">
        <f>AA113</f>
        <v>0</v>
      </c>
      <c r="AD114" s="93">
        <f t="shared" ref="AD114:AL114" si="62">AB113</f>
        <v>0</v>
      </c>
      <c r="AE114" s="93">
        <f t="shared" si="62"/>
        <v>0</v>
      </c>
      <c r="AF114" s="93">
        <f t="shared" si="62"/>
        <v>0</v>
      </c>
      <c r="AG114" s="93">
        <f t="shared" si="62"/>
        <v>0</v>
      </c>
      <c r="AH114" s="93">
        <f t="shared" si="62"/>
        <v>58.666666666666664</v>
      </c>
      <c r="AI114" s="93">
        <f t="shared" si="62"/>
        <v>58.666666666666664</v>
      </c>
      <c r="AJ114" s="93">
        <f t="shared" si="62"/>
        <v>58.666666666666664</v>
      </c>
      <c r="AK114" s="93">
        <f t="shared" si="62"/>
        <v>0</v>
      </c>
      <c r="AL114" s="93">
        <f t="shared" si="62"/>
        <v>0</v>
      </c>
      <c r="AM114" s="93">
        <f>AK113</f>
        <v>0</v>
      </c>
      <c r="AN114" s="93">
        <f>AL113</f>
        <v>0</v>
      </c>
      <c r="AO114" s="93">
        <f>AM113</f>
        <v>0</v>
      </c>
      <c r="AP114" s="93">
        <f>AN113</f>
        <v>0</v>
      </c>
    </row>
    <row r="115" spans="2:57" s="90" customFormat="1" x14ac:dyDescent="0.25">
      <c r="C115" s="90" t="s">
        <v>256</v>
      </c>
      <c r="E115" s="91"/>
      <c r="F115" s="91"/>
      <c r="G115" s="91"/>
      <c r="H115" s="91"/>
      <c r="I115" s="91"/>
      <c r="J115" s="91"/>
      <c r="K115" s="91"/>
      <c r="L115" s="91"/>
      <c r="M115" s="91"/>
      <c r="N115" s="91"/>
      <c r="O115" s="91"/>
      <c r="P115" s="91"/>
      <c r="Q115" s="91"/>
      <c r="R115" s="91"/>
      <c r="S115" s="91"/>
      <c r="T115" s="91"/>
      <c r="U115" s="91"/>
      <c r="V115" s="91"/>
      <c r="W115" s="91"/>
      <c r="X115" s="91"/>
      <c r="Y115" s="91"/>
      <c r="Z115" s="94">
        <v>0</v>
      </c>
      <c r="AA115" s="91">
        <f>AA112+AA113-AA114</f>
        <v>0</v>
      </c>
      <c r="AB115" s="91">
        <f t="shared" ref="AB115:AL115" si="63">AB112+AB113-AB114</f>
        <v>0</v>
      </c>
      <c r="AC115" s="91">
        <f t="shared" si="63"/>
        <v>0</v>
      </c>
      <c r="AD115" s="91">
        <f t="shared" si="63"/>
        <v>0</v>
      </c>
      <c r="AE115" s="91">
        <f t="shared" si="63"/>
        <v>0</v>
      </c>
      <c r="AF115" s="91">
        <f t="shared" si="63"/>
        <v>58.666666666666664</v>
      </c>
      <c r="AG115" s="91">
        <f t="shared" si="63"/>
        <v>117.33333333333333</v>
      </c>
      <c r="AH115" s="91">
        <f t="shared" si="63"/>
        <v>117.33333333333334</v>
      </c>
      <c r="AI115" s="91">
        <f t="shared" si="63"/>
        <v>58.666666666666679</v>
      </c>
      <c r="AJ115" s="91">
        <f t="shared" si="63"/>
        <v>0</v>
      </c>
      <c r="AK115" s="91">
        <f t="shared" si="63"/>
        <v>0</v>
      </c>
      <c r="AL115" s="91">
        <f t="shared" si="63"/>
        <v>0</v>
      </c>
      <c r="AM115" s="91">
        <f>AM112+AM113-AM114</f>
        <v>0</v>
      </c>
      <c r="AN115" s="91">
        <f>AN112+AN113-AN114</f>
        <v>0</v>
      </c>
      <c r="AO115" s="91">
        <f>AO112+AO113-AO114</f>
        <v>0</v>
      </c>
      <c r="AP115" s="91">
        <f>AP112+AP113-AP114</f>
        <v>0</v>
      </c>
    </row>
    <row r="116" spans="2:57" x14ac:dyDescent="0.25">
      <c r="C116" t="s">
        <v>258</v>
      </c>
      <c r="E116" s="54"/>
      <c r="F116" s="54"/>
      <c r="G116" s="54"/>
      <c r="H116" s="54"/>
      <c r="I116" s="54"/>
      <c r="J116" s="54"/>
      <c r="K116" s="54"/>
      <c r="L116" s="54"/>
      <c r="M116" s="54"/>
      <c r="N116" s="54"/>
      <c r="O116" s="54"/>
      <c r="P116" s="54"/>
      <c r="Q116" s="54"/>
      <c r="R116" s="54"/>
      <c r="S116" s="54"/>
      <c r="T116" s="54"/>
      <c r="U116" s="54"/>
      <c r="V116" s="54"/>
      <c r="W116" s="54"/>
      <c r="X116" s="54"/>
      <c r="Y116" s="54"/>
      <c r="Z116" s="64"/>
      <c r="AA116" s="69">
        <v>0.06</v>
      </c>
      <c r="AB116" s="69">
        <f>AA116</f>
        <v>0.06</v>
      </c>
      <c r="AC116" s="69">
        <f t="shared" ref="AC116:AL117" si="64">AB116</f>
        <v>0.06</v>
      </c>
      <c r="AD116" s="69">
        <f t="shared" si="64"/>
        <v>0.06</v>
      </c>
      <c r="AE116" s="69">
        <f t="shared" si="64"/>
        <v>0.06</v>
      </c>
      <c r="AF116" s="69">
        <v>6.5000000000000002E-2</v>
      </c>
      <c r="AG116" s="69">
        <f t="shared" si="64"/>
        <v>6.5000000000000002E-2</v>
      </c>
      <c r="AH116" s="69">
        <f t="shared" si="64"/>
        <v>6.5000000000000002E-2</v>
      </c>
      <c r="AI116" s="69">
        <f t="shared" si="64"/>
        <v>6.5000000000000002E-2</v>
      </c>
      <c r="AJ116" s="69">
        <f t="shared" si="64"/>
        <v>6.5000000000000002E-2</v>
      </c>
      <c r="AK116" s="69">
        <f t="shared" si="64"/>
        <v>6.5000000000000002E-2</v>
      </c>
      <c r="AL116" s="69">
        <f t="shared" si="64"/>
        <v>6.5000000000000002E-2</v>
      </c>
      <c r="AM116" s="69">
        <f t="shared" ref="AM116:AP117" si="65">AL116</f>
        <v>6.5000000000000002E-2</v>
      </c>
      <c r="AN116" s="69">
        <f t="shared" si="65"/>
        <v>6.5000000000000002E-2</v>
      </c>
      <c r="AO116" s="69">
        <f t="shared" si="65"/>
        <v>6.5000000000000002E-2</v>
      </c>
      <c r="AP116" s="69">
        <f t="shared" si="65"/>
        <v>6.5000000000000002E-2</v>
      </c>
    </row>
    <row r="117" spans="2:57" x14ac:dyDescent="0.25">
      <c r="C117" t="s">
        <v>259</v>
      </c>
      <c r="E117" s="54"/>
      <c r="F117" s="54"/>
      <c r="G117" s="54"/>
      <c r="H117" s="54"/>
      <c r="I117" s="54"/>
      <c r="J117" s="54"/>
      <c r="K117" s="54"/>
      <c r="L117" s="54"/>
      <c r="M117" s="54"/>
      <c r="N117" s="54"/>
      <c r="O117" s="54"/>
      <c r="P117" s="54"/>
      <c r="Q117" s="54"/>
      <c r="R117" s="54"/>
      <c r="S117" s="54"/>
      <c r="T117" s="54"/>
      <c r="U117" s="54"/>
      <c r="V117" s="54"/>
      <c r="W117" s="54"/>
      <c r="X117" s="54"/>
      <c r="Y117" s="54"/>
      <c r="Z117" s="64"/>
      <c r="AA117" s="69">
        <v>0.05</v>
      </c>
      <c r="AB117" s="69">
        <f>AA117</f>
        <v>0.05</v>
      </c>
      <c r="AC117" s="69">
        <f t="shared" si="64"/>
        <v>0.05</v>
      </c>
      <c r="AD117" s="69">
        <f t="shared" si="64"/>
        <v>0.05</v>
      </c>
      <c r="AE117" s="69">
        <f t="shared" si="64"/>
        <v>0.05</v>
      </c>
      <c r="AF117" s="69">
        <v>5.5E-2</v>
      </c>
      <c r="AG117" s="69">
        <f t="shared" si="64"/>
        <v>5.5E-2</v>
      </c>
      <c r="AH117" s="69">
        <f t="shared" si="64"/>
        <v>5.5E-2</v>
      </c>
      <c r="AI117" s="69">
        <f t="shared" si="64"/>
        <v>5.5E-2</v>
      </c>
      <c r="AJ117" s="69">
        <f t="shared" si="64"/>
        <v>5.5E-2</v>
      </c>
      <c r="AK117" s="69">
        <f t="shared" si="64"/>
        <v>5.5E-2</v>
      </c>
      <c r="AL117" s="69">
        <f t="shared" si="64"/>
        <v>5.5E-2</v>
      </c>
      <c r="AM117" s="69">
        <f t="shared" si="65"/>
        <v>5.5E-2</v>
      </c>
      <c r="AN117" s="69">
        <f t="shared" si="65"/>
        <v>5.5E-2</v>
      </c>
      <c r="AO117" s="69">
        <f t="shared" si="65"/>
        <v>5.5E-2</v>
      </c>
      <c r="AP117" s="69">
        <f t="shared" si="65"/>
        <v>5.5E-2</v>
      </c>
    </row>
    <row r="118" spans="2:57" s="90" customFormat="1" x14ac:dyDescent="0.25">
      <c r="C118" s="90" t="s">
        <v>260</v>
      </c>
      <c r="E118" s="91"/>
      <c r="F118" s="91"/>
      <c r="G118" s="91"/>
      <c r="H118" s="91"/>
      <c r="I118" s="91"/>
      <c r="J118" s="91"/>
      <c r="K118" s="91"/>
      <c r="L118" s="91"/>
      <c r="M118" s="91"/>
      <c r="N118" s="91"/>
      <c r="O118" s="91"/>
      <c r="P118" s="91"/>
      <c r="Q118" s="91"/>
      <c r="R118" s="91"/>
      <c r="S118" s="91"/>
      <c r="T118" s="91"/>
      <c r="U118" s="91"/>
      <c r="V118" s="91"/>
      <c r="W118" s="91"/>
      <c r="X118" s="91"/>
      <c r="Y118" s="91"/>
      <c r="Z118" s="91"/>
      <c r="AA118" s="91"/>
      <c r="AB118" s="91"/>
      <c r="AC118" s="91">
        <f>AC114*AC116/AC117</f>
        <v>0</v>
      </c>
      <c r="AD118" s="91">
        <f t="shared" ref="AD118:AL118" si="66">AD114*AD116/AD117</f>
        <v>0</v>
      </c>
      <c r="AE118" s="91">
        <f t="shared" si="66"/>
        <v>0</v>
      </c>
      <c r="AF118" s="91">
        <f t="shared" si="66"/>
        <v>0</v>
      </c>
      <c r="AG118" s="91">
        <f t="shared" si="66"/>
        <v>0</v>
      </c>
      <c r="AH118" s="91">
        <f t="shared" si="66"/>
        <v>69.333333333333329</v>
      </c>
      <c r="AI118" s="91">
        <f t="shared" si="66"/>
        <v>69.333333333333329</v>
      </c>
      <c r="AJ118" s="91">
        <f t="shared" si="66"/>
        <v>69.333333333333329</v>
      </c>
      <c r="AK118" s="91">
        <f t="shared" si="66"/>
        <v>0</v>
      </c>
      <c r="AL118" s="91">
        <f t="shared" si="66"/>
        <v>0</v>
      </c>
      <c r="AM118" s="91">
        <f>AM114*AM116/AM117</f>
        <v>0</v>
      </c>
      <c r="AN118" s="91">
        <f>AN114*AN116/AN117</f>
        <v>0</v>
      </c>
      <c r="AO118" s="91">
        <f>AO114*AO116/AO117</f>
        <v>0</v>
      </c>
      <c r="AP118" s="91">
        <f>AP114*AP116/AP117</f>
        <v>0</v>
      </c>
    </row>
    <row r="119" spans="2:57" s="95" customFormat="1" x14ac:dyDescent="0.25">
      <c r="C119" s="95" t="s">
        <v>261</v>
      </c>
      <c r="E119" s="96"/>
      <c r="F119" s="96"/>
      <c r="G119" s="96"/>
      <c r="H119" s="96"/>
      <c r="I119" s="96"/>
      <c r="J119" s="96"/>
      <c r="K119" s="96"/>
      <c r="L119" s="96"/>
      <c r="M119" s="96"/>
      <c r="N119" s="96"/>
      <c r="O119" s="96"/>
      <c r="P119" s="96"/>
      <c r="Q119" s="96"/>
      <c r="R119" s="96"/>
      <c r="S119" s="96"/>
      <c r="T119" s="96"/>
      <c r="U119" s="96"/>
      <c r="V119" s="96"/>
      <c r="W119" s="96"/>
      <c r="X119" s="96"/>
      <c r="Y119" s="96"/>
      <c r="Z119" s="96"/>
      <c r="AA119" s="96">
        <f>Z119+AA118</f>
        <v>0</v>
      </c>
      <c r="AB119" s="96">
        <f>AA119*(1+AB45)^(1/2)+AB118</f>
        <v>0</v>
      </c>
      <c r="AC119" s="96">
        <f t="shared" ref="AC119:AL119" si="67">AB119*(1+AC45)^(1/2)+AC118</f>
        <v>0</v>
      </c>
      <c r="AD119" s="96">
        <f t="shared" si="67"/>
        <v>0</v>
      </c>
      <c r="AE119" s="96">
        <f t="shared" si="67"/>
        <v>0</v>
      </c>
      <c r="AF119" s="96">
        <f t="shared" si="67"/>
        <v>0</v>
      </c>
      <c r="AG119" s="96">
        <f t="shared" si="67"/>
        <v>0</v>
      </c>
      <c r="AH119" s="96">
        <f t="shared" si="67"/>
        <v>69.333333333333329</v>
      </c>
      <c r="AI119" s="96">
        <f t="shared" si="67"/>
        <v>139.52798333523083</v>
      </c>
      <c r="AJ119" s="96">
        <f t="shared" si="67"/>
        <v>210.59465000189749</v>
      </c>
      <c r="AK119" s="96">
        <f t="shared" si="67"/>
        <v>213.21083292050906</v>
      </c>
      <c r="AL119" s="96">
        <f t="shared" si="67"/>
        <v>215.85951625194485</v>
      </c>
      <c r="AM119" s="96">
        <f>AL119*(1+AM45)^(1/2)+AM118</f>
        <v>218.54110374352172</v>
      </c>
      <c r="AN119" s="96">
        <f>AM119*(1+AN45)^(1/2)+AN118</f>
        <v>221.2560041582434</v>
      </c>
      <c r="AO119" s="96">
        <f>AN119*(1+AO45)^(1/2)+AO118</f>
        <v>224.00463133710969</v>
      </c>
      <c r="AP119" s="96">
        <f>AO119*(1+AP45)^(1/2)+AP118</f>
        <v>226.78740426219943</v>
      </c>
    </row>
    <row r="120" spans="2:57" s="6" customFormat="1" x14ac:dyDescent="0.25">
      <c r="C120" s="6" t="s">
        <v>116</v>
      </c>
      <c r="E120" s="46"/>
      <c r="F120" s="46"/>
      <c r="G120" s="46"/>
      <c r="H120" s="46"/>
      <c r="I120" s="46"/>
      <c r="J120" s="46"/>
      <c r="K120" s="46"/>
      <c r="L120" s="46"/>
      <c r="M120" s="46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/>
      <c r="AB120" s="46"/>
      <c r="AC120" s="46">
        <f>(AC119-AC118)*AC117*0.5+AC118*AC117*0.5*0.5</f>
        <v>0</v>
      </c>
      <c r="AD120" s="46">
        <f t="shared" ref="AD120:AL120" si="68">(AD119-AD118)*AD117*0.5+AD118*AD117*0.5*0.5</f>
        <v>0</v>
      </c>
      <c r="AE120" s="46">
        <f t="shared" si="68"/>
        <v>0</v>
      </c>
      <c r="AF120" s="46">
        <f t="shared" si="68"/>
        <v>0</v>
      </c>
      <c r="AG120" s="46">
        <f t="shared" si="68"/>
        <v>0</v>
      </c>
      <c r="AH120" s="46">
        <f t="shared" si="68"/>
        <v>0.95333333333333325</v>
      </c>
      <c r="AI120" s="46">
        <f t="shared" si="68"/>
        <v>2.8836862083855146</v>
      </c>
      <c r="AJ120" s="46">
        <f t="shared" si="68"/>
        <v>4.8380195417188485</v>
      </c>
      <c r="AK120" s="46">
        <f t="shared" si="68"/>
        <v>5.8632979053139991</v>
      </c>
      <c r="AL120" s="46">
        <f t="shared" si="68"/>
        <v>5.9361366969284832</v>
      </c>
      <c r="AM120" s="46">
        <f>(AM119-AM118)*AM117*0.5+AM118*AM117*0.5*0.5</f>
        <v>6.0098803529468476</v>
      </c>
      <c r="AN120" s="46">
        <f>(AN119-AN118)*AN117*0.5+AN118*AN117*0.5*0.5</f>
        <v>6.084540114351694</v>
      </c>
      <c r="AO120" s="46">
        <f>(AO119-AO118)*AO117*0.5+AO118*AO117*0.5*0.5</f>
        <v>6.1601273617705168</v>
      </c>
      <c r="AP120" s="46">
        <f>(AP119-AP118)*AP117*0.5+AP118*AP117*0.5*0.5</f>
        <v>6.2366536172104841</v>
      </c>
    </row>
    <row r="121" spans="2:57" x14ac:dyDescent="0.25">
      <c r="U121" s="35"/>
      <c r="V121" s="35"/>
      <c r="W121" s="35"/>
      <c r="X121" s="35"/>
      <c r="Y121" s="35"/>
      <c r="Z121" s="35"/>
      <c r="AA121" s="35"/>
    </row>
    <row r="122" spans="2:57" x14ac:dyDescent="0.25">
      <c r="U122" s="35"/>
      <c r="V122" s="35"/>
      <c r="W122" s="35"/>
      <c r="X122" s="35"/>
      <c r="Y122" s="35"/>
      <c r="Z122" s="35"/>
      <c r="AA122" s="35"/>
    </row>
    <row r="123" spans="2:57" s="23" customFormat="1" x14ac:dyDescent="0.25">
      <c r="B123" s="23" t="s">
        <v>262</v>
      </c>
      <c r="E123" s="57"/>
      <c r="F123" s="57"/>
      <c r="G123" s="57"/>
      <c r="H123" s="57"/>
      <c r="I123" s="57"/>
      <c r="J123" s="57"/>
      <c r="K123" s="57"/>
      <c r="L123" s="57"/>
      <c r="M123" s="57"/>
      <c r="N123" s="57"/>
      <c r="O123" s="57"/>
      <c r="P123" s="57"/>
      <c r="Q123" s="57"/>
      <c r="R123" s="57"/>
      <c r="S123" s="57"/>
      <c r="T123" s="57"/>
      <c r="U123" s="57"/>
      <c r="V123" s="57"/>
      <c r="W123" s="57"/>
      <c r="X123" s="57"/>
      <c r="Y123" s="57"/>
      <c r="Z123" s="57"/>
      <c r="AA123" s="57"/>
      <c r="AB123" s="57"/>
      <c r="AC123" s="57"/>
      <c r="AD123" s="57"/>
      <c r="AE123" s="57"/>
      <c r="AF123" s="57"/>
      <c r="AG123" s="57"/>
      <c r="AH123" s="57"/>
      <c r="AI123" s="57"/>
      <c r="AJ123" s="57"/>
      <c r="AK123" s="57"/>
      <c r="AL123" s="57"/>
      <c r="AM123" s="57"/>
      <c r="AN123" s="57"/>
      <c r="AO123" s="57"/>
      <c r="AP123" s="57"/>
      <c r="AQ123" s="24"/>
      <c r="AR123" s="24"/>
      <c r="AS123" s="24"/>
      <c r="AT123" s="24"/>
      <c r="AU123" s="24"/>
      <c r="AV123" s="24"/>
      <c r="AW123" s="24"/>
      <c r="AX123" s="24"/>
      <c r="AY123" s="24"/>
      <c r="AZ123" s="24"/>
      <c r="BA123" s="24"/>
      <c r="BE123" s="25"/>
    </row>
  </sheetData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6947C-B81E-47B4-AAA4-F115E5262E44}">
  <sheetPr codeName="Sheet2"/>
  <dimension ref="A1:B44"/>
  <sheetViews>
    <sheetView workbookViewId="0"/>
  </sheetViews>
  <sheetFormatPr defaultRowHeight="15" x14ac:dyDescent="0.25"/>
  <cols>
    <col min="1" max="1" width="29.140625" customWidth="1"/>
  </cols>
  <sheetData>
    <row r="1" spans="1:2" x14ac:dyDescent="0.25">
      <c r="A1" s="129" t="s">
        <v>726</v>
      </c>
      <c r="B1" s="137" t="s">
        <v>727</v>
      </c>
    </row>
    <row r="2" spans="1:2" x14ac:dyDescent="0.25">
      <c r="A2" s="129" t="s">
        <v>728</v>
      </c>
      <c r="B2" s="129" t="s">
        <v>729</v>
      </c>
    </row>
    <row r="3" spans="1:2" x14ac:dyDescent="0.25">
      <c r="A3" s="129" t="s">
        <v>730</v>
      </c>
      <c r="B3" s="129" t="s">
        <v>731</v>
      </c>
    </row>
    <row r="4" spans="1:2" x14ac:dyDescent="0.25">
      <c r="A4" s="129" t="s">
        <v>732</v>
      </c>
      <c r="B4" s="129" t="s">
        <v>733</v>
      </c>
    </row>
    <row r="5" spans="1:2" x14ac:dyDescent="0.25">
      <c r="A5" s="129" t="s">
        <v>734</v>
      </c>
      <c r="B5" s="129" t="s">
        <v>735</v>
      </c>
    </row>
    <row r="6" spans="1:2" x14ac:dyDescent="0.25">
      <c r="A6" s="129" t="s">
        <v>736</v>
      </c>
      <c r="B6" s="129"/>
    </row>
    <row r="7" spans="1:2" x14ac:dyDescent="0.25">
      <c r="A7" s="129" t="s">
        <v>737</v>
      </c>
      <c r="B7" s="129" t="s">
        <v>342</v>
      </c>
    </row>
    <row r="8" spans="1:2" x14ac:dyDescent="0.25">
      <c r="A8" s="129" t="s">
        <v>738</v>
      </c>
      <c r="B8" s="129" t="s">
        <v>739</v>
      </c>
    </row>
    <row r="9" spans="1:2" x14ac:dyDescent="0.25">
      <c r="A9" s="129" t="s">
        <v>740</v>
      </c>
      <c r="B9" s="129" t="s">
        <v>741</v>
      </c>
    </row>
    <row r="10" spans="1:2" x14ac:dyDescent="0.25">
      <c r="A10" s="129" t="s">
        <v>742</v>
      </c>
      <c r="B10" s="129"/>
    </row>
    <row r="11" spans="1:2" x14ac:dyDescent="0.25">
      <c r="A11" s="129" t="s">
        <v>743</v>
      </c>
      <c r="B11" s="129"/>
    </row>
    <row r="12" spans="1:2" x14ac:dyDescent="0.25">
      <c r="A12" s="129" t="s">
        <v>744</v>
      </c>
      <c r="B12" s="129"/>
    </row>
    <row r="13" spans="1:2" x14ac:dyDescent="0.25">
      <c r="A13" s="129" t="s">
        <v>745</v>
      </c>
      <c r="B13" s="129"/>
    </row>
    <row r="14" spans="1:2" x14ac:dyDescent="0.25">
      <c r="A14" s="129" t="s">
        <v>746</v>
      </c>
      <c r="B14" s="129"/>
    </row>
    <row r="15" spans="1:2" x14ac:dyDescent="0.25">
      <c r="A15" s="129" t="s">
        <v>747</v>
      </c>
      <c r="B15" s="129"/>
    </row>
    <row r="16" spans="1:2" x14ac:dyDescent="0.25">
      <c r="A16" s="129" t="s">
        <v>748</v>
      </c>
      <c r="B16" s="129"/>
    </row>
    <row r="17" spans="1:2" x14ac:dyDescent="0.25">
      <c r="A17" s="129" t="s">
        <v>749</v>
      </c>
      <c r="B17" s="129" t="s">
        <v>750</v>
      </c>
    </row>
    <row r="18" spans="1:2" x14ac:dyDescent="0.25">
      <c r="A18" s="129" t="s">
        <v>751</v>
      </c>
      <c r="B18" s="129" t="s">
        <v>752</v>
      </c>
    </row>
    <row r="19" spans="1:2" x14ac:dyDescent="0.25">
      <c r="A19" s="129" t="s">
        <v>753</v>
      </c>
      <c r="B19" s="129" t="s">
        <v>341</v>
      </c>
    </row>
    <row r="20" spans="1:2" x14ac:dyDescent="0.25">
      <c r="A20" s="129" t="s">
        <v>754</v>
      </c>
      <c r="B20" s="129"/>
    </row>
    <row r="21" spans="1:2" x14ac:dyDescent="0.25">
      <c r="A21" s="129" t="s">
        <v>755</v>
      </c>
      <c r="B21" s="129" t="s">
        <v>341</v>
      </c>
    </row>
    <row r="22" spans="1:2" x14ac:dyDescent="0.25">
      <c r="A22" s="129" t="s">
        <v>756</v>
      </c>
      <c r="B22" s="129" t="s">
        <v>757</v>
      </c>
    </row>
    <row r="23" spans="1:2" x14ac:dyDescent="0.25">
      <c r="A23" s="129" t="s">
        <v>758</v>
      </c>
      <c r="B23" s="137" t="s">
        <v>759</v>
      </c>
    </row>
    <row r="24" spans="1:2" x14ac:dyDescent="0.25">
      <c r="A24" s="129" t="s">
        <v>760</v>
      </c>
      <c r="B24" s="129" t="s">
        <v>123</v>
      </c>
    </row>
    <row r="25" spans="1:2" x14ac:dyDescent="0.25">
      <c r="A25" s="129" t="s">
        <v>761</v>
      </c>
      <c r="B25" s="129" t="s">
        <v>762</v>
      </c>
    </row>
    <row r="26" spans="1:2" x14ac:dyDescent="0.25">
      <c r="A26" s="129" t="s">
        <v>36</v>
      </c>
      <c r="B26" s="129" t="s">
        <v>763</v>
      </c>
    </row>
    <row r="27" spans="1:2" x14ac:dyDescent="0.25">
      <c r="A27" s="129" t="s">
        <v>764</v>
      </c>
      <c r="B27" s="129" t="s">
        <v>765</v>
      </c>
    </row>
    <row r="28" spans="1:2" x14ac:dyDescent="0.25">
      <c r="A28" s="129" t="s">
        <v>766</v>
      </c>
      <c r="B28" s="129" t="s">
        <v>767</v>
      </c>
    </row>
    <row r="29" spans="1:2" x14ac:dyDescent="0.25">
      <c r="A29" s="129" t="s">
        <v>768</v>
      </c>
      <c r="B29" s="129"/>
    </row>
    <row r="30" spans="1:2" x14ac:dyDescent="0.25">
      <c r="A30" s="129" t="s">
        <v>769</v>
      </c>
      <c r="B30" s="129"/>
    </row>
    <row r="31" spans="1:2" x14ac:dyDescent="0.25">
      <c r="A31" s="129" t="s">
        <v>770</v>
      </c>
      <c r="B31" s="129"/>
    </row>
    <row r="32" spans="1:2" x14ac:dyDescent="0.25">
      <c r="A32" s="129" t="s">
        <v>771</v>
      </c>
      <c r="B32" s="129"/>
    </row>
    <row r="33" spans="1:2" x14ac:dyDescent="0.25">
      <c r="A33" s="129" t="s">
        <v>772</v>
      </c>
      <c r="B33" s="129"/>
    </row>
    <row r="34" spans="1:2" x14ac:dyDescent="0.25">
      <c r="A34" s="129" t="s">
        <v>773</v>
      </c>
      <c r="B34" s="129"/>
    </row>
    <row r="35" spans="1:2" x14ac:dyDescent="0.25">
      <c r="A35" s="129" t="s">
        <v>774</v>
      </c>
      <c r="B35" s="129" t="s">
        <v>775</v>
      </c>
    </row>
    <row r="36" spans="1:2" x14ac:dyDescent="0.25">
      <c r="A36" s="129" t="s">
        <v>776</v>
      </c>
      <c r="B36" s="129" t="s">
        <v>777</v>
      </c>
    </row>
    <row r="37" spans="1:2" x14ac:dyDescent="0.25">
      <c r="A37" s="129" t="s">
        <v>778</v>
      </c>
      <c r="B37" s="129" t="s">
        <v>779</v>
      </c>
    </row>
    <row r="38" spans="1:2" x14ac:dyDescent="0.25">
      <c r="A38" s="129" t="s">
        <v>780</v>
      </c>
      <c r="B38" s="129" t="s">
        <v>781</v>
      </c>
    </row>
    <row r="39" spans="1:2" x14ac:dyDescent="0.25">
      <c r="A39" s="129" t="s">
        <v>782</v>
      </c>
      <c r="B39" s="129" t="s">
        <v>122</v>
      </c>
    </row>
    <row r="40" spans="1:2" x14ac:dyDescent="0.25">
      <c r="A40" s="129" t="s">
        <v>783</v>
      </c>
      <c r="B40" s="129" t="s">
        <v>784</v>
      </c>
    </row>
    <row r="41" spans="1:2" x14ac:dyDescent="0.25">
      <c r="A41" s="129" t="s">
        <v>785</v>
      </c>
      <c r="B41" s="129" t="s">
        <v>786</v>
      </c>
    </row>
    <row r="42" spans="1:2" x14ac:dyDescent="0.25">
      <c r="A42" s="129" t="s">
        <v>787</v>
      </c>
      <c r="B42" s="129"/>
    </row>
    <row r="43" spans="1:2" x14ac:dyDescent="0.25">
      <c r="A43" s="129" t="s">
        <v>788</v>
      </c>
      <c r="B43" s="129"/>
    </row>
    <row r="44" spans="1:2" x14ac:dyDescent="0.25">
      <c r="A44" s="129" t="s">
        <v>789</v>
      </c>
      <c r="B44" s="129" t="s">
        <v>790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17C044-7773-468D-B052-047C556287D9}">
  <sheetPr codeName="Sheet4"/>
  <dimension ref="A1:A13"/>
  <sheetViews>
    <sheetView workbookViewId="0"/>
  </sheetViews>
  <sheetFormatPr defaultRowHeight="15" x14ac:dyDescent="0.25"/>
  <cols>
    <col min="1" max="1" width="28.7109375" customWidth="1"/>
  </cols>
  <sheetData>
    <row r="1" spans="1:1" x14ac:dyDescent="0.25">
      <c r="A1" s="129" t="s">
        <v>791</v>
      </c>
    </row>
    <row r="2" spans="1:1" x14ac:dyDescent="0.25">
      <c r="A2" s="129" t="s">
        <v>792</v>
      </c>
    </row>
    <row r="3" spans="1:1" x14ac:dyDescent="0.25">
      <c r="A3" s="129" t="s">
        <v>793</v>
      </c>
    </row>
    <row r="4" spans="1:1" x14ac:dyDescent="0.25">
      <c r="A4" s="129" t="s">
        <v>794</v>
      </c>
    </row>
    <row r="5" spans="1:1" x14ac:dyDescent="0.25">
      <c r="A5" s="129" t="s">
        <v>795</v>
      </c>
    </row>
    <row r="6" spans="1:1" x14ac:dyDescent="0.25">
      <c r="A6" s="129" t="s">
        <v>796</v>
      </c>
    </row>
    <row r="7" spans="1:1" x14ac:dyDescent="0.25">
      <c r="A7" s="129" t="s">
        <v>797</v>
      </c>
    </row>
    <row r="8" spans="1:1" x14ac:dyDescent="0.25">
      <c r="A8" s="129" t="s">
        <v>798</v>
      </c>
    </row>
    <row r="9" spans="1:1" x14ac:dyDescent="0.25">
      <c r="A9" s="129" t="s">
        <v>799</v>
      </c>
    </row>
    <row r="10" spans="1:1" x14ac:dyDescent="0.25">
      <c r="A10" s="129" t="s">
        <v>800</v>
      </c>
    </row>
    <row r="11" spans="1:1" x14ac:dyDescent="0.25">
      <c r="A11" s="129" t="s">
        <v>801</v>
      </c>
    </row>
    <row r="12" spans="1:1" x14ac:dyDescent="0.25">
      <c r="A12" s="129" t="s">
        <v>802</v>
      </c>
    </row>
    <row r="13" spans="1:1" x14ac:dyDescent="0.25">
      <c r="A13" s="129" t="s">
        <v>803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CircularReferenceAlert</vt:lpstr>
      <vt:lpstr>ImportantDisclosures</vt:lpstr>
      <vt:lpstr>Group</vt:lpstr>
      <vt:lpstr>Debt</vt:lpstr>
      <vt:lpstr>Residential</vt:lpstr>
      <vt:lpstr>Land lease</vt:lpstr>
      <vt:lpstr>Logistics</vt:lpstr>
      <vt:lpstr>Workplace</vt:lpstr>
      <vt:lpstr>Town Centres</vt:lpstr>
      <vt:lpstr>IndexInformation</vt:lpstr>
      <vt:lpstr>ModPubIndex</vt:lpstr>
    </vt:vector>
  </TitlesOfParts>
  <Company>Morgan Stanley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Berry, Lauren (Research)</dc:creator>
  <cp:lastModifiedBy>Raymundo, Barbara Lee (Research)</cp:lastModifiedBy>
  <cp:lastPrinted>2025-06-10T00:51:32Z</cp:lastPrinted>
  <dcterms:created xsi:type="dcterms:W3CDTF">2021-06-09T05:31:11Z</dcterms:created>
  <dcterms:modified xsi:type="dcterms:W3CDTF">2026-02-16T06:38:33Z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7f119e6-c6cd-44b0-a5ee-ac1aff68c56e_Enabled">
    <vt:lpwstr>true</vt:lpwstr>
  </property>
  <property fmtid="{D5CDD505-2E9C-101B-9397-08002B2CF9AE}" pid="3" name="MSIP_Label_07f119e6-c6cd-44b0-a5ee-ac1aff68c56e_SetDate">
    <vt:lpwstr>2022-06-27T00:36:05Z</vt:lpwstr>
  </property>
  <property fmtid="{D5CDD505-2E9C-101B-9397-08002B2CF9AE}" pid="4" name="MSIP_Label_07f119e6-c6cd-44b0-a5ee-ac1aff68c56e_Method">
    <vt:lpwstr>Standard</vt:lpwstr>
  </property>
  <property fmtid="{D5CDD505-2E9C-101B-9397-08002B2CF9AE}" pid="5" name="MSIP_Label_07f119e6-c6cd-44b0-a5ee-ac1aff68c56e_Name">
    <vt:lpwstr>Confidential v1</vt:lpwstr>
  </property>
  <property fmtid="{D5CDD505-2E9C-101B-9397-08002B2CF9AE}" pid="6" name="MSIP_Label_07f119e6-c6cd-44b0-a5ee-ac1aff68c56e_SiteId">
    <vt:lpwstr>e29b8111-49f8-418d-ac2a-935335a52614</vt:lpwstr>
  </property>
  <property fmtid="{D5CDD505-2E9C-101B-9397-08002B2CF9AE}" pid="7" name="MSIP_Label_07f119e6-c6cd-44b0-a5ee-ac1aff68c56e_ActionId">
    <vt:lpwstr>f70fdd12-c87e-4579-9f0f-b68c05a27740</vt:lpwstr>
  </property>
  <property fmtid="{D5CDD505-2E9C-101B-9397-08002B2CF9AE}" pid="8" name="MSIP_Label_07f119e6-c6cd-44b0-a5ee-ac1aff68c56e_ContentBits">
    <vt:lpwstr>0</vt:lpwstr>
  </property>
  <property fmtid="{D5CDD505-2E9C-101B-9397-08002B2CF9AE}" pid="9" name="ERModPubTicket">
    <vt:lpwstr>NA</vt:lpwstr>
  </property>
  <property fmtid="{D5CDD505-2E9C-101B-9397-08002B2CF9AE}" pid="10" name="ERModPubConfirmEmail">
    <vt:bool>false</vt:bool>
  </property>
  <property fmtid="{D5CDD505-2E9C-101B-9397-08002B2CF9AE}" pid="11" name="ERModPubUserEmail">
    <vt:lpwstr>berrylau@ms.com</vt:lpwstr>
  </property>
  <property fmtid="{D5CDD505-2E9C-101B-9397-08002B2CF9AE}" pid="12" name="ERModPubGCIMTagged">
    <vt:bool>true</vt:bool>
  </property>
  <property fmtid="{D5CDD505-2E9C-101B-9397-08002B2CF9AE}" pid="13" name="ERCompanyUploadState">
    <vt:lpwstr>P</vt:lpwstr>
  </property>
  <property fmtid="{D5CDD505-2E9C-101B-9397-08002B2CF9AE}" pid="14" name="ERModPubCurrentYear">
    <vt:i4>2026</vt:i4>
  </property>
  <property fmtid="{D5CDD505-2E9C-101B-9397-08002B2CF9AE}" pid="15" name="ModelId">
    <vt:lpwstr>9786325</vt:lpwstr>
  </property>
  <property fmtid="{D5CDD505-2E9C-101B-9397-08002B2CF9AE}" pid="16" name="ERModPubCompanyName">
    <vt:lpwstr>Stockland</vt:lpwstr>
  </property>
</Properties>
</file>